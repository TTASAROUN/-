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통합 ① 거래입력" sheetId="2" state="visible" r:id="rId4"/>
    <sheet name="통합 ② 월별결산" sheetId="3" state="visible" r:id="rId5"/>
    <sheet name="통합 ③ 통장·카드" sheetId="4" state="visible" r:id="rId6"/>
    <sheet name="통합 ④ 설정" sheetId="5" state="visible" r:id="rId7"/>
    <sheet name="교육원 ① 거래입력" sheetId="6" state="visible" r:id="rId8"/>
    <sheet name="교육원 ② 월별결산" sheetId="7" state="visible" r:id="rId9"/>
    <sheet name="교육원 ③ 통장·카드" sheetId="8" state="visible" r:id="rId10"/>
    <sheet name="교육원 ④ 설정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<sst xmlns="http://schemas.openxmlformats.org/spreadsheetml/2006/main" count="683" uniqueCount="274">
  <si>
    <t xml:space="preserve">따사로운 회계부 — 요약</t>
  </si>
  <si>
    <r>
      <rPr>
        <sz val="9.5"/>
        <color rgb="FF58595B"/>
        <rFont val="WenQuanYi Zen Hei"/>
        <family val="2"/>
      </rPr>
      <t xml:space="preserve">사업자가 둘이므로 회계부도 둘입니다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이 시트는 두 사업자의 숫자를 나란히 보여줄 뿐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입력은 각 사업자의 ① 거래입력에서만 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여기 숫자는 손으로 고치지 마십시오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</si>
  <si>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구분</t>
  </si>
  <si>
    <t xml:space="preserve">따사로운 통합서비스</t>
  </si>
  <si>
    <t xml:space="preserve">따사로운 평생교육원</t>
  </si>
  <si>
    <r>
      <rPr>
        <b val="true"/>
        <sz val="10"/>
        <color rgb="FFFFFFFF"/>
        <rFont val="WenQuanYi Zen Hei"/>
        <family val="2"/>
      </rPr>
      <t xml:space="preserve">두 사업자 합계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참고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</si>
  <si>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이 파일의 구조</t>
  </si>
  <si>
    <t xml:space="preserve">이번 달 수입</t>
  </si>
  <si>
    <r>
      <rPr>
        <sz val="9.5"/>
        <color rgb="FF58595B"/>
        <rFont val="WenQuanYi Zen Hei"/>
        <family val="2"/>
      </rPr>
      <t xml:space="preserve">■ 파란 탭 </t>
    </r>
    <r>
      <rPr>
        <sz val="9.5"/>
        <color rgb="FF58595B"/>
        <rFont val="맑은 고딕"/>
        <family val="0"/>
        <charset val="1"/>
      </rPr>
      <t xml:space="preserve">= </t>
    </r>
    <r>
      <rPr>
        <sz val="9.5"/>
        <color rgb="FF58595B"/>
        <rFont val="WenQuanYi Zen Hei"/>
        <family val="2"/>
      </rPr>
      <t xml:space="preserve">따사로운 통합서비스 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바우처통장 </t>
    </r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경비통장 </t>
    </r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카드</t>
    </r>
    <r>
      <rPr>
        <sz val="9.5"/>
        <color rgb="FF58595B"/>
        <rFont val="맑은 고딕"/>
        <family val="0"/>
        <charset val="1"/>
      </rPr>
      <t xml:space="preserve">)</t>
    </r>
  </si>
  <si>
    <t xml:space="preserve">이번 달 지출</t>
  </si>
  <si>
    <r>
      <rPr>
        <sz val="9.5"/>
        <color rgb="FF58595B"/>
        <rFont val="WenQuanYi Zen Hei"/>
        <family val="2"/>
      </rPr>
      <t xml:space="preserve">■ 주황 탭 </t>
    </r>
    <r>
      <rPr>
        <sz val="9.5"/>
        <color rgb="FF58595B"/>
        <rFont val="맑은 고딕"/>
        <family val="0"/>
        <charset val="1"/>
      </rPr>
      <t xml:space="preserve">= </t>
    </r>
    <r>
      <rPr>
        <sz val="9.5"/>
        <color rgb="FF58595B"/>
        <rFont val="WenQuanYi Zen Hei"/>
        <family val="2"/>
      </rPr>
      <t xml:space="preserve">따사로운 평생교육원 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교육원통장 하나</t>
    </r>
    <r>
      <rPr>
        <sz val="9.5"/>
        <color rgb="FF58595B"/>
        <rFont val="맑은 고딕"/>
        <family val="0"/>
        <charset val="1"/>
      </rPr>
      <t xml:space="preserve">)</t>
    </r>
  </si>
  <si>
    <t xml:space="preserve">이번 달 차액</t>
  </si>
  <si>
    <r>
      <rPr>
        <sz val="9.5"/>
        <color rgb="FF58595B"/>
        <rFont val="WenQuanYi Zen Hei"/>
        <family val="2"/>
      </rPr>
      <t xml:space="preserve">각 사업자마다 ① 거래입력 → ② 월별결산 → ③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 → ④ 설정</t>
    </r>
    <r>
      <rPr>
        <sz val="9.5"/>
        <color rgb="FF58595B"/>
        <rFont val="맑은 고딕"/>
        <family val="0"/>
        <charset val="1"/>
      </rPr>
      <t xml:space="preserve">, 4</t>
    </r>
    <r>
      <rPr>
        <sz val="9.5"/>
        <color rgb="FF58595B"/>
        <rFont val="WenQuanYi Zen Hei"/>
        <family val="2"/>
      </rPr>
      <t xml:space="preserve">장씩입니다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</si>
  <si>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누적 수입</t>
  </si>
  <si>
    <t xml:space="preserve">누적 지출</t>
  </si>
  <si>
    <t xml:space="preserve">지켜야 할 규칙 하나</t>
  </si>
  <si>
    <t xml:space="preserve">누적 차액</t>
  </si>
  <si>
    <r>
      <rPr>
        <sz val="9.5"/>
        <color rgb="FF58595B"/>
        <rFont val="WenQuanYi Zen Hei"/>
        <family val="2"/>
      </rPr>
      <t xml:space="preserve">돈이 어느 사업자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카드에서 오갔는지가 기준입니다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통합서비스 통장이면 통합 시트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교육원통장이면 교육원 시트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「공통」은 없습니다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</si>
  <si>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10"/>
        <color rgb="FF58595B"/>
        <rFont val="WenQuanYi Zen Hei"/>
        <family val="2"/>
      </rPr>
      <t xml:space="preserve">손볼 줄 </t>
    </r>
    <r>
      <rPr>
        <sz val="10"/>
        <color rgb="FF58595B"/>
        <rFont val="맑은 고딕"/>
        <family val="0"/>
        <charset val="1"/>
      </rPr>
      <t xml:space="preserve">(</t>
    </r>
    <r>
      <rPr>
        <sz val="10"/>
        <color rgb="FF58595B"/>
        <rFont val="WenQuanYi Zen Hei"/>
        <family val="2"/>
      </rPr>
      <t xml:space="preserve">점검</t>
    </r>
    <r>
      <rPr>
        <sz val="10"/>
        <color rgb="FF58595B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</si>
  <si>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함께 쓰는 비용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임차료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공과금 등</t>
    </r>
    <r>
      <rPr>
        <sz val="9.5"/>
        <color rgb="FF58595B"/>
        <rFont val="맑은 고딕"/>
        <family val="0"/>
        <charset val="1"/>
      </rPr>
      <t xml:space="preserve">)</t>
    </r>
    <r>
      <rPr>
        <sz val="9.5"/>
        <color rgb="FF58595B"/>
        <rFont val="WenQuanYi Zen Hei"/>
        <family val="2"/>
      </rPr>
      <t xml:space="preserve">은 실제로 낸 사업자가 지출로 적고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상대가 분담분을 보내면 「타사업자 정산수입 </t>
    </r>
    <r>
      <rPr>
        <sz val="9.5"/>
        <color rgb="FF58595B"/>
        <rFont val="맑은 고딕"/>
        <family val="0"/>
        <charset val="1"/>
      </rPr>
      <t xml:space="preserve">/ </t>
    </r>
    <r>
      <rPr>
        <sz val="9.5"/>
        <color rgb="FF58595B"/>
        <rFont val="WenQuanYi Zen Hei"/>
        <family val="2"/>
      </rPr>
      <t xml:space="preserve">정산지출」로 양쪽에 적습니다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</si>
  <si>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증빙 없음</t>
  </si>
  <si>
    <r>
      <rPr>
        <sz val="9.5"/>
        <color rgb="FF58595B"/>
        <rFont val="WenQuanYi Zen Hei"/>
        <family val="2"/>
      </rPr>
      <t xml:space="preserve">사업자 사이 송금은 반드시 증빙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계산서 또는 이체확인증</t>
    </r>
    <r>
      <rPr>
        <sz val="9.5"/>
        <color rgb="FF58595B"/>
        <rFont val="맑은 고딕"/>
        <family val="0"/>
        <charset val="1"/>
      </rPr>
      <t xml:space="preserve">)</t>
    </r>
    <r>
      <rPr>
        <sz val="9.5"/>
        <color rgb="FF58595B"/>
        <rFont val="WenQuanYi Zen Hei"/>
        <family val="2"/>
      </rPr>
      <t xml:space="preserve">을 남기십시오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세무사에게 넘길 때 두 사업자를 따로 뽑을 수 있습니다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</si>
  <si>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"/>
        <color rgb="FFA7A9AC"/>
        <rFont val="WenQuanYi Zen Hei"/>
        <family val="2"/>
      </rPr>
      <t xml:space="preserve">※ 이번 달 </t>
    </r>
    <r>
      <rPr>
        <sz val="9"/>
        <color rgb="FFA7A9AC"/>
        <rFont val="맑은 고딕"/>
        <family val="0"/>
        <charset val="1"/>
      </rPr>
      <t xml:space="preserve">= </t>
    </r>
    <r>
      <rPr>
        <sz val="9"/>
        <color rgb="FFA7A9AC"/>
        <rFont val="WenQuanYi Zen Hei"/>
        <family val="2"/>
      </rPr>
      <t xml:space="preserve">오늘 날짜의 달</t>
    </r>
    <r>
      <rPr>
        <sz val="9"/>
        <color rgb="FFA7A9AC"/>
        <rFont val="맑은 고딕"/>
        <family val="0"/>
        <charset val="1"/>
      </rPr>
      <t xml:space="preserve">. </t>
    </r>
    <r>
      <rPr>
        <sz val="9"/>
        <color rgb="FFA7A9AC"/>
        <rFont val="WenQuanYi Zen Hei"/>
        <family val="2"/>
      </rPr>
      <t xml:space="preserve">수입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지출은 「계좌대체」를 뺀 손익 기준</t>
    </r>
    <r>
      <rPr>
        <sz val="9"/>
        <color rgb="FFA7A9AC"/>
        <rFont val="맑은 고딕"/>
        <family val="0"/>
        <charset val="1"/>
      </rPr>
      <t xml:space="preserve">. </t>
    </r>
    <r>
      <rPr>
        <sz val="9"/>
        <color rgb="FFA7A9AC"/>
        <rFont val="WenQuanYi Zen Hei"/>
        <family val="2"/>
      </rPr>
      <t xml:space="preserve">「타사업자 정산」은 한쪽 수입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한쪽 지출이라 합계 열에서는 서로 지워집니다</t>
    </r>
    <r>
      <rPr>
        <sz val="9"/>
        <color rgb="FFA7A9AC"/>
        <rFont val="맑은 고딕"/>
        <family val="0"/>
        <charset val="1"/>
      </rPr>
      <t xml:space="preserve">.</t>
    </r>
  </si>
  <si>
    <r>
      <rPr>
        <b val="true"/>
        <sz val="12"/>
        <color rgb="FF414042"/>
        <rFont val="WenQuanYi Zen Hei"/>
        <family val="2"/>
      </rPr>
      <t xml:space="preserve">통장</t>
    </r>
    <r>
      <rPr>
        <b val="true"/>
        <sz val="12"/>
        <color rgb="FF414042"/>
        <rFont val="맑은 고딕"/>
        <family val="0"/>
        <charset val="1"/>
      </rPr>
      <t xml:space="preserve">·</t>
    </r>
    <r>
      <rPr>
        <b val="true"/>
        <sz val="12"/>
        <color rgb="FF414042"/>
        <rFont val="WenQuanYi Zen Hei"/>
        <family val="2"/>
      </rPr>
      <t xml:space="preserve">카드 잔액</t>
    </r>
  </si>
  <si>
    <t xml:space="preserve">사업자</t>
  </si>
  <si>
    <t xml:space="preserve">결제수단</t>
  </si>
  <si>
    <r>
      <rPr>
        <b val="true"/>
        <sz val="10"/>
        <color rgb="FFFFFFFF"/>
        <rFont val="WenQuanYi Zen Hei"/>
        <family val="2"/>
      </rPr>
      <t xml:space="preserve">현재 잔액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카드 사용액</t>
    </r>
  </si>
  <si>
    <t xml:space="preserve">통합 통장 합계</t>
  </si>
  <si>
    <t xml:space="preserve">교육원 통장 합계</t>
  </si>
  <si>
    <r>
      <rPr>
        <b val="true"/>
        <sz val="12"/>
        <color rgb="FF414042"/>
        <rFont val="WenQuanYi Zen Hei"/>
        <family val="2"/>
      </rPr>
      <t xml:space="preserve">월별 손익 </t>
    </r>
    <r>
      <rPr>
        <b val="true"/>
        <sz val="12"/>
        <color rgb="FF414042"/>
        <rFont val="맑은 고딕"/>
        <family val="0"/>
        <charset val="1"/>
      </rPr>
      <t xml:space="preserve">(</t>
    </r>
    <r>
      <rPr>
        <b val="true"/>
        <sz val="12"/>
        <color rgb="FF414042"/>
        <rFont val="WenQuanYi Zen Hei"/>
        <family val="2"/>
      </rPr>
      <t xml:space="preserve">연도는 각 사업자 ② 월별결산의 </t>
    </r>
    <r>
      <rPr>
        <b val="true"/>
        <sz val="12"/>
        <color rgb="FF414042"/>
        <rFont val="맑은 고딕"/>
        <family val="0"/>
        <charset val="1"/>
      </rPr>
      <t xml:space="preserve">G1 </t>
    </r>
    <r>
      <rPr>
        <b val="true"/>
        <sz val="12"/>
        <color rgb="FF414042"/>
        <rFont val="WenQuanYi Zen Hei"/>
        <family val="2"/>
      </rPr>
      <t xml:space="preserve">칸을 따릅니다</t>
    </r>
    <r>
      <rPr>
        <b val="true"/>
        <sz val="12"/>
        <color rgb="FF414042"/>
        <rFont val="맑은 고딕"/>
        <family val="0"/>
        <charset val="1"/>
      </rPr>
      <t xml:space="preserve">)</t>
    </r>
  </si>
  <si>
    <t xml:space="preserve">항목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</si>
  <si>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</si>
  <si>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</si>
  <si>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</si>
  <si>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</si>
  <si>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</si>
  <si>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</si>
  <si>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</si>
  <si>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</si>
  <si>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</si>
  <si>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</si>
  <si>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</si>
  <si>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</si>
  <si>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연간 합계</t>
  </si>
  <si>
    <t xml:space="preserve">통합</t>
  </si>
  <si>
    <t xml:space="preserve">총수입</t>
  </si>
  <si>
    <t xml:space="preserve">총지출</t>
  </si>
  <si>
    <t xml:space="preserve">영업이익</t>
  </si>
  <si>
    <t xml:space="preserve">교육원</t>
  </si>
  <si>
    <t xml:space="preserve">합계</t>
  </si>
  <si>
    <r>
      <rPr>
        <b val="true"/>
        <sz val="10"/>
        <color rgb="FF414042"/>
        <rFont val="WenQuanYi Zen Hei"/>
        <family val="2"/>
      </rPr>
      <t xml:space="preserve">영업이익 </t>
    </r>
    <r>
      <rPr>
        <b val="true"/>
        <sz val="10"/>
        <color rgb="FF414042"/>
        <rFont val="맑은 고딕"/>
        <family val="0"/>
        <charset val="1"/>
      </rPr>
      <t xml:space="preserve">(</t>
    </r>
    <r>
      <rPr>
        <b val="true"/>
        <sz val="10"/>
        <color rgb="FF414042"/>
        <rFont val="WenQuanYi Zen Hei"/>
        <family val="2"/>
      </rPr>
      <t xml:space="preserve">참고</t>
    </r>
    <r>
      <rPr>
        <b val="true"/>
        <sz val="10"/>
        <color rgb="FF414042"/>
        <rFont val="맑은 고딕"/>
        <family val="0"/>
        <charset val="1"/>
      </rPr>
      <t xml:space="preserve">)</t>
    </r>
  </si>
  <si>
    <r>
      <rPr>
        <sz val="9"/>
        <color rgb="FFA7A9AC"/>
        <rFont val="WenQuanYi Zen Hei"/>
        <family val="2"/>
      </rPr>
      <t xml:space="preserve">※ 「합계」는 대표가 전체를 볼 때만 참고하십시오</t>
    </r>
    <r>
      <rPr>
        <sz val="9"/>
        <color rgb="FFA7A9AC"/>
        <rFont val="맑은 고딕"/>
        <family val="0"/>
        <charset val="1"/>
      </rPr>
      <t xml:space="preserve">. </t>
    </r>
    <r>
      <rPr>
        <sz val="9"/>
        <color rgb="FFA7A9AC"/>
        <rFont val="WenQuanYi Zen Hei"/>
        <family val="2"/>
      </rPr>
      <t xml:space="preserve">세무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결산은 사업자별 ② 월별결산으로 각각 합니다</t>
    </r>
    <r>
      <rPr>
        <sz val="9"/>
        <color rgb="FFA7A9AC"/>
        <rFont val="맑은 고딕"/>
        <family val="0"/>
        <charset val="1"/>
      </rPr>
      <t xml:space="preserve">.</t>
    </r>
  </si>
  <si>
    <t xml:space="preserve">따사로운 통합서비스 회계부</t>
  </si>
  <si>
    <r>
      <rPr>
        <b val="true"/>
        <sz val="10"/>
        <color rgb="FFD24E2E"/>
        <rFont val="WenQuanYi Zen Hei"/>
        <family val="2"/>
      </rPr>
      <t xml:space="preserve">통합 ① 거래입력 — 따사로운 통합서비스 통장</t>
    </r>
    <r>
      <rPr>
        <b val="true"/>
        <sz val="10"/>
        <color rgb="FFD24E2E"/>
        <rFont val="맑은 고딕"/>
        <family val="0"/>
        <charset val="1"/>
      </rPr>
      <t xml:space="preserve">·</t>
    </r>
    <r>
      <rPr>
        <b val="true"/>
        <sz val="10"/>
        <color rgb="FFD24E2E"/>
        <rFont val="WenQuanYi Zen Hei"/>
        <family val="2"/>
      </rPr>
      <t xml:space="preserve">카드로 오간 돈만 이 시트에 적습니다</t>
    </r>
    <r>
      <rPr>
        <b val="true"/>
        <sz val="10"/>
        <color rgb="FFD24E2E"/>
        <rFont val="맑은 고딕"/>
        <family val="0"/>
        <charset val="1"/>
      </rPr>
      <t xml:space="preserve">. ②③</t>
    </r>
    <r>
      <rPr>
        <b val="true"/>
        <sz val="10"/>
        <color rgb="FFD24E2E"/>
        <rFont val="WenQuanYi Zen Hei"/>
        <family val="2"/>
      </rPr>
      <t xml:space="preserve">은 자동으로 계산됩니다</t>
    </r>
    <r>
      <rPr>
        <b val="true"/>
        <sz val="10"/>
        <color rgb="FFD24E2E"/>
        <rFont val="맑은 고딕"/>
        <family val="0"/>
        <charset val="1"/>
      </rPr>
      <t xml:space="preserve">.</t>
    </r>
  </si>
  <si>
    <t xml:space="preserve">이번 달</t>
  </si>
  <si>
    <t xml:space="preserve">점검</t>
  </si>
  <si>
    <t xml:space="preserve">쓰는 법</t>
  </si>
  <si>
    <t xml:space="preserve">수입</t>
  </si>
  <si>
    <t xml:space="preserve">손볼 줄</t>
  </si>
  <si>
    <r>
      <rPr>
        <sz val="9.5"/>
        <color rgb="FF58595B"/>
        <rFont val="맑은 고딕"/>
        <family val="0"/>
        <charset val="1"/>
      </rPr>
      <t xml:space="preserve">1. </t>
    </r>
    <r>
      <rPr>
        <sz val="9.5"/>
        <color rgb="FF58595B"/>
        <rFont val="WenQuanYi Zen Hei"/>
        <family val="2"/>
      </rPr>
      <t xml:space="preserve">따사로운 통합서비스 명의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 내역을 내려받아 날짜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거래처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금액을 아래 표에 붙여 넣습니다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한 줄이 한 거래입니다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</si>
  <si>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지출</t>
  </si>
  <si>
    <r>
      <rPr>
        <sz val="9.5"/>
        <color rgb="FF58595B"/>
        <rFont val="맑은 고딕"/>
        <family val="0"/>
        <charset val="1"/>
      </rPr>
      <t xml:space="preserve">2. </t>
    </r>
    <r>
      <rPr>
        <sz val="9.5"/>
        <color rgb="FF58595B"/>
        <rFont val="WenQuanYi Zen Hei"/>
        <family val="2"/>
      </rPr>
      <t xml:space="preserve">결제수단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계정과목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증빙은 칸을 누르면 목록이 뜹니다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목록에서 고르십시오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직접 타이핑하면 ② 결산에서 빠집니다</t>
    </r>
    <r>
      <rPr>
        <sz val="9.5"/>
        <color rgb="FF58595B"/>
        <rFont val="맑은 고딕"/>
        <family val="0"/>
        <charset val="1"/>
      </rPr>
      <t xml:space="preserve">).</t>
    </r>
  </si>
  <si>
    <t xml:space="preserve">차액</t>
  </si>
  <si>
    <t xml:space="preserve">바우처통장 지출</t>
  </si>
  <si>
    <r>
      <rPr>
        <sz val="9.5"/>
        <color rgb="FF58595B"/>
        <rFont val="맑은 고딕"/>
        <family val="0"/>
        <charset val="1"/>
      </rPr>
      <t xml:space="preserve">3. </t>
    </r>
    <r>
      <rPr>
        <sz val="9.5"/>
        <color rgb="FF58595B"/>
        <rFont val="WenQuanYi Zen Hei"/>
        <family val="2"/>
      </rPr>
      <t xml:space="preserve">대분류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고정</t>
    </r>
    <r>
      <rPr>
        <sz val="9.5"/>
        <color rgb="FF58595B"/>
        <rFont val="맑은 고딕"/>
        <family val="0"/>
        <charset val="1"/>
      </rPr>
      <t xml:space="preserve">/</t>
    </r>
    <r>
      <rPr>
        <sz val="9.5"/>
        <color rgb="FF58595B"/>
        <rFont val="WenQuanYi Zen Hei"/>
        <family val="2"/>
      </rPr>
      <t xml:space="preserve">변동은 계정과목을 고르면 저절로 채워집니다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손대지 마십시오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</si>
  <si>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4. </t>
    </r>
    <r>
      <rPr>
        <sz val="9.5"/>
        <color rgb="FF58595B"/>
        <rFont val="WenQuanYi Zen Hei"/>
        <family val="2"/>
      </rPr>
      <t xml:space="preserve">수입이면 수입 칸에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지출이면 지출 칸에만 금액을 적습니다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둘 다 적지 않습니다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</si>
  <si>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5. </t>
    </r>
    <r>
      <rPr>
        <sz val="9.5"/>
        <color rgb="FF58595B"/>
        <rFont val="WenQuanYi Zen Hei"/>
        <family val="2"/>
      </rPr>
      <t xml:space="preserve">통장 사이 이체는 계정과목을 「계좌대체」로 하고 두 줄로 적습니다 — 나가는 통장에 지출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들어오는 통장에 수입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손익에는 잡히지 않습니다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</si>
  <si>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입력 줄수</t>
  </si>
  <si>
    <r>
      <rPr>
        <sz val="9.5"/>
        <color rgb="FF58595B"/>
        <rFont val="맑은 고딕"/>
        <family val="0"/>
        <charset val="1"/>
      </rPr>
      <t xml:space="preserve">6. </t>
    </r>
    <r>
      <rPr>
        <sz val="9.5"/>
        <color rgb="FF58595B"/>
        <rFont val="WenQuanYi Zen Hei"/>
        <family val="2"/>
      </rPr>
      <t xml:space="preserve">다른 사업자와 돈이 오가면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임차료 분담 등</t>
    </r>
    <r>
      <rPr>
        <sz val="9.5"/>
        <color rgb="FF58595B"/>
        <rFont val="맑은 고딕"/>
        <family val="0"/>
        <charset val="1"/>
      </rPr>
      <t xml:space="preserve">) </t>
    </r>
    <r>
      <rPr>
        <sz val="9.5"/>
        <color rgb="FF58595B"/>
        <rFont val="WenQuanYi Zen Hei"/>
        <family val="2"/>
      </rPr>
      <t xml:space="preserve">「계좌대체」가 아니라 「타사업자 정산수입</t>
    </r>
    <r>
      <rPr>
        <sz val="9.5"/>
        <color rgb="FF58595B"/>
        <rFont val="맑은 고딕"/>
        <family val="0"/>
        <charset val="1"/>
      </rPr>
      <t xml:space="preserve">/</t>
    </r>
    <r>
      <rPr>
        <sz val="9.5"/>
        <color rgb="FF58595B"/>
        <rFont val="WenQuanYi Zen Hei"/>
        <family val="2"/>
      </rPr>
      <t xml:space="preserve">정산지출」로 적고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상대 사업자 시트에도 같은 금액을 반대로 적습니다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</si>
  <si>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"/>
        <color rgb="FFA7A9AC"/>
        <rFont val="WenQuanYi Zen Hei"/>
        <family val="2"/>
      </rPr>
      <t xml:space="preserve">※ 수입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지출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누적은 「계좌대체」를 뺀 손익 기준입니다</t>
    </r>
    <r>
      <rPr>
        <sz val="9"/>
        <color rgb="FFA7A9AC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</si>
  <si>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7. </t>
    </r>
    <r>
      <rPr>
        <sz val="9.5"/>
        <color rgb="FF58595B"/>
        <rFont val="WenQuanYi Zen Hei"/>
        <family val="2"/>
      </rPr>
      <t xml:space="preserve">「점검」 칸에 글자가 뜨면 그 줄에 빠진 것이 있다는 뜻입니다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비어 있어야 정상입니다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</si>
  <si>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9.5"/>
        <color rgb="FFD24E2E"/>
        <rFont val="맑은 고딕"/>
        <family val="0"/>
        <charset val="1"/>
      </rPr>
      <t xml:space="preserve">※ 15</t>
    </r>
    <r>
      <rPr>
        <b val="true"/>
        <sz val="9.5"/>
        <color rgb="FFD24E2E"/>
        <rFont val="WenQuanYi Zen Hei"/>
        <family val="2"/>
      </rPr>
      <t xml:space="preserve">행부터 </t>
    </r>
    <r>
      <rPr>
        <b val="true"/>
        <sz val="9.5"/>
        <color rgb="FFD24E2E"/>
        <rFont val="맑은 고딕"/>
        <family val="0"/>
        <charset val="1"/>
      </rPr>
      <t xml:space="preserve">9</t>
    </r>
    <r>
      <rPr>
        <b val="true"/>
        <sz val="9.5"/>
        <color rgb="FFD24E2E"/>
        <rFont val="WenQuanYi Zen Hei"/>
        <family val="2"/>
      </rPr>
      <t xml:space="preserve">줄은 형태를 보여드리는 예시입니다</t>
    </r>
    <r>
      <rPr>
        <b val="true"/>
        <sz val="9.5"/>
        <color rgb="FFD24E2E"/>
        <rFont val="맑은 고딕"/>
        <family val="0"/>
        <charset val="1"/>
      </rPr>
      <t xml:space="preserve">. </t>
    </r>
    <r>
      <rPr>
        <b val="true"/>
        <sz val="9.5"/>
        <color rgb="FFD24E2E"/>
        <rFont val="WenQuanYi Zen Hei"/>
        <family val="2"/>
      </rPr>
      <t xml:space="preserve">실제 내역을 넣기 전에 지우십시오</t>
    </r>
    <r>
      <rPr>
        <b val="true"/>
        <sz val="9.5"/>
        <color rgb="FFD24E2E"/>
        <rFont val="맑은 고딕"/>
        <family val="0"/>
        <charset val="1"/>
      </rPr>
      <t xml:space="preserve">.</t>
    </r>
  </si>
  <si>
    <t xml:space="preserve">번호</t>
  </si>
  <si>
    <t xml:space="preserve">날짜</t>
  </si>
  <si>
    <t xml:space="preserve">계정과목</t>
  </si>
  <si>
    <t xml:space="preserve">대분류</t>
  </si>
  <si>
    <r>
      <rPr>
        <b val="true"/>
        <sz val="10"/>
        <color rgb="FFFFFFFF"/>
        <rFont val="WenQuanYi Zen Hei"/>
        <family val="2"/>
      </rPr>
      <t xml:space="preserve">고정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변동</t>
    </r>
  </si>
  <si>
    <t xml:space="preserve">거래처</t>
  </si>
  <si>
    <r>
      <rPr>
        <b val="true"/>
        <sz val="10"/>
        <color rgb="FFFFFFFF"/>
        <rFont val="WenQuanYi Zen Hei"/>
        <family val="2"/>
      </rPr>
      <t xml:space="preserve">적요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무엇에 썼는지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</si>
  <si>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증빙</t>
  </si>
  <si>
    <t xml:space="preserve">비고</t>
  </si>
  <si>
    <t xml:space="preserve">년월</t>
  </si>
  <si>
    <t xml:space="preserve">손익</t>
  </si>
  <si>
    <t xml:space="preserve">바우처통장</t>
  </si>
  <si>
    <r>
      <rPr>
        <sz val="10"/>
        <color rgb="FF414042"/>
        <rFont val="WenQuanYi Zen Hei"/>
        <family val="2"/>
      </rPr>
      <t xml:space="preserve">바우처수입</t>
    </r>
    <r>
      <rPr>
        <sz val="10"/>
        <color rgb="FF414042"/>
        <rFont val="맑은 고딕"/>
        <family val="0"/>
        <charset val="1"/>
      </rPr>
      <t xml:space="preserve">-</t>
    </r>
    <r>
      <rPr>
        <sz val="10"/>
        <color rgb="FF414042"/>
        <rFont val="WenQuanYi Zen Hei"/>
        <family val="2"/>
      </rPr>
      <t xml:space="preserve">산모신생아</t>
    </r>
  </si>
  <si>
    <t xml:space="preserve">사회보장정보원</t>
  </si>
  <si>
    <r>
      <rPr>
        <sz val="10"/>
        <color rgb="FF414042"/>
        <rFont val="맑은 고딕"/>
        <family val="0"/>
        <charset val="1"/>
      </rPr>
      <t xml:space="preserve">8</t>
    </r>
    <r>
      <rPr>
        <sz val="10"/>
        <color rgb="FF414042"/>
        <rFont val="WenQuanYi Zen Hei"/>
        <family val="2"/>
      </rPr>
      <t xml:space="preserve">월분 바우처 정산 입금</t>
    </r>
  </si>
  <si>
    <t xml:space="preserve">이체확인증</t>
  </si>
  <si>
    <t xml:space="preserve">경비통장</t>
  </si>
  <si>
    <t xml:space="preserve">계좌대체</t>
  </si>
  <si>
    <t xml:space="preserve">자행이체</t>
  </si>
  <si>
    <t xml:space="preserve">바우처통장 → 경비통장 운영비 이체</t>
  </si>
  <si>
    <r>
      <rPr>
        <sz val="10"/>
        <color rgb="FF414042"/>
        <rFont val="WenQuanYi Zen Hei"/>
        <family val="2"/>
      </rPr>
      <t xml:space="preserve">용역비</t>
    </r>
    <r>
      <rPr>
        <sz val="10"/>
        <color rgb="FF414042"/>
        <rFont val="맑은 고딕"/>
        <family val="0"/>
        <charset val="1"/>
      </rPr>
      <t xml:space="preserve">(</t>
    </r>
    <r>
      <rPr>
        <sz val="10"/>
        <color rgb="FF414042"/>
        <rFont val="WenQuanYi Zen Hei"/>
        <family val="2"/>
      </rPr>
      <t xml:space="preserve">관리사</t>
    </r>
    <r>
      <rPr>
        <sz val="10"/>
        <color rgb="FF414042"/>
        <rFont val="맑은 고딕"/>
        <family val="0"/>
        <charset val="1"/>
      </rPr>
      <t xml:space="preserve">)</t>
    </r>
  </si>
  <si>
    <r>
      <rPr>
        <sz val="10"/>
        <color rgb="FF414042"/>
        <rFont val="WenQuanYi Zen Hei"/>
        <family val="2"/>
      </rPr>
      <t xml:space="preserve">관리사 </t>
    </r>
    <r>
      <rPr>
        <sz val="10"/>
        <color rgb="FF414042"/>
        <rFont val="맑은 고딕"/>
        <family val="0"/>
        <charset val="1"/>
      </rPr>
      <t xml:space="preserve">8</t>
    </r>
    <r>
      <rPr>
        <sz val="10"/>
        <color rgb="FF414042"/>
        <rFont val="WenQuanYi Zen Hei"/>
        <family val="2"/>
      </rPr>
      <t xml:space="preserve">명</t>
    </r>
  </si>
  <si>
    <r>
      <rPr>
        <sz val="10"/>
        <color rgb="FF414042"/>
        <rFont val="맑은 고딕"/>
        <family val="0"/>
        <charset val="1"/>
      </rPr>
      <t xml:space="preserve">8</t>
    </r>
    <r>
      <rPr>
        <sz val="10"/>
        <color rgb="FF414042"/>
        <rFont val="WenQuanYi Zen Hei"/>
        <family val="2"/>
      </rPr>
      <t xml:space="preserve">월분 용역비 </t>
    </r>
    <r>
      <rPr>
        <sz val="10"/>
        <color rgb="FF414042"/>
        <rFont val="맑은 고딕"/>
        <family val="0"/>
        <charset val="1"/>
      </rPr>
      <t xml:space="preserve">(3.3% </t>
    </r>
    <r>
      <rPr>
        <sz val="10"/>
        <color rgb="FF414042"/>
        <rFont val="WenQuanYi Zen Hei"/>
        <family val="2"/>
      </rPr>
      <t xml:space="preserve">원천징수 후</t>
    </r>
    <r>
      <rPr>
        <sz val="10"/>
        <color rgb="FF414042"/>
        <rFont val="맑은 고딕"/>
        <family val="0"/>
        <charset val="1"/>
      </rPr>
      <t xml:space="preserve">)</t>
    </r>
  </si>
  <si>
    <t xml:space="preserve">삼성카드</t>
  </si>
  <si>
    <t xml:space="preserve">임차료</t>
  </si>
  <si>
    <t xml:space="preserve">○○빌딩</t>
  </si>
  <si>
    <r>
      <rPr>
        <sz val="10"/>
        <color rgb="FF414042"/>
        <rFont val="맑은 고딕"/>
        <family val="0"/>
        <charset val="1"/>
      </rPr>
      <t xml:space="preserve">9</t>
    </r>
    <r>
      <rPr>
        <sz val="10"/>
        <color rgb="FF414042"/>
        <rFont val="WenQuanYi Zen Hei"/>
        <family val="2"/>
      </rPr>
      <t xml:space="preserve">월 사무실 임차료</t>
    </r>
  </si>
  <si>
    <t xml:space="preserve">세금계산서</t>
  </si>
  <si>
    <r>
      <rPr>
        <sz val="9.5"/>
        <color rgb="FF58595B"/>
        <rFont val="맑은 고딕"/>
        <family val="0"/>
        <charset val="1"/>
      </rPr>
      <t xml:space="preserve">BC</t>
    </r>
    <r>
      <rPr>
        <sz val="9.5"/>
        <color rgb="FF58595B"/>
        <rFont val="WenQuanYi Zen Hei"/>
        <family val="2"/>
      </rPr>
      <t xml:space="preserve">카드</t>
    </r>
  </si>
  <si>
    <t xml:space="preserve">물품구입비</t>
  </si>
  <si>
    <t xml:space="preserve">○○유통</t>
  </si>
  <si>
    <r>
      <rPr>
        <sz val="10"/>
        <color rgb="FF414042"/>
        <rFont val="WenQuanYi Zen Hei"/>
        <family val="2"/>
      </rPr>
      <t xml:space="preserve">수건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세제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기저귀 보충</t>
    </r>
  </si>
  <si>
    <t xml:space="preserve">카드전표</t>
  </si>
  <si>
    <r>
      <rPr>
        <sz val="10"/>
        <color rgb="FF414042"/>
        <rFont val="맑은 고딕"/>
        <family val="0"/>
        <charset val="1"/>
      </rPr>
      <t xml:space="preserve">4</t>
    </r>
    <r>
      <rPr>
        <sz val="10"/>
        <color rgb="FF414042"/>
        <rFont val="WenQuanYi Zen Hei"/>
        <family val="2"/>
      </rPr>
      <t xml:space="preserve">대보험 사업주부담</t>
    </r>
  </si>
  <si>
    <t xml:space="preserve">건강보험공단</t>
  </si>
  <si>
    <r>
      <rPr>
        <sz val="10"/>
        <color rgb="FF414042"/>
        <rFont val="맑은 고딕"/>
        <family val="0"/>
        <charset val="1"/>
      </rPr>
      <t xml:space="preserve">8</t>
    </r>
    <r>
      <rPr>
        <sz val="10"/>
        <color rgb="FF414042"/>
        <rFont val="WenQuanYi Zen Hei"/>
        <family val="2"/>
      </rPr>
      <t xml:space="preserve">월분 사업주부담금</t>
    </r>
  </si>
  <si>
    <t xml:space="preserve">통신비</t>
  </si>
  <si>
    <t xml:space="preserve">KT</t>
  </si>
  <si>
    <r>
      <rPr>
        <sz val="10"/>
        <color rgb="FF414042"/>
        <rFont val="맑은 고딕"/>
        <family val="0"/>
        <charset val="1"/>
      </rPr>
      <t xml:space="preserve">9</t>
    </r>
    <r>
      <rPr>
        <sz val="10"/>
        <color rgb="FF414042"/>
        <rFont val="WenQuanYi Zen Hei"/>
        <family val="2"/>
      </rPr>
      <t xml:space="preserve">월 인터넷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전화</t>
    </r>
  </si>
  <si>
    <t xml:space="preserve">타사업자 정산수입</t>
  </si>
  <si>
    <r>
      <rPr>
        <sz val="10"/>
        <color rgb="FF414042"/>
        <rFont val="맑은 고딕"/>
        <family val="0"/>
        <charset val="1"/>
      </rPr>
      <t xml:space="preserve">9</t>
    </r>
    <r>
      <rPr>
        <sz val="10"/>
        <color rgb="FF414042"/>
        <rFont val="WenQuanYi Zen Hei"/>
        <family val="2"/>
      </rPr>
      <t xml:space="preserve">월 교육장 임차료 분담분 입금</t>
    </r>
  </si>
  <si>
    <t xml:space="preserve">교육원 시트에는 「타사업자 정산지출」로 적혀 있습니다</t>
  </si>
  <si>
    <r>
      <rPr>
        <b val="true"/>
        <sz val="15"/>
        <color rgb="FF414042"/>
        <rFont val="WenQuanYi Zen Hei"/>
        <family val="2"/>
      </rPr>
      <t xml:space="preserve">통합 ② 월별 결산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통합서비스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</si>
  <si>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t xml:space="preserve">연도</t>
  </si>
  <si>
    <t xml:space="preserve">← 이 칸의 연도만 바꾸면 그 해 숫자가 나옵니다</t>
  </si>
  <si>
    <r>
      <rPr>
        <sz val="9.5"/>
        <color rgb="FF58595B"/>
        <rFont val="WenQuanYi Zen Hei"/>
        <family val="2"/>
      </rPr>
      <t xml:space="preserve">「통합 ① 거래입력」에서 자동으로 계산됩니다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손으로 고치지 마십시오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이 표에는 따사로운 통합서비스의 돈만 들어 있습니다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</si>
  <si>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월평균</t>
  </si>
  <si>
    <r>
      <rPr>
        <sz val="10"/>
        <color rgb="FF414042"/>
        <rFont val="WenQuanYi Zen Hei"/>
        <family val="2"/>
      </rPr>
      <t xml:space="preserve">바우처수입</t>
    </r>
    <r>
      <rPr>
        <sz val="10"/>
        <color rgb="FF414042"/>
        <rFont val="맑은 고딕"/>
        <family val="0"/>
        <charset val="1"/>
      </rPr>
      <t xml:space="preserve">-</t>
    </r>
    <r>
      <rPr>
        <sz val="10"/>
        <color rgb="FF414042"/>
        <rFont val="WenQuanYi Zen Hei"/>
        <family val="2"/>
      </rPr>
      <t xml:space="preserve">가사서비스</t>
    </r>
  </si>
  <si>
    <r>
      <rPr>
        <sz val="10"/>
        <color rgb="FF414042"/>
        <rFont val="WenQuanYi Zen Hei"/>
        <family val="2"/>
      </rPr>
      <t xml:space="preserve">바우처수입</t>
    </r>
    <r>
      <rPr>
        <sz val="10"/>
        <color rgb="FF414042"/>
        <rFont val="맑은 고딕"/>
        <family val="0"/>
        <charset val="1"/>
      </rPr>
      <t xml:space="preserve">-</t>
    </r>
    <r>
      <rPr>
        <sz val="10"/>
        <color rgb="FF414042"/>
        <rFont val="WenQuanYi Zen Hei"/>
        <family val="2"/>
      </rPr>
      <t xml:space="preserve">영유아</t>
    </r>
  </si>
  <si>
    <r>
      <rPr>
        <sz val="10"/>
        <color rgb="FF414042"/>
        <rFont val="WenQuanYi Zen Hei"/>
        <family val="2"/>
      </rPr>
      <t xml:space="preserve">바우처수입</t>
    </r>
    <r>
      <rPr>
        <sz val="10"/>
        <color rgb="FF414042"/>
        <rFont val="맑은 고딕"/>
        <family val="0"/>
        <charset val="1"/>
      </rPr>
      <t xml:space="preserve">-</t>
    </r>
    <r>
      <rPr>
        <sz val="10"/>
        <color rgb="FF414042"/>
        <rFont val="WenQuanYi Zen Hei"/>
        <family val="2"/>
      </rPr>
      <t xml:space="preserve">정리수납</t>
    </r>
  </si>
  <si>
    <t xml:space="preserve">본인부담금</t>
  </si>
  <si>
    <r>
      <rPr>
        <sz val="10"/>
        <color rgb="FF414042"/>
        <rFont val="WenQuanYi Zen Hei"/>
        <family val="2"/>
      </rPr>
      <t xml:space="preserve">보조금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지원금</t>
    </r>
  </si>
  <si>
    <t xml:space="preserve">이자수입</t>
  </si>
  <si>
    <t xml:space="preserve">기타수입</t>
  </si>
  <si>
    <t xml:space="preserve">수입 소계</t>
  </si>
  <si>
    <t xml:space="preserve">고정지출</t>
  </si>
  <si>
    <r>
      <rPr>
        <sz val="10"/>
        <color rgb="FF414042"/>
        <rFont val="WenQuanYi Zen Hei"/>
        <family val="2"/>
      </rPr>
      <t xml:space="preserve">급여</t>
    </r>
    <r>
      <rPr>
        <sz val="10"/>
        <color rgb="FF414042"/>
        <rFont val="맑은 고딕"/>
        <family val="0"/>
        <charset val="1"/>
      </rPr>
      <t xml:space="preserve">(</t>
    </r>
    <r>
      <rPr>
        <sz val="10"/>
        <color rgb="FF414042"/>
        <rFont val="WenQuanYi Zen Hei"/>
        <family val="2"/>
      </rPr>
      <t xml:space="preserve">직원</t>
    </r>
    <r>
      <rPr>
        <sz val="10"/>
        <color rgb="FF414042"/>
        <rFont val="맑은 고딕"/>
        <family val="0"/>
        <charset val="1"/>
      </rPr>
      <t xml:space="preserve">)</t>
    </r>
  </si>
  <si>
    <t xml:space="preserve">퇴직급여</t>
  </si>
  <si>
    <t xml:space="preserve">관리비</t>
  </si>
  <si>
    <t xml:space="preserve">보험료</t>
  </si>
  <si>
    <t xml:space="preserve">세무기장료</t>
  </si>
  <si>
    <r>
      <rPr>
        <sz val="10"/>
        <color rgb="FF414042"/>
        <rFont val="WenQuanYi Zen Hei"/>
        <family val="2"/>
      </rPr>
      <t xml:space="preserve">소프트웨어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구독료</t>
    </r>
  </si>
  <si>
    <t xml:space="preserve">차량유지비</t>
  </si>
  <si>
    <t xml:space="preserve">고정지출 소계</t>
  </si>
  <si>
    <t xml:space="preserve">변동지출</t>
  </si>
  <si>
    <t xml:space="preserve">소모품비</t>
  </si>
  <si>
    <t xml:space="preserve">교육훈련비</t>
  </si>
  <si>
    <t xml:space="preserve">여비교통비</t>
  </si>
  <si>
    <t xml:space="preserve">복리후생비</t>
  </si>
  <si>
    <t xml:space="preserve">접대비</t>
  </si>
  <si>
    <t xml:space="preserve">광고선전비</t>
  </si>
  <si>
    <t xml:space="preserve">지급수수료</t>
  </si>
  <si>
    <t xml:space="preserve">수도광열비</t>
  </si>
  <si>
    <t xml:space="preserve">세금과공과</t>
  </si>
  <si>
    <t xml:space="preserve">수선비</t>
  </si>
  <si>
    <t xml:space="preserve">타사업자 정산지출</t>
  </si>
  <si>
    <t xml:space="preserve">잡비</t>
  </si>
  <si>
    <t xml:space="preserve">변동지출 소계</t>
  </si>
  <si>
    <t xml:space="preserve">이익률</t>
  </si>
  <si>
    <r>
      <rPr>
        <sz val="9.5"/>
        <color rgb="FF58595B"/>
        <rFont val="WenQuanYi Zen Hei"/>
        <family val="2"/>
      </rPr>
      <t xml:space="preserve">※ 계정과목 「계좌대체」는 통장 사이 이동이라 손익에 잡히지 않으므로 이 표에 없습니다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잔액은 ③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카드에서 확인하십시오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</si>
  <si>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WenQuanYi Zen Hei"/>
        <family val="2"/>
      </rPr>
      <t xml:space="preserve">※ 「월평균」은 금액이 있었던 달만 평균 낸 값입니다</t>
    </r>
    <r>
      <rPr>
        <sz val="9.5"/>
        <color rgb="FF58595B"/>
        <rFont val="맑은 고딕"/>
        <family val="0"/>
        <charset val="1"/>
      </rPr>
      <t xml:space="preserve">. 1</t>
    </r>
    <r>
      <rPr>
        <sz val="9.5"/>
        <color rgb="FF58595B"/>
        <rFont val="WenQuanYi Zen Hei"/>
        <family val="2"/>
      </rPr>
      <t xml:space="preserve">년에 한 번 나가는 비용이 </t>
    </r>
    <r>
      <rPr>
        <sz val="9.5"/>
        <color rgb="FF58595B"/>
        <rFont val="맑은 고딕"/>
        <family val="0"/>
        <charset val="1"/>
      </rPr>
      <t xml:space="preserve">12</t>
    </r>
    <r>
      <rPr>
        <sz val="9.5"/>
        <color rgb="FF58595B"/>
        <rFont val="WenQuanYi Zen Hei"/>
        <family val="2"/>
      </rPr>
      <t xml:space="preserve">로 나뉘어 작아 보이지 않게 하기 위함입니다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</si>
  <si>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WenQuanYi Zen Hei"/>
        <family val="2"/>
      </rPr>
      <t xml:space="preserve">※ 「타사업자 정산수입</t>
    </r>
    <r>
      <rPr>
        <sz val="9.5"/>
        <color rgb="FF58595B"/>
        <rFont val="맑은 고딕"/>
        <family val="0"/>
        <charset val="1"/>
      </rPr>
      <t xml:space="preserve">/</t>
    </r>
    <r>
      <rPr>
        <sz val="9.5"/>
        <color rgb="FF58595B"/>
        <rFont val="WenQuanYi Zen Hei"/>
        <family val="2"/>
      </rPr>
      <t xml:space="preserve">정산지출」은 다른 사업자와 실제로 오간 돈이라 손익에 들어갑니다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두 사업자 시트에 같은 금액이 반대로 적혀 있어야 합니다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</si>
  <si>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15"/>
        <color rgb="FF414042"/>
        <rFont val="WenQuanYi Zen Hei"/>
        <family val="2"/>
      </rPr>
      <t xml:space="preserve">통합 ③ 통장</t>
    </r>
    <r>
      <rPr>
        <b val="true"/>
        <sz val="15"/>
        <color rgb="FF414042"/>
        <rFont val="맑은 고딕"/>
        <family val="0"/>
        <charset val="1"/>
      </rPr>
      <t xml:space="preserve">·</t>
    </r>
    <r>
      <rPr>
        <b val="true"/>
        <sz val="15"/>
        <color rgb="FF414042"/>
        <rFont val="WenQuanYi Zen Hei"/>
        <family val="2"/>
      </rPr>
      <t xml:space="preserve">카드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통합서비스 명의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</si>
  <si>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기초잔액만 넣으시면 나머지는 「통합 ① 거래입력」에서 자동으로 따라옵니다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여기 </t>
    </r>
    <r>
      <rPr>
        <sz val="9.5"/>
        <color rgb="FF58595B"/>
        <rFont val="맑은 고딕"/>
        <family val="0"/>
        <charset val="1"/>
      </rPr>
      <t xml:space="preserve">A</t>
    </r>
    <r>
      <rPr>
        <sz val="9.5"/>
        <color rgb="FF58595B"/>
        <rFont val="WenQuanYi Zen Hei"/>
        <family val="2"/>
      </rPr>
      <t xml:space="preserve">열이 ①의 결제수단 드롭다운 원본입니다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다른 사업자 통장은 여기 적지 마십시오</t>
    </r>
    <r>
      <rPr>
        <sz val="9.5"/>
        <color rgb="FF58595B"/>
        <rFont val="맑은 고딕"/>
        <family val="0"/>
        <charset val="1"/>
      </rPr>
      <t xml:space="preserve">.</t>
    </r>
  </si>
  <si>
    <t xml:space="preserve">↓ 시작 잔액을 넣으십시오</t>
  </si>
  <si>
    <t xml:space="preserve">용도</t>
  </si>
  <si>
    <t xml:space="preserve">기초잔액</t>
  </si>
  <si>
    <t xml:space="preserve">수입 합계</t>
  </si>
  <si>
    <t xml:space="preserve">지출 합계</t>
  </si>
  <si>
    <t xml:space="preserve">카드 결제일</t>
  </si>
  <si>
    <t xml:space="preserve">카드 결제계좌</t>
  </si>
  <si>
    <t xml:space="preserve">통장</t>
  </si>
  <si>
    <t xml:space="preserve">전자바우처 정부지원금 전용</t>
  </si>
  <si>
    <r>
      <rPr>
        <sz val="9"/>
        <color rgb="FFA7A9AC"/>
        <rFont val="WenQuanYi Zen Hei"/>
        <family val="2"/>
      </rPr>
      <t xml:space="preserve">산모신생아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가사 등 바우처 정산금이 들어오는 통장</t>
    </r>
  </si>
  <si>
    <t xml:space="preserve">통합서비스 운영경비</t>
  </si>
  <si>
    <r>
      <rPr>
        <sz val="9"/>
        <color rgb="FFA7A9AC"/>
        <rFont val="WenQuanYi Zen Hei"/>
        <family val="2"/>
      </rPr>
      <t xml:space="preserve">관리사 용역비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물품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공과금은 여기서 나갑니다</t>
    </r>
  </si>
  <si>
    <t xml:space="preserve">카드</t>
  </si>
  <si>
    <t xml:space="preserve">통합서비스 지출</t>
  </si>
  <si>
    <r>
      <rPr>
        <sz val="9.5"/>
        <color rgb="FF58595B"/>
        <rFont val="WenQuanYi Zen Hei"/>
        <family val="2"/>
      </rPr>
      <t xml:space="preserve">매월 </t>
    </r>
    <r>
      <rPr>
        <sz val="9.5"/>
        <color rgb="FF58595B"/>
        <rFont val="맑은 고딕"/>
        <family val="0"/>
        <charset val="1"/>
      </rPr>
      <t xml:space="preserve">__</t>
    </r>
    <r>
      <rPr>
        <sz val="9.5"/>
        <color rgb="FF58595B"/>
        <rFont val="WenQuanYi Zen Hei"/>
        <family val="2"/>
      </rPr>
      <t xml:space="preserve">일</t>
    </r>
  </si>
  <si>
    <r>
      <rPr>
        <b val="true"/>
        <sz val="10"/>
        <color rgb="FF414042"/>
        <rFont val="맑은 고딕"/>
        <family val="0"/>
        <charset val="1"/>
      </rPr>
      <t xml:space="preserve">BC</t>
    </r>
    <r>
      <rPr>
        <b val="true"/>
        <sz val="10"/>
        <color rgb="FF414042"/>
        <rFont val="WenQuanYi Zen Hei"/>
        <family val="2"/>
      </rPr>
      <t xml:space="preserve">카드</t>
    </r>
  </si>
  <si>
    <t xml:space="preserve">현금</t>
  </si>
  <si>
    <t xml:space="preserve">현금 지출</t>
  </si>
  <si>
    <r>
      <rPr>
        <sz val="9"/>
        <color rgb="FFA7A9AC"/>
        <rFont val="WenQuanYi Zen Hei"/>
        <family val="2"/>
      </rPr>
      <t xml:space="preserve">← 통합서비스 명의 통장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카드가 더 있으면 여기에 적으십시오</t>
    </r>
  </si>
  <si>
    <t xml:space="preserve">통장 합계</t>
  </si>
  <si>
    <t xml:space="preserve">카드 사용액 합계</t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</si>
  <si>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잔액이 빨갛게 뜨면 기초잔액을 아직 안 넣었거나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입력에서 빠진 줄이 있다는 뜻입니다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</si>
  <si>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기초잔액 </t>
    </r>
    <r>
      <rPr>
        <sz val="9.5"/>
        <color rgb="FF58595B"/>
        <rFont val="맑은 고딕"/>
        <family val="0"/>
        <charset val="1"/>
      </rPr>
      <t xml:space="preserve">= </t>
    </r>
    <r>
      <rPr>
        <sz val="9.5"/>
        <color rgb="FF58595B"/>
        <rFont val="WenQuanYi Zen Hei"/>
        <family val="2"/>
      </rPr>
      <t xml:space="preserve">이 회계부를 시작하는 날의 통장 잔액입니다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한 번만 넣으십시오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</si>
  <si>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카드는 잔액 개념이 없어 「사용액」이 뜹니다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결제일에 통장에서 빠져나가는 것은 따로 적지 않습니다 — 카드로 쓴 그 줄이 이미 지출로 잡혀 있습니다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</si>
  <si>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통장 실제 잔액과 여기 숫자가 다르면 ① 거래입력에 빠진 줄이 있다는 뜻입니다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매달 한 번 맞춰 보십시오 — 이것이 회계부의 핵심입니다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</si>
  <si>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「따사로운 통합서비스」 명의가 아닌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카드는 이 표에 넣지 마십시오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사업자가 다르면 시트가 다릅니다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</si>
  <si>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15"/>
        <color rgb="FF414042"/>
        <rFont val="WenQuanYi Zen Hei"/>
        <family val="2"/>
      </rPr>
      <t xml:space="preserve">통합 ④ 설정 — 계정과목표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통합서비스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</si>
  <si>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여기 목록이 「통합 ① 거래입력」의 드롭다운이 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과목을 더하거나 이름을 고치면 입력 화면에 바로 반영됩니다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이 표는 따사로운 통합서비스 전용입니다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</si>
  <si>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D24E2E"/>
        <rFont val="WenQuanYi Zen Hei"/>
        <family val="2"/>
      </rPr>
      <t xml:space="preserve">⚠ 계정과목 이름을 바꾸면</t>
    </r>
    <r>
      <rPr>
        <sz val="9.5"/>
        <color rgb="FFD24E2E"/>
        <rFont val="맑은 고딕"/>
        <family val="0"/>
        <charset val="1"/>
      </rPr>
      <t xml:space="preserve">, </t>
    </r>
    <r>
      <rPr>
        <sz val="9.5"/>
        <color rgb="FFD24E2E"/>
        <rFont val="WenQuanYi Zen Hei"/>
        <family val="2"/>
      </rPr>
      <t xml:space="preserve">이미 입력된 줄의 이름은 자동으로 바뀌지 않습니다</t>
    </r>
    <r>
      <rPr>
        <sz val="9.5"/>
        <color rgb="FFD24E2E"/>
        <rFont val="맑은 고딕"/>
        <family val="0"/>
        <charset val="1"/>
      </rPr>
      <t xml:space="preserve">. </t>
    </r>
    <r>
      <rPr>
        <sz val="9.5"/>
        <color rgb="FFD24E2E"/>
        <rFont val="WenQuanYi Zen Hei"/>
        <family val="2"/>
      </rPr>
      <t xml:space="preserve">바꾸기 전에 ① 시트에서 찾아 바꾸기</t>
    </r>
    <r>
      <rPr>
        <sz val="9.5"/>
        <color rgb="FFD24E2E"/>
        <rFont val="맑은 고딕"/>
        <family val="0"/>
        <charset val="1"/>
      </rPr>
      <t xml:space="preserve">(Ctrl+H)</t>
    </r>
    <r>
      <rPr>
        <sz val="9.5"/>
        <color rgb="FFD24E2E"/>
        <rFont val="WenQuanYi Zen Hei"/>
        <family val="2"/>
      </rPr>
      <t xml:space="preserve">를 먼저 하십시오</t>
    </r>
    <r>
      <rPr>
        <sz val="9.5"/>
        <color rgb="FFD24E2E"/>
        <rFont val="맑은 고딕"/>
        <family val="0"/>
        <charset val="1"/>
      </rPr>
      <t xml:space="preserve">.</t>
    </r>
  </si>
  <si>
    <r>
      <rPr>
        <sz val="9.5"/>
        <color rgb="FFD24E2E"/>
        <rFont val="WenQuanYi Zen Hei"/>
        <family val="2"/>
      </rPr>
      <t xml:space="preserve">⚠ 「바우처통장에서 쓸 수 있는가」에 ○ 표시가 없는 과목을 바우처통장으로 결제하면 ① 시트 점검 칸에 경고가 뜹니다</t>
    </r>
    <r>
      <rPr>
        <sz val="9.5"/>
        <color rgb="FFD24E2E"/>
        <rFont val="맑은 고딕"/>
        <family val="0"/>
        <charset val="1"/>
      </rPr>
      <t xml:space="preserve">. </t>
    </r>
    <r>
      <rPr>
        <sz val="9.5"/>
        <color rgb="FFD24E2E"/>
        <rFont val="WenQuanYi Zen Hei"/>
        <family val="2"/>
      </rPr>
      <t xml:space="preserve">지침에 맞게 ○를 켜고 끄십시오 — 지금 켜둔 것은 임시값입니다</t>
    </r>
    <r>
      <rPr>
        <sz val="9.5"/>
        <color rgb="FFD24E2E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</si>
  <si>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이런 것이 여기 들어갑니다</t>
    </r>
  </si>
  <si>
    <t xml:space="preserve">바우처통장에서
쓸 수 있는가</t>
  </si>
  <si>
    <r>
      <rPr>
        <sz val="9.5"/>
        <color rgb="FF58595B"/>
        <rFont val="WenQuanYi Zen Hei"/>
        <family val="2"/>
      </rPr>
      <t xml:space="preserve">정부지원금 입금분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바우처통장으로 들어옵니다</t>
    </r>
  </si>
  <si>
    <t xml:space="preserve">정부지원금 입금분</t>
  </si>
  <si>
    <t xml:space="preserve">계산서</t>
  </si>
  <si>
    <t xml:space="preserve">현금영수증</t>
  </si>
  <si>
    <t xml:space="preserve">이용자가 직접 낸 금액</t>
  </si>
  <si>
    <r>
      <rPr>
        <sz val="9.5"/>
        <color rgb="FF58595B"/>
        <rFont val="WenQuanYi Zen Hei"/>
        <family val="2"/>
      </rPr>
      <t xml:space="preserve">사업 공모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위탁 등 별도 지원금</t>
    </r>
  </si>
  <si>
    <t xml:space="preserve">간이영수증</t>
  </si>
  <si>
    <r>
      <rPr>
        <sz val="9.5"/>
        <color rgb="FF58595B"/>
        <rFont val="WenQuanYi Zen Hei"/>
        <family val="2"/>
      </rPr>
      <t xml:space="preserve">평생교육원이 나눠 내는 임차료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공과금 분담분 등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증빙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계산서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이체확인증</t>
    </r>
    <r>
      <rPr>
        <sz val="9.5"/>
        <color rgb="FF58595B"/>
        <rFont val="맑은 고딕"/>
        <family val="0"/>
        <charset val="1"/>
      </rPr>
      <t xml:space="preserve">)</t>
    </r>
    <r>
      <rPr>
        <sz val="9.5"/>
        <color rgb="FF58595B"/>
        <rFont val="WenQuanYi Zen Hei"/>
        <family val="2"/>
      </rPr>
      <t xml:space="preserve">을 반드시 남기십시오</t>
    </r>
  </si>
  <si>
    <t xml:space="preserve">없음</t>
  </si>
  <si>
    <t xml:space="preserve">통장 이자</t>
  </si>
  <si>
    <r>
      <rPr>
        <sz val="9.5"/>
        <color rgb="FF58595B"/>
        <rFont val="WenQuanYi Zen Hei"/>
        <family val="2"/>
      </rPr>
      <t xml:space="preserve">위에 없는 수입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적요에 내용을 반드시 적으십시오</t>
    </r>
  </si>
  <si>
    <r>
      <rPr>
        <sz val="9"/>
        <color rgb="FFA7A9AC"/>
        <rFont val="WenQuanYi Zen Hei"/>
        <family val="2"/>
      </rPr>
      <t xml:space="preserve">증빙이 없으면 </t>
    </r>
    <r>
      <rPr>
        <sz val="9"/>
        <color rgb="FFA7A9AC"/>
        <rFont val="맑은 고딕"/>
        <family val="0"/>
        <charset val="1"/>
      </rPr>
      <t xml:space="preserve">'</t>
    </r>
    <r>
      <rPr>
        <sz val="9"/>
        <color rgb="FFA7A9AC"/>
        <rFont val="WenQuanYi Zen Hei"/>
        <family val="2"/>
      </rPr>
      <t xml:space="preserve">없음</t>
    </r>
    <r>
      <rPr>
        <sz val="9"/>
        <color rgb="FFA7A9AC"/>
        <rFont val="맑은 고딕"/>
        <family val="0"/>
        <charset val="1"/>
      </rPr>
      <t xml:space="preserve">'</t>
    </r>
    <r>
      <rPr>
        <sz val="9"/>
        <color rgb="FFA7A9AC"/>
        <rFont val="WenQuanYi Zen Hei"/>
        <family val="2"/>
      </rPr>
      <t xml:space="preserve">을 고르고 비고에 사유를 적으십시오</t>
    </r>
  </si>
  <si>
    <t xml:space="preserve">고정</t>
  </si>
  <si>
    <t xml:space="preserve">내부 직원 급여</t>
  </si>
  <si>
    <r>
      <rPr>
        <sz val="9.5"/>
        <color rgb="FF58595B"/>
        <rFont val="맑은 고딕"/>
        <family val="0"/>
        <charset val="1"/>
      </rPr>
      <t xml:space="preserve">3.3% </t>
    </r>
    <r>
      <rPr>
        <sz val="9.5"/>
        <color rgb="FF58595B"/>
        <rFont val="WenQuanYi Zen Hei"/>
        <family val="2"/>
      </rPr>
      <t xml:space="preserve">사업소득 지급분</t>
    </r>
  </si>
  <si>
    <t xml:space="preserve">○</t>
  </si>
  <si>
    <r>
      <rPr>
        <sz val="9.5"/>
        <color rgb="FF58595B"/>
        <rFont val="WenQuanYi Zen Hei"/>
        <family val="2"/>
      </rPr>
      <t xml:space="preserve">사무실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교육원과 나눠 내면 「타사업자 정산」으로 받으십시오</t>
    </r>
    <r>
      <rPr>
        <sz val="9.5"/>
        <color rgb="FF58595B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</si>
  <si>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인터넷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전화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휴대폰</t>
    </r>
  </si>
  <si>
    <r>
      <rPr>
        <sz val="9.5"/>
        <color rgb="FF58595B"/>
        <rFont val="WenQuanYi Zen Hei"/>
        <family val="2"/>
      </rPr>
      <t xml:space="preserve">배상책임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상해보험</t>
    </r>
  </si>
  <si>
    <r>
      <rPr>
        <sz val="9.5"/>
        <color rgb="FF58595B"/>
        <rFont val="WenQuanYi Zen Hei"/>
        <family val="2"/>
      </rPr>
      <t xml:space="preserve">전산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클라우드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구독 서비스</t>
    </r>
  </si>
  <si>
    <r>
      <rPr>
        <sz val="9.5"/>
        <color rgb="FF58595B"/>
        <rFont val="WenQuanYi Zen Hei"/>
        <family val="2"/>
      </rPr>
      <t xml:space="preserve">리스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보험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정기분</t>
    </r>
  </si>
  <si>
    <t xml:space="preserve">변동</t>
  </si>
  <si>
    <r>
      <rPr>
        <sz val="9.5"/>
        <color rgb="FF58595B"/>
        <rFont val="WenQuanYi Zen Hei"/>
        <family val="2"/>
      </rPr>
      <t xml:space="preserve">수건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기저귀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세제 등 서비스 물품</t>
    </r>
  </si>
  <si>
    <t xml:space="preserve">사무용품 등</t>
  </si>
  <si>
    <r>
      <rPr>
        <sz val="9.5"/>
        <color rgb="FF58595B"/>
        <rFont val="WenQuanYi Zen Hei"/>
        <family val="2"/>
      </rPr>
      <t xml:space="preserve">관리사 보수교육 강사료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교재</t>
    </r>
  </si>
  <si>
    <r>
      <rPr>
        <sz val="9.5"/>
        <color rgb="FF58595B"/>
        <rFont val="WenQuanYi Zen Hei"/>
        <family val="2"/>
      </rPr>
      <t xml:space="preserve">출장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주차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유류</t>
    </r>
  </si>
  <si>
    <r>
      <rPr>
        <sz val="9.5"/>
        <color rgb="FF58595B"/>
        <rFont val="WenQuanYi Zen Hei"/>
        <family val="2"/>
      </rPr>
      <t xml:space="preserve">직원 식대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경조사</t>
    </r>
  </si>
  <si>
    <r>
      <rPr>
        <sz val="9.5"/>
        <color rgb="FF58595B"/>
        <rFont val="WenQuanYi Zen Hei"/>
        <family val="2"/>
      </rPr>
      <t xml:space="preserve">홍보물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온라인 광고</t>
    </r>
  </si>
  <si>
    <r>
      <rPr>
        <sz val="9.5"/>
        <color rgb="FF58595B"/>
        <rFont val="WenQuanYi Zen Hei"/>
        <family val="2"/>
      </rPr>
      <t xml:space="preserve">은행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플랫폼 수수료</t>
    </r>
  </si>
  <si>
    <r>
      <rPr>
        <sz val="9.5"/>
        <color rgb="FF58595B"/>
        <rFont val="WenQuanYi Zen Hei"/>
        <family val="2"/>
      </rPr>
      <t xml:space="preserve">전기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수도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가스</t>
    </r>
  </si>
  <si>
    <r>
      <rPr>
        <sz val="9.5"/>
        <color rgb="FF58595B"/>
        <rFont val="WenQuanYi Zen Hei"/>
        <family val="2"/>
      </rPr>
      <t xml:space="preserve">각종 세금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공과금</t>
    </r>
  </si>
  <si>
    <r>
      <rPr>
        <sz val="9.5"/>
        <color rgb="FF58595B"/>
        <rFont val="WenQuanYi Zen Hei"/>
        <family val="2"/>
      </rPr>
      <t xml:space="preserve">평생교육원에 보내는 분담금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정산금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증빙을 반드시 남기십시오</t>
    </r>
  </si>
  <si>
    <r>
      <rPr>
        <sz val="9.5"/>
        <color rgb="FF58595B"/>
        <rFont val="WenQuanYi Zen Hei"/>
        <family val="2"/>
      </rPr>
      <t xml:space="preserve">위에 없는 지출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적요를 반드시 적으십시오</t>
    </r>
  </si>
  <si>
    <t xml:space="preserve">대체</t>
  </si>
  <si>
    <r>
      <rPr>
        <sz val="9.5"/>
        <color rgb="FF58595B"/>
        <rFont val="WenQuanYi Zen Hei"/>
        <family val="2"/>
      </rPr>
      <t xml:space="preserve">통장 사이 이체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통합</t>
    </r>
    <r>
      <rPr>
        <sz val="9.5"/>
        <color rgb="FF58595B"/>
        <rFont val="맑은 고딕"/>
        <family val="0"/>
        <charset val="1"/>
      </rPr>
      <t xml:space="preserve">) / </t>
    </r>
    <r>
      <rPr>
        <sz val="9.5"/>
        <color rgb="FF58595B"/>
        <rFont val="WenQuanYi Zen Hei"/>
        <family val="2"/>
      </rPr>
      <t xml:space="preserve">현금 인출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입금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교육원</t>
    </r>
    <r>
      <rPr>
        <sz val="9.5"/>
        <color rgb="FF58595B"/>
        <rFont val="맑은 고딕"/>
        <family val="0"/>
        <charset val="1"/>
      </rPr>
      <t xml:space="preserve">). </t>
    </r>
    <r>
      <rPr>
        <sz val="9.5"/>
        <color rgb="FF58595B"/>
        <rFont val="WenQuanYi Zen Hei"/>
        <family val="2"/>
      </rPr>
      <t xml:space="preserve">손익에는 잡히지 않고 잔액만 움직입니다</t>
    </r>
  </si>
  <si>
    <t xml:space="preserve">따사로운 평생교육원 회계부</t>
  </si>
  <si>
    <r>
      <rPr>
        <b val="true"/>
        <sz val="10"/>
        <color rgb="FFD24E2E"/>
        <rFont val="WenQuanYi Zen Hei"/>
        <family val="2"/>
      </rPr>
      <t xml:space="preserve">교육원 ① 거래입력 — 따사로운 평생교육원 통장</t>
    </r>
    <r>
      <rPr>
        <b val="true"/>
        <sz val="10"/>
        <color rgb="FFD24E2E"/>
        <rFont val="맑은 고딕"/>
        <family val="0"/>
        <charset val="1"/>
      </rPr>
      <t xml:space="preserve">·</t>
    </r>
    <r>
      <rPr>
        <b val="true"/>
        <sz val="10"/>
        <color rgb="FFD24E2E"/>
        <rFont val="WenQuanYi Zen Hei"/>
        <family val="2"/>
      </rPr>
      <t xml:space="preserve">카드로 오간 돈만 이 시트에 적습니다</t>
    </r>
    <r>
      <rPr>
        <b val="true"/>
        <sz val="10"/>
        <color rgb="FFD24E2E"/>
        <rFont val="맑은 고딕"/>
        <family val="0"/>
        <charset val="1"/>
      </rPr>
      <t xml:space="preserve">. ②③</t>
    </r>
    <r>
      <rPr>
        <b val="true"/>
        <sz val="10"/>
        <color rgb="FFD24E2E"/>
        <rFont val="WenQuanYi Zen Hei"/>
        <family val="2"/>
      </rPr>
      <t xml:space="preserve">은 자동으로 계산됩니다</t>
    </r>
    <r>
      <rPr>
        <b val="true"/>
        <sz val="10"/>
        <color rgb="FFD24E2E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</si>
  <si>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1. </t>
    </r>
    <r>
      <rPr>
        <sz val="9.5"/>
        <color rgb="FF58595B"/>
        <rFont val="WenQuanYi Zen Hei"/>
        <family val="2"/>
      </rPr>
      <t xml:space="preserve">따사로운 평생교육원 명의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 내역을 내려받아 날짜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거래처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금액을 아래 표에 붙여 넣습니다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한 줄이 한 거래입니다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</si>
  <si>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맑은 고딕"/>
        <family val="0"/>
        <charset val="1"/>
      </rPr>
      <t xml:space="preserve">5. </t>
    </r>
    <r>
      <rPr>
        <sz val="9.5"/>
        <color rgb="FF58595B"/>
        <rFont val="WenQuanYi Zen Hei"/>
        <family val="2"/>
      </rPr>
      <t xml:space="preserve">현금 인출은 계정과목 「계좌대체」로 두 줄 — 교육원통장에 지출</t>
    </r>
    <r>
      <rPr>
        <sz val="9.5"/>
        <color rgb="FF58595B"/>
        <rFont val="맑은 고딕"/>
        <family val="0"/>
        <charset val="1"/>
      </rPr>
      <t xml:space="preserve">, </t>
    </r>
    <r>
      <rPr>
        <sz val="9.5"/>
        <color rgb="FF58595B"/>
        <rFont val="WenQuanYi Zen Hei"/>
        <family val="2"/>
      </rPr>
      <t xml:space="preserve">현금에 수입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손익에는 잡히지 않습니다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</si>
  <si>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9.5"/>
        <color rgb="FFD24E2E"/>
        <rFont val="맑은 고딕"/>
        <family val="0"/>
        <charset val="1"/>
      </rPr>
      <t xml:space="preserve">※ 15</t>
    </r>
    <r>
      <rPr>
        <b val="true"/>
        <sz val="9.5"/>
        <color rgb="FFD24E2E"/>
        <rFont val="WenQuanYi Zen Hei"/>
        <family val="2"/>
      </rPr>
      <t xml:space="preserve">행부터 </t>
    </r>
    <r>
      <rPr>
        <b val="true"/>
        <sz val="9.5"/>
        <color rgb="FFD24E2E"/>
        <rFont val="맑은 고딕"/>
        <family val="0"/>
        <charset val="1"/>
      </rPr>
      <t xml:space="preserve">7</t>
    </r>
    <r>
      <rPr>
        <b val="true"/>
        <sz val="9.5"/>
        <color rgb="FFD24E2E"/>
        <rFont val="WenQuanYi Zen Hei"/>
        <family val="2"/>
      </rPr>
      <t xml:space="preserve">줄은 형태를 보여드리는 예시입니다</t>
    </r>
    <r>
      <rPr>
        <b val="true"/>
        <sz val="9.5"/>
        <color rgb="FFD24E2E"/>
        <rFont val="맑은 고딕"/>
        <family val="0"/>
        <charset val="1"/>
      </rPr>
      <t xml:space="preserve">. </t>
    </r>
    <r>
      <rPr>
        <b val="true"/>
        <sz val="9.5"/>
        <color rgb="FFD24E2E"/>
        <rFont val="WenQuanYi Zen Hei"/>
        <family val="2"/>
      </rPr>
      <t xml:space="preserve">실제 내역을 넣기 전에 지우십시오</t>
    </r>
    <r>
      <rPr>
        <b val="true"/>
        <sz val="9.5"/>
        <color rgb="FFD24E2E"/>
        <rFont val="맑은 고딕"/>
        <family val="0"/>
        <charset val="1"/>
      </rPr>
      <t xml:space="preserve">.</t>
    </r>
  </si>
  <si>
    <t xml:space="preserve">교육원통장</t>
  </si>
  <si>
    <t xml:space="preserve">수강료수입</t>
  </si>
  <si>
    <r>
      <rPr>
        <sz val="10"/>
        <color rgb="FF414042"/>
        <rFont val="WenQuanYi Zen Hei"/>
        <family val="2"/>
      </rPr>
      <t xml:space="preserve">김○○ 외 </t>
    </r>
    <r>
      <rPr>
        <sz val="10"/>
        <color rgb="FF414042"/>
        <rFont val="맑은 고딕"/>
        <family val="0"/>
        <charset val="1"/>
      </rPr>
      <t xml:space="preserve">6</t>
    </r>
    <r>
      <rPr>
        <sz val="10"/>
        <color rgb="FF414042"/>
        <rFont val="WenQuanYi Zen Hei"/>
        <family val="2"/>
      </rPr>
      <t xml:space="preserve">명</t>
    </r>
  </si>
  <si>
    <r>
      <rPr>
        <sz val="10"/>
        <color rgb="FF414042"/>
        <rFont val="맑은 고딕"/>
        <family val="0"/>
        <charset val="1"/>
      </rPr>
      <t xml:space="preserve">2026-2</t>
    </r>
    <r>
      <rPr>
        <sz val="10"/>
        <color rgb="FF414042"/>
        <rFont val="WenQuanYi Zen Hei"/>
        <family val="2"/>
      </rPr>
      <t xml:space="preserve">기 가사관리사 수강료</t>
    </r>
  </si>
  <si>
    <t xml:space="preserve">강사료</t>
  </si>
  <si>
    <t xml:space="preserve">박○○ 강사</t>
  </si>
  <si>
    <r>
      <rPr>
        <sz val="10"/>
        <color rgb="FF414042"/>
        <rFont val="WenQuanYi Zen Hei"/>
        <family val="2"/>
      </rPr>
      <t xml:space="preserve">이유식 실습 </t>
    </r>
    <r>
      <rPr>
        <sz val="10"/>
        <color rgb="FF414042"/>
        <rFont val="맑은 고딕"/>
        <family val="0"/>
        <charset val="1"/>
      </rPr>
      <t xml:space="preserve">4</t>
    </r>
    <r>
      <rPr>
        <sz val="10"/>
        <color rgb="FF414042"/>
        <rFont val="WenQuanYi Zen Hei"/>
        <family val="2"/>
      </rPr>
      <t xml:space="preserve">시간</t>
    </r>
  </si>
  <si>
    <r>
      <rPr>
        <sz val="10"/>
        <color rgb="FF414042"/>
        <rFont val="WenQuanYi Zen Hei"/>
        <family val="2"/>
      </rPr>
      <t xml:space="preserve">교육</t>
    </r>
    <r>
      <rPr>
        <sz val="10"/>
        <color rgb="FF414042"/>
        <rFont val="맑은 고딕"/>
        <family val="0"/>
        <charset val="1"/>
      </rPr>
      <t xml:space="preserve">·</t>
    </r>
    <r>
      <rPr>
        <sz val="10"/>
        <color rgb="FF414042"/>
        <rFont val="WenQuanYi Zen Hei"/>
        <family val="2"/>
      </rPr>
      <t xml:space="preserve">교재비</t>
    </r>
  </si>
  <si>
    <t xml:space="preserve">○○인쇄</t>
  </si>
  <si>
    <r>
      <rPr>
        <sz val="10"/>
        <color rgb="FF414042"/>
        <rFont val="맑은 고딕"/>
        <family val="0"/>
        <charset val="1"/>
      </rPr>
      <t xml:space="preserve">2026-2</t>
    </r>
    <r>
      <rPr>
        <sz val="10"/>
        <color rgb="FF414042"/>
        <rFont val="WenQuanYi Zen Hei"/>
        <family val="2"/>
      </rPr>
      <t xml:space="preserve">기 교재 </t>
    </r>
    <r>
      <rPr>
        <sz val="10"/>
        <color rgb="FF414042"/>
        <rFont val="맑은 고딕"/>
        <family val="0"/>
        <charset val="1"/>
      </rPr>
      <t xml:space="preserve">30</t>
    </r>
    <r>
      <rPr>
        <sz val="10"/>
        <color rgb="FF414042"/>
        <rFont val="WenQuanYi Zen Hei"/>
        <family val="2"/>
      </rPr>
      <t xml:space="preserve">부</t>
    </r>
  </si>
  <si>
    <r>
      <rPr>
        <sz val="10"/>
        <color rgb="FF414042"/>
        <rFont val="맑은 고딕"/>
        <family val="0"/>
        <charset val="1"/>
      </rPr>
      <t xml:space="preserve">ATM </t>
    </r>
    <r>
      <rPr>
        <sz val="10"/>
        <color rgb="FF414042"/>
        <rFont val="WenQuanYi Zen Hei"/>
        <family val="2"/>
      </rPr>
      <t xml:space="preserve">인출</t>
    </r>
  </si>
  <si>
    <t xml:space="preserve">교육원통장 → 현금 소액 인출</t>
  </si>
  <si>
    <t xml:space="preserve">편의점</t>
  </si>
  <si>
    <r>
      <rPr>
        <sz val="10"/>
        <color rgb="FF414042"/>
        <rFont val="WenQuanYi Zen Hei"/>
        <family val="2"/>
      </rPr>
      <t xml:space="preserve">교육장 비품 </t>
    </r>
    <r>
      <rPr>
        <sz val="10"/>
        <color rgb="FF414042"/>
        <rFont val="맑은 고딕"/>
        <family val="0"/>
        <charset val="1"/>
      </rPr>
      <t xml:space="preserve">(</t>
    </r>
    <r>
      <rPr>
        <sz val="10"/>
        <color rgb="FF414042"/>
        <rFont val="WenQuanYi Zen Hei"/>
        <family val="2"/>
      </rPr>
      <t xml:space="preserve">영수증 분실</t>
    </r>
    <r>
      <rPr>
        <sz val="10"/>
        <color rgb="FF414042"/>
        <rFont val="맑은 고딕"/>
        <family val="0"/>
        <charset val="1"/>
      </rPr>
      <t xml:space="preserve">)</t>
    </r>
  </si>
  <si>
    <t xml:space="preserve">증빙 재발급 요청함</t>
  </si>
  <si>
    <r>
      <rPr>
        <sz val="10"/>
        <color rgb="FF414042"/>
        <rFont val="맑은 고딕"/>
        <family val="0"/>
        <charset val="1"/>
      </rPr>
      <t xml:space="preserve">9</t>
    </r>
    <r>
      <rPr>
        <sz val="10"/>
        <color rgb="FF414042"/>
        <rFont val="WenQuanYi Zen Hei"/>
        <family val="2"/>
      </rPr>
      <t xml:space="preserve">월 교육장 임차료 분담분 송금</t>
    </r>
  </si>
  <si>
    <t xml:space="preserve">통합 시트에는 「타사업자 정산수입」으로 적혀 있습니다</t>
  </si>
  <si>
    <r>
      <rPr>
        <b val="true"/>
        <sz val="15"/>
        <color rgb="FF414042"/>
        <rFont val="WenQuanYi Zen Hei"/>
        <family val="2"/>
      </rPr>
      <t xml:space="preserve">교육원 ② 월별 결산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평생교육원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</si>
  <si>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「교육원 ① 거래입력」에서 자동으로 계산됩니다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손으로 고치지 마십시오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이 표에는 따사로운 평생교육원의 돈만 들어 있습니다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</si>
  <si>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10"/>
        <color rgb="FF414042"/>
        <rFont val="WenQuanYi Zen Hei"/>
        <family val="2"/>
      </rPr>
      <t xml:space="preserve">훈련비수입</t>
    </r>
    <r>
      <rPr>
        <sz val="10"/>
        <color rgb="FF414042"/>
        <rFont val="맑은 고딕"/>
        <family val="0"/>
        <charset val="1"/>
      </rPr>
      <t xml:space="preserve">(HRD)</t>
    </r>
  </si>
  <si>
    <t xml:space="preserve">교재비수입</t>
  </si>
  <si>
    <t xml:space="preserve">실습재료비</t>
  </si>
  <si>
    <r>
      <rPr>
        <b val="true"/>
        <sz val="15"/>
        <color rgb="FF414042"/>
        <rFont val="WenQuanYi Zen Hei"/>
        <family val="2"/>
      </rPr>
      <t xml:space="preserve">교육원 ③ 통장</t>
    </r>
    <r>
      <rPr>
        <b val="true"/>
        <sz val="15"/>
        <color rgb="FF414042"/>
        <rFont val="맑은 고딕"/>
        <family val="0"/>
        <charset val="1"/>
      </rPr>
      <t xml:space="preserve">·</t>
    </r>
    <r>
      <rPr>
        <b val="true"/>
        <sz val="15"/>
        <color rgb="FF414042"/>
        <rFont val="WenQuanYi Zen Hei"/>
        <family val="2"/>
      </rPr>
      <t xml:space="preserve">카드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평생교육원 명의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</si>
  <si>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기초잔액만 넣으시면 나머지는 「교육원 ① 거래입력」에서 자동으로 따라옵니다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여기 </t>
    </r>
    <r>
      <rPr>
        <sz val="9.5"/>
        <color rgb="FF58595B"/>
        <rFont val="맑은 고딕"/>
        <family val="0"/>
        <charset val="1"/>
      </rPr>
      <t xml:space="preserve">A</t>
    </r>
    <r>
      <rPr>
        <sz val="9.5"/>
        <color rgb="FF58595B"/>
        <rFont val="WenQuanYi Zen Hei"/>
        <family val="2"/>
      </rPr>
      <t xml:space="preserve">열이 ①의 결제수단 드롭다운 원본입니다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다른 사업자 통장은 여기 적지 마십시오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</si>
  <si>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WenQuanYi Zen Hei"/>
        <family val="2"/>
      </rPr>
      <t xml:space="preserve">수강료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훈련비 수입과 교육원 경비 전부</t>
    </r>
  </si>
  <si>
    <r>
      <rPr>
        <sz val="9"/>
        <color rgb="FFA7A9AC"/>
        <rFont val="WenQuanYi Zen Hei"/>
        <family val="2"/>
      </rPr>
      <t xml:space="preserve">교육원은 이 통장 하나로 수입</t>
    </r>
    <r>
      <rPr>
        <sz val="9"/>
        <color rgb="FFA7A9AC"/>
        <rFont val="맑은 고딕"/>
        <family val="0"/>
        <charset val="1"/>
      </rPr>
      <t xml:space="preserve">·</t>
    </r>
    <r>
      <rPr>
        <sz val="9"/>
        <color rgb="FFA7A9AC"/>
        <rFont val="WenQuanYi Zen Hei"/>
        <family val="2"/>
      </rPr>
      <t xml:space="preserve">지출을 관리합니다</t>
    </r>
  </si>
  <si>
    <r>
      <rPr>
        <sz val="9"/>
        <color rgb="FFA7A9AC"/>
        <rFont val="WenQuanYi Zen Hei"/>
        <family val="2"/>
      </rPr>
      <t xml:space="preserve">← 교육원 명의 카드가 있으면 여기에 적으십시오 </t>
    </r>
    <r>
      <rPr>
        <sz val="9"/>
        <color rgb="FFA7A9AC"/>
        <rFont val="맑은 고딕"/>
        <family val="0"/>
        <charset val="1"/>
      </rPr>
      <t xml:space="preserve">(</t>
    </r>
    <r>
      <rPr>
        <sz val="9"/>
        <color rgb="FFA7A9AC"/>
        <rFont val="WenQuanYi Zen Hei"/>
        <family val="2"/>
      </rPr>
      <t xml:space="preserve">구분</t>
    </r>
    <r>
      <rPr>
        <sz val="9"/>
        <color rgb="FFA7A9AC"/>
        <rFont val="맑은 고딕"/>
        <family val="0"/>
        <charset val="1"/>
      </rPr>
      <t xml:space="preserve">: </t>
    </r>
    <r>
      <rPr>
        <sz val="9"/>
        <color rgb="FFA7A9AC"/>
        <rFont val="WenQuanYi Zen Hei"/>
        <family val="2"/>
      </rPr>
      <t xml:space="preserve">카드</t>
    </r>
    <r>
      <rPr>
        <sz val="9"/>
        <color rgb="FFA7A9AC"/>
        <rFont val="맑은 고딕"/>
        <family val="0"/>
        <charset val="1"/>
      </rPr>
      <t xml:space="preserve">, </t>
    </r>
    <r>
      <rPr>
        <sz val="9"/>
        <color rgb="FFA7A9AC"/>
        <rFont val="WenQuanYi Zen Hei"/>
        <family val="2"/>
      </rPr>
      <t xml:space="preserve">결제계좌</t>
    </r>
    <r>
      <rPr>
        <sz val="9"/>
        <color rgb="FFA7A9AC"/>
        <rFont val="맑은 고딕"/>
        <family val="0"/>
        <charset val="1"/>
      </rPr>
      <t xml:space="preserve">: </t>
    </r>
    <r>
      <rPr>
        <sz val="9"/>
        <color rgb="FFA7A9AC"/>
        <rFont val="WenQuanYi Zen Hei"/>
        <family val="2"/>
      </rPr>
      <t xml:space="preserve">교육원통장</t>
    </r>
    <r>
      <rPr>
        <sz val="9"/>
        <color rgb="FFA7A9AC"/>
        <rFont val="맑은 고딕"/>
        <family val="0"/>
        <charset val="1"/>
      </rPr>
      <t xml:space="preserve">)</t>
    </r>
  </si>
  <si>
    <r>
      <rPr>
        <sz val="9.5"/>
        <color rgb="FF58595B"/>
        <rFont val="맑은 고딕"/>
        <family val="0"/>
        <charset val="1"/>
      </rPr>
      <t xml:space="preserve">· </t>
    </r>
    <r>
      <rPr>
        <sz val="9.5"/>
        <color rgb="FF58595B"/>
        <rFont val="WenQuanYi Zen Hei"/>
        <family val="2"/>
      </rPr>
      <t xml:space="preserve">「따사로운 평생교육원」 명의가 아닌 통장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카드는 이 표에 넣지 마십시오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사업자가 다르면 시트가 다릅니다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</si>
  <si>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15"/>
        <color rgb="FF414042"/>
        <rFont val="WenQuanYi Zen Hei"/>
        <family val="2"/>
      </rPr>
      <t xml:space="preserve">교육원 ④ 설정 — 계정과목표 </t>
    </r>
    <r>
      <rPr>
        <b val="true"/>
        <sz val="15"/>
        <color rgb="FF414042"/>
        <rFont val="맑은 고딕"/>
        <family val="0"/>
        <charset val="1"/>
      </rPr>
      <t xml:space="preserve">(</t>
    </r>
    <r>
      <rPr>
        <b val="true"/>
        <sz val="15"/>
        <color rgb="FF414042"/>
        <rFont val="WenQuanYi Zen Hei"/>
        <family val="2"/>
      </rPr>
      <t xml:space="preserve">따사로운 평생교육원</t>
    </r>
    <r>
      <rPr>
        <b val="true"/>
        <sz val="15"/>
        <color rgb="FF414042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</si>
  <si>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여기 목록이 「교육원 ① 거래입력」의 드롭다운이 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과목을 더하거나 이름을 고치면 입력 화면에 바로 반영됩니다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이 표는 따사로운 평생교육원 전용입니다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</si>
  <si>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sz val="9.5"/>
        <color rgb="FF58595B"/>
        <rFont val="WenQuanYi Zen Hei"/>
        <family val="2"/>
      </rPr>
      <t xml:space="preserve">※ 교육원은 통장이 하나라 「계좌대체」는 현금 인출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입금에만 씁니다</t>
    </r>
    <r>
      <rPr>
        <sz val="9.5"/>
        <color rgb="FF58595B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</si>
  <si>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사용 안 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</si>
  <si>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교육원 과정 수강료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이용자 납부분</t>
    </r>
    <r>
      <rPr>
        <sz val="9.5"/>
        <color rgb="FF58595B"/>
        <rFont val="맑은 고딕"/>
        <family val="0"/>
        <charset val="1"/>
      </rPr>
      <t xml:space="preserve">)</t>
    </r>
  </si>
  <si>
    <t xml:space="preserve">내일배움카드 등 고용노동부 훈련비 지원금</t>
  </si>
  <si>
    <t xml:space="preserve">교재 판매분</t>
  </si>
  <si>
    <r>
      <rPr>
        <sz val="9.5"/>
        <color rgb="FF58595B"/>
        <rFont val="WenQuanYi Zen Hei"/>
        <family val="2"/>
      </rPr>
      <t xml:space="preserve">통합서비스가 나눠 내는 분담분 등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증빙을 반드시 남기십시오</t>
    </r>
  </si>
  <si>
    <t xml:space="preserve">교육원 직원 급여</t>
  </si>
  <si>
    <r>
      <rPr>
        <sz val="9.5"/>
        <color rgb="FF58595B"/>
        <rFont val="WenQuanYi Zen Hei"/>
        <family val="2"/>
      </rPr>
      <t xml:space="preserve">교육장 </t>
    </r>
    <r>
      <rPr>
        <sz val="9.5"/>
        <color rgb="FF58595B"/>
        <rFont val="맑은 고딕"/>
        <family val="0"/>
        <charset val="1"/>
      </rPr>
      <t xml:space="preserve">(</t>
    </r>
    <r>
      <rPr>
        <sz val="9.5"/>
        <color rgb="FF58595B"/>
        <rFont val="WenQuanYi Zen Hei"/>
        <family val="2"/>
      </rPr>
      <t xml:space="preserve">통합서비스와 나눠 내면 「타사업자 정산지출」로 보내십시오</t>
    </r>
    <r>
      <rPr>
        <sz val="9.5"/>
        <color rgb="FF58595B"/>
        <rFont val="맑은 고딕"/>
        <family val="0"/>
        <charset val="1"/>
      </rPr>
      <t xml:space="preserve">)</t>
    </r>
  </si>
  <si>
    <r>
      <rPr>
        <sz val="9.5"/>
        <color rgb="FF58595B"/>
        <rFont val="WenQuanYi Zen Hei"/>
        <family val="2"/>
      </rPr>
      <t xml:space="preserve">인터넷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전화</t>
    </r>
  </si>
  <si>
    <r>
      <rPr>
        <sz val="9.5"/>
        <color rgb="FF58595B"/>
        <rFont val="맑은 고딕"/>
        <family val="0"/>
        <charset val="1"/>
      </rPr>
      <t xml:space="preserve">LMS·</t>
    </r>
    <r>
      <rPr>
        <sz val="9.5"/>
        <color rgb="FF58595B"/>
        <rFont val="WenQuanYi Zen Hei"/>
        <family val="2"/>
      </rPr>
      <t xml:space="preserve">전산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구독 서비스</t>
    </r>
  </si>
  <si>
    <t xml:space="preserve">외부 강사</t>
  </si>
  <si>
    <r>
      <rPr>
        <sz val="9.5"/>
        <color rgb="FF58595B"/>
        <rFont val="WenQuanYi Zen Hei"/>
        <family val="2"/>
      </rPr>
      <t xml:space="preserve">교재 구입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인쇄</t>
    </r>
  </si>
  <si>
    <r>
      <rPr>
        <sz val="9.5"/>
        <color rgb="FF58595B"/>
        <rFont val="WenQuanYi Zen Hei"/>
        <family val="2"/>
      </rPr>
      <t xml:space="preserve">실습용 재료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소모품</t>
    </r>
  </si>
  <si>
    <r>
      <rPr>
        <sz val="9.5"/>
        <color rgb="FF58595B"/>
        <rFont val="WenQuanYi Zen Hei"/>
        <family val="2"/>
      </rPr>
      <t xml:space="preserve">모집 홍보물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온라인 광고</t>
    </r>
  </si>
  <si>
    <r>
      <rPr>
        <sz val="9.5"/>
        <color rgb="FF58595B"/>
        <rFont val="WenQuanYi Zen Hei"/>
        <family val="2"/>
      </rPr>
      <t xml:space="preserve">은행</t>
    </r>
    <r>
      <rPr>
        <sz val="9.5"/>
        <color rgb="FF58595B"/>
        <rFont val="맑은 고딕"/>
        <family val="0"/>
        <charset val="1"/>
      </rPr>
      <t xml:space="preserve">·</t>
    </r>
    <r>
      <rPr>
        <sz val="9.5"/>
        <color rgb="FF58595B"/>
        <rFont val="WenQuanYi Zen Hei"/>
        <family val="2"/>
      </rPr>
      <t xml:space="preserve">플랫폼 수수료</t>
    </r>
  </si>
  <si>
    <r>
      <rPr>
        <sz val="9.5"/>
        <color rgb="FF58595B"/>
        <rFont val="WenQuanYi Zen Hei"/>
        <family val="2"/>
      </rPr>
      <t xml:space="preserve">통합서비스에 보내는 임차료 분담금 등</t>
    </r>
    <r>
      <rPr>
        <sz val="9.5"/>
        <color rgb="FF58595B"/>
        <rFont val="맑은 고딕"/>
        <family val="0"/>
        <charset val="1"/>
      </rPr>
      <t xml:space="preserve">. </t>
    </r>
    <r>
      <rPr>
        <sz val="9.5"/>
        <color rgb="FF58595B"/>
        <rFont val="WenQuanYi Zen Hei"/>
        <family val="2"/>
      </rPr>
      <t xml:space="preserve">증빙을 반드시 남기십시오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</si>
</sst>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-#,##0;\-"/>
    <numFmt numFmtId="166" formatCode="0"/>
    <numFmt numFmtId="167" formatCode="General"/>
    <numFmt numFmtId="168" formatCode="yyyy\-mm\-dd"/>
    <numFmt numFmtId="169" formatCode="0.0%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14042"/>
      <name val="WenQuanYi Zen Hei"/>
      <family val="2"/>
    </font>
    <font>
      <sz val="9.5"/>
      <color rgb="FF58595B"/>
      <name val="WenQuanYi Zen Hei"/>
      <family val="2"/>
    </font>
    <font>
      <sz val="9.5"/>
      <color rgb="FF58595B"/>
      <name val="맑은 고딕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414042"/>
      <name val="WenQuanYi Zen Hei"/>
      <family val="2"/>
    </font>
    <font>
      <sz val="10"/>
      <color rgb="FF58595B"/>
      <name val="WenQuanYi Zen Hei"/>
      <family val="2"/>
    </font>
    <font>
      <b val="true"/>
      <sz val="10"/>
      <color rgb="FF0E6B45"/>
      <name val="맑은 고딕"/>
      <family val="0"/>
      <charset val="1"/>
    </font>
    <font>
      <b val="true"/>
      <sz val="10"/>
      <color rgb="FF58595B"/>
      <name val="맑은 고딕"/>
      <family val="0"/>
      <charset val="1"/>
    </font>
    <font>
      <sz val="10"/>
      <color rgb="FF58595B"/>
      <name val="맑은 고딕"/>
      <family val="0"/>
      <charset val="1"/>
    </font>
    <font>
      <b val="true"/>
      <sz val="10"/>
      <color rgb="FFD24E2E"/>
      <name val="맑은 고딕"/>
      <family val="0"/>
      <charset val="1"/>
    </font>
    <font>
      <sz val="9"/>
      <color rgb="FFA7A9AC"/>
      <name val="WenQuanYi Zen Hei"/>
      <family val="2"/>
    </font>
    <font>
      <sz val="9"/>
      <color rgb="FFA7A9AC"/>
      <name val="맑은 고딕"/>
      <family val="0"/>
      <charset val="1"/>
    </font>
    <font>
      <b val="true"/>
      <sz val="12"/>
      <color rgb="FF414042"/>
      <name val="WenQuanYi Zen Hei"/>
      <family val="2"/>
    </font>
    <font>
      <b val="true"/>
      <sz val="12"/>
      <color rgb="FF414042"/>
      <name val="맑은 고딕"/>
      <family val="0"/>
      <charset val="1"/>
    </font>
    <font>
      <b val="true"/>
      <sz val="10"/>
      <color rgb="FF414042"/>
      <name val="맑은 고딕"/>
      <family val="0"/>
      <charset val="1"/>
    </font>
    <font>
      <sz val="10"/>
      <color rgb="FF414042"/>
      <name val="맑은 고딕"/>
      <family val="0"/>
      <charset val="1"/>
    </font>
    <font>
      <b val="true"/>
      <sz val="11"/>
      <color rgb="FF414042"/>
      <name val="맑은 고딕"/>
      <family val="0"/>
      <charset val="1"/>
    </font>
    <font>
      <sz val="10"/>
      <color rgb="FF414042"/>
      <name val="WenQuanYi Zen Hei"/>
      <family val="2"/>
    </font>
    <font>
      <b val="true"/>
      <sz val="10"/>
      <color rgb="FFD24E2E"/>
      <name val="WenQuanYi Zen Hei"/>
      <family val="2"/>
    </font>
    <font>
      <b val="true"/>
      <sz val="11"/>
      <color rgb="FF414042"/>
      <name val="WenQuanYi Zen Hei"/>
      <family val="2"/>
    </font>
    <font>
      <b val="true"/>
      <sz val="11"/>
      <color rgb="FFD24E2E"/>
      <name val="맑은 고딕"/>
      <family val="0"/>
      <charset val="1"/>
    </font>
    <font>
      <b val="true"/>
      <sz val="11"/>
      <color rgb="FF0E6B45"/>
      <name val="맑은 고딕"/>
      <family val="0"/>
      <charset val="1"/>
    </font>
    <font>
      <b val="true"/>
      <sz val="11"/>
      <color rgb="FFA82219"/>
      <name val="맑은 고딕"/>
      <family val="0"/>
      <charset val="1"/>
    </font>
    <font>
      <b val="true"/>
      <sz val="9.5"/>
      <color rgb="FFD24E2E"/>
      <name val="맑은 고딕"/>
      <family val="0"/>
      <charset val="1"/>
    </font>
    <font>
      <b val="true"/>
      <sz val="9.5"/>
      <color rgb="FFD24E2E"/>
      <name val="WenQuanYi Zen Hei"/>
      <family val="2"/>
    </font>
    <font>
      <sz val="9.5"/>
      <color rgb="FFA7A9AC"/>
      <name val="맑은 고딕"/>
      <family val="0"/>
      <charset val="1"/>
    </font>
    <font>
      <b val="true"/>
      <sz val="10"/>
      <color rgb="FFA82219"/>
      <name val="맑은 고딕"/>
      <family val="0"/>
      <charset val="1"/>
    </font>
    <font>
      <sz val="9"/>
      <color rgb="FF8A5B08"/>
      <name val="맑은 고딕"/>
      <family val="0"/>
      <charset val="1"/>
    </font>
    <font>
      <b val="true"/>
      <sz val="15"/>
      <color rgb="FF414042"/>
      <name val="WenQuanYi Zen Hei"/>
      <family val="2"/>
    </font>
    <font>
      <b val="true"/>
      <sz val="15"/>
      <color rgb="FF414042"/>
      <name val="맑은 고딕"/>
      <family val="0"/>
      <charset val="1"/>
    </font>
    <font>
      <b val="true"/>
      <sz val="13"/>
      <color rgb="FFD24E2E"/>
      <name val="맑은 고딕"/>
      <family val="0"/>
      <charset val="1"/>
    </font>
    <font>
      <b val="true"/>
      <sz val="9"/>
      <color rgb="FFD24E2E"/>
      <name val="WenQuanYi Zen Hei"/>
      <family val="2"/>
    </font>
    <font>
      <sz val="10"/>
      <color rgb="FF0E6B45"/>
      <name val="맑은 고딕"/>
      <family val="0"/>
      <charset val="1"/>
    </font>
    <font>
      <sz val="10"/>
      <color rgb="FFA82219"/>
      <name val="맑은 고딕"/>
      <family val="0"/>
      <charset val="1"/>
    </font>
    <font>
      <sz val="9.5"/>
      <color rgb="FFD24E2E"/>
      <name val="WenQuanYi Zen Hei"/>
      <family val="2"/>
    </font>
    <font>
      <sz val="9.5"/>
      <color rgb="FFD24E2E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7383A"/>
        <bgColor rgb="FF414042"/>
      </patternFill>
    </fill>
    <fill>
      <patternFill patternType="solid">
        <fgColor rgb="FFF1F1F2"/>
        <bgColor rgb="FFEFF5FF"/>
      </patternFill>
    </fill>
    <fill>
      <patternFill patternType="solid">
        <fgColor rgb="FFF7F7F8"/>
        <bgColor rgb="FFFFF6F5"/>
      </patternFill>
    </fill>
    <fill>
      <patternFill patternType="solid">
        <fgColor rgb="FFDFF0E7"/>
        <bgColor rgb="FFF1F1F2"/>
      </patternFill>
    </fill>
    <fill>
      <patternFill patternType="solid">
        <fgColor rgb="FFEFF5FF"/>
        <bgColor rgb="FFF7F7F8"/>
      </patternFill>
    </fill>
    <fill>
      <patternFill patternType="solid">
        <fgColor rgb="FFFFF6F5"/>
        <bgColor rgb="FFF7F7F8"/>
      </patternFill>
    </fill>
    <fill>
      <patternFill patternType="solid">
        <fgColor rgb="FFFBEFD8"/>
        <bgColor rgb="FFFAE5E3"/>
      </patternFill>
    </fill>
    <fill>
      <patternFill patternType="solid">
        <fgColor rgb="FFFFFFFF"/>
        <bgColor rgb="FFFFF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2D6"/>
      </left>
      <right style="thin">
        <color rgb="FFD0D2D6"/>
      </right>
      <top style="thin">
        <color rgb="FFD0D2D6"/>
      </top>
      <bottom style="thin">
        <color rgb="FFD0D2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A82219"/>
      </font>
    </dxf>
    <dxf>
      <fill>
        <patternFill>
          <bgColor rgb="FFFBEFD8"/>
        </patternFill>
      </fill>
    </dxf>
    <dxf>
      <font>
        <color rgb="FFA7A9AC"/>
      </font>
    </dxf>
    <dxf>
      <font>
        <b val="1"/>
        <color rgb="FFD24E2E"/>
      </font>
    </dxf>
    <dxf>
      <font>
        <b val="1"/>
        <color rgb="FFA82219"/>
      </font>
      <fill>
        <patternFill>
          <bgColor rgb="FFFAE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B08"/>
      <rgbColor rgb="FF800080"/>
      <rgbColor rgb="FF0E6B45"/>
      <rgbColor rgb="FFF7F7F8"/>
      <rgbColor rgb="FF808080"/>
      <rgbColor rgb="FF9999FF"/>
      <rgbColor rgb="FF993366"/>
      <rgbColor rgb="FFFBEFD8"/>
      <rgbColor rgb="FFDFF0E7"/>
      <rgbColor rgb="FF660066"/>
      <rgbColor rgb="FFFF8080"/>
      <rgbColor rgb="FF1F6FB2"/>
      <rgbColor rgb="FFD0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FF"/>
      <rgbColor rgb="FFF1F1F2"/>
      <rgbColor rgb="FFFFF6F5"/>
      <rgbColor rgb="FF99CCFF"/>
      <rgbColor rgb="FFFF99CC"/>
      <rgbColor rgb="FFCC99FF"/>
      <rgbColor rgb="FFFAE5E3"/>
      <rgbColor rgb="FF3366FF"/>
      <rgbColor rgb="FF33CCCC"/>
      <rgbColor rgb="FF99CC00"/>
      <rgbColor rgb="FFFFCC00"/>
      <rgbColor rgb="FFC77D1A"/>
      <rgbColor rgb="FFD24E2E"/>
      <rgbColor rgb="FF58595B"/>
      <rgbColor rgb="FFA7A9AC"/>
      <rgbColor rgb="FF003366"/>
      <rgbColor rgb="FF339966"/>
      <rgbColor rgb="FF003300"/>
      <rgbColor rgb="FF414042"/>
      <rgbColor rgb="FFA82219"/>
      <rgbColor rgb="FF993366"/>
      <rgbColor rgb="FF444444"/>
      <rgbColor rgb="FF3738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4"/>
    <pageSetUpPr fitToPage="false"/>
  </sheetPr>
  <dimension ref="A1:O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22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14" min="7" style="0" width="12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G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'통합 ① 거래입력'!B4</f>
        <v>5120000</v>
      </c>
      <c r="C5" s="6" t="n">
        <f aca="false">'교육원 ① 거래입력'!B4</f>
        <v>1260000</v>
      </c>
      <c r="D5" s="7" t="n">
        <f aca="false">B5+C5</f>
        <v>6380000</v>
      </c>
      <c r="G5" s="2" t="s">
        <v>8</v>
      </c>
    </row>
    <row r="6" customFormat="false" ht="15" hidden="false" customHeight="false" outlineLevel="0" collapsed="false">
      <c r="A6" s="5" t="s">
        <v>9</v>
      </c>
      <c r="B6" s="6" t="n">
        <f aca="false">'통합 ① 거래입력'!B5</f>
        <v>4278000</v>
      </c>
      <c r="C6" s="6" t="n">
        <f aca="false">'교육원 ① 거래입력'!B5</f>
        <v>872400</v>
      </c>
      <c r="D6" s="7" t="n">
        <f aca="false">B6+C6</f>
        <v>5150400</v>
      </c>
      <c r="G6" s="2" t="s">
        <v>10</v>
      </c>
    </row>
    <row r="7" customFormat="false" ht="15" hidden="false" customHeight="false" outlineLevel="0" collapsed="false">
      <c r="A7" s="5" t="s">
        <v>11</v>
      </c>
      <c r="B7" s="6" t="n">
        <f aca="false">'통합 ① 거래입력'!B6</f>
        <v>842000</v>
      </c>
      <c r="C7" s="6" t="n">
        <f aca="false">'교육원 ① 거래입력'!B6</f>
        <v>387600</v>
      </c>
      <c r="D7" s="7" t="n">
        <f aca="false">B7+C7</f>
        <v>1229600</v>
      </c>
      <c r="G7" s="2" t="s">
        <v>12</v>
      </c>
    </row>
    <row r="8" customFormat="false" ht="15" hidden="false" customHeight="false" outlineLevel="0" collapsed="false">
      <c r="A8" s="5" t="s">
        <v>13</v>
      </c>
      <c r="B8" s="6" t="n">
        <f aca="false">'통합 ① 거래입력'!B7</f>
        <v>5120000</v>
      </c>
      <c r="C8" s="6" t="n">
        <f aca="false">'교육원 ① 거래입력'!B7</f>
        <v>1260000</v>
      </c>
      <c r="D8" s="7" t="n">
        <f aca="false">B8+C8</f>
        <v>6380000</v>
      </c>
      <c r="G8" s="2"/>
    </row>
    <row r="9" customFormat="false" ht="15" hidden="false" customHeight="false" outlineLevel="0" collapsed="false">
      <c r="A9" s="5" t="s">
        <v>14</v>
      </c>
      <c r="B9" s="6" t="n">
        <f aca="false">'통합 ① 거래입력'!B8</f>
        <v>4278000</v>
      </c>
      <c r="C9" s="6" t="n">
        <f aca="false">'교육원 ① 거래입력'!B8</f>
        <v>872400</v>
      </c>
      <c r="D9" s="7" t="n">
        <f aca="false">B9+C9</f>
        <v>5150400</v>
      </c>
      <c r="G9" s="4" t="s">
        <v>15</v>
      </c>
    </row>
    <row r="10" customFormat="false" ht="15" hidden="false" customHeight="false" outlineLevel="0" collapsed="false">
      <c r="A10" s="5" t="s">
        <v>16</v>
      </c>
      <c r="B10" s="8" t="n">
        <f aca="false">B8-B9</f>
        <v>842000</v>
      </c>
      <c r="C10" s="8" t="n">
        <f aca="false">C8-C9</f>
        <v>387600</v>
      </c>
      <c r="D10" s="8" t="n">
        <f aca="false">D8-D9</f>
        <v>1229600</v>
      </c>
      <c r="G10" s="2" t="s">
        <v>17</v>
      </c>
    </row>
    <row r="11" customFormat="false" ht="15" hidden="false" customHeight="false" outlineLevel="0" collapsed="false">
      <c r="A11" s="5" t="s">
        <v>18</v>
      </c>
      <c r="B11" s="9" t="n">
        <f aca="false">'통합 ① 거래입력'!E4</f>
        <v>0</v>
      </c>
      <c r="C11" s="9" t="n">
        <f aca="false">'교육원 ① 거래입력'!E4</f>
        <v>0</v>
      </c>
      <c r="D11" s="10" t="n">
        <f aca="false">B11+C11</f>
        <v>0</v>
      </c>
      <c r="G11" s="2" t="s">
        <v>19</v>
      </c>
    </row>
    <row r="12" customFormat="false" ht="15" hidden="false" customHeight="false" outlineLevel="0" collapsed="false">
      <c r="A12" s="5" t="s">
        <v>20</v>
      </c>
      <c r="B12" s="9" t="n">
        <f aca="false">'통합 ① 거래입력'!E5</f>
        <v>0</v>
      </c>
      <c r="C12" s="9" t="n">
        <f aca="false">'교육원 ① 거래입력'!E5</f>
        <v>1</v>
      </c>
      <c r="D12" s="10" t="n">
        <f aca="false">B12+C12</f>
        <v>1</v>
      </c>
      <c r="G12" s="2" t="s">
        <v>21</v>
      </c>
    </row>
    <row r="13" customFormat="false" ht="15" hidden="false" customHeight="false" outlineLevel="0" collapsed="false">
      <c r="A13" s="11" t="s">
        <v>22</v>
      </c>
    </row>
    <row r="15" customFormat="false" ht="16.4" hidden="false" customHeight="false" outlineLevel="0" collapsed="false">
      <c r="A15" s="12" t="s">
        <v>23</v>
      </c>
    </row>
    <row r="16" customFormat="false" ht="30" hidden="false" customHeight="true" outlineLevel="0" collapsed="false">
      <c r="A16" s="3" t="s">
        <v>24</v>
      </c>
      <c r="B16" s="3" t="s">
        <v>25</v>
      </c>
      <c r="C16" s="3" t="s">
        <v>2</v>
      </c>
      <c r="D16" s="3" t="s">
        <v>26</v>
      </c>
    </row>
    <row r="17" customFormat="false" ht="15" hidden="false" customHeight="false" outlineLevel="0" collapsed="false">
      <c r="A17" s="13" t="str">
        <f aca="false">IF('통합 ③ 통장·카드'!$A5="","","통합")</f>
        <v>통합</v>
      </c>
      <c r="B17" s="14" t="str">
        <f aca="false">IF('통합 ③ 통장·카드'!$A5="","",'통합 ③ 통장·카드'!$A5)</f>
        <v>바우처통장</v>
      </c>
      <c r="C17" s="13" t="str">
        <f aca="false">IF('통합 ③ 통장·카드'!$A5="","",'통합 ③ 통장·카드'!$B5)</f>
        <v>통장</v>
      </c>
      <c r="D17" s="15" t="n">
        <f aca="false">IF('통합 ③ 통장·카드'!$A5="","",'통합 ③ 통장·카드'!$G5)</f>
        <v>1820000</v>
      </c>
    </row>
    <row r="18" customFormat="false" ht="15" hidden="false" customHeight="false" outlineLevel="0" collapsed="false">
      <c r="A18" s="13" t="str">
        <f aca="false">IF('통합 ③ 통장·카드'!$A6="","","통합")</f>
        <v>통합</v>
      </c>
      <c r="B18" s="14" t="str">
        <f aca="false">IF('통합 ③ 통장·카드'!$A6="","",'통합 ③ 통장·카드'!$A6)</f>
        <v>경비통장</v>
      </c>
      <c r="C18" s="13" t="str">
        <f aca="false">IF('통합 ③ 통장·카드'!$A6="","",'통합 ③ 통장·카드'!$B6)</f>
        <v>통장</v>
      </c>
      <c r="D18" s="15" t="n">
        <f aca="false">IF('통합 ③ 통장·카드'!$A6="","",'통합 ③ 통장·카드'!$G6)</f>
        <v>190000</v>
      </c>
    </row>
    <row r="19" customFormat="false" ht="15" hidden="false" customHeight="false" outlineLevel="0" collapsed="false">
      <c r="A19" s="13" t="str">
        <f aca="false">IF('통합 ③ 통장·카드'!$A7="","","통합")</f>
        <v>통합</v>
      </c>
      <c r="B19" s="14" t="str">
        <f aca="false">IF('통합 ③ 통장·카드'!$A7="","",'통합 ③ 통장·카드'!$A7)</f>
        <v>삼성카드</v>
      </c>
      <c r="C19" s="13" t="str">
        <f aca="false">IF('통합 ③ 통장·카드'!$A7="","",'통합 ③ 통장·카드'!$B7)</f>
        <v>카드</v>
      </c>
      <c r="D19" s="15" t="n">
        <f aca="false">IF('통합 ③ 통장·카드'!$A7="","",'통합 ③ 통장·카드'!$G7)</f>
        <v>850000</v>
      </c>
    </row>
    <row r="20" customFormat="false" ht="15" hidden="false" customHeight="false" outlineLevel="0" collapsed="false">
      <c r="A20" s="13" t="str">
        <f aca="false">IF('통합 ③ 통장·카드'!$A8="","","통합")</f>
        <v>통합</v>
      </c>
      <c r="B20" s="14" t="str">
        <f aca="false">IF('통합 ③ 통장·카드'!$A8="","",'통합 ③ 통장·카드'!$A8)</f>
        <v>BC카드</v>
      </c>
      <c r="C20" s="13" t="str">
        <f aca="false">IF('통합 ③ 통장·카드'!$A8="","",'통합 ③ 통장·카드'!$B8)</f>
        <v>카드</v>
      </c>
      <c r="D20" s="15" t="n">
        <f aca="false">IF('통합 ③ 통장·카드'!$A8="","",'통합 ③ 통장·카드'!$G8)</f>
        <v>318000</v>
      </c>
    </row>
    <row r="21" customFormat="false" ht="15" hidden="false" customHeight="false" outlineLevel="0" collapsed="false">
      <c r="A21" s="13" t="str">
        <f aca="false">IF('통합 ③ 통장·카드'!$A9="","","통합")</f>
        <v>통합</v>
      </c>
      <c r="B21" s="14" t="str">
        <f aca="false">IF('통합 ③ 통장·카드'!$A9="","",'통합 ③ 통장·카드'!$A9)</f>
        <v>현금</v>
      </c>
      <c r="C21" s="13" t="str">
        <f aca="false">IF('통합 ③ 통장·카드'!$A9="","",'통합 ③ 통장·카드'!$B9)</f>
        <v>현금</v>
      </c>
      <c r="D21" s="15" t="n">
        <f aca="false">IF('통합 ③ 통장·카드'!$A9="","",'통합 ③ 통장·카드'!$G9)</f>
        <v>0</v>
      </c>
    </row>
    <row r="22" customFormat="false" ht="15" hidden="false" customHeight="false" outlineLevel="0" collapsed="false">
      <c r="A22" s="13" t="str">
        <f aca="false">IF('통합 ③ 통장·카드'!$A10="","","통합")</f>
        <v/>
      </c>
      <c r="B22" s="14" t="str">
        <f aca="false">IF('통합 ③ 통장·카드'!$A10="","",'통합 ③ 통장·카드'!$A10)</f>
        <v/>
      </c>
      <c r="C22" s="13" t="str">
        <f aca="false">IF('통합 ③ 통장·카드'!$A10="","",'통합 ③ 통장·카드'!$B10)</f>
        <v/>
      </c>
      <c r="D22" s="15" t="str">
        <f aca="false">IF('통합 ③ 통장·카드'!$A10="","",'통합 ③ 통장·카드'!$G10)</f>
        <v/>
      </c>
    </row>
    <row r="23" customFormat="false" ht="15" hidden="false" customHeight="false" outlineLevel="0" collapsed="false">
      <c r="A23" s="13" t="str">
        <f aca="false">IF('통합 ③ 통장·카드'!$A11="","","통합")</f>
        <v/>
      </c>
      <c r="B23" s="14" t="str">
        <f aca="false">IF('통합 ③ 통장·카드'!$A11="","",'통합 ③ 통장·카드'!$A11)</f>
        <v/>
      </c>
      <c r="C23" s="13" t="str">
        <f aca="false">IF('통합 ③ 통장·카드'!$A11="","",'통합 ③ 통장·카드'!$B11)</f>
        <v/>
      </c>
      <c r="D23" s="15" t="str">
        <f aca="false">IF('통합 ③ 통장·카드'!$A11="","",'통합 ③ 통장·카드'!$G11)</f>
        <v/>
      </c>
    </row>
    <row r="24" customFormat="false" ht="15" hidden="false" customHeight="false" outlineLevel="0" collapsed="false">
      <c r="A24" s="16"/>
      <c r="B24" s="17" t="s">
        <v>27</v>
      </c>
      <c r="C24" s="16"/>
      <c r="D24" s="18" t="n">
        <f aca="false">'통합 ③ 통장·카드'!$G$12</f>
        <v>2010000</v>
      </c>
    </row>
    <row r="25" customFormat="false" ht="15" hidden="false" customHeight="false" outlineLevel="0" collapsed="false">
      <c r="A25" s="13" t="str">
        <f aca="false">IF('교육원 ③ 통장·카드'!$A5="","","교육원")</f>
        <v>교육원</v>
      </c>
      <c r="B25" s="14" t="str">
        <f aca="false">IF('교육원 ③ 통장·카드'!$A5="","",'교육원 ③ 통장·카드'!$A5)</f>
        <v>교육원통장</v>
      </c>
      <c r="C25" s="13" t="str">
        <f aca="false">IF('교육원 ③ 통장·카드'!$A5="","",'교육원 ③ 통장·카드'!$B5)</f>
        <v>통장</v>
      </c>
      <c r="D25" s="15" t="n">
        <f aca="false">IF('교육원 ③ 통장·카드'!$A5="","",'교육원 ③ 통장·카드'!$G5)</f>
        <v>350000</v>
      </c>
    </row>
    <row r="26" customFormat="false" ht="15" hidden="false" customHeight="false" outlineLevel="0" collapsed="false">
      <c r="A26" s="13" t="str">
        <f aca="false">IF('교육원 ③ 통장·카드'!$A6="","","교육원")</f>
        <v>교육원</v>
      </c>
      <c r="B26" s="14" t="str">
        <f aca="false">IF('교육원 ③ 통장·카드'!$A6="","",'교육원 ③ 통장·카드'!$A6)</f>
        <v>현금</v>
      </c>
      <c r="C26" s="13" t="str">
        <f aca="false">IF('교육원 ③ 통장·카드'!$A6="","",'교육원 ③ 통장·카드'!$B6)</f>
        <v>현금</v>
      </c>
      <c r="D26" s="15" t="n">
        <f aca="false">IF('교육원 ③ 통장·카드'!$A6="","",'교육원 ③ 통장·카드'!$G6)</f>
        <v>37600</v>
      </c>
    </row>
    <row r="27" customFormat="false" ht="15" hidden="false" customHeight="false" outlineLevel="0" collapsed="false">
      <c r="A27" s="13" t="str">
        <f aca="false">IF('교육원 ③ 통장·카드'!$A7="","","교육원")</f>
        <v/>
      </c>
      <c r="B27" s="14" t="str">
        <f aca="false">IF('교육원 ③ 통장·카드'!$A7="","",'교육원 ③ 통장·카드'!$A7)</f>
        <v/>
      </c>
      <c r="C27" s="13" t="str">
        <f aca="false">IF('교육원 ③ 통장·카드'!$A7="","",'교육원 ③ 통장·카드'!$B7)</f>
        <v/>
      </c>
      <c r="D27" s="15" t="str">
        <f aca="false">IF('교육원 ③ 통장·카드'!$A7="","",'교육원 ③ 통장·카드'!$G7)</f>
        <v/>
      </c>
    </row>
    <row r="28" customFormat="false" ht="15" hidden="false" customHeight="false" outlineLevel="0" collapsed="false">
      <c r="A28" s="13" t="str">
        <f aca="false">IF('교육원 ③ 통장·카드'!$A8="","","교육원")</f>
        <v/>
      </c>
      <c r="B28" s="14" t="str">
        <f aca="false">IF('교육원 ③ 통장·카드'!$A8="","",'교육원 ③ 통장·카드'!$A8)</f>
        <v/>
      </c>
      <c r="C28" s="13" t="str">
        <f aca="false">IF('교육원 ③ 통장·카드'!$A8="","",'교육원 ③ 통장·카드'!$B8)</f>
        <v/>
      </c>
      <c r="D28" s="15" t="str">
        <f aca="false">IF('교육원 ③ 통장·카드'!$A8="","",'교육원 ③ 통장·카드'!$G8)</f>
        <v/>
      </c>
    </row>
    <row r="29" customFormat="false" ht="15" hidden="false" customHeight="false" outlineLevel="0" collapsed="false">
      <c r="A29" s="13" t="str">
        <f aca="false">IF('교육원 ③ 통장·카드'!$A9="","","교육원")</f>
        <v/>
      </c>
      <c r="B29" s="14" t="str">
        <f aca="false">IF('교육원 ③ 통장·카드'!$A9="","",'교육원 ③ 통장·카드'!$A9)</f>
        <v/>
      </c>
      <c r="C29" s="13" t="str">
        <f aca="false">IF('교육원 ③ 통장·카드'!$A9="","",'교육원 ③ 통장·카드'!$B9)</f>
        <v/>
      </c>
      <c r="D29" s="15" t="str">
        <f aca="false">IF('교육원 ③ 통장·카드'!$A9="","",'교육원 ③ 통장·카드'!$G9)</f>
        <v/>
      </c>
    </row>
    <row r="30" customFormat="false" ht="15" hidden="false" customHeight="false" outlineLevel="0" collapsed="false">
      <c r="A30" s="13" t="str">
        <f aca="false">IF('교육원 ③ 통장·카드'!$A10="","","교육원")</f>
        <v/>
      </c>
      <c r="B30" s="14" t="str">
        <f aca="false">IF('교육원 ③ 통장·카드'!$A10="","",'교육원 ③ 통장·카드'!$A10)</f>
        <v/>
      </c>
      <c r="C30" s="13" t="str">
        <f aca="false">IF('교육원 ③ 통장·카드'!$A10="","",'교육원 ③ 통장·카드'!$B10)</f>
        <v/>
      </c>
      <c r="D30" s="15" t="str">
        <f aca="false">IF('교육원 ③ 통장·카드'!$A10="","",'교육원 ③ 통장·카드'!$G10)</f>
        <v/>
      </c>
    </row>
    <row r="31" customFormat="false" ht="15" hidden="false" customHeight="false" outlineLevel="0" collapsed="false">
      <c r="A31" s="13" t="str">
        <f aca="false">IF('교육원 ③ 통장·카드'!$A11="","","교육원")</f>
        <v/>
      </c>
      <c r="B31" s="14" t="str">
        <f aca="false">IF('교육원 ③ 통장·카드'!$A11="","",'교육원 ③ 통장·카드'!$A11)</f>
        <v/>
      </c>
      <c r="C31" s="13" t="str">
        <f aca="false">IF('교육원 ③ 통장·카드'!$A11="","",'교육원 ③ 통장·카드'!$B11)</f>
        <v/>
      </c>
      <c r="D31" s="15" t="str">
        <f aca="false">IF('교육원 ③ 통장·카드'!$A11="","",'교육원 ③ 통장·카드'!$G11)</f>
        <v/>
      </c>
    </row>
    <row r="32" customFormat="false" ht="15" hidden="false" customHeight="false" outlineLevel="0" collapsed="false">
      <c r="A32" s="16"/>
      <c r="B32" s="17" t="s">
        <v>28</v>
      </c>
      <c r="C32" s="16"/>
      <c r="D32" s="18" t="n">
        <f aca="false">'교육원 ③ 통장·카드'!$G$12</f>
        <v>350000</v>
      </c>
    </row>
    <row r="35" customFormat="false" ht="16.4" hidden="false" customHeight="false" outlineLevel="0" collapsed="false">
      <c r="A35" s="12" t="s">
        <v>29</v>
      </c>
    </row>
    <row r="36" customFormat="false" ht="30" hidden="false" customHeight="true" outlineLevel="0" collapsed="false">
      <c r="A36" s="3" t="s">
        <v>24</v>
      </c>
      <c r="B36" s="3" t="s">
        <v>30</v>
      </c>
      <c r="C36" s="19" t="s">
        <v>31</v>
      </c>
      <c r="D36" s="19" t="s">
        <v>32</v>
      </c>
      <c r="E36" s="19" t="s">
        <v>33</v>
      </c>
      <c r="F36" s="19" t="s">
        <v>34</v>
      </c>
      <c r="G36" s="19" t="s">
        <v>35</v>
      </c>
      <c r="H36" s="19" t="s">
        <v>36</v>
      </c>
      <c r="I36" s="19" t="s">
        <v>37</v>
      </c>
      <c r="J36" s="19" t="s">
        <v>38</v>
      </c>
      <c r="K36" s="19" t="s">
        <v>39</v>
      </c>
      <c r="L36" s="19" t="s">
        <v>40</v>
      </c>
      <c r="M36" s="19" t="s">
        <v>41</v>
      </c>
      <c r="N36" s="19" t="s">
        <v>42</v>
      </c>
      <c r="O36" s="3" t="s">
        <v>43</v>
      </c>
    </row>
    <row r="37" customFormat="false" ht="15" hidden="false" customHeight="false" outlineLevel="0" collapsed="false">
      <c r="A37" s="14" t="s">
        <v>44</v>
      </c>
      <c r="B37" s="20" t="s">
        <v>45</v>
      </c>
      <c r="C37" s="21" t="n">
        <f aca="false">'통합 ② 월별결산'!C44</f>
        <v>0</v>
      </c>
      <c r="D37" s="21" t="n">
        <f aca="false">'통합 ② 월별결산'!D44</f>
        <v>0</v>
      </c>
      <c r="E37" s="21" t="n">
        <f aca="false">'통합 ② 월별결산'!E44</f>
        <v>0</v>
      </c>
      <c r="F37" s="21" t="n">
        <f aca="false">'통합 ② 월별결산'!F44</f>
        <v>0</v>
      </c>
      <c r="G37" s="21" t="n">
        <f aca="false">'통합 ② 월별결산'!G44</f>
        <v>0</v>
      </c>
      <c r="H37" s="21" t="n">
        <f aca="false">'통합 ② 월별결산'!H44</f>
        <v>0</v>
      </c>
      <c r="I37" s="21" t="n">
        <f aca="false">'통합 ② 월별결산'!I44</f>
        <v>0</v>
      </c>
      <c r="J37" s="21" t="n">
        <f aca="false">'통합 ② 월별결산'!J44</f>
        <v>0</v>
      </c>
      <c r="K37" s="21" t="n">
        <f aca="false">'통합 ② 월별결산'!K44</f>
        <v>5120000</v>
      </c>
      <c r="L37" s="21" t="n">
        <f aca="false">'통합 ② 월별결산'!L44</f>
        <v>0</v>
      </c>
      <c r="M37" s="21" t="n">
        <f aca="false">'통합 ② 월별결산'!M44</f>
        <v>0</v>
      </c>
      <c r="N37" s="21" t="n">
        <f aca="false">'통합 ② 월별결산'!N44</f>
        <v>0</v>
      </c>
      <c r="O37" s="21" t="n">
        <f aca="false">'통합 ② 월별결산'!O44</f>
        <v>5120000</v>
      </c>
    </row>
    <row r="38" customFormat="false" ht="15" hidden="false" customHeight="false" outlineLevel="0" collapsed="false">
      <c r="A38" s="14"/>
      <c r="B38" s="20" t="s">
        <v>46</v>
      </c>
      <c r="C38" s="21" t="n">
        <f aca="false">'통합 ② 월별결산'!C45</f>
        <v>0</v>
      </c>
      <c r="D38" s="21" t="n">
        <f aca="false">'통합 ② 월별결산'!D45</f>
        <v>0</v>
      </c>
      <c r="E38" s="21" t="n">
        <f aca="false">'통합 ② 월별결산'!E45</f>
        <v>0</v>
      </c>
      <c r="F38" s="21" t="n">
        <f aca="false">'통합 ② 월별결산'!F45</f>
        <v>0</v>
      </c>
      <c r="G38" s="21" t="n">
        <f aca="false">'통합 ② 월별결산'!G45</f>
        <v>0</v>
      </c>
      <c r="H38" s="21" t="n">
        <f aca="false">'통합 ② 월별결산'!H45</f>
        <v>0</v>
      </c>
      <c r="I38" s="21" t="n">
        <f aca="false">'통합 ② 월별결산'!I45</f>
        <v>0</v>
      </c>
      <c r="J38" s="21" t="n">
        <f aca="false">'통합 ② 월별결산'!J45</f>
        <v>0</v>
      </c>
      <c r="K38" s="21" t="n">
        <f aca="false">'통합 ② 월별결산'!K45</f>
        <v>4278000</v>
      </c>
      <c r="L38" s="21" t="n">
        <f aca="false">'통합 ② 월별결산'!L45</f>
        <v>0</v>
      </c>
      <c r="M38" s="21" t="n">
        <f aca="false">'통합 ② 월별결산'!M45</f>
        <v>0</v>
      </c>
      <c r="N38" s="21" t="n">
        <f aca="false">'통합 ② 월별결산'!N45</f>
        <v>0</v>
      </c>
      <c r="O38" s="21" t="n">
        <f aca="false">'통합 ② 월별결산'!O45</f>
        <v>4278000</v>
      </c>
    </row>
    <row r="39" customFormat="false" ht="15" hidden="false" customHeight="false" outlineLevel="0" collapsed="false">
      <c r="A39" s="22"/>
      <c r="B39" s="23" t="s">
        <v>47</v>
      </c>
      <c r="C39" s="8" t="n">
        <f aca="false">'통합 ② 월별결산'!C46</f>
        <v>0</v>
      </c>
      <c r="D39" s="8" t="n">
        <f aca="false">'통합 ② 월별결산'!D46</f>
        <v>0</v>
      </c>
      <c r="E39" s="8" t="n">
        <f aca="false">'통합 ② 월별결산'!E46</f>
        <v>0</v>
      </c>
      <c r="F39" s="8" t="n">
        <f aca="false">'통합 ② 월별결산'!F46</f>
        <v>0</v>
      </c>
      <c r="G39" s="8" t="n">
        <f aca="false">'통합 ② 월별결산'!G46</f>
        <v>0</v>
      </c>
      <c r="H39" s="8" t="n">
        <f aca="false">'통합 ② 월별결산'!H46</f>
        <v>0</v>
      </c>
      <c r="I39" s="8" t="n">
        <f aca="false">'통합 ② 월별결산'!I46</f>
        <v>0</v>
      </c>
      <c r="J39" s="8" t="n">
        <f aca="false">'통합 ② 월별결산'!J46</f>
        <v>0</v>
      </c>
      <c r="K39" s="8" t="n">
        <f aca="false">'통합 ② 월별결산'!K46</f>
        <v>842000</v>
      </c>
      <c r="L39" s="8" t="n">
        <f aca="false">'통합 ② 월별결산'!L46</f>
        <v>0</v>
      </c>
      <c r="M39" s="8" t="n">
        <f aca="false">'통합 ② 월별결산'!M46</f>
        <v>0</v>
      </c>
      <c r="N39" s="8" t="n">
        <f aca="false">'통합 ② 월별결산'!N46</f>
        <v>0</v>
      </c>
      <c r="O39" s="8" t="n">
        <f aca="false">'통합 ② 월별결산'!O46</f>
        <v>842000</v>
      </c>
    </row>
    <row r="40" customFormat="false" ht="15" hidden="false" customHeight="false" outlineLevel="0" collapsed="false">
      <c r="A40" s="14" t="s">
        <v>48</v>
      </c>
      <c r="B40" s="20" t="s">
        <v>45</v>
      </c>
      <c r="C40" s="21" t="n">
        <f aca="false">'교육원 ② 월별결산'!C41</f>
        <v>0</v>
      </c>
      <c r="D40" s="21" t="n">
        <f aca="false">'교육원 ② 월별결산'!D41</f>
        <v>0</v>
      </c>
      <c r="E40" s="21" t="n">
        <f aca="false">'교육원 ② 월별결산'!E41</f>
        <v>0</v>
      </c>
      <c r="F40" s="21" t="n">
        <f aca="false">'교육원 ② 월별결산'!F41</f>
        <v>0</v>
      </c>
      <c r="G40" s="21" t="n">
        <f aca="false">'교육원 ② 월별결산'!G41</f>
        <v>0</v>
      </c>
      <c r="H40" s="21" t="n">
        <f aca="false">'교육원 ② 월별결산'!H41</f>
        <v>0</v>
      </c>
      <c r="I40" s="21" t="n">
        <f aca="false">'교육원 ② 월별결산'!I41</f>
        <v>0</v>
      </c>
      <c r="J40" s="21" t="n">
        <f aca="false">'교육원 ② 월별결산'!J41</f>
        <v>0</v>
      </c>
      <c r="K40" s="21" t="n">
        <f aca="false">'교육원 ② 월별결산'!K41</f>
        <v>1260000</v>
      </c>
      <c r="L40" s="21" t="n">
        <f aca="false">'교육원 ② 월별결산'!L41</f>
        <v>0</v>
      </c>
      <c r="M40" s="21" t="n">
        <f aca="false">'교육원 ② 월별결산'!M41</f>
        <v>0</v>
      </c>
      <c r="N40" s="21" t="n">
        <f aca="false">'교육원 ② 월별결산'!N41</f>
        <v>0</v>
      </c>
      <c r="O40" s="21" t="n">
        <f aca="false">'교육원 ② 월별결산'!O41</f>
        <v>1260000</v>
      </c>
    </row>
    <row r="41" customFormat="false" ht="15" hidden="false" customHeight="false" outlineLevel="0" collapsed="false">
      <c r="A41" s="14"/>
      <c r="B41" s="20" t="s">
        <v>46</v>
      </c>
      <c r="C41" s="21" t="n">
        <f aca="false">'교육원 ② 월별결산'!C42</f>
        <v>0</v>
      </c>
      <c r="D41" s="21" t="n">
        <f aca="false">'교육원 ② 월별결산'!D42</f>
        <v>0</v>
      </c>
      <c r="E41" s="21" t="n">
        <f aca="false">'교육원 ② 월별결산'!E42</f>
        <v>0</v>
      </c>
      <c r="F41" s="21" t="n">
        <f aca="false">'교육원 ② 월별결산'!F42</f>
        <v>0</v>
      </c>
      <c r="G41" s="21" t="n">
        <f aca="false">'교육원 ② 월별결산'!G42</f>
        <v>0</v>
      </c>
      <c r="H41" s="21" t="n">
        <f aca="false">'교육원 ② 월별결산'!H42</f>
        <v>0</v>
      </c>
      <c r="I41" s="21" t="n">
        <f aca="false">'교육원 ② 월별결산'!I42</f>
        <v>0</v>
      </c>
      <c r="J41" s="21" t="n">
        <f aca="false">'교육원 ② 월별결산'!J42</f>
        <v>0</v>
      </c>
      <c r="K41" s="21" t="n">
        <f aca="false">'교육원 ② 월별결산'!K42</f>
        <v>872400</v>
      </c>
      <c r="L41" s="21" t="n">
        <f aca="false">'교육원 ② 월별결산'!L42</f>
        <v>0</v>
      </c>
      <c r="M41" s="21" t="n">
        <f aca="false">'교육원 ② 월별결산'!M42</f>
        <v>0</v>
      </c>
      <c r="N41" s="21" t="n">
        <f aca="false">'교육원 ② 월별결산'!N42</f>
        <v>0</v>
      </c>
      <c r="O41" s="21" t="n">
        <f aca="false">'교육원 ② 월별결산'!O42</f>
        <v>872400</v>
      </c>
    </row>
    <row r="42" customFormat="false" ht="15" hidden="false" customHeight="false" outlineLevel="0" collapsed="false">
      <c r="A42" s="23"/>
      <c r="B42" s="23" t="s">
        <v>47</v>
      </c>
      <c r="C42" s="8" t="n">
        <f aca="false">'교육원 ② 월별결산'!C43</f>
        <v>0</v>
      </c>
      <c r="D42" s="8" t="n">
        <f aca="false">'교육원 ② 월별결산'!D43</f>
        <v>0</v>
      </c>
      <c r="E42" s="8" t="n">
        <f aca="false">'교육원 ② 월별결산'!E43</f>
        <v>0</v>
      </c>
      <c r="F42" s="8" t="n">
        <f aca="false">'교육원 ② 월별결산'!F43</f>
        <v>0</v>
      </c>
      <c r="G42" s="8" t="n">
        <f aca="false">'교육원 ② 월별결산'!G43</f>
        <v>0</v>
      </c>
      <c r="H42" s="8" t="n">
        <f aca="false">'교육원 ② 월별결산'!H43</f>
        <v>0</v>
      </c>
      <c r="I42" s="8" t="n">
        <f aca="false">'교육원 ② 월별결산'!I43</f>
        <v>0</v>
      </c>
      <c r="J42" s="8" t="n">
        <f aca="false">'교육원 ② 월별결산'!J43</f>
        <v>0</v>
      </c>
      <c r="K42" s="8" t="n">
        <f aca="false">'교육원 ② 월별결산'!K43</f>
        <v>387600</v>
      </c>
      <c r="L42" s="8" t="n">
        <f aca="false">'교육원 ② 월별결산'!L43</f>
        <v>0</v>
      </c>
      <c r="M42" s="8" t="n">
        <f aca="false">'교육원 ② 월별결산'!M43</f>
        <v>0</v>
      </c>
      <c r="N42" s="8" t="n">
        <f aca="false">'교육원 ② 월별결산'!N43</f>
        <v>0</v>
      </c>
      <c r="O42" s="8" t="n">
        <f aca="false">'교육원 ② 월별결산'!O43</f>
        <v>387600</v>
      </c>
    </row>
    <row r="43" customFormat="false" ht="15" hidden="false" customHeight="false" outlineLevel="0" collapsed="false">
      <c r="A43" s="17" t="s">
        <v>49</v>
      </c>
      <c r="B43" s="17" t="s">
        <v>50</v>
      </c>
      <c r="C43" s="24" t="n">
        <f aca="false">C39+C42</f>
        <v>0</v>
      </c>
      <c r="D43" s="24" t="n">
        <f aca="false">D39+D42</f>
        <v>0</v>
      </c>
      <c r="E43" s="24" t="n">
        <f aca="false">E39+E42</f>
        <v>0</v>
      </c>
      <c r="F43" s="24" t="n">
        <f aca="false">F39+F42</f>
        <v>0</v>
      </c>
      <c r="G43" s="24" t="n">
        <f aca="false">G39+G42</f>
        <v>0</v>
      </c>
      <c r="H43" s="24" t="n">
        <f aca="false">H39+H42</f>
        <v>0</v>
      </c>
      <c r="I43" s="24" t="n">
        <f aca="false">I39+I42</f>
        <v>0</v>
      </c>
      <c r="J43" s="24" t="n">
        <f aca="false">J39+J42</f>
        <v>0</v>
      </c>
      <c r="K43" s="24" t="n">
        <f aca="false">K39+K42</f>
        <v>1229600</v>
      </c>
      <c r="L43" s="24" t="n">
        <f aca="false">L39+L42</f>
        <v>0</v>
      </c>
      <c r="M43" s="24" t="n">
        <f aca="false">M39+M42</f>
        <v>0</v>
      </c>
      <c r="N43" s="24" t="n">
        <f aca="false">N39+N42</f>
        <v>0</v>
      </c>
      <c r="O43" s="24" t="n">
        <f aca="false">O39+O42</f>
        <v>1229600</v>
      </c>
    </row>
    <row r="44" customFormat="false" ht="15" hidden="false" customHeight="false" outlineLevel="0" collapsed="false">
      <c r="A44" s="11" t="s">
        <v>51</v>
      </c>
    </row>
  </sheetData>
  <conditionalFormatting sqref="D17:D3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2"/>
    <pageSetUpPr fitToPage="false"/>
  </sheetPr>
  <dimension ref="A1:P2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3"/>
    <col collapsed="false" customWidth="true" hidden="false" outlineLevel="0" max="15" min="15" style="0" width="8"/>
    <col collapsed="false" customWidth="true" hidden="false" outlineLevel="0" max="16" min="16" style="0" width="5"/>
  </cols>
  <sheetData>
    <row r="1" customFormat="false" ht="25.5" hidden="false" customHeight="true" outlineLevel="0" collapsed="false">
      <c r="A1" s="1" t="s">
        <v>52</v>
      </c>
      <c r="G1" s="25" t="s">
        <v>53</v>
      </c>
    </row>
    <row r="3" customFormat="false" ht="15" hidden="false" customHeight="false" outlineLevel="0" collapsed="false">
      <c r="A3" s="26" t="s">
        <v>54</v>
      </c>
      <c r="B3" s="27" t="str">
        <f aca="true">TEXT(TODAY(),"yyyy년 m월")</f>
        <v>2026년 9월</v>
      </c>
      <c r="D3" s="26" t="s">
        <v>55</v>
      </c>
      <c r="E3" s="16"/>
      <c r="G3" s="28" t="s">
        <v>56</v>
      </c>
    </row>
    <row r="4" customFormat="false" ht="15" hidden="false" customHeight="false" outlineLevel="0" collapsed="false">
      <c r="A4" s="29" t="s">
        <v>57</v>
      </c>
      <c r="B4" s="30" t="n">
        <f aca="true">SUMIFS($I$15:$I$2014,$O$15:$O$2014,YEAR(TODAY())*100+MONTH(TODAY()),$P$15:$P$2014,1)</f>
        <v>5120000</v>
      </c>
      <c r="D4" s="29" t="s">
        <v>58</v>
      </c>
      <c r="E4" s="31" t="n">
        <f aca="false">COUNTIF($L$15:$L$2014,"?*")</f>
        <v>0</v>
      </c>
      <c r="G4" s="32" t="s">
        <v>59</v>
      </c>
    </row>
    <row r="5" customFormat="false" ht="15" hidden="false" customHeight="false" outlineLevel="0" collapsed="false">
      <c r="A5" s="29" t="s">
        <v>60</v>
      </c>
      <c r="B5" s="33" t="n">
        <f aca="true">SUMIFS($J$15:$J$2014,$O$15:$O$2014,YEAR(TODAY())*100+MONTH(TODAY()),$P$15:$P$2014,1)</f>
        <v>4278000</v>
      </c>
      <c r="D5" s="29" t="s">
        <v>20</v>
      </c>
      <c r="E5" s="31" t="n">
        <f aca="false">COUNTIF($K$15:$K$2014,"없음")</f>
        <v>0</v>
      </c>
      <c r="G5" s="32" t="s">
        <v>61</v>
      </c>
    </row>
    <row r="6" customFormat="false" ht="15" hidden="false" customHeight="false" outlineLevel="0" collapsed="false">
      <c r="A6" s="29" t="s">
        <v>62</v>
      </c>
      <c r="B6" s="30" t="n">
        <f aca="false">B4-B5</f>
        <v>842000</v>
      </c>
      <c r="D6" s="29" t="s">
        <v>63</v>
      </c>
      <c r="E6" s="31" t="n">
        <f aca="false">SUMIF($C$15:$C$2014,"바우처통장",$J$15:$J$2014)</f>
        <v>3000000</v>
      </c>
      <c r="G6" s="32" t="s">
        <v>64</v>
      </c>
    </row>
    <row r="7" customFormat="false" ht="15" hidden="false" customHeight="false" outlineLevel="0" collapsed="false">
      <c r="A7" s="29" t="s">
        <v>13</v>
      </c>
      <c r="B7" s="30" t="n">
        <f aca="false">SUMIF($P$15:$P$2014,1,$I$15:$I$2014)</f>
        <v>5120000</v>
      </c>
      <c r="G7" s="32" t="s">
        <v>65</v>
      </c>
    </row>
    <row r="8" customFormat="false" ht="15" hidden="false" customHeight="false" outlineLevel="0" collapsed="false">
      <c r="A8" s="29" t="s">
        <v>14</v>
      </c>
      <c r="B8" s="30" t="n">
        <f aca="false">SUMIF($P$15:$P$2014,1,$J$15:$J$2014)</f>
        <v>4278000</v>
      </c>
      <c r="G8" s="32" t="s">
        <v>66</v>
      </c>
    </row>
    <row r="9" customFormat="false" ht="15" hidden="false" customHeight="false" outlineLevel="0" collapsed="false">
      <c r="A9" s="29" t="s">
        <v>67</v>
      </c>
      <c r="B9" s="34" t="n">
        <f aca="false">COUNT($B$15:$B$2014)</f>
        <v>9</v>
      </c>
      <c r="G9" s="32" t="s">
        <v>68</v>
      </c>
    </row>
    <row r="10" customFormat="false" ht="15" hidden="false" customHeight="false" outlineLevel="0" collapsed="false">
      <c r="A10" s="11" t="s">
        <v>69</v>
      </c>
      <c r="G10" s="32" t="s">
        <v>70</v>
      </c>
    </row>
    <row r="12" customFormat="false" ht="15" hidden="false" customHeight="false" outlineLevel="0" collapsed="false">
      <c r="G12" s="35" t="s">
        <v>71</v>
      </c>
    </row>
    <row r="14" customFormat="false" ht="30" hidden="false" customHeight="true" outlineLevel="0" collapsed="false">
      <c r="A14" s="3" t="s">
        <v>72</v>
      </c>
      <c r="B14" s="3" t="s">
        <v>73</v>
      </c>
      <c r="C14" s="3" t="s">
        <v>25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57</v>
      </c>
      <c r="J14" s="3" t="s">
        <v>60</v>
      </c>
      <c r="K14" s="3" t="s">
        <v>79</v>
      </c>
      <c r="L14" s="3" t="s">
        <v>55</v>
      </c>
      <c r="M14" s="3" t="s">
        <v>80</v>
      </c>
      <c r="O14" s="11" t="s">
        <v>81</v>
      </c>
      <c r="P14" s="11" t="s">
        <v>82</v>
      </c>
    </row>
    <row r="15" customFormat="false" ht="15" hidden="false" customHeight="false" outlineLevel="0" collapsed="false">
      <c r="A15" s="36" t="n">
        <f aca="false">IF($B15="","",COUNT($B$15:$B15))</f>
        <v>1</v>
      </c>
      <c r="B15" s="37" t="n">
        <v>46266</v>
      </c>
      <c r="C15" s="38" t="s">
        <v>83</v>
      </c>
      <c r="D15" s="20" t="s">
        <v>84</v>
      </c>
      <c r="E15" s="36" t="str">
        <f aca="false">IF($D15="","",IFERROR(INDEX('통합 ④ 설정'!$A$6:$A$40,MATCH($D15,'통합 ④ 설정'!$B$6:$B$40,0)),"※없는 과목"))</f>
        <v>수입</v>
      </c>
      <c r="F15" s="36" t="n">
        <f aca="false">IF($D15="","",IFERROR(INDEX('통합 ④ 설정'!$C$6:$C$40,MATCH($D15,'통합 ④ 설정'!$B$6:$B$40,0)),""))</f>
        <v>0</v>
      </c>
      <c r="G15" s="20" t="s">
        <v>85</v>
      </c>
      <c r="H15" s="39" t="s">
        <v>86</v>
      </c>
      <c r="I15" s="40" t="n">
        <v>4820000</v>
      </c>
      <c r="J15" s="41"/>
      <c r="K15" s="38" t="s">
        <v>87</v>
      </c>
      <c r="L15" s="42" t="str">
        <f aca="false">IF($B15="","",IF(AND(N($I15)=0,N($J15)=0),"금액이 없습니다",IF(AND($I15&gt;0,$J15&gt;0),"수입·지출 둘 다 적혔습니다",IF($C15="","결제수단을 고르십시오",IF(ISNA(MATCH($C15,'통합 ③ 통장·카드'!$A$5:$A$11,0)),"③ 통장·카드에 없는 결제수단입니다",IF($D15="","계정과목을 고르십시오",IF($E15="※없는 과목","④ 설정에 없는 과목입니다",IF(AND($E15="수입",$J15&gt;0),"수입 과목인데 지출에 적혔습니다",IF(AND(LEFT($E15,2)&lt;&gt;"수입",$E15&lt;&gt;"대체",$I15&gt;0),"지출 과목인데 수입에 적혔습니다",IF($K15="","증빙을 고르십시오",IF(AND($C15="바우처통장",$J15&gt;0,IFERROR(INDEX('통합 ④ 설정'!$E$6:$E$40,MATCH($D15,'통합 ④ 설정'!$B$6:$B$40,0)),"")&lt;&gt;"○"),"바우처통장 지출 — 목적 확인",IF($H15="","적요를 적으십시오",""))))))))))))</f>
        <v/>
      </c>
      <c r="M15" s="39"/>
      <c r="O15" s="11" t="n">
        <f aca="false">IF($B15="","",YEAR($B15)*100+MONTH($B15))</f>
        <v>202609</v>
      </c>
      <c r="P15" s="11" t="n">
        <f aca="false">IF($B15="","",IF($E15="대체",0,1))</f>
        <v>1</v>
      </c>
    </row>
    <row r="16" customFormat="false" ht="15" hidden="false" customHeight="false" outlineLevel="0" collapsed="false">
      <c r="A16" s="36" t="n">
        <f aca="false">IF($B16="","",COUNT($B$15:$B16))</f>
        <v>2</v>
      </c>
      <c r="B16" s="37" t="n">
        <v>46266</v>
      </c>
      <c r="C16" s="38" t="s">
        <v>88</v>
      </c>
      <c r="D16" s="20" t="s">
        <v>89</v>
      </c>
      <c r="E16" s="36" t="str">
        <f aca="false">IF($D16="","",IFERROR(INDEX('통합 ④ 설정'!$A$6:$A$40,MATCH($D16,'통합 ④ 설정'!$B$6:$B$40,0)),"※없는 과목"))</f>
        <v>대체</v>
      </c>
      <c r="F16" s="36" t="n">
        <f aca="false">IF($D16="","",IFERROR(INDEX('통합 ④ 설정'!$C$6:$C$40,MATCH($D16,'통합 ④ 설정'!$B$6:$B$40,0)),""))</f>
        <v>0</v>
      </c>
      <c r="G16" s="20" t="s">
        <v>90</v>
      </c>
      <c r="H16" s="20" t="s">
        <v>91</v>
      </c>
      <c r="I16" s="40" t="n">
        <v>3000000</v>
      </c>
      <c r="J16" s="41"/>
      <c r="K16" s="38" t="s">
        <v>87</v>
      </c>
      <c r="L16" s="42" t="str">
        <f aca="false">IF($B16="","",IF(AND(N($I16)=0,N($J16)=0),"금액이 없습니다",IF(AND($I16&gt;0,$J16&gt;0),"수입·지출 둘 다 적혔습니다",IF($C16="","결제수단을 고르십시오",IF(ISNA(MATCH($C16,'통합 ③ 통장·카드'!$A$5:$A$11,0)),"③ 통장·카드에 없는 결제수단입니다",IF($D16="","계정과목을 고르십시오",IF($E16="※없는 과목","④ 설정에 없는 과목입니다",IF(AND($E16="수입",$J16&gt;0),"수입 과목인데 지출에 적혔습니다",IF(AND(LEFT($E16,2)&lt;&gt;"수입",$E16&lt;&gt;"대체",$I16&gt;0),"지출 과목인데 수입에 적혔습니다",IF($K16="","증빙을 고르십시오",IF(AND($C16="바우처통장",$J16&gt;0,IFERROR(INDEX('통합 ④ 설정'!$E$6:$E$40,MATCH($D16,'통합 ④ 설정'!$B$6:$B$40,0)),"")&lt;&gt;"○"),"바우처통장 지출 — 목적 확인",IF($H16="","적요를 적으십시오",""))))))))))))</f>
        <v/>
      </c>
      <c r="M16" s="39"/>
      <c r="O16" s="11" t="n">
        <f aca="false">IF($B16="","",YEAR($B16)*100+MONTH($B16))</f>
        <v>202609</v>
      </c>
      <c r="P16" s="11" t="n">
        <f aca="false">IF($B16="","",IF($E16="대체",0,1))</f>
        <v>0</v>
      </c>
    </row>
    <row r="17" customFormat="false" ht="15" hidden="false" customHeight="false" outlineLevel="0" collapsed="false">
      <c r="A17" s="36" t="n">
        <f aca="false">IF($B17="","",COUNT($B$15:$B17))</f>
        <v>3</v>
      </c>
      <c r="B17" s="37" t="n">
        <v>46266</v>
      </c>
      <c r="C17" s="38" t="s">
        <v>83</v>
      </c>
      <c r="D17" s="20" t="s">
        <v>89</v>
      </c>
      <c r="E17" s="36" t="str">
        <f aca="false">IF($D17="","",IFERROR(INDEX('통합 ④ 설정'!$A$6:$A$40,MATCH($D17,'통합 ④ 설정'!$B$6:$B$40,0)),"※없는 과목"))</f>
        <v>대체</v>
      </c>
      <c r="F17" s="36" t="n">
        <f aca="false">IF($D17="","",IFERROR(INDEX('통합 ④ 설정'!$C$6:$C$40,MATCH($D17,'통합 ④ 설정'!$B$6:$B$40,0)),""))</f>
        <v>0</v>
      </c>
      <c r="G17" s="20" t="s">
        <v>90</v>
      </c>
      <c r="H17" s="20" t="s">
        <v>91</v>
      </c>
      <c r="I17" s="40"/>
      <c r="J17" s="41" t="n">
        <v>3000000</v>
      </c>
      <c r="K17" s="38" t="s">
        <v>87</v>
      </c>
      <c r="L17" s="42" t="str">
        <f aca="false">IF($B17="","",IF(AND(N($I17)=0,N($J17)=0),"금액이 없습니다",IF(AND($I17&gt;0,$J17&gt;0),"수입·지출 둘 다 적혔습니다",IF($C17="","결제수단을 고르십시오",IF(ISNA(MATCH($C17,'통합 ③ 통장·카드'!$A$5:$A$11,0)),"③ 통장·카드에 없는 결제수단입니다",IF($D17="","계정과목을 고르십시오",IF($E17="※없는 과목","④ 설정에 없는 과목입니다",IF(AND($E17="수입",$J17&gt;0),"수입 과목인데 지출에 적혔습니다",IF(AND(LEFT($E17,2)&lt;&gt;"수입",$E17&lt;&gt;"대체",$I17&gt;0),"지출 과목인데 수입에 적혔습니다",IF($K17="","증빙을 고르십시오",IF(AND($C17="바우처통장",$J17&gt;0,IFERROR(INDEX('통합 ④ 설정'!$E$6:$E$40,MATCH($D17,'통합 ④ 설정'!$B$6:$B$40,0)),"")&lt;&gt;"○"),"바우처통장 지출 — 목적 확인",IF($H17="","적요를 적으십시오",""))))))))))))</f>
        <v/>
      </c>
      <c r="M17" s="39"/>
      <c r="O17" s="11" t="n">
        <f aca="false">IF($B17="","",YEAR($B17)*100+MONTH($B17))</f>
        <v>202609</v>
      </c>
      <c r="P17" s="11" t="n">
        <f aca="false">IF($B17="","",IF($E17="대체",0,1))</f>
        <v>0</v>
      </c>
    </row>
    <row r="18" customFormat="false" ht="15" hidden="false" customHeight="false" outlineLevel="0" collapsed="false">
      <c r="A18" s="36" t="n">
        <f aca="false">IF($B18="","",COUNT($B$15:$B18))</f>
        <v>4</v>
      </c>
      <c r="B18" s="37" t="n">
        <v>46267</v>
      </c>
      <c r="C18" s="38" t="s">
        <v>88</v>
      </c>
      <c r="D18" s="20" t="s">
        <v>92</v>
      </c>
      <c r="E18" s="36" t="str">
        <f aca="false">IF($D18="","",IFERROR(INDEX('통합 ④ 설정'!$A$6:$A$40,MATCH($D18,'통합 ④ 설정'!$B$6:$B$40,0)),"※없는 과목"))</f>
        <v>고정지출</v>
      </c>
      <c r="F18" s="36" t="str">
        <f aca="false">IF($D18="","",IFERROR(INDEX('통합 ④ 설정'!$C$6:$C$40,MATCH($D18,'통합 ④ 설정'!$B$6:$B$40,0)),""))</f>
        <v>고정</v>
      </c>
      <c r="G18" s="20" t="s">
        <v>93</v>
      </c>
      <c r="H18" s="39" t="s">
        <v>94</v>
      </c>
      <c r="I18" s="40"/>
      <c r="J18" s="41" t="n">
        <v>2610000</v>
      </c>
      <c r="K18" s="38" t="s">
        <v>87</v>
      </c>
      <c r="L18" s="42" t="str">
        <f aca="false">IF($B18="","",IF(AND(N($I18)=0,N($J18)=0),"금액이 없습니다",IF(AND($I18&gt;0,$J18&gt;0),"수입·지출 둘 다 적혔습니다",IF($C18="","결제수단을 고르십시오",IF(ISNA(MATCH($C18,'통합 ③ 통장·카드'!$A$5:$A$11,0)),"③ 통장·카드에 없는 결제수단입니다",IF($D18="","계정과목을 고르십시오",IF($E18="※없는 과목","④ 설정에 없는 과목입니다",IF(AND($E18="수입",$J18&gt;0),"수입 과목인데 지출에 적혔습니다",IF(AND(LEFT($E18,2)&lt;&gt;"수입",$E18&lt;&gt;"대체",$I18&gt;0),"지출 과목인데 수입에 적혔습니다",IF($K18="","증빙을 고르십시오",IF(AND($C18="바우처통장",$J18&gt;0,IFERROR(INDEX('통합 ④ 설정'!$E$6:$E$40,MATCH($D18,'통합 ④ 설정'!$B$6:$B$40,0)),"")&lt;&gt;"○"),"바우처통장 지출 — 목적 확인",IF($H18="","적요를 적으십시오",""))))))))))))</f>
        <v/>
      </c>
      <c r="M18" s="39"/>
      <c r="O18" s="11" t="n">
        <f aca="false">IF($B18="","",YEAR($B18)*100+MONTH($B18))</f>
        <v>202609</v>
      </c>
      <c r="P18" s="11" t="n">
        <f aca="false">IF($B18="","",IF($E18="대체",0,1))</f>
        <v>1</v>
      </c>
    </row>
    <row r="19" customFormat="false" ht="15" hidden="false" customHeight="false" outlineLevel="0" collapsed="false">
      <c r="A19" s="36" t="n">
        <f aca="false">IF($B19="","",COUNT($B$15:$B19))</f>
        <v>5</v>
      </c>
      <c r="B19" s="37" t="n">
        <v>46269</v>
      </c>
      <c r="C19" s="38" t="s">
        <v>95</v>
      </c>
      <c r="D19" s="20" t="s">
        <v>96</v>
      </c>
      <c r="E19" s="36" t="str">
        <f aca="false">IF($D19="","",IFERROR(INDEX('통합 ④ 설정'!$A$6:$A$40,MATCH($D19,'통합 ④ 설정'!$B$6:$B$40,0)),"※없는 과목"))</f>
        <v>고정지출</v>
      </c>
      <c r="F19" s="36" t="str">
        <f aca="false">IF($D19="","",IFERROR(INDEX('통합 ④ 설정'!$C$6:$C$40,MATCH($D19,'통합 ④ 설정'!$B$6:$B$40,0)),""))</f>
        <v>고정</v>
      </c>
      <c r="G19" s="20" t="s">
        <v>97</v>
      </c>
      <c r="H19" s="39" t="s">
        <v>98</v>
      </c>
      <c r="I19" s="40"/>
      <c r="J19" s="41" t="n">
        <v>850000</v>
      </c>
      <c r="K19" s="38" t="s">
        <v>99</v>
      </c>
      <c r="L19" s="42" t="str">
        <f aca="false">IF($B19="","",IF(AND(N($I19)=0,N($J19)=0),"금액이 없습니다",IF(AND($I19&gt;0,$J19&gt;0),"수입·지출 둘 다 적혔습니다",IF($C19="","결제수단을 고르십시오",IF(ISNA(MATCH($C19,'통합 ③ 통장·카드'!$A$5:$A$11,0)),"③ 통장·카드에 없는 결제수단입니다",IF($D19="","계정과목을 고르십시오",IF($E19="※없는 과목","④ 설정에 없는 과목입니다",IF(AND($E19="수입",$J19&gt;0),"수입 과목인데 지출에 적혔습니다",IF(AND(LEFT($E19,2)&lt;&gt;"수입",$E19&lt;&gt;"대체",$I19&gt;0),"지출 과목인데 수입에 적혔습니다",IF($K19="","증빙을 고르십시오",IF(AND($C19="바우처통장",$J19&gt;0,IFERROR(INDEX('통합 ④ 설정'!$E$6:$E$40,MATCH($D19,'통합 ④ 설정'!$B$6:$B$40,0)),"")&lt;&gt;"○"),"바우처통장 지출 — 목적 확인",IF($H19="","적요를 적으십시오",""))))))))))))</f>
        <v/>
      </c>
      <c r="M19" s="39"/>
      <c r="O19" s="11" t="n">
        <f aca="false">IF($B19="","",YEAR($B19)*100+MONTH($B19))</f>
        <v>202609</v>
      </c>
      <c r="P19" s="11" t="n">
        <f aca="false">IF($B19="","",IF($E19="대체",0,1))</f>
        <v>1</v>
      </c>
    </row>
    <row r="20" customFormat="false" ht="15" hidden="false" customHeight="false" outlineLevel="0" collapsed="false">
      <c r="A20" s="36" t="n">
        <f aca="false">IF($B20="","",COUNT($B$15:$B20))</f>
        <v>6</v>
      </c>
      <c r="B20" s="37" t="n">
        <v>46270</v>
      </c>
      <c r="C20" s="43" t="s">
        <v>100</v>
      </c>
      <c r="D20" s="20" t="s">
        <v>101</v>
      </c>
      <c r="E20" s="36" t="str">
        <f aca="false">IF($D20="","",IFERROR(INDEX('통합 ④ 설정'!$A$6:$A$40,MATCH($D20,'통합 ④ 설정'!$B$6:$B$40,0)),"※없는 과목"))</f>
        <v>변동지출</v>
      </c>
      <c r="F20" s="36" t="str">
        <f aca="false">IF($D20="","",IFERROR(INDEX('통합 ④ 설정'!$C$6:$C$40,MATCH($D20,'통합 ④ 설정'!$B$6:$B$40,0)),""))</f>
        <v>변동</v>
      </c>
      <c r="G20" s="20" t="s">
        <v>102</v>
      </c>
      <c r="H20" s="20" t="s">
        <v>103</v>
      </c>
      <c r="I20" s="40"/>
      <c r="J20" s="41" t="n">
        <v>318000</v>
      </c>
      <c r="K20" s="38" t="s">
        <v>104</v>
      </c>
      <c r="L20" s="42" t="str">
        <f aca="false">IF($B20="","",IF(AND(N($I20)=0,N($J20)=0),"금액이 없습니다",IF(AND($I20&gt;0,$J20&gt;0),"수입·지출 둘 다 적혔습니다",IF($C20="","결제수단을 고르십시오",IF(ISNA(MATCH($C20,'통합 ③ 통장·카드'!$A$5:$A$11,0)),"③ 통장·카드에 없는 결제수단입니다",IF($D20="","계정과목을 고르십시오",IF($E20="※없는 과목","④ 설정에 없는 과목입니다",IF(AND($E20="수입",$J20&gt;0),"수입 과목인데 지출에 적혔습니다",IF(AND(LEFT($E20,2)&lt;&gt;"수입",$E20&lt;&gt;"대체",$I20&gt;0),"지출 과목인데 수입에 적혔습니다",IF($K20="","증빙을 고르십시오",IF(AND($C20="바우처통장",$J20&gt;0,IFERROR(INDEX('통합 ④ 설정'!$E$6:$E$40,MATCH($D20,'통합 ④ 설정'!$B$6:$B$40,0)),"")&lt;&gt;"○"),"바우처통장 지출 — 목적 확인",IF($H20="","적요를 적으십시오",""))))))))))))</f>
        <v/>
      </c>
      <c r="M20" s="39"/>
      <c r="O20" s="11" t="n">
        <f aca="false">IF($B20="","",YEAR($B20)*100+MONTH($B20))</f>
        <v>202609</v>
      </c>
      <c r="P20" s="11" t="n">
        <f aca="false">IF($B20="","",IF($E20="대체",0,1))</f>
        <v>1</v>
      </c>
    </row>
    <row r="21" customFormat="false" ht="15" hidden="false" customHeight="false" outlineLevel="0" collapsed="false">
      <c r="A21" s="36" t="n">
        <f aca="false">IF($B21="","",COUNT($B$15:$B21))</f>
        <v>7</v>
      </c>
      <c r="B21" s="37" t="n">
        <v>46270</v>
      </c>
      <c r="C21" s="38" t="s">
        <v>88</v>
      </c>
      <c r="D21" s="39" t="s">
        <v>105</v>
      </c>
      <c r="E21" s="36" t="str">
        <f aca="false">IF($D21="","",IFERROR(INDEX('통합 ④ 설정'!$A$6:$A$40,MATCH($D21,'통합 ④ 설정'!$B$6:$B$40,0)),"※없는 과목"))</f>
        <v>고정지출</v>
      </c>
      <c r="F21" s="36" t="str">
        <f aca="false">IF($D21="","",IFERROR(INDEX('통합 ④ 설정'!$C$6:$C$40,MATCH($D21,'통합 ④ 설정'!$B$6:$B$40,0)),""))</f>
        <v>고정</v>
      </c>
      <c r="G21" s="20" t="s">
        <v>106</v>
      </c>
      <c r="H21" s="39" t="s">
        <v>107</v>
      </c>
      <c r="I21" s="40"/>
      <c r="J21" s="41" t="n">
        <v>412000</v>
      </c>
      <c r="K21" s="38" t="s">
        <v>87</v>
      </c>
      <c r="L21" s="42" t="str">
        <f aca="false">IF($B21="","",IF(AND(N($I21)=0,N($J21)=0),"금액이 없습니다",IF(AND($I21&gt;0,$J21&gt;0),"수입·지출 둘 다 적혔습니다",IF($C21="","결제수단을 고르십시오",IF(ISNA(MATCH($C21,'통합 ③ 통장·카드'!$A$5:$A$11,0)),"③ 통장·카드에 없는 결제수단입니다",IF($D21="","계정과목을 고르십시오",IF($E21="※없는 과목","④ 설정에 없는 과목입니다",IF(AND($E21="수입",$J21&gt;0),"수입 과목인데 지출에 적혔습니다",IF(AND(LEFT($E21,2)&lt;&gt;"수입",$E21&lt;&gt;"대체",$I21&gt;0),"지출 과목인데 수입에 적혔습니다",IF($K21="","증빙을 고르십시오",IF(AND($C21="바우처통장",$J21&gt;0,IFERROR(INDEX('통합 ④ 설정'!$E$6:$E$40,MATCH($D21,'통합 ④ 설정'!$B$6:$B$40,0)),"")&lt;&gt;"○"),"바우처통장 지출 — 목적 확인",IF($H21="","적요를 적으십시오",""))))))))))))</f>
        <v/>
      </c>
      <c r="M21" s="39"/>
      <c r="O21" s="11" t="n">
        <f aca="false">IF($B21="","",YEAR($B21)*100+MONTH($B21))</f>
        <v>202609</v>
      </c>
      <c r="P21" s="11" t="n">
        <f aca="false">IF($B21="","",IF($E21="대체",0,1))</f>
        <v>1</v>
      </c>
    </row>
    <row r="22" customFormat="false" ht="15" hidden="false" customHeight="false" outlineLevel="0" collapsed="false">
      <c r="A22" s="36" t="n">
        <f aca="false">IF($B22="","",COUNT($B$15:$B22))</f>
        <v>8</v>
      </c>
      <c r="B22" s="37" t="n">
        <v>46275</v>
      </c>
      <c r="C22" s="38" t="s">
        <v>88</v>
      </c>
      <c r="D22" s="20" t="s">
        <v>108</v>
      </c>
      <c r="E22" s="36" t="str">
        <f aca="false">IF($D22="","",IFERROR(INDEX('통합 ④ 설정'!$A$6:$A$40,MATCH($D22,'통합 ④ 설정'!$B$6:$B$40,0)),"※없는 과목"))</f>
        <v>고정지출</v>
      </c>
      <c r="F22" s="36" t="str">
        <f aca="false">IF($D22="","",IFERROR(INDEX('통합 ④ 설정'!$C$6:$C$40,MATCH($D22,'통합 ④ 설정'!$B$6:$B$40,0)),""))</f>
        <v>고정</v>
      </c>
      <c r="G22" s="39" t="s">
        <v>109</v>
      </c>
      <c r="H22" s="39" t="s">
        <v>110</v>
      </c>
      <c r="I22" s="40"/>
      <c r="J22" s="41" t="n">
        <v>88000</v>
      </c>
      <c r="K22" s="38" t="s">
        <v>99</v>
      </c>
      <c r="L22" s="42" t="str">
        <f aca="false">IF($B22="","",IF(AND(N($I22)=0,N($J22)=0),"금액이 없습니다",IF(AND($I22&gt;0,$J22&gt;0),"수입·지출 둘 다 적혔습니다",IF($C22="","결제수단을 고르십시오",IF(ISNA(MATCH($C22,'통합 ③ 통장·카드'!$A$5:$A$11,0)),"③ 통장·카드에 없는 결제수단입니다",IF($D22="","계정과목을 고르십시오",IF($E22="※없는 과목","④ 설정에 없는 과목입니다",IF(AND($E22="수입",$J22&gt;0),"수입 과목인데 지출에 적혔습니다",IF(AND(LEFT($E22,2)&lt;&gt;"수입",$E22&lt;&gt;"대체",$I22&gt;0),"지출 과목인데 수입에 적혔습니다",IF($K22="","증빙을 고르십시오",IF(AND($C22="바우처통장",$J22&gt;0,IFERROR(INDEX('통합 ④ 설정'!$E$6:$E$40,MATCH($D22,'통합 ④ 설정'!$B$6:$B$40,0)),"")&lt;&gt;"○"),"바우처통장 지출 — 목적 확인",IF($H22="","적요를 적으십시오",""))))))))))))</f>
        <v/>
      </c>
      <c r="M22" s="39"/>
      <c r="O22" s="11" t="n">
        <f aca="false">IF($B22="","",YEAR($B22)*100+MONTH($B22))</f>
        <v>202609</v>
      </c>
      <c r="P22" s="11" t="n">
        <f aca="false">IF($B22="","",IF($E22="대체",0,1))</f>
        <v>1</v>
      </c>
    </row>
    <row r="23" customFormat="false" ht="15" hidden="false" customHeight="false" outlineLevel="0" collapsed="false">
      <c r="A23" s="36" t="n">
        <f aca="false">IF($B23="","",COUNT($B$15:$B23))</f>
        <v>9</v>
      </c>
      <c r="B23" s="37" t="n">
        <v>46280</v>
      </c>
      <c r="C23" s="38" t="s">
        <v>88</v>
      </c>
      <c r="D23" s="20" t="s">
        <v>111</v>
      </c>
      <c r="E23" s="36" t="str">
        <f aca="false">IF($D23="","",IFERROR(INDEX('통합 ④ 설정'!$A$6:$A$40,MATCH($D23,'통합 ④ 설정'!$B$6:$B$40,0)),"※없는 과목"))</f>
        <v>수입</v>
      </c>
      <c r="F23" s="36" t="n">
        <f aca="false">IF($D23="","",IFERROR(INDEX('통합 ④ 설정'!$C$6:$C$40,MATCH($D23,'통합 ④ 설정'!$B$6:$B$40,0)),""))</f>
        <v>0</v>
      </c>
      <c r="G23" s="20" t="s">
        <v>4</v>
      </c>
      <c r="H23" s="39" t="s">
        <v>112</v>
      </c>
      <c r="I23" s="40" t="n">
        <v>300000</v>
      </c>
      <c r="J23" s="41"/>
      <c r="K23" s="38" t="s">
        <v>87</v>
      </c>
      <c r="L23" s="42" t="str">
        <f aca="false">IF($B23="","",IF(AND(N($I23)=0,N($J23)=0),"금액이 없습니다",IF(AND($I23&gt;0,$J23&gt;0),"수입·지출 둘 다 적혔습니다",IF($C23="","결제수단을 고르십시오",IF(ISNA(MATCH($C23,'통합 ③ 통장·카드'!$A$5:$A$11,0)),"③ 통장·카드에 없는 결제수단입니다",IF($D23="","계정과목을 고르십시오",IF($E23="※없는 과목","④ 설정에 없는 과목입니다",IF(AND($E23="수입",$J23&gt;0),"수입 과목인데 지출에 적혔습니다",IF(AND(LEFT($E23,2)&lt;&gt;"수입",$E23&lt;&gt;"대체",$I23&gt;0),"지출 과목인데 수입에 적혔습니다",IF($K23="","증빙을 고르십시오",IF(AND($C23="바우처통장",$J23&gt;0,IFERROR(INDEX('통합 ④ 설정'!$E$6:$E$40,MATCH($D23,'통합 ④ 설정'!$B$6:$B$40,0)),"")&lt;&gt;"○"),"바우처통장 지출 — 목적 확인",IF($H23="","적요를 적으십시오",""))))))))))))</f>
        <v/>
      </c>
      <c r="M23" s="20" t="s">
        <v>113</v>
      </c>
      <c r="O23" s="11" t="n">
        <f aca="false">IF($B23="","",YEAR($B23)*100+MONTH($B23))</f>
        <v>202609</v>
      </c>
      <c r="P23" s="11" t="n">
        <f aca="false">IF($B23="","",IF($E23="대체",0,1))</f>
        <v>1</v>
      </c>
    </row>
    <row r="24" customFormat="false" ht="15" hidden="false" customHeight="false" outlineLevel="0" collapsed="false">
      <c r="A24" s="36" t="str">
        <f aca="false">IF($B24="","",COUNT($B$15:$B24))</f>
        <v/>
      </c>
      <c r="B24" s="37"/>
      <c r="C24" s="38"/>
      <c r="D24" s="39"/>
      <c r="E24" s="36" t="str">
        <f aca="false">IF($D24="","",IFERROR(INDEX('통합 ④ 설정'!$A$6:$A$40,MATCH($D24,'통합 ④ 설정'!$B$6:$B$40,0)),"※없는 과목"))</f>
        <v/>
      </c>
      <c r="F24" s="36" t="str">
        <f aca="false">IF($D24="","",IFERROR(INDEX('통합 ④ 설정'!$C$6:$C$40,MATCH($D24,'통합 ④ 설정'!$B$6:$B$40,0)),""))</f>
        <v/>
      </c>
      <c r="G24" s="39"/>
      <c r="H24" s="39"/>
      <c r="I24" s="40"/>
      <c r="J24" s="41"/>
      <c r="K24" s="38"/>
      <c r="L24" s="42" t="str">
        <f aca="false">IF($B24="","",IF(AND(N($I24)=0,N($J24)=0),"금액이 없습니다",IF(AND($I24&gt;0,$J24&gt;0),"수입·지출 둘 다 적혔습니다",IF($C24="","결제수단을 고르십시오",IF(ISNA(MATCH($C24,'통합 ③ 통장·카드'!$A$5:$A$11,0)),"③ 통장·카드에 없는 결제수단입니다",IF($D24="","계정과목을 고르십시오",IF($E24="※없는 과목","④ 설정에 없는 과목입니다",IF(AND($E24="수입",$J24&gt;0),"수입 과목인데 지출에 적혔습니다",IF(AND(LEFT($E24,2)&lt;&gt;"수입",$E24&lt;&gt;"대체",$I24&gt;0),"지출 과목인데 수입에 적혔습니다",IF($K24="","증빙을 고르십시오",IF(AND($C24="바우처통장",$J24&gt;0,IFERROR(INDEX('통합 ④ 설정'!$E$6:$E$40,MATCH($D24,'통합 ④ 설정'!$B$6:$B$40,0)),"")&lt;&gt;"○"),"바우처통장 지출 — 목적 확인",IF($H24="","적요를 적으십시오",""))))))))))))</f>
        <v/>
      </c>
      <c r="M24" s="39"/>
      <c r="O24" s="11" t="str">
        <f aca="false">IF($B24="","",YEAR($B24)*100+MONTH($B24))</f>
        <v/>
      </c>
      <c r="P24" s="11" t="str">
        <f aca="false">IF($B24="","",IF($E24="대체",0,1))</f>
        <v/>
      </c>
    </row>
    <row r="25" customFormat="false" ht="15" hidden="false" customHeight="false" outlineLevel="0" collapsed="false">
      <c r="A25" s="36" t="str">
        <f aca="false">IF($B25="","",COUNT($B$15:$B25))</f>
        <v/>
      </c>
      <c r="B25" s="37"/>
      <c r="C25" s="38"/>
      <c r="D25" s="39"/>
      <c r="E25" s="36" t="str">
        <f aca="false">IF($D25="","",IFERROR(INDEX('통합 ④ 설정'!$A$6:$A$40,MATCH($D25,'통합 ④ 설정'!$B$6:$B$40,0)),"※없는 과목"))</f>
        <v/>
      </c>
      <c r="F25" s="36" t="str">
        <f aca="false">IF($D25="","",IFERROR(INDEX('통합 ④ 설정'!$C$6:$C$40,MATCH($D25,'통합 ④ 설정'!$B$6:$B$40,0)),""))</f>
        <v/>
      </c>
      <c r="G25" s="39"/>
      <c r="H25" s="39"/>
      <c r="I25" s="40"/>
      <c r="J25" s="41"/>
      <c r="K25" s="38"/>
      <c r="L25" s="42" t="str">
        <f aca="false">IF($B25="","",IF(AND(N($I25)=0,N($J25)=0),"금액이 없습니다",IF(AND($I25&gt;0,$J25&gt;0),"수입·지출 둘 다 적혔습니다",IF($C25="","결제수단을 고르십시오",IF(ISNA(MATCH($C25,'통합 ③ 통장·카드'!$A$5:$A$11,0)),"③ 통장·카드에 없는 결제수단입니다",IF($D25="","계정과목을 고르십시오",IF($E25="※없는 과목","④ 설정에 없는 과목입니다",IF(AND($E25="수입",$J25&gt;0),"수입 과목인데 지출에 적혔습니다",IF(AND(LEFT($E25,2)&lt;&gt;"수입",$E25&lt;&gt;"대체",$I25&gt;0),"지출 과목인데 수입에 적혔습니다",IF($K25="","증빙을 고르십시오",IF(AND($C25="바우처통장",$J25&gt;0,IFERROR(INDEX('통합 ④ 설정'!$E$6:$E$40,MATCH($D25,'통합 ④ 설정'!$B$6:$B$40,0)),"")&lt;&gt;"○"),"바우처통장 지출 — 목적 확인",IF($H25="","적요를 적으십시오",""))))))))))))</f>
        <v/>
      </c>
      <c r="M25" s="39"/>
      <c r="O25" s="11" t="str">
        <f aca="false">IF($B25="","",YEAR($B25)*100+MONTH($B25))</f>
        <v/>
      </c>
      <c r="P25" s="11" t="str">
        <f aca="false">IF($B25="","",IF($E25="대체",0,1))</f>
        <v/>
      </c>
    </row>
    <row r="26" customFormat="false" ht="15" hidden="false" customHeight="false" outlineLevel="0" collapsed="false">
      <c r="A26" s="36" t="str">
        <f aca="false">IF($B26="","",COUNT($B$15:$B26))</f>
        <v/>
      </c>
      <c r="B26" s="37"/>
      <c r="C26" s="38"/>
      <c r="D26" s="39"/>
      <c r="E26" s="36" t="str">
        <f aca="false">IF($D26="","",IFERROR(INDEX('통합 ④ 설정'!$A$6:$A$40,MATCH($D26,'통합 ④ 설정'!$B$6:$B$40,0)),"※없는 과목"))</f>
        <v/>
      </c>
      <c r="F26" s="36" t="str">
        <f aca="false">IF($D26="","",IFERROR(INDEX('통합 ④ 설정'!$C$6:$C$40,MATCH($D26,'통합 ④ 설정'!$B$6:$B$40,0)),""))</f>
        <v/>
      </c>
      <c r="G26" s="39"/>
      <c r="H26" s="39"/>
      <c r="I26" s="40"/>
      <c r="J26" s="41"/>
      <c r="K26" s="38"/>
      <c r="L26" s="42" t="str">
        <f aca="false">IF($B26="","",IF(AND(N($I26)=0,N($J26)=0),"금액이 없습니다",IF(AND($I26&gt;0,$J26&gt;0),"수입·지출 둘 다 적혔습니다",IF($C26="","결제수단을 고르십시오",IF(ISNA(MATCH($C26,'통합 ③ 통장·카드'!$A$5:$A$11,0)),"③ 통장·카드에 없는 결제수단입니다",IF($D26="","계정과목을 고르십시오",IF($E26="※없는 과목","④ 설정에 없는 과목입니다",IF(AND($E26="수입",$J26&gt;0),"수입 과목인데 지출에 적혔습니다",IF(AND(LEFT($E26,2)&lt;&gt;"수입",$E26&lt;&gt;"대체",$I26&gt;0),"지출 과목인데 수입에 적혔습니다",IF($K26="","증빙을 고르십시오",IF(AND($C26="바우처통장",$J26&gt;0,IFERROR(INDEX('통합 ④ 설정'!$E$6:$E$40,MATCH($D26,'통합 ④ 설정'!$B$6:$B$40,0)),"")&lt;&gt;"○"),"바우처통장 지출 — 목적 확인",IF($H26="","적요를 적으십시오",""))))))))))))</f>
        <v/>
      </c>
      <c r="M26" s="39"/>
      <c r="O26" s="11" t="str">
        <f aca="false">IF($B26="","",YEAR($B26)*100+MONTH($B26))</f>
        <v/>
      </c>
      <c r="P26" s="11" t="str">
        <f aca="false">IF($B26="","",IF($E26="대체",0,1))</f>
        <v/>
      </c>
    </row>
    <row r="27" customFormat="false" ht="15" hidden="false" customHeight="false" outlineLevel="0" collapsed="false">
      <c r="A27" s="36" t="str">
        <f aca="false">IF($B27="","",COUNT($B$15:$B27))</f>
        <v/>
      </c>
      <c r="B27" s="37"/>
      <c r="C27" s="38"/>
      <c r="D27" s="39"/>
      <c r="E27" s="36" t="str">
        <f aca="false">IF($D27="","",IFERROR(INDEX('통합 ④ 설정'!$A$6:$A$40,MATCH($D27,'통합 ④ 설정'!$B$6:$B$40,0)),"※없는 과목"))</f>
        <v/>
      </c>
      <c r="F27" s="36" t="str">
        <f aca="false">IF($D27="","",IFERROR(INDEX('통합 ④ 설정'!$C$6:$C$40,MATCH($D27,'통합 ④ 설정'!$B$6:$B$40,0)),""))</f>
        <v/>
      </c>
      <c r="G27" s="39"/>
      <c r="H27" s="39"/>
      <c r="I27" s="40"/>
      <c r="J27" s="41"/>
      <c r="K27" s="38"/>
      <c r="L27" s="42" t="str">
        <f aca="false">IF($B27="","",IF(AND(N($I27)=0,N($J27)=0),"금액이 없습니다",IF(AND($I27&gt;0,$J27&gt;0),"수입·지출 둘 다 적혔습니다",IF($C27="","결제수단을 고르십시오",IF(ISNA(MATCH($C27,'통합 ③ 통장·카드'!$A$5:$A$11,0)),"③ 통장·카드에 없는 결제수단입니다",IF($D27="","계정과목을 고르십시오",IF($E27="※없는 과목","④ 설정에 없는 과목입니다",IF(AND($E27="수입",$J27&gt;0),"수입 과목인데 지출에 적혔습니다",IF(AND(LEFT($E27,2)&lt;&gt;"수입",$E27&lt;&gt;"대체",$I27&gt;0),"지출 과목인데 수입에 적혔습니다",IF($K27="","증빙을 고르십시오",IF(AND($C27="바우처통장",$J27&gt;0,IFERROR(INDEX('통합 ④ 설정'!$E$6:$E$40,MATCH($D27,'통합 ④ 설정'!$B$6:$B$40,0)),"")&lt;&gt;"○"),"바우처통장 지출 — 목적 확인",IF($H27="","적요를 적으십시오",""))))))))))))</f>
        <v/>
      </c>
      <c r="M27" s="39"/>
      <c r="O27" s="11" t="str">
        <f aca="false">IF($B27="","",YEAR($B27)*100+MONTH($B27))</f>
        <v/>
      </c>
      <c r="P27" s="11" t="str">
        <f aca="false">IF($B27="","",IF($E27="대체",0,1))</f>
        <v/>
      </c>
    </row>
    <row r="28" customFormat="false" ht="15" hidden="false" customHeight="false" outlineLevel="0" collapsed="false">
      <c r="A28" s="36" t="str">
        <f aca="false">IF($B28="","",COUNT($B$15:$B28))</f>
        <v/>
      </c>
      <c r="B28" s="37"/>
      <c r="C28" s="38"/>
      <c r="D28" s="39"/>
      <c r="E28" s="36" t="str">
        <f aca="false">IF($D28="","",IFERROR(INDEX('통합 ④ 설정'!$A$6:$A$40,MATCH($D28,'통합 ④ 설정'!$B$6:$B$40,0)),"※없는 과목"))</f>
        <v/>
      </c>
      <c r="F28" s="36" t="str">
        <f aca="false">IF($D28="","",IFERROR(INDEX('통합 ④ 설정'!$C$6:$C$40,MATCH($D28,'통합 ④ 설정'!$B$6:$B$40,0)),""))</f>
        <v/>
      </c>
      <c r="G28" s="39"/>
      <c r="H28" s="39"/>
      <c r="I28" s="40"/>
      <c r="J28" s="41"/>
      <c r="K28" s="38"/>
      <c r="L28" s="42" t="str">
        <f aca="false">IF($B28="","",IF(AND(N($I28)=0,N($J28)=0),"금액이 없습니다",IF(AND($I28&gt;0,$J28&gt;0),"수입·지출 둘 다 적혔습니다",IF($C28="","결제수단을 고르십시오",IF(ISNA(MATCH($C28,'통합 ③ 통장·카드'!$A$5:$A$11,0)),"③ 통장·카드에 없는 결제수단입니다",IF($D28="","계정과목을 고르십시오",IF($E28="※없는 과목","④ 설정에 없는 과목입니다",IF(AND($E28="수입",$J28&gt;0),"수입 과목인데 지출에 적혔습니다",IF(AND(LEFT($E28,2)&lt;&gt;"수입",$E28&lt;&gt;"대체",$I28&gt;0),"지출 과목인데 수입에 적혔습니다",IF($K28="","증빙을 고르십시오",IF(AND($C28="바우처통장",$J28&gt;0,IFERROR(INDEX('통합 ④ 설정'!$E$6:$E$40,MATCH($D28,'통합 ④ 설정'!$B$6:$B$40,0)),"")&lt;&gt;"○"),"바우처통장 지출 — 목적 확인",IF($H28="","적요를 적으십시오",""))))))))))))</f>
        <v/>
      </c>
      <c r="M28" s="39"/>
      <c r="O28" s="11" t="str">
        <f aca="false">IF($B28="","",YEAR($B28)*100+MONTH($B28))</f>
        <v/>
      </c>
      <c r="P28" s="11" t="str">
        <f aca="false">IF($B28="","",IF($E28="대체",0,1))</f>
        <v/>
      </c>
    </row>
    <row r="29" customFormat="false" ht="15" hidden="false" customHeight="false" outlineLevel="0" collapsed="false">
      <c r="A29" s="36" t="str">
        <f aca="false">IF($B29="","",COUNT($B$15:$B29))</f>
        <v/>
      </c>
      <c r="B29" s="37"/>
      <c r="C29" s="38"/>
      <c r="D29" s="39"/>
      <c r="E29" s="36" t="str">
        <f aca="false">IF($D29="","",IFERROR(INDEX('통합 ④ 설정'!$A$6:$A$40,MATCH($D29,'통합 ④ 설정'!$B$6:$B$40,0)),"※없는 과목"))</f>
        <v/>
      </c>
      <c r="F29" s="36" t="str">
        <f aca="false">IF($D29="","",IFERROR(INDEX('통합 ④ 설정'!$C$6:$C$40,MATCH($D29,'통합 ④ 설정'!$B$6:$B$40,0)),""))</f>
        <v/>
      </c>
      <c r="G29" s="39"/>
      <c r="H29" s="39"/>
      <c r="I29" s="40"/>
      <c r="J29" s="41"/>
      <c r="K29" s="38"/>
      <c r="L29" s="42" t="str">
        <f aca="false">IF($B29="","",IF(AND(N($I29)=0,N($J29)=0),"금액이 없습니다",IF(AND($I29&gt;0,$J29&gt;0),"수입·지출 둘 다 적혔습니다",IF($C29="","결제수단을 고르십시오",IF(ISNA(MATCH($C29,'통합 ③ 통장·카드'!$A$5:$A$11,0)),"③ 통장·카드에 없는 결제수단입니다",IF($D29="","계정과목을 고르십시오",IF($E29="※없는 과목","④ 설정에 없는 과목입니다",IF(AND($E29="수입",$J29&gt;0),"수입 과목인데 지출에 적혔습니다",IF(AND(LEFT($E29,2)&lt;&gt;"수입",$E29&lt;&gt;"대체",$I29&gt;0),"지출 과목인데 수입에 적혔습니다",IF($K29="","증빙을 고르십시오",IF(AND($C29="바우처통장",$J29&gt;0,IFERROR(INDEX('통합 ④ 설정'!$E$6:$E$40,MATCH($D29,'통합 ④ 설정'!$B$6:$B$40,0)),"")&lt;&gt;"○"),"바우처통장 지출 — 목적 확인",IF($H29="","적요를 적으십시오",""))))))))))))</f>
        <v/>
      </c>
      <c r="M29" s="39"/>
      <c r="O29" s="11" t="str">
        <f aca="false">IF($B29="","",YEAR($B29)*100+MONTH($B29))</f>
        <v/>
      </c>
      <c r="P29" s="11" t="str">
        <f aca="false">IF($B29="","",IF($E29="대체",0,1))</f>
        <v/>
      </c>
    </row>
    <row r="30" customFormat="false" ht="15" hidden="false" customHeight="false" outlineLevel="0" collapsed="false">
      <c r="A30" s="36" t="str">
        <f aca="false">IF($B30="","",COUNT($B$15:$B30))</f>
        <v/>
      </c>
      <c r="B30" s="37"/>
      <c r="C30" s="38"/>
      <c r="D30" s="39"/>
      <c r="E30" s="36" t="str">
        <f aca="false">IF($D30="","",IFERROR(INDEX('통합 ④ 설정'!$A$6:$A$40,MATCH($D30,'통합 ④ 설정'!$B$6:$B$40,0)),"※없는 과목"))</f>
        <v/>
      </c>
      <c r="F30" s="36" t="str">
        <f aca="false">IF($D30="","",IFERROR(INDEX('통합 ④ 설정'!$C$6:$C$40,MATCH($D30,'통합 ④ 설정'!$B$6:$B$40,0)),""))</f>
        <v/>
      </c>
      <c r="G30" s="39"/>
      <c r="H30" s="39"/>
      <c r="I30" s="40"/>
      <c r="J30" s="41"/>
      <c r="K30" s="38"/>
      <c r="L30" s="42" t="str">
        <f aca="false">IF($B30="","",IF(AND(N($I30)=0,N($J30)=0),"금액이 없습니다",IF(AND($I30&gt;0,$J30&gt;0),"수입·지출 둘 다 적혔습니다",IF($C30="","결제수단을 고르십시오",IF(ISNA(MATCH($C30,'통합 ③ 통장·카드'!$A$5:$A$11,0)),"③ 통장·카드에 없는 결제수단입니다",IF($D30="","계정과목을 고르십시오",IF($E30="※없는 과목","④ 설정에 없는 과목입니다",IF(AND($E30="수입",$J30&gt;0),"수입 과목인데 지출에 적혔습니다",IF(AND(LEFT($E30,2)&lt;&gt;"수입",$E30&lt;&gt;"대체",$I30&gt;0),"지출 과목인데 수입에 적혔습니다",IF($K30="","증빙을 고르십시오",IF(AND($C30="바우처통장",$J30&gt;0,IFERROR(INDEX('통합 ④ 설정'!$E$6:$E$40,MATCH($D30,'통합 ④ 설정'!$B$6:$B$40,0)),"")&lt;&gt;"○"),"바우처통장 지출 — 목적 확인",IF($H30="","적요를 적으십시오",""))))))))))))</f>
        <v/>
      </c>
      <c r="M30" s="39"/>
      <c r="O30" s="11" t="str">
        <f aca="false">IF($B30="","",YEAR($B30)*100+MONTH($B30))</f>
        <v/>
      </c>
      <c r="P30" s="11" t="str">
        <f aca="false">IF($B30="","",IF($E30="대체",0,1))</f>
        <v/>
      </c>
    </row>
    <row r="31" customFormat="false" ht="15" hidden="false" customHeight="false" outlineLevel="0" collapsed="false">
      <c r="A31" s="36" t="str">
        <f aca="false">IF($B31="","",COUNT($B$15:$B31))</f>
        <v/>
      </c>
      <c r="B31" s="37"/>
      <c r="C31" s="38"/>
      <c r="D31" s="39"/>
      <c r="E31" s="36" t="str">
        <f aca="false">IF($D31="","",IFERROR(INDEX('통합 ④ 설정'!$A$6:$A$40,MATCH($D31,'통합 ④ 설정'!$B$6:$B$40,0)),"※없는 과목"))</f>
        <v/>
      </c>
      <c r="F31" s="36" t="str">
        <f aca="false">IF($D31="","",IFERROR(INDEX('통합 ④ 설정'!$C$6:$C$40,MATCH($D31,'통합 ④ 설정'!$B$6:$B$40,0)),""))</f>
        <v/>
      </c>
      <c r="G31" s="39"/>
      <c r="H31" s="39"/>
      <c r="I31" s="40"/>
      <c r="J31" s="41"/>
      <c r="K31" s="38"/>
      <c r="L31" s="42" t="str">
        <f aca="false">IF($B31="","",IF(AND(N($I31)=0,N($J31)=0),"금액이 없습니다",IF(AND($I31&gt;0,$J31&gt;0),"수입·지출 둘 다 적혔습니다",IF($C31="","결제수단을 고르십시오",IF(ISNA(MATCH($C31,'통합 ③ 통장·카드'!$A$5:$A$11,0)),"③ 통장·카드에 없는 결제수단입니다",IF($D31="","계정과목을 고르십시오",IF($E31="※없는 과목","④ 설정에 없는 과목입니다",IF(AND($E31="수입",$J31&gt;0),"수입 과목인데 지출에 적혔습니다",IF(AND(LEFT($E31,2)&lt;&gt;"수입",$E31&lt;&gt;"대체",$I31&gt;0),"지출 과목인데 수입에 적혔습니다",IF($K31="","증빙을 고르십시오",IF(AND($C31="바우처통장",$J31&gt;0,IFERROR(INDEX('통합 ④ 설정'!$E$6:$E$40,MATCH($D31,'통합 ④ 설정'!$B$6:$B$40,0)),"")&lt;&gt;"○"),"바우처통장 지출 — 목적 확인",IF($H31="","적요를 적으십시오",""))))))))))))</f>
        <v/>
      </c>
      <c r="M31" s="39"/>
      <c r="O31" s="11" t="str">
        <f aca="false">IF($B31="","",YEAR($B31)*100+MONTH($B31))</f>
        <v/>
      </c>
      <c r="P31" s="11" t="str">
        <f aca="false">IF($B31="","",IF($E31="대체",0,1))</f>
        <v/>
      </c>
    </row>
    <row r="32" customFormat="false" ht="15" hidden="false" customHeight="false" outlineLevel="0" collapsed="false">
      <c r="A32" s="36" t="str">
        <f aca="false">IF($B32="","",COUNT($B$15:$B32))</f>
        <v/>
      </c>
      <c r="B32" s="37"/>
      <c r="C32" s="38"/>
      <c r="D32" s="39"/>
      <c r="E32" s="36" t="str">
        <f aca="false">IF($D32="","",IFERROR(INDEX('통합 ④ 설정'!$A$6:$A$40,MATCH($D32,'통합 ④ 설정'!$B$6:$B$40,0)),"※없는 과목"))</f>
        <v/>
      </c>
      <c r="F32" s="36" t="str">
        <f aca="false">IF($D32="","",IFERROR(INDEX('통합 ④ 설정'!$C$6:$C$40,MATCH($D32,'통합 ④ 설정'!$B$6:$B$40,0)),""))</f>
        <v/>
      </c>
      <c r="G32" s="39"/>
      <c r="H32" s="39"/>
      <c r="I32" s="40"/>
      <c r="J32" s="41"/>
      <c r="K32" s="38"/>
      <c r="L32" s="42" t="str">
        <f aca="false">IF($B32="","",IF(AND(N($I32)=0,N($J32)=0),"금액이 없습니다",IF(AND($I32&gt;0,$J32&gt;0),"수입·지출 둘 다 적혔습니다",IF($C32="","결제수단을 고르십시오",IF(ISNA(MATCH($C32,'통합 ③ 통장·카드'!$A$5:$A$11,0)),"③ 통장·카드에 없는 결제수단입니다",IF($D32="","계정과목을 고르십시오",IF($E32="※없는 과목","④ 설정에 없는 과목입니다",IF(AND($E32="수입",$J32&gt;0),"수입 과목인데 지출에 적혔습니다",IF(AND(LEFT($E32,2)&lt;&gt;"수입",$E32&lt;&gt;"대체",$I32&gt;0),"지출 과목인데 수입에 적혔습니다",IF($K32="","증빙을 고르십시오",IF(AND($C32="바우처통장",$J32&gt;0,IFERROR(INDEX('통합 ④ 설정'!$E$6:$E$40,MATCH($D32,'통합 ④ 설정'!$B$6:$B$40,0)),"")&lt;&gt;"○"),"바우처통장 지출 — 목적 확인",IF($H32="","적요를 적으십시오",""))))))))))))</f>
        <v/>
      </c>
      <c r="M32" s="39"/>
      <c r="O32" s="11" t="str">
        <f aca="false">IF($B32="","",YEAR($B32)*100+MONTH($B32))</f>
        <v/>
      </c>
      <c r="P32" s="11" t="str">
        <f aca="false">IF($B32="","",IF($E32="대체",0,1))</f>
        <v/>
      </c>
    </row>
    <row r="33" customFormat="false" ht="15" hidden="false" customHeight="false" outlineLevel="0" collapsed="false">
      <c r="A33" s="36" t="str">
        <f aca="false">IF($B33="","",COUNT($B$15:$B33))</f>
        <v/>
      </c>
      <c r="B33" s="37"/>
      <c r="C33" s="38"/>
      <c r="D33" s="39"/>
      <c r="E33" s="36" t="str">
        <f aca="false">IF($D33="","",IFERROR(INDEX('통합 ④ 설정'!$A$6:$A$40,MATCH($D33,'통합 ④ 설정'!$B$6:$B$40,0)),"※없는 과목"))</f>
        <v/>
      </c>
      <c r="F33" s="36" t="str">
        <f aca="false">IF($D33="","",IFERROR(INDEX('통합 ④ 설정'!$C$6:$C$40,MATCH($D33,'통합 ④ 설정'!$B$6:$B$40,0)),""))</f>
        <v/>
      </c>
      <c r="G33" s="39"/>
      <c r="H33" s="39"/>
      <c r="I33" s="40"/>
      <c r="J33" s="41"/>
      <c r="K33" s="38"/>
      <c r="L33" s="42" t="str">
        <f aca="false">IF($B33="","",IF(AND(N($I33)=0,N($J33)=0),"금액이 없습니다",IF(AND($I33&gt;0,$J33&gt;0),"수입·지출 둘 다 적혔습니다",IF($C33="","결제수단을 고르십시오",IF(ISNA(MATCH($C33,'통합 ③ 통장·카드'!$A$5:$A$11,0)),"③ 통장·카드에 없는 결제수단입니다",IF($D33="","계정과목을 고르십시오",IF($E33="※없는 과목","④ 설정에 없는 과목입니다",IF(AND($E33="수입",$J33&gt;0),"수입 과목인데 지출에 적혔습니다",IF(AND(LEFT($E33,2)&lt;&gt;"수입",$E33&lt;&gt;"대체",$I33&gt;0),"지출 과목인데 수입에 적혔습니다",IF($K33="","증빙을 고르십시오",IF(AND($C33="바우처통장",$J33&gt;0,IFERROR(INDEX('통합 ④ 설정'!$E$6:$E$40,MATCH($D33,'통합 ④ 설정'!$B$6:$B$40,0)),"")&lt;&gt;"○"),"바우처통장 지출 — 목적 확인",IF($H33="","적요를 적으십시오",""))))))))))))</f>
        <v/>
      </c>
      <c r="M33" s="39"/>
      <c r="O33" s="11" t="str">
        <f aca="false">IF($B33="","",YEAR($B33)*100+MONTH($B33))</f>
        <v/>
      </c>
      <c r="P33" s="11" t="str">
        <f aca="false">IF($B33="","",IF($E33="대체",0,1))</f>
        <v/>
      </c>
    </row>
    <row r="34" customFormat="false" ht="15" hidden="false" customHeight="false" outlineLevel="0" collapsed="false">
      <c r="A34" s="36" t="str">
        <f aca="false">IF($B34="","",COUNT($B$15:$B34))</f>
        <v/>
      </c>
      <c r="B34" s="37"/>
      <c r="C34" s="38"/>
      <c r="D34" s="39"/>
      <c r="E34" s="36" t="str">
        <f aca="false">IF($D34="","",IFERROR(INDEX('통합 ④ 설정'!$A$6:$A$40,MATCH($D34,'통합 ④ 설정'!$B$6:$B$40,0)),"※없는 과목"))</f>
        <v/>
      </c>
      <c r="F34" s="36" t="str">
        <f aca="false">IF($D34="","",IFERROR(INDEX('통합 ④ 설정'!$C$6:$C$40,MATCH($D34,'통합 ④ 설정'!$B$6:$B$40,0)),""))</f>
        <v/>
      </c>
      <c r="G34" s="39"/>
      <c r="H34" s="39"/>
      <c r="I34" s="40"/>
      <c r="J34" s="41"/>
      <c r="K34" s="38"/>
      <c r="L34" s="42" t="str">
        <f aca="false">IF($B34="","",IF(AND(N($I34)=0,N($J34)=0),"금액이 없습니다",IF(AND($I34&gt;0,$J34&gt;0),"수입·지출 둘 다 적혔습니다",IF($C34="","결제수단을 고르십시오",IF(ISNA(MATCH($C34,'통합 ③ 통장·카드'!$A$5:$A$11,0)),"③ 통장·카드에 없는 결제수단입니다",IF($D34="","계정과목을 고르십시오",IF($E34="※없는 과목","④ 설정에 없는 과목입니다",IF(AND($E34="수입",$J34&gt;0),"수입 과목인데 지출에 적혔습니다",IF(AND(LEFT($E34,2)&lt;&gt;"수입",$E34&lt;&gt;"대체",$I34&gt;0),"지출 과목인데 수입에 적혔습니다",IF($K34="","증빙을 고르십시오",IF(AND($C34="바우처통장",$J34&gt;0,IFERROR(INDEX('통합 ④ 설정'!$E$6:$E$40,MATCH($D34,'통합 ④ 설정'!$B$6:$B$40,0)),"")&lt;&gt;"○"),"바우처통장 지출 — 목적 확인",IF($H34="","적요를 적으십시오",""))))))))))))</f>
        <v/>
      </c>
      <c r="M34" s="39"/>
      <c r="O34" s="11" t="str">
        <f aca="false">IF($B34="","",YEAR($B34)*100+MONTH($B34))</f>
        <v/>
      </c>
      <c r="P34" s="11" t="str">
        <f aca="false">IF($B34="","",IF($E34="대체",0,1))</f>
        <v/>
      </c>
    </row>
    <row r="35" customFormat="false" ht="15" hidden="false" customHeight="false" outlineLevel="0" collapsed="false">
      <c r="A35" s="36" t="str">
        <f aca="false">IF($B35="","",COUNT($B$15:$B35))</f>
        <v/>
      </c>
      <c r="B35" s="37"/>
      <c r="C35" s="38"/>
      <c r="D35" s="39"/>
      <c r="E35" s="36" t="str">
        <f aca="false">IF($D35="","",IFERROR(INDEX('통합 ④ 설정'!$A$6:$A$40,MATCH($D35,'통합 ④ 설정'!$B$6:$B$40,0)),"※없는 과목"))</f>
        <v/>
      </c>
      <c r="F35" s="36" t="str">
        <f aca="false">IF($D35="","",IFERROR(INDEX('통합 ④ 설정'!$C$6:$C$40,MATCH($D35,'통합 ④ 설정'!$B$6:$B$40,0)),""))</f>
        <v/>
      </c>
      <c r="G35" s="39"/>
      <c r="H35" s="39"/>
      <c r="I35" s="40"/>
      <c r="J35" s="41"/>
      <c r="K35" s="38"/>
      <c r="L35" s="42" t="str">
        <f aca="false">IF($B35="","",IF(AND(N($I35)=0,N($J35)=0),"금액이 없습니다",IF(AND($I35&gt;0,$J35&gt;0),"수입·지출 둘 다 적혔습니다",IF($C35="","결제수단을 고르십시오",IF(ISNA(MATCH($C35,'통합 ③ 통장·카드'!$A$5:$A$11,0)),"③ 통장·카드에 없는 결제수단입니다",IF($D35="","계정과목을 고르십시오",IF($E35="※없는 과목","④ 설정에 없는 과목입니다",IF(AND($E35="수입",$J35&gt;0),"수입 과목인데 지출에 적혔습니다",IF(AND(LEFT($E35,2)&lt;&gt;"수입",$E35&lt;&gt;"대체",$I35&gt;0),"지출 과목인데 수입에 적혔습니다",IF($K35="","증빙을 고르십시오",IF(AND($C35="바우처통장",$J35&gt;0,IFERROR(INDEX('통합 ④ 설정'!$E$6:$E$40,MATCH($D35,'통합 ④ 설정'!$B$6:$B$40,0)),"")&lt;&gt;"○"),"바우처통장 지출 — 목적 확인",IF($H35="","적요를 적으십시오",""))))))))))))</f>
        <v/>
      </c>
      <c r="M35" s="39"/>
      <c r="O35" s="11" t="str">
        <f aca="false">IF($B35="","",YEAR($B35)*100+MONTH($B35))</f>
        <v/>
      </c>
      <c r="P35" s="11" t="str">
        <f aca="false">IF($B35="","",IF($E35="대체",0,1))</f>
        <v/>
      </c>
    </row>
    <row r="36" customFormat="false" ht="15" hidden="false" customHeight="false" outlineLevel="0" collapsed="false">
      <c r="A36" s="36" t="str">
        <f aca="false">IF($B36="","",COUNT($B$15:$B36))</f>
        <v/>
      </c>
      <c r="B36" s="37"/>
      <c r="C36" s="38"/>
      <c r="D36" s="39"/>
      <c r="E36" s="36" t="str">
        <f aca="false">IF($D36="","",IFERROR(INDEX('통합 ④ 설정'!$A$6:$A$40,MATCH($D36,'통합 ④ 설정'!$B$6:$B$40,0)),"※없는 과목"))</f>
        <v/>
      </c>
      <c r="F36" s="36" t="str">
        <f aca="false">IF($D36="","",IFERROR(INDEX('통합 ④ 설정'!$C$6:$C$40,MATCH($D36,'통합 ④ 설정'!$B$6:$B$40,0)),""))</f>
        <v/>
      </c>
      <c r="G36" s="39"/>
      <c r="H36" s="39"/>
      <c r="I36" s="40"/>
      <c r="J36" s="41"/>
      <c r="K36" s="38"/>
      <c r="L36" s="42" t="str">
        <f aca="false">IF($B36="","",IF(AND(N($I36)=0,N($J36)=0),"금액이 없습니다",IF(AND($I36&gt;0,$J36&gt;0),"수입·지출 둘 다 적혔습니다",IF($C36="","결제수단을 고르십시오",IF(ISNA(MATCH($C36,'통합 ③ 통장·카드'!$A$5:$A$11,0)),"③ 통장·카드에 없는 결제수단입니다",IF($D36="","계정과목을 고르십시오",IF($E36="※없는 과목","④ 설정에 없는 과목입니다",IF(AND($E36="수입",$J36&gt;0),"수입 과목인데 지출에 적혔습니다",IF(AND(LEFT($E36,2)&lt;&gt;"수입",$E36&lt;&gt;"대체",$I36&gt;0),"지출 과목인데 수입에 적혔습니다",IF($K36="","증빙을 고르십시오",IF(AND($C36="바우처통장",$J36&gt;0,IFERROR(INDEX('통합 ④ 설정'!$E$6:$E$40,MATCH($D36,'통합 ④ 설정'!$B$6:$B$40,0)),"")&lt;&gt;"○"),"바우처통장 지출 — 목적 확인",IF($H36="","적요를 적으십시오",""))))))))))))</f>
        <v/>
      </c>
      <c r="M36" s="39"/>
      <c r="O36" s="11" t="str">
        <f aca="false">IF($B36="","",YEAR($B36)*100+MONTH($B36))</f>
        <v/>
      </c>
      <c r="P36" s="11" t="str">
        <f aca="false">IF($B36="","",IF($E36="대체",0,1))</f>
        <v/>
      </c>
    </row>
    <row r="37" customFormat="false" ht="15" hidden="false" customHeight="false" outlineLevel="0" collapsed="false">
      <c r="A37" s="36" t="str">
        <f aca="false">IF($B37="","",COUNT($B$15:$B37))</f>
        <v/>
      </c>
      <c r="B37" s="37"/>
      <c r="C37" s="38"/>
      <c r="D37" s="39"/>
      <c r="E37" s="36" t="str">
        <f aca="false">IF($D37="","",IFERROR(INDEX('통합 ④ 설정'!$A$6:$A$40,MATCH($D37,'통합 ④ 설정'!$B$6:$B$40,0)),"※없는 과목"))</f>
        <v/>
      </c>
      <c r="F37" s="36" t="str">
        <f aca="false">IF($D37="","",IFERROR(INDEX('통합 ④ 설정'!$C$6:$C$40,MATCH($D37,'통합 ④ 설정'!$B$6:$B$40,0)),""))</f>
        <v/>
      </c>
      <c r="G37" s="39"/>
      <c r="H37" s="39"/>
      <c r="I37" s="40"/>
      <c r="J37" s="41"/>
      <c r="K37" s="38"/>
      <c r="L37" s="42" t="str">
        <f aca="false">IF($B37="","",IF(AND(N($I37)=0,N($J37)=0),"금액이 없습니다",IF(AND($I37&gt;0,$J37&gt;0),"수입·지출 둘 다 적혔습니다",IF($C37="","결제수단을 고르십시오",IF(ISNA(MATCH($C37,'통합 ③ 통장·카드'!$A$5:$A$11,0)),"③ 통장·카드에 없는 결제수단입니다",IF($D37="","계정과목을 고르십시오",IF($E37="※없는 과목","④ 설정에 없는 과목입니다",IF(AND($E37="수입",$J37&gt;0),"수입 과목인데 지출에 적혔습니다",IF(AND(LEFT($E37,2)&lt;&gt;"수입",$E37&lt;&gt;"대체",$I37&gt;0),"지출 과목인데 수입에 적혔습니다",IF($K37="","증빙을 고르십시오",IF(AND($C37="바우처통장",$J37&gt;0,IFERROR(INDEX('통합 ④ 설정'!$E$6:$E$40,MATCH($D37,'통합 ④ 설정'!$B$6:$B$40,0)),"")&lt;&gt;"○"),"바우처통장 지출 — 목적 확인",IF($H37="","적요를 적으십시오",""))))))))))))</f>
        <v/>
      </c>
      <c r="M37" s="39"/>
      <c r="O37" s="11" t="str">
        <f aca="false">IF($B37="","",YEAR($B37)*100+MONTH($B37))</f>
        <v/>
      </c>
      <c r="P37" s="11" t="str">
        <f aca="false">IF($B37="","",IF($E37="대체",0,1))</f>
        <v/>
      </c>
    </row>
    <row r="38" customFormat="false" ht="15" hidden="false" customHeight="false" outlineLevel="0" collapsed="false">
      <c r="A38" s="36" t="str">
        <f aca="false">IF($B38="","",COUNT($B$15:$B38))</f>
        <v/>
      </c>
      <c r="B38" s="37"/>
      <c r="C38" s="38"/>
      <c r="D38" s="39"/>
      <c r="E38" s="36" t="str">
        <f aca="false">IF($D38="","",IFERROR(INDEX('통합 ④ 설정'!$A$6:$A$40,MATCH($D38,'통합 ④ 설정'!$B$6:$B$40,0)),"※없는 과목"))</f>
        <v/>
      </c>
      <c r="F38" s="36" t="str">
        <f aca="false">IF($D38="","",IFERROR(INDEX('통합 ④ 설정'!$C$6:$C$40,MATCH($D38,'통합 ④ 설정'!$B$6:$B$40,0)),""))</f>
        <v/>
      </c>
      <c r="G38" s="39"/>
      <c r="H38" s="39"/>
      <c r="I38" s="40"/>
      <c r="J38" s="41"/>
      <c r="K38" s="38"/>
      <c r="L38" s="42" t="str">
        <f aca="false">IF($B38="","",IF(AND(N($I38)=0,N($J38)=0),"금액이 없습니다",IF(AND($I38&gt;0,$J38&gt;0),"수입·지출 둘 다 적혔습니다",IF($C38="","결제수단을 고르십시오",IF(ISNA(MATCH($C38,'통합 ③ 통장·카드'!$A$5:$A$11,0)),"③ 통장·카드에 없는 결제수단입니다",IF($D38="","계정과목을 고르십시오",IF($E38="※없는 과목","④ 설정에 없는 과목입니다",IF(AND($E38="수입",$J38&gt;0),"수입 과목인데 지출에 적혔습니다",IF(AND(LEFT($E38,2)&lt;&gt;"수입",$E38&lt;&gt;"대체",$I38&gt;0),"지출 과목인데 수입에 적혔습니다",IF($K38="","증빙을 고르십시오",IF(AND($C38="바우처통장",$J38&gt;0,IFERROR(INDEX('통합 ④ 설정'!$E$6:$E$40,MATCH($D38,'통합 ④ 설정'!$B$6:$B$40,0)),"")&lt;&gt;"○"),"바우처통장 지출 — 목적 확인",IF($H38="","적요를 적으십시오",""))))))))))))</f>
        <v/>
      </c>
      <c r="M38" s="39"/>
      <c r="O38" s="11" t="str">
        <f aca="false">IF($B38="","",YEAR($B38)*100+MONTH($B38))</f>
        <v/>
      </c>
      <c r="P38" s="11" t="str">
        <f aca="false">IF($B38="","",IF($E38="대체",0,1))</f>
        <v/>
      </c>
    </row>
    <row r="39" customFormat="false" ht="15" hidden="false" customHeight="false" outlineLevel="0" collapsed="false">
      <c r="A39" s="36" t="str">
        <f aca="false">IF($B39="","",COUNT($B$15:$B39))</f>
        <v/>
      </c>
      <c r="B39" s="37"/>
      <c r="C39" s="38"/>
      <c r="D39" s="39"/>
      <c r="E39" s="36" t="str">
        <f aca="false">IF($D39="","",IFERROR(INDEX('통합 ④ 설정'!$A$6:$A$40,MATCH($D39,'통합 ④ 설정'!$B$6:$B$40,0)),"※없는 과목"))</f>
        <v/>
      </c>
      <c r="F39" s="36" t="str">
        <f aca="false">IF($D39="","",IFERROR(INDEX('통합 ④ 설정'!$C$6:$C$40,MATCH($D39,'통합 ④ 설정'!$B$6:$B$40,0)),""))</f>
        <v/>
      </c>
      <c r="G39" s="39"/>
      <c r="H39" s="39"/>
      <c r="I39" s="40"/>
      <c r="J39" s="41"/>
      <c r="K39" s="38"/>
      <c r="L39" s="42" t="str">
        <f aca="false">IF($B39="","",IF(AND(N($I39)=0,N($J39)=0),"금액이 없습니다",IF(AND($I39&gt;0,$J39&gt;0),"수입·지출 둘 다 적혔습니다",IF($C39="","결제수단을 고르십시오",IF(ISNA(MATCH($C39,'통합 ③ 통장·카드'!$A$5:$A$11,0)),"③ 통장·카드에 없는 결제수단입니다",IF($D39="","계정과목을 고르십시오",IF($E39="※없는 과목","④ 설정에 없는 과목입니다",IF(AND($E39="수입",$J39&gt;0),"수입 과목인데 지출에 적혔습니다",IF(AND(LEFT($E39,2)&lt;&gt;"수입",$E39&lt;&gt;"대체",$I39&gt;0),"지출 과목인데 수입에 적혔습니다",IF($K39="","증빙을 고르십시오",IF(AND($C39="바우처통장",$J39&gt;0,IFERROR(INDEX('통합 ④ 설정'!$E$6:$E$40,MATCH($D39,'통합 ④ 설정'!$B$6:$B$40,0)),"")&lt;&gt;"○"),"바우처통장 지출 — 목적 확인",IF($H39="","적요를 적으십시오",""))))))))))))</f>
        <v/>
      </c>
      <c r="M39" s="39"/>
      <c r="O39" s="11" t="str">
        <f aca="false">IF($B39="","",YEAR($B39)*100+MONTH($B39))</f>
        <v/>
      </c>
      <c r="P39" s="11" t="str">
        <f aca="false">IF($B39="","",IF($E39="대체",0,1))</f>
        <v/>
      </c>
    </row>
    <row r="40" customFormat="false" ht="15" hidden="false" customHeight="false" outlineLevel="0" collapsed="false">
      <c r="A40" s="36" t="str">
        <f aca="false">IF($B40="","",COUNT($B$15:$B40))</f>
        <v/>
      </c>
      <c r="B40" s="37"/>
      <c r="C40" s="38"/>
      <c r="D40" s="39"/>
      <c r="E40" s="36" t="str">
        <f aca="false">IF($D40="","",IFERROR(INDEX('통합 ④ 설정'!$A$6:$A$40,MATCH($D40,'통합 ④ 설정'!$B$6:$B$40,0)),"※없는 과목"))</f>
        <v/>
      </c>
      <c r="F40" s="36" t="str">
        <f aca="false">IF($D40="","",IFERROR(INDEX('통합 ④ 설정'!$C$6:$C$40,MATCH($D40,'통합 ④ 설정'!$B$6:$B$40,0)),""))</f>
        <v/>
      </c>
      <c r="G40" s="39"/>
      <c r="H40" s="39"/>
      <c r="I40" s="40"/>
      <c r="J40" s="41"/>
      <c r="K40" s="38"/>
      <c r="L40" s="42" t="str">
        <f aca="false">IF($B40="","",IF(AND(N($I40)=0,N($J40)=0),"금액이 없습니다",IF(AND($I40&gt;0,$J40&gt;0),"수입·지출 둘 다 적혔습니다",IF($C40="","결제수단을 고르십시오",IF(ISNA(MATCH($C40,'통합 ③ 통장·카드'!$A$5:$A$11,0)),"③ 통장·카드에 없는 결제수단입니다",IF($D40="","계정과목을 고르십시오",IF($E40="※없는 과목","④ 설정에 없는 과목입니다",IF(AND($E40="수입",$J40&gt;0),"수입 과목인데 지출에 적혔습니다",IF(AND(LEFT($E40,2)&lt;&gt;"수입",$E40&lt;&gt;"대체",$I40&gt;0),"지출 과목인데 수입에 적혔습니다",IF($K40="","증빙을 고르십시오",IF(AND($C40="바우처통장",$J40&gt;0,IFERROR(INDEX('통합 ④ 설정'!$E$6:$E$40,MATCH($D40,'통합 ④ 설정'!$B$6:$B$40,0)),"")&lt;&gt;"○"),"바우처통장 지출 — 목적 확인",IF($H40="","적요를 적으십시오",""))))))))))))</f>
        <v/>
      </c>
      <c r="M40" s="39"/>
      <c r="O40" s="11" t="str">
        <f aca="false">IF($B40="","",YEAR($B40)*100+MONTH($B40))</f>
        <v/>
      </c>
      <c r="P40" s="11" t="str">
        <f aca="false">IF($B40="","",IF($E40="대체",0,1))</f>
        <v/>
      </c>
    </row>
    <row r="41" customFormat="false" ht="15" hidden="false" customHeight="false" outlineLevel="0" collapsed="false">
      <c r="A41" s="36" t="str">
        <f aca="false">IF($B41="","",COUNT($B$15:$B41))</f>
        <v/>
      </c>
      <c r="B41" s="37"/>
      <c r="C41" s="38"/>
      <c r="D41" s="39"/>
      <c r="E41" s="36" t="str">
        <f aca="false">IF($D41="","",IFERROR(INDEX('통합 ④ 설정'!$A$6:$A$40,MATCH($D41,'통합 ④ 설정'!$B$6:$B$40,0)),"※없는 과목"))</f>
        <v/>
      </c>
      <c r="F41" s="36" t="str">
        <f aca="false">IF($D41="","",IFERROR(INDEX('통합 ④ 설정'!$C$6:$C$40,MATCH($D41,'통합 ④ 설정'!$B$6:$B$40,0)),""))</f>
        <v/>
      </c>
      <c r="G41" s="39"/>
      <c r="H41" s="39"/>
      <c r="I41" s="40"/>
      <c r="J41" s="41"/>
      <c r="K41" s="38"/>
      <c r="L41" s="42" t="str">
        <f aca="false">IF($B41="","",IF(AND(N($I41)=0,N($J41)=0),"금액이 없습니다",IF(AND($I41&gt;0,$J41&gt;0),"수입·지출 둘 다 적혔습니다",IF($C41="","결제수단을 고르십시오",IF(ISNA(MATCH($C41,'통합 ③ 통장·카드'!$A$5:$A$11,0)),"③ 통장·카드에 없는 결제수단입니다",IF($D41="","계정과목을 고르십시오",IF($E41="※없는 과목","④ 설정에 없는 과목입니다",IF(AND($E41="수입",$J41&gt;0),"수입 과목인데 지출에 적혔습니다",IF(AND(LEFT($E41,2)&lt;&gt;"수입",$E41&lt;&gt;"대체",$I41&gt;0),"지출 과목인데 수입에 적혔습니다",IF($K41="","증빙을 고르십시오",IF(AND($C41="바우처통장",$J41&gt;0,IFERROR(INDEX('통합 ④ 설정'!$E$6:$E$40,MATCH($D41,'통합 ④ 설정'!$B$6:$B$40,0)),"")&lt;&gt;"○"),"바우처통장 지출 — 목적 확인",IF($H41="","적요를 적으십시오",""))))))))))))</f>
        <v/>
      </c>
      <c r="M41" s="39"/>
      <c r="O41" s="11" t="str">
        <f aca="false">IF($B41="","",YEAR($B41)*100+MONTH($B41))</f>
        <v/>
      </c>
      <c r="P41" s="11" t="str">
        <f aca="false">IF($B41="","",IF($E41="대체",0,1))</f>
        <v/>
      </c>
    </row>
    <row r="42" customFormat="false" ht="15" hidden="false" customHeight="false" outlineLevel="0" collapsed="false">
      <c r="A42" s="36" t="str">
        <f aca="false">IF($B42="","",COUNT($B$15:$B42))</f>
        <v/>
      </c>
      <c r="B42" s="37"/>
      <c r="C42" s="38"/>
      <c r="D42" s="39"/>
      <c r="E42" s="36" t="str">
        <f aca="false">IF($D42="","",IFERROR(INDEX('통합 ④ 설정'!$A$6:$A$40,MATCH($D42,'통합 ④ 설정'!$B$6:$B$40,0)),"※없는 과목"))</f>
        <v/>
      </c>
      <c r="F42" s="36" t="str">
        <f aca="false">IF($D42="","",IFERROR(INDEX('통합 ④ 설정'!$C$6:$C$40,MATCH($D42,'통합 ④ 설정'!$B$6:$B$40,0)),""))</f>
        <v/>
      </c>
      <c r="G42" s="39"/>
      <c r="H42" s="39"/>
      <c r="I42" s="40"/>
      <c r="J42" s="41"/>
      <c r="K42" s="38"/>
      <c r="L42" s="42" t="str">
        <f aca="false">IF($B42="","",IF(AND(N($I42)=0,N($J42)=0),"금액이 없습니다",IF(AND($I42&gt;0,$J42&gt;0),"수입·지출 둘 다 적혔습니다",IF($C42="","결제수단을 고르십시오",IF(ISNA(MATCH($C42,'통합 ③ 통장·카드'!$A$5:$A$11,0)),"③ 통장·카드에 없는 결제수단입니다",IF($D42="","계정과목을 고르십시오",IF($E42="※없는 과목","④ 설정에 없는 과목입니다",IF(AND($E42="수입",$J42&gt;0),"수입 과목인데 지출에 적혔습니다",IF(AND(LEFT($E42,2)&lt;&gt;"수입",$E42&lt;&gt;"대체",$I42&gt;0),"지출 과목인데 수입에 적혔습니다",IF($K42="","증빙을 고르십시오",IF(AND($C42="바우처통장",$J42&gt;0,IFERROR(INDEX('통합 ④ 설정'!$E$6:$E$40,MATCH($D42,'통합 ④ 설정'!$B$6:$B$40,0)),"")&lt;&gt;"○"),"바우처통장 지출 — 목적 확인",IF($H42="","적요를 적으십시오",""))))))))))))</f>
        <v/>
      </c>
      <c r="M42" s="39"/>
      <c r="O42" s="11" t="str">
        <f aca="false">IF($B42="","",YEAR($B42)*100+MONTH($B42))</f>
        <v/>
      </c>
      <c r="P42" s="11" t="str">
        <f aca="false">IF($B42="","",IF($E42="대체",0,1))</f>
        <v/>
      </c>
    </row>
    <row r="43" customFormat="false" ht="15" hidden="false" customHeight="false" outlineLevel="0" collapsed="false">
      <c r="A43" s="36" t="str">
        <f aca="false">IF($B43="","",COUNT($B$15:$B43))</f>
        <v/>
      </c>
      <c r="B43" s="37"/>
      <c r="C43" s="38"/>
      <c r="D43" s="39"/>
      <c r="E43" s="36" t="str">
        <f aca="false">IF($D43="","",IFERROR(INDEX('통합 ④ 설정'!$A$6:$A$40,MATCH($D43,'통합 ④ 설정'!$B$6:$B$40,0)),"※없는 과목"))</f>
        <v/>
      </c>
      <c r="F43" s="36" t="str">
        <f aca="false">IF($D43="","",IFERROR(INDEX('통합 ④ 설정'!$C$6:$C$40,MATCH($D43,'통합 ④ 설정'!$B$6:$B$40,0)),""))</f>
        <v/>
      </c>
      <c r="G43" s="39"/>
      <c r="H43" s="39"/>
      <c r="I43" s="40"/>
      <c r="J43" s="41"/>
      <c r="K43" s="38"/>
      <c r="L43" s="42" t="str">
        <f aca="false">IF($B43="","",IF(AND(N($I43)=0,N($J43)=0),"금액이 없습니다",IF(AND($I43&gt;0,$J43&gt;0),"수입·지출 둘 다 적혔습니다",IF($C43="","결제수단을 고르십시오",IF(ISNA(MATCH($C43,'통합 ③ 통장·카드'!$A$5:$A$11,0)),"③ 통장·카드에 없는 결제수단입니다",IF($D43="","계정과목을 고르십시오",IF($E43="※없는 과목","④ 설정에 없는 과목입니다",IF(AND($E43="수입",$J43&gt;0),"수입 과목인데 지출에 적혔습니다",IF(AND(LEFT($E43,2)&lt;&gt;"수입",$E43&lt;&gt;"대체",$I43&gt;0),"지출 과목인데 수입에 적혔습니다",IF($K43="","증빙을 고르십시오",IF(AND($C43="바우처통장",$J43&gt;0,IFERROR(INDEX('통합 ④ 설정'!$E$6:$E$40,MATCH($D43,'통합 ④ 설정'!$B$6:$B$40,0)),"")&lt;&gt;"○"),"바우처통장 지출 — 목적 확인",IF($H43="","적요를 적으십시오",""))))))))))))</f>
        <v/>
      </c>
      <c r="M43" s="39"/>
      <c r="O43" s="11" t="str">
        <f aca="false">IF($B43="","",YEAR($B43)*100+MONTH($B43))</f>
        <v/>
      </c>
      <c r="P43" s="11" t="str">
        <f aca="false">IF($B43="","",IF($E43="대체",0,1))</f>
        <v/>
      </c>
    </row>
    <row r="44" customFormat="false" ht="15" hidden="false" customHeight="false" outlineLevel="0" collapsed="false">
      <c r="A44" s="36" t="str">
        <f aca="false">IF($B44="","",COUNT($B$15:$B44))</f>
        <v/>
      </c>
      <c r="B44" s="37"/>
      <c r="C44" s="38"/>
      <c r="D44" s="39"/>
      <c r="E44" s="36" t="str">
        <f aca="false">IF($D44="","",IFERROR(INDEX('통합 ④ 설정'!$A$6:$A$40,MATCH($D44,'통합 ④ 설정'!$B$6:$B$40,0)),"※없는 과목"))</f>
        <v/>
      </c>
      <c r="F44" s="36" t="str">
        <f aca="false">IF($D44="","",IFERROR(INDEX('통합 ④ 설정'!$C$6:$C$40,MATCH($D44,'통합 ④ 설정'!$B$6:$B$40,0)),""))</f>
        <v/>
      </c>
      <c r="G44" s="39"/>
      <c r="H44" s="39"/>
      <c r="I44" s="40"/>
      <c r="J44" s="41"/>
      <c r="K44" s="38"/>
      <c r="L44" s="42" t="str">
        <f aca="false">IF($B44="","",IF(AND(N($I44)=0,N($J44)=0),"금액이 없습니다",IF(AND($I44&gt;0,$J44&gt;0),"수입·지출 둘 다 적혔습니다",IF($C44="","결제수단을 고르십시오",IF(ISNA(MATCH($C44,'통합 ③ 통장·카드'!$A$5:$A$11,0)),"③ 통장·카드에 없는 결제수단입니다",IF($D44="","계정과목을 고르십시오",IF($E44="※없는 과목","④ 설정에 없는 과목입니다",IF(AND($E44="수입",$J44&gt;0),"수입 과목인데 지출에 적혔습니다",IF(AND(LEFT($E44,2)&lt;&gt;"수입",$E44&lt;&gt;"대체",$I44&gt;0),"지출 과목인데 수입에 적혔습니다",IF($K44="","증빙을 고르십시오",IF(AND($C44="바우처통장",$J44&gt;0,IFERROR(INDEX('통합 ④ 설정'!$E$6:$E$40,MATCH($D44,'통합 ④ 설정'!$B$6:$B$40,0)),"")&lt;&gt;"○"),"바우처통장 지출 — 목적 확인",IF($H44="","적요를 적으십시오",""))))))))))))</f>
        <v/>
      </c>
      <c r="M44" s="39"/>
      <c r="O44" s="11" t="str">
        <f aca="false">IF($B44="","",YEAR($B44)*100+MONTH($B44))</f>
        <v/>
      </c>
      <c r="P44" s="11" t="str">
        <f aca="false">IF($B44="","",IF($E44="대체",0,1))</f>
        <v/>
      </c>
    </row>
    <row r="45" customFormat="false" ht="15" hidden="false" customHeight="false" outlineLevel="0" collapsed="false">
      <c r="A45" s="36" t="str">
        <f aca="false">IF($B45="","",COUNT($B$15:$B45))</f>
        <v/>
      </c>
      <c r="B45" s="37"/>
      <c r="C45" s="38"/>
      <c r="D45" s="39"/>
      <c r="E45" s="36" t="str">
        <f aca="false">IF($D45="","",IFERROR(INDEX('통합 ④ 설정'!$A$6:$A$40,MATCH($D45,'통합 ④ 설정'!$B$6:$B$40,0)),"※없는 과목"))</f>
        <v/>
      </c>
      <c r="F45" s="36" t="str">
        <f aca="false">IF($D45="","",IFERROR(INDEX('통합 ④ 설정'!$C$6:$C$40,MATCH($D45,'통합 ④ 설정'!$B$6:$B$40,0)),""))</f>
        <v/>
      </c>
      <c r="G45" s="39"/>
      <c r="H45" s="39"/>
      <c r="I45" s="40"/>
      <c r="J45" s="41"/>
      <c r="K45" s="38"/>
      <c r="L45" s="42" t="str">
        <f aca="false">IF($B45="","",IF(AND(N($I45)=0,N($J45)=0),"금액이 없습니다",IF(AND($I45&gt;0,$J45&gt;0),"수입·지출 둘 다 적혔습니다",IF($C45="","결제수단을 고르십시오",IF(ISNA(MATCH($C45,'통합 ③ 통장·카드'!$A$5:$A$11,0)),"③ 통장·카드에 없는 결제수단입니다",IF($D45="","계정과목을 고르십시오",IF($E45="※없는 과목","④ 설정에 없는 과목입니다",IF(AND($E45="수입",$J45&gt;0),"수입 과목인데 지출에 적혔습니다",IF(AND(LEFT($E45,2)&lt;&gt;"수입",$E45&lt;&gt;"대체",$I45&gt;0),"지출 과목인데 수입에 적혔습니다",IF($K45="","증빙을 고르십시오",IF(AND($C45="바우처통장",$J45&gt;0,IFERROR(INDEX('통합 ④ 설정'!$E$6:$E$40,MATCH($D45,'통합 ④ 설정'!$B$6:$B$40,0)),"")&lt;&gt;"○"),"바우처통장 지출 — 목적 확인",IF($H45="","적요를 적으십시오",""))))))))))))</f>
        <v/>
      </c>
      <c r="M45" s="39"/>
      <c r="O45" s="11" t="str">
        <f aca="false">IF($B45="","",YEAR($B45)*100+MONTH($B45))</f>
        <v/>
      </c>
      <c r="P45" s="11" t="str">
        <f aca="false">IF($B45="","",IF($E45="대체",0,1))</f>
        <v/>
      </c>
    </row>
    <row r="46" customFormat="false" ht="15" hidden="false" customHeight="false" outlineLevel="0" collapsed="false">
      <c r="A46" s="36" t="str">
        <f aca="false">IF($B46="","",COUNT($B$15:$B46))</f>
        <v/>
      </c>
      <c r="B46" s="37"/>
      <c r="C46" s="38"/>
      <c r="D46" s="39"/>
      <c r="E46" s="36" t="str">
        <f aca="false">IF($D46="","",IFERROR(INDEX('통합 ④ 설정'!$A$6:$A$40,MATCH($D46,'통합 ④ 설정'!$B$6:$B$40,0)),"※없는 과목"))</f>
        <v/>
      </c>
      <c r="F46" s="36" t="str">
        <f aca="false">IF($D46="","",IFERROR(INDEX('통합 ④ 설정'!$C$6:$C$40,MATCH($D46,'통합 ④ 설정'!$B$6:$B$40,0)),""))</f>
        <v/>
      </c>
      <c r="G46" s="39"/>
      <c r="H46" s="39"/>
      <c r="I46" s="40"/>
      <c r="J46" s="41"/>
      <c r="K46" s="38"/>
      <c r="L46" s="42" t="str">
        <f aca="false">IF($B46="","",IF(AND(N($I46)=0,N($J46)=0),"금액이 없습니다",IF(AND($I46&gt;0,$J46&gt;0),"수입·지출 둘 다 적혔습니다",IF($C46="","결제수단을 고르십시오",IF(ISNA(MATCH($C46,'통합 ③ 통장·카드'!$A$5:$A$11,0)),"③ 통장·카드에 없는 결제수단입니다",IF($D46="","계정과목을 고르십시오",IF($E46="※없는 과목","④ 설정에 없는 과목입니다",IF(AND($E46="수입",$J46&gt;0),"수입 과목인데 지출에 적혔습니다",IF(AND(LEFT($E46,2)&lt;&gt;"수입",$E46&lt;&gt;"대체",$I46&gt;0),"지출 과목인데 수입에 적혔습니다",IF($K46="","증빙을 고르십시오",IF(AND($C46="바우처통장",$J46&gt;0,IFERROR(INDEX('통합 ④ 설정'!$E$6:$E$40,MATCH($D46,'통합 ④ 설정'!$B$6:$B$40,0)),"")&lt;&gt;"○"),"바우처통장 지출 — 목적 확인",IF($H46="","적요를 적으십시오",""))))))))))))</f>
        <v/>
      </c>
      <c r="M46" s="39"/>
      <c r="O46" s="11" t="str">
        <f aca="false">IF($B46="","",YEAR($B46)*100+MONTH($B46))</f>
        <v/>
      </c>
      <c r="P46" s="11" t="str">
        <f aca="false">IF($B46="","",IF($E46="대체",0,1))</f>
        <v/>
      </c>
    </row>
    <row r="47" customFormat="false" ht="15" hidden="false" customHeight="false" outlineLevel="0" collapsed="false">
      <c r="A47" s="36" t="str">
        <f aca="false">IF($B47="","",COUNT($B$15:$B47))</f>
        <v/>
      </c>
      <c r="B47" s="37"/>
      <c r="C47" s="38"/>
      <c r="D47" s="39"/>
      <c r="E47" s="36" t="str">
        <f aca="false">IF($D47="","",IFERROR(INDEX('통합 ④ 설정'!$A$6:$A$40,MATCH($D47,'통합 ④ 설정'!$B$6:$B$40,0)),"※없는 과목"))</f>
        <v/>
      </c>
      <c r="F47" s="36" t="str">
        <f aca="false">IF($D47="","",IFERROR(INDEX('통합 ④ 설정'!$C$6:$C$40,MATCH($D47,'통합 ④ 설정'!$B$6:$B$40,0)),""))</f>
        <v/>
      </c>
      <c r="G47" s="39"/>
      <c r="H47" s="39"/>
      <c r="I47" s="40"/>
      <c r="J47" s="41"/>
      <c r="K47" s="38"/>
      <c r="L47" s="42" t="str">
        <f aca="false">IF($B47="","",IF(AND(N($I47)=0,N($J47)=0),"금액이 없습니다",IF(AND($I47&gt;0,$J47&gt;0),"수입·지출 둘 다 적혔습니다",IF($C47="","결제수단을 고르십시오",IF(ISNA(MATCH($C47,'통합 ③ 통장·카드'!$A$5:$A$11,0)),"③ 통장·카드에 없는 결제수단입니다",IF($D47="","계정과목을 고르십시오",IF($E47="※없는 과목","④ 설정에 없는 과목입니다",IF(AND($E47="수입",$J47&gt;0),"수입 과목인데 지출에 적혔습니다",IF(AND(LEFT($E47,2)&lt;&gt;"수입",$E47&lt;&gt;"대체",$I47&gt;0),"지출 과목인데 수입에 적혔습니다",IF($K47="","증빙을 고르십시오",IF(AND($C47="바우처통장",$J47&gt;0,IFERROR(INDEX('통합 ④ 설정'!$E$6:$E$40,MATCH($D47,'통합 ④ 설정'!$B$6:$B$40,0)),"")&lt;&gt;"○"),"바우처통장 지출 — 목적 확인",IF($H47="","적요를 적으십시오",""))))))))))))</f>
        <v/>
      </c>
      <c r="M47" s="39"/>
      <c r="O47" s="11" t="str">
        <f aca="false">IF($B47="","",YEAR($B47)*100+MONTH($B47))</f>
        <v/>
      </c>
      <c r="P47" s="11" t="str">
        <f aca="false">IF($B47="","",IF($E47="대체",0,1))</f>
        <v/>
      </c>
    </row>
    <row r="48" customFormat="false" ht="15" hidden="false" customHeight="false" outlineLevel="0" collapsed="false">
      <c r="A48" s="36" t="str">
        <f aca="false">IF($B48="","",COUNT($B$15:$B48))</f>
        <v/>
      </c>
      <c r="B48" s="37"/>
      <c r="C48" s="38"/>
      <c r="D48" s="39"/>
      <c r="E48" s="36" t="str">
        <f aca="false">IF($D48="","",IFERROR(INDEX('통합 ④ 설정'!$A$6:$A$40,MATCH($D48,'통합 ④ 설정'!$B$6:$B$40,0)),"※없는 과목"))</f>
        <v/>
      </c>
      <c r="F48" s="36" t="str">
        <f aca="false">IF($D48="","",IFERROR(INDEX('통합 ④ 설정'!$C$6:$C$40,MATCH($D48,'통합 ④ 설정'!$B$6:$B$40,0)),""))</f>
        <v/>
      </c>
      <c r="G48" s="39"/>
      <c r="H48" s="39"/>
      <c r="I48" s="40"/>
      <c r="J48" s="41"/>
      <c r="K48" s="38"/>
      <c r="L48" s="42" t="str">
        <f aca="false">IF($B48="","",IF(AND(N($I48)=0,N($J48)=0),"금액이 없습니다",IF(AND($I48&gt;0,$J48&gt;0),"수입·지출 둘 다 적혔습니다",IF($C48="","결제수단을 고르십시오",IF(ISNA(MATCH($C48,'통합 ③ 통장·카드'!$A$5:$A$11,0)),"③ 통장·카드에 없는 결제수단입니다",IF($D48="","계정과목을 고르십시오",IF($E48="※없는 과목","④ 설정에 없는 과목입니다",IF(AND($E48="수입",$J48&gt;0),"수입 과목인데 지출에 적혔습니다",IF(AND(LEFT($E48,2)&lt;&gt;"수입",$E48&lt;&gt;"대체",$I48&gt;0),"지출 과목인데 수입에 적혔습니다",IF($K48="","증빙을 고르십시오",IF(AND($C48="바우처통장",$J48&gt;0,IFERROR(INDEX('통합 ④ 설정'!$E$6:$E$40,MATCH($D48,'통합 ④ 설정'!$B$6:$B$40,0)),"")&lt;&gt;"○"),"바우처통장 지출 — 목적 확인",IF($H48="","적요를 적으십시오",""))))))))))))</f>
        <v/>
      </c>
      <c r="M48" s="39"/>
      <c r="O48" s="11" t="str">
        <f aca="false">IF($B48="","",YEAR($B48)*100+MONTH($B48))</f>
        <v/>
      </c>
      <c r="P48" s="11" t="str">
        <f aca="false">IF($B48="","",IF($E48="대체",0,1))</f>
        <v/>
      </c>
    </row>
    <row r="49" customFormat="false" ht="15" hidden="false" customHeight="false" outlineLevel="0" collapsed="false">
      <c r="A49" s="36" t="str">
        <f aca="false">IF($B49="","",COUNT($B$15:$B49))</f>
        <v/>
      </c>
      <c r="B49" s="37"/>
      <c r="C49" s="38"/>
      <c r="D49" s="39"/>
      <c r="E49" s="36" t="str">
        <f aca="false">IF($D49="","",IFERROR(INDEX('통합 ④ 설정'!$A$6:$A$40,MATCH($D49,'통합 ④ 설정'!$B$6:$B$40,0)),"※없는 과목"))</f>
        <v/>
      </c>
      <c r="F49" s="36" t="str">
        <f aca="false">IF($D49="","",IFERROR(INDEX('통합 ④ 설정'!$C$6:$C$40,MATCH($D49,'통합 ④ 설정'!$B$6:$B$40,0)),""))</f>
        <v/>
      </c>
      <c r="G49" s="39"/>
      <c r="H49" s="39"/>
      <c r="I49" s="40"/>
      <c r="J49" s="41"/>
      <c r="K49" s="38"/>
      <c r="L49" s="42" t="str">
        <f aca="false">IF($B49="","",IF(AND(N($I49)=0,N($J49)=0),"금액이 없습니다",IF(AND($I49&gt;0,$J49&gt;0),"수입·지출 둘 다 적혔습니다",IF($C49="","결제수단을 고르십시오",IF(ISNA(MATCH($C49,'통합 ③ 통장·카드'!$A$5:$A$11,0)),"③ 통장·카드에 없는 결제수단입니다",IF($D49="","계정과목을 고르십시오",IF($E49="※없는 과목","④ 설정에 없는 과목입니다",IF(AND($E49="수입",$J49&gt;0),"수입 과목인데 지출에 적혔습니다",IF(AND(LEFT($E49,2)&lt;&gt;"수입",$E49&lt;&gt;"대체",$I49&gt;0),"지출 과목인데 수입에 적혔습니다",IF($K49="","증빙을 고르십시오",IF(AND($C49="바우처통장",$J49&gt;0,IFERROR(INDEX('통합 ④ 설정'!$E$6:$E$40,MATCH($D49,'통합 ④ 설정'!$B$6:$B$40,0)),"")&lt;&gt;"○"),"바우처통장 지출 — 목적 확인",IF($H49="","적요를 적으십시오",""))))))))))))</f>
        <v/>
      </c>
      <c r="M49" s="39"/>
      <c r="O49" s="11" t="str">
        <f aca="false">IF($B49="","",YEAR($B49)*100+MONTH($B49))</f>
        <v/>
      </c>
      <c r="P49" s="11" t="str">
        <f aca="false">IF($B49="","",IF($E49="대체",0,1))</f>
        <v/>
      </c>
    </row>
    <row r="50" customFormat="false" ht="15" hidden="false" customHeight="false" outlineLevel="0" collapsed="false">
      <c r="A50" s="36" t="str">
        <f aca="false">IF($B50="","",COUNT($B$15:$B50))</f>
        <v/>
      </c>
      <c r="B50" s="37"/>
      <c r="C50" s="38"/>
      <c r="D50" s="39"/>
      <c r="E50" s="36" t="str">
        <f aca="false">IF($D50="","",IFERROR(INDEX('통합 ④ 설정'!$A$6:$A$40,MATCH($D50,'통합 ④ 설정'!$B$6:$B$40,0)),"※없는 과목"))</f>
        <v/>
      </c>
      <c r="F50" s="36" t="str">
        <f aca="false">IF($D50="","",IFERROR(INDEX('통합 ④ 설정'!$C$6:$C$40,MATCH($D50,'통합 ④ 설정'!$B$6:$B$40,0)),""))</f>
        <v/>
      </c>
      <c r="G50" s="39"/>
      <c r="H50" s="39"/>
      <c r="I50" s="40"/>
      <c r="J50" s="41"/>
      <c r="K50" s="38"/>
      <c r="L50" s="42" t="str">
        <f aca="false">IF($B50="","",IF(AND(N($I50)=0,N($J50)=0),"금액이 없습니다",IF(AND($I50&gt;0,$J50&gt;0),"수입·지출 둘 다 적혔습니다",IF($C50="","결제수단을 고르십시오",IF(ISNA(MATCH($C50,'통합 ③ 통장·카드'!$A$5:$A$11,0)),"③ 통장·카드에 없는 결제수단입니다",IF($D50="","계정과목을 고르십시오",IF($E50="※없는 과목","④ 설정에 없는 과목입니다",IF(AND($E50="수입",$J50&gt;0),"수입 과목인데 지출에 적혔습니다",IF(AND(LEFT($E50,2)&lt;&gt;"수입",$E50&lt;&gt;"대체",$I50&gt;0),"지출 과목인데 수입에 적혔습니다",IF($K50="","증빙을 고르십시오",IF(AND($C50="바우처통장",$J50&gt;0,IFERROR(INDEX('통합 ④ 설정'!$E$6:$E$40,MATCH($D50,'통합 ④ 설정'!$B$6:$B$40,0)),"")&lt;&gt;"○"),"바우처통장 지출 — 목적 확인",IF($H50="","적요를 적으십시오",""))))))))))))</f>
        <v/>
      </c>
      <c r="M50" s="39"/>
      <c r="O50" s="11" t="str">
        <f aca="false">IF($B50="","",YEAR($B50)*100+MONTH($B50))</f>
        <v/>
      </c>
      <c r="P50" s="11" t="str">
        <f aca="false">IF($B50="","",IF($E50="대체",0,1))</f>
        <v/>
      </c>
    </row>
    <row r="51" customFormat="false" ht="15" hidden="false" customHeight="false" outlineLevel="0" collapsed="false">
      <c r="A51" s="36" t="str">
        <f aca="false">IF($B51="","",COUNT($B$15:$B51))</f>
        <v/>
      </c>
      <c r="B51" s="37"/>
      <c r="C51" s="38"/>
      <c r="D51" s="39"/>
      <c r="E51" s="36" t="str">
        <f aca="false">IF($D51="","",IFERROR(INDEX('통합 ④ 설정'!$A$6:$A$40,MATCH($D51,'통합 ④ 설정'!$B$6:$B$40,0)),"※없는 과목"))</f>
        <v/>
      </c>
      <c r="F51" s="36" t="str">
        <f aca="false">IF($D51="","",IFERROR(INDEX('통합 ④ 설정'!$C$6:$C$40,MATCH($D51,'통합 ④ 설정'!$B$6:$B$40,0)),""))</f>
        <v/>
      </c>
      <c r="G51" s="39"/>
      <c r="H51" s="39"/>
      <c r="I51" s="40"/>
      <c r="J51" s="41"/>
      <c r="K51" s="38"/>
      <c r="L51" s="42" t="str">
        <f aca="false">IF($B51="","",IF(AND(N($I51)=0,N($J51)=0),"금액이 없습니다",IF(AND($I51&gt;0,$J51&gt;0),"수입·지출 둘 다 적혔습니다",IF($C51="","결제수단을 고르십시오",IF(ISNA(MATCH($C51,'통합 ③ 통장·카드'!$A$5:$A$11,0)),"③ 통장·카드에 없는 결제수단입니다",IF($D51="","계정과목을 고르십시오",IF($E51="※없는 과목","④ 설정에 없는 과목입니다",IF(AND($E51="수입",$J51&gt;0),"수입 과목인데 지출에 적혔습니다",IF(AND(LEFT($E51,2)&lt;&gt;"수입",$E51&lt;&gt;"대체",$I51&gt;0),"지출 과목인데 수입에 적혔습니다",IF($K51="","증빙을 고르십시오",IF(AND($C51="바우처통장",$J51&gt;0,IFERROR(INDEX('통합 ④ 설정'!$E$6:$E$40,MATCH($D51,'통합 ④ 설정'!$B$6:$B$40,0)),"")&lt;&gt;"○"),"바우처통장 지출 — 목적 확인",IF($H51="","적요를 적으십시오",""))))))))))))</f>
        <v/>
      </c>
      <c r="M51" s="39"/>
      <c r="O51" s="11" t="str">
        <f aca="false">IF($B51="","",YEAR($B51)*100+MONTH($B51))</f>
        <v/>
      </c>
      <c r="P51" s="11" t="str">
        <f aca="false">IF($B51="","",IF($E51="대체",0,1))</f>
        <v/>
      </c>
    </row>
    <row r="52" customFormat="false" ht="15" hidden="false" customHeight="false" outlineLevel="0" collapsed="false">
      <c r="A52" s="36" t="str">
        <f aca="false">IF($B52="","",COUNT($B$15:$B52))</f>
        <v/>
      </c>
      <c r="B52" s="37"/>
      <c r="C52" s="38"/>
      <c r="D52" s="39"/>
      <c r="E52" s="36" t="str">
        <f aca="false">IF($D52="","",IFERROR(INDEX('통합 ④ 설정'!$A$6:$A$40,MATCH($D52,'통합 ④ 설정'!$B$6:$B$40,0)),"※없는 과목"))</f>
        <v/>
      </c>
      <c r="F52" s="36" t="str">
        <f aca="false">IF($D52="","",IFERROR(INDEX('통합 ④ 설정'!$C$6:$C$40,MATCH($D52,'통합 ④ 설정'!$B$6:$B$40,0)),""))</f>
        <v/>
      </c>
      <c r="G52" s="39"/>
      <c r="H52" s="39"/>
      <c r="I52" s="40"/>
      <c r="J52" s="41"/>
      <c r="K52" s="38"/>
      <c r="L52" s="42" t="str">
        <f aca="false">IF($B52="","",IF(AND(N($I52)=0,N($J52)=0),"금액이 없습니다",IF(AND($I52&gt;0,$J52&gt;0),"수입·지출 둘 다 적혔습니다",IF($C52="","결제수단을 고르십시오",IF(ISNA(MATCH($C52,'통합 ③ 통장·카드'!$A$5:$A$11,0)),"③ 통장·카드에 없는 결제수단입니다",IF($D52="","계정과목을 고르십시오",IF($E52="※없는 과목","④ 설정에 없는 과목입니다",IF(AND($E52="수입",$J52&gt;0),"수입 과목인데 지출에 적혔습니다",IF(AND(LEFT($E52,2)&lt;&gt;"수입",$E52&lt;&gt;"대체",$I52&gt;0),"지출 과목인데 수입에 적혔습니다",IF($K52="","증빙을 고르십시오",IF(AND($C52="바우처통장",$J52&gt;0,IFERROR(INDEX('통합 ④ 설정'!$E$6:$E$40,MATCH($D52,'통합 ④ 설정'!$B$6:$B$40,0)),"")&lt;&gt;"○"),"바우처통장 지출 — 목적 확인",IF($H52="","적요를 적으십시오",""))))))))))))</f>
        <v/>
      </c>
      <c r="M52" s="39"/>
      <c r="O52" s="11" t="str">
        <f aca="false">IF($B52="","",YEAR($B52)*100+MONTH($B52))</f>
        <v/>
      </c>
      <c r="P52" s="11" t="str">
        <f aca="false">IF($B52="","",IF($E52="대체",0,1))</f>
        <v/>
      </c>
    </row>
    <row r="53" customFormat="false" ht="15" hidden="false" customHeight="false" outlineLevel="0" collapsed="false">
      <c r="A53" s="36" t="str">
        <f aca="false">IF($B53="","",COUNT($B$15:$B53))</f>
        <v/>
      </c>
      <c r="B53" s="37"/>
      <c r="C53" s="38"/>
      <c r="D53" s="39"/>
      <c r="E53" s="36" t="str">
        <f aca="false">IF($D53="","",IFERROR(INDEX('통합 ④ 설정'!$A$6:$A$40,MATCH($D53,'통합 ④ 설정'!$B$6:$B$40,0)),"※없는 과목"))</f>
        <v/>
      </c>
      <c r="F53" s="36" t="str">
        <f aca="false">IF($D53="","",IFERROR(INDEX('통합 ④ 설정'!$C$6:$C$40,MATCH($D53,'통합 ④ 설정'!$B$6:$B$40,0)),""))</f>
        <v/>
      </c>
      <c r="G53" s="39"/>
      <c r="H53" s="39"/>
      <c r="I53" s="40"/>
      <c r="J53" s="41"/>
      <c r="K53" s="38"/>
      <c r="L53" s="42" t="str">
        <f aca="false">IF($B53="","",IF(AND(N($I53)=0,N($J53)=0),"금액이 없습니다",IF(AND($I53&gt;0,$J53&gt;0),"수입·지출 둘 다 적혔습니다",IF($C53="","결제수단을 고르십시오",IF(ISNA(MATCH($C53,'통합 ③ 통장·카드'!$A$5:$A$11,0)),"③ 통장·카드에 없는 결제수단입니다",IF($D53="","계정과목을 고르십시오",IF($E53="※없는 과목","④ 설정에 없는 과목입니다",IF(AND($E53="수입",$J53&gt;0),"수입 과목인데 지출에 적혔습니다",IF(AND(LEFT($E53,2)&lt;&gt;"수입",$E53&lt;&gt;"대체",$I53&gt;0),"지출 과목인데 수입에 적혔습니다",IF($K53="","증빙을 고르십시오",IF(AND($C53="바우처통장",$J53&gt;0,IFERROR(INDEX('통합 ④ 설정'!$E$6:$E$40,MATCH($D53,'통합 ④ 설정'!$B$6:$B$40,0)),"")&lt;&gt;"○"),"바우처통장 지출 — 목적 확인",IF($H53="","적요를 적으십시오",""))))))))))))</f>
        <v/>
      </c>
      <c r="M53" s="39"/>
      <c r="O53" s="11" t="str">
        <f aca="false">IF($B53="","",YEAR($B53)*100+MONTH($B53))</f>
        <v/>
      </c>
      <c r="P53" s="11" t="str">
        <f aca="false">IF($B53="","",IF($E53="대체",0,1))</f>
        <v/>
      </c>
    </row>
    <row r="54" customFormat="false" ht="15" hidden="false" customHeight="false" outlineLevel="0" collapsed="false">
      <c r="A54" s="36" t="str">
        <f aca="false">IF($B54="","",COUNT($B$15:$B54))</f>
        <v/>
      </c>
      <c r="B54" s="37"/>
      <c r="C54" s="38"/>
      <c r="D54" s="39"/>
      <c r="E54" s="36" t="str">
        <f aca="false">IF($D54="","",IFERROR(INDEX('통합 ④ 설정'!$A$6:$A$40,MATCH($D54,'통합 ④ 설정'!$B$6:$B$40,0)),"※없는 과목"))</f>
        <v/>
      </c>
      <c r="F54" s="36" t="str">
        <f aca="false">IF($D54="","",IFERROR(INDEX('통합 ④ 설정'!$C$6:$C$40,MATCH($D54,'통합 ④ 설정'!$B$6:$B$40,0)),""))</f>
        <v/>
      </c>
      <c r="G54" s="39"/>
      <c r="H54" s="39"/>
      <c r="I54" s="40"/>
      <c r="J54" s="41"/>
      <c r="K54" s="38"/>
      <c r="L54" s="42" t="str">
        <f aca="false">IF($B54="","",IF(AND(N($I54)=0,N($J54)=0),"금액이 없습니다",IF(AND($I54&gt;0,$J54&gt;0),"수입·지출 둘 다 적혔습니다",IF($C54="","결제수단을 고르십시오",IF(ISNA(MATCH($C54,'통합 ③ 통장·카드'!$A$5:$A$11,0)),"③ 통장·카드에 없는 결제수단입니다",IF($D54="","계정과목을 고르십시오",IF($E54="※없는 과목","④ 설정에 없는 과목입니다",IF(AND($E54="수입",$J54&gt;0),"수입 과목인데 지출에 적혔습니다",IF(AND(LEFT($E54,2)&lt;&gt;"수입",$E54&lt;&gt;"대체",$I54&gt;0),"지출 과목인데 수입에 적혔습니다",IF($K54="","증빙을 고르십시오",IF(AND($C54="바우처통장",$J54&gt;0,IFERROR(INDEX('통합 ④ 설정'!$E$6:$E$40,MATCH($D54,'통합 ④ 설정'!$B$6:$B$40,0)),"")&lt;&gt;"○"),"바우처통장 지출 — 목적 확인",IF($H54="","적요를 적으십시오",""))))))))))))</f>
        <v/>
      </c>
      <c r="M54" s="39"/>
      <c r="O54" s="11" t="str">
        <f aca="false">IF($B54="","",YEAR($B54)*100+MONTH($B54))</f>
        <v/>
      </c>
      <c r="P54" s="11" t="str">
        <f aca="false">IF($B54="","",IF($E54="대체",0,1))</f>
        <v/>
      </c>
    </row>
    <row r="55" customFormat="false" ht="15" hidden="false" customHeight="false" outlineLevel="0" collapsed="false">
      <c r="A55" s="36" t="str">
        <f aca="false">IF($B55="","",COUNT($B$15:$B55))</f>
        <v/>
      </c>
      <c r="B55" s="37"/>
      <c r="C55" s="38"/>
      <c r="D55" s="39"/>
      <c r="E55" s="36" t="str">
        <f aca="false">IF($D55="","",IFERROR(INDEX('통합 ④ 설정'!$A$6:$A$40,MATCH($D55,'통합 ④ 설정'!$B$6:$B$40,0)),"※없는 과목"))</f>
        <v/>
      </c>
      <c r="F55" s="36" t="str">
        <f aca="false">IF($D55="","",IFERROR(INDEX('통합 ④ 설정'!$C$6:$C$40,MATCH($D55,'통합 ④ 설정'!$B$6:$B$40,0)),""))</f>
        <v/>
      </c>
      <c r="G55" s="39"/>
      <c r="H55" s="39"/>
      <c r="I55" s="40"/>
      <c r="J55" s="41"/>
      <c r="K55" s="38"/>
      <c r="L55" s="42" t="str">
        <f aca="false">IF($B55="","",IF(AND(N($I55)=0,N($J55)=0),"금액이 없습니다",IF(AND($I55&gt;0,$J55&gt;0),"수입·지출 둘 다 적혔습니다",IF($C55="","결제수단을 고르십시오",IF(ISNA(MATCH($C55,'통합 ③ 통장·카드'!$A$5:$A$11,0)),"③ 통장·카드에 없는 결제수단입니다",IF($D55="","계정과목을 고르십시오",IF($E55="※없는 과목","④ 설정에 없는 과목입니다",IF(AND($E55="수입",$J55&gt;0),"수입 과목인데 지출에 적혔습니다",IF(AND(LEFT($E55,2)&lt;&gt;"수입",$E55&lt;&gt;"대체",$I55&gt;0),"지출 과목인데 수입에 적혔습니다",IF($K55="","증빙을 고르십시오",IF(AND($C55="바우처통장",$J55&gt;0,IFERROR(INDEX('통합 ④ 설정'!$E$6:$E$40,MATCH($D55,'통합 ④ 설정'!$B$6:$B$40,0)),"")&lt;&gt;"○"),"바우처통장 지출 — 목적 확인",IF($H55="","적요를 적으십시오",""))))))))))))</f>
        <v/>
      </c>
      <c r="M55" s="39"/>
      <c r="O55" s="11" t="str">
        <f aca="false">IF($B55="","",YEAR($B55)*100+MONTH($B55))</f>
        <v/>
      </c>
      <c r="P55" s="11" t="str">
        <f aca="false">IF($B55="","",IF($E55="대체",0,1))</f>
        <v/>
      </c>
    </row>
    <row r="56" customFormat="false" ht="15" hidden="false" customHeight="false" outlineLevel="0" collapsed="false">
      <c r="A56" s="36" t="str">
        <f aca="false">IF($B56="","",COUNT($B$15:$B56))</f>
        <v/>
      </c>
      <c r="B56" s="37"/>
      <c r="C56" s="38"/>
      <c r="D56" s="39"/>
      <c r="E56" s="36" t="str">
        <f aca="false">IF($D56="","",IFERROR(INDEX('통합 ④ 설정'!$A$6:$A$40,MATCH($D56,'통합 ④ 설정'!$B$6:$B$40,0)),"※없는 과목"))</f>
        <v/>
      </c>
      <c r="F56" s="36" t="str">
        <f aca="false">IF($D56="","",IFERROR(INDEX('통합 ④ 설정'!$C$6:$C$40,MATCH($D56,'통합 ④ 설정'!$B$6:$B$40,0)),""))</f>
        <v/>
      </c>
      <c r="G56" s="39"/>
      <c r="H56" s="39"/>
      <c r="I56" s="40"/>
      <c r="J56" s="41"/>
      <c r="K56" s="38"/>
      <c r="L56" s="42" t="str">
        <f aca="false">IF($B56="","",IF(AND(N($I56)=0,N($J56)=0),"금액이 없습니다",IF(AND($I56&gt;0,$J56&gt;0),"수입·지출 둘 다 적혔습니다",IF($C56="","결제수단을 고르십시오",IF(ISNA(MATCH($C56,'통합 ③ 통장·카드'!$A$5:$A$11,0)),"③ 통장·카드에 없는 결제수단입니다",IF($D56="","계정과목을 고르십시오",IF($E56="※없는 과목","④ 설정에 없는 과목입니다",IF(AND($E56="수입",$J56&gt;0),"수입 과목인데 지출에 적혔습니다",IF(AND(LEFT($E56,2)&lt;&gt;"수입",$E56&lt;&gt;"대체",$I56&gt;0),"지출 과목인데 수입에 적혔습니다",IF($K56="","증빙을 고르십시오",IF(AND($C56="바우처통장",$J56&gt;0,IFERROR(INDEX('통합 ④ 설정'!$E$6:$E$40,MATCH($D56,'통합 ④ 설정'!$B$6:$B$40,0)),"")&lt;&gt;"○"),"바우처통장 지출 — 목적 확인",IF($H56="","적요를 적으십시오",""))))))))))))</f>
        <v/>
      </c>
      <c r="M56" s="39"/>
      <c r="O56" s="11" t="str">
        <f aca="false">IF($B56="","",YEAR($B56)*100+MONTH($B56))</f>
        <v/>
      </c>
      <c r="P56" s="11" t="str">
        <f aca="false">IF($B56="","",IF($E56="대체",0,1))</f>
        <v/>
      </c>
    </row>
    <row r="57" customFormat="false" ht="15" hidden="false" customHeight="false" outlineLevel="0" collapsed="false">
      <c r="A57" s="36" t="str">
        <f aca="false">IF($B57="","",COUNT($B$15:$B57))</f>
        <v/>
      </c>
      <c r="B57" s="37"/>
      <c r="C57" s="38"/>
      <c r="D57" s="39"/>
      <c r="E57" s="36" t="str">
        <f aca="false">IF($D57="","",IFERROR(INDEX('통합 ④ 설정'!$A$6:$A$40,MATCH($D57,'통합 ④ 설정'!$B$6:$B$40,0)),"※없는 과목"))</f>
        <v/>
      </c>
      <c r="F57" s="36" t="str">
        <f aca="false">IF($D57="","",IFERROR(INDEX('통합 ④ 설정'!$C$6:$C$40,MATCH($D57,'통합 ④ 설정'!$B$6:$B$40,0)),""))</f>
        <v/>
      </c>
      <c r="G57" s="39"/>
      <c r="H57" s="39"/>
      <c r="I57" s="40"/>
      <c r="J57" s="41"/>
      <c r="K57" s="38"/>
      <c r="L57" s="42" t="str">
        <f aca="false">IF($B57="","",IF(AND(N($I57)=0,N($J57)=0),"금액이 없습니다",IF(AND($I57&gt;0,$J57&gt;0),"수입·지출 둘 다 적혔습니다",IF($C57="","결제수단을 고르십시오",IF(ISNA(MATCH($C57,'통합 ③ 통장·카드'!$A$5:$A$11,0)),"③ 통장·카드에 없는 결제수단입니다",IF($D57="","계정과목을 고르십시오",IF($E57="※없는 과목","④ 설정에 없는 과목입니다",IF(AND($E57="수입",$J57&gt;0),"수입 과목인데 지출에 적혔습니다",IF(AND(LEFT($E57,2)&lt;&gt;"수입",$E57&lt;&gt;"대체",$I57&gt;0),"지출 과목인데 수입에 적혔습니다",IF($K57="","증빙을 고르십시오",IF(AND($C57="바우처통장",$J57&gt;0,IFERROR(INDEX('통합 ④ 설정'!$E$6:$E$40,MATCH($D57,'통합 ④ 설정'!$B$6:$B$40,0)),"")&lt;&gt;"○"),"바우처통장 지출 — 목적 확인",IF($H57="","적요를 적으십시오",""))))))))))))</f>
        <v/>
      </c>
      <c r="M57" s="39"/>
      <c r="O57" s="11" t="str">
        <f aca="false">IF($B57="","",YEAR($B57)*100+MONTH($B57))</f>
        <v/>
      </c>
      <c r="P57" s="11" t="str">
        <f aca="false">IF($B57="","",IF($E57="대체",0,1))</f>
        <v/>
      </c>
    </row>
    <row r="58" customFormat="false" ht="15" hidden="false" customHeight="false" outlineLevel="0" collapsed="false">
      <c r="A58" s="36" t="str">
        <f aca="false">IF($B58="","",COUNT($B$15:$B58))</f>
        <v/>
      </c>
      <c r="B58" s="37"/>
      <c r="C58" s="38"/>
      <c r="D58" s="39"/>
      <c r="E58" s="36" t="str">
        <f aca="false">IF($D58="","",IFERROR(INDEX('통합 ④ 설정'!$A$6:$A$40,MATCH($D58,'통합 ④ 설정'!$B$6:$B$40,0)),"※없는 과목"))</f>
        <v/>
      </c>
      <c r="F58" s="36" t="str">
        <f aca="false">IF($D58="","",IFERROR(INDEX('통합 ④ 설정'!$C$6:$C$40,MATCH($D58,'통합 ④ 설정'!$B$6:$B$40,0)),""))</f>
        <v/>
      </c>
      <c r="G58" s="39"/>
      <c r="H58" s="39"/>
      <c r="I58" s="40"/>
      <c r="J58" s="41"/>
      <c r="K58" s="38"/>
      <c r="L58" s="42" t="str">
        <f aca="false">IF($B58="","",IF(AND(N($I58)=0,N($J58)=0),"금액이 없습니다",IF(AND($I58&gt;0,$J58&gt;0),"수입·지출 둘 다 적혔습니다",IF($C58="","결제수단을 고르십시오",IF(ISNA(MATCH($C58,'통합 ③ 통장·카드'!$A$5:$A$11,0)),"③ 통장·카드에 없는 결제수단입니다",IF($D58="","계정과목을 고르십시오",IF($E58="※없는 과목","④ 설정에 없는 과목입니다",IF(AND($E58="수입",$J58&gt;0),"수입 과목인데 지출에 적혔습니다",IF(AND(LEFT($E58,2)&lt;&gt;"수입",$E58&lt;&gt;"대체",$I58&gt;0),"지출 과목인데 수입에 적혔습니다",IF($K58="","증빙을 고르십시오",IF(AND($C58="바우처통장",$J58&gt;0,IFERROR(INDEX('통합 ④ 설정'!$E$6:$E$40,MATCH($D58,'통합 ④ 설정'!$B$6:$B$40,0)),"")&lt;&gt;"○"),"바우처통장 지출 — 목적 확인",IF($H58="","적요를 적으십시오",""))))))))))))</f>
        <v/>
      </c>
      <c r="M58" s="39"/>
      <c r="O58" s="11" t="str">
        <f aca="false">IF($B58="","",YEAR($B58)*100+MONTH($B58))</f>
        <v/>
      </c>
      <c r="P58" s="11" t="str">
        <f aca="false">IF($B58="","",IF($E58="대체",0,1))</f>
        <v/>
      </c>
    </row>
    <row r="59" customFormat="false" ht="15" hidden="false" customHeight="false" outlineLevel="0" collapsed="false">
      <c r="A59" s="36" t="str">
        <f aca="false">IF($B59="","",COUNT($B$15:$B59))</f>
        <v/>
      </c>
      <c r="B59" s="37"/>
      <c r="C59" s="38"/>
      <c r="D59" s="39"/>
      <c r="E59" s="36" t="str">
        <f aca="false">IF($D59="","",IFERROR(INDEX('통합 ④ 설정'!$A$6:$A$40,MATCH($D59,'통합 ④ 설정'!$B$6:$B$40,0)),"※없는 과목"))</f>
        <v/>
      </c>
      <c r="F59" s="36" t="str">
        <f aca="false">IF($D59="","",IFERROR(INDEX('통합 ④ 설정'!$C$6:$C$40,MATCH($D59,'통합 ④ 설정'!$B$6:$B$40,0)),""))</f>
        <v/>
      </c>
      <c r="G59" s="39"/>
      <c r="H59" s="39"/>
      <c r="I59" s="40"/>
      <c r="J59" s="41"/>
      <c r="K59" s="38"/>
      <c r="L59" s="42" t="str">
        <f aca="false">IF($B59="","",IF(AND(N($I59)=0,N($J59)=0),"금액이 없습니다",IF(AND($I59&gt;0,$J59&gt;0),"수입·지출 둘 다 적혔습니다",IF($C59="","결제수단을 고르십시오",IF(ISNA(MATCH($C59,'통합 ③ 통장·카드'!$A$5:$A$11,0)),"③ 통장·카드에 없는 결제수단입니다",IF($D59="","계정과목을 고르십시오",IF($E59="※없는 과목","④ 설정에 없는 과목입니다",IF(AND($E59="수입",$J59&gt;0),"수입 과목인데 지출에 적혔습니다",IF(AND(LEFT($E59,2)&lt;&gt;"수입",$E59&lt;&gt;"대체",$I59&gt;0),"지출 과목인데 수입에 적혔습니다",IF($K59="","증빙을 고르십시오",IF(AND($C59="바우처통장",$J59&gt;0,IFERROR(INDEX('통합 ④ 설정'!$E$6:$E$40,MATCH($D59,'통합 ④ 설정'!$B$6:$B$40,0)),"")&lt;&gt;"○"),"바우처통장 지출 — 목적 확인",IF($H59="","적요를 적으십시오",""))))))))))))</f>
        <v/>
      </c>
      <c r="M59" s="39"/>
      <c r="O59" s="11" t="str">
        <f aca="false">IF($B59="","",YEAR($B59)*100+MONTH($B59))</f>
        <v/>
      </c>
      <c r="P59" s="11" t="str">
        <f aca="false">IF($B59="","",IF($E59="대체",0,1))</f>
        <v/>
      </c>
    </row>
    <row r="60" customFormat="false" ht="15" hidden="false" customHeight="false" outlineLevel="0" collapsed="false">
      <c r="A60" s="36" t="str">
        <f aca="false">IF($B60="","",COUNT($B$15:$B60))</f>
        <v/>
      </c>
      <c r="B60" s="37"/>
      <c r="C60" s="38"/>
      <c r="D60" s="39"/>
      <c r="E60" s="36" t="str">
        <f aca="false">IF($D60="","",IFERROR(INDEX('통합 ④ 설정'!$A$6:$A$40,MATCH($D60,'통합 ④ 설정'!$B$6:$B$40,0)),"※없는 과목"))</f>
        <v/>
      </c>
      <c r="F60" s="36" t="str">
        <f aca="false">IF($D60="","",IFERROR(INDEX('통합 ④ 설정'!$C$6:$C$40,MATCH($D60,'통합 ④ 설정'!$B$6:$B$40,0)),""))</f>
        <v/>
      </c>
      <c r="G60" s="39"/>
      <c r="H60" s="39"/>
      <c r="I60" s="40"/>
      <c r="J60" s="41"/>
      <c r="K60" s="38"/>
      <c r="L60" s="42" t="str">
        <f aca="false">IF($B60="","",IF(AND(N($I60)=0,N($J60)=0),"금액이 없습니다",IF(AND($I60&gt;0,$J60&gt;0),"수입·지출 둘 다 적혔습니다",IF($C60="","결제수단을 고르십시오",IF(ISNA(MATCH($C60,'통합 ③ 통장·카드'!$A$5:$A$11,0)),"③ 통장·카드에 없는 결제수단입니다",IF($D60="","계정과목을 고르십시오",IF($E60="※없는 과목","④ 설정에 없는 과목입니다",IF(AND($E60="수입",$J60&gt;0),"수입 과목인데 지출에 적혔습니다",IF(AND(LEFT($E60,2)&lt;&gt;"수입",$E60&lt;&gt;"대체",$I60&gt;0),"지출 과목인데 수입에 적혔습니다",IF($K60="","증빙을 고르십시오",IF(AND($C60="바우처통장",$J60&gt;0,IFERROR(INDEX('통합 ④ 설정'!$E$6:$E$40,MATCH($D60,'통합 ④ 설정'!$B$6:$B$40,0)),"")&lt;&gt;"○"),"바우처통장 지출 — 목적 확인",IF($H60="","적요를 적으십시오",""))))))))))))</f>
        <v/>
      </c>
      <c r="M60" s="39"/>
      <c r="O60" s="11" t="str">
        <f aca="false">IF($B60="","",YEAR($B60)*100+MONTH($B60))</f>
        <v/>
      </c>
      <c r="P60" s="11" t="str">
        <f aca="false">IF($B60="","",IF($E60="대체",0,1))</f>
        <v/>
      </c>
    </row>
    <row r="61" customFormat="false" ht="15" hidden="false" customHeight="false" outlineLevel="0" collapsed="false">
      <c r="A61" s="36" t="str">
        <f aca="false">IF($B61="","",COUNT($B$15:$B61))</f>
        <v/>
      </c>
      <c r="B61" s="37"/>
      <c r="C61" s="38"/>
      <c r="D61" s="39"/>
      <c r="E61" s="36" t="str">
        <f aca="false">IF($D61="","",IFERROR(INDEX('통합 ④ 설정'!$A$6:$A$40,MATCH($D61,'통합 ④ 설정'!$B$6:$B$40,0)),"※없는 과목"))</f>
        <v/>
      </c>
      <c r="F61" s="36" t="str">
        <f aca="false">IF($D61="","",IFERROR(INDEX('통합 ④ 설정'!$C$6:$C$40,MATCH($D61,'통합 ④ 설정'!$B$6:$B$40,0)),""))</f>
        <v/>
      </c>
      <c r="G61" s="39"/>
      <c r="H61" s="39"/>
      <c r="I61" s="40"/>
      <c r="J61" s="41"/>
      <c r="K61" s="38"/>
      <c r="L61" s="42" t="str">
        <f aca="false">IF($B61="","",IF(AND(N($I61)=0,N($J61)=0),"금액이 없습니다",IF(AND($I61&gt;0,$J61&gt;0),"수입·지출 둘 다 적혔습니다",IF($C61="","결제수단을 고르십시오",IF(ISNA(MATCH($C61,'통합 ③ 통장·카드'!$A$5:$A$11,0)),"③ 통장·카드에 없는 결제수단입니다",IF($D61="","계정과목을 고르십시오",IF($E61="※없는 과목","④ 설정에 없는 과목입니다",IF(AND($E61="수입",$J61&gt;0),"수입 과목인데 지출에 적혔습니다",IF(AND(LEFT($E61,2)&lt;&gt;"수입",$E61&lt;&gt;"대체",$I61&gt;0),"지출 과목인데 수입에 적혔습니다",IF($K61="","증빙을 고르십시오",IF(AND($C61="바우처통장",$J61&gt;0,IFERROR(INDEX('통합 ④ 설정'!$E$6:$E$40,MATCH($D61,'통합 ④ 설정'!$B$6:$B$40,0)),"")&lt;&gt;"○"),"바우처통장 지출 — 목적 확인",IF($H61="","적요를 적으십시오",""))))))))))))</f>
        <v/>
      </c>
      <c r="M61" s="39"/>
      <c r="O61" s="11" t="str">
        <f aca="false">IF($B61="","",YEAR($B61)*100+MONTH($B61))</f>
        <v/>
      </c>
      <c r="P61" s="11" t="str">
        <f aca="false">IF($B61="","",IF($E61="대체",0,1))</f>
        <v/>
      </c>
    </row>
    <row r="62" customFormat="false" ht="15" hidden="false" customHeight="false" outlineLevel="0" collapsed="false">
      <c r="A62" s="36" t="str">
        <f aca="false">IF($B62="","",COUNT($B$15:$B62))</f>
        <v/>
      </c>
      <c r="B62" s="37"/>
      <c r="C62" s="38"/>
      <c r="D62" s="39"/>
      <c r="E62" s="36" t="str">
        <f aca="false">IF($D62="","",IFERROR(INDEX('통합 ④ 설정'!$A$6:$A$40,MATCH($D62,'통합 ④ 설정'!$B$6:$B$40,0)),"※없는 과목"))</f>
        <v/>
      </c>
      <c r="F62" s="36" t="str">
        <f aca="false">IF($D62="","",IFERROR(INDEX('통합 ④ 설정'!$C$6:$C$40,MATCH($D62,'통합 ④ 설정'!$B$6:$B$40,0)),""))</f>
        <v/>
      </c>
      <c r="G62" s="39"/>
      <c r="H62" s="39"/>
      <c r="I62" s="40"/>
      <c r="J62" s="41"/>
      <c r="K62" s="38"/>
      <c r="L62" s="42" t="str">
        <f aca="false">IF($B62="","",IF(AND(N($I62)=0,N($J62)=0),"금액이 없습니다",IF(AND($I62&gt;0,$J62&gt;0),"수입·지출 둘 다 적혔습니다",IF($C62="","결제수단을 고르십시오",IF(ISNA(MATCH($C62,'통합 ③ 통장·카드'!$A$5:$A$11,0)),"③ 통장·카드에 없는 결제수단입니다",IF($D62="","계정과목을 고르십시오",IF($E62="※없는 과목","④ 설정에 없는 과목입니다",IF(AND($E62="수입",$J62&gt;0),"수입 과목인데 지출에 적혔습니다",IF(AND(LEFT($E62,2)&lt;&gt;"수입",$E62&lt;&gt;"대체",$I62&gt;0),"지출 과목인데 수입에 적혔습니다",IF($K62="","증빙을 고르십시오",IF(AND($C62="바우처통장",$J62&gt;0,IFERROR(INDEX('통합 ④ 설정'!$E$6:$E$40,MATCH($D62,'통합 ④ 설정'!$B$6:$B$40,0)),"")&lt;&gt;"○"),"바우처통장 지출 — 목적 확인",IF($H62="","적요를 적으십시오",""))))))))))))</f>
        <v/>
      </c>
      <c r="M62" s="39"/>
      <c r="O62" s="11" t="str">
        <f aca="false">IF($B62="","",YEAR($B62)*100+MONTH($B62))</f>
        <v/>
      </c>
      <c r="P62" s="11" t="str">
        <f aca="false">IF($B62="","",IF($E62="대체",0,1))</f>
        <v/>
      </c>
    </row>
    <row r="63" customFormat="false" ht="15" hidden="false" customHeight="false" outlineLevel="0" collapsed="false">
      <c r="A63" s="36" t="str">
        <f aca="false">IF($B63="","",COUNT($B$15:$B63))</f>
        <v/>
      </c>
      <c r="B63" s="37"/>
      <c r="C63" s="38"/>
      <c r="D63" s="39"/>
      <c r="E63" s="36" t="str">
        <f aca="false">IF($D63="","",IFERROR(INDEX('통합 ④ 설정'!$A$6:$A$40,MATCH($D63,'통합 ④ 설정'!$B$6:$B$40,0)),"※없는 과목"))</f>
        <v/>
      </c>
      <c r="F63" s="36" t="str">
        <f aca="false">IF($D63="","",IFERROR(INDEX('통합 ④ 설정'!$C$6:$C$40,MATCH($D63,'통합 ④ 설정'!$B$6:$B$40,0)),""))</f>
        <v/>
      </c>
      <c r="G63" s="39"/>
      <c r="H63" s="39"/>
      <c r="I63" s="40"/>
      <c r="J63" s="41"/>
      <c r="K63" s="38"/>
      <c r="L63" s="42" t="str">
        <f aca="false">IF($B63="","",IF(AND(N($I63)=0,N($J63)=0),"금액이 없습니다",IF(AND($I63&gt;0,$J63&gt;0),"수입·지출 둘 다 적혔습니다",IF($C63="","결제수단을 고르십시오",IF(ISNA(MATCH($C63,'통합 ③ 통장·카드'!$A$5:$A$11,0)),"③ 통장·카드에 없는 결제수단입니다",IF($D63="","계정과목을 고르십시오",IF($E63="※없는 과목","④ 설정에 없는 과목입니다",IF(AND($E63="수입",$J63&gt;0),"수입 과목인데 지출에 적혔습니다",IF(AND(LEFT($E63,2)&lt;&gt;"수입",$E63&lt;&gt;"대체",$I63&gt;0),"지출 과목인데 수입에 적혔습니다",IF($K63="","증빙을 고르십시오",IF(AND($C63="바우처통장",$J63&gt;0,IFERROR(INDEX('통합 ④ 설정'!$E$6:$E$40,MATCH($D63,'통합 ④ 설정'!$B$6:$B$40,0)),"")&lt;&gt;"○"),"바우처통장 지출 — 목적 확인",IF($H63="","적요를 적으십시오",""))))))))))))</f>
        <v/>
      </c>
      <c r="M63" s="39"/>
      <c r="O63" s="11" t="str">
        <f aca="false">IF($B63="","",YEAR($B63)*100+MONTH($B63))</f>
        <v/>
      </c>
      <c r="P63" s="11" t="str">
        <f aca="false">IF($B63="","",IF($E63="대체",0,1))</f>
        <v/>
      </c>
    </row>
    <row r="64" customFormat="false" ht="15" hidden="false" customHeight="false" outlineLevel="0" collapsed="false">
      <c r="A64" s="36" t="str">
        <f aca="false">IF($B64="","",COUNT($B$15:$B64))</f>
        <v/>
      </c>
      <c r="B64" s="37"/>
      <c r="C64" s="38"/>
      <c r="D64" s="39"/>
      <c r="E64" s="36" t="str">
        <f aca="false">IF($D64="","",IFERROR(INDEX('통합 ④ 설정'!$A$6:$A$40,MATCH($D64,'통합 ④ 설정'!$B$6:$B$40,0)),"※없는 과목"))</f>
        <v/>
      </c>
      <c r="F64" s="36" t="str">
        <f aca="false">IF($D64="","",IFERROR(INDEX('통합 ④ 설정'!$C$6:$C$40,MATCH($D64,'통합 ④ 설정'!$B$6:$B$40,0)),""))</f>
        <v/>
      </c>
      <c r="G64" s="39"/>
      <c r="H64" s="39"/>
      <c r="I64" s="40"/>
      <c r="J64" s="41"/>
      <c r="K64" s="38"/>
      <c r="L64" s="42" t="str">
        <f aca="false">IF($B64="","",IF(AND(N($I64)=0,N($J64)=0),"금액이 없습니다",IF(AND($I64&gt;0,$J64&gt;0),"수입·지출 둘 다 적혔습니다",IF($C64="","결제수단을 고르십시오",IF(ISNA(MATCH($C64,'통합 ③ 통장·카드'!$A$5:$A$11,0)),"③ 통장·카드에 없는 결제수단입니다",IF($D64="","계정과목을 고르십시오",IF($E64="※없는 과목","④ 설정에 없는 과목입니다",IF(AND($E64="수입",$J64&gt;0),"수입 과목인데 지출에 적혔습니다",IF(AND(LEFT($E64,2)&lt;&gt;"수입",$E64&lt;&gt;"대체",$I64&gt;0),"지출 과목인데 수입에 적혔습니다",IF($K64="","증빙을 고르십시오",IF(AND($C64="바우처통장",$J64&gt;0,IFERROR(INDEX('통합 ④ 설정'!$E$6:$E$40,MATCH($D64,'통합 ④ 설정'!$B$6:$B$40,0)),"")&lt;&gt;"○"),"바우처통장 지출 — 목적 확인",IF($H64="","적요를 적으십시오",""))))))))))))</f>
        <v/>
      </c>
      <c r="M64" s="39"/>
      <c r="O64" s="11" t="str">
        <f aca="false">IF($B64="","",YEAR($B64)*100+MONTH($B64))</f>
        <v/>
      </c>
      <c r="P64" s="11" t="str">
        <f aca="false">IF($B64="","",IF($E64="대체",0,1))</f>
        <v/>
      </c>
    </row>
    <row r="65" customFormat="false" ht="15" hidden="false" customHeight="false" outlineLevel="0" collapsed="false">
      <c r="A65" s="36" t="str">
        <f aca="false">IF($B65="","",COUNT($B$15:$B65))</f>
        <v/>
      </c>
      <c r="B65" s="37"/>
      <c r="C65" s="38"/>
      <c r="D65" s="39"/>
      <c r="E65" s="36" t="str">
        <f aca="false">IF($D65="","",IFERROR(INDEX('통합 ④ 설정'!$A$6:$A$40,MATCH($D65,'통합 ④ 설정'!$B$6:$B$40,0)),"※없는 과목"))</f>
        <v/>
      </c>
      <c r="F65" s="36" t="str">
        <f aca="false">IF($D65="","",IFERROR(INDEX('통합 ④ 설정'!$C$6:$C$40,MATCH($D65,'통합 ④ 설정'!$B$6:$B$40,0)),""))</f>
        <v/>
      </c>
      <c r="G65" s="39"/>
      <c r="H65" s="39"/>
      <c r="I65" s="40"/>
      <c r="J65" s="41"/>
      <c r="K65" s="38"/>
      <c r="L65" s="42" t="str">
        <f aca="false">IF($B65="","",IF(AND(N($I65)=0,N($J65)=0),"금액이 없습니다",IF(AND($I65&gt;0,$J65&gt;0),"수입·지출 둘 다 적혔습니다",IF($C65="","결제수단을 고르십시오",IF(ISNA(MATCH($C65,'통합 ③ 통장·카드'!$A$5:$A$11,0)),"③ 통장·카드에 없는 결제수단입니다",IF($D65="","계정과목을 고르십시오",IF($E65="※없는 과목","④ 설정에 없는 과목입니다",IF(AND($E65="수입",$J65&gt;0),"수입 과목인데 지출에 적혔습니다",IF(AND(LEFT($E65,2)&lt;&gt;"수입",$E65&lt;&gt;"대체",$I65&gt;0),"지출 과목인데 수입에 적혔습니다",IF($K65="","증빙을 고르십시오",IF(AND($C65="바우처통장",$J65&gt;0,IFERROR(INDEX('통합 ④ 설정'!$E$6:$E$40,MATCH($D65,'통합 ④ 설정'!$B$6:$B$40,0)),"")&lt;&gt;"○"),"바우처통장 지출 — 목적 확인",IF($H65="","적요를 적으십시오",""))))))))))))</f>
        <v/>
      </c>
      <c r="M65" s="39"/>
      <c r="O65" s="11" t="str">
        <f aca="false">IF($B65="","",YEAR($B65)*100+MONTH($B65))</f>
        <v/>
      </c>
      <c r="P65" s="11" t="str">
        <f aca="false">IF($B65="","",IF($E65="대체",0,1))</f>
        <v/>
      </c>
    </row>
    <row r="66" customFormat="false" ht="15" hidden="false" customHeight="false" outlineLevel="0" collapsed="false">
      <c r="A66" s="36" t="str">
        <f aca="false">IF($B66="","",COUNT($B$15:$B66))</f>
        <v/>
      </c>
      <c r="B66" s="37"/>
      <c r="C66" s="38"/>
      <c r="D66" s="39"/>
      <c r="E66" s="36" t="str">
        <f aca="false">IF($D66="","",IFERROR(INDEX('통합 ④ 설정'!$A$6:$A$40,MATCH($D66,'통합 ④ 설정'!$B$6:$B$40,0)),"※없는 과목"))</f>
        <v/>
      </c>
      <c r="F66" s="36" t="str">
        <f aca="false">IF($D66="","",IFERROR(INDEX('통합 ④ 설정'!$C$6:$C$40,MATCH($D66,'통합 ④ 설정'!$B$6:$B$40,0)),""))</f>
        <v/>
      </c>
      <c r="G66" s="39"/>
      <c r="H66" s="39"/>
      <c r="I66" s="40"/>
      <c r="J66" s="41"/>
      <c r="K66" s="38"/>
      <c r="L66" s="42" t="str">
        <f aca="false">IF($B66="","",IF(AND(N($I66)=0,N($J66)=0),"금액이 없습니다",IF(AND($I66&gt;0,$J66&gt;0),"수입·지출 둘 다 적혔습니다",IF($C66="","결제수단을 고르십시오",IF(ISNA(MATCH($C66,'통합 ③ 통장·카드'!$A$5:$A$11,0)),"③ 통장·카드에 없는 결제수단입니다",IF($D66="","계정과목을 고르십시오",IF($E66="※없는 과목","④ 설정에 없는 과목입니다",IF(AND($E66="수입",$J66&gt;0),"수입 과목인데 지출에 적혔습니다",IF(AND(LEFT($E66,2)&lt;&gt;"수입",$E66&lt;&gt;"대체",$I66&gt;0),"지출 과목인데 수입에 적혔습니다",IF($K66="","증빙을 고르십시오",IF(AND($C66="바우처통장",$J66&gt;0,IFERROR(INDEX('통합 ④ 설정'!$E$6:$E$40,MATCH($D66,'통합 ④ 설정'!$B$6:$B$40,0)),"")&lt;&gt;"○"),"바우처통장 지출 — 목적 확인",IF($H66="","적요를 적으십시오",""))))))))))))</f>
        <v/>
      </c>
      <c r="M66" s="39"/>
      <c r="O66" s="11" t="str">
        <f aca="false">IF($B66="","",YEAR($B66)*100+MONTH($B66))</f>
        <v/>
      </c>
      <c r="P66" s="11" t="str">
        <f aca="false">IF($B66="","",IF($E66="대체",0,1))</f>
        <v/>
      </c>
    </row>
    <row r="67" customFormat="false" ht="15" hidden="false" customHeight="false" outlineLevel="0" collapsed="false">
      <c r="A67" s="36" t="str">
        <f aca="false">IF($B67="","",COUNT($B$15:$B67))</f>
        <v/>
      </c>
      <c r="B67" s="37"/>
      <c r="C67" s="38"/>
      <c r="D67" s="39"/>
      <c r="E67" s="36" t="str">
        <f aca="false">IF($D67="","",IFERROR(INDEX('통합 ④ 설정'!$A$6:$A$40,MATCH($D67,'통합 ④ 설정'!$B$6:$B$40,0)),"※없는 과목"))</f>
        <v/>
      </c>
      <c r="F67" s="36" t="str">
        <f aca="false">IF($D67="","",IFERROR(INDEX('통합 ④ 설정'!$C$6:$C$40,MATCH($D67,'통합 ④ 설정'!$B$6:$B$40,0)),""))</f>
        <v/>
      </c>
      <c r="G67" s="39"/>
      <c r="H67" s="39"/>
      <c r="I67" s="40"/>
      <c r="J67" s="41"/>
      <c r="K67" s="38"/>
      <c r="L67" s="42" t="str">
        <f aca="false">IF($B67="","",IF(AND(N($I67)=0,N($J67)=0),"금액이 없습니다",IF(AND($I67&gt;0,$J67&gt;0),"수입·지출 둘 다 적혔습니다",IF($C67="","결제수단을 고르십시오",IF(ISNA(MATCH($C67,'통합 ③ 통장·카드'!$A$5:$A$11,0)),"③ 통장·카드에 없는 결제수단입니다",IF($D67="","계정과목을 고르십시오",IF($E67="※없는 과목","④ 설정에 없는 과목입니다",IF(AND($E67="수입",$J67&gt;0),"수입 과목인데 지출에 적혔습니다",IF(AND(LEFT($E67,2)&lt;&gt;"수입",$E67&lt;&gt;"대체",$I67&gt;0),"지출 과목인데 수입에 적혔습니다",IF($K67="","증빙을 고르십시오",IF(AND($C67="바우처통장",$J67&gt;0,IFERROR(INDEX('통합 ④ 설정'!$E$6:$E$40,MATCH($D67,'통합 ④ 설정'!$B$6:$B$40,0)),"")&lt;&gt;"○"),"바우처통장 지출 — 목적 확인",IF($H67="","적요를 적으십시오",""))))))))))))</f>
        <v/>
      </c>
      <c r="M67" s="39"/>
      <c r="O67" s="11" t="str">
        <f aca="false">IF($B67="","",YEAR($B67)*100+MONTH($B67))</f>
        <v/>
      </c>
      <c r="P67" s="11" t="str">
        <f aca="false">IF($B67="","",IF($E67="대체",0,1))</f>
        <v/>
      </c>
    </row>
    <row r="68" customFormat="false" ht="15" hidden="false" customHeight="false" outlineLevel="0" collapsed="false">
      <c r="A68" s="36" t="str">
        <f aca="false">IF($B68="","",COUNT($B$15:$B68))</f>
        <v/>
      </c>
      <c r="B68" s="37"/>
      <c r="C68" s="38"/>
      <c r="D68" s="39"/>
      <c r="E68" s="36" t="str">
        <f aca="false">IF($D68="","",IFERROR(INDEX('통합 ④ 설정'!$A$6:$A$40,MATCH($D68,'통합 ④ 설정'!$B$6:$B$40,0)),"※없는 과목"))</f>
        <v/>
      </c>
      <c r="F68" s="36" t="str">
        <f aca="false">IF($D68="","",IFERROR(INDEX('통합 ④ 설정'!$C$6:$C$40,MATCH($D68,'통합 ④ 설정'!$B$6:$B$40,0)),""))</f>
        <v/>
      </c>
      <c r="G68" s="39"/>
      <c r="H68" s="39"/>
      <c r="I68" s="40"/>
      <c r="J68" s="41"/>
      <c r="K68" s="38"/>
      <c r="L68" s="42" t="str">
        <f aca="false">IF($B68="","",IF(AND(N($I68)=0,N($J68)=0),"금액이 없습니다",IF(AND($I68&gt;0,$J68&gt;0),"수입·지출 둘 다 적혔습니다",IF($C68="","결제수단을 고르십시오",IF(ISNA(MATCH($C68,'통합 ③ 통장·카드'!$A$5:$A$11,0)),"③ 통장·카드에 없는 결제수단입니다",IF($D68="","계정과목을 고르십시오",IF($E68="※없는 과목","④ 설정에 없는 과목입니다",IF(AND($E68="수입",$J68&gt;0),"수입 과목인데 지출에 적혔습니다",IF(AND(LEFT($E68,2)&lt;&gt;"수입",$E68&lt;&gt;"대체",$I68&gt;0),"지출 과목인데 수입에 적혔습니다",IF($K68="","증빙을 고르십시오",IF(AND($C68="바우처통장",$J68&gt;0,IFERROR(INDEX('통합 ④ 설정'!$E$6:$E$40,MATCH($D68,'통합 ④ 설정'!$B$6:$B$40,0)),"")&lt;&gt;"○"),"바우처통장 지출 — 목적 확인",IF($H68="","적요를 적으십시오",""))))))))))))</f>
        <v/>
      </c>
      <c r="M68" s="39"/>
      <c r="O68" s="11" t="str">
        <f aca="false">IF($B68="","",YEAR($B68)*100+MONTH($B68))</f>
        <v/>
      </c>
      <c r="P68" s="11" t="str">
        <f aca="false">IF($B68="","",IF($E68="대체",0,1))</f>
        <v/>
      </c>
    </row>
    <row r="69" customFormat="false" ht="15" hidden="false" customHeight="false" outlineLevel="0" collapsed="false">
      <c r="A69" s="36" t="str">
        <f aca="false">IF($B69="","",COUNT($B$15:$B69))</f>
        <v/>
      </c>
      <c r="B69" s="37"/>
      <c r="C69" s="38"/>
      <c r="D69" s="39"/>
      <c r="E69" s="36" t="str">
        <f aca="false">IF($D69="","",IFERROR(INDEX('통합 ④ 설정'!$A$6:$A$40,MATCH($D69,'통합 ④ 설정'!$B$6:$B$40,0)),"※없는 과목"))</f>
        <v/>
      </c>
      <c r="F69" s="36" t="str">
        <f aca="false">IF($D69="","",IFERROR(INDEX('통합 ④ 설정'!$C$6:$C$40,MATCH($D69,'통합 ④ 설정'!$B$6:$B$40,0)),""))</f>
        <v/>
      </c>
      <c r="G69" s="39"/>
      <c r="H69" s="39"/>
      <c r="I69" s="40"/>
      <c r="J69" s="41"/>
      <c r="K69" s="38"/>
      <c r="L69" s="42" t="str">
        <f aca="false">IF($B69="","",IF(AND(N($I69)=0,N($J69)=0),"금액이 없습니다",IF(AND($I69&gt;0,$J69&gt;0),"수입·지출 둘 다 적혔습니다",IF($C69="","결제수단을 고르십시오",IF(ISNA(MATCH($C69,'통합 ③ 통장·카드'!$A$5:$A$11,0)),"③ 통장·카드에 없는 결제수단입니다",IF($D69="","계정과목을 고르십시오",IF($E69="※없는 과목","④ 설정에 없는 과목입니다",IF(AND($E69="수입",$J69&gt;0),"수입 과목인데 지출에 적혔습니다",IF(AND(LEFT($E69,2)&lt;&gt;"수입",$E69&lt;&gt;"대체",$I69&gt;0),"지출 과목인데 수입에 적혔습니다",IF($K69="","증빙을 고르십시오",IF(AND($C69="바우처통장",$J69&gt;0,IFERROR(INDEX('통합 ④ 설정'!$E$6:$E$40,MATCH($D69,'통합 ④ 설정'!$B$6:$B$40,0)),"")&lt;&gt;"○"),"바우처통장 지출 — 목적 확인",IF($H69="","적요를 적으십시오",""))))))))))))</f>
        <v/>
      </c>
      <c r="M69" s="39"/>
      <c r="O69" s="11" t="str">
        <f aca="false">IF($B69="","",YEAR($B69)*100+MONTH($B69))</f>
        <v/>
      </c>
      <c r="P69" s="11" t="str">
        <f aca="false">IF($B69="","",IF($E69="대체",0,1))</f>
        <v/>
      </c>
    </row>
    <row r="70" customFormat="false" ht="15" hidden="false" customHeight="false" outlineLevel="0" collapsed="false">
      <c r="A70" s="36" t="str">
        <f aca="false">IF($B70="","",COUNT($B$15:$B70))</f>
        <v/>
      </c>
      <c r="B70" s="37"/>
      <c r="C70" s="38"/>
      <c r="D70" s="39"/>
      <c r="E70" s="36" t="str">
        <f aca="false">IF($D70="","",IFERROR(INDEX('통합 ④ 설정'!$A$6:$A$40,MATCH($D70,'통합 ④ 설정'!$B$6:$B$40,0)),"※없는 과목"))</f>
        <v/>
      </c>
      <c r="F70" s="36" t="str">
        <f aca="false">IF($D70="","",IFERROR(INDEX('통합 ④ 설정'!$C$6:$C$40,MATCH($D70,'통합 ④ 설정'!$B$6:$B$40,0)),""))</f>
        <v/>
      </c>
      <c r="G70" s="39"/>
      <c r="H70" s="39"/>
      <c r="I70" s="40"/>
      <c r="J70" s="41"/>
      <c r="K70" s="38"/>
      <c r="L70" s="42" t="str">
        <f aca="false">IF($B70="","",IF(AND(N($I70)=0,N($J70)=0),"금액이 없습니다",IF(AND($I70&gt;0,$J70&gt;0),"수입·지출 둘 다 적혔습니다",IF($C70="","결제수단을 고르십시오",IF(ISNA(MATCH($C70,'통합 ③ 통장·카드'!$A$5:$A$11,0)),"③ 통장·카드에 없는 결제수단입니다",IF($D70="","계정과목을 고르십시오",IF($E70="※없는 과목","④ 설정에 없는 과목입니다",IF(AND($E70="수입",$J70&gt;0),"수입 과목인데 지출에 적혔습니다",IF(AND(LEFT($E70,2)&lt;&gt;"수입",$E70&lt;&gt;"대체",$I70&gt;0),"지출 과목인데 수입에 적혔습니다",IF($K70="","증빙을 고르십시오",IF(AND($C70="바우처통장",$J70&gt;0,IFERROR(INDEX('통합 ④ 설정'!$E$6:$E$40,MATCH($D70,'통합 ④ 설정'!$B$6:$B$40,0)),"")&lt;&gt;"○"),"바우처통장 지출 — 목적 확인",IF($H70="","적요를 적으십시오",""))))))))))))</f>
        <v/>
      </c>
      <c r="M70" s="39"/>
      <c r="O70" s="11" t="str">
        <f aca="false">IF($B70="","",YEAR($B70)*100+MONTH($B70))</f>
        <v/>
      </c>
      <c r="P70" s="11" t="str">
        <f aca="false">IF($B70="","",IF($E70="대체",0,1))</f>
        <v/>
      </c>
    </row>
    <row r="71" customFormat="false" ht="15" hidden="false" customHeight="false" outlineLevel="0" collapsed="false">
      <c r="A71" s="36" t="str">
        <f aca="false">IF($B71="","",COUNT($B$15:$B71))</f>
        <v/>
      </c>
      <c r="B71" s="37"/>
      <c r="C71" s="38"/>
      <c r="D71" s="39"/>
      <c r="E71" s="36" t="str">
        <f aca="false">IF($D71="","",IFERROR(INDEX('통합 ④ 설정'!$A$6:$A$40,MATCH($D71,'통합 ④ 설정'!$B$6:$B$40,0)),"※없는 과목"))</f>
        <v/>
      </c>
      <c r="F71" s="36" t="str">
        <f aca="false">IF($D71="","",IFERROR(INDEX('통합 ④ 설정'!$C$6:$C$40,MATCH($D71,'통합 ④ 설정'!$B$6:$B$40,0)),""))</f>
        <v/>
      </c>
      <c r="G71" s="39"/>
      <c r="H71" s="39"/>
      <c r="I71" s="40"/>
      <c r="J71" s="41"/>
      <c r="K71" s="38"/>
      <c r="L71" s="42" t="str">
        <f aca="false">IF($B71="","",IF(AND(N($I71)=0,N($J71)=0),"금액이 없습니다",IF(AND($I71&gt;0,$J71&gt;0),"수입·지출 둘 다 적혔습니다",IF($C71="","결제수단을 고르십시오",IF(ISNA(MATCH($C71,'통합 ③ 통장·카드'!$A$5:$A$11,0)),"③ 통장·카드에 없는 결제수단입니다",IF($D71="","계정과목을 고르십시오",IF($E71="※없는 과목","④ 설정에 없는 과목입니다",IF(AND($E71="수입",$J71&gt;0),"수입 과목인데 지출에 적혔습니다",IF(AND(LEFT($E71,2)&lt;&gt;"수입",$E71&lt;&gt;"대체",$I71&gt;0),"지출 과목인데 수입에 적혔습니다",IF($K71="","증빙을 고르십시오",IF(AND($C71="바우처통장",$J71&gt;0,IFERROR(INDEX('통합 ④ 설정'!$E$6:$E$40,MATCH($D71,'통합 ④ 설정'!$B$6:$B$40,0)),"")&lt;&gt;"○"),"바우처통장 지출 — 목적 확인",IF($H71="","적요를 적으십시오",""))))))))))))</f>
        <v/>
      </c>
      <c r="M71" s="39"/>
      <c r="O71" s="11" t="str">
        <f aca="false">IF($B71="","",YEAR($B71)*100+MONTH($B71))</f>
        <v/>
      </c>
      <c r="P71" s="11" t="str">
        <f aca="false">IF($B71="","",IF($E71="대체",0,1))</f>
        <v/>
      </c>
    </row>
    <row r="72" customFormat="false" ht="15" hidden="false" customHeight="false" outlineLevel="0" collapsed="false">
      <c r="A72" s="36" t="str">
        <f aca="false">IF($B72="","",COUNT($B$15:$B72))</f>
        <v/>
      </c>
      <c r="B72" s="37"/>
      <c r="C72" s="38"/>
      <c r="D72" s="39"/>
      <c r="E72" s="36" t="str">
        <f aca="false">IF($D72="","",IFERROR(INDEX('통합 ④ 설정'!$A$6:$A$40,MATCH($D72,'통합 ④ 설정'!$B$6:$B$40,0)),"※없는 과목"))</f>
        <v/>
      </c>
      <c r="F72" s="36" t="str">
        <f aca="false">IF($D72="","",IFERROR(INDEX('통합 ④ 설정'!$C$6:$C$40,MATCH($D72,'통합 ④ 설정'!$B$6:$B$40,0)),""))</f>
        <v/>
      </c>
      <c r="G72" s="39"/>
      <c r="H72" s="39"/>
      <c r="I72" s="40"/>
      <c r="J72" s="41"/>
      <c r="K72" s="38"/>
      <c r="L72" s="42" t="str">
        <f aca="false">IF($B72="","",IF(AND(N($I72)=0,N($J72)=0),"금액이 없습니다",IF(AND($I72&gt;0,$J72&gt;0),"수입·지출 둘 다 적혔습니다",IF($C72="","결제수단을 고르십시오",IF(ISNA(MATCH($C72,'통합 ③ 통장·카드'!$A$5:$A$11,0)),"③ 통장·카드에 없는 결제수단입니다",IF($D72="","계정과목을 고르십시오",IF($E72="※없는 과목","④ 설정에 없는 과목입니다",IF(AND($E72="수입",$J72&gt;0),"수입 과목인데 지출에 적혔습니다",IF(AND(LEFT($E72,2)&lt;&gt;"수입",$E72&lt;&gt;"대체",$I72&gt;0),"지출 과목인데 수입에 적혔습니다",IF($K72="","증빙을 고르십시오",IF(AND($C72="바우처통장",$J72&gt;0,IFERROR(INDEX('통합 ④ 설정'!$E$6:$E$40,MATCH($D72,'통합 ④ 설정'!$B$6:$B$40,0)),"")&lt;&gt;"○"),"바우처통장 지출 — 목적 확인",IF($H72="","적요를 적으십시오",""))))))))))))</f>
        <v/>
      </c>
      <c r="M72" s="39"/>
      <c r="O72" s="11" t="str">
        <f aca="false">IF($B72="","",YEAR($B72)*100+MONTH($B72))</f>
        <v/>
      </c>
      <c r="P72" s="11" t="str">
        <f aca="false">IF($B72="","",IF($E72="대체",0,1))</f>
        <v/>
      </c>
    </row>
    <row r="73" customFormat="false" ht="15" hidden="false" customHeight="false" outlineLevel="0" collapsed="false">
      <c r="A73" s="36" t="str">
        <f aca="false">IF($B73="","",COUNT($B$15:$B73))</f>
        <v/>
      </c>
      <c r="B73" s="37"/>
      <c r="C73" s="38"/>
      <c r="D73" s="39"/>
      <c r="E73" s="36" t="str">
        <f aca="false">IF($D73="","",IFERROR(INDEX('통합 ④ 설정'!$A$6:$A$40,MATCH($D73,'통합 ④ 설정'!$B$6:$B$40,0)),"※없는 과목"))</f>
        <v/>
      </c>
      <c r="F73" s="36" t="str">
        <f aca="false">IF($D73="","",IFERROR(INDEX('통합 ④ 설정'!$C$6:$C$40,MATCH($D73,'통합 ④ 설정'!$B$6:$B$40,0)),""))</f>
        <v/>
      </c>
      <c r="G73" s="39"/>
      <c r="H73" s="39"/>
      <c r="I73" s="40"/>
      <c r="J73" s="41"/>
      <c r="K73" s="38"/>
      <c r="L73" s="42" t="str">
        <f aca="false">IF($B73="","",IF(AND(N($I73)=0,N($J73)=0),"금액이 없습니다",IF(AND($I73&gt;0,$J73&gt;0),"수입·지출 둘 다 적혔습니다",IF($C73="","결제수단을 고르십시오",IF(ISNA(MATCH($C73,'통합 ③ 통장·카드'!$A$5:$A$11,0)),"③ 통장·카드에 없는 결제수단입니다",IF($D73="","계정과목을 고르십시오",IF($E73="※없는 과목","④ 설정에 없는 과목입니다",IF(AND($E73="수입",$J73&gt;0),"수입 과목인데 지출에 적혔습니다",IF(AND(LEFT($E73,2)&lt;&gt;"수입",$E73&lt;&gt;"대체",$I73&gt;0),"지출 과목인데 수입에 적혔습니다",IF($K73="","증빙을 고르십시오",IF(AND($C73="바우처통장",$J73&gt;0,IFERROR(INDEX('통합 ④ 설정'!$E$6:$E$40,MATCH($D73,'통합 ④ 설정'!$B$6:$B$40,0)),"")&lt;&gt;"○"),"바우처통장 지출 — 목적 확인",IF($H73="","적요를 적으십시오",""))))))))))))</f>
        <v/>
      </c>
      <c r="M73" s="39"/>
      <c r="O73" s="11" t="str">
        <f aca="false">IF($B73="","",YEAR($B73)*100+MONTH($B73))</f>
        <v/>
      </c>
      <c r="P73" s="11" t="str">
        <f aca="false">IF($B73="","",IF($E73="대체",0,1))</f>
        <v/>
      </c>
    </row>
    <row r="74" customFormat="false" ht="15" hidden="false" customHeight="false" outlineLevel="0" collapsed="false">
      <c r="A74" s="36" t="str">
        <f aca="false">IF($B74="","",COUNT($B$15:$B74))</f>
        <v/>
      </c>
      <c r="B74" s="37"/>
      <c r="C74" s="38"/>
      <c r="D74" s="39"/>
      <c r="E74" s="36" t="str">
        <f aca="false">IF($D74="","",IFERROR(INDEX('통합 ④ 설정'!$A$6:$A$40,MATCH($D74,'통합 ④ 설정'!$B$6:$B$40,0)),"※없는 과목"))</f>
        <v/>
      </c>
      <c r="F74" s="36" t="str">
        <f aca="false">IF($D74="","",IFERROR(INDEX('통합 ④ 설정'!$C$6:$C$40,MATCH($D74,'통합 ④ 설정'!$B$6:$B$40,0)),""))</f>
        <v/>
      </c>
      <c r="G74" s="39"/>
      <c r="H74" s="39"/>
      <c r="I74" s="40"/>
      <c r="J74" s="41"/>
      <c r="K74" s="38"/>
      <c r="L74" s="42" t="str">
        <f aca="false">IF($B74="","",IF(AND(N($I74)=0,N($J74)=0),"금액이 없습니다",IF(AND($I74&gt;0,$J74&gt;0),"수입·지출 둘 다 적혔습니다",IF($C74="","결제수단을 고르십시오",IF(ISNA(MATCH($C74,'통합 ③ 통장·카드'!$A$5:$A$11,0)),"③ 통장·카드에 없는 결제수단입니다",IF($D74="","계정과목을 고르십시오",IF($E74="※없는 과목","④ 설정에 없는 과목입니다",IF(AND($E74="수입",$J74&gt;0),"수입 과목인데 지출에 적혔습니다",IF(AND(LEFT($E74,2)&lt;&gt;"수입",$E74&lt;&gt;"대체",$I74&gt;0),"지출 과목인데 수입에 적혔습니다",IF($K74="","증빙을 고르십시오",IF(AND($C74="바우처통장",$J74&gt;0,IFERROR(INDEX('통합 ④ 설정'!$E$6:$E$40,MATCH($D74,'통합 ④ 설정'!$B$6:$B$40,0)),"")&lt;&gt;"○"),"바우처통장 지출 — 목적 확인",IF($H74="","적요를 적으십시오",""))))))))))))</f>
        <v/>
      </c>
      <c r="M74" s="39"/>
      <c r="O74" s="11" t="str">
        <f aca="false">IF($B74="","",YEAR($B74)*100+MONTH($B74))</f>
        <v/>
      </c>
      <c r="P74" s="11" t="str">
        <f aca="false">IF($B74="","",IF($E74="대체",0,1))</f>
        <v/>
      </c>
    </row>
    <row r="75" customFormat="false" ht="15" hidden="false" customHeight="false" outlineLevel="0" collapsed="false">
      <c r="A75" s="36" t="str">
        <f aca="false">IF($B75="","",COUNT($B$15:$B75))</f>
        <v/>
      </c>
      <c r="B75" s="37"/>
      <c r="C75" s="38"/>
      <c r="D75" s="39"/>
      <c r="E75" s="36" t="str">
        <f aca="false">IF($D75="","",IFERROR(INDEX('통합 ④ 설정'!$A$6:$A$40,MATCH($D75,'통합 ④ 설정'!$B$6:$B$40,0)),"※없는 과목"))</f>
        <v/>
      </c>
      <c r="F75" s="36" t="str">
        <f aca="false">IF($D75="","",IFERROR(INDEX('통합 ④ 설정'!$C$6:$C$40,MATCH($D75,'통합 ④ 설정'!$B$6:$B$40,0)),""))</f>
        <v/>
      </c>
      <c r="G75" s="39"/>
      <c r="H75" s="39"/>
      <c r="I75" s="40"/>
      <c r="J75" s="41"/>
      <c r="K75" s="38"/>
      <c r="L75" s="42" t="str">
        <f aca="false">IF($B75="","",IF(AND(N($I75)=0,N($J75)=0),"금액이 없습니다",IF(AND($I75&gt;0,$J75&gt;0),"수입·지출 둘 다 적혔습니다",IF($C75="","결제수단을 고르십시오",IF(ISNA(MATCH($C75,'통합 ③ 통장·카드'!$A$5:$A$11,0)),"③ 통장·카드에 없는 결제수단입니다",IF($D75="","계정과목을 고르십시오",IF($E75="※없는 과목","④ 설정에 없는 과목입니다",IF(AND($E75="수입",$J75&gt;0),"수입 과목인데 지출에 적혔습니다",IF(AND(LEFT($E75,2)&lt;&gt;"수입",$E75&lt;&gt;"대체",$I75&gt;0),"지출 과목인데 수입에 적혔습니다",IF($K75="","증빙을 고르십시오",IF(AND($C75="바우처통장",$J75&gt;0,IFERROR(INDEX('통합 ④ 설정'!$E$6:$E$40,MATCH($D75,'통합 ④ 설정'!$B$6:$B$40,0)),"")&lt;&gt;"○"),"바우처통장 지출 — 목적 확인",IF($H75="","적요를 적으십시오",""))))))))))))</f>
        <v/>
      </c>
      <c r="M75" s="39"/>
      <c r="O75" s="11" t="str">
        <f aca="false">IF($B75="","",YEAR($B75)*100+MONTH($B75))</f>
        <v/>
      </c>
      <c r="P75" s="11" t="str">
        <f aca="false">IF($B75="","",IF($E75="대체",0,1))</f>
        <v/>
      </c>
    </row>
    <row r="76" customFormat="false" ht="15" hidden="false" customHeight="false" outlineLevel="0" collapsed="false">
      <c r="A76" s="36" t="str">
        <f aca="false">IF($B76="","",COUNT($B$15:$B76))</f>
        <v/>
      </c>
      <c r="B76" s="37"/>
      <c r="C76" s="38"/>
      <c r="D76" s="39"/>
      <c r="E76" s="36" t="str">
        <f aca="false">IF($D76="","",IFERROR(INDEX('통합 ④ 설정'!$A$6:$A$40,MATCH($D76,'통합 ④ 설정'!$B$6:$B$40,0)),"※없는 과목"))</f>
        <v/>
      </c>
      <c r="F76" s="36" t="str">
        <f aca="false">IF($D76="","",IFERROR(INDEX('통합 ④ 설정'!$C$6:$C$40,MATCH($D76,'통합 ④ 설정'!$B$6:$B$40,0)),""))</f>
        <v/>
      </c>
      <c r="G76" s="39"/>
      <c r="H76" s="39"/>
      <c r="I76" s="40"/>
      <c r="J76" s="41"/>
      <c r="K76" s="38"/>
      <c r="L76" s="42" t="str">
        <f aca="false">IF($B76="","",IF(AND(N($I76)=0,N($J76)=0),"금액이 없습니다",IF(AND($I76&gt;0,$J76&gt;0),"수입·지출 둘 다 적혔습니다",IF($C76="","결제수단을 고르십시오",IF(ISNA(MATCH($C76,'통합 ③ 통장·카드'!$A$5:$A$11,0)),"③ 통장·카드에 없는 결제수단입니다",IF($D76="","계정과목을 고르십시오",IF($E76="※없는 과목","④ 설정에 없는 과목입니다",IF(AND($E76="수입",$J76&gt;0),"수입 과목인데 지출에 적혔습니다",IF(AND(LEFT($E76,2)&lt;&gt;"수입",$E76&lt;&gt;"대체",$I76&gt;0),"지출 과목인데 수입에 적혔습니다",IF($K76="","증빙을 고르십시오",IF(AND($C76="바우처통장",$J76&gt;0,IFERROR(INDEX('통합 ④ 설정'!$E$6:$E$40,MATCH($D76,'통합 ④ 설정'!$B$6:$B$40,0)),"")&lt;&gt;"○"),"바우처통장 지출 — 목적 확인",IF($H76="","적요를 적으십시오",""))))))))))))</f>
        <v/>
      </c>
      <c r="M76" s="39"/>
      <c r="O76" s="11" t="str">
        <f aca="false">IF($B76="","",YEAR($B76)*100+MONTH($B76))</f>
        <v/>
      </c>
      <c r="P76" s="11" t="str">
        <f aca="false">IF($B76="","",IF($E76="대체",0,1))</f>
        <v/>
      </c>
    </row>
    <row r="77" customFormat="false" ht="15" hidden="false" customHeight="false" outlineLevel="0" collapsed="false">
      <c r="A77" s="36" t="str">
        <f aca="false">IF($B77="","",COUNT($B$15:$B77))</f>
        <v/>
      </c>
      <c r="B77" s="37"/>
      <c r="C77" s="38"/>
      <c r="D77" s="39"/>
      <c r="E77" s="36" t="str">
        <f aca="false">IF($D77="","",IFERROR(INDEX('통합 ④ 설정'!$A$6:$A$40,MATCH($D77,'통합 ④ 설정'!$B$6:$B$40,0)),"※없는 과목"))</f>
        <v/>
      </c>
      <c r="F77" s="36" t="str">
        <f aca="false">IF($D77="","",IFERROR(INDEX('통합 ④ 설정'!$C$6:$C$40,MATCH($D77,'통합 ④ 설정'!$B$6:$B$40,0)),""))</f>
        <v/>
      </c>
      <c r="G77" s="39"/>
      <c r="H77" s="39"/>
      <c r="I77" s="40"/>
      <c r="J77" s="41"/>
      <c r="K77" s="38"/>
      <c r="L77" s="42" t="str">
        <f aca="false">IF($B77="","",IF(AND(N($I77)=0,N($J77)=0),"금액이 없습니다",IF(AND($I77&gt;0,$J77&gt;0),"수입·지출 둘 다 적혔습니다",IF($C77="","결제수단을 고르십시오",IF(ISNA(MATCH($C77,'통합 ③ 통장·카드'!$A$5:$A$11,0)),"③ 통장·카드에 없는 결제수단입니다",IF($D77="","계정과목을 고르십시오",IF($E77="※없는 과목","④ 설정에 없는 과목입니다",IF(AND($E77="수입",$J77&gt;0),"수입 과목인데 지출에 적혔습니다",IF(AND(LEFT($E77,2)&lt;&gt;"수입",$E77&lt;&gt;"대체",$I77&gt;0),"지출 과목인데 수입에 적혔습니다",IF($K77="","증빙을 고르십시오",IF(AND($C77="바우처통장",$J77&gt;0,IFERROR(INDEX('통합 ④ 설정'!$E$6:$E$40,MATCH($D77,'통합 ④ 설정'!$B$6:$B$40,0)),"")&lt;&gt;"○"),"바우처통장 지출 — 목적 확인",IF($H77="","적요를 적으십시오",""))))))))))))</f>
        <v/>
      </c>
      <c r="M77" s="39"/>
      <c r="O77" s="11" t="str">
        <f aca="false">IF($B77="","",YEAR($B77)*100+MONTH($B77))</f>
        <v/>
      </c>
      <c r="P77" s="11" t="str">
        <f aca="false">IF($B77="","",IF($E77="대체",0,1))</f>
        <v/>
      </c>
    </row>
    <row r="78" customFormat="false" ht="15" hidden="false" customHeight="false" outlineLevel="0" collapsed="false">
      <c r="A78" s="36" t="str">
        <f aca="false">IF($B78="","",COUNT($B$15:$B78))</f>
        <v/>
      </c>
      <c r="B78" s="37"/>
      <c r="C78" s="38"/>
      <c r="D78" s="39"/>
      <c r="E78" s="36" t="str">
        <f aca="false">IF($D78="","",IFERROR(INDEX('통합 ④ 설정'!$A$6:$A$40,MATCH($D78,'통합 ④ 설정'!$B$6:$B$40,0)),"※없는 과목"))</f>
        <v/>
      </c>
      <c r="F78" s="36" t="str">
        <f aca="false">IF($D78="","",IFERROR(INDEX('통합 ④ 설정'!$C$6:$C$40,MATCH($D78,'통합 ④ 설정'!$B$6:$B$40,0)),""))</f>
        <v/>
      </c>
      <c r="G78" s="39"/>
      <c r="H78" s="39"/>
      <c r="I78" s="40"/>
      <c r="J78" s="41"/>
      <c r="K78" s="38"/>
      <c r="L78" s="42" t="str">
        <f aca="false">IF($B78="","",IF(AND(N($I78)=0,N($J78)=0),"금액이 없습니다",IF(AND($I78&gt;0,$J78&gt;0),"수입·지출 둘 다 적혔습니다",IF($C78="","결제수단을 고르십시오",IF(ISNA(MATCH($C78,'통합 ③ 통장·카드'!$A$5:$A$11,0)),"③ 통장·카드에 없는 결제수단입니다",IF($D78="","계정과목을 고르십시오",IF($E78="※없는 과목","④ 설정에 없는 과목입니다",IF(AND($E78="수입",$J78&gt;0),"수입 과목인데 지출에 적혔습니다",IF(AND(LEFT($E78,2)&lt;&gt;"수입",$E78&lt;&gt;"대체",$I78&gt;0),"지출 과목인데 수입에 적혔습니다",IF($K78="","증빙을 고르십시오",IF(AND($C78="바우처통장",$J78&gt;0,IFERROR(INDEX('통합 ④ 설정'!$E$6:$E$40,MATCH($D78,'통합 ④ 설정'!$B$6:$B$40,0)),"")&lt;&gt;"○"),"바우처통장 지출 — 목적 확인",IF($H78="","적요를 적으십시오",""))))))))))))</f>
        <v/>
      </c>
      <c r="M78" s="39"/>
      <c r="O78" s="11" t="str">
        <f aca="false">IF($B78="","",YEAR($B78)*100+MONTH($B78))</f>
        <v/>
      </c>
      <c r="P78" s="11" t="str">
        <f aca="false">IF($B78="","",IF($E78="대체",0,1))</f>
        <v/>
      </c>
    </row>
    <row r="79" customFormat="false" ht="15" hidden="false" customHeight="false" outlineLevel="0" collapsed="false">
      <c r="A79" s="36" t="str">
        <f aca="false">IF($B79="","",COUNT($B$15:$B79))</f>
        <v/>
      </c>
      <c r="B79" s="37"/>
      <c r="C79" s="38"/>
      <c r="D79" s="39"/>
      <c r="E79" s="36" t="str">
        <f aca="false">IF($D79="","",IFERROR(INDEX('통합 ④ 설정'!$A$6:$A$40,MATCH($D79,'통합 ④ 설정'!$B$6:$B$40,0)),"※없는 과목"))</f>
        <v/>
      </c>
      <c r="F79" s="36" t="str">
        <f aca="false">IF($D79="","",IFERROR(INDEX('통합 ④ 설정'!$C$6:$C$40,MATCH($D79,'통합 ④ 설정'!$B$6:$B$40,0)),""))</f>
        <v/>
      </c>
      <c r="G79" s="39"/>
      <c r="H79" s="39"/>
      <c r="I79" s="40"/>
      <c r="J79" s="41"/>
      <c r="K79" s="38"/>
      <c r="L79" s="42" t="str">
        <f aca="false">IF($B79="","",IF(AND(N($I79)=0,N($J79)=0),"금액이 없습니다",IF(AND($I79&gt;0,$J79&gt;0),"수입·지출 둘 다 적혔습니다",IF($C79="","결제수단을 고르십시오",IF(ISNA(MATCH($C79,'통합 ③ 통장·카드'!$A$5:$A$11,0)),"③ 통장·카드에 없는 결제수단입니다",IF($D79="","계정과목을 고르십시오",IF($E79="※없는 과목","④ 설정에 없는 과목입니다",IF(AND($E79="수입",$J79&gt;0),"수입 과목인데 지출에 적혔습니다",IF(AND(LEFT($E79,2)&lt;&gt;"수입",$E79&lt;&gt;"대체",$I79&gt;0),"지출 과목인데 수입에 적혔습니다",IF($K79="","증빙을 고르십시오",IF(AND($C79="바우처통장",$J79&gt;0,IFERROR(INDEX('통합 ④ 설정'!$E$6:$E$40,MATCH($D79,'통합 ④ 설정'!$B$6:$B$40,0)),"")&lt;&gt;"○"),"바우처통장 지출 — 목적 확인",IF($H79="","적요를 적으십시오",""))))))))))))</f>
        <v/>
      </c>
      <c r="M79" s="39"/>
      <c r="O79" s="11" t="str">
        <f aca="false">IF($B79="","",YEAR($B79)*100+MONTH($B79))</f>
        <v/>
      </c>
      <c r="P79" s="11" t="str">
        <f aca="false">IF($B79="","",IF($E79="대체",0,1))</f>
        <v/>
      </c>
    </row>
    <row r="80" customFormat="false" ht="15" hidden="false" customHeight="false" outlineLevel="0" collapsed="false">
      <c r="A80" s="36" t="str">
        <f aca="false">IF($B80="","",COUNT($B$15:$B80))</f>
        <v/>
      </c>
      <c r="B80" s="37"/>
      <c r="C80" s="38"/>
      <c r="D80" s="39"/>
      <c r="E80" s="36" t="str">
        <f aca="false">IF($D80="","",IFERROR(INDEX('통합 ④ 설정'!$A$6:$A$40,MATCH($D80,'통합 ④ 설정'!$B$6:$B$40,0)),"※없는 과목"))</f>
        <v/>
      </c>
      <c r="F80" s="36" t="str">
        <f aca="false">IF($D80="","",IFERROR(INDEX('통합 ④ 설정'!$C$6:$C$40,MATCH($D80,'통합 ④ 설정'!$B$6:$B$40,0)),""))</f>
        <v/>
      </c>
      <c r="G80" s="39"/>
      <c r="H80" s="39"/>
      <c r="I80" s="40"/>
      <c r="J80" s="41"/>
      <c r="K80" s="38"/>
      <c r="L80" s="42" t="str">
        <f aca="false">IF($B80="","",IF(AND(N($I80)=0,N($J80)=0),"금액이 없습니다",IF(AND($I80&gt;0,$J80&gt;0),"수입·지출 둘 다 적혔습니다",IF($C80="","결제수단을 고르십시오",IF(ISNA(MATCH($C80,'통합 ③ 통장·카드'!$A$5:$A$11,0)),"③ 통장·카드에 없는 결제수단입니다",IF($D80="","계정과목을 고르십시오",IF($E80="※없는 과목","④ 설정에 없는 과목입니다",IF(AND($E80="수입",$J80&gt;0),"수입 과목인데 지출에 적혔습니다",IF(AND(LEFT($E80,2)&lt;&gt;"수입",$E80&lt;&gt;"대체",$I80&gt;0),"지출 과목인데 수입에 적혔습니다",IF($K80="","증빙을 고르십시오",IF(AND($C80="바우처통장",$J80&gt;0,IFERROR(INDEX('통합 ④ 설정'!$E$6:$E$40,MATCH($D80,'통합 ④ 설정'!$B$6:$B$40,0)),"")&lt;&gt;"○"),"바우처통장 지출 — 목적 확인",IF($H80="","적요를 적으십시오",""))))))))))))</f>
        <v/>
      </c>
      <c r="M80" s="39"/>
      <c r="O80" s="11" t="str">
        <f aca="false">IF($B80="","",YEAR($B80)*100+MONTH($B80))</f>
        <v/>
      </c>
      <c r="P80" s="11" t="str">
        <f aca="false">IF($B80="","",IF($E80="대체",0,1))</f>
        <v/>
      </c>
    </row>
    <row r="81" customFormat="false" ht="15" hidden="false" customHeight="false" outlineLevel="0" collapsed="false">
      <c r="A81" s="36" t="str">
        <f aca="false">IF($B81="","",COUNT($B$15:$B81))</f>
        <v/>
      </c>
      <c r="B81" s="37"/>
      <c r="C81" s="38"/>
      <c r="D81" s="39"/>
      <c r="E81" s="36" t="str">
        <f aca="false">IF($D81="","",IFERROR(INDEX('통합 ④ 설정'!$A$6:$A$40,MATCH($D81,'통합 ④ 설정'!$B$6:$B$40,0)),"※없는 과목"))</f>
        <v/>
      </c>
      <c r="F81" s="36" t="str">
        <f aca="false">IF($D81="","",IFERROR(INDEX('통합 ④ 설정'!$C$6:$C$40,MATCH($D81,'통합 ④ 설정'!$B$6:$B$40,0)),""))</f>
        <v/>
      </c>
      <c r="G81" s="39"/>
      <c r="H81" s="39"/>
      <c r="I81" s="40"/>
      <c r="J81" s="41"/>
      <c r="K81" s="38"/>
      <c r="L81" s="42" t="str">
        <f aca="false">IF($B81="","",IF(AND(N($I81)=0,N($J81)=0),"금액이 없습니다",IF(AND($I81&gt;0,$J81&gt;0),"수입·지출 둘 다 적혔습니다",IF($C81="","결제수단을 고르십시오",IF(ISNA(MATCH($C81,'통합 ③ 통장·카드'!$A$5:$A$11,0)),"③ 통장·카드에 없는 결제수단입니다",IF($D81="","계정과목을 고르십시오",IF($E81="※없는 과목","④ 설정에 없는 과목입니다",IF(AND($E81="수입",$J81&gt;0),"수입 과목인데 지출에 적혔습니다",IF(AND(LEFT($E81,2)&lt;&gt;"수입",$E81&lt;&gt;"대체",$I81&gt;0),"지출 과목인데 수입에 적혔습니다",IF($K81="","증빙을 고르십시오",IF(AND($C81="바우처통장",$J81&gt;0,IFERROR(INDEX('통합 ④ 설정'!$E$6:$E$40,MATCH($D81,'통합 ④ 설정'!$B$6:$B$40,0)),"")&lt;&gt;"○"),"바우처통장 지출 — 목적 확인",IF($H81="","적요를 적으십시오",""))))))))))))</f>
        <v/>
      </c>
      <c r="M81" s="39"/>
      <c r="O81" s="11" t="str">
        <f aca="false">IF($B81="","",YEAR($B81)*100+MONTH($B81))</f>
        <v/>
      </c>
      <c r="P81" s="11" t="str">
        <f aca="false">IF($B81="","",IF($E81="대체",0,1))</f>
        <v/>
      </c>
    </row>
    <row r="82" customFormat="false" ht="15" hidden="false" customHeight="false" outlineLevel="0" collapsed="false">
      <c r="A82" s="36" t="str">
        <f aca="false">IF($B82="","",COUNT($B$15:$B82))</f>
        <v/>
      </c>
      <c r="B82" s="37"/>
      <c r="C82" s="38"/>
      <c r="D82" s="39"/>
      <c r="E82" s="36" t="str">
        <f aca="false">IF($D82="","",IFERROR(INDEX('통합 ④ 설정'!$A$6:$A$40,MATCH($D82,'통합 ④ 설정'!$B$6:$B$40,0)),"※없는 과목"))</f>
        <v/>
      </c>
      <c r="F82" s="36" t="str">
        <f aca="false">IF($D82="","",IFERROR(INDEX('통합 ④ 설정'!$C$6:$C$40,MATCH($D82,'통합 ④ 설정'!$B$6:$B$40,0)),""))</f>
        <v/>
      </c>
      <c r="G82" s="39"/>
      <c r="H82" s="39"/>
      <c r="I82" s="40"/>
      <c r="J82" s="41"/>
      <c r="K82" s="38"/>
      <c r="L82" s="42" t="str">
        <f aca="false">IF($B82="","",IF(AND(N($I82)=0,N($J82)=0),"금액이 없습니다",IF(AND($I82&gt;0,$J82&gt;0),"수입·지출 둘 다 적혔습니다",IF($C82="","결제수단을 고르십시오",IF(ISNA(MATCH($C82,'통합 ③ 통장·카드'!$A$5:$A$11,0)),"③ 통장·카드에 없는 결제수단입니다",IF($D82="","계정과목을 고르십시오",IF($E82="※없는 과목","④ 설정에 없는 과목입니다",IF(AND($E82="수입",$J82&gt;0),"수입 과목인데 지출에 적혔습니다",IF(AND(LEFT($E82,2)&lt;&gt;"수입",$E82&lt;&gt;"대체",$I82&gt;0),"지출 과목인데 수입에 적혔습니다",IF($K82="","증빙을 고르십시오",IF(AND($C82="바우처통장",$J82&gt;0,IFERROR(INDEX('통합 ④ 설정'!$E$6:$E$40,MATCH($D82,'통합 ④ 설정'!$B$6:$B$40,0)),"")&lt;&gt;"○"),"바우처통장 지출 — 목적 확인",IF($H82="","적요를 적으십시오",""))))))))))))</f>
        <v/>
      </c>
      <c r="M82" s="39"/>
      <c r="O82" s="11" t="str">
        <f aca="false">IF($B82="","",YEAR($B82)*100+MONTH($B82))</f>
        <v/>
      </c>
      <c r="P82" s="11" t="str">
        <f aca="false">IF($B82="","",IF($E82="대체",0,1))</f>
        <v/>
      </c>
    </row>
    <row r="83" customFormat="false" ht="15" hidden="false" customHeight="false" outlineLevel="0" collapsed="false">
      <c r="A83" s="36" t="str">
        <f aca="false">IF($B83="","",COUNT($B$15:$B83))</f>
        <v/>
      </c>
      <c r="B83" s="37"/>
      <c r="C83" s="38"/>
      <c r="D83" s="39"/>
      <c r="E83" s="36" t="str">
        <f aca="false">IF($D83="","",IFERROR(INDEX('통합 ④ 설정'!$A$6:$A$40,MATCH($D83,'통합 ④ 설정'!$B$6:$B$40,0)),"※없는 과목"))</f>
        <v/>
      </c>
      <c r="F83" s="36" t="str">
        <f aca="false">IF($D83="","",IFERROR(INDEX('통합 ④ 설정'!$C$6:$C$40,MATCH($D83,'통합 ④ 설정'!$B$6:$B$40,0)),""))</f>
        <v/>
      </c>
      <c r="G83" s="39"/>
      <c r="H83" s="39"/>
      <c r="I83" s="40"/>
      <c r="J83" s="41"/>
      <c r="K83" s="38"/>
      <c r="L83" s="42" t="str">
        <f aca="false">IF($B83="","",IF(AND(N($I83)=0,N($J83)=0),"금액이 없습니다",IF(AND($I83&gt;0,$J83&gt;0),"수입·지출 둘 다 적혔습니다",IF($C83="","결제수단을 고르십시오",IF(ISNA(MATCH($C83,'통합 ③ 통장·카드'!$A$5:$A$11,0)),"③ 통장·카드에 없는 결제수단입니다",IF($D83="","계정과목을 고르십시오",IF($E83="※없는 과목","④ 설정에 없는 과목입니다",IF(AND($E83="수입",$J83&gt;0),"수입 과목인데 지출에 적혔습니다",IF(AND(LEFT($E83,2)&lt;&gt;"수입",$E83&lt;&gt;"대체",$I83&gt;0),"지출 과목인데 수입에 적혔습니다",IF($K83="","증빙을 고르십시오",IF(AND($C83="바우처통장",$J83&gt;0,IFERROR(INDEX('통합 ④ 설정'!$E$6:$E$40,MATCH($D83,'통합 ④ 설정'!$B$6:$B$40,0)),"")&lt;&gt;"○"),"바우처통장 지출 — 목적 확인",IF($H83="","적요를 적으십시오",""))))))))))))</f>
        <v/>
      </c>
      <c r="M83" s="39"/>
      <c r="O83" s="11" t="str">
        <f aca="false">IF($B83="","",YEAR($B83)*100+MONTH($B83))</f>
        <v/>
      </c>
      <c r="P83" s="11" t="str">
        <f aca="false">IF($B83="","",IF($E83="대체",0,1))</f>
        <v/>
      </c>
    </row>
    <row r="84" customFormat="false" ht="15" hidden="false" customHeight="false" outlineLevel="0" collapsed="false">
      <c r="A84" s="36" t="str">
        <f aca="false">IF($B84="","",COUNT($B$15:$B84))</f>
        <v/>
      </c>
      <c r="B84" s="37"/>
      <c r="C84" s="38"/>
      <c r="D84" s="39"/>
      <c r="E84" s="36" t="str">
        <f aca="false">IF($D84="","",IFERROR(INDEX('통합 ④ 설정'!$A$6:$A$40,MATCH($D84,'통합 ④ 설정'!$B$6:$B$40,0)),"※없는 과목"))</f>
        <v/>
      </c>
      <c r="F84" s="36" t="str">
        <f aca="false">IF($D84="","",IFERROR(INDEX('통합 ④ 설정'!$C$6:$C$40,MATCH($D84,'통합 ④ 설정'!$B$6:$B$40,0)),""))</f>
        <v/>
      </c>
      <c r="G84" s="39"/>
      <c r="H84" s="39"/>
      <c r="I84" s="40"/>
      <c r="J84" s="41"/>
      <c r="K84" s="38"/>
      <c r="L84" s="42" t="str">
        <f aca="false">IF($B84="","",IF(AND(N($I84)=0,N($J84)=0),"금액이 없습니다",IF(AND($I84&gt;0,$J84&gt;0),"수입·지출 둘 다 적혔습니다",IF($C84="","결제수단을 고르십시오",IF(ISNA(MATCH($C84,'통합 ③ 통장·카드'!$A$5:$A$11,0)),"③ 통장·카드에 없는 결제수단입니다",IF($D84="","계정과목을 고르십시오",IF($E84="※없는 과목","④ 설정에 없는 과목입니다",IF(AND($E84="수입",$J84&gt;0),"수입 과목인데 지출에 적혔습니다",IF(AND(LEFT($E84,2)&lt;&gt;"수입",$E84&lt;&gt;"대체",$I84&gt;0),"지출 과목인데 수입에 적혔습니다",IF($K84="","증빙을 고르십시오",IF(AND($C84="바우처통장",$J84&gt;0,IFERROR(INDEX('통합 ④ 설정'!$E$6:$E$40,MATCH($D84,'통합 ④ 설정'!$B$6:$B$40,0)),"")&lt;&gt;"○"),"바우처통장 지출 — 목적 확인",IF($H84="","적요를 적으십시오",""))))))))))))</f>
        <v/>
      </c>
      <c r="M84" s="39"/>
      <c r="O84" s="11" t="str">
        <f aca="false">IF($B84="","",YEAR($B84)*100+MONTH($B84))</f>
        <v/>
      </c>
      <c r="P84" s="11" t="str">
        <f aca="false">IF($B84="","",IF($E84="대체",0,1))</f>
        <v/>
      </c>
    </row>
    <row r="85" customFormat="false" ht="15" hidden="false" customHeight="false" outlineLevel="0" collapsed="false">
      <c r="A85" s="36" t="str">
        <f aca="false">IF($B85="","",COUNT($B$15:$B85))</f>
        <v/>
      </c>
      <c r="B85" s="37"/>
      <c r="C85" s="38"/>
      <c r="D85" s="39"/>
      <c r="E85" s="36" t="str">
        <f aca="false">IF($D85="","",IFERROR(INDEX('통합 ④ 설정'!$A$6:$A$40,MATCH($D85,'통합 ④ 설정'!$B$6:$B$40,0)),"※없는 과목"))</f>
        <v/>
      </c>
      <c r="F85" s="36" t="str">
        <f aca="false">IF($D85="","",IFERROR(INDEX('통합 ④ 설정'!$C$6:$C$40,MATCH($D85,'통합 ④ 설정'!$B$6:$B$40,0)),""))</f>
        <v/>
      </c>
      <c r="G85" s="39"/>
      <c r="H85" s="39"/>
      <c r="I85" s="40"/>
      <c r="J85" s="41"/>
      <c r="K85" s="38"/>
      <c r="L85" s="42" t="str">
        <f aca="false">IF($B85="","",IF(AND(N($I85)=0,N($J85)=0),"금액이 없습니다",IF(AND($I85&gt;0,$J85&gt;0),"수입·지출 둘 다 적혔습니다",IF($C85="","결제수단을 고르십시오",IF(ISNA(MATCH($C85,'통합 ③ 통장·카드'!$A$5:$A$11,0)),"③ 통장·카드에 없는 결제수단입니다",IF($D85="","계정과목을 고르십시오",IF($E85="※없는 과목","④ 설정에 없는 과목입니다",IF(AND($E85="수입",$J85&gt;0),"수입 과목인데 지출에 적혔습니다",IF(AND(LEFT($E85,2)&lt;&gt;"수입",$E85&lt;&gt;"대체",$I85&gt;0),"지출 과목인데 수입에 적혔습니다",IF($K85="","증빙을 고르십시오",IF(AND($C85="바우처통장",$J85&gt;0,IFERROR(INDEX('통합 ④ 설정'!$E$6:$E$40,MATCH($D85,'통합 ④ 설정'!$B$6:$B$40,0)),"")&lt;&gt;"○"),"바우처통장 지출 — 목적 확인",IF($H85="","적요를 적으십시오",""))))))))))))</f>
        <v/>
      </c>
      <c r="M85" s="39"/>
      <c r="O85" s="11" t="str">
        <f aca="false">IF($B85="","",YEAR($B85)*100+MONTH($B85))</f>
        <v/>
      </c>
      <c r="P85" s="11" t="str">
        <f aca="false">IF($B85="","",IF($E85="대체",0,1))</f>
        <v/>
      </c>
    </row>
    <row r="86" customFormat="false" ht="15" hidden="false" customHeight="false" outlineLevel="0" collapsed="false">
      <c r="A86" s="36" t="str">
        <f aca="false">IF($B86="","",COUNT($B$15:$B86))</f>
        <v/>
      </c>
      <c r="B86" s="37"/>
      <c r="C86" s="38"/>
      <c r="D86" s="39"/>
      <c r="E86" s="36" t="str">
        <f aca="false">IF($D86="","",IFERROR(INDEX('통합 ④ 설정'!$A$6:$A$40,MATCH($D86,'통합 ④ 설정'!$B$6:$B$40,0)),"※없는 과목"))</f>
        <v/>
      </c>
      <c r="F86" s="36" t="str">
        <f aca="false">IF($D86="","",IFERROR(INDEX('통합 ④ 설정'!$C$6:$C$40,MATCH($D86,'통합 ④ 설정'!$B$6:$B$40,0)),""))</f>
        <v/>
      </c>
      <c r="G86" s="39"/>
      <c r="H86" s="39"/>
      <c r="I86" s="40"/>
      <c r="J86" s="41"/>
      <c r="K86" s="38"/>
      <c r="L86" s="42" t="str">
        <f aca="false">IF($B86="","",IF(AND(N($I86)=0,N($J86)=0),"금액이 없습니다",IF(AND($I86&gt;0,$J86&gt;0),"수입·지출 둘 다 적혔습니다",IF($C86="","결제수단을 고르십시오",IF(ISNA(MATCH($C86,'통합 ③ 통장·카드'!$A$5:$A$11,0)),"③ 통장·카드에 없는 결제수단입니다",IF($D86="","계정과목을 고르십시오",IF($E86="※없는 과목","④ 설정에 없는 과목입니다",IF(AND($E86="수입",$J86&gt;0),"수입 과목인데 지출에 적혔습니다",IF(AND(LEFT($E86,2)&lt;&gt;"수입",$E86&lt;&gt;"대체",$I86&gt;0),"지출 과목인데 수입에 적혔습니다",IF($K86="","증빙을 고르십시오",IF(AND($C86="바우처통장",$J86&gt;0,IFERROR(INDEX('통합 ④ 설정'!$E$6:$E$40,MATCH($D86,'통합 ④ 설정'!$B$6:$B$40,0)),"")&lt;&gt;"○"),"바우처통장 지출 — 목적 확인",IF($H86="","적요를 적으십시오",""))))))))))))</f>
        <v/>
      </c>
      <c r="M86" s="39"/>
      <c r="O86" s="11" t="str">
        <f aca="false">IF($B86="","",YEAR($B86)*100+MONTH($B86))</f>
        <v/>
      </c>
      <c r="P86" s="11" t="str">
        <f aca="false">IF($B86="","",IF($E86="대체",0,1))</f>
        <v/>
      </c>
    </row>
    <row r="87" customFormat="false" ht="15" hidden="false" customHeight="false" outlineLevel="0" collapsed="false">
      <c r="A87" s="36" t="str">
        <f aca="false">IF($B87="","",COUNT($B$15:$B87))</f>
        <v/>
      </c>
      <c r="B87" s="37"/>
      <c r="C87" s="38"/>
      <c r="D87" s="39"/>
      <c r="E87" s="36" t="str">
        <f aca="false">IF($D87="","",IFERROR(INDEX('통합 ④ 설정'!$A$6:$A$40,MATCH($D87,'통합 ④ 설정'!$B$6:$B$40,0)),"※없는 과목"))</f>
        <v/>
      </c>
      <c r="F87" s="36" t="str">
        <f aca="false">IF($D87="","",IFERROR(INDEX('통합 ④ 설정'!$C$6:$C$40,MATCH($D87,'통합 ④ 설정'!$B$6:$B$40,0)),""))</f>
        <v/>
      </c>
      <c r="G87" s="39"/>
      <c r="H87" s="39"/>
      <c r="I87" s="40"/>
      <c r="J87" s="41"/>
      <c r="K87" s="38"/>
      <c r="L87" s="42" t="str">
        <f aca="false">IF($B87="","",IF(AND(N($I87)=0,N($J87)=0),"금액이 없습니다",IF(AND($I87&gt;0,$J87&gt;0),"수입·지출 둘 다 적혔습니다",IF($C87="","결제수단을 고르십시오",IF(ISNA(MATCH($C87,'통합 ③ 통장·카드'!$A$5:$A$11,0)),"③ 통장·카드에 없는 결제수단입니다",IF($D87="","계정과목을 고르십시오",IF($E87="※없는 과목","④ 설정에 없는 과목입니다",IF(AND($E87="수입",$J87&gt;0),"수입 과목인데 지출에 적혔습니다",IF(AND(LEFT($E87,2)&lt;&gt;"수입",$E87&lt;&gt;"대체",$I87&gt;0),"지출 과목인데 수입에 적혔습니다",IF($K87="","증빙을 고르십시오",IF(AND($C87="바우처통장",$J87&gt;0,IFERROR(INDEX('통합 ④ 설정'!$E$6:$E$40,MATCH($D87,'통합 ④ 설정'!$B$6:$B$40,0)),"")&lt;&gt;"○"),"바우처통장 지출 — 목적 확인",IF($H87="","적요를 적으십시오",""))))))))))))</f>
        <v/>
      </c>
      <c r="M87" s="39"/>
      <c r="O87" s="11" t="str">
        <f aca="false">IF($B87="","",YEAR($B87)*100+MONTH($B87))</f>
        <v/>
      </c>
      <c r="P87" s="11" t="str">
        <f aca="false">IF($B87="","",IF($E87="대체",0,1))</f>
        <v/>
      </c>
    </row>
    <row r="88" customFormat="false" ht="15" hidden="false" customHeight="false" outlineLevel="0" collapsed="false">
      <c r="A88" s="36" t="str">
        <f aca="false">IF($B88="","",COUNT($B$15:$B88))</f>
        <v/>
      </c>
      <c r="B88" s="37"/>
      <c r="C88" s="38"/>
      <c r="D88" s="39"/>
      <c r="E88" s="36" t="str">
        <f aca="false">IF($D88="","",IFERROR(INDEX('통합 ④ 설정'!$A$6:$A$40,MATCH($D88,'통합 ④ 설정'!$B$6:$B$40,0)),"※없는 과목"))</f>
        <v/>
      </c>
      <c r="F88" s="36" t="str">
        <f aca="false">IF($D88="","",IFERROR(INDEX('통합 ④ 설정'!$C$6:$C$40,MATCH($D88,'통합 ④ 설정'!$B$6:$B$40,0)),""))</f>
        <v/>
      </c>
      <c r="G88" s="39"/>
      <c r="H88" s="39"/>
      <c r="I88" s="40"/>
      <c r="J88" s="41"/>
      <c r="K88" s="38"/>
      <c r="L88" s="42" t="str">
        <f aca="false">IF($B88="","",IF(AND(N($I88)=0,N($J88)=0),"금액이 없습니다",IF(AND($I88&gt;0,$J88&gt;0),"수입·지출 둘 다 적혔습니다",IF($C88="","결제수단을 고르십시오",IF(ISNA(MATCH($C88,'통합 ③ 통장·카드'!$A$5:$A$11,0)),"③ 통장·카드에 없는 결제수단입니다",IF($D88="","계정과목을 고르십시오",IF($E88="※없는 과목","④ 설정에 없는 과목입니다",IF(AND($E88="수입",$J88&gt;0),"수입 과목인데 지출에 적혔습니다",IF(AND(LEFT($E88,2)&lt;&gt;"수입",$E88&lt;&gt;"대체",$I88&gt;0),"지출 과목인데 수입에 적혔습니다",IF($K88="","증빙을 고르십시오",IF(AND($C88="바우처통장",$J88&gt;0,IFERROR(INDEX('통합 ④ 설정'!$E$6:$E$40,MATCH($D88,'통합 ④ 설정'!$B$6:$B$40,0)),"")&lt;&gt;"○"),"바우처통장 지출 — 목적 확인",IF($H88="","적요를 적으십시오",""))))))))))))</f>
        <v/>
      </c>
      <c r="M88" s="39"/>
      <c r="O88" s="11" t="str">
        <f aca="false">IF($B88="","",YEAR($B88)*100+MONTH($B88))</f>
        <v/>
      </c>
      <c r="P88" s="11" t="str">
        <f aca="false">IF($B88="","",IF($E88="대체",0,1))</f>
        <v/>
      </c>
    </row>
    <row r="89" customFormat="false" ht="15" hidden="false" customHeight="false" outlineLevel="0" collapsed="false">
      <c r="A89" s="36" t="str">
        <f aca="false">IF($B89="","",COUNT($B$15:$B89))</f>
        <v/>
      </c>
      <c r="B89" s="37"/>
      <c r="C89" s="38"/>
      <c r="D89" s="39"/>
      <c r="E89" s="36" t="str">
        <f aca="false">IF($D89="","",IFERROR(INDEX('통합 ④ 설정'!$A$6:$A$40,MATCH($D89,'통합 ④ 설정'!$B$6:$B$40,0)),"※없는 과목"))</f>
        <v/>
      </c>
      <c r="F89" s="36" t="str">
        <f aca="false">IF($D89="","",IFERROR(INDEX('통합 ④ 설정'!$C$6:$C$40,MATCH($D89,'통합 ④ 설정'!$B$6:$B$40,0)),""))</f>
        <v/>
      </c>
      <c r="G89" s="39"/>
      <c r="H89" s="39"/>
      <c r="I89" s="40"/>
      <c r="J89" s="41"/>
      <c r="K89" s="38"/>
      <c r="L89" s="42" t="str">
        <f aca="false">IF($B89="","",IF(AND(N($I89)=0,N($J89)=0),"금액이 없습니다",IF(AND($I89&gt;0,$J89&gt;0),"수입·지출 둘 다 적혔습니다",IF($C89="","결제수단을 고르십시오",IF(ISNA(MATCH($C89,'통합 ③ 통장·카드'!$A$5:$A$11,0)),"③ 통장·카드에 없는 결제수단입니다",IF($D89="","계정과목을 고르십시오",IF($E89="※없는 과목","④ 설정에 없는 과목입니다",IF(AND($E89="수입",$J89&gt;0),"수입 과목인데 지출에 적혔습니다",IF(AND(LEFT($E89,2)&lt;&gt;"수입",$E89&lt;&gt;"대체",$I89&gt;0),"지출 과목인데 수입에 적혔습니다",IF($K89="","증빙을 고르십시오",IF(AND($C89="바우처통장",$J89&gt;0,IFERROR(INDEX('통합 ④ 설정'!$E$6:$E$40,MATCH($D89,'통합 ④ 설정'!$B$6:$B$40,0)),"")&lt;&gt;"○"),"바우처통장 지출 — 목적 확인",IF($H89="","적요를 적으십시오",""))))))))))))</f>
        <v/>
      </c>
      <c r="M89" s="39"/>
      <c r="O89" s="11" t="str">
        <f aca="false">IF($B89="","",YEAR($B89)*100+MONTH($B89))</f>
        <v/>
      </c>
      <c r="P89" s="11" t="str">
        <f aca="false">IF($B89="","",IF($E89="대체",0,1))</f>
        <v/>
      </c>
    </row>
    <row r="90" customFormat="false" ht="15" hidden="false" customHeight="false" outlineLevel="0" collapsed="false">
      <c r="A90" s="36" t="str">
        <f aca="false">IF($B90="","",COUNT($B$15:$B90))</f>
        <v/>
      </c>
      <c r="B90" s="37"/>
      <c r="C90" s="38"/>
      <c r="D90" s="39"/>
      <c r="E90" s="36" t="str">
        <f aca="false">IF($D90="","",IFERROR(INDEX('통합 ④ 설정'!$A$6:$A$40,MATCH($D90,'통합 ④ 설정'!$B$6:$B$40,0)),"※없는 과목"))</f>
        <v/>
      </c>
      <c r="F90" s="36" t="str">
        <f aca="false">IF($D90="","",IFERROR(INDEX('통합 ④ 설정'!$C$6:$C$40,MATCH($D90,'통합 ④ 설정'!$B$6:$B$40,0)),""))</f>
        <v/>
      </c>
      <c r="G90" s="39"/>
      <c r="H90" s="39"/>
      <c r="I90" s="40"/>
      <c r="J90" s="41"/>
      <c r="K90" s="38"/>
      <c r="L90" s="42" t="str">
        <f aca="false">IF($B90="","",IF(AND(N($I90)=0,N($J90)=0),"금액이 없습니다",IF(AND($I90&gt;0,$J90&gt;0),"수입·지출 둘 다 적혔습니다",IF($C90="","결제수단을 고르십시오",IF(ISNA(MATCH($C90,'통합 ③ 통장·카드'!$A$5:$A$11,0)),"③ 통장·카드에 없는 결제수단입니다",IF($D90="","계정과목을 고르십시오",IF($E90="※없는 과목","④ 설정에 없는 과목입니다",IF(AND($E90="수입",$J90&gt;0),"수입 과목인데 지출에 적혔습니다",IF(AND(LEFT($E90,2)&lt;&gt;"수입",$E90&lt;&gt;"대체",$I90&gt;0),"지출 과목인데 수입에 적혔습니다",IF($K90="","증빙을 고르십시오",IF(AND($C90="바우처통장",$J90&gt;0,IFERROR(INDEX('통합 ④ 설정'!$E$6:$E$40,MATCH($D90,'통합 ④ 설정'!$B$6:$B$40,0)),"")&lt;&gt;"○"),"바우처통장 지출 — 목적 확인",IF($H90="","적요를 적으십시오",""))))))))))))</f>
        <v/>
      </c>
      <c r="M90" s="39"/>
      <c r="O90" s="11" t="str">
        <f aca="false">IF($B90="","",YEAR($B90)*100+MONTH($B90))</f>
        <v/>
      </c>
      <c r="P90" s="11" t="str">
        <f aca="false">IF($B90="","",IF($E90="대체",0,1))</f>
        <v/>
      </c>
    </row>
    <row r="91" customFormat="false" ht="15" hidden="false" customHeight="false" outlineLevel="0" collapsed="false">
      <c r="A91" s="36" t="str">
        <f aca="false">IF($B91="","",COUNT($B$15:$B91))</f>
        <v/>
      </c>
      <c r="B91" s="37"/>
      <c r="C91" s="38"/>
      <c r="D91" s="39"/>
      <c r="E91" s="36" t="str">
        <f aca="false">IF($D91="","",IFERROR(INDEX('통합 ④ 설정'!$A$6:$A$40,MATCH($D91,'통합 ④ 설정'!$B$6:$B$40,0)),"※없는 과목"))</f>
        <v/>
      </c>
      <c r="F91" s="36" t="str">
        <f aca="false">IF($D91="","",IFERROR(INDEX('통합 ④ 설정'!$C$6:$C$40,MATCH($D91,'통합 ④ 설정'!$B$6:$B$40,0)),""))</f>
        <v/>
      </c>
      <c r="G91" s="39"/>
      <c r="H91" s="39"/>
      <c r="I91" s="40"/>
      <c r="J91" s="41"/>
      <c r="K91" s="38"/>
      <c r="L91" s="42" t="str">
        <f aca="false">IF($B91="","",IF(AND(N($I91)=0,N($J91)=0),"금액이 없습니다",IF(AND($I91&gt;0,$J91&gt;0),"수입·지출 둘 다 적혔습니다",IF($C91="","결제수단을 고르십시오",IF(ISNA(MATCH($C91,'통합 ③ 통장·카드'!$A$5:$A$11,0)),"③ 통장·카드에 없는 결제수단입니다",IF($D91="","계정과목을 고르십시오",IF($E91="※없는 과목","④ 설정에 없는 과목입니다",IF(AND($E91="수입",$J91&gt;0),"수입 과목인데 지출에 적혔습니다",IF(AND(LEFT($E91,2)&lt;&gt;"수입",$E91&lt;&gt;"대체",$I91&gt;0),"지출 과목인데 수입에 적혔습니다",IF($K91="","증빙을 고르십시오",IF(AND($C91="바우처통장",$J91&gt;0,IFERROR(INDEX('통합 ④ 설정'!$E$6:$E$40,MATCH($D91,'통합 ④ 설정'!$B$6:$B$40,0)),"")&lt;&gt;"○"),"바우처통장 지출 — 목적 확인",IF($H91="","적요를 적으십시오",""))))))))))))</f>
        <v/>
      </c>
      <c r="M91" s="39"/>
      <c r="O91" s="11" t="str">
        <f aca="false">IF($B91="","",YEAR($B91)*100+MONTH($B91))</f>
        <v/>
      </c>
      <c r="P91" s="11" t="str">
        <f aca="false">IF($B91="","",IF($E91="대체",0,1))</f>
        <v/>
      </c>
    </row>
    <row r="92" customFormat="false" ht="15" hidden="false" customHeight="false" outlineLevel="0" collapsed="false">
      <c r="A92" s="36" t="str">
        <f aca="false">IF($B92="","",COUNT($B$15:$B92))</f>
        <v/>
      </c>
      <c r="B92" s="37"/>
      <c r="C92" s="38"/>
      <c r="D92" s="39"/>
      <c r="E92" s="36" t="str">
        <f aca="false">IF($D92="","",IFERROR(INDEX('통합 ④ 설정'!$A$6:$A$40,MATCH($D92,'통합 ④ 설정'!$B$6:$B$40,0)),"※없는 과목"))</f>
        <v/>
      </c>
      <c r="F92" s="36" t="str">
        <f aca="false">IF($D92="","",IFERROR(INDEX('통합 ④ 설정'!$C$6:$C$40,MATCH($D92,'통합 ④ 설정'!$B$6:$B$40,0)),""))</f>
        <v/>
      </c>
      <c r="G92" s="39"/>
      <c r="H92" s="39"/>
      <c r="I92" s="40"/>
      <c r="J92" s="41"/>
      <c r="K92" s="38"/>
      <c r="L92" s="42" t="str">
        <f aca="false">IF($B92="","",IF(AND(N($I92)=0,N($J92)=0),"금액이 없습니다",IF(AND($I92&gt;0,$J92&gt;0),"수입·지출 둘 다 적혔습니다",IF($C92="","결제수단을 고르십시오",IF(ISNA(MATCH($C92,'통합 ③ 통장·카드'!$A$5:$A$11,0)),"③ 통장·카드에 없는 결제수단입니다",IF($D92="","계정과목을 고르십시오",IF($E92="※없는 과목","④ 설정에 없는 과목입니다",IF(AND($E92="수입",$J92&gt;0),"수입 과목인데 지출에 적혔습니다",IF(AND(LEFT($E92,2)&lt;&gt;"수입",$E92&lt;&gt;"대체",$I92&gt;0),"지출 과목인데 수입에 적혔습니다",IF($K92="","증빙을 고르십시오",IF(AND($C92="바우처통장",$J92&gt;0,IFERROR(INDEX('통합 ④ 설정'!$E$6:$E$40,MATCH($D92,'통합 ④ 설정'!$B$6:$B$40,0)),"")&lt;&gt;"○"),"바우처통장 지출 — 목적 확인",IF($H92="","적요를 적으십시오",""))))))))))))</f>
        <v/>
      </c>
      <c r="M92" s="39"/>
      <c r="O92" s="11" t="str">
        <f aca="false">IF($B92="","",YEAR($B92)*100+MONTH($B92))</f>
        <v/>
      </c>
      <c r="P92" s="11" t="str">
        <f aca="false">IF($B92="","",IF($E92="대체",0,1))</f>
        <v/>
      </c>
    </row>
    <row r="93" customFormat="false" ht="15" hidden="false" customHeight="false" outlineLevel="0" collapsed="false">
      <c r="A93" s="36" t="str">
        <f aca="false">IF($B93="","",COUNT($B$15:$B93))</f>
        <v/>
      </c>
      <c r="B93" s="37"/>
      <c r="C93" s="38"/>
      <c r="D93" s="39"/>
      <c r="E93" s="36" t="str">
        <f aca="false">IF($D93="","",IFERROR(INDEX('통합 ④ 설정'!$A$6:$A$40,MATCH($D93,'통합 ④ 설정'!$B$6:$B$40,0)),"※없는 과목"))</f>
        <v/>
      </c>
      <c r="F93" s="36" t="str">
        <f aca="false">IF($D93="","",IFERROR(INDEX('통합 ④ 설정'!$C$6:$C$40,MATCH($D93,'통합 ④ 설정'!$B$6:$B$40,0)),""))</f>
        <v/>
      </c>
      <c r="G93" s="39"/>
      <c r="H93" s="39"/>
      <c r="I93" s="40"/>
      <c r="J93" s="41"/>
      <c r="K93" s="38"/>
      <c r="L93" s="42" t="str">
        <f aca="false">IF($B93="","",IF(AND(N($I93)=0,N($J93)=0),"금액이 없습니다",IF(AND($I93&gt;0,$J93&gt;0),"수입·지출 둘 다 적혔습니다",IF($C93="","결제수단을 고르십시오",IF(ISNA(MATCH($C93,'통합 ③ 통장·카드'!$A$5:$A$11,0)),"③ 통장·카드에 없는 결제수단입니다",IF($D93="","계정과목을 고르십시오",IF($E93="※없는 과목","④ 설정에 없는 과목입니다",IF(AND($E93="수입",$J93&gt;0),"수입 과목인데 지출에 적혔습니다",IF(AND(LEFT($E93,2)&lt;&gt;"수입",$E93&lt;&gt;"대체",$I93&gt;0),"지출 과목인데 수입에 적혔습니다",IF($K93="","증빙을 고르십시오",IF(AND($C93="바우처통장",$J93&gt;0,IFERROR(INDEX('통합 ④ 설정'!$E$6:$E$40,MATCH($D93,'통합 ④ 설정'!$B$6:$B$40,0)),"")&lt;&gt;"○"),"바우처통장 지출 — 목적 확인",IF($H93="","적요를 적으십시오",""))))))))))))</f>
        <v/>
      </c>
      <c r="M93" s="39"/>
      <c r="O93" s="11" t="str">
        <f aca="false">IF($B93="","",YEAR($B93)*100+MONTH($B93))</f>
        <v/>
      </c>
      <c r="P93" s="11" t="str">
        <f aca="false">IF($B93="","",IF($E93="대체",0,1))</f>
        <v/>
      </c>
    </row>
    <row r="94" customFormat="false" ht="15" hidden="false" customHeight="false" outlineLevel="0" collapsed="false">
      <c r="A94" s="36" t="str">
        <f aca="false">IF($B94="","",COUNT($B$15:$B94))</f>
        <v/>
      </c>
      <c r="B94" s="37"/>
      <c r="C94" s="38"/>
      <c r="D94" s="39"/>
      <c r="E94" s="36" t="str">
        <f aca="false">IF($D94="","",IFERROR(INDEX('통합 ④ 설정'!$A$6:$A$40,MATCH($D94,'통합 ④ 설정'!$B$6:$B$40,0)),"※없는 과목"))</f>
        <v/>
      </c>
      <c r="F94" s="36" t="str">
        <f aca="false">IF($D94="","",IFERROR(INDEX('통합 ④ 설정'!$C$6:$C$40,MATCH($D94,'통합 ④ 설정'!$B$6:$B$40,0)),""))</f>
        <v/>
      </c>
      <c r="G94" s="39"/>
      <c r="H94" s="39"/>
      <c r="I94" s="40"/>
      <c r="J94" s="41"/>
      <c r="K94" s="38"/>
      <c r="L94" s="42" t="str">
        <f aca="false">IF($B94="","",IF(AND(N($I94)=0,N($J94)=0),"금액이 없습니다",IF(AND($I94&gt;0,$J94&gt;0),"수입·지출 둘 다 적혔습니다",IF($C94="","결제수단을 고르십시오",IF(ISNA(MATCH($C94,'통합 ③ 통장·카드'!$A$5:$A$11,0)),"③ 통장·카드에 없는 결제수단입니다",IF($D94="","계정과목을 고르십시오",IF($E94="※없는 과목","④ 설정에 없는 과목입니다",IF(AND($E94="수입",$J94&gt;0),"수입 과목인데 지출에 적혔습니다",IF(AND(LEFT($E94,2)&lt;&gt;"수입",$E94&lt;&gt;"대체",$I94&gt;0),"지출 과목인데 수입에 적혔습니다",IF($K94="","증빙을 고르십시오",IF(AND($C94="바우처통장",$J94&gt;0,IFERROR(INDEX('통합 ④ 설정'!$E$6:$E$40,MATCH($D94,'통합 ④ 설정'!$B$6:$B$40,0)),"")&lt;&gt;"○"),"바우처통장 지출 — 목적 확인",IF($H94="","적요를 적으십시오",""))))))))))))</f>
        <v/>
      </c>
      <c r="M94" s="39"/>
      <c r="O94" s="11" t="str">
        <f aca="false">IF($B94="","",YEAR($B94)*100+MONTH($B94))</f>
        <v/>
      </c>
      <c r="P94" s="11" t="str">
        <f aca="false">IF($B94="","",IF($E94="대체",0,1))</f>
        <v/>
      </c>
    </row>
    <row r="95" customFormat="false" ht="15" hidden="false" customHeight="false" outlineLevel="0" collapsed="false">
      <c r="A95" s="36" t="str">
        <f aca="false">IF($B95="","",COUNT($B$15:$B95))</f>
        <v/>
      </c>
      <c r="B95" s="37"/>
      <c r="C95" s="38"/>
      <c r="D95" s="39"/>
      <c r="E95" s="36" t="str">
        <f aca="false">IF($D95="","",IFERROR(INDEX('통합 ④ 설정'!$A$6:$A$40,MATCH($D95,'통합 ④ 설정'!$B$6:$B$40,0)),"※없는 과목"))</f>
        <v/>
      </c>
      <c r="F95" s="36" t="str">
        <f aca="false">IF($D95="","",IFERROR(INDEX('통합 ④ 설정'!$C$6:$C$40,MATCH($D95,'통합 ④ 설정'!$B$6:$B$40,0)),""))</f>
        <v/>
      </c>
      <c r="G95" s="39"/>
      <c r="H95" s="39"/>
      <c r="I95" s="40"/>
      <c r="J95" s="41"/>
      <c r="K95" s="38"/>
      <c r="L95" s="42" t="str">
        <f aca="false">IF($B95="","",IF(AND(N($I95)=0,N($J95)=0),"금액이 없습니다",IF(AND($I95&gt;0,$J95&gt;0),"수입·지출 둘 다 적혔습니다",IF($C95="","결제수단을 고르십시오",IF(ISNA(MATCH($C95,'통합 ③ 통장·카드'!$A$5:$A$11,0)),"③ 통장·카드에 없는 결제수단입니다",IF($D95="","계정과목을 고르십시오",IF($E95="※없는 과목","④ 설정에 없는 과목입니다",IF(AND($E95="수입",$J95&gt;0),"수입 과목인데 지출에 적혔습니다",IF(AND(LEFT($E95,2)&lt;&gt;"수입",$E95&lt;&gt;"대체",$I95&gt;0),"지출 과목인데 수입에 적혔습니다",IF($K95="","증빙을 고르십시오",IF(AND($C95="바우처통장",$J95&gt;0,IFERROR(INDEX('통합 ④ 설정'!$E$6:$E$40,MATCH($D95,'통합 ④ 설정'!$B$6:$B$40,0)),"")&lt;&gt;"○"),"바우처통장 지출 — 목적 확인",IF($H95="","적요를 적으십시오",""))))))))))))</f>
        <v/>
      </c>
      <c r="M95" s="39"/>
      <c r="O95" s="11" t="str">
        <f aca="false">IF($B95="","",YEAR($B95)*100+MONTH($B95))</f>
        <v/>
      </c>
      <c r="P95" s="11" t="str">
        <f aca="false">IF($B95="","",IF($E95="대체",0,1))</f>
        <v/>
      </c>
    </row>
    <row r="96" customFormat="false" ht="15" hidden="false" customHeight="false" outlineLevel="0" collapsed="false">
      <c r="A96" s="36" t="str">
        <f aca="false">IF($B96="","",COUNT($B$15:$B96))</f>
        <v/>
      </c>
      <c r="B96" s="37"/>
      <c r="C96" s="38"/>
      <c r="D96" s="39"/>
      <c r="E96" s="36" t="str">
        <f aca="false">IF($D96="","",IFERROR(INDEX('통합 ④ 설정'!$A$6:$A$40,MATCH($D96,'통합 ④ 설정'!$B$6:$B$40,0)),"※없는 과목"))</f>
        <v/>
      </c>
      <c r="F96" s="36" t="str">
        <f aca="false">IF($D96="","",IFERROR(INDEX('통합 ④ 설정'!$C$6:$C$40,MATCH($D96,'통합 ④ 설정'!$B$6:$B$40,0)),""))</f>
        <v/>
      </c>
      <c r="G96" s="39"/>
      <c r="H96" s="39"/>
      <c r="I96" s="40"/>
      <c r="J96" s="41"/>
      <c r="K96" s="38"/>
      <c r="L96" s="42" t="str">
        <f aca="false">IF($B96="","",IF(AND(N($I96)=0,N($J96)=0),"금액이 없습니다",IF(AND($I96&gt;0,$J96&gt;0),"수입·지출 둘 다 적혔습니다",IF($C96="","결제수단을 고르십시오",IF(ISNA(MATCH($C96,'통합 ③ 통장·카드'!$A$5:$A$11,0)),"③ 통장·카드에 없는 결제수단입니다",IF($D96="","계정과목을 고르십시오",IF($E96="※없는 과목","④ 설정에 없는 과목입니다",IF(AND($E96="수입",$J96&gt;0),"수입 과목인데 지출에 적혔습니다",IF(AND(LEFT($E96,2)&lt;&gt;"수입",$E96&lt;&gt;"대체",$I96&gt;0),"지출 과목인데 수입에 적혔습니다",IF($K96="","증빙을 고르십시오",IF(AND($C96="바우처통장",$J96&gt;0,IFERROR(INDEX('통합 ④ 설정'!$E$6:$E$40,MATCH($D96,'통합 ④ 설정'!$B$6:$B$40,0)),"")&lt;&gt;"○"),"바우처통장 지출 — 목적 확인",IF($H96="","적요를 적으십시오",""))))))))))))</f>
        <v/>
      </c>
      <c r="M96" s="39"/>
      <c r="O96" s="11" t="str">
        <f aca="false">IF($B96="","",YEAR($B96)*100+MONTH($B96))</f>
        <v/>
      </c>
      <c r="P96" s="11" t="str">
        <f aca="false">IF($B96="","",IF($E96="대체",0,1))</f>
        <v/>
      </c>
    </row>
    <row r="97" customFormat="false" ht="15" hidden="false" customHeight="false" outlineLevel="0" collapsed="false">
      <c r="A97" s="36" t="str">
        <f aca="false">IF($B97="","",COUNT($B$15:$B97))</f>
        <v/>
      </c>
      <c r="B97" s="37"/>
      <c r="C97" s="38"/>
      <c r="D97" s="39"/>
      <c r="E97" s="36" t="str">
        <f aca="false">IF($D97="","",IFERROR(INDEX('통합 ④ 설정'!$A$6:$A$40,MATCH($D97,'통합 ④ 설정'!$B$6:$B$40,0)),"※없는 과목"))</f>
        <v/>
      </c>
      <c r="F97" s="36" t="str">
        <f aca="false">IF($D97="","",IFERROR(INDEX('통합 ④ 설정'!$C$6:$C$40,MATCH($D97,'통합 ④ 설정'!$B$6:$B$40,0)),""))</f>
        <v/>
      </c>
      <c r="G97" s="39"/>
      <c r="H97" s="39"/>
      <c r="I97" s="40"/>
      <c r="J97" s="41"/>
      <c r="K97" s="38"/>
      <c r="L97" s="42" t="str">
        <f aca="false">IF($B97="","",IF(AND(N($I97)=0,N($J97)=0),"금액이 없습니다",IF(AND($I97&gt;0,$J97&gt;0),"수입·지출 둘 다 적혔습니다",IF($C97="","결제수단을 고르십시오",IF(ISNA(MATCH($C97,'통합 ③ 통장·카드'!$A$5:$A$11,0)),"③ 통장·카드에 없는 결제수단입니다",IF($D97="","계정과목을 고르십시오",IF($E97="※없는 과목","④ 설정에 없는 과목입니다",IF(AND($E97="수입",$J97&gt;0),"수입 과목인데 지출에 적혔습니다",IF(AND(LEFT($E97,2)&lt;&gt;"수입",$E97&lt;&gt;"대체",$I97&gt;0),"지출 과목인데 수입에 적혔습니다",IF($K97="","증빙을 고르십시오",IF(AND($C97="바우처통장",$J97&gt;0,IFERROR(INDEX('통합 ④ 설정'!$E$6:$E$40,MATCH($D97,'통합 ④ 설정'!$B$6:$B$40,0)),"")&lt;&gt;"○"),"바우처통장 지출 — 목적 확인",IF($H97="","적요를 적으십시오",""))))))))))))</f>
        <v/>
      </c>
      <c r="M97" s="39"/>
      <c r="O97" s="11" t="str">
        <f aca="false">IF($B97="","",YEAR($B97)*100+MONTH($B97))</f>
        <v/>
      </c>
      <c r="P97" s="11" t="str">
        <f aca="false">IF($B97="","",IF($E97="대체",0,1))</f>
        <v/>
      </c>
    </row>
    <row r="98" customFormat="false" ht="15" hidden="false" customHeight="false" outlineLevel="0" collapsed="false">
      <c r="A98" s="36" t="str">
        <f aca="false">IF($B98="","",COUNT($B$15:$B98))</f>
        <v/>
      </c>
      <c r="B98" s="37"/>
      <c r="C98" s="38"/>
      <c r="D98" s="39"/>
      <c r="E98" s="36" t="str">
        <f aca="false">IF($D98="","",IFERROR(INDEX('통합 ④ 설정'!$A$6:$A$40,MATCH($D98,'통합 ④ 설정'!$B$6:$B$40,0)),"※없는 과목"))</f>
        <v/>
      </c>
      <c r="F98" s="36" t="str">
        <f aca="false">IF($D98="","",IFERROR(INDEX('통합 ④ 설정'!$C$6:$C$40,MATCH($D98,'통합 ④ 설정'!$B$6:$B$40,0)),""))</f>
        <v/>
      </c>
      <c r="G98" s="39"/>
      <c r="H98" s="39"/>
      <c r="I98" s="40"/>
      <c r="J98" s="41"/>
      <c r="K98" s="38"/>
      <c r="L98" s="42" t="str">
        <f aca="false">IF($B98="","",IF(AND(N($I98)=0,N($J98)=0),"금액이 없습니다",IF(AND($I98&gt;0,$J98&gt;0),"수입·지출 둘 다 적혔습니다",IF($C98="","결제수단을 고르십시오",IF(ISNA(MATCH($C98,'통합 ③ 통장·카드'!$A$5:$A$11,0)),"③ 통장·카드에 없는 결제수단입니다",IF($D98="","계정과목을 고르십시오",IF($E98="※없는 과목","④ 설정에 없는 과목입니다",IF(AND($E98="수입",$J98&gt;0),"수입 과목인데 지출에 적혔습니다",IF(AND(LEFT($E98,2)&lt;&gt;"수입",$E98&lt;&gt;"대체",$I98&gt;0),"지출 과목인데 수입에 적혔습니다",IF($K98="","증빙을 고르십시오",IF(AND($C98="바우처통장",$J98&gt;0,IFERROR(INDEX('통합 ④ 설정'!$E$6:$E$40,MATCH($D98,'통합 ④ 설정'!$B$6:$B$40,0)),"")&lt;&gt;"○"),"바우처통장 지출 — 목적 확인",IF($H98="","적요를 적으십시오",""))))))))))))</f>
        <v/>
      </c>
      <c r="M98" s="39"/>
      <c r="O98" s="11" t="str">
        <f aca="false">IF($B98="","",YEAR($B98)*100+MONTH($B98))</f>
        <v/>
      </c>
      <c r="P98" s="11" t="str">
        <f aca="false">IF($B98="","",IF($E98="대체",0,1))</f>
        <v/>
      </c>
    </row>
    <row r="99" customFormat="false" ht="15" hidden="false" customHeight="false" outlineLevel="0" collapsed="false">
      <c r="A99" s="36" t="str">
        <f aca="false">IF($B99="","",COUNT($B$15:$B99))</f>
        <v/>
      </c>
      <c r="B99" s="37"/>
      <c r="C99" s="38"/>
      <c r="D99" s="39"/>
      <c r="E99" s="36" t="str">
        <f aca="false">IF($D99="","",IFERROR(INDEX('통합 ④ 설정'!$A$6:$A$40,MATCH($D99,'통합 ④ 설정'!$B$6:$B$40,0)),"※없는 과목"))</f>
        <v/>
      </c>
      <c r="F99" s="36" t="str">
        <f aca="false">IF($D99="","",IFERROR(INDEX('통합 ④ 설정'!$C$6:$C$40,MATCH($D99,'통합 ④ 설정'!$B$6:$B$40,0)),""))</f>
        <v/>
      </c>
      <c r="G99" s="39"/>
      <c r="H99" s="39"/>
      <c r="I99" s="40"/>
      <c r="J99" s="41"/>
      <c r="K99" s="38"/>
      <c r="L99" s="42" t="str">
        <f aca="false">IF($B99="","",IF(AND(N($I99)=0,N($J99)=0),"금액이 없습니다",IF(AND($I99&gt;0,$J99&gt;0),"수입·지출 둘 다 적혔습니다",IF($C99="","결제수단을 고르십시오",IF(ISNA(MATCH($C99,'통합 ③ 통장·카드'!$A$5:$A$11,0)),"③ 통장·카드에 없는 결제수단입니다",IF($D99="","계정과목을 고르십시오",IF($E99="※없는 과목","④ 설정에 없는 과목입니다",IF(AND($E99="수입",$J99&gt;0),"수입 과목인데 지출에 적혔습니다",IF(AND(LEFT($E99,2)&lt;&gt;"수입",$E99&lt;&gt;"대체",$I99&gt;0),"지출 과목인데 수입에 적혔습니다",IF($K99="","증빙을 고르십시오",IF(AND($C99="바우처통장",$J99&gt;0,IFERROR(INDEX('통합 ④ 설정'!$E$6:$E$40,MATCH($D99,'통합 ④ 설정'!$B$6:$B$40,0)),"")&lt;&gt;"○"),"바우처통장 지출 — 목적 확인",IF($H99="","적요를 적으십시오",""))))))))))))</f>
        <v/>
      </c>
      <c r="M99" s="39"/>
      <c r="O99" s="11" t="str">
        <f aca="false">IF($B99="","",YEAR($B99)*100+MONTH($B99))</f>
        <v/>
      </c>
      <c r="P99" s="11" t="str">
        <f aca="false">IF($B99="","",IF($E99="대체",0,1))</f>
        <v/>
      </c>
    </row>
    <row r="100" customFormat="false" ht="15" hidden="false" customHeight="false" outlineLevel="0" collapsed="false">
      <c r="A100" s="36" t="str">
        <f aca="false">IF($B100="","",COUNT($B$15:$B100))</f>
        <v/>
      </c>
      <c r="B100" s="37"/>
      <c r="C100" s="38"/>
      <c r="D100" s="39"/>
      <c r="E100" s="36" t="str">
        <f aca="false">IF($D100="","",IFERROR(INDEX('통합 ④ 설정'!$A$6:$A$40,MATCH($D100,'통합 ④ 설정'!$B$6:$B$40,0)),"※없는 과목"))</f>
        <v/>
      </c>
      <c r="F100" s="36" t="str">
        <f aca="false">IF($D100="","",IFERROR(INDEX('통합 ④ 설정'!$C$6:$C$40,MATCH($D100,'통합 ④ 설정'!$B$6:$B$40,0)),""))</f>
        <v/>
      </c>
      <c r="G100" s="39"/>
      <c r="H100" s="39"/>
      <c r="I100" s="40"/>
      <c r="J100" s="41"/>
      <c r="K100" s="38"/>
      <c r="L100" s="42" t="str">
        <f aca="false">IF($B100="","",IF(AND(N($I100)=0,N($J100)=0),"금액이 없습니다",IF(AND($I100&gt;0,$J100&gt;0),"수입·지출 둘 다 적혔습니다",IF($C100="","결제수단을 고르십시오",IF(ISNA(MATCH($C100,'통합 ③ 통장·카드'!$A$5:$A$11,0)),"③ 통장·카드에 없는 결제수단입니다",IF($D100="","계정과목을 고르십시오",IF($E100="※없는 과목","④ 설정에 없는 과목입니다",IF(AND($E100="수입",$J100&gt;0),"수입 과목인데 지출에 적혔습니다",IF(AND(LEFT($E100,2)&lt;&gt;"수입",$E100&lt;&gt;"대체",$I100&gt;0),"지출 과목인데 수입에 적혔습니다",IF($K100="","증빙을 고르십시오",IF(AND($C100="바우처통장",$J100&gt;0,IFERROR(INDEX('통합 ④ 설정'!$E$6:$E$40,MATCH($D100,'통합 ④ 설정'!$B$6:$B$40,0)),"")&lt;&gt;"○"),"바우처통장 지출 — 목적 확인",IF($H100="","적요를 적으십시오",""))))))))))))</f>
        <v/>
      </c>
      <c r="M100" s="39"/>
      <c r="O100" s="11" t="str">
        <f aca="false">IF($B100="","",YEAR($B100)*100+MONTH($B100))</f>
        <v/>
      </c>
      <c r="P100" s="11" t="str">
        <f aca="false">IF($B100="","",IF($E100="대체",0,1))</f>
        <v/>
      </c>
    </row>
    <row r="101" customFormat="false" ht="15" hidden="false" customHeight="false" outlineLevel="0" collapsed="false">
      <c r="A101" s="36" t="str">
        <f aca="false">IF($B101="","",COUNT($B$15:$B101))</f>
        <v/>
      </c>
      <c r="B101" s="37"/>
      <c r="C101" s="38"/>
      <c r="D101" s="39"/>
      <c r="E101" s="36" t="str">
        <f aca="false">IF($D101="","",IFERROR(INDEX('통합 ④ 설정'!$A$6:$A$40,MATCH($D101,'통합 ④ 설정'!$B$6:$B$40,0)),"※없는 과목"))</f>
        <v/>
      </c>
      <c r="F101" s="36" t="str">
        <f aca="false">IF($D101="","",IFERROR(INDEX('통합 ④ 설정'!$C$6:$C$40,MATCH($D101,'통합 ④ 설정'!$B$6:$B$40,0)),""))</f>
        <v/>
      </c>
      <c r="G101" s="39"/>
      <c r="H101" s="39"/>
      <c r="I101" s="40"/>
      <c r="J101" s="41"/>
      <c r="K101" s="38"/>
      <c r="L101" s="42" t="str">
        <f aca="false">IF($B101="","",IF(AND(N($I101)=0,N($J101)=0),"금액이 없습니다",IF(AND($I101&gt;0,$J101&gt;0),"수입·지출 둘 다 적혔습니다",IF($C101="","결제수단을 고르십시오",IF(ISNA(MATCH($C101,'통합 ③ 통장·카드'!$A$5:$A$11,0)),"③ 통장·카드에 없는 결제수단입니다",IF($D101="","계정과목을 고르십시오",IF($E101="※없는 과목","④ 설정에 없는 과목입니다",IF(AND($E101="수입",$J101&gt;0),"수입 과목인데 지출에 적혔습니다",IF(AND(LEFT($E101,2)&lt;&gt;"수입",$E101&lt;&gt;"대체",$I101&gt;0),"지출 과목인데 수입에 적혔습니다",IF($K101="","증빙을 고르십시오",IF(AND($C101="바우처통장",$J101&gt;0,IFERROR(INDEX('통합 ④ 설정'!$E$6:$E$40,MATCH($D101,'통합 ④ 설정'!$B$6:$B$40,0)),"")&lt;&gt;"○"),"바우처통장 지출 — 목적 확인",IF($H101="","적요를 적으십시오",""))))))))))))</f>
        <v/>
      </c>
      <c r="M101" s="39"/>
      <c r="O101" s="11" t="str">
        <f aca="false">IF($B101="","",YEAR($B101)*100+MONTH($B101))</f>
        <v/>
      </c>
      <c r="P101" s="11" t="str">
        <f aca="false">IF($B101="","",IF($E101="대체",0,1))</f>
        <v/>
      </c>
    </row>
    <row r="102" customFormat="false" ht="15" hidden="false" customHeight="false" outlineLevel="0" collapsed="false">
      <c r="A102" s="36" t="str">
        <f aca="false">IF($B102="","",COUNT($B$15:$B102))</f>
        <v/>
      </c>
      <c r="B102" s="37"/>
      <c r="C102" s="38"/>
      <c r="D102" s="39"/>
      <c r="E102" s="36" t="str">
        <f aca="false">IF($D102="","",IFERROR(INDEX('통합 ④ 설정'!$A$6:$A$40,MATCH($D102,'통합 ④ 설정'!$B$6:$B$40,0)),"※없는 과목"))</f>
        <v/>
      </c>
      <c r="F102" s="36" t="str">
        <f aca="false">IF($D102="","",IFERROR(INDEX('통합 ④ 설정'!$C$6:$C$40,MATCH($D102,'통합 ④ 설정'!$B$6:$B$40,0)),""))</f>
        <v/>
      </c>
      <c r="G102" s="39"/>
      <c r="H102" s="39"/>
      <c r="I102" s="40"/>
      <c r="J102" s="41"/>
      <c r="K102" s="38"/>
      <c r="L102" s="42" t="str">
        <f aca="false">IF($B102="","",IF(AND(N($I102)=0,N($J102)=0),"금액이 없습니다",IF(AND($I102&gt;0,$J102&gt;0),"수입·지출 둘 다 적혔습니다",IF($C102="","결제수단을 고르십시오",IF(ISNA(MATCH($C102,'통합 ③ 통장·카드'!$A$5:$A$11,0)),"③ 통장·카드에 없는 결제수단입니다",IF($D102="","계정과목을 고르십시오",IF($E102="※없는 과목","④ 설정에 없는 과목입니다",IF(AND($E102="수입",$J102&gt;0),"수입 과목인데 지출에 적혔습니다",IF(AND(LEFT($E102,2)&lt;&gt;"수입",$E102&lt;&gt;"대체",$I102&gt;0),"지출 과목인데 수입에 적혔습니다",IF($K102="","증빙을 고르십시오",IF(AND($C102="바우처통장",$J102&gt;0,IFERROR(INDEX('통합 ④ 설정'!$E$6:$E$40,MATCH($D102,'통합 ④ 설정'!$B$6:$B$40,0)),"")&lt;&gt;"○"),"바우처통장 지출 — 목적 확인",IF($H102="","적요를 적으십시오",""))))))))))))</f>
        <v/>
      </c>
      <c r="M102" s="39"/>
      <c r="O102" s="11" t="str">
        <f aca="false">IF($B102="","",YEAR($B102)*100+MONTH($B102))</f>
        <v/>
      </c>
      <c r="P102" s="11" t="str">
        <f aca="false">IF($B102="","",IF($E102="대체",0,1))</f>
        <v/>
      </c>
    </row>
    <row r="103" customFormat="false" ht="15" hidden="false" customHeight="false" outlineLevel="0" collapsed="false">
      <c r="A103" s="36" t="str">
        <f aca="false">IF($B103="","",COUNT($B$15:$B103))</f>
        <v/>
      </c>
      <c r="B103" s="37"/>
      <c r="C103" s="38"/>
      <c r="D103" s="39"/>
      <c r="E103" s="36" t="str">
        <f aca="false">IF($D103="","",IFERROR(INDEX('통합 ④ 설정'!$A$6:$A$40,MATCH($D103,'통합 ④ 설정'!$B$6:$B$40,0)),"※없는 과목"))</f>
        <v/>
      </c>
      <c r="F103" s="36" t="str">
        <f aca="false">IF($D103="","",IFERROR(INDEX('통합 ④ 설정'!$C$6:$C$40,MATCH($D103,'통합 ④ 설정'!$B$6:$B$40,0)),""))</f>
        <v/>
      </c>
      <c r="G103" s="39"/>
      <c r="H103" s="39"/>
      <c r="I103" s="40"/>
      <c r="J103" s="41"/>
      <c r="K103" s="38"/>
      <c r="L103" s="42" t="str">
        <f aca="false">IF($B103="","",IF(AND(N($I103)=0,N($J103)=0),"금액이 없습니다",IF(AND($I103&gt;0,$J103&gt;0),"수입·지출 둘 다 적혔습니다",IF($C103="","결제수단을 고르십시오",IF(ISNA(MATCH($C103,'통합 ③ 통장·카드'!$A$5:$A$11,0)),"③ 통장·카드에 없는 결제수단입니다",IF($D103="","계정과목을 고르십시오",IF($E103="※없는 과목","④ 설정에 없는 과목입니다",IF(AND($E103="수입",$J103&gt;0),"수입 과목인데 지출에 적혔습니다",IF(AND(LEFT($E103,2)&lt;&gt;"수입",$E103&lt;&gt;"대체",$I103&gt;0),"지출 과목인데 수입에 적혔습니다",IF($K103="","증빙을 고르십시오",IF(AND($C103="바우처통장",$J103&gt;0,IFERROR(INDEX('통합 ④ 설정'!$E$6:$E$40,MATCH($D103,'통합 ④ 설정'!$B$6:$B$40,0)),"")&lt;&gt;"○"),"바우처통장 지출 — 목적 확인",IF($H103="","적요를 적으십시오",""))))))))))))</f>
        <v/>
      </c>
      <c r="M103" s="39"/>
      <c r="O103" s="11" t="str">
        <f aca="false">IF($B103="","",YEAR($B103)*100+MONTH($B103))</f>
        <v/>
      </c>
      <c r="P103" s="11" t="str">
        <f aca="false">IF($B103="","",IF($E103="대체",0,1))</f>
        <v/>
      </c>
    </row>
    <row r="104" customFormat="false" ht="15" hidden="false" customHeight="false" outlineLevel="0" collapsed="false">
      <c r="A104" s="36" t="str">
        <f aca="false">IF($B104="","",COUNT($B$15:$B104))</f>
        <v/>
      </c>
      <c r="B104" s="37"/>
      <c r="C104" s="38"/>
      <c r="D104" s="39"/>
      <c r="E104" s="36" t="str">
        <f aca="false">IF($D104="","",IFERROR(INDEX('통합 ④ 설정'!$A$6:$A$40,MATCH($D104,'통합 ④ 설정'!$B$6:$B$40,0)),"※없는 과목"))</f>
        <v/>
      </c>
      <c r="F104" s="36" t="str">
        <f aca="false">IF($D104="","",IFERROR(INDEX('통합 ④ 설정'!$C$6:$C$40,MATCH($D104,'통합 ④ 설정'!$B$6:$B$40,0)),""))</f>
        <v/>
      </c>
      <c r="G104" s="39"/>
      <c r="H104" s="39"/>
      <c r="I104" s="40"/>
      <c r="J104" s="41"/>
      <c r="K104" s="38"/>
      <c r="L104" s="42" t="str">
        <f aca="false">IF($B104="","",IF(AND(N($I104)=0,N($J104)=0),"금액이 없습니다",IF(AND($I104&gt;0,$J104&gt;0),"수입·지출 둘 다 적혔습니다",IF($C104="","결제수단을 고르십시오",IF(ISNA(MATCH($C104,'통합 ③ 통장·카드'!$A$5:$A$11,0)),"③ 통장·카드에 없는 결제수단입니다",IF($D104="","계정과목을 고르십시오",IF($E104="※없는 과목","④ 설정에 없는 과목입니다",IF(AND($E104="수입",$J104&gt;0),"수입 과목인데 지출에 적혔습니다",IF(AND(LEFT($E104,2)&lt;&gt;"수입",$E104&lt;&gt;"대체",$I104&gt;0),"지출 과목인데 수입에 적혔습니다",IF($K104="","증빙을 고르십시오",IF(AND($C104="바우처통장",$J104&gt;0,IFERROR(INDEX('통합 ④ 설정'!$E$6:$E$40,MATCH($D104,'통합 ④ 설정'!$B$6:$B$40,0)),"")&lt;&gt;"○"),"바우처통장 지출 — 목적 확인",IF($H104="","적요를 적으십시오",""))))))))))))</f>
        <v/>
      </c>
      <c r="M104" s="39"/>
      <c r="O104" s="11" t="str">
        <f aca="false">IF($B104="","",YEAR($B104)*100+MONTH($B104))</f>
        <v/>
      </c>
      <c r="P104" s="11" t="str">
        <f aca="false">IF($B104="","",IF($E104="대체",0,1))</f>
        <v/>
      </c>
    </row>
    <row r="105" customFormat="false" ht="15" hidden="false" customHeight="false" outlineLevel="0" collapsed="false">
      <c r="A105" s="36" t="str">
        <f aca="false">IF($B105="","",COUNT($B$15:$B105))</f>
        <v/>
      </c>
      <c r="B105" s="37"/>
      <c r="C105" s="38"/>
      <c r="D105" s="39"/>
      <c r="E105" s="36" t="str">
        <f aca="false">IF($D105="","",IFERROR(INDEX('통합 ④ 설정'!$A$6:$A$40,MATCH($D105,'통합 ④ 설정'!$B$6:$B$40,0)),"※없는 과목"))</f>
        <v/>
      </c>
      <c r="F105" s="36" t="str">
        <f aca="false">IF($D105="","",IFERROR(INDEX('통합 ④ 설정'!$C$6:$C$40,MATCH($D105,'통합 ④ 설정'!$B$6:$B$40,0)),""))</f>
        <v/>
      </c>
      <c r="G105" s="39"/>
      <c r="H105" s="39"/>
      <c r="I105" s="40"/>
      <c r="J105" s="41"/>
      <c r="K105" s="38"/>
      <c r="L105" s="42" t="str">
        <f aca="false">IF($B105="","",IF(AND(N($I105)=0,N($J105)=0),"금액이 없습니다",IF(AND($I105&gt;0,$J105&gt;0),"수입·지출 둘 다 적혔습니다",IF($C105="","결제수단을 고르십시오",IF(ISNA(MATCH($C105,'통합 ③ 통장·카드'!$A$5:$A$11,0)),"③ 통장·카드에 없는 결제수단입니다",IF($D105="","계정과목을 고르십시오",IF($E105="※없는 과목","④ 설정에 없는 과목입니다",IF(AND($E105="수입",$J105&gt;0),"수입 과목인데 지출에 적혔습니다",IF(AND(LEFT($E105,2)&lt;&gt;"수입",$E105&lt;&gt;"대체",$I105&gt;0),"지출 과목인데 수입에 적혔습니다",IF($K105="","증빙을 고르십시오",IF(AND($C105="바우처통장",$J105&gt;0,IFERROR(INDEX('통합 ④ 설정'!$E$6:$E$40,MATCH($D105,'통합 ④ 설정'!$B$6:$B$40,0)),"")&lt;&gt;"○"),"바우처통장 지출 — 목적 확인",IF($H105="","적요를 적으십시오",""))))))))))))</f>
        <v/>
      </c>
      <c r="M105" s="39"/>
      <c r="O105" s="11" t="str">
        <f aca="false">IF($B105="","",YEAR($B105)*100+MONTH($B105))</f>
        <v/>
      </c>
      <c r="P105" s="11" t="str">
        <f aca="false">IF($B105="","",IF($E105="대체",0,1))</f>
        <v/>
      </c>
    </row>
    <row r="106" customFormat="false" ht="15" hidden="false" customHeight="false" outlineLevel="0" collapsed="false">
      <c r="A106" s="36" t="str">
        <f aca="false">IF($B106="","",COUNT($B$15:$B106))</f>
        <v/>
      </c>
      <c r="B106" s="37"/>
      <c r="C106" s="38"/>
      <c r="D106" s="39"/>
      <c r="E106" s="36" t="str">
        <f aca="false">IF($D106="","",IFERROR(INDEX('통합 ④ 설정'!$A$6:$A$40,MATCH($D106,'통합 ④ 설정'!$B$6:$B$40,0)),"※없는 과목"))</f>
        <v/>
      </c>
      <c r="F106" s="36" t="str">
        <f aca="false">IF($D106="","",IFERROR(INDEX('통합 ④ 설정'!$C$6:$C$40,MATCH($D106,'통합 ④ 설정'!$B$6:$B$40,0)),""))</f>
        <v/>
      </c>
      <c r="G106" s="39"/>
      <c r="H106" s="39"/>
      <c r="I106" s="40"/>
      <c r="J106" s="41"/>
      <c r="K106" s="38"/>
      <c r="L106" s="42" t="str">
        <f aca="false">IF($B106="","",IF(AND(N($I106)=0,N($J106)=0),"금액이 없습니다",IF(AND($I106&gt;0,$J106&gt;0),"수입·지출 둘 다 적혔습니다",IF($C106="","결제수단을 고르십시오",IF(ISNA(MATCH($C106,'통합 ③ 통장·카드'!$A$5:$A$11,0)),"③ 통장·카드에 없는 결제수단입니다",IF($D106="","계정과목을 고르십시오",IF($E106="※없는 과목","④ 설정에 없는 과목입니다",IF(AND($E106="수입",$J106&gt;0),"수입 과목인데 지출에 적혔습니다",IF(AND(LEFT($E106,2)&lt;&gt;"수입",$E106&lt;&gt;"대체",$I106&gt;0),"지출 과목인데 수입에 적혔습니다",IF($K106="","증빙을 고르십시오",IF(AND($C106="바우처통장",$J106&gt;0,IFERROR(INDEX('통합 ④ 설정'!$E$6:$E$40,MATCH($D106,'통합 ④ 설정'!$B$6:$B$40,0)),"")&lt;&gt;"○"),"바우처통장 지출 — 목적 확인",IF($H106="","적요를 적으십시오",""))))))))))))</f>
        <v/>
      </c>
      <c r="M106" s="39"/>
      <c r="O106" s="11" t="str">
        <f aca="false">IF($B106="","",YEAR($B106)*100+MONTH($B106))</f>
        <v/>
      </c>
      <c r="P106" s="11" t="str">
        <f aca="false">IF($B106="","",IF($E106="대체",0,1))</f>
        <v/>
      </c>
    </row>
    <row r="107" customFormat="false" ht="15" hidden="false" customHeight="false" outlineLevel="0" collapsed="false">
      <c r="A107" s="36" t="str">
        <f aca="false">IF($B107="","",COUNT($B$15:$B107))</f>
        <v/>
      </c>
      <c r="B107" s="37"/>
      <c r="C107" s="38"/>
      <c r="D107" s="39"/>
      <c r="E107" s="36" t="str">
        <f aca="false">IF($D107="","",IFERROR(INDEX('통합 ④ 설정'!$A$6:$A$40,MATCH($D107,'통합 ④ 설정'!$B$6:$B$40,0)),"※없는 과목"))</f>
        <v/>
      </c>
      <c r="F107" s="36" t="str">
        <f aca="false">IF($D107="","",IFERROR(INDEX('통합 ④ 설정'!$C$6:$C$40,MATCH($D107,'통합 ④ 설정'!$B$6:$B$40,0)),""))</f>
        <v/>
      </c>
      <c r="G107" s="39"/>
      <c r="H107" s="39"/>
      <c r="I107" s="40"/>
      <c r="J107" s="41"/>
      <c r="K107" s="38"/>
      <c r="L107" s="42" t="str">
        <f aca="false">IF($B107="","",IF(AND(N($I107)=0,N($J107)=0),"금액이 없습니다",IF(AND($I107&gt;0,$J107&gt;0),"수입·지출 둘 다 적혔습니다",IF($C107="","결제수단을 고르십시오",IF(ISNA(MATCH($C107,'통합 ③ 통장·카드'!$A$5:$A$11,0)),"③ 통장·카드에 없는 결제수단입니다",IF($D107="","계정과목을 고르십시오",IF($E107="※없는 과목","④ 설정에 없는 과목입니다",IF(AND($E107="수입",$J107&gt;0),"수입 과목인데 지출에 적혔습니다",IF(AND(LEFT($E107,2)&lt;&gt;"수입",$E107&lt;&gt;"대체",$I107&gt;0),"지출 과목인데 수입에 적혔습니다",IF($K107="","증빙을 고르십시오",IF(AND($C107="바우처통장",$J107&gt;0,IFERROR(INDEX('통합 ④ 설정'!$E$6:$E$40,MATCH($D107,'통합 ④ 설정'!$B$6:$B$40,0)),"")&lt;&gt;"○"),"바우처통장 지출 — 목적 확인",IF($H107="","적요를 적으십시오",""))))))))))))</f>
        <v/>
      </c>
      <c r="M107" s="39"/>
      <c r="O107" s="11" t="str">
        <f aca="false">IF($B107="","",YEAR($B107)*100+MONTH($B107))</f>
        <v/>
      </c>
      <c r="P107" s="11" t="str">
        <f aca="false">IF($B107="","",IF($E107="대체",0,1))</f>
        <v/>
      </c>
    </row>
    <row r="108" customFormat="false" ht="15" hidden="false" customHeight="false" outlineLevel="0" collapsed="false">
      <c r="A108" s="36" t="str">
        <f aca="false">IF($B108="","",COUNT($B$15:$B108))</f>
        <v/>
      </c>
      <c r="B108" s="37"/>
      <c r="C108" s="38"/>
      <c r="D108" s="39"/>
      <c r="E108" s="36" t="str">
        <f aca="false">IF($D108="","",IFERROR(INDEX('통합 ④ 설정'!$A$6:$A$40,MATCH($D108,'통합 ④ 설정'!$B$6:$B$40,0)),"※없는 과목"))</f>
        <v/>
      </c>
      <c r="F108" s="36" t="str">
        <f aca="false">IF($D108="","",IFERROR(INDEX('통합 ④ 설정'!$C$6:$C$40,MATCH($D108,'통합 ④ 설정'!$B$6:$B$40,0)),""))</f>
        <v/>
      </c>
      <c r="G108" s="39"/>
      <c r="H108" s="39"/>
      <c r="I108" s="40"/>
      <c r="J108" s="41"/>
      <c r="K108" s="38"/>
      <c r="L108" s="42" t="str">
        <f aca="false">IF($B108="","",IF(AND(N($I108)=0,N($J108)=0),"금액이 없습니다",IF(AND($I108&gt;0,$J108&gt;0),"수입·지출 둘 다 적혔습니다",IF($C108="","결제수단을 고르십시오",IF(ISNA(MATCH($C108,'통합 ③ 통장·카드'!$A$5:$A$11,0)),"③ 통장·카드에 없는 결제수단입니다",IF($D108="","계정과목을 고르십시오",IF($E108="※없는 과목","④ 설정에 없는 과목입니다",IF(AND($E108="수입",$J108&gt;0),"수입 과목인데 지출에 적혔습니다",IF(AND(LEFT($E108,2)&lt;&gt;"수입",$E108&lt;&gt;"대체",$I108&gt;0),"지출 과목인데 수입에 적혔습니다",IF($K108="","증빙을 고르십시오",IF(AND($C108="바우처통장",$J108&gt;0,IFERROR(INDEX('통합 ④ 설정'!$E$6:$E$40,MATCH($D108,'통합 ④ 설정'!$B$6:$B$40,0)),"")&lt;&gt;"○"),"바우처통장 지출 — 목적 확인",IF($H108="","적요를 적으십시오",""))))))))))))</f>
        <v/>
      </c>
      <c r="M108" s="39"/>
      <c r="O108" s="11" t="str">
        <f aca="false">IF($B108="","",YEAR($B108)*100+MONTH($B108))</f>
        <v/>
      </c>
      <c r="P108" s="11" t="str">
        <f aca="false">IF($B108="","",IF($E108="대체",0,1))</f>
        <v/>
      </c>
    </row>
    <row r="109" customFormat="false" ht="15" hidden="false" customHeight="false" outlineLevel="0" collapsed="false">
      <c r="A109" s="36" t="str">
        <f aca="false">IF($B109="","",COUNT($B$15:$B109))</f>
        <v/>
      </c>
      <c r="B109" s="37"/>
      <c r="C109" s="38"/>
      <c r="D109" s="39"/>
      <c r="E109" s="36" t="str">
        <f aca="false">IF($D109="","",IFERROR(INDEX('통합 ④ 설정'!$A$6:$A$40,MATCH($D109,'통합 ④ 설정'!$B$6:$B$40,0)),"※없는 과목"))</f>
        <v/>
      </c>
      <c r="F109" s="36" t="str">
        <f aca="false">IF($D109="","",IFERROR(INDEX('통합 ④ 설정'!$C$6:$C$40,MATCH($D109,'통합 ④ 설정'!$B$6:$B$40,0)),""))</f>
        <v/>
      </c>
      <c r="G109" s="39"/>
      <c r="H109" s="39"/>
      <c r="I109" s="40"/>
      <c r="J109" s="41"/>
      <c r="K109" s="38"/>
      <c r="L109" s="42" t="str">
        <f aca="false">IF($B109="","",IF(AND(N($I109)=0,N($J109)=0),"금액이 없습니다",IF(AND($I109&gt;0,$J109&gt;0),"수입·지출 둘 다 적혔습니다",IF($C109="","결제수단을 고르십시오",IF(ISNA(MATCH($C109,'통합 ③ 통장·카드'!$A$5:$A$11,0)),"③ 통장·카드에 없는 결제수단입니다",IF($D109="","계정과목을 고르십시오",IF($E109="※없는 과목","④ 설정에 없는 과목입니다",IF(AND($E109="수입",$J109&gt;0),"수입 과목인데 지출에 적혔습니다",IF(AND(LEFT($E109,2)&lt;&gt;"수입",$E109&lt;&gt;"대체",$I109&gt;0),"지출 과목인데 수입에 적혔습니다",IF($K109="","증빙을 고르십시오",IF(AND($C109="바우처통장",$J109&gt;0,IFERROR(INDEX('통합 ④ 설정'!$E$6:$E$40,MATCH($D109,'통합 ④ 설정'!$B$6:$B$40,0)),"")&lt;&gt;"○"),"바우처통장 지출 — 목적 확인",IF($H109="","적요를 적으십시오",""))))))))))))</f>
        <v/>
      </c>
      <c r="M109" s="39"/>
      <c r="O109" s="11" t="str">
        <f aca="false">IF($B109="","",YEAR($B109)*100+MONTH($B109))</f>
        <v/>
      </c>
      <c r="P109" s="11" t="str">
        <f aca="false">IF($B109="","",IF($E109="대체",0,1))</f>
        <v/>
      </c>
    </row>
    <row r="110" customFormat="false" ht="15" hidden="false" customHeight="false" outlineLevel="0" collapsed="false">
      <c r="A110" s="36" t="str">
        <f aca="false">IF($B110="","",COUNT($B$15:$B110))</f>
        <v/>
      </c>
      <c r="B110" s="37"/>
      <c r="C110" s="38"/>
      <c r="D110" s="39"/>
      <c r="E110" s="36" t="str">
        <f aca="false">IF($D110="","",IFERROR(INDEX('통합 ④ 설정'!$A$6:$A$40,MATCH($D110,'통합 ④ 설정'!$B$6:$B$40,0)),"※없는 과목"))</f>
        <v/>
      </c>
      <c r="F110" s="36" t="str">
        <f aca="false">IF($D110="","",IFERROR(INDEX('통합 ④ 설정'!$C$6:$C$40,MATCH($D110,'통합 ④ 설정'!$B$6:$B$40,0)),""))</f>
        <v/>
      </c>
      <c r="G110" s="39"/>
      <c r="H110" s="39"/>
      <c r="I110" s="40"/>
      <c r="J110" s="41"/>
      <c r="K110" s="38"/>
      <c r="L110" s="42" t="str">
        <f aca="false">IF($B110="","",IF(AND(N($I110)=0,N($J110)=0),"금액이 없습니다",IF(AND($I110&gt;0,$J110&gt;0),"수입·지출 둘 다 적혔습니다",IF($C110="","결제수단을 고르십시오",IF(ISNA(MATCH($C110,'통합 ③ 통장·카드'!$A$5:$A$11,0)),"③ 통장·카드에 없는 결제수단입니다",IF($D110="","계정과목을 고르십시오",IF($E110="※없는 과목","④ 설정에 없는 과목입니다",IF(AND($E110="수입",$J110&gt;0),"수입 과목인데 지출에 적혔습니다",IF(AND(LEFT($E110,2)&lt;&gt;"수입",$E110&lt;&gt;"대체",$I110&gt;0),"지출 과목인데 수입에 적혔습니다",IF($K110="","증빙을 고르십시오",IF(AND($C110="바우처통장",$J110&gt;0,IFERROR(INDEX('통합 ④ 설정'!$E$6:$E$40,MATCH($D110,'통합 ④ 설정'!$B$6:$B$40,0)),"")&lt;&gt;"○"),"바우처통장 지출 — 목적 확인",IF($H110="","적요를 적으십시오",""))))))))))))</f>
        <v/>
      </c>
      <c r="M110" s="39"/>
      <c r="O110" s="11" t="str">
        <f aca="false">IF($B110="","",YEAR($B110)*100+MONTH($B110))</f>
        <v/>
      </c>
      <c r="P110" s="11" t="str">
        <f aca="false">IF($B110="","",IF($E110="대체",0,1))</f>
        <v/>
      </c>
    </row>
    <row r="111" customFormat="false" ht="15" hidden="false" customHeight="false" outlineLevel="0" collapsed="false">
      <c r="A111" s="36" t="str">
        <f aca="false">IF($B111="","",COUNT($B$15:$B111))</f>
        <v/>
      </c>
      <c r="B111" s="37"/>
      <c r="C111" s="38"/>
      <c r="D111" s="39"/>
      <c r="E111" s="36" t="str">
        <f aca="false">IF($D111="","",IFERROR(INDEX('통합 ④ 설정'!$A$6:$A$40,MATCH($D111,'통합 ④ 설정'!$B$6:$B$40,0)),"※없는 과목"))</f>
        <v/>
      </c>
      <c r="F111" s="36" t="str">
        <f aca="false">IF($D111="","",IFERROR(INDEX('통합 ④ 설정'!$C$6:$C$40,MATCH($D111,'통합 ④ 설정'!$B$6:$B$40,0)),""))</f>
        <v/>
      </c>
      <c r="G111" s="39"/>
      <c r="H111" s="39"/>
      <c r="I111" s="40"/>
      <c r="J111" s="41"/>
      <c r="K111" s="38"/>
      <c r="L111" s="42" t="str">
        <f aca="false">IF($B111="","",IF(AND(N($I111)=0,N($J111)=0),"금액이 없습니다",IF(AND($I111&gt;0,$J111&gt;0),"수입·지출 둘 다 적혔습니다",IF($C111="","결제수단을 고르십시오",IF(ISNA(MATCH($C111,'통합 ③ 통장·카드'!$A$5:$A$11,0)),"③ 통장·카드에 없는 결제수단입니다",IF($D111="","계정과목을 고르십시오",IF($E111="※없는 과목","④ 설정에 없는 과목입니다",IF(AND($E111="수입",$J111&gt;0),"수입 과목인데 지출에 적혔습니다",IF(AND(LEFT($E111,2)&lt;&gt;"수입",$E111&lt;&gt;"대체",$I111&gt;0),"지출 과목인데 수입에 적혔습니다",IF($K111="","증빙을 고르십시오",IF(AND($C111="바우처통장",$J111&gt;0,IFERROR(INDEX('통합 ④ 설정'!$E$6:$E$40,MATCH($D111,'통합 ④ 설정'!$B$6:$B$40,0)),"")&lt;&gt;"○"),"바우처통장 지출 — 목적 확인",IF($H111="","적요를 적으십시오",""))))))))))))</f>
        <v/>
      </c>
      <c r="M111" s="39"/>
      <c r="O111" s="11" t="str">
        <f aca="false">IF($B111="","",YEAR($B111)*100+MONTH($B111))</f>
        <v/>
      </c>
      <c r="P111" s="11" t="str">
        <f aca="false">IF($B111="","",IF($E111="대체",0,1))</f>
        <v/>
      </c>
    </row>
    <row r="112" customFormat="false" ht="15" hidden="false" customHeight="false" outlineLevel="0" collapsed="false">
      <c r="A112" s="36" t="str">
        <f aca="false">IF($B112="","",COUNT($B$15:$B112))</f>
        <v/>
      </c>
      <c r="B112" s="37"/>
      <c r="C112" s="38"/>
      <c r="D112" s="39"/>
      <c r="E112" s="36" t="str">
        <f aca="false">IF($D112="","",IFERROR(INDEX('통합 ④ 설정'!$A$6:$A$40,MATCH($D112,'통합 ④ 설정'!$B$6:$B$40,0)),"※없는 과목"))</f>
        <v/>
      </c>
      <c r="F112" s="36" t="str">
        <f aca="false">IF($D112="","",IFERROR(INDEX('통합 ④ 설정'!$C$6:$C$40,MATCH($D112,'통합 ④ 설정'!$B$6:$B$40,0)),""))</f>
        <v/>
      </c>
      <c r="G112" s="39"/>
      <c r="H112" s="39"/>
      <c r="I112" s="40"/>
      <c r="J112" s="41"/>
      <c r="K112" s="38"/>
      <c r="L112" s="42" t="str">
        <f aca="false">IF($B112="","",IF(AND(N($I112)=0,N($J112)=0),"금액이 없습니다",IF(AND($I112&gt;0,$J112&gt;0),"수입·지출 둘 다 적혔습니다",IF($C112="","결제수단을 고르십시오",IF(ISNA(MATCH($C112,'통합 ③ 통장·카드'!$A$5:$A$11,0)),"③ 통장·카드에 없는 결제수단입니다",IF($D112="","계정과목을 고르십시오",IF($E112="※없는 과목","④ 설정에 없는 과목입니다",IF(AND($E112="수입",$J112&gt;0),"수입 과목인데 지출에 적혔습니다",IF(AND(LEFT($E112,2)&lt;&gt;"수입",$E112&lt;&gt;"대체",$I112&gt;0),"지출 과목인데 수입에 적혔습니다",IF($K112="","증빙을 고르십시오",IF(AND($C112="바우처통장",$J112&gt;0,IFERROR(INDEX('통합 ④ 설정'!$E$6:$E$40,MATCH($D112,'통합 ④ 설정'!$B$6:$B$40,0)),"")&lt;&gt;"○"),"바우처통장 지출 — 목적 확인",IF($H112="","적요를 적으십시오",""))))))))))))</f>
        <v/>
      </c>
      <c r="M112" s="39"/>
      <c r="O112" s="11" t="str">
        <f aca="false">IF($B112="","",YEAR($B112)*100+MONTH($B112))</f>
        <v/>
      </c>
      <c r="P112" s="11" t="str">
        <f aca="false">IF($B112="","",IF($E112="대체",0,1))</f>
        <v/>
      </c>
    </row>
    <row r="113" customFormat="false" ht="15" hidden="false" customHeight="false" outlineLevel="0" collapsed="false">
      <c r="A113" s="36" t="str">
        <f aca="false">IF($B113="","",COUNT($B$15:$B113))</f>
        <v/>
      </c>
      <c r="B113" s="37"/>
      <c r="C113" s="38"/>
      <c r="D113" s="39"/>
      <c r="E113" s="36" t="str">
        <f aca="false">IF($D113="","",IFERROR(INDEX('통합 ④ 설정'!$A$6:$A$40,MATCH($D113,'통합 ④ 설정'!$B$6:$B$40,0)),"※없는 과목"))</f>
        <v/>
      </c>
      <c r="F113" s="36" t="str">
        <f aca="false">IF($D113="","",IFERROR(INDEX('통합 ④ 설정'!$C$6:$C$40,MATCH($D113,'통합 ④ 설정'!$B$6:$B$40,0)),""))</f>
        <v/>
      </c>
      <c r="G113" s="39"/>
      <c r="H113" s="39"/>
      <c r="I113" s="40"/>
      <c r="J113" s="41"/>
      <c r="K113" s="38"/>
      <c r="L113" s="42" t="str">
        <f aca="false">IF($B113="","",IF(AND(N($I113)=0,N($J113)=0),"금액이 없습니다",IF(AND($I113&gt;0,$J113&gt;0),"수입·지출 둘 다 적혔습니다",IF($C113="","결제수단을 고르십시오",IF(ISNA(MATCH($C113,'통합 ③ 통장·카드'!$A$5:$A$11,0)),"③ 통장·카드에 없는 결제수단입니다",IF($D113="","계정과목을 고르십시오",IF($E113="※없는 과목","④ 설정에 없는 과목입니다",IF(AND($E113="수입",$J113&gt;0),"수입 과목인데 지출에 적혔습니다",IF(AND(LEFT($E113,2)&lt;&gt;"수입",$E113&lt;&gt;"대체",$I113&gt;0),"지출 과목인데 수입에 적혔습니다",IF($K113="","증빙을 고르십시오",IF(AND($C113="바우처통장",$J113&gt;0,IFERROR(INDEX('통합 ④ 설정'!$E$6:$E$40,MATCH($D113,'통합 ④ 설정'!$B$6:$B$40,0)),"")&lt;&gt;"○"),"바우처통장 지출 — 목적 확인",IF($H113="","적요를 적으십시오",""))))))))))))</f>
        <v/>
      </c>
      <c r="M113" s="39"/>
      <c r="O113" s="11" t="str">
        <f aca="false">IF($B113="","",YEAR($B113)*100+MONTH($B113))</f>
        <v/>
      </c>
      <c r="P113" s="11" t="str">
        <f aca="false">IF($B113="","",IF($E113="대체",0,1))</f>
        <v/>
      </c>
    </row>
    <row r="114" customFormat="false" ht="15" hidden="false" customHeight="false" outlineLevel="0" collapsed="false">
      <c r="A114" s="36" t="str">
        <f aca="false">IF($B114="","",COUNT($B$15:$B114))</f>
        <v/>
      </c>
      <c r="B114" s="37"/>
      <c r="C114" s="38"/>
      <c r="D114" s="39"/>
      <c r="E114" s="36" t="str">
        <f aca="false">IF($D114="","",IFERROR(INDEX('통합 ④ 설정'!$A$6:$A$40,MATCH($D114,'통합 ④ 설정'!$B$6:$B$40,0)),"※없는 과목"))</f>
        <v/>
      </c>
      <c r="F114" s="36" t="str">
        <f aca="false">IF($D114="","",IFERROR(INDEX('통합 ④ 설정'!$C$6:$C$40,MATCH($D114,'통합 ④ 설정'!$B$6:$B$40,0)),""))</f>
        <v/>
      </c>
      <c r="G114" s="39"/>
      <c r="H114" s="39"/>
      <c r="I114" s="40"/>
      <c r="J114" s="41"/>
      <c r="K114" s="38"/>
      <c r="L114" s="42" t="str">
        <f aca="false">IF($B114="","",IF(AND(N($I114)=0,N($J114)=0),"금액이 없습니다",IF(AND($I114&gt;0,$J114&gt;0),"수입·지출 둘 다 적혔습니다",IF($C114="","결제수단을 고르십시오",IF(ISNA(MATCH($C114,'통합 ③ 통장·카드'!$A$5:$A$11,0)),"③ 통장·카드에 없는 결제수단입니다",IF($D114="","계정과목을 고르십시오",IF($E114="※없는 과목","④ 설정에 없는 과목입니다",IF(AND($E114="수입",$J114&gt;0),"수입 과목인데 지출에 적혔습니다",IF(AND(LEFT($E114,2)&lt;&gt;"수입",$E114&lt;&gt;"대체",$I114&gt;0),"지출 과목인데 수입에 적혔습니다",IF($K114="","증빙을 고르십시오",IF(AND($C114="바우처통장",$J114&gt;0,IFERROR(INDEX('통합 ④ 설정'!$E$6:$E$40,MATCH($D114,'통합 ④ 설정'!$B$6:$B$40,0)),"")&lt;&gt;"○"),"바우처통장 지출 — 목적 확인",IF($H114="","적요를 적으십시오",""))))))))))))</f>
        <v/>
      </c>
      <c r="M114" s="39"/>
      <c r="O114" s="11" t="str">
        <f aca="false">IF($B114="","",YEAR($B114)*100+MONTH($B114))</f>
        <v/>
      </c>
      <c r="P114" s="11" t="str">
        <f aca="false">IF($B114="","",IF($E114="대체",0,1))</f>
        <v/>
      </c>
    </row>
    <row r="115" customFormat="false" ht="15" hidden="false" customHeight="false" outlineLevel="0" collapsed="false">
      <c r="A115" s="36" t="str">
        <f aca="false">IF($B115="","",COUNT($B$15:$B115))</f>
        <v/>
      </c>
      <c r="B115" s="37"/>
      <c r="C115" s="38"/>
      <c r="D115" s="39"/>
      <c r="E115" s="36" t="str">
        <f aca="false">IF($D115="","",IFERROR(INDEX('통합 ④ 설정'!$A$6:$A$40,MATCH($D115,'통합 ④ 설정'!$B$6:$B$40,0)),"※없는 과목"))</f>
        <v/>
      </c>
      <c r="F115" s="36" t="str">
        <f aca="false">IF($D115="","",IFERROR(INDEX('통합 ④ 설정'!$C$6:$C$40,MATCH($D115,'통합 ④ 설정'!$B$6:$B$40,0)),""))</f>
        <v/>
      </c>
      <c r="G115" s="39"/>
      <c r="H115" s="39"/>
      <c r="I115" s="40"/>
      <c r="J115" s="41"/>
      <c r="K115" s="38"/>
      <c r="L115" s="42" t="str">
        <f aca="false">IF($B115="","",IF(AND(N($I115)=0,N($J115)=0),"금액이 없습니다",IF(AND($I115&gt;0,$J115&gt;0),"수입·지출 둘 다 적혔습니다",IF($C115="","결제수단을 고르십시오",IF(ISNA(MATCH($C115,'통합 ③ 통장·카드'!$A$5:$A$11,0)),"③ 통장·카드에 없는 결제수단입니다",IF($D115="","계정과목을 고르십시오",IF($E115="※없는 과목","④ 설정에 없는 과목입니다",IF(AND($E115="수입",$J115&gt;0),"수입 과목인데 지출에 적혔습니다",IF(AND(LEFT($E115,2)&lt;&gt;"수입",$E115&lt;&gt;"대체",$I115&gt;0),"지출 과목인데 수입에 적혔습니다",IF($K115="","증빙을 고르십시오",IF(AND($C115="바우처통장",$J115&gt;0,IFERROR(INDEX('통합 ④ 설정'!$E$6:$E$40,MATCH($D115,'통합 ④ 설정'!$B$6:$B$40,0)),"")&lt;&gt;"○"),"바우처통장 지출 — 목적 확인",IF($H115="","적요를 적으십시오",""))))))))))))</f>
        <v/>
      </c>
      <c r="M115" s="39"/>
      <c r="O115" s="11" t="str">
        <f aca="false">IF($B115="","",YEAR($B115)*100+MONTH($B115))</f>
        <v/>
      </c>
      <c r="P115" s="11" t="str">
        <f aca="false">IF($B115="","",IF($E115="대체",0,1))</f>
        <v/>
      </c>
    </row>
    <row r="116" customFormat="false" ht="15" hidden="false" customHeight="false" outlineLevel="0" collapsed="false">
      <c r="A116" s="36" t="str">
        <f aca="false">IF($B116="","",COUNT($B$15:$B116))</f>
        <v/>
      </c>
      <c r="B116" s="37"/>
      <c r="C116" s="38"/>
      <c r="D116" s="39"/>
      <c r="E116" s="36" t="str">
        <f aca="false">IF($D116="","",IFERROR(INDEX('통합 ④ 설정'!$A$6:$A$40,MATCH($D116,'통합 ④ 설정'!$B$6:$B$40,0)),"※없는 과목"))</f>
        <v/>
      </c>
      <c r="F116" s="36" t="str">
        <f aca="false">IF($D116="","",IFERROR(INDEX('통합 ④ 설정'!$C$6:$C$40,MATCH($D116,'통합 ④ 설정'!$B$6:$B$40,0)),""))</f>
        <v/>
      </c>
      <c r="G116" s="39"/>
      <c r="H116" s="39"/>
      <c r="I116" s="40"/>
      <c r="J116" s="41"/>
      <c r="K116" s="38"/>
      <c r="L116" s="42" t="str">
        <f aca="false">IF($B116="","",IF(AND(N($I116)=0,N($J116)=0),"금액이 없습니다",IF(AND($I116&gt;0,$J116&gt;0),"수입·지출 둘 다 적혔습니다",IF($C116="","결제수단을 고르십시오",IF(ISNA(MATCH($C116,'통합 ③ 통장·카드'!$A$5:$A$11,0)),"③ 통장·카드에 없는 결제수단입니다",IF($D116="","계정과목을 고르십시오",IF($E116="※없는 과목","④ 설정에 없는 과목입니다",IF(AND($E116="수입",$J116&gt;0),"수입 과목인데 지출에 적혔습니다",IF(AND(LEFT($E116,2)&lt;&gt;"수입",$E116&lt;&gt;"대체",$I116&gt;0),"지출 과목인데 수입에 적혔습니다",IF($K116="","증빙을 고르십시오",IF(AND($C116="바우처통장",$J116&gt;0,IFERROR(INDEX('통합 ④ 설정'!$E$6:$E$40,MATCH($D116,'통합 ④ 설정'!$B$6:$B$40,0)),"")&lt;&gt;"○"),"바우처통장 지출 — 목적 확인",IF($H116="","적요를 적으십시오",""))))))))))))</f>
        <v/>
      </c>
      <c r="M116" s="39"/>
      <c r="O116" s="11" t="str">
        <f aca="false">IF($B116="","",YEAR($B116)*100+MONTH($B116))</f>
        <v/>
      </c>
      <c r="P116" s="11" t="str">
        <f aca="false">IF($B116="","",IF($E116="대체",0,1))</f>
        <v/>
      </c>
    </row>
    <row r="117" customFormat="false" ht="15" hidden="false" customHeight="false" outlineLevel="0" collapsed="false">
      <c r="A117" s="36" t="str">
        <f aca="false">IF($B117="","",COUNT($B$15:$B117))</f>
        <v/>
      </c>
      <c r="B117" s="37"/>
      <c r="C117" s="38"/>
      <c r="D117" s="39"/>
      <c r="E117" s="36" t="str">
        <f aca="false">IF($D117="","",IFERROR(INDEX('통합 ④ 설정'!$A$6:$A$40,MATCH($D117,'통합 ④ 설정'!$B$6:$B$40,0)),"※없는 과목"))</f>
        <v/>
      </c>
      <c r="F117" s="36" t="str">
        <f aca="false">IF($D117="","",IFERROR(INDEX('통합 ④ 설정'!$C$6:$C$40,MATCH($D117,'통합 ④ 설정'!$B$6:$B$40,0)),""))</f>
        <v/>
      </c>
      <c r="G117" s="39"/>
      <c r="H117" s="39"/>
      <c r="I117" s="40"/>
      <c r="J117" s="41"/>
      <c r="K117" s="38"/>
      <c r="L117" s="42" t="str">
        <f aca="false">IF($B117="","",IF(AND(N($I117)=0,N($J117)=0),"금액이 없습니다",IF(AND($I117&gt;0,$J117&gt;0),"수입·지출 둘 다 적혔습니다",IF($C117="","결제수단을 고르십시오",IF(ISNA(MATCH($C117,'통합 ③ 통장·카드'!$A$5:$A$11,0)),"③ 통장·카드에 없는 결제수단입니다",IF($D117="","계정과목을 고르십시오",IF($E117="※없는 과목","④ 설정에 없는 과목입니다",IF(AND($E117="수입",$J117&gt;0),"수입 과목인데 지출에 적혔습니다",IF(AND(LEFT($E117,2)&lt;&gt;"수입",$E117&lt;&gt;"대체",$I117&gt;0),"지출 과목인데 수입에 적혔습니다",IF($K117="","증빙을 고르십시오",IF(AND($C117="바우처통장",$J117&gt;0,IFERROR(INDEX('통합 ④ 설정'!$E$6:$E$40,MATCH($D117,'통합 ④ 설정'!$B$6:$B$40,0)),"")&lt;&gt;"○"),"바우처통장 지출 — 목적 확인",IF($H117="","적요를 적으십시오",""))))))))))))</f>
        <v/>
      </c>
      <c r="M117" s="39"/>
      <c r="O117" s="11" t="str">
        <f aca="false">IF($B117="","",YEAR($B117)*100+MONTH($B117))</f>
        <v/>
      </c>
      <c r="P117" s="11" t="str">
        <f aca="false">IF($B117="","",IF($E117="대체",0,1))</f>
        <v/>
      </c>
    </row>
    <row r="118" customFormat="false" ht="15" hidden="false" customHeight="false" outlineLevel="0" collapsed="false">
      <c r="A118" s="36" t="str">
        <f aca="false">IF($B118="","",COUNT($B$15:$B118))</f>
        <v/>
      </c>
      <c r="B118" s="37"/>
      <c r="C118" s="38"/>
      <c r="D118" s="39"/>
      <c r="E118" s="36" t="str">
        <f aca="false">IF($D118="","",IFERROR(INDEX('통합 ④ 설정'!$A$6:$A$40,MATCH($D118,'통합 ④ 설정'!$B$6:$B$40,0)),"※없는 과목"))</f>
        <v/>
      </c>
      <c r="F118" s="36" t="str">
        <f aca="false">IF($D118="","",IFERROR(INDEX('통합 ④ 설정'!$C$6:$C$40,MATCH($D118,'통합 ④ 설정'!$B$6:$B$40,0)),""))</f>
        <v/>
      </c>
      <c r="G118" s="39"/>
      <c r="H118" s="39"/>
      <c r="I118" s="40"/>
      <c r="J118" s="41"/>
      <c r="K118" s="38"/>
      <c r="L118" s="42" t="str">
        <f aca="false">IF($B118="","",IF(AND(N($I118)=0,N($J118)=0),"금액이 없습니다",IF(AND($I118&gt;0,$J118&gt;0),"수입·지출 둘 다 적혔습니다",IF($C118="","결제수단을 고르십시오",IF(ISNA(MATCH($C118,'통합 ③ 통장·카드'!$A$5:$A$11,0)),"③ 통장·카드에 없는 결제수단입니다",IF($D118="","계정과목을 고르십시오",IF($E118="※없는 과목","④ 설정에 없는 과목입니다",IF(AND($E118="수입",$J118&gt;0),"수입 과목인데 지출에 적혔습니다",IF(AND(LEFT($E118,2)&lt;&gt;"수입",$E118&lt;&gt;"대체",$I118&gt;0),"지출 과목인데 수입에 적혔습니다",IF($K118="","증빙을 고르십시오",IF(AND($C118="바우처통장",$J118&gt;0,IFERROR(INDEX('통합 ④ 설정'!$E$6:$E$40,MATCH($D118,'통합 ④ 설정'!$B$6:$B$40,0)),"")&lt;&gt;"○"),"바우처통장 지출 — 목적 확인",IF($H118="","적요를 적으십시오",""))))))))))))</f>
        <v/>
      </c>
      <c r="M118" s="39"/>
      <c r="O118" s="11" t="str">
        <f aca="false">IF($B118="","",YEAR($B118)*100+MONTH($B118))</f>
        <v/>
      </c>
      <c r="P118" s="11" t="str">
        <f aca="false">IF($B118="","",IF($E118="대체",0,1))</f>
        <v/>
      </c>
    </row>
    <row r="119" customFormat="false" ht="15" hidden="false" customHeight="false" outlineLevel="0" collapsed="false">
      <c r="A119" s="36" t="str">
        <f aca="false">IF($B119="","",COUNT($B$15:$B119))</f>
        <v/>
      </c>
      <c r="B119" s="37"/>
      <c r="C119" s="38"/>
      <c r="D119" s="39"/>
      <c r="E119" s="36" t="str">
        <f aca="false">IF($D119="","",IFERROR(INDEX('통합 ④ 설정'!$A$6:$A$40,MATCH($D119,'통합 ④ 설정'!$B$6:$B$40,0)),"※없는 과목"))</f>
        <v/>
      </c>
      <c r="F119" s="36" t="str">
        <f aca="false">IF($D119="","",IFERROR(INDEX('통합 ④ 설정'!$C$6:$C$40,MATCH($D119,'통합 ④ 설정'!$B$6:$B$40,0)),""))</f>
        <v/>
      </c>
      <c r="G119" s="39"/>
      <c r="H119" s="39"/>
      <c r="I119" s="40"/>
      <c r="J119" s="41"/>
      <c r="K119" s="38"/>
      <c r="L119" s="42" t="str">
        <f aca="false">IF($B119="","",IF(AND(N($I119)=0,N($J119)=0),"금액이 없습니다",IF(AND($I119&gt;0,$J119&gt;0),"수입·지출 둘 다 적혔습니다",IF($C119="","결제수단을 고르십시오",IF(ISNA(MATCH($C119,'통합 ③ 통장·카드'!$A$5:$A$11,0)),"③ 통장·카드에 없는 결제수단입니다",IF($D119="","계정과목을 고르십시오",IF($E119="※없는 과목","④ 설정에 없는 과목입니다",IF(AND($E119="수입",$J119&gt;0),"수입 과목인데 지출에 적혔습니다",IF(AND(LEFT($E119,2)&lt;&gt;"수입",$E119&lt;&gt;"대체",$I119&gt;0),"지출 과목인데 수입에 적혔습니다",IF($K119="","증빙을 고르십시오",IF(AND($C119="바우처통장",$J119&gt;0,IFERROR(INDEX('통합 ④ 설정'!$E$6:$E$40,MATCH($D119,'통합 ④ 설정'!$B$6:$B$40,0)),"")&lt;&gt;"○"),"바우처통장 지출 — 목적 확인",IF($H119="","적요를 적으십시오",""))))))))))))</f>
        <v/>
      </c>
      <c r="M119" s="39"/>
      <c r="O119" s="11" t="str">
        <f aca="false">IF($B119="","",YEAR($B119)*100+MONTH($B119))</f>
        <v/>
      </c>
      <c r="P119" s="11" t="str">
        <f aca="false">IF($B119="","",IF($E119="대체",0,1))</f>
        <v/>
      </c>
    </row>
    <row r="120" customFormat="false" ht="15" hidden="false" customHeight="false" outlineLevel="0" collapsed="false">
      <c r="A120" s="36" t="str">
        <f aca="false">IF($B120="","",COUNT($B$15:$B120))</f>
        <v/>
      </c>
      <c r="B120" s="37"/>
      <c r="C120" s="38"/>
      <c r="D120" s="39"/>
      <c r="E120" s="36" t="str">
        <f aca="false">IF($D120="","",IFERROR(INDEX('통합 ④ 설정'!$A$6:$A$40,MATCH($D120,'통합 ④ 설정'!$B$6:$B$40,0)),"※없는 과목"))</f>
        <v/>
      </c>
      <c r="F120" s="36" t="str">
        <f aca="false">IF($D120="","",IFERROR(INDEX('통합 ④ 설정'!$C$6:$C$40,MATCH($D120,'통합 ④ 설정'!$B$6:$B$40,0)),""))</f>
        <v/>
      </c>
      <c r="G120" s="39"/>
      <c r="H120" s="39"/>
      <c r="I120" s="40"/>
      <c r="J120" s="41"/>
      <c r="K120" s="38"/>
      <c r="L120" s="42" t="str">
        <f aca="false">IF($B120="","",IF(AND(N($I120)=0,N($J120)=0),"금액이 없습니다",IF(AND($I120&gt;0,$J120&gt;0),"수입·지출 둘 다 적혔습니다",IF($C120="","결제수단을 고르십시오",IF(ISNA(MATCH($C120,'통합 ③ 통장·카드'!$A$5:$A$11,0)),"③ 통장·카드에 없는 결제수단입니다",IF($D120="","계정과목을 고르십시오",IF($E120="※없는 과목","④ 설정에 없는 과목입니다",IF(AND($E120="수입",$J120&gt;0),"수입 과목인데 지출에 적혔습니다",IF(AND(LEFT($E120,2)&lt;&gt;"수입",$E120&lt;&gt;"대체",$I120&gt;0),"지출 과목인데 수입에 적혔습니다",IF($K120="","증빙을 고르십시오",IF(AND($C120="바우처통장",$J120&gt;0,IFERROR(INDEX('통합 ④ 설정'!$E$6:$E$40,MATCH($D120,'통합 ④ 설정'!$B$6:$B$40,0)),"")&lt;&gt;"○"),"바우처통장 지출 — 목적 확인",IF($H120="","적요를 적으십시오",""))))))))))))</f>
        <v/>
      </c>
      <c r="M120" s="39"/>
      <c r="O120" s="11" t="str">
        <f aca="false">IF($B120="","",YEAR($B120)*100+MONTH($B120))</f>
        <v/>
      </c>
      <c r="P120" s="11" t="str">
        <f aca="false">IF($B120="","",IF($E120="대체",0,1))</f>
        <v/>
      </c>
    </row>
    <row r="121" customFormat="false" ht="15" hidden="false" customHeight="false" outlineLevel="0" collapsed="false">
      <c r="A121" s="36" t="str">
        <f aca="false">IF($B121="","",COUNT($B$15:$B121))</f>
        <v/>
      </c>
      <c r="B121" s="37"/>
      <c r="C121" s="38"/>
      <c r="D121" s="39"/>
      <c r="E121" s="36" t="str">
        <f aca="false">IF($D121="","",IFERROR(INDEX('통합 ④ 설정'!$A$6:$A$40,MATCH($D121,'통합 ④ 설정'!$B$6:$B$40,0)),"※없는 과목"))</f>
        <v/>
      </c>
      <c r="F121" s="36" t="str">
        <f aca="false">IF($D121="","",IFERROR(INDEX('통합 ④ 설정'!$C$6:$C$40,MATCH($D121,'통합 ④ 설정'!$B$6:$B$40,0)),""))</f>
        <v/>
      </c>
      <c r="G121" s="39"/>
      <c r="H121" s="39"/>
      <c r="I121" s="40"/>
      <c r="J121" s="41"/>
      <c r="K121" s="38"/>
      <c r="L121" s="42" t="str">
        <f aca="false">IF($B121="","",IF(AND(N($I121)=0,N($J121)=0),"금액이 없습니다",IF(AND($I121&gt;0,$J121&gt;0),"수입·지출 둘 다 적혔습니다",IF($C121="","결제수단을 고르십시오",IF(ISNA(MATCH($C121,'통합 ③ 통장·카드'!$A$5:$A$11,0)),"③ 통장·카드에 없는 결제수단입니다",IF($D121="","계정과목을 고르십시오",IF($E121="※없는 과목","④ 설정에 없는 과목입니다",IF(AND($E121="수입",$J121&gt;0),"수입 과목인데 지출에 적혔습니다",IF(AND(LEFT($E121,2)&lt;&gt;"수입",$E121&lt;&gt;"대체",$I121&gt;0),"지출 과목인데 수입에 적혔습니다",IF($K121="","증빙을 고르십시오",IF(AND($C121="바우처통장",$J121&gt;0,IFERROR(INDEX('통합 ④ 설정'!$E$6:$E$40,MATCH($D121,'통합 ④ 설정'!$B$6:$B$40,0)),"")&lt;&gt;"○"),"바우처통장 지출 — 목적 확인",IF($H121="","적요를 적으십시오",""))))))))))))</f>
        <v/>
      </c>
      <c r="M121" s="39"/>
      <c r="O121" s="11" t="str">
        <f aca="false">IF($B121="","",YEAR($B121)*100+MONTH($B121))</f>
        <v/>
      </c>
      <c r="P121" s="11" t="str">
        <f aca="false">IF($B121="","",IF($E121="대체",0,1))</f>
        <v/>
      </c>
    </row>
    <row r="122" customFormat="false" ht="15" hidden="false" customHeight="false" outlineLevel="0" collapsed="false">
      <c r="A122" s="36" t="str">
        <f aca="false">IF($B122="","",COUNT($B$15:$B122))</f>
        <v/>
      </c>
      <c r="B122" s="37"/>
      <c r="C122" s="38"/>
      <c r="D122" s="39"/>
      <c r="E122" s="36" t="str">
        <f aca="false">IF($D122="","",IFERROR(INDEX('통합 ④ 설정'!$A$6:$A$40,MATCH($D122,'통합 ④ 설정'!$B$6:$B$40,0)),"※없는 과목"))</f>
        <v/>
      </c>
      <c r="F122" s="36" t="str">
        <f aca="false">IF($D122="","",IFERROR(INDEX('통합 ④ 설정'!$C$6:$C$40,MATCH($D122,'통합 ④ 설정'!$B$6:$B$40,0)),""))</f>
        <v/>
      </c>
      <c r="G122" s="39"/>
      <c r="H122" s="39"/>
      <c r="I122" s="40"/>
      <c r="J122" s="41"/>
      <c r="K122" s="38"/>
      <c r="L122" s="42" t="str">
        <f aca="false">IF($B122="","",IF(AND(N($I122)=0,N($J122)=0),"금액이 없습니다",IF(AND($I122&gt;0,$J122&gt;0),"수입·지출 둘 다 적혔습니다",IF($C122="","결제수단을 고르십시오",IF(ISNA(MATCH($C122,'통합 ③ 통장·카드'!$A$5:$A$11,0)),"③ 통장·카드에 없는 결제수단입니다",IF($D122="","계정과목을 고르십시오",IF($E122="※없는 과목","④ 설정에 없는 과목입니다",IF(AND($E122="수입",$J122&gt;0),"수입 과목인데 지출에 적혔습니다",IF(AND(LEFT($E122,2)&lt;&gt;"수입",$E122&lt;&gt;"대체",$I122&gt;0),"지출 과목인데 수입에 적혔습니다",IF($K122="","증빙을 고르십시오",IF(AND($C122="바우처통장",$J122&gt;0,IFERROR(INDEX('통합 ④ 설정'!$E$6:$E$40,MATCH($D122,'통합 ④ 설정'!$B$6:$B$40,0)),"")&lt;&gt;"○"),"바우처통장 지출 — 목적 확인",IF($H122="","적요를 적으십시오",""))))))))))))</f>
        <v/>
      </c>
      <c r="M122" s="39"/>
      <c r="O122" s="11" t="str">
        <f aca="false">IF($B122="","",YEAR($B122)*100+MONTH($B122))</f>
        <v/>
      </c>
      <c r="P122" s="11" t="str">
        <f aca="false">IF($B122="","",IF($E122="대체",0,1))</f>
        <v/>
      </c>
    </row>
    <row r="123" customFormat="false" ht="15" hidden="false" customHeight="false" outlineLevel="0" collapsed="false">
      <c r="A123" s="36" t="str">
        <f aca="false">IF($B123="","",COUNT($B$15:$B123))</f>
        <v/>
      </c>
      <c r="B123" s="37"/>
      <c r="C123" s="38"/>
      <c r="D123" s="39"/>
      <c r="E123" s="36" t="str">
        <f aca="false">IF($D123="","",IFERROR(INDEX('통합 ④ 설정'!$A$6:$A$40,MATCH($D123,'통합 ④ 설정'!$B$6:$B$40,0)),"※없는 과목"))</f>
        <v/>
      </c>
      <c r="F123" s="36" t="str">
        <f aca="false">IF($D123="","",IFERROR(INDEX('통합 ④ 설정'!$C$6:$C$40,MATCH($D123,'통합 ④ 설정'!$B$6:$B$40,0)),""))</f>
        <v/>
      </c>
      <c r="G123" s="39"/>
      <c r="H123" s="39"/>
      <c r="I123" s="40"/>
      <c r="J123" s="41"/>
      <c r="K123" s="38"/>
      <c r="L123" s="42" t="str">
        <f aca="false">IF($B123="","",IF(AND(N($I123)=0,N($J123)=0),"금액이 없습니다",IF(AND($I123&gt;0,$J123&gt;0),"수입·지출 둘 다 적혔습니다",IF($C123="","결제수단을 고르십시오",IF(ISNA(MATCH($C123,'통합 ③ 통장·카드'!$A$5:$A$11,0)),"③ 통장·카드에 없는 결제수단입니다",IF($D123="","계정과목을 고르십시오",IF($E123="※없는 과목","④ 설정에 없는 과목입니다",IF(AND($E123="수입",$J123&gt;0),"수입 과목인데 지출에 적혔습니다",IF(AND(LEFT($E123,2)&lt;&gt;"수입",$E123&lt;&gt;"대체",$I123&gt;0),"지출 과목인데 수입에 적혔습니다",IF($K123="","증빙을 고르십시오",IF(AND($C123="바우처통장",$J123&gt;0,IFERROR(INDEX('통합 ④ 설정'!$E$6:$E$40,MATCH($D123,'통합 ④ 설정'!$B$6:$B$40,0)),"")&lt;&gt;"○"),"바우처통장 지출 — 목적 확인",IF($H123="","적요를 적으십시오",""))))))))))))</f>
        <v/>
      </c>
      <c r="M123" s="39"/>
      <c r="O123" s="11" t="str">
        <f aca="false">IF($B123="","",YEAR($B123)*100+MONTH($B123))</f>
        <v/>
      </c>
      <c r="P123" s="11" t="str">
        <f aca="false">IF($B123="","",IF($E123="대체",0,1))</f>
        <v/>
      </c>
    </row>
    <row r="124" customFormat="false" ht="15" hidden="false" customHeight="false" outlineLevel="0" collapsed="false">
      <c r="A124" s="36" t="str">
        <f aca="false">IF($B124="","",COUNT($B$15:$B124))</f>
        <v/>
      </c>
      <c r="B124" s="37"/>
      <c r="C124" s="38"/>
      <c r="D124" s="39"/>
      <c r="E124" s="36" t="str">
        <f aca="false">IF($D124="","",IFERROR(INDEX('통합 ④ 설정'!$A$6:$A$40,MATCH($D124,'통합 ④ 설정'!$B$6:$B$40,0)),"※없는 과목"))</f>
        <v/>
      </c>
      <c r="F124" s="36" t="str">
        <f aca="false">IF($D124="","",IFERROR(INDEX('통합 ④ 설정'!$C$6:$C$40,MATCH($D124,'통합 ④ 설정'!$B$6:$B$40,0)),""))</f>
        <v/>
      </c>
      <c r="G124" s="39"/>
      <c r="H124" s="39"/>
      <c r="I124" s="40"/>
      <c r="J124" s="41"/>
      <c r="K124" s="38"/>
      <c r="L124" s="42" t="str">
        <f aca="false">IF($B124="","",IF(AND(N($I124)=0,N($J124)=0),"금액이 없습니다",IF(AND($I124&gt;0,$J124&gt;0),"수입·지출 둘 다 적혔습니다",IF($C124="","결제수단을 고르십시오",IF(ISNA(MATCH($C124,'통합 ③ 통장·카드'!$A$5:$A$11,0)),"③ 통장·카드에 없는 결제수단입니다",IF($D124="","계정과목을 고르십시오",IF($E124="※없는 과목","④ 설정에 없는 과목입니다",IF(AND($E124="수입",$J124&gt;0),"수입 과목인데 지출에 적혔습니다",IF(AND(LEFT($E124,2)&lt;&gt;"수입",$E124&lt;&gt;"대체",$I124&gt;0),"지출 과목인데 수입에 적혔습니다",IF($K124="","증빙을 고르십시오",IF(AND($C124="바우처통장",$J124&gt;0,IFERROR(INDEX('통합 ④ 설정'!$E$6:$E$40,MATCH($D124,'통합 ④ 설정'!$B$6:$B$40,0)),"")&lt;&gt;"○"),"바우처통장 지출 — 목적 확인",IF($H124="","적요를 적으십시오",""))))))))))))</f>
        <v/>
      </c>
      <c r="M124" s="39"/>
      <c r="O124" s="11" t="str">
        <f aca="false">IF($B124="","",YEAR($B124)*100+MONTH($B124))</f>
        <v/>
      </c>
      <c r="P124" s="11" t="str">
        <f aca="false">IF($B124="","",IF($E124="대체",0,1))</f>
        <v/>
      </c>
    </row>
    <row r="125" customFormat="false" ht="15" hidden="false" customHeight="false" outlineLevel="0" collapsed="false">
      <c r="A125" s="36" t="str">
        <f aca="false">IF($B125="","",COUNT($B$15:$B125))</f>
        <v/>
      </c>
      <c r="B125" s="37"/>
      <c r="C125" s="38"/>
      <c r="D125" s="39"/>
      <c r="E125" s="36" t="str">
        <f aca="false">IF($D125="","",IFERROR(INDEX('통합 ④ 설정'!$A$6:$A$40,MATCH($D125,'통합 ④ 설정'!$B$6:$B$40,0)),"※없는 과목"))</f>
        <v/>
      </c>
      <c r="F125" s="36" t="str">
        <f aca="false">IF($D125="","",IFERROR(INDEX('통합 ④ 설정'!$C$6:$C$40,MATCH($D125,'통합 ④ 설정'!$B$6:$B$40,0)),""))</f>
        <v/>
      </c>
      <c r="G125" s="39"/>
      <c r="H125" s="39"/>
      <c r="I125" s="40"/>
      <c r="J125" s="41"/>
      <c r="K125" s="38"/>
      <c r="L125" s="42" t="str">
        <f aca="false">IF($B125="","",IF(AND(N($I125)=0,N($J125)=0),"금액이 없습니다",IF(AND($I125&gt;0,$J125&gt;0),"수입·지출 둘 다 적혔습니다",IF($C125="","결제수단을 고르십시오",IF(ISNA(MATCH($C125,'통합 ③ 통장·카드'!$A$5:$A$11,0)),"③ 통장·카드에 없는 결제수단입니다",IF($D125="","계정과목을 고르십시오",IF($E125="※없는 과목","④ 설정에 없는 과목입니다",IF(AND($E125="수입",$J125&gt;0),"수입 과목인데 지출에 적혔습니다",IF(AND(LEFT($E125,2)&lt;&gt;"수입",$E125&lt;&gt;"대체",$I125&gt;0),"지출 과목인데 수입에 적혔습니다",IF($K125="","증빙을 고르십시오",IF(AND($C125="바우처통장",$J125&gt;0,IFERROR(INDEX('통합 ④ 설정'!$E$6:$E$40,MATCH($D125,'통합 ④ 설정'!$B$6:$B$40,0)),"")&lt;&gt;"○"),"바우처통장 지출 — 목적 확인",IF($H125="","적요를 적으십시오",""))))))))))))</f>
        <v/>
      </c>
      <c r="M125" s="39"/>
      <c r="O125" s="11" t="str">
        <f aca="false">IF($B125="","",YEAR($B125)*100+MONTH($B125))</f>
        <v/>
      </c>
      <c r="P125" s="11" t="str">
        <f aca="false">IF($B125="","",IF($E125="대체",0,1))</f>
        <v/>
      </c>
    </row>
    <row r="126" customFormat="false" ht="15" hidden="false" customHeight="false" outlineLevel="0" collapsed="false">
      <c r="A126" s="36" t="str">
        <f aca="false">IF($B126="","",COUNT($B$15:$B126))</f>
        <v/>
      </c>
      <c r="B126" s="37"/>
      <c r="C126" s="38"/>
      <c r="D126" s="39"/>
      <c r="E126" s="36" t="str">
        <f aca="false">IF($D126="","",IFERROR(INDEX('통합 ④ 설정'!$A$6:$A$40,MATCH($D126,'통합 ④ 설정'!$B$6:$B$40,0)),"※없는 과목"))</f>
        <v/>
      </c>
      <c r="F126" s="36" t="str">
        <f aca="false">IF($D126="","",IFERROR(INDEX('통합 ④ 설정'!$C$6:$C$40,MATCH($D126,'통합 ④ 설정'!$B$6:$B$40,0)),""))</f>
        <v/>
      </c>
      <c r="G126" s="39"/>
      <c r="H126" s="39"/>
      <c r="I126" s="40"/>
      <c r="J126" s="41"/>
      <c r="K126" s="38"/>
      <c r="L126" s="42" t="str">
        <f aca="false">IF($B126="","",IF(AND(N($I126)=0,N($J126)=0),"금액이 없습니다",IF(AND($I126&gt;0,$J126&gt;0),"수입·지출 둘 다 적혔습니다",IF($C126="","결제수단을 고르십시오",IF(ISNA(MATCH($C126,'통합 ③ 통장·카드'!$A$5:$A$11,0)),"③ 통장·카드에 없는 결제수단입니다",IF($D126="","계정과목을 고르십시오",IF($E126="※없는 과목","④ 설정에 없는 과목입니다",IF(AND($E126="수입",$J126&gt;0),"수입 과목인데 지출에 적혔습니다",IF(AND(LEFT($E126,2)&lt;&gt;"수입",$E126&lt;&gt;"대체",$I126&gt;0),"지출 과목인데 수입에 적혔습니다",IF($K126="","증빙을 고르십시오",IF(AND($C126="바우처통장",$J126&gt;0,IFERROR(INDEX('통합 ④ 설정'!$E$6:$E$40,MATCH($D126,'통합 ④ 설정'!$B$6:$B$40,0)),"")&lt;&gt;"○"),"바우처통장 지출 — 목적 확인",IF($H126="","적요를 적으십시오",""))))))))))))</f>
        <v/>
      </c>
      <c r="M126" s="39"/>
      <c r="O126" s="11" t="str">
        <f aca="false">IF($B126="","",YEAR($B126)*100+MONTH($B126))</f>
        <v/>
      </c>
      <c r="P126" s="11" t="str">
        <f aca="false">IF($B126="","",IF($E126="대체",0,1))</f>
        <v/>
      </c>
    </row>
    <row r="127" customFormat="false" ht="15" hidden="false" customHeight="false" outlineLevel="0" collapsed="false">
      <c r="A127" s="36" t="str">
        <f aca="false">IF($B127="","",COUNT($B$15:$B127))</f>
        <v/>
      </c>
      <c r="B127" s="37"/>
      <c r="C127" s="38"/>
      <c r="D127" s="39"/>
      <c r="E127" s="36" t="str">
        <f aca="false">IF($D127="","",IFERROR(INDEX('통합 ④ 설정'!$A$6:$A$40,MATCH($D127,'통합 ④ 설정'!$B$6:$B$40,0)),"※없는 과목"))</f>
        <v/>
      </c>
      <c r="F127" s="36" t="str">
        <f aca="false">IF($D127="","",IFERROR(INDEX('통합 ④ 설정'!$C$6:$C$40,MATCH($D127,'통합 ④ 설정'!$B$6:$B$40,0)),""))</f>
        <v/>
      </c>
      <c r="G127" s="39"/>
      <c r="H127" s="39"/>
      <c r="I127" s="40"/>
      <c r="J127" s="41"/>
      <c r="K127" s="38"/>
      <c r="L127" s="42" t="str">
        <f aca="false">IF($B127="","",IF(AND(N($I127)=0,N($J127)=0),"금액이 없습니다",IF(AND($I127&gt;0,$J127&gt;0),"수입·지출 둘 다 적혔습니다",IF($C127="","결제수단을 고르십시오",IF(ISNA(MATCH($C127,'통합 ③ 통장·카드'!$A$5:$A$11,0)),"③ 통장·카드에 없는 결제수단입니다",IF($D127="","계정과목을 고르십시오",IF($E127="※없는 과목","④ 설정에 없는 과목입니다",IF(AND($E127="수입",$J127&gt;0),"수입 과목인데 지출에 적혔습니다",IF(AND(LEFT($E127,2)&lt;&gt;"수입",$E127&lt;&gt;"대체",$I127&gt;0),"지출 과목인데 수입에 적혔습니다",IF($K127="","증빙을 고르십시오",IF(AND($C127="바우처통장",$J127&gt;0,IFERROR(INDEX('통합 ④ 설정'!$E$6:$E$40,MATCH($D127,'통합 ④ 설정'!$B$6:$B$40,0)),"")&lt;&gt;"○"),"바우처통장 지출 — 목적 확인",IF($H127="","적요를 적으십시오",""))))))))))))</f>
        <v/>
      </c>
      <c r="M127" s="39"/>
      <c r="O127" s="11" t="str">
        <f aca="false">IF($B127="","",YEAR($B127)*100+MONTH($B127))</f>
        <v/>
      </c>
      <c r="P127" s="11" t="str">
        <f aca="false">IF($B127="","",IF($E127="대체",0,1))</f>
        <v/>
      </c>
    </row>
    <row r="128" customFormat="false" ht="15" hidden="false" customHeight="false" outlineLevel="0" collapsed="false">
      <c r="A128" s="36" t="str">
        <f aca="false">IF($B128="","",COUNT($B$15:$B128))</f>
        <v/>
      </c>
      <c r="B128" s="37"/>
      <c r="C128" s="38"/>
      <c r="D128" s="39"/>
      <c r="E128" s="36" t="str">
        <f aca="false">IF($D128="","",IFERROR(INDEX('통합 ④ 설정'!$A$6:$A$40,MATCH($D128,'통합 ④ 설정'!$B$6:$B$40,0)),"※없는 과목"))</f>
        <v/>
      </c>
      <c r="F128" s="36" t="str">
        <f aca="false">IF($D128="","",IFERROR(INDEX('통합 ④ 설정'!$C$6:$C$40,MATCH($D128,'통합 ④ 설정'!$B$6:$B$40,0)),""))</f>
        <v/>
      </c>
      <c r="G128" s="39"/>
      <c r="H128" s="39"/>
      <c r="I128" s="40"/>
      <c r="J128" s="41"/>
      <c r="K128" s="38"/>
      <c r="L128" s="42" t="str">
        <f aca="false">IF($B128="","",IF(AND(N($I128)=0,N($J128)=0),"금액이 없습니다",IF(AND($I128&gt;0,$J128&gt;0),"수입·지출 둘 다 적혔습니다",IF($C128="","결제수단을 고르십시오",IF(ISNA(MATCH($C128,'통합 ③ 통장·카드'!$A$5:$A$11,0)),"③ 통장·카드에 없는 결제수단입니다",IF($D128="","계정과목을 고르십시오",IF($E128="※없는 과목","④ 설정에 없는 과목입니다",IF(AND($E128="수입",$J128&gt;0),"수입 과목인데 지출에 적혔습니다",IF(AND(LEFT($E128,2)&lt;&gt;"수입",$E128&lt;&gt;"대체",$I128&gt;0),"지출 과목인데 수입에 적혔습니다",IF($K128="","증빙을 고르십시오",IF(AND($C128="바우처통장",$J128&gt;0,IFERROR(INDEX('통합 ④ 설정'!$E$6:$E$40,MATCH($D128,'통합 ④ 설정'!$B$6:$B$40,0)),"")&lt;&gt;"○"),"바우처통장 지출 — 목적 확인",IF($H128="","적요를 적으십시오",""))))))))))))</f>
        <v/>
      </c>
      <c r="M128" s="39"/>
      <c r="O128" s="11" t="str">
        <f aca="false">IF($B128="","",YEAR($B128)*100+MONTH($B128))</f>
        <v/>
      </c>
      <c r="P128" s="11" t="str">
        <f aca="false">IF($B128="","",IF($E128="대체",0,1))</f>
        <v/>
      </c>
    </row>
    <row r="129" customFormat="false" ht="15" hidden="false" customHeight="false" outlineLevel="0" collapsed="false">
      <c r="A129" s="36" t="str">
        <f aca="false">IF($B129="","",COUNT($B$15:$B129))</f>
        <v/>
      </c>
      <c r="B129" s="37"/>
      <c r="C129" s="38"/>
      <c r="D129" s="39"/>
      <c r="E129" s="36" t="str">
        <f aca="false">IF($D129="","",IFERROR(INDEX('통합 ④ 설정'!$A$6:$A$40,MATCH($D129,'통합 ④ 설정'!$B$6:$B$40,0)),"※없는 과목"))</f>
        <v/>
      </c>
      <c r="F129" s="36" t="str">
        <f aca="false">IF($D129="","",IFERROR(INDEX('통합 ④ 설정'!$C$6:$C$40,MATCH($D129,'통합 ④ 설정'!$B$6:$B$40,0)),""))</f>
        <v/>
      </c>
      <c r="G129" s="39"/>
      <c r="H129" s="39"/>
      <c r="I129" s="40"/>
      <c r="J129" s="41"/>
      <c r="K129" s="38"/>
      <c r="L129" s="42" t="str">
        <f aca="false">IF($B129="","",IF(AND(N($I129)=0,N($J129)=0),"금액이 없습니다",IF(AND($I129&gt;0,$J129&gt;0),"수입·지출 둘 다 적혔습니다",IF($C129="","결제수단을 고르십시오",IF(ISNA(MATCH($C129,'통합 ③ 통장·카드'!$A$5:$A$11,0)),"③ 통장·카드에 없는 결제수단입니다",IF($D129="","계정과목을 고르십시오",IF($E129="※없는 과목","④ 설정에 없는 과목입니다",IF(AND($E129="수입",$J129&gt;0),"수입 과목인데 지출에 적혔습니다",IF(AND(LEFT($E129,2)&lt;&gt;"수입",$E129&lt;&gt;"대체",$I129&gt;0),"지출 과목인데 수입에 적혔습니다",IF($K129="","증빙을 고르십시오",IF(AND($C129="바우처통장",$J129&gt;0,IFERROR(INDEX('통합 ④ 설정'!$E$6:$E$40,MATCH($D129,'통합 ④ 설정'!$B$6:$B$40,0)),"")&lt;&gt;"○"),"바우처통장 지출 — 목적 확인",IF($H129="","적요를 적으십시오",""))))))))))))</f>
        <v/>
      </c>
      <c r="M129" s="39"/>
      <c r="O129" s="11" t="str">
        <f aca="false">IF($B129="","",YEAR($B129)*100+MONTH($B129))</f>
        <v/>
      </c>
      <c r="P129" s="11" t="str">
        <f aca="false">IF($B129="","",IF($E129="대체",0,1))</f>
        <v/>
      </c>
    </row>
    <row r="130" customFormat="false" ht="15" hidden="false" customHeight="false" outlineLevel="0" collapsed="false">
      <c r="A130" s="36" t="str">
        <f aca="false">IF($B130="","",COUNT($B$15:$B130))</f>
        <v/>
      </c>
      <c r="B130" s="37"/>
      <c r="C130" s="38"/>
      <c r="D130" s="39"/>
      <c r="E130" s="36" t="str">
        <f aca="false">IF($D130="","",IFERROR(INDEX('통합 ④ 설정'!$A$6:$A$40,MATCH($D130,'통합 ④ 설정'!$B$6:$B$40,0)),"※없는 과목"))</f>
        <v/>
      </c>
      <c r="F130" s="36" t="str">
        <f aca="false">IF($D130="","",IFERROR(INDEX('통합 ④ 설정'!$C$6:$C$40,MATCH($D130,'통합 ④ 설정'!$B$6:$B$40,0)),""))</f>
        <v/>
      </c>
      <c r="G130" s="39"/>
      <c r="H130" s="39"/>
      <c r="I130" s="40"/>
      <c r="J130" s="41"/>
      <c r="K130" s="38"/>
      <c r="L130" s="42" t="str">
        <f aca="false">IF($B130="","",IF(AND(N($I130)=0,N($J130)=0),"금액이 없습니다",IF(AND($I130&gt;0,$J130&gt;0),"수입·지출 둘 다 적혔습니다",IF($C130="","결제수단을 고르십시오",IF(ISNA(MATCH($C130,'통합 ③ 통장·카드'!$A$5:$A$11,0)),"③ 통장·카드에 없는 결제수단입니다",IF($D130="","계정과목을 고르십시오",IF($E130="※없는 과목","④ 설정에 없는 과목입니다",IF(AND($E130="수입",$J130&gt;0),"수입 과목인데 지출에 적혔습니다",IF(AND(LEFT($E130,2)&lt;&gt;"수입",$E130&lt;&gt;"대체",$I130&gt;0),"지출 과목인데 수입에 적혔습니다",IF($K130="","증빙을 고르십시오",IF(AND($C130="바우처통장",$J130&gt;0,IFERROR(INDEX('통합 ④ 설정'!$E$6:$E$40,MATCH($D130,'통합 ④ 설정'!$B$6:$B$40,0)),"")&lt;&gt;"○"),"바우처통장 지출 — 목적 확인",IF($H130="","적요를 적으십시오",""))))))))))))</f>
        <v/>
      </c>
      <c r="M130" s="39"/>
      <c r="O130" s="11" t="str">
        <f aca="false">IF($B130="","",YEAR($B130)*100+MONTH($B130))</f>
        <v/>
      </c>
      <c r="P130" s="11" t="str">
        <f aca="false">IF($B130="","",IF($E130="대체",0,1))</f>
        <v/>
      </c>
    </row>
    <row r="131" customFormat="false" ht="15" hidden="false" customHeight="false" outlineLevel="0" collapsed="false">
      <c r="A131" s="36" t="str">
        <f aca="false">IF($B131="","",COUNT($B$15:$B131))</f>
        <v/>
      </c>
      <c r="B131" s="37"/>
      <c r="C131" s="38"/>
      <c r="D131" s="39"/>
      <c r="E131" s="36" t="str">
        <f aca="false">IF($D131="","",IFERROR(INDEX('통합 ④ 설정'!$A$6:$A$40,MATCH($D131,'통합 ④ 설정'!$B$6:$B$40,0)),"※없는 과목"))</f>
        <v/>
      </c>
      <c r="F131" s="36" t="str">
        <f aca="false">IF($D131="","",IFERROR(INDEX('통합 ④ 설정'!$C$6:$C$40,MATCH($D131,'통합 ④ 설정'!$B$6:$B$40,0)),""))</f>
        <v/>
      </c>
      <c r="G131" s="39"/>
      <c r="H131" s="39"/>
      <c r="I131" s="40"/>
      <c r="J131" s="41"/>
      <c r="K131" s="38"/>
      <c r="L131" s="42" t="str">
        <f aca="false">IF($B131="","",IF(AND(N($I131)=0,N($J131)=0),"금액이 없습니다",IF(AND($I131&gt;0,$J131&gt;0),"수입·지출 둘 다 적혔습니다",IF($C131="","결제수단을 고르십시오",IF(ISNA(MATCH($C131,'통합 ③ 통장·카드'!$A$5:$A$11,0)),"③ 통장·카드에 없는 결제수단입니다",IF($D131="","계정과목을 고르십시오",IF($E131="※없는 과목","④ 설정에 없는 과목입니다",IF(AND($E131="수입",$J131&gt;0),"수입 과목인데 지출에 적혔습니다",IF(AND(LEFT($E131,2)&lt;&gt;"수입",$E131&lt;&gt;"대체",$I131&gt;0),"지출 과목인데 수입에 적혔습니다",IF($K131="","증빙을 고르십시오",IF(AND($C131="바우처통장",$J131&gt;0,IFERROR(INDEX('통합 ④ 설정'!$E$6:$E$40,MATCH($D131,'통합 ④ 설정'!$B$6:$B$40,0)),"")&lt;&gt;"○"),"바우처통장 지출 — 목적 확인",IF($H131="","적요를 적으십시오",""))))))))))))</f>
        <v/>
      </c>
      <c r="M131" s="39"/>
      <c r="O131" s="11" t="str">
        <f aca="false">IF($B131="","",YEAR($B131)*100+MONTH($B131))</f>
        <v/>
      </c>
      <c r="P131" s="11" t="str">
        <f aca="false">IF($B131="","",IF($E131="대체",0,1))</f>
        <v/>
      </c>
    </row>
    <row r="132" customFormat="false" ht="15" hidden="false" customHeight="false" outlineLevel="0" collapsed="false">
      <c r="A132" s="36" t="str">
        <f aca="false">IF($B132="","",COUNT($B$15:$B132))</f>
        <v/>
      </c>
      <c r="B132" s="37"/>
      <c r="C132" s="38"/>
      <c r="D132" s="39"/>
      <c r="E132" s="36" t="str">
        <f aca="false">IF($D132="","",IFERROR(INDEX('통합 ④ 설정'!$A$6:$A$40,MATCH($D132,'통합 ④ 설정'!$B$6:$B$40,0)),"※없는 과목"))</f>
        <v/>
      </c>
      <c r="F132" s="36" t="str">
        <f aca="false">IF($D132="","",IFERROR(INDEX('통합 ④ 설정'!$C$6:$C$40,MATCH($D132,'통합 ④ 설정'!$B$6:$B$40,0)),""))</f>
        <v/>
      </c>
      <c r="G132" s="39"/>
      <c r="H132" s="39"/>
      <c r="I132" s="40"/>
      <c r="J132" s="41"/>
      <c r="K132" s="38"/>
      <c r="L132" s="42" t="str">
        <f aca="false">IF($B132="","",IF(AND(N($I132)=0,N($J132)=0),"금액이 없습니다",IF(AND($I132&gt;0,$J132&gt;0),"수입·지출 둘 다 적혔습니다",IF($C132="","결제수단을 고르십시오",IF(ISNA(MATCH($C132,'통합 ③ 통장·카드'!$A$5:$A$11,0)),"③ 통장·카드에 없는 결제수단입니다",IF($D132="","계정과목을 고르십시오",IF($E132="※없는 과목","④ 설정에 없는 과목입니다",IF(AND($E132="수입",$J132&gt;0),"수입 과목인데 지출에 적혔습니다",IF(AND(LEFT($E132,2)&lt;&gt;"수입",$E132&lt;&gt;"대체",$I132&gt;0),"지출 과목인데 수입에 적혔습니다",IF($K132="","증빙을 고르십시오",IF(AND($C132="바우처통장",$J132&gt;0,IFERROR(INDEX('통합 ④ 설정'!$E$6:$E$40,MATCH($D132,'통합 ④ 설정'!$B$6:$B$40,0)),"")&lt;&gt;"○"),"바우처통장 지출 — 목적 확인",IF($H132="","적요를 적으십시오",""))))))))))))</f>
        <v/>
      </c>
      <c r="M132" s="39"/>
      <c r="O132" s="11" t="str">
        <f aca="false">IF($B132="","",YEAR($B132)*100+MONTH($B132))</f>
        <v/>
      </c>
      <c r="P132" s="11" t="str">
        <f aca="false">IF($B132="","",IF($E132="대체",0,1))</f>
        <v/>
      </c>
    </row>
    <row r="133" customFormat="false" ht="15" hidden="false" customHeight="false" outlineLevel="0" collapsed="false">
      <c r="A133" s="36" t="str">
        <f aca="false">IF($B133="","",COUNT($B$15:$B133))</f>
        <v/>
      </c>
      <c r="B133" s="37"/>
      <c r="C133" s="38"/>
      <c r="D133" s="39"/>
      <c r="E133" s="36" t="str">
        <f aca="false">IF($D133="","",IFERROR(INDEX('통합 ④ 설정'!$A$6:$A$40,MATCH($D133,'통합 ④ 설정'!$B$6:$B$40,0)),"※없는 과목"))</f>
        <v/>
      </c>
      <c r="F133" s="36" t="str">
        <f aca="false">IF($D133="","",IFERROR(INDEX('통합 ④ 설정'!$C$6:$C$40,MATCH($D133,'통합 ④ 설정'!$B$6:$B$40,0)),""))</f>
        <v/>
      </c>
      <c r="G133" s="39"/>
      <c r="H133" s="39"/>
      <c r="I133" s="40"/>
      <c r="J133" s="41"/>
      <c r="K133" s="38"/>
      <c r="L133" s="42" t="str">
        <f aca="false">IF($B133="","",IF(AND(N($I133)=0,N($J133)=0),"금액이 없습니다",IF(AND($I133&gt;0,$J133&gt;0),"수입·지출 둘 다 적혔습니다",IF($C133="","결제수단을 고르십시오",IF(ISNA(MATCH($C133,'통합 ③ 통장·카드'!$A$5:$A$11,0)),"③ 통장·카드에 없는 결제수단입니다",IF($D133="","계정과목을 고르십시오",IF($E133="※없는 과목","④ 설정에 없는 과목입니다",IF(AND($E133="수입",$J133&gt;0),"수입 과목인데 지출에 적혔습니다",IF(AND(LEFT($E133,2)&lt;&gt;"수입",$E133&lt;&gt;"대체",$I133&gt;0),"지출 과목인데 수입에 적혔습니다",IF($K133="","증빙을 고르십시오",IF(AND($C133="바우처통장",$J133&gt;0,IFERROR(INDEX('통합 ④ 설정'!$E$6:$E$40,MATCH($D133,'통합 ④ 설정'!$B$6:$B$40,0)),"")&lt;&gt;"○"),"바우처통장 지출 — 목적 확인",IF($H133="","적요를 적으십시오",""))))))))))))</f>
        <v/>
      </c>
      <c r="M133" s="39"/>
      <c r="O133" s="11" t="str">
        <f aca="false">IF($B133="","",YEAR($B133)*100+MONTH($B133))</f>
        <v/>
      </c>
      <c r="P133" s="11" t="str">
        <f aca="false">IF($B133="","",IF($E133="대체",0,1))</f>
        <v/>
      </c>
    </row>
    <row r="134" customFormat="false" ht="15" hidden="false" customHeight="false" outlineLevel="0" collapsed="false">
      <c r="A134" s="36" t="str">
        <f aca="false">IF($B134="","",COUNT($B$15:$B134))</f>
        <v/>
      </c>
      <c r="B134" s="37"/>
      <c r="C134" s="38"/>
      <c r="D134" s="39"/>
      <c r="E134" s="36" t="str">
        <f aca="false">IF($D134="","",IFERROR(INDEX('통합 ④ 설정'!$A$6:$A$40,MATCH($D134,'통합 ④ 설정'!$B$6:$B$40,0)),"※없는 과목"))</f>
        <v/>
      </c>
      <c r="F134" s="36" t="str">
        <f aca="false">IF($D134="","",IFERROR(INDEX('통합 ④ 설정'!$C$6:$C$40,MATCH($D134,'통합 ④ 설정'!$B$6:$B$40,0)),""))</f>
        <v/>
      </c>
      <c r="G134" s="39"/>
      <c r="H134" s="39"/>
      <c r="I134" s="40"/>
      <c r="J134" s="41"/>
      <c r="K134" s="38"/>
      <c r="L134" s="42" t="str">
        <f aca="false">IF($B134="","",IF(AND(N($I134)=0,N($J134)=0),"금액이 없습니다",IF(AND($I134&gt;0,$J134&gt;0),"수입·지출 둘 다 적혔습니다",IF($C134="","결제수단을 고르십시오",IF(ISNA(MATCH($C134,'통합 ③ 통장·카드'!$A$5:$A$11,0)),"③ 통장·카드에 없는 결제수단입니다",IF($D134="","계정과목을 고르십시오",IF($E134="※없는 과목","④ 설정에 없는 과목입니다",IF(AND($E134="수입",$J134&gt;0),"수입 과목인데 지출에 적혔습니다",IF(AND(LEFT($E134,2)&lt;&gt;"수입",$E134&lt;&gt;"대체",$I134&gt;0),"지출 과목인데 수입에 적혔습니다",IF($K134="","증빙을 고르십시오",IF(AND($C134="바우처통장",$J134&gt;0,IFERROR(INDEX('통합 ④ 설정'!$E$6:$E$40,MATCH($D134,'통합 ④ 설정'!$B$6:$B$40,0)),"")&lt;&gt;"○"),"바우처통장 지출 — 목적 확인",IF($H134="","적요를 적으십시오",""))))))))))))</f>
        <v/>
      </c>
      <c r="M134" s="39"/>
      <c r="O134" s="11" t="str">
        <f aca="false">IF($B134="","",YEAR($B134)*100+MONTH($B134))</f>
        <v/>
      </c>
      <c r="P134" s="11" t="str">
        <f aca="false">IF($B134="","",IF($E134="대체",0,1))</f>
        <v/>
      </c>
    </row>
    <row r="135" customFormat="false" ht="15" hidden="false" customHeight="false" outlineLevel="0" collapsed="false">
      <c r="A135" s="36" t="str">
        <f aca="false">IF($B135="","",COUNT($B$15:$B135))</f>
        <v/>
      </c>
      <c r="B135" s="37"/>
      <c r="C135" s="38"/>
      <c r="D135" s="39"/>
      <c r="E135" s="36" t="str">
        <f aca="false">IF($D135="","",IFERROR(INDEX('통합 ④ 설정'!$A$6:$A$40,MATCH($D135,'통합 ④ 설정'!$B$6:$B$40,0)),"※없는 과목"))</f>
        <v/>
      </c>
      <c r="F135" s="36" t="str">
        <f aca="false">IF($D135="","",IFERROR(INDEX('통합 ④ 설정'!$C$6:$C$40,MATCH($D135,'통합 ④ 설정'!$B$6:$B$40,0)),""))</f>
        <v/>
      </c>
      <c r="G135" s="39"/>
      <c r="H135" s="39"/>
      <c r="I135" s="40"/>
      <c r="J135" s="41"/>
      <c r="K135" s="38"/>
      <c r="L135" s="42" t="str">
        <f aca="false">IF($B135="","",IF(AND(N($I135)=0,N($J135)=0),"금액이 없습니다",IF(AND($I135&gt;0,$J135&gt;0),"수입·지출 둘 다 적혔습니다",IF($C135="","결제수단을 고르십시오",IF(ISNA(MATCH($C135,'통합 ③ 통장·카드'!$A$5:$A$11,0)),"③ 통장·카드에 없는 결제수단입니다",IF($D135="","계정과목을 고르십시오",IF($E135="※없는 과목","④ 설정에 없는 과목입니다",IF(AND($E135="수입",$J135&gt;0),"수입 과목인데 지출에 적혔습니다",IF(AND(LEFT($E135,2)&lt;&gt;"수입",$E135&lt;&gt;"대체",$I135&gt;0),"지출 과목인데 수입에 적혔습니다",IF($K135="","증빙을 고르십시오",IF(AND($C135="바우처통장",$J135&gt;0,IFERROR(INDEX('통합 ④ 설정'!$E$6:$E$40,MATCH($D135,'통합 ④ 설정'!$B$6:$B$40,0)),"")&lt;&gt;"○"),"바우처통장 지출 — 목적 확인",IF($H135="","적요를 적으십시오",""))))))))))))</f>
        <v/>
      </c>
      <c r="M135" s="39"/>
      <c r="O135" s="11" t="str">
        <f aca="false">IF($B135="","",YEAR($B135)*100+MONTH($B135))</f>
        <v/>
      </c>
      <c r="P135" s="11" t="str">
        <f aca="false">IF($B135="","",IF($E135="대체",0,1))</f>
        <v/>
      </c>
    </row>
    <row r="136" customFormat="false" ht="15" hidden="false" customHeight="false" outlineLevel="0" collapsed="false">
      <c r="A136" s="36" t="str">
        <f aca="false">IF($B136="","",COUNT($B$15:$B136))</f>
        <v/>
      </c>
      <c r="B136" s="37"/>
      <c r="C136" s="38"/>
      <c r="D136" s="39"/>
      <c r="E136" s="36" t="str">
        <f aca="false">IF($D136="","",IFERROR(INDEX('통합 ④ 설정'!$A$6:$A$40,MATCH($D136,'통합 ④ 설정'!$B$6:$B$40,0)),"※없는 과목"))</f>
        <v/>
      </c>
      <c r="F136" s="36" t="str">
        <f aca="false">IF($D136="","",IFERROR(INDEX('통합 ④ 설정'!$C$6:$C$40,MATCH($D136,'통합 ④ 설정'!$B$6:$B$40,0)),""))</f>
        <v/>
      </c>
      <c r="G136" s="39"/>
      <c r="H136" s="39"/>
      <c r="I136" s="40"/>
      <c r="J136" s="41"/>
      <c r="K136" s="38"/>
      <c r="L136" s="42" t="str">
        <f aca="false">IF($B136="","",IF(AND(N($I136)=0,N($J136)=0),"금액이 없습니다",IF(AND($I136&gt;0,$J136&gt;0),"수입·지출 둘 다 적혔습니다",IF($C136="","결제수단을 고르십시오",IF(ISNA(MATCH($C136,'통합 ③ 통장·카드'!$A$5:$A$11,0)),"③ 통장·카드에 없는 결제수단입니다",IF($D136="","계정과목을 고르십시오",IF($E136="※없는 과목","④ 설정에 없는 과목입니다",IF(AND($E136="수입",$J136&gt;0),"수입 과목인데 지출에 적혔습니다",IF(AND(LEFT($E136,2)&lt;&gt;"수입",$E136&lt;&gt;"대체",$I136&gt;0),"지출 과목인데 수입에 적혔습니다",IF($K136="","증빙을 고르십시오",IF(AND($C136="바우처통장",$J136&gt;0,IFERROR(INDEX('통합 ④ 설정'!$E$6:$E$40,MATCH($D136,'통합 ④ 설정'!$B$6:$B$40,0)),"")&lt;&gt;"○"),"바우처통장 지출 — 목적 확인",IF($H136="","적요를 적으십시오",""))))))))))))</f>
        <v/>
      </c>
      <c r="M136" s="39"/>
      <c r="O136" s="11" t="str">
        <f aca="false">IF($B136="","",YEAR($B136)*100+MONTH($B136))</f>
        <v/>
      </c>
      <c r="P136" s="11" t="str">
        <f aca="false">IF($B136="","",IF($E136="대체",0,1))</f>
        <v/>
      </c>
    </row>
    <row r="137" customFormat="false" ht="15" hidden="false" customHeight="false" outlineLevel="0" collapsed="false">
      <c r="A137" s="36" t="str">
        <f aca="false">IF($B137="","",COUNT($B$15:$B137))</f>
        <v/>
      </c>
      <c r="B137" s="37"/>
      <c r="C137" s="38"/>
      <c r="D137" s="39"/>
      <c r="E137" s="36" t="str">
        <f aca="false">IF($D137="","",IFERROR(INDEX('통합 ④ 설정'!$A$6:$A$40,MATCH($D137,'통합 ④ 설정'!$B$6:$B$40,0)),"※없는 과목"))</f>
        <v/>
      </c>
      <c r="F137" s="36" t="str">
        <f aca="false">IF($D137="","",IFERROR(INDEX('통합 ④ 설정'!$C$6:$C$40,MATCH($D137,'통합 ④ 설정'!$B$6:$B$40,0)),""))</f>
        <v/>
      </c>
      <c r="G137" s="39"/>
      <c r="H137" s="39"/>
      <c r="I137" s="40"/>
      <c r="J137" s="41"/>
      <c r="K137" s="38"/>
      <c r="L137" s="42" t="str">
        <f aca="false">IF($B137="","",IF(AND(N($I137)=0,N($J137)=0),"금액이 없습니다",IF(AND($I137&gt;0,$J137&gt;0),"수입·지출 둘 다 적혔습니다",IF($C137="","결제수단을 고르십시오",IF(ISNA(MATCH($C137,'통합 ③ 통장·카드'!$A$5:$A$11,0)),"③ 통장·카드에 없는 결제수단입니다",IF($D137="","계정과목을 고르십시오",IF($E137="※없는 과목","④ 설정에 없는 과목입니다",IF(AND($E137="수입",$J137&gt;0),"수입 과목인데 지출에 적혔습니다",IF(AND(LEFT($E137,2)&lt;&gt;"수입",$E137&lt;&gt;"대체",$I137&gt;0),"지출 과목인데 수입에 적혔습니다",IF($K137="","증빙을 고르십시오",IF(AND($C137="바우처통장",$J137&gt;0,IFERROR(INDEX('통합 ④ 설정'!$E$6:$E$40,MATCH($D137,'통합 ④ 설정'!$B$6:$B$40,0)),"")&lt;&gt;"○"),"바우처통장 지출 — 목적 확인",IF($H137="","적요를 적으십시오",""))))))))))))</f>
        <v/>
      </c>
      <c r="M137" s="39"/>
      <c r="O137" s="11" t="str">
        <f aca="false">IF($B137="","",YEAR($B137)*100+MONTH($B137))</f>
        <v/>
      </c>
      <c r="P137" s="11" t="str">
        <f aca="false">IF($B137="","",IF($E137="대체",0,1))</f>
        <v/>
      </c>
    </row>
    <row r="138" customFormat="false" ht="15" hidden="false" customHeight="false" outlineLevel="0" collapsed="false">
      <c r="A138" s="36" t="str">
        <f aca="false">IF($B138="","",COUNT($B$15:$B138))</f>
        <v/>
      </c>
      <c r="B138" s="37"/>
      <c r="C138" s="38"/>
      <c r="D138" s="39"/>
      <c r="E138" s="36" t="str">
        <f aca="false">IF($D138="","",IFERROR(INDEX('통합 ④ 설정'!$A$6:$A$40,MATCH($D138,'통합 ④ 설정'!$B$6:$B$40,0)),"※없는 과목"))</f>
        <v/>
      </c>
      <c r="F138" s="36" t="str">
        <f aca="false">IF($D138="","",IFERROR(INDEX('통합 ④ 설정'!$C$6:$C$40,MATCH($D138,'통합 ④ 설정'!$B$6:$B$40,0)),""))</f>
        <v/>
      </c>
      <c r="G138" s="39"/>
      <c r="H138" s="39"/>
      <c r="I138" s="40"/>
      <c r="J138" s="41"/>
      <c r="K138" s="38"/>
      <c r="L138" s="42" t="str">
        <f aca="false">IF($B138="","",IF(AND(N($I138)=0,N($J138)=0),"금액이 없습니다",IF(AND($I138&gt;0,$J138&gt;0),"수입·지출 둘 다 적혔습니다",IF($C138="","결제수단을 고르십시오",IF(ISNA(MATCH($C138,'통합 ③ 통장·카드'!$A$5:$A$11,0)),"③ 통장·카드에 없는 결제수단입니다",IF($D138="","계정과목을 고르십시오",IF($E138="※없는 과목","④ 설정에 없는 과목입니다",IF(AND($E138="수입",$J138&gt;0),"수입 과목인데 지출에 적혔습니다",IF(AND(LEFT($E138,2)&lt;&gt;"수입",$E138&lt;&gt;"대체",$I138&gt;0),"지출 과목인데 수입에 적혔습니다",IF($K138="","증빙을 고르십시오",IF(AND($C138="바우처통장",$J138&gt;0,IFERROR(INDEX('통합 ④ 설정'!$E$6:$E$40,MATCH($D138,'통합 ④ 설정'!$B$6:$B$40,0)),"")&lt;&gt;"○"),"바우처통장 지출 — 목적 확인",IF($H138="","적요를 적으십시오",""))))))))))))</f>
        <v/>
      </c>
      <c r="M138" s="39"/>
      <c r="O138" s="11" t="str">
        <f aca="false">IF($B138="","",YEAR($B138)*100+MONTH($B138))</f>
        <v/>
      </c>
      <c r="P138" s="11" t="str">
        <f aca="false">IF($B138="","",IF($E138="대체",0,1))</f>
        <v/>
      </c>
    </row>
    <row r="139" customFormat="false" ht="15" hidden="false" customHeight="false" outlineLevel="0" collapsed="false">
      <c r="A139" s="36" t="str">
        <f aca="false">IF($B139="","",COUNT($B$15:$B139))</f>
        <v/>
      </c>
      <c r="B139" s="37"/>
      <c r="C139" s="38"/>
      <c r="D139" s="39"/>
      <c r="E139" s="36" t="str">
        <f aca="false">IF($D139="","",IFERROR(INDEX('통합 ④ 설정'!$A$6:$A$40,MATCH($D139,'통합 ④ 설정'!$B$6:$B$40,0)),"※없는 과목"))</f>
        <v/>
      </c>
      <c r="F139" s="36" t="str">
        <f aca="false">IF($D139="","",IFERROR(INDEX('통합 ④ 설정'!$C$6:$C$40,MATCH($D139,'통합 ④ 설정'!$B$6:$B$40,0)),""))</f>
        <v/>
      </c>
      <c r="G139" s="39"/>
      <c r="H139" s="39"/>
      <c r="I139" s="40"/>
      <c r="J139" s="41"/>
      <c r="K139" s="38"/>
      <c r="L139" s="42" t="str">
        <f aca="false">IF($B139="","",IF(AND(N($I139)=0,N($J139)=0),"금액이 없습니다",IF(AND($I139&gt;0,$J139&gt;0),"수입·지출 둘 다 적혔습니다",IF($C139="","결제수단을 고르십시오",IF(ISNA(MATCH($C139,'통합 ③ 통장·카드'!$A$5:$A$11,0)),"③ 통장·카드에 없는 결제수단입니다",IF($D139="","계정과목을 고르십시오",IF($E139="※없는 과목","④ 설정에 없는 과목입니다",IF(AND($E139="수입",$J139&gt;0),"수입 과목인데 지출에 적혔습니다",IF(AND(LEFT($E139,2)&lt;&gt;"수입",$E139&lt;&gt;"대체",$I139&gt;0),"지출 과목인데 수입에 적혔습니다",IF($K139="","증빙을 고르십시오",IF(AND($C139="바우처통장",$J139&gt;0,IFERROR(INDEX('통합 ④ 설정'!$E$6:$E$40,MATCH($D139,'통합 ④ 설정'!$B$6:$B$40,0)),"")&lt;&gt;"○"),"바우처통장 지출 — 목적 확인",IF($H139="","적요를 적으십시오",""))))))))))))</f>
        <v/>
      </c>
      <c r="M139" s="39"/>
      <c r="O139" s="11" t="str">
        <f aca="false">IF($B139="","",YEAR($B139)*100+MONTH($B139))</f>
        <v/>
      </c>
      <c r="P139" s="11" t="str">
        <f aca="false">IF($B139="","",IF($E139="대체",0,1))</f>
        <v/>
      </c>
    </row>
    <row r="140" customFormat="false" ht="15" hidden="false" customHeight="false" outlineLevel="0" collapsed="false">
      <c r="A140" s="36" t="str">
        <f aca="false">IF($B140="","",COUNT($B$15:$B140))</f>
        <v/>
      </c>
      <c r="B140" s="37"/>
      <c r="C140" s="38"/>
      <c r="D140" s="39"/>
      <c r="E140" s="36" t="str">
        <f aca="false">IF($D140="","",IFERROR(INDEX('통합 ④ 설정'!$A$6:$A$40,MATCH($D140,'통합 ④ 설정'!$B$6:$B$40,0)),"※없는 과목"))</f>
        <v/>
      </c>
      <c r="F140" s="36" t="str">
        <f aca="false">IF($D140="","",IFERROR(INDEX('통합 ④ 설정'!$C$6:$C$40,MATCH($D140,'통합 ④ 설정'!$B$6:$B$40,0)),""))</f>
        <v/>
      </c>
      <c r="G140" s="39"/>
      <c r="H140" s="39"/>
      <c r="I140" s="40"/>
      <c r="J140" s="41"/>
      <c r="K140" s="38"/>
      <c r="L140" s="42" t="str">
        <f aca="false">IF($B140="","",IF(AND(N($I140)=0,N($J140)=0),"금액이 없습니다",IF(AND($I140&gt;0,$J140&gt;0),"수입·지출 둘 다 적혔습니다",IF($C140="","결제수단을 고르십시오",IF(ISNA(MATCH($C140,'통합 ③ 통장·카드'!$A$5:$A$11,0)),"③ 통장·카드에 없는 결제수단입니다",IF($D140="","계정과목을 고르십시오",IF($E140="※없는 과목","④ 설정에 없는 과목입니다",IF(AND($E140="수입",$J140&gt;0),"수입 과목인데 지출에 적혔습니다",IF(AND(LEFT($E140,2)&lt;&gt;"수입",$E140&lt;&gt;"대체",$I140&gt;0),"지출 과목인데 수입에 적혔습니다",IF($K140="","증빙을 고르십시오",IF(AND($C140="바우처통장",$J140&gt;0,IFERROR(INDEX('통합 ④ 설정'!$E$6:$E$40,MATCH($D140,'통합 ④ 설정'!$B$6:$B$40,0)),"")&lt;&gt;"○"),"바우처통장 지출 — 목적 확인",IF($H140="","적요를 적으십시오",""))))))))))))</f>
        <v/>
      </c>
      <c r="M140" s="39"/>
      <c r="O140" s="11" t="str">
        <f aca="false">IF($B140="","",YEAR($B140)*100+MONTH($B140))</f>
        <v/>
      </c>
      <c r="P140" s="11" t="str">
        <f aca="false">IF($B140="","",IF($E140="대체",0,1))</f>
        <v/>
      </c>
    </row>
    <row r="141" customFormat="false" ht="15" hidden="false" customHeight="false" outlineLevel="0" collapsed="false">
      <c r="A141" s="36" t="str">
        <f aca="false">IF($B141="","",COUNT($B$15:$B141))</f>
        <v/>
      </c>
      <c r="B141" s="37"/>
      <c r="C141" s="38"/>
      <c r="D141" s="39"/>
      <c r="E141" s="36" t="str">
        <f aca="false">IF($D141="","",IFERROR(INDEX('통합 ④ 설정'!$A$6:$A$40,MATCH($D141,'통합 ④ 설정'!$B$6:$B$40,0)),"※없는 과목"))</f>
        <v/>
      </c>
      <c r="F141" s="36" t="str">
        <f aca="false">IF($D141="","",IFERROR(INDEX('통합 ④ 설정'!$C$6:$C$40,MATCH($D141,'통합 ④ 설정'!$B$6:$B$40,0)),""))</f>
        <v/>
      </c>
      <c r="G141" s="39"/>
      <c r="H141" s="39"/>
      <c r="I141" s="40"/>
      <c r="J141" s="41"/>
      <c r="K141" s="38"/>
      <c r="L141" s="42" t="str">
        <f aca="false">IF($B141="","",IF(AND(N($I141)=0,N($J141)=0),"금액이 없습니다",IF(AND($I141&gt;0,$J141&gt;0),"수입·지출 둘 다 적혔습니다",IF($C141="","결제수단을 고르십시오",IF(ISNA(MATCH($C141,'통합 ③ 통장·카드'!$A$5:$A$11,0)),"③ 통장·카드에 없는 결제수단입니다",IF($D141="","계정과목을 고르십시오",IF($E141="※없는 과목","④ 설정에 없는 과목입니다",IF(AND($E141="수입",$J141&gt;0),"수입 과목인데 지출에 적혔습니다",IF(AND(LEFT($E141,2)&lt;&gt;"수입",$E141&lt;&gt;"대체",$I141&gt;0),"지출 과목인데 수입에 적혔습니다",IF($K141="","증빙을 고르십시오",IF(AND($C141="바우처통장",$J141&gt;0,IFERROR(INDEX('통합 ④ 설정'!$E$6:$E$40,MATCH($D141,'통합 ④ 설정'!$B$6:$B$40,0)),"")&lt;&gt;"○"),"바우처통장 지출 — 목적 확인",IF($H141="","적요를 적으십시오",""))))))))))))</f>
        <v/>
      </c>
      <c r="M141" s="39"/>
      <c r="O141" s="11" t="str">
        <f aca="false">IF($B141="","",YEAR($B141)*100+MONTH($B141))</f>
        <v/>
      </c>
      <c r="P141" s="11" t="str">
        <f aca="false">IF($B141="","",IF($E141="대체",0,1))</f>
        <v/>
      </c>
    </row>
    <row r="142" customFormat="false" ht="15" hidden="false" customHeight="false" outlineLevel="0" collapsed="false">
      <c r="A142" s="36" t="str">
        <f aca="false">IF($B142="","",COUNT($B$15:$B142))</f>
        <v/>
      </c>
      <c r="B142" s="37"/>
      <c r="C142" s="38"/>
      <c r="D142" s="39"/>
      <c r="E142" s="36" t="str">
        <f aca="false">IF($D142="","",IFERROR(INDEX('통합 ④ 설정'!$A$6:$A$40,MATCH($D142,'통합 ④ 설정'!$B$6:$B$40,0)),"※없는 과목"))</f>
        <v/>
      </c>
      <c r="F142" s="36" t="str">
        <f aca="false">IF($D142="","",IFERROR(INDEX('통합 ④ 설정'!$C$6:$C$40,MATCH($D142,'통합 ④ 설정'!$B$6:$B$40,0)),""))</f>
        <v/>
      </c>
      <c r="G142" s="39"/>
      <c r="H142" s="39"/>
      <c r="I142" s="40"/>
      <c r="J142" s="41"/>
      <c r="K142" s="38"/>
      <c r="L142" s="42" t="str">
        <f aca="false">IF($B142="","",IF(AND(N($I142)=0,N($J142)=0),"금액이 없습니다",IF(AND($I142&gt;0,$J142&gt;0),"수입·지출 둘 다 적혔습니다",IF($C142="","결제수단을 고르십시오",IF(ISNA(MATCH($C142,'통합 ③ 통장·카드'!$A$5:$A$11,0)),"③ 통장·카드에 없는 결제수단입니다",IF($D142="","계정과목을 고르십시오",IF($E142="※없는 과목","④ 설정에 없는 과목입니다",IF(AND($E142="수입",$J142&gt;0),"수입 과목인데 지출에 적혔습니다",IF(AND(LEFT($E142,2)&lt;&gt;"수입",$E142&lt;&gt;"대체",$I142&gt;0),"지출 과목인데 수입에 적혔습니다",IF($K142="","증빙을 고르십시오",IF(AND($C142="바우처통장",$J142&gt;0,IFERROR(INDEX('통합 ④ 설정'!$E$6:$E$40,MATCH($D142,'통합 ④ 설정'!$B$6:$B$40,0)),"")&lt;&gt;"○"),"바우처통장 지출 — 목적 확인",IF($H142="","적요를 적으십시오",""))))))))))))</f>
        <v/>
      </c>
      <c r="M142" s="39"/>
      <c r="O142" s="11" t="str">
        <f aca="false">IF($B142="","",YEAR($B142)*100+MONTH($B142))</f>
        <v/>
      </c>
      <c r="P142" s="11" t="str">
        <f aca="false">IF($B142="","",IF($E142="대체",0,1))</f>
        <v/>
      </c>
    </row>
    <row r="143" customFormat="false" ht="15" hidden="false" customHeight="false" outlineLevel="0" collapsed="false">
      <c r="A143" s="36" t="str">
        <f aca="false">IF($B143="","",COUNT($B$15:$B143))</f>
        <v/>
      </c>
      <c r="B143" s="37"/>
      <c r="C143" s="38"/>
      <c r="D143" s="39"/>
      <c r="E143" s="36" t="str">
        <f aca="false">IF($D143="","",IFERROR(INDEX('통합 ④ 설정'!$A$6:$A$40,MATCH($D143,'통합 ④ 설정'!$B$6:$B$40,0)),"※없는 과목"))</f>
        <v/>
      </c>
      <c r="F143" s="36" t="str">
        <f aca="false">IF($D143="","",IFERROR(INDEX('통합 ④ 설정'!$C$6:$C$40,MATCH($D143,'통합 ④ 설정'!$B$6:$B$40,0)),""))</f>
        <v/>
      </c>
      <c r="G143" s="39"/>
      <c r="H143" s="39"/>
      <c r="I143" s="40"/>
      <c r="J143" s="41"/>
      <c r="K143" s="38"/>
      <c r="L143" s="42" t="str">
        <f aca="false">IF($B143="","",IF(AND(N($I143)=0,N($J143)=0),"금액이 없습니다",IF(AND($I143&gt;0,$J143&gt;0),"수입·지출 둘 다 적혔습니다",IF($C143="","결제수단을 고르십시오",IF(ISNA(MATCH($C143,'통합 ③ 통장·카드'!$A$5:$A$11,0)),"③ 통장·카드에 없는 결제수단입니다",IF($D143="","계정과목을 고르십시오",IF($E143="※없는 과목","④ 설정에 없는 과목입니다",IF(AND($E143="수입",$J143&gt;0),"수입 과목인데 지출에 적혔습니다",IF(AND(LEFT($E143,2)&lt;&gt;"수입",$E143&lt;&gt;"대체",$I143&gt;0),"지출 과목인데 수입에 적혔습니다",IF($K143="","증빙을 고르십시오",IF(AND($C143="바우처통장",$J143&gt;0,IFERROR(INDEX('통합 ④ 설정'!$E$6:$E$40,MATCH($D143,'통합 ④ 설정'!$B$6:$B$40,0)),"")&lt;&gt;"○"),"바우처통장 지출 — 목적 확인",IF($H143="","적요를 적으십시오",""))))))))))))</f>
        <v/>
      </c>
      <c r="M143" s="39"/>
      <c r="O143" s="11" t="str">
        <f aca="false">IF($B143="","",YEAR($B143)*100+MONTH($B143))</f>
        <v/>
      </c>
      <c r="P143" s="11" t="str">
        <f aca="false">IF($B143="","",IF($E143="대체",0,1))</f>
        <v/>
      </c>
    </row>
    <row r="144" customFormat="false" ht="15" hidden="false" customHeight="false" outlineLevel="0" collapsed="false">
      <c r="A144" s="36" t="str">
        <f aca="false">IF($B144="","",COUNT($B$15:$B144))</f>
        <v/>
      </c>
      <c r="B144" s="37"/>
      <c r="C144" s="38"/>
      <c r="D144" s="39"/>
      <c r="E144" s="36" t="str">
        <f aca="false">IF($D144="","",IFERROR(INDEX('통합 ④ 설정'!$A$6:$A$40,MATCH($D144,'통합 ④ 설정'!$B$6:$B$40,0)),"※없는 과목"))</f>
        <v/>
      </c>
      <c r="F144" s="36" t="str">
        <f aca="false">IF($D144="","",IFERROR(INDEX('통합 ④ 설정'!$C$6:$C$40,MATCH($D144,'통합 ④ 설정'!$B$6:$B$40,0)),""))</f>
        <v/>
      </c>
      <c r="G144" s="39"/>
      <c r="H144" s="39"/>
      <c r="I144" s="40"/>
      <c r="J144" s="41"/>
      <c r="K144" s="38"/>
      <c r="L144" s="42" t="str">
        <f aca="false">IF($B144="","",IF(AND(N($I144)=0,N($J144)=0),"금액이 없습니다",IF(AND($I144&gt;0,$J144&gt;0),"수입·지출 둘 다 적혔습니다",IF($C144="","결제수단을 고르십시오",IF(ISNA(MATCH($C144,'통합 ③ 통장·카드'!$A$5:$A$11,0)),"③ 통장·카드에 없는 결제수단입니다",IF($D144="","계정과목을 고르십시오",IF($E144="※없는 과목","④ 설정에 없는 과목입니다",IF(AND($E144="수입",$J144&gt;0),"수입 과목인데 지출에 적혔습니다",IF(AND(LEFT($E144,2)&lt;&gt;"수입",$E144&lt;&gt;"대체",$I144&gt;0),"지출 과목인데 수입에 적혔습니다",IF($K144="","증빙을 고르십시오",IF(AND($C144="바우처통장",$J144&gt;0,IFERROR(INDEX('통합 ④ 설정'!$E$6:$E$40,MATCH($D144,'통합 ④ 설정'!$B$6:$B$40,0)),"")&lt;&gt;"○"),"바우처통장 지출 — 목적 확인",IF($H144="","적요를 적으십시오",""))))))))))))</f>
        <v/>
      </c>
      <c r="M144" s="39"/>
      <c r="O144" s="11" t="str">
        <f aca="false">IF($B144="","",YEAR($B144)*100+MONTH($B144))</f>
        <v/>
      </c>
      <c r="P144" s="11" t="str">
        <f aca="false">IF($B144="","",IF($E144="대체",0,1))</f>
        <v/>
      </c>
    </row>
    <row r="145" customFormat="false" ht="15" hidden="false" customHeight="false" outlineLevel="0" collapsed="false">
      <c r="A145" s="36" t="str">
        <f aca="false">IF($B145="","",COUNT($B$15:$B145))</f>
        <v/>
      </c>
      <c r="B145" s="37"/>
      <c r="C145" s="38"/>
      <c r="D145" s="39"/>
      <c r="E145" s="36" t="str">
        <f aca="false">IF($D145="","",IFERROR(INDEX('통합 ④ 설정'!$A$6:$A$40,MATCH($D145,'통합 ④ 설정'!$B$6:$B$40,0)),"※없는 과목"))</f>
        <v/>
      </c>
      <c r="F145" s="36" t="str">
        <f aca="false">IF($D145="","",IFERROR(INDEX('통합 ④ 설정'!$C$6:$C$40,MATCH($D145,'통합 ④ 설정'!$B$6:$B$40,0)),""))</f>
        <v/>
      </c>
      <c r="G145" s="39"/>
      <c r="H145" s="39"/>
      <c r="I145" s="40"/>
      <c r="J145" s="41"/>
      <c r="K145" s="38"/>
      <c r="L145" s="42" t="str">
        <f aca="false">IF($B145="","",IF(AND(N($I145)=0,N($J145)=0),"금액이 없습니다",IF(AND($I145&gt;0,$J145&gt;0),"수입·지출 둘 다 적혔습니다",IF($C145="","결제수단을 고르십시오",IF(ISNA(MATCH($C145,'통합 ③ 통장·카드'!$A$5:$A$11,0)),"③ 통장·카드에 없는 결제수단입니다",IF($D145="","계정과목을 고르십시오",IF($E145="※없는 과목","④ 설정에 없는 과목입니다",IF(AND($E145="수입",$J145&gt;0),"수입 과목인데 지출에 적혔습니다",IF(AND(LEFT($E145,2)&lt;&gt;"수입",$E145&lt;&gt;"대체",$I145&gt;0),"지출 과목인데 수입에 적혔습니다",IF($K145="","증빙을 고르십시오",IF(AND($C145="바우처통장",$J145&gt;0,IFERROR(INDEX('통합 ④ 설정'!$E$6:$E$40,MATCH($D145,'통합 ④ 설정'!$B$6:$B$40,0)),"")&lt;&gt;"○"),"바우처통장 지출 — 목적 확인",IF($H145="","적요를 적으십시오",""))))))))))))</f>
        <v/>
      </c>
      <c r="M145" s="39"/>
      <c r="O145" s="11" t="str">
        <f aca="false">IF($B145="","",YEAR($B145)*100+MONTH($B145))</f>
        <v/>
      </c>
      <c r="P145" s="11" t="str">
        <f aca="false">IF($B145="","",IF($E145="대체",0,1))</f>
        <v/>
      </c>
    </row>
    <row r="146" customFormat="false" ht="15" hidden="false" customHeight="false" outlineLevel="0" collapsed="false">
      <c r="A146" s="36" t="str">
        <f aca="false">IF($B146="","",COUNT($B$15:$B146))</f>
        <v/>
      </c>
      <c r="B146" s="37"/>
      <c r="C146" s="38"/>
      <c r="D146" s="39"/>
      <c r="E146" s="36" t="str">
        <f aca="false">IF($D146="","",IFERROR(INDEX('통합 ④ 설정'!$A$6:$A$40,MATCH($D146,'통합 ④ 설정'!$B$6:$B$40,0)),"※없는 과목"))</f>
        <v/>
      </c>
      <c r="F146" s="36" t="str">
        <f aca="false">IF($D146="","",IFERROR(INDEX('통합 ④ 설정'!$C$6:$C$40,MATCH($D146,'통합 ④ 설정'!$B$6:$B$40,0)),""))</f>
        <v/>
      </c>
      <c r="G146" s="39"/>
      <c r="H146" s="39"/>
      <c r="I146" s="40"/>
      <c r="J146" s="41"/>
      <c r="K146" s="38"/>
      <c r="L146" s="42" t="str">
        <f aca="false">IF($B146="","",IF(AND(N($I146)=0,N($J146)=0),"금액이 없습니다",IF(AND($I146&gt;0,$J146&gt;0),"수입·지출 둘 다 적혔습니다",IF($C146="","결제수단을 고르십시오",IF(ISNA(MATCH($C146,'통합 ③ 통장·카드'!$A$5:$A$11,0)),"③ 통장·카드에 없는 결제수단입니다",IF($D146="","계정과목을 고르십시오",IF($E146="※없는 과목","④ 설정에 없는 과목입니다",IF(AND($E146="수입",$J146&gt;0),"수입 과목인데 지출에 적혔습니다",IF(AND(LEFT($E146,2)&lt;&gt;"수입",$E146&lt;&gt;"대체",$I146&gt;0),"지출 과목인데 수입에 적혔습니다",IF($K146="","증빙을 고르십시오",IF(AND($C146="바우처통장",$J146&gt;0,IFERROR(INDEX('통합 ④ 설정'!$E$6:$E$40,MATCH($D146,'통합 ④ 설정'!$B$6:$B$40,0)),"")&lt;&gt;"○"),"바우처통장 지출 — 목적 확인",IF($H146="","적요를 적으십시오",""))))))))))))</f>
        <v/>
      </c>
      <c r="M146" s="39"/>
      <c r="O146" s="11" t="str">
        <f aca="false">IF($B146="","",YEAR($B146)*100+MONTH($B146))</f>
        <v/>
      </c>
      <c r="P146" s="11" t="str">
        <f aca="false">IF($B146="","",IF($E146="대체",0,1))</f>
        <v/>
      </c>
    </row>
    <row r="147" customFormat="false" ht="15" hidden="false" customHeight="false" outlineLevel="0" collapsed="false">
      <c r="A147" s="36" t="str">
        <f aca="false">IF($B147="","",COUNT($B$15:$B147))</f>
        <v/>
      </c>
      <c r="B147" s="37"/>
      <c r="C147" s="38"/>
      <c r="D147" s="39"/>
      <c r="E147" s="36" t="str">
        <f aca="false">IF($D147="","",IFERROR(INDEX('통합 ④ 설정'!$A$6:$A$40,MATCH($D147,'통합 ④ 설정'!$B$6:$B$40,0)),"※없는 과목"))</f>
        <v/>
      </c>
      <c r="F147" s="36" t="str">
        <f aca="false">IF($D147="","",IFERROR(INDEX('통합 ④ 설정'!$C$6:$C$40,MATCH($D147,'통합 ④ 설정'!$B$6:$B$40,0)),""))</f>
        <v/>
      </c>
      <c r="G147" s="39"/>
      <c r="H147" s="39"/>
      <c r="I147" s="40"/>
      <c r="J147" s="41"/>
      <c r="K147" s="38"/>
      <c r="L147" s="42" t="str">
        <f aca="false">IF($B147="","",IF(AND(N($I147)=0,N($J147)=0),"금액이 없습니다",IF(AND($I147&gt;0,$J147&gt;0),"수입·지출 둘 다 적혔습니다",IF($C147="","결제수단을 고르십시오",IF(ISNA(MATCH($C147,'통합 ③ 통장·카드'!$A$5:$A$11,0)),"③ 통장·카드에 없는 결제수단입니다",IF($D147="","계정과목을 고르십시오",IF($E147="※없는 과목","④ 설정에 없는 과목입니다",IF(AND($E147="수입",$J147&gt;0),"수입 과목인데 지출에 적혔습니다",IF(AND(LEFT($E147,2)&lt;&gt;"수입",$E147&lt;&gt;"대체",$I147&gt;0),"지출 과목인데 수입에 적혔습니다",IF($K147="","증빙을 고르십시오",IF(AND($C147="바우처통장",$J147&gt;0,IFERROR(INDEX('통합 ④ 설정'!$E$6:$E$40,MATCH($D147,'통합 ④ 설정'!$B$6:$B$40,0)),"")&lt;&gt;"○"),"바우처통장 지출 — 목적 확인",IF($H147="","적요를 적으십시오",""))))))))))))</f>
        <v/>
      </c>
      <c r="M147" s="39"/>
      <c r="O147" s="11" t="str">
        <f aca="false">IF($B147="","",YEAR($B147)*100+MONTH($B147))</f>
        <v/>
      </c>
      <c r="P147" s="11" t="str">
        <f aca="false">IF($B147="","",IF($E147="대체",0,1))</f>
        <v/>
      </c>
    </row>
    <row r="148" customFormat="false" ht="15" hidden="false" customHeight="false" outlineLevel="0" collapsed="false">
      <c r="A148" s="36" t="str">
        <f aca="false">IF($B148="","",COUNT($B$15:$B148))</f>
        <v/>
      </c>
      <c r="B148" s="37"/>
      <c r="C148" s="38"/>
      <c r="D148" s="39"/>
      <c r="E148" s="36" t="str">
        <f aca="false">IF($D148="","",IFERROR(INDEX('통합 ④ 설정'!$A$6:$A$40,MATCH($D148,'통합 ④ 설정'!$B$6:$B$40,0)),"※없는 과목"))</f>
        <v/>
      </c>
      <c r="F148" s="36" t="str">
        <f aca="false">IF($D148="","",IFERROR(INDEX('통합 ④ 설정'!$C$6:$C$40,MATCH($D148,'통합 ④ 설정'!$B$6:$B$40,0)),""))</f>
        <v/>
      </c>
      <c r="G148" s="39"/>
      <c r="H148" s="39"/>
      <c r="I148" s="40"/>
      <c r="J148" s="41"/>
      <c r="K148" s="38"/>
      <c r="L148" s="42" t="str">
        <f aca="false">IF($B148="","",IF(AND(N($I148)=0,N($J148)=0),"금액이 없습니다",IF(AND($I148&gt;0,$J148&gt;0),"수입·지출 둘 다 적혔습니다",IF($C148="","결제수단을 고르십시오",IF(ISNA(MATCH($C148,'통합 ③ 통장·카드'!$A$5:$A$11,0)),"③ 통장·카드에 없는 결제수단입니다",IF($D148="","계정과목을 고르십시오",IF($E148="※없는 과목","④ 설정에 없는 과목입니다",IF(AND($E148="수입",$J148&gt;0),"수입 과목인데 지출에 적혔습니다",IF(AND(LEFT($E148,2)&lt;&gt;"수입",$E148&lt;&gt;"대체",$I148&gt;0),"지출 과목인데 수입에 적혔습니다",IF($K148="","증빙을 고르십시오",IF(AND($C148="바우처통장",$J148&gt;0,IFERROR(INDEX('통합 ④ 설정'!$E$6:$E$40,MATCH($D148,'통합 ④ 설정'!$B$6:$B$40,0)),"")&lt;&gt;"○"),"바우처통장 지출 — 목적 확인",IF($H148="","적요를 적으십시오",""))))))))))))</f>
        <v/>
      </c>
      <c r="M148" s="39"/>
      <c r="O148" s="11" t="str">
        <f aca="false">IF($B148="","",YEAR($B148)*100+MONTH($B148))</f>
        <v/>
      </c>
      <c r="P148" s="11" t="str">
        <f aca="false">IF($B148="","",IF($E148="대체",0,1))</f>
        <v/>
      </c>
    </row>
    <row r="149" customFormat="false" ht="15" hidden="false" customHeight="false" outlineLevel="0" collapsed="false">
      <c r="A149" s="36" t="str">
        <f aca="false">IF($B149="","",COUNT($B$15:$B149))</f>
        <v/>
      </c>
      <c r="B149" s="37"/>
      <c r="C149" s="38"/>
      <c r="D149" s="39"/>
      <c r="E149" s="36" t="str">
        <f aca="false">IF($D149="","",IFERROR(INDEX('통합 ④ 설정'!$A$6:$A$40,MATCH($D149,'통합 ④ 설정'!$B$6:$B$40,0)),"※없는 과목"))</f>
        <v/>
      </c>
      <c r="F149" s="36" t="str">
        <f aca="false">IF($D149="","",IFERROR(INDEX('통합 ④ 설정'!$C$6:$C$40,MATCH($D149,'통합 ④ 설정'!$B$6:$B$40,0)),""))</f>
        <v/>
      </c>
      <c r="G149" s="39"/>
      <c r="H149" s="39"/>
      <c r="I149" s="40"/>
      <c r="J149" s="41"/>
      <c r="K149" s="38"/>
      <c r="L149" s="42" t="str">
        <f aca="false">IF($B149="","",IF(AND(N($I149)=0,N($J149)=0),"금액이 없습니다",IF(AND($I149&gt;0,$J149&gt;0),"수입·지출 둘 다 적혔습니다",IF($C149="","결제수단을 고르십시오",IF(ISNA(MATCH($C149,'통합 ③ 통장·카드'!$A$5:$A$11,0)),"③ 통장·카드에 없는 결제수단입니다",IF($D149="","계정과목을 고르십시오",IF($E149="※없는 과목","④ 설정에 없는 과목입니다",IF(AND($E149="수입",$J149&gt;0),"수입 과목인데 지출에 적혔습니다",IF(AND(LEFT($E149,2)&lt;&gt;"수입",$E149&lt;&gt;"대체",$I149&gt;0),"지출 과목인데 수입에 적혔습니다",IF($K149="","증빙을 고르십시오",IF(AND($C149="바우처통장",$J149&gt;0,IFERROR(INDEX('통합 ④ 설정'!$E$6:$E$40,MATCH($D149,'통합 ④ 설정'!$B$6:$B$40,0)),"")&lt;&gt;"○"),"바우처통장 지출 — 목적 확인",IF($H149="","적요를 적으십시오",""))))))))))))</f>
        <v/>
      </c>
      <c r="M149" s="39"/>
      <c r="O149" s="11" t="str">
        <f aca="false">IF($B149="","",YEAR($B149)*100+MONTH($B149))</f>
        <v/>
      </c>
      <c r="P149" s="11" t="str">
        <f aca="false">IF($B149="","",IF($E149="대체",0,1))</f>
        <v/>
      </c>
    </row>
    <row r="150" customFormat="false" ht="15" hidden="false" customHeight="false" outlineLevel="0" collapsed="false">
      <c r="A150" s="36" t="str">
        <f aca="false">IF($B150="","",COUNT($B$15:$B150))</f>
        <v/>
      </c>
      <c r="B150" s="37"/>
      <c r="C150" s="38"/>
      <c r="D150" s="39"/>
      <c r="E150" s="36" t="str">
        <f aca="false">IF($D150="","",IFERROR(INDEX('통합 ④ 설정'!$A$6:$A$40,MATCH($D150,'통합 ④ 설정'!$B$6:$B$40,0)),"※없는 과목"))</f>
        <v/>
      </c>
      <c r="F150" s="36" t="str">
        <f aca="false">IF($D150="","",IFERROR(INDEX('통합 ④ 설정'!$C$6:$C$40,MATCH($D150,'통합 ④ 설정'!$B$6:$B$40,0)),""))</f>
        <v/>
      </c>
      <c r="G150" s="39"/>
      <c r="H150" s="39"/>
      <c r="I150" s="40"/>
      <c r="J150" s="41"/>
      <c r="K150" s="38"/>
      <c r="L150" s="42" t="str">
        <f aca="false">IF($B150="","",IF(AND(N($I150)=0,N($J150)=0),"금액이 없습니다",IF(AND($I150&gt;0,$J150&gt;0),"수입·지출 둘 다 적혔습니다",IF($C150="","결제수단을 고르십시오",IF(ISNA(MATCH($C150,'통합 ③ 통장·카드'!$A$5:$A$11,0)),"③ 통장·카드에 없는 결제수단입니다",IF($D150="","계정과목을 고르십시오",IF($E150="※없는 과목","④ 설정에 없는 과목입니다",IF(AND($E150="수입",$J150&gt;0),"수입 과목인데 지출에 적혔습니다",IF(AND(LEFT($E150,2)&lt;&gt;"수입",$E150&lt;&gt;"대체",$I150&gt;0),"지출 과목인데 수입에 적혔습니다",IF($K150="","증빙을 고르십시오",IF(AND($C150="바우처통장",$J150&gt;0,IFERROR(INDEX('통합 ④ 설정'!$E$6:$E$40,MATCH($D150,'통합 ④ 설정'!$B$6:$B$40,0)),"")&lt;&gt;"○"),"바우처통장 지출 — 목적 확인",IF($H150="","적요를 적으십시오",""))))))))))))</f>
        <v/>
      </c>
      <c r="M150" s="39"/>
      <c r="O150" s="11" t="str">
        <f aca="false">IF($B150="","",YEAR($B150)*100+MONTH($B150))</f>
        <v/>
      </c>
      <c r="P150" s="11" t="str">
        <f aca="false">IF($B150="","",IF($E150="대체",0,1))</f>
        <v/>
      </c>
    </row>
    <row r="151" customFormat="false" ht="15" hidden="false" customHeight="false" outlineLevel="0" collapsed="false">
      <c r="A151" s="36" t="str">
        <f aca="false">IF($B151="","",COUNT($B$15:$B151))</f>
        <v/>
      </c>
      <c r="B151" s="37"/>
      <c r="C151" s="38"/>
      <c r="D151" s="39"/>
      <c r="E151" s="36" t="str">
        <f aca="false">IF($D151="","",IFERROR(INDEX('통합 ④ 설정'!$A$6:$A$40,MATCH($D151,'통합 ④ 설정'!$B$6:$B$40,0)),"※없는 과목"))</f>
        <v/>
      </c>
      <c r="F151" s="36" t="str">
        <f aca="false">IF($D151="","",IFERROR(INDEX('통합 ④ 설정'!$C$6:$C$40,MATCH($D151,'통합 ④ 설정'!$B$6:$B$40,0)),""))</f>
        <v/>
      </c>
      <c r="G151" s="39"/>
      <c r="H151" s="39"/>
      <c r="I151" s="40"/>
      <c r="J151" s="41"/>
      <c r="K151" s="38"/>
      <c r="L151" s="42" t="str">
        <f aca="false">IF($B151="","",IF(AND(N($I151)=0,N($J151)=0),"금액이 없습니다",IF(AND($I151&gt;0,$J151&gt;0),"수입·지출 둘 다 적혔습니다",IF($C151="","결제수단을 고르십시오",IF(ISNA(MATCH($C151,'통합 ③ 통장·카드'!$A$5:$A$11,0)),"③ 통장·카드에 없는 결제수단입니다",IF($D151="","계정과목을 고르십시오",IF($E151="※없는 과목","④ 설정에 없는 과목입니다",IF(AND($E151="수입",$J151&gt;0),"수입 과목인데 지출에 적혔습니다",IF(AND(LEFT($E151,2)&lt;&gt;"수입",$E151&lt;&gt;"대체",$I151&gt;0),"지출 과목인데 수입에 적혔습니다",IF($K151="","증빙을 고르십시오",IF(AND($C151="바우처통장",$J151&gt;0,IFERROR(INDEX('통합 ④ 설정'!$E$6:$E$40,MATCH($D151,'통합 ④ 설정'!$B$6:$B$40,0)),"")&lt;&gt;"○"),"바우처통장 지출 — 목적 확인",IF($H151="","적요를 적으십시오",""))))))))))))</f>
        <v/>
      </c>
      <c r="M151" s="39"/>
      <c r="O151" s="11" t="str">
        <f aca="false">IF($B151="","",YEAR($B151)*100+MONTH($B151))</f>
        <v/>
      </c>
      <c r="P151" s="11" t="str">
        <f aca="false">IF($B151="","",IF($E151="대체",0,1))</f>
        <v/>
      </c>
    </row>
    <row r="152" customFormat="false" ht="15" hidden="false" customHeight="false" outlineLevel="0" collapsed="false">
      <c r="A152" s="36" t="str">
        <f aca="false">IF($B152="","",COUNT($B$15:$B152))</f>
        <v/>
      </c>
      <c r="B152" s="37"/>
      <c r="C152" s="38"/>
      <c r="D152" s="39"/>
      <c r="E152" s="36" t="str">
        <f aca="false">IF($D152="","",IFERROR(INDEX('통합 ④ 설정'!$A$6:$A$40,MATCH($D152,'통합 ④ 설정'!$B$6:$B$40,0)),"※없는 과목"))</f>
        <v/>
      </c>
      <c r="F152" s="36" t="str">
        <f aca="false">IF($D152="","",IFERROR(INDEX('통합 ④ 설정'!$C$6:$C$40,MATCH($D152,'통합 ④ 설정'!$B$6:$B$40,0)),""))</f>
        <v/>
      </c>
      <c r="G152" s="39"/>
      <c r="H152" s="39"/>
      <c r="I152" s="40"/>
      <c r="J152" s="41"/>
      <c r="K152" s="38"/>
      <c r="L152" s="42" t="str">
        <f aca="false">IF($B152="","",IF(AND(N($I152)=0,N($J152)=0),"금액이 없습니다",IF(AND($I152&gt;0,$J152&gt;0),"수입·지출 둘 다 적혔습니다",IF($C152="","결제수단을 고르십시오",IF(ISNA(MATCH($C152,'통합 ③ 통장·카드'!$A$5:$A$11,0)),"③ 통장·카드에 없는 결제수단입니다",IF($D152="","계정과목을 고르십시오",IF($E152="※없는 과목","④ 설정에 없는 과목입니다",IF(AND($E152="수입",$J152&gt;0),"수입 과목인데 지출에 적혔습니다",IF(AND(LEFT($E152,2)&lt;&gt;"수입",$E152&lt;&gt;"대체",$I152&gt;0),"지출 과목인데 수입에 적혔습니다",IF($K152="","증빙을 고르십시오",IF(AND($C152="바우처통장",$J152&gt;0,IFERROR(INDEX('통합 ④ 설정'!$E$6:$E$40,MATCH($D152,'통합 ④ 설정'!$B$6:$B$40,0)),"")&lt;&gt;"○"),"바우처통장 지출 — 목적 확인",IF($H152="","적요를 적으십시오",""))))))))))))</f>
        <v/>
      </c>
      <c r="M152" s="39"/>
      <c r="O152" s="11" t="str">
        <f aca="false">IF($B152="","",YEAR($B152)*100+MONTH($B152))</f>
        <v/>
      </c>
      <c r="P152" s="11" t="str">
        <f aca="false">IF($B152="","",IF($E152="대체",0,1))</f>
        <v/>
      </c>
    </row>
    <row r="153" customFormat="false" ht="15" hidden="false" customHeight="false" outlineLevel="0" collapsed="false">
      <c r="A153" s="36" t="str">
        <f aca="false">IF($B153="","",COUNT($B$15:$B153))</f>
        <v/>
      </c>
      <c r="B153" s="37"/>
      <c r="C153" s="38"/>
      <c r="D153" s="39"/>
      <c r="E153" s="36" t="str">
        <f aca="false">IF($D153="","",IFERROR(INDEX('통합 ④ 설정'!$A$6:$A$40,MATCH($D153,'통합 ④ 설정'!$B$6:$B$40,0)),"※없는 과목"))</f>
        <v/>
      </c>
      <c r="F153" s="36" t="str">
        <f aca="false">IF($D153="","",IFERROR(INDEX('통합 ④ 설정'!$C$6:$C$40,MATCH($D153,'통합 ④ 설정'!$B$6:$B$40,0)),""))</f>
        <v/>
      </c>
      <c r="G153" s="39"/>
      <c r="H153" s="39"/>
      <c r="I153" s="40"/>
      <c r="J153" s="41"/>
      <c r="K153" s="38"/>
      <c r="L153" s="42" t="str">
        <f aca="false">IF($B153="","",IF(AND(N($I153)=0,N($J153)=0),"금액이 없습니다",IF(AND($I153&gt;0,$J153&gt;0),"수입·지출 둘 다 적혔습니다",IF($C153="","결제수단을 고르십시오",IF(ISNA(MATCH($C153,'통합 ③ 통장·카드'!$A$5:$A$11,0)),"③ 통장·카드에 없는 결제수단입니다",IF($D153="","계정과목을 고르십시오",IF($E153="※없는 과목","④ 설정에 없는 과목입니다",IF(AND($E153="수입",$J153&gt;0),"수입 과목인데 지출에 적혔습니다",IF(AND(LEFT($E153,2)&lt;&gt;"수입",$E153&lt;&gt;"대체",$I153&gt;0),"지출 과목인데 수입에 적혔습니다",IF($K153="","증빙을 고르십시오",IF(AND($C153="바우처통장",$J153&gt;0,IFERROR(INDEX('통합 ④ 설정'!$E$6:$E$40,MATCH($D153,'통합 ④ 설정'!$B$6:$B$40,0)),"")&lt;&gt;"○"),"바우처통장 지출 — 목적 확인",IF($H153="","적요를 적으십시오",""))))))))))))</f>
        <v/>
      </c>
      <c r="M153" s="39"/>
      <c r="O153" s="11" t="str">
        <f aca="false">IF($B153="","",YEAR($B153)*100+MONTH($B153))</f>
        <v/>
      </c>
      <c r="P153" s="11" t="str">
        <f aca="false">IF($B153="","",IF($E153="대체",0,1))</f>
        <v/>
      </c>
    </row>
    <row r="154" customFormat="false" ht="15" hidden="false" customHeight="false" outlineLevel="0" collapsed="false">
      <c r="A154" s="36" t="str">
        <f aca="false">IF($B154="","",COUNT($B$15:$B154))</f>
        <v/>
      </c>
      <c r="B154" s="37"/>
      <c r="C154" s="38"/>
      <c r="D154" s="39"/>
      <c r="E154" s="36" t="str">
        <f aca="false">IF($D154="","",IFERROR(INDEX('통합 ④ 설정'!$A$6:$A$40,MATCH($D154,'통합 ④ 설정'!$B$6:$B$40,0)),"※없는 과목"))</f>
        <v/>
      </c>
      <c r="F154" s="36" t="str">
        <f aca="false">IF($D154="","",IFERROR(INDEX('통합 ④ 설정'!$C$6:$C$40,MATCH($D154,'통합 ④ 설정'!$B$6:$B$40,0)),""))</f>
        <v/>
      </c>
      <c r="G154" s="39"/>
      <c r="H154" s="39"/>
      <c r="I154" s="40"/>
      <c r="J154" s="41"/>
      <c r="K154" s="38"/>
      <c r="L154" s="42" t="str">
        <f aca="false">IF($B154="","",IF(AND(N($I154)=0,N($J154)=0),"금액이 없습니다",IF(AND($I154&gt;0,$J154&gt;0),"수입·지출 둘 다 적혔습니다",IF($C154="","결제수단을 고르십시오",IF(ISNA(MATCH($C154,'통합 ③ 통장·카드'!$A$5:$A$11,0)),"③ 통장·카드에 없는 결제수단입니다",IF($D154="","계정과목을 고르십시오",IF($E154="※없는 과목","④ 설정에 없는 과목입니다",IF(AND($E154="수입",$J154&gt;0),"수입 과목인데 지출에 적혔습니다",IF(AND(LEFT($E154,2)&lt;&gt;"수입",$E154&lt;&gt;"대체",$I154&gt;0),"지출 과목인데 수입에 적혔습니다",IF($K154="","증빙을 고르십시오",IF(AND($C154="바우처통장",$J154&gt;0,IFERROR(INDEX('통합 ④ 설정'!$E$6:$E$40,MATCH($D154,'통합 ④ 설정'!$B$6:$B$40,0)),"")&lt;&gt;"○"),"바우처통장 지출 — 목적 확인",IF($H154="","적요를 적으십시오",""))))))))))))</f>
        <v/>
      </c>
      <c r="M154" s="39"/>
      <c r="O154" s="11" t="str">
        <f aca="false">IF($B154="","",YEAR($B154)*100+MONTH($B154))</f>
        <v/>
      </c>
      <c r="P154" s="11" t="str">
        <f aca="false">IF($B154="","",IF($E154="대체",0,1))</f>
        <v/>
      </c>
    </row>
    <row r="155" customFormat="false" ht="15" hidden="false" customHeight="false" outlineLevel="0" collapsed="false">
      <c r="A155" s="36" t="str">
        <f aca="false">IF($B155="","",COUNT($B$15:$B155))</f>
        <v/>
      </c>
      <c r="B155" s="37"/>
      <c r="C155" s="38"/>
      <c r="D155" s="39"/>
      <c r="E155" s="36" t="str">
        <f aca="false">IF($D155="","",IFERROR(INDEX('통합 ④ 설정'!$A$6:$A$40,MATCH($D155,'통합 ④ 설정'!$B$6:$B$40,0)),"※없는 과목"))</f>
        <v/>
      </c>
      <c r="F155" s="36" t="str">
        <f aca="false">IF($D155="","",IFERROR(INDEX('통합 ④ 설정'!$C$6:$C$40,MATCH($D155,'통합 ④ 설정'!$B$6:$B$40,0)),""))</f>
        <v/>
      </c>
      <c r="G155" s="39"/>
      <c r="H155" s="39"/>
      <c r="I155" s="40"/>
      <c r="J155" s="41"/>
      <c r="K155" s="38"/>
      <c r="L155" s="42" t="str">
        <f aca="false">IF($B155="","",IF(AND(N($I155)=0,N($J155)=0),"금액이 없습니다",IF(AND($I155&gt;0,$J155&gt;0),"수입·지출 둘 다 적혔습니다",IF($C155="","결제수단을 고르십시오",IF(ISNA(MATCH($C155,'통합 ③ 통장·카드'!$A$5:$A$11,0)),"③ 통장·카드에 없는 결제수단입니다",IF($D155="","계정과목을 고르십시오",IF($E155="※없는 과목","④ 설정에 없는 과목입니다",IF(AND($E155="수입",$J155&gt;0),"수입 과목인데 지출에 적혔습니다",IF(AND(LEFT($E155,2)&lt;&gt;"수입",$E155&lt;&gt;"대체",$I155&gt;0),"지출 과목인데 수입에 적혔습니다",IF($K155="","증빙을 고르십시오",IF(AND($C155="바우처통장",$J155&gt;0,IFERROR(INDEX('통합 ④ 설정'!$E$6:$E$40,MATCH($D155,'통합 ④ 설정'!$B$6:$B$40,0)),"")&lt;&gt;"○"),"바우처통장 지출 — 목적 확인",IF($H155="","적요를 적으십시오",""))))))))))))</f>
        <v/>
      </c>
      <c r="M155" s="39"/>
      <c r="O155" s="11" t="str">
        <f aca="false">IF($B155="","",YEAR($B155)*100+MONTH($B155))</f>
        <v/>
      </c>
      <c r="P155" s="11" t="str">
        <f aca="false">IF($B155="","",IF($E155="대체",0,1))</f>
        <v/>
      </c>
    </row>
    <row r="156" customFormat="false" ht="15" hidden="false" customHeight="false" outlineLevel="0" collapsed="false">
      <c r="A156" s="36" t="str">
        <f aca="false">IF($B156="","",COUNT($B$15:$B156))</f>
        <v/>
      </c>
      <c r="B156" s="37"/>
      <c r="C156" s="38"/>
      <c r="D156" s="39"/>
      <c r="E156" s="36" t="str">
        <f aca="false">IF($D156="","",IFERROR(INDEX('통합 ④ 설정'!$A$6:$A$40,MATCH($D156,'통합 ④ 설정'!$B$6:$B$40,0)),"※없는 과목"))</f>
        <v/>
      </c>
      <c r="F156" s="36" t="str">
        <f aca="false">IF($D156="","",IFERROR(INDEX('통합 ④ 설정'!$C$6:$C$40,MATCH($D156,'통합 ④ 설정'!$B$6:$B$40,0)),""))</f>
        <v/>
      </c>
      <c r="G156" s="39"/>
      <c r="H156" s="39"/>
      <c r="I156" s="40"/>
      <c r="J156" s="41"/>
      <c r="K156" s="38"/>
      <c r="L156" s="42" t="str">
        <f aca="false">IF($B156="","",IF(AND(N($I156)=0,N($J156)=0),"금액이 없습니다",IF(AND($I156&gt;0,$J156&gt;0),"수입·지출 둘 다 적혔습니다",IF($C156="","결제수단을 고르십시오",IF(ISNA(MATCH($C156,'통합 ③ 통장·카드'!$A$5:$A$11,0)),"③ 통장·카드에 없는 결제수단입니다",IF($D156="","계정과목을 고르십시오",IF($E156="※없는 과목","④ 설정에 없는 과목입니다",IF(AND($E156="수입",$J156&gt;0),"수입 과목인데 지출에 적혔습니다",IF(AND(LEFT($E156,2)&lt;&gt;"수입",$E156&lt;&gt;"대체",$I156&gt;0),"지출 과목인데 수입에 적혔습니다",IF($K156="","증빙을 고르십시오",IF(AND($C156="바우처통장",$J156&gt;0,IFERROR(INDEX('통합 ④ 설정'!$E$6:$E$40,MATCH($D156,'통합 ④ 설정'!$B$6:$B$40,0)),"")&lt;&gt;"○"),"바우처통장 지출 — 목적 확인",IF($H156="","적요를 적으십시오",""))))))))))))</f>
        <v/>
      </c>
      <c r="M156" s="39"/>
      <c r="O156" s="11" t="str">
        <f aca="false">IF($B156="","",YEAR($B156)*100+MONTH($B156))</f>
        <v/>
      </c>
      <c r="P156" s="11" t="str">
        <f aca="false">IF($B156="","",IF($E156="대체",0,1))</f>
        <v/>
      </c>
    </row>
    <row r="157" customFormat="false" ht="15" hidden="false" customHeight="false" outlineLevel="0" collapsed="false">
      <c r="A157" s="36" t="str">
        <f aca="false">IF($B157="","",COUNT($B$15:$B157))</f>
        <v/>
      </c>
      <c r="B157" s="37"/>
      <c r="C157" s="38"/>
      <c r="D157" s="39"/>
      <c r="E157" s="36" t="str">
        <f aca="false">IF($D157="","",IFERROR(INDEX('통합 ④ 설정'!$A$6:$A$40,MATCH($D157,'통합 ④ 설정'!$B$6:$B$40,0)),"※없는 과목"))</f>
        <v/>
      </c>
      <c r="F157" s="36" t="str">
        <f aca="false">IF($D157="","",IFERROR(INDEX('통합 ④ 설정'!$C$6:$C$40,MATCH($D157,'통합 ④ 설정'!$B$6:$B$40,0)),""))</f>
        <v/>
      </c>
      <c r="G157" s="39"/>
      <c r="H157" s="39"/>
      <c r="I157" s="40"/>
      <c r="J157" s="41"/>
      <c r="K157" s="38"/>
      <c r="L157" s="42" t="str">
        <f aca="false">IF($B157="","",IF(AND(N($I157)=0,N($J157)=0),"금액이 없습니다",IF(AND($I157&gt;0,$J157&gt;0),"수입·지출 둘 다 적혔습니다",IF($C157="","결제수단을 고르십시오",IF(ISNA(MATCH($C157,'통합 ③ 통장·카드'!$A$5:$A$11,0)),"③ 통장·카드에 없는 결제수단입니다",IF($D157="","계정과목을 고르십시오",IF($E157="※없는 과목","④ 설정에 없는 과목입니다",IF(AND($E157="수입",$J157&gt;0),"수입 과목인데 지출에 적혔습니다",IF(AND(LEFT($E157,2)&lt;&gt;"수입",$E157&lt;&gt;"대체",$I157&gt;0),"지출 과목인데 수입에 적혔습니다",IF($K157="","증빙을 고르십시오",IF(AND($C157="바우처통장",$J157&gt;0,IFERROR(INDEX('통합 ④ 설정'!$E$6:$E$40,MATCH($D157,'통합 ④ 설정'!$B$6:$B$40,0)),"")&lt;&gt;"○"),"바우처통장 지출 — 목적 확인",IF($H157="","적요를 적으십시오",""))))))))))))</f>
        <v/>
      </c>
      <c r="M157" s="39"/>
      <c r="O157" s="11" t="str">
        <f aca="false">IF($B157="","",YEAR($B157)*100+MONTH($B157))</f>
        <v/>
      </c>
      <c r="P157" s="11" t="str">
        <f aca="false">IF($B157="","",IF($E157="대체",0,1))</f>
        <v/>
      </c>
    </row>
    <row r="158" customFormat="false" ht="15" hidden="false" customHeight="false" outlineLevel="0" collapsed="false">
      <c r="A158" s="36" t="str">
        <f aca="false">IF($B158="","",COUNT($B$15:$B158))</f>
        <v/>
      </c>
      <c r="B158" s="37"/>
      <c r="C158" s="38"/>
      <c r="D158" s="39"/>
      <c r="E158" s="36" t="str">
        <f aca="false">IF($D158="","",IFERROR(INDEX('통합 ④ 설정'!$A$6:$A$40,MATCH($D158,'통합 ④ 설정'!$B$6:$B$40,0)),"※없는 과목"))</f>
        <v/>
      </c>
      <c r="F158" s="36" t="str">
        <f aca="false">IF($D158="","",IFERROR(INDEX('통합 ④ 설정'!$C$6:$C$40,MATCH($D158,'통합 ④ 설정'!$B$6:$B$40,0)),""))</f>
        <v/>
      </c>
      <c r="G158" s="39"/>
      <c r="H158" s="39"/>
      <c r="I158" s="40"/>
      <c r="J158" s="41"/>
      <c r="K158" s="38"/>
      <c r="L158" s="42" t="str">
        <f aca="false">IF($B158="","",IF(AND(N($I158)=0,N($J158)=0),"금액이 없습니다",IF(AND($I158&gt;0,$J158&gt;0),"수입·지출 둘 다 적혔습니다",IF($C158="","결제수단을 고르십시오",IF(ISNA(MATCH($C158,'통합 ③ 통장·카드'!$A$5:$A$11,0)),"③ 통장·카드에 없는 결제수단입니다",IF($D158="","계정과목을 고르십시오",IF($E158="※없는 과목","④ 설정에 없는 과목입니다",IF(AND($E158="수입",$J158&gt;0),"수입 과목인데 지출에 적혔습니다",IF(AND(LEFT($E158,2)&lt;&gt;"수입",$E158&lt;&gt;"대체",$I158&gt;0),"지출 과목인데 수입에 적혔습니다",IF($K158="","증빙을 고르십시오",IF(AND($C158="바우처통장",$J158&gt;0,IFERROR(INDEX('통합 ④ 설정'!$E$6:$E$40,MATCH($D158,'통합 ④ 설정'!$B$6:$B$40,0)),"")&lt;&gt;"○"),"바우처통장 지출 — 목적 확인",IF($H158="","적요를 적으십시오",""))))))))))))</f>
        <v/>
      </c>
      <c r="M158" s="39"/>
      <c r="O158" s="11" t="str">
        <f aca="false">IF($B158="","",YEAR($B158)*100+MONTH($B158))</f>
        <v/>
      </c>
      <c r="P158" s="11" t="str">
        <f aca="false">IF($B158="","",IF($E158="대체",0,1))</f>
        <v/>
      </c>
    </row>
    <row r="159" customFormat="false" ht="15" hidden="false" customHeight="false" outlineLevel="0" collapsed="false">
      <c r="A159" s="36" t="str">
        <f aca="false">IF($B159="","",COUNT($B$15:$B159))</f>
        <v/>
      </c>
      <c r="B159" s="37"/>
      <c r="C159" s="38"/>
      <c r="D159" s="39"/>
      <c r="E159" s="36" t="str">
        <f aca="false">IF($D159="","",IFERROR(INDEX('통합 ④ 설정'!$A$6:$A$40,MATCH($D159,'통합 ④ 설정'!$B$6:$B$40,0)),"※없는 과목"))</f>
        <v/>
      </c>
      <c r="F159" s="36" t="str">
        <f aca="false">IF($D159="","",IFERROR(INDEX('통합 ④ 설정'!$C$6:$C$40,MATCH($D159,'통합 ④ 설정'!$B$6:$B$40,0)),""))</f>
        <v/>
      </c>
      <c r="G159" s="39"/>
      <c r="H159" s="39"/>
      <c r="I159" s="40"/>
      <c r="J159" s="41"/>
      <c r="K159" s="38"/>
      <c r="L159" s="42" t="str">
        <f aca="false">IF($B159="","",IF(AND(N($I159)=0,N($J159)=0),"금액이 없습니다",IF(AND($I159&gt;0,$J159&gt;0),"수입·지출 둘 다 적혔습니다",IF($C159="","결제수단을 고르십시오",IF(ISNA(MATCH($C159,'통합 ③ 통장·카드'!$A$5:$A$11,0)),"③ 통장·카드에 없는 결제수단입니다",IF($D159="","계정과목을 고르십시오",IF($E159="※없는 과목","④ 설정에 없는 과목입니다",IF(AND($E159="수입",$J159&gt;0),"수입 과목인데 지출에 적혔습니다",IF(AND(LEFT($E159,2)&lt;&gt;"수입",$E159&lt;&gt;"대체",$I159&gt;0),"지출 과목인데 수입에 적혔습니다",IF($K159="","증빙을 고르십시오",IF(AND($C159="바우처통장",$J159&gt;0,IFERROR(INDEX('통합 ④ 설정'!$E$6:$E$40,MATCH($D159,'통합 ④ 설정'!$B$6:$B$40,0)),"")&lt;&gt;"○"),"바우처통장 지출 — 목적 확인",IF($H159="","적요를 적으십시오",""))))))))))))</f>
        <v/>
      </c>
      <c r="M159" s="39"/>
      <c r="O159" s="11" t="str">
        <f aca="false">IF($B159="","",YEAR($B159)*100+MONTH($B159))</f>
        <v/>
      </c>
      <c r="P159" s="11" t="str">
        <f aca="false">IF($B159="","",IF($E159="대체",0,1))</f>
        <v/>
      </c>
    </row>
    <row r="160" customFormat="false" ht="15" hidden="false" customHeight="false" outlineLevel="0" collapsed="false">
      <c r="A160" s="36" t="str">
        <f aca="false">IF($B160="","",COUNT($B$15:$B160))</f>
        <v/>
      </c>
      <c r="B160" s="37"/>
      <c r="C160" s="38"/>
      <c r="D160" s="39"/>
      <c r="E160" s="36" t="str">
        <f aca="false">IF($D160="","",IFERROR(INDEX('통합 ④ 설정'!$A$6:$A$40,MATCH($D160,'통합 ④ 설정'!$B$6:$B$40,0)),"※없는 과목"))</f>
        <v/>
      </c>
      <c r="F160" s="36" t="str">
        <f aca="false">IF($D160="","",IFERROR(INDEX('통합 ④ 설정'!$C$6:$C$40,MATCH($D160,'통합 ④ 설정'!$B$6:$B$40,0)),""))</f>
        <v/>
      </c>
      <c r="G160" s="39"/>
      <c r="H160" s="39"/>
      <c r="I160" s="40"/>
      <c r="J160" s="41"/>
      <c r="K160" s="38"/>
      <c r="L160" s="42" t="str">
        <f aca="false">IF($B160="","",IF(AND(N($I160)=0,N($J160)=0),"금액이 없습니다",IF(AND($I160&gt;0,$J160&gt;0),"수입·지출 둘 다 적혔습니다",IF($C160="","결제수단을 고르십시오",IF(ISNA(MATCH($C160,'통합 ③ 통장·카드'!$A$5:$A$11,0)),"③ 통장·카드에 없는 결제수단입니다",IF($D160="","계정과목을 고르십시오",IF($E160="※없는 과목","④ 설정에 없는 과목입니다",IF(AND($E160="수입",$J160&gt;0),"수입 과목인데 지출에 적혔습니다",IF(AND(LEFT($E160,2)&lt;&gt;"수입",$E160&lt;&gt;"대체",$I160&gt;0),"지출 과목인데 수입에 적혔습니다",IF($K160="","증빙을 고르십시오",IF(AND($C160="바우처통장",$J160&gt;0,IFERROR(INDEX('통합 ④ 설정'!$E$6:$E$40,MATCH($D160,'통합 ④ 설정'!$B$6:$B$40,0)),"")&lt;&gt;"○"),"바우처통장 지출 — 목적 확인",IF($H160="","적요를 적으십시오",""))))))))))))</f>
        <v/>
      </c>
      <c r="M160" s="39"/>
      <c r="O160" s="11" t="str">
        <f aca="false">IF($B160="","",YEAR($B160)*100+MONTH($B160))</f>
        <v/>
      </c>
      <c r="P160" s="11" t="str">
        <f aca="false">IF($B160="","",IF($E160="대체",0,1))</f>
        <v/>
      </c>
    </row>
    <row r="161" customFormat="false" ht="15" hidden="false" customHeight="false" outlineLevel="0" collapsed="false">
      <c r="A161" s="36" t="str">
        <f aca="false">IF($B161="","",COUNT($B$15:$B161))</f>
        <v/>
      </c>
      <c r="B161" s="37"/>
      <c r="C161" s="38"/>
      <c r="D161" s="39"/>
      <c r="E161" s="36" t="str">
        <f aca="false">IF($D161="","",IFERROR(INDEX('통합 ④ 설정'!$A$6:$A$40,MATCH($D161,'통합 ④ 설정'!$B$6:$B$40,0)),"※없는 과목"))</f>
        <v/>
      </c>
      <c r="F161" s="36" t="str">
        <f aca="false">IF($D161="","",IFERROR(INDEX('통합 ④ 설정'!$C$6:$C$40,MATCH($D161,'통합 ④ 설정'!$B$6:$B$40,0)),""))</f>
        <v/>
      </c>
      <c r="G161" s="39"/>
      <c r="H161" s="39"/>
      <c r="I161" s="40"/>
      <c r="J161" s="41"/>
      <c r="K161" s="38"/>
      <c r="L161" s="42" t="str">
        <f aca="false">IF($B161="","",IF(AND(N($I161)=0,N($J161)=0),"금액이 없습니다",IF(AND($I161&gt;0,$J161&gt;0),"수입·지출 둘 다 적혔습니다",IF($C161="","결제수단을 고르십시오",IF(ISNA(MATCH($C161,'통합 ③ 통장·카드'!$A$5:$A$11,0)),"③ 통장·카드에 없는 결제수단입니다",IF($D161="","계정과목을 고르십시오",IF($E161="※없는 과목","④ 설정에 없는 과목입니다",IF(AND($E161="수입",$J161&gt;0),"수입 과목인데 지출에 적혔습니다",IF(AND(LEFT($E161,2)&lt;&gt;"수입",$E161&lt;&gt;"대체",$I161&gt;0),"지출 과목인데 수입에 적혔습니다",IF($K161="","증빙을 고르십시오",IF(AND($C161="바우처통장",$J161&gt;0,IFERROR(INDEX('통합 ④ 설정'!$E$6:$E$40,MATCH($D161,'통합 ④ 설정'!$B$6:$B$40,0)),"")&lt;&gt;"○"),"바우처통장 지출 — 목적 확인",IF($H161="","적요를 적으십시오",""))))))))))))</f>
        <v/>
      </c>
      <c r="M161" s="39"/>
      <c r="O161" s="11" t="str">
        <f aca="false">IF($B161="","",YEAR($B161)*100+MONTH($B161))</f>
        <v/>
      </c>
      <c r="P161" s="11" t="str">
        <f aca="false">IF($B161="","",IF($E161="대체",0,1))</f>
        <v/>
      </c>
    </row>
    <row r="162" customFormat="false" ht="15" hidden="false" customHeight="false" outlineLevel="0" collapsed="false">
      <c r="A162" s="36" t="str">
        <f aca="false">IF($B162="","",COUNT($B$15:$B162))</f>
        <v/>
      </c>
      <c r="B162" s="37"/>
      <c r="C162" s="38"/>
      <c r="D162" s="39"/>
      <c r="E162" s="36" t="str">
        <f aca="false">IF($D162="","",IFERROR(INDEX('통합 ④ 설정'!$A$6:$A$40,MATCH($D162,'통합 ④ 설정'!$B$6:$B$40,0)),"※없는 과목"))</f>
        <v/>
      </c>
      <c r="F162" s="36" t="str">
        <f aca="false">IF($D162="","",IFERROR(INDEX('통합 ④ 설정'!$C$6:$C$40,MATCH($D162,'통합 ④ 설정'!$B$6:$B$40,0)),""))</f>
        <v/>
      </c>
      <c r="G162" s="39"/>
      <c r="H162" s="39"/>
      <c r="I162" s="40"/>
      <c r="J162" s="41"/>
      <c r="K162" s="38"/>
      <c r="L162" s="42" t="str">
        <f aca="false">IF($B162="","",IF(AND(N($I162)=0,N($J162)=0),"금액이 없습니다",IF(AND($I162&gt;0,$J162&gt;0),"수입·지출 둘 다 적혔습니다",IF($C162="","결제수단을 고르십시오",IF(ISNA(MATCH($C162,'통합 ③ 통장·카드'!$A$5:$A$11,0)),"③ 통장·카드에 없는 결제수단입니다",IF($D162="","계정과목을 고르십시오",IF($E162="※없는 과목","④ 설정에 없는 과목입니다",IF(AND($E162="수입",$J162&gt;0),"수입 과목인데 지출에 적혔습니다",IF(AND(LEFT($E162,2)&lt;&gt;"수입",$E162&lt;&gt;"대체",$I162&gt;0),"지출 과목인데 수입에 적혔습니다",IF($K162="","증빙을 고르십시오",IF(AND($C162="바우처통장",$J162&gt;0,IFERROR(INDEX('통합 ④ 설정'!$E$6:$E$40,MATCH($D162,'통합 ④ 설정'!$B$6:$B$40,0)),"")&lt;&gt;"○"),"바우처통장 지출 — 목적 확인",IF($H162="","적요를 적으십시오",""))))))))))))</f>
        <v/>
      </c>
      <c r="M162" s="39"/>
      <c r="O162" s="11" t="str">
        <f aca="false">IF($B162="","",YEAR($B162)*100+MONTH($B162))</f>
        <v/>
      </c>
      <c r="P162" s="11" t="str">
        <f aca="false">IF($B162="","",IF($E162="대체",0,1))</f>
        <v/>
      </c>
    </row>
    <row r="163" customFormat="false" ht="15" hidden="false" customHeight="false" outlineLevel="0" collapsed="false">
      <c r="A163" s="36" t="str">
        <f aca="false">IF($B163="","",COUNT($B$15:$B163))</f>
        <v/>
      </c>
      <c r="B163" s="37"/>
      <c r="C163" s="38"/>
      <c r="D163" s="39"/>
      <c r="E163" s="36" t="str">
        <f aca="false">IF($D163="","",IFERROR(INDEX('통합 ④ 설정'!$A$6:$A$40,MATCH($D163,'통합 ④ 설정'!$B$6:$B$40,0)),"※없는 과목"))</f>
        <v/>
      </c>
      <c r="F163" s="36" t="str">
        <f aca="false">IF($D163="","",IFERROR(INDEX('통합 ④ 설정'!$C$6:$C$40,MATCH($D163,'통합 ④ 설정'!$B$6:$B$40,0)),""))</f>
        <v/>
      </c>
      <c r="G163" s="39"/>
      <c r="H163" s="39"/>
      <c r="I163" s="40"/>
      <c r="J163" s="41"/>
      <c r="K163" s="38"/>
      <c r="L163" s="42" t="str">
        <f aca="false">IF($B163="","",IF(AND(N($I163)=0,N($J163)=0),"금액이 없습니다",IF(AND($I163&gt;0,$J163&gt;0),"수입·지출 둘 다 적혔습니다",IF($C163="","결제수단을 고르십시오",IF(ISNA(MATCH($C163,'통합 ③ 통장·카드'!$A$5:$A$11,0)),"③ 통장·카드에 없는 결제수단입니다",IF($D163="","계정과목을 고르십시오",IF($E163="※없는 과목","④ 설정에 없는 과목입니다",IF(AND($E163="수입",$J163&gt;0),"수입 과목인데 지출에 적혔습니다",IF(AND(LEFT($E163,2)&lt;&gt;"수입",$E163&lt;&gt;"대체",$I163&gt;0),"지출 과목인데 수입에 적혔습니다",IF($K163="","증빙을 고르십시오",IF(AND($C163="바우처통장",$J163&gt;0,IFERROR(INDEX('통합 ④ 설정'!$E$6:$E$40,MATCH($D163,'통합 ④ 설정'!$B$6:$B$40,0)),"")&lt;&gt;"○"),"바우처통장 지출 — 목적 확인",IF($H163="","적요를 적으십시오",""))))))))))))</f>
        <v/>
      </c>
      <c r="M163" s="39"/>
      <c r="O163" s="11" t="str">
        <f aca="false">IF($B163="","",YEAR($B163)*100+MONTH($B163))</f>
        <v/>
      </c>
      <c r="P163" s="11" t="str">
        <f aca="false">IF($B163="","",IF($E163="대체",0,1))</f>
        <v/>
      </c>
    </row>
    <row r="164" customFormat="false" ht="15" hidden="false" customHeight="false" outlineLevel="0" collapsed="false">
      <c r="A164" s="36" t="str">
        <f aca="false">IF($B164="","",COUNT($B$15:$B164))</f>
        <v/>
      </c>
      <c r="B164" s="37"/>
      <c r="C164" s="38"/>
      <c r="D164" s="39"/>
      <c r="E164" s="36" t="str">
        <f aca="false">IF($D164="","",IFERROR(INDEX('통합 ④ 설정'!$A$6:$A$40,MATCH($D164,'통합 ④ 설정'!$B$6:$B$40,0)),"※없는 과목"))</f>
        <v/>
      </c>
      <c r="F164" s="36" t="str">
        <f aca="false">IF($D164="","",IFERROR(INDEX('통합 ④ 설정'!$C$6:$C$40,MATCH($D164,'통합 ④ 설정'!$B$6:$B$40,0)),""))</f>
        <v/>
      </c>
      <c r="G164" s="39"/>
      <c r="H164" s="39"/>
      <c r="I164" s="40"/>
      <c r="J164" s="41"/>
      <c r="K164" s="38"/>
      <c r="L164" s="42" t="str">
        <f aca="false">IF($B164="","",IF(AND(N($I164)=0,N($J164)=0),"금액이 없습니다",IF(AND($I164&gt;0,$J164&gt;0),"수입·지출 둘 다 적혔습니다",IF($C164="","결제수단을 고르십시오",IF(ISNA(MATCH($C164,'통합 ③ 통장·카드'!$A$5:$A$11,0)),"③ 통장·카드에 없는 결제수단입니다",IF($D164="","계정과목을 고르십시오",IF($E164="※없는 과목","④ 설정에 없는 과목입니다",IF(AND($E164="수입",$J164&gt;0),"수입 과목인데 지출에 적혔습니다",IF(AND(LEFT($E164,2)&lt;&gt;"수입",$E164&lt;&gt;"대체",$I164&gt;0),"지출 과목인데 수입에 적혔습니다",IF($K164="","증빙을 고르십시오",IF(AND($C164="바우처통장",$J164&gt;0,IFERROR(INDEX('통합 ④ 설정'!$E$6:$E$40,MATCH($D164,'통합 ④ 설정'!$B$6:$B$40,0)),"")&lt;&gt;"○"),"바우처통장 지출 — 목적 확인",IF($H164="","적요를 적으십시오",""))))))))))))</f>
        <v/>
      </c>
      <c r="M164" s="39"/>
      <c r="O164" s="11" t="str">
        <f aca="false">IF($B164="","",YEAR($B164)*100+MONTH($B164))</f>
        <v/>
      </c>
      <c r="P164" s="11" t="str">
        <f aca="false">IF($B164="","",IF($E164="대체",0,1))</f>
        <v/>
      </c>
    </row>
    <row r="165" customFormat="false" ht="15" hidden="false" customHeight="false" outlineLevel="0" collapsed="false">
      <c r="A165" s="36" t="str">
        <f aca="false">IF($B165="","",COUNT($B$15:$B165))</f>
        <v/>
      </c>
      <c r="B165" s="37"/>
      <c r="C165" s="38"/>
      <c r="D165" s="39"/>
      <c r="E165" s="36" t="str">
        <f aca="false">IF($D165="","",IFERROR(INDEX('통합 ④ 설정'!$A$6:$A$40,MATCH($D165,'통합 ④ 설정'!$B$6:$B$40,0)),"※없는 과목"))</f>
        <v/>
      </c>
      <c r="F165" s="36" t="str">
        <f aca="false">IF($D165="","",IFERROR(INDEX('통합 ④ 설정'!$C$6:$C$40,MATCH($D165,'통합 ④ 설정'!$B$6:$B$40,0)),""))</f>
        <v/>
      </c>
      <c r="G165" s="39"/>
      <c r="H165" s="39"/>
      <c r="I165" s="40"/>
      <c r="J165" s="41"/>
      <c r="K165" s="38"/>
      <c r="L165" s="42" t="str">
        <f aca="false">IF($B165="","",IF(AND(N($I165)=0,N($J165)=0),"금액이 없습니다",IF(AND($I165&gt;0,$J165&gt;0),"수입·지출 둘 다 적혔습니다",IF($C165="","결제수단을 고르십시오",IF(ISNA(MATCH($C165,'통합 ③ 통장·카드'!$A$5:$A$11,0)),"③ 통장·카드에 없는 결제수단입니다",IF($D165="","계정과목을 고르십시오",IF($E165="※없는 과목","④ 설정에 없는 과목입니다",IF(AND($E165="수입",$J165&gt;0),"수입 과목인데 지출에 적혔습니다",IF(AND(LEFT($E165,2)&lt;&gt;"수입",$E165&lt;&gt;"대체",$I165&gt;0),"지출 과목인데 수입에 적혔습니다",IF($K165="","증빙을 고르십시오",IF(AND($C165="바우처통장",$J165&gt;0,IFERROR(INDEX('통합 ④ 설정'!$E$6:$E$40,MATCH($D165,'통합 ④ 설정'!$B$6:$B$40,0)),"")&lt;&gt;"○"),"바우처통장 지출 — 목적 확인",IF($H165="","적요를 적으십시오",""))))))))))))</f>
        <v/>
      </c>
      <c r="M165" s="39"/>
      <c r="O165" s="11" t="str">
        <f aca="false">IF($B165="","",YEAR($B165)*100+MONTH($B165))</f>
        <v/>
      </c>
      <c r="P165" s="11" t="str">
        <f aca="false">IF($B165="","",IF($E165="대체",0,1))</f>
        <v/>
      </c>
    </row>
    <row r="166" customFormat="false" ht="15" hidden="false" customHeight="false" outlineLevel="0" collapsed="false">
      <c r="A166" s="36" t="str">
        <f aca="false">IF($B166="","",COUNT($B$15:$B166))</f>
        <v/>
      </c>
      <c r="B166" s="37"/>
      <c r="C166" s="38"/>
      <c r="D166" s="39"/>
      <c r="E166" s="36" t="str">
        <f aca="false">IF($D166="","",IFERROR(INDEX('통합 ④ 설정'!$A$6:$A$40,MATCH($D166,'통합 ④ 설정'!$B$6:$B$40,0)),"※없는 과목"))</f>
        <v/>
      </c>
      <c r="F166" s="36" t="str">
        <f aca="false">IF($D166="","",IFERROR(INDEX('통합 ④ 설정'!$C$6:$C$40,MATCH($D166,'통합 ④ 설정'!$B$6:$B$40,0)),""))</f>
        <v/>
      </c>
      <c r="G166" s="39"/>
      <c r="H166" s="39"/>
      <c r="I166" s="40"/>
      <c r="J166" s="41"/>
      <c r="K166" s="38"/>
      <c r="L166" s="42" t="str">
        <f aca="false">IF($B166="","",IF(AND(N($I166)=0,N($J166)=0),"금액이 없습니다",IF(AND($I166&gt;0,$J166&gt;0),"수입·지출 둘 다 적혔습니다",IF($C166="","결제수단을 고르십시오",IF(ISNA(MATCH($C166,'통합 ③ 통장·카드'!$A$5:$A$11,0)),"③ 통장·카드에 없는 결제수단입니다",IF($D166="","계정과목을 고르십시오",IF($E166="※없는 과목","④ 설정에 없는 과목입니다",IF(AND($E166="수입",$J166&gt;0),"수입 과목인데 지출에 적혔습니다",IF(AND(LEFT($E166,2)&lt;&gt;"수입",$E166&lt;&gt;"대체",$I166&gt;0),"지출 과목인데 수입에 적혔습니다",IF($K166="","증빙을 고르십시오",IF(AND($C166="바우처통장",$J166&gt;0,IFERROR(INDEX('통합 ④ 설정'!$E$6:$E$40,MATCH($D166,'통합 ④ 설정'!$B$6:$B$40,0)),"")&lt;&gt;"○"),"바우처통장 지출 — 목적 확인",IF($H166="","적요를 적으십시오",""))))))))))))</f>
        <v/>
      </c>
      <c r="M166" s="39"/>
      <c r="O166" s="11" t="str">
        <f aca="false">IF($B166="","",YEAR($B166)*100+MONTH($B166))</f>
        <v/>
      </c>
      <c r="P166" s="11" t="str">
        <f aca="false">IF($B166="","",IF($E166="대체",0,1))</f>
        <v/>
      </c>
    </row>
    <row r="167" customFormat="false" ht="15" hidden="false" customHeight="false" outlineLevel="0" collapsed="false">
      <c r="A167" s="36" t="str">
        <f aca="false">IF($B167="","",COUNT($B$15:$B167))</f>
        <v/>
      </c>
      <c r="B167" s="37"/>
      <c r="C167" s="38"/>
      <c r="D167" s="39"/>
      <c r="E167" s="36" t="str">
        <f aca="false">IF($D167="","",IFERROR(INDEX('통합 ④ 설정'!$A$6:$A$40,MATCH($D167,'통합 ④ 설정'!$B$6:$B$40,0)),"※없는 과목"))</f>
        <v/>
      </c>
      <c r="F167" s="36" t="str">
        <f aca="false">IF($D167="","",IFERROR(INDEX('통합 ④ 설정'!$C$6:$C$40,MATCH($D167,'통합 ④ 설정'!$B$6:$B$40,0)),""))</f>
        <v/>
      </c>
      <c r="G167" s="39"/>
      <c r="H167" s="39"/>
      <c r="I167" s="40"/>
      <c r="J167" s="41"/>
      <c r="K167" s="38"/>
      <c r="L167" s="42" t="str">
        <f aca="false">IF($B167="","",IF(AND(N($I167)=0,N($J167)=0),"금액이 없습니다",IF(AND($I167&gt;0,$J167&gt;0),"수입·지출 둘 다 적혔습니다",IF($C167="","결제수단을 고르십시오",IF(ISNA(MATCH($C167,'통합 ③ 통장·카드'!$A$5:$A$11,0)),"③ 통장·카드에 없는 결제수단입니다",IF($D167="","계정과목을 고르십시오",IF($E167="※없는 과목","④ 설정에 없는 과목입니다",IF(AND($E167="수입",$J167&gt;0),"수입 과목인데 지출에 적혔습니다",IF(AND(LEFT($E167,2)&lt;&gt;"수입",$E167&lt;&gt;"대체",$I167&gt;0),"지출 과목인데 수입에 적혔습니다",IF($K167="","증빙을 고르십시오",IF(AND($C167="바우처통장",$J167&gt;0,IFERROR(INDEX('통합 ④ 설정'!$E$6:$E$40,MATCH($D167,'통합 ④ 설정'!$B$6:$B$40,0)),"")&lt;&gt;"○"),"바우처통장 지출 — 목적 확인",IF($H167="","적요를 적으십시오",""))))))))))))</f>
        <v/>
      </c>
      <c r="M167" s="39"/>
      <c r="O167" s="11" t="str">
        <f aca="false">IF($B167="","",YEAR($B167)*100+MONTH($B167))</f>
        <v/>
      </c>
      <c r="P167" s="11" t="str">
        <f aca="false">IF($B167="","",IF($E167="대체",0,1))</f>
        <v/>
      </c>
    </row>
    <row r="168" customFormat="false" ht="15" hidden="false" customHeight="false" outlineLevel="0" collapsed="false">
      <c r="A168" s="36" t="str">
        <f aca="false">IF($B168="","",COUNT($B$15:$B168))</f>
        <v/>
      </c>
      <c r="B168" s="37"/>
      <c r="C168" s="38"/>
      <c r="D168" s="39"/>
      <c r="E168" s="36" t="str">
        <f aca="false">IF($D168="","",IFERROR(INDEX('통합 ④ 설정'!$A$6:$A$40,MATCH($D168,'통합 ④ 설정'!$B$6:$B$40,0)),"※없는 과목"))</f>
        <v/>
      </c>
      <c r="F168" s="36" t="str">
        <f aca="false">IF($D168="","",IFERROR(INDEX('통합 ④ 설정'!$C$6:$C$40,MATCH($D168,'통합 ④ 설정'!$B$6:$B$40,0)),""))</f>
        <v/>
      </c>
      <c r="G168" s="39"/>
      <c r="H168" s="39"/>
      <c r="I168" s="40"/>
      <c r="J168" s="41"/>
      <c r="K168" s="38"/>
      <c r="L168" s="42" t="str">
        <f aca="false">IF($B168="","",IF(AND(N($I168)=0,N($J168)=0),"금액이 없습니다",IF(AND($I168&gt;0,$J168&gt;0),"수입·지출 둘 다 적혔습니다",IF($C168="","결제수단을 고르십시오",IF(ISNA(MATCH($C168,'통합 ③ 통장·카드'!$A$5:$A$11,0)),"③ 통장·카드에 없는 결제수단입니다",IF($D168="","계정과목을 고르십시오",IF($E168="※없는 과목","④ 설정에 없는 과목입니다",IF(AND($E168="수입",$J168&gt;0),"수입 과목인데 지출에 적혔습니다",IF(AND(LEFT($E168,2)&lt;&gt;"수입",$E168&lt;&gt;"대체",$I168&gt;0),"지출 과목인데 수입에 적혔습니다",IF($K168="","증빙을 고르십시오",IF(AND($C168="바우처통장",$J168&gt;0,IFERROR(INDEX('통합 ④ 설정'!$E$6:$E$40,MATCH($D168,'통합 ④ 설정'!$B$6:$B$40,0)),"")&lt;&gt;"○"),"바우처통장 지출 — 목적 확인",IF($H168="","적요를 적으십시오",""))))))))))))</f>
        <v/>
      </c>
      <c r="M168" s="39"/>
      <c r="O168" s="11" t="str">
        <f aca="false">IF($B168="","",YEAR($B168)*100+MONTH($B168))</f>
        <v/>
      </c>
      <c r="P168" s="11" t="str">
        <f aca="false">IF($B168="","",IF($E168="대체",0,1))</f>
        <v/>
      </c>
    </row>
    <row r="169" customFormat="false" ht="15" hidden="false" customHeight="false" outlineLevel="0" collapsed="false">
      <c r="A169" s="36" t="str">
        <f aca="false">IF($B169="","",COUNT($B$15:$B169))</f>
        <v/>
      </c>
      <c r="B169" s="37"/>
      <c r="C169" s="38"/>
      <c r="D169" s="39"/>
      <c r="E169" s="36" t="str">
        <f aca="false">IF($D169="","",IFERROR(INDEX('통합 ④ 설정'!$A$6:$A$40,MATCH($D169,'통합 ④ 설정'!$B$6:$B$40,0)),"※없는 과목"))</f>
        <v/>
      </c>
      <c r="F169" s="36" t="str">
        <f aca="false">IF($D169="","",IFERROR(INDEX('통합 ④ 설정'!$C$6:$C$40,MATCH($D169,'통합 ④ 설정'!$B$6:$B$40,0)),""))</f>
        <v/>
      </c>
      <c r="G169" s="39"/>
      <c r="H169" s="39"/>
      <c r="I169" s="40"/>
      <c r="J169" s="41"/>
      <c r="K169" s="38"/>
      <c r="L169" s="42" t="str">
        <f aca="false">IF($B169="","",IF(AND(N($I169)=0,N($J169)=0),"금액이 없습니다",IF(AND($I169&gt;0,$J169&gt;0),"수입·지출 둘 다 적혔습니다",IF($C169="","결제수단을 고르십시오",IF(ISNA(MATCH($C169,'통합 ③ 통장·카드'!$A$5:$A$11,0)),"③ 통장·카드에 없는 결제수단입니다",IF($D169="","계정과목을 고르십시오",IF($E169="※없는 과목","④ 설정에 없는 과목입니다",IF(AND($E169="수입",$J169&gt;0),"수입 과목인데 지출에 적혔습니다",IF(AND(LEFT($E169,2)&lt;&gt;"수입",$E169&lt;&gt;"대체",$I169&gt;0),"지출 과목인데 수입에 적혔습니다",IF($K169="","증빙을 고르십시오",IF(AND($C169="바우처통장",$J169&gt;0,IFERROR(INDEX('통합 ④ 설정'!$E$6:$E$40,MATCH($D169,'통합 ④ 설정'!$B$6:$B$40,0)),"")&lt;&gt;"○"),"바우처통장 지출 — 목적 확인",IF($H169="","적요를 적으십시오",""))))))))))))</f>
        <v/>
      </c>
      <c r="M169" s="39"/>
      <c r="O169" s="11" t="str">
        <f aca="false">IF($B169="","",YEAR($B169)*100+MONTH($B169))</f>
        <v/>
      </c>
      <c r="P169" s="11" t="str">
        <f aca="false">IF($B169="","",IF($E169="대체",0,1))</f>
        <v/>
      </c>
    </row>
    <row r="170" customFormat="false" ht="15" hidden="false" customHeight="false" outlineLevel="0" collapsed="false">
      <c r="A170" s="36" t="str">
        <f aca="false">IF($B170="","",COUNT($B$15:$B170))</f>
        <v/>
      </c>
      <c r="B170" s="37"/>
      <c r="C170" s="38"/>
      <c r="D170" s="39"/>
      <c r="E170" s="36" t="str">
        <f aca="false">IF($D170="","",IFERROR(INDEX('통합 ④ 설정'!$A$6:$A$40,MATCH($D170,'통합 ④ 설정'!$B$6:$B$40,0)),"※없는 과목"))</f>
        <v/>
      </c>
      <c r="F170" s="36" t="str">
        <f aca="false">IF($D170="","",IFERROR(INDEX('통합 ④ 설정'!$C$6:$C$40,MATCH($D170,'통합 ④ 설정'!$B$6:$B$40,0)),""))</f>
        <v/>
      </c>
      <c r="G170" s="39"/>
      <c r="H170" s="39"/>
      <c r="I170" s="40"/>
      <c r="J170" s="41"/>
      <c r="K170" s="38"/>
      <c r="L170" s="42" t="str">
        <f aca="false">IF($B170="","",IF(AND(N($I170)=0,N($J170)=0),"금액이 없습니다",IF(AND($I170&gt;0,$J170&gt;0),"수입·지출 둘 다 적혔습니다",IF($C170="","결제수단을 고르십시오",IF(ISNA(MATCH($C170,'통합 ③ 통장·카드'!$A$5:$A$11,0)),"③ 통장·카드에 없는 결제수단입니다",IF($D170="","계정과목을 고르십시오",IF($E170="※없는 과목","④ 설정에 없는 과목입니다",IF(AND($E170="수입",$J170&gt;0),"수입 과목인데 지출에 적혔습니다",IF(AND(LEFT($E170,2)&lt;&gt;"수입",$E170&lt;&gt;"대체",$I170&gt;0),"지출 과목인데 수입에 적혔습니다",IF($K170="","증빙을 고르십시오",IF(AND($C170="바우처통장",$J170&gt;0,IFERROR(INDEX('통합 ④ 설정'!$E$6:$E$40,MATCH($D170,'통합 ④ 설정'!$B$6:$B$40,0)),"")&lt;&gt;"○"),"바우처통장 지출 — 목적 확인",IF($H170="","적요를 적으십시오",""))))))))))))</f>
        <v/>
      </c>
      <c r="M170" s="39"/>
      <c r="O170" s="11" t="str">
        <f aca="false">IF($B170="","",YEAR($B170)*100+MONTH($B170))</f>
        <v/>
      </c>
      <c r="P170" s="11" t="str">
        <f aca="false">IF($B170="","",IF($E170="대체",0,1))</f>
        <v/>
      </c>
    </row>
    <row r="171" customFormat="false" ht="15" hidden="false" customHeight="false" outlineLevel="0" collapsed="false">
      <c r="A171" s="36" t="str">
        <f aca="false">IF($B171="","",COUNT($B$15:$B171))</f>
        <v/>
      </c>
      <c r="B171" s="37"/>
      <c r="C171" s="38"/>
      <c r="D171" s="39"/>
      <c r="E171" s="36" t="str">
        <f aca="false">IF($D171="","",IFERROR(INDEX('통합 ④ 설정'!$A$6:$A$40,MATCH($D171,'통합 ④ 설정'!$B$6:$B$40,0)),"※없는 과목"))</f>
        <v/>
      </c>
      <c r="F171" s="36" t="str">
        <f aca="false">IF($D171="","",IFERROR(INDEX('통합 ④ 설정'!$C$6:$C$40,MATCH($D171,'통합 ④ 설정'!$B$6:$B$40,0)),""))</f>
        <v/>
      </c>
      <c r="G171" s="39"/>
      <c r="H171" s="39"/>
      <c r="I171" s="40"/>
      <c r="J171" s="41"/>
      <c r="K171" s="38"/>
      <c r="L171" s="42" t="str">
        <f aca="false">IF($B171="","",IF(AND(N($I171)=0,N($J171)=0),"금액이 없습니다",IF(AND($I171&gt;0,$J171&gt;0),"수입·지출 둘 다 적혔습니다",IF($C171="","결제수단을 고르십시오",IF(ISNA(MATCH($C171,'통합 ③ 통장·카드'!$A$5:$A$11,0)),"③ 통장·카드에 없는 결제수단입니다",IF($D171="","계정과목을 고르십시오",IF($E171="※없는 과목","④ 설정에 없는 과목입니다",IF(AND($E171="수입",$J171&gt;0),"수입 과목인데 지출에 적혔습니다",IF(AND(LEFT($E171,2)&lt;&gt;"수입",$E171&lt;&gt;"대체",$I171&gt;0),"지출 과목인데 수입에 적혔습니다",IF($K171="","증빙을 고르십시오",IF(AND($C171="바우처통장",$J171&gt;0,IFERROR(INDEX('통합 ④ 설정'!$E$6:$E$40,MATCH($D171,'통합 ④ 설정'!$B$6:$B$40,0)),"")&lt;&gt;"○"),"바우처통장 지출 — 목적 확인",IF($H171="","적요를 적으십시오",""))))))))))))</f>
        <v/>
      </c>
      <c r="M171" s="39"/>
      <c r="O171" s="11" t="str">
        <f aca="false">IF($B171="","",YEAR($B171)*100+MONTH($B171))</f>
        <v/>
      </c>
      <c r="P171" s="11" t="str">
        <f aca="false">IF($B171="","",IF($E171="대체",0,1))</f>
        <v/>
      </c>
    </row>
    <row r="172" customFormat="false" ht="15" hidden="false" customHeight="false" outlineLevel="0" collapsed="false">
      <c r="A172" s="36" t="str">
        <f aca="false">IF($B172="","",COUNT($B$15:$B172))</f>
        <v/>
      </c>
      <c r="B172" s="37"/>
      <c r="C172" s="38"/>
      <c r="D172" s="39"/>
      <c r="E172" s="36" t="str">
        <f aca="false">IF($D172="","",IFERROR(INDEX('통합 ④ 설정'!$A$6:$A$40,MATCH($D172,'통합 ④ 설정'!$B$6:$B$40,0)),"※없는 과목"))</f>
        <v/>
      </c>
      <c r="F172" s="36" t="str">
        <f aca="false">IF($D172="","",IFERROR(INDEX('통합 ④ 설정'!$C$6:$C$40,MATCH($D172,'통합 ④ 설정'!$B$6:$B$40,0)),""))</f>
        <v/>
      </c>
      <c r="G172" s="39"/>
      <c r="H172" s="39"/>
      <c r="I172" s="40"/>
      <c r="J172" s="41"/>
      <c r="K172" s="38"/>
      <c r="L172" s="42" t="str">
        <f aca="false">IF($B172="","",IF(AND(N($I172)=0,N($J172)=0),"금액이 없습니다",IF(AND($I172&gt;0,$J172&gt;0),"수입·지출 둘 다 적혔습니다",IF($C172="","결제수단을 고르십시오",IF(ISNA(MATCH($C172,'통합 ③ 통장·카드'!$A$5:$A$11,0)),"③ 통장·카드에 없는 결제수단입니다",IF($D172="","계정과목을 고르십시오",IF($E172="※없는 과목","④ 설정에 없는 과목입니다",IF(AND($E172="수입",$J172&gt;0),"수입 과목인데 지출에 적혔습니다",IF(AND(LEFT($E172,2)&lt;&gt;"수입",$E172&lt;&gt;"대체",$I172&gt;0),"지출 과목인데 수입에 적혔습니다",IF($K172="","증빙을 고르십시오",IF(AND($C172="바우처통장",$J172&gt;0,IFERROR(INDEX('통합 ④ 설정'!$E$6:$E$40,MATCH($D172,'통합 ④ 설정'!$B$6:$B$40,0)),"")&lt;&gt;"○"),"바우처통장 지출 — 목적 확인",IF($H172="","적요를 적으십시오",""))))))))))))</f>
        <v/>
      </c>
      <c r="M172" s="39"/>
      <c r="O172" s="11" t="str">
        <f aca="false">IF($B172="","",YEAR($B172)*100+MONTH($B172))</f>
        <v/>
      </c>
      <c r="P172" s="11" t="str">
        <f aca="false">IF($B172="","",IF($E172="대체",0,1))</f>
        <v/>
      </c>
    </row>
    <row r="173" customFormat="false" ht="15" hidden="false" customHeight="false" outlineLevel="0" collapsed="false">
      <c r="A173" s="36" t="str">
        <f aca="false">IF($B173="","",COUNT($B$15:$B173))</f>
        <v/>
      </c>
      <c r="B173" s="37"/>
      <c r="C173" s="38"/>
      <c r="D173" s="39"/>
      <c r="E173" s="36" t="str">
        <f aca="false">IF($D173="","",IFERROR(INDEX('통합 ④ 설정'!$A$6:$A$40,MATCH($D173,'통합 ④ 설정'!$B$6:$B$40,0)),"※없는 과목"))</f>
        <v/>
      </c>
      <c r="F173" s="36" t="str">
        <f aca="false">IF($D173="","",IFERROR(INDEX('통합 ④ 설정'!$C$6:$C$40,MATCH($D173,'통합 ④ 설정'!$B$6:$B$40,0)),""))</f>
        <v/>
      </c>
      <c r="G173" s="39"/>
      <c r="H173" s="39"/>
      <c r="I173" s="40"/>
      <c r="J173" s="41"/>
      <c r="K173" s="38"/>
      <c r="L173" s="42" t="str">
        <f aca="false">IF($B173="","",IF(AND(N($I173)=0,N($J173)=0),"금액이 없습니다",IF(AND($I173&gt;0,$J173&gt;0),"수입·지출 둘 다 적혔습니다",IF($C173="","결제수단을 고르십시오",IF(ISNA(MATCH($C173,'통합 ③ 통장·카드'!$A$5:$A$11,0)),"③ 통장·카드에 없는 결제수단입니다",IF($D173="","계정과목을 고르십시오",IF($E173="※없는 과목","④ 설정에 없는 과목입니다",IF(AND($E173="수입",$J173&gt;0),"수입 과목인데 지출에 적혔습니다",IF(AND(LEFT($E173,2)&lt;&gt;"수입",$E173&lt;&gt;"대체",$I173&gt;0),"지출 과목인데 수입에 적혔습니다",IF($K173="","증빙을 고르십시오",IF(AND($C173="바우처통장",$J173&gt;0,IFERROR(INDEX('통합 ④ 설정'!$E$6:$E$40,MATCH($D173,'통합 ④ 설정'!$B$6:$B$40,0)),"")&lt;&gt;"○"),"바우처통장 지출 — 목적 확인",IF($H173="","적요를 적으십시오",""))))))))))))</f>
        <v/>
      </c>
      <c r="M173" s="39"/>
      <c r="O173" s="11" t="str">
        <f aca="false">IF($B173="","",YEAR($B173)*100+MONTH($B173))</f>
        <v/>
      </c>
      <c r="P173" s="11" t="str">
        <f aca="false">IF($B173="","",IF($E173="대체",0,1))</f>
        <v/>
      </c>
    </row>
    <row r="174" customFormat="false" ht="15" hidden="false" customHeight="false" outlineLevel="0" collapsed="false">
      <c r="A174" s="36" t="str">
        <f aca="false">IF($B174="","",COUNT($B$15:$B174))</f>
        <v/>
      </c>
      <c r="B174" s="37"/>
      <c r="C174" s="38"/>
      <c r="D174" s="39"/>
      <c r="E174" s="36" t="str">
        <f aca="false">IF($D174="","",IFERROR(INDEX('통합 ④ 설정'!$A$6:$A$40,MATCH($D174,'통합 ④ 설정'!$B$6:$B$40,0)),"※없는 과목"))</f>
        <v/>
      </c>
      <c r="F174" s="36" t="str">
        <f aca="false">IF($D174="","",IFERROR(INDEX('통합 ④ 설정'!$C$6:$C$40,MATCH($D174,'통합 ④ 설정'!$B$6:$B$40,0)),""))</f>
        <v/>
      </c>
      <c r="G174" s="39"/>
      <c r="H174" s="39"/>
      <c r="I174" s="40"/>
      <c r="J174" s="41"/>
      <c r="K174" s="38"/>
      <c r="L174" s="42" t="str">
        <f aca="false">IF($B174="","",IF(AND(N($I174)=0,N($J174)=0),"금액이 없습니다",IF(AND($I174&gt;0,$J174&gt;0),"수입·지출 둘 다 적혔습니다",IF($C174="","결제수단을 고르십시오",IF(ISNA(MATCH($C174,'통합 ③ 통장·카드'!$A$5:$A$11,0)),"③ 통장·카드에 없는 결제수단입니다",IF($D174="","계정과목을 고르십시오",IF($E174="※없는 과목","④ 설정에 없는 과목입니다",IF(AND($E174="수입",$J174&gt;0),"수입 과목인데 지출에 적혔습니다",IF(AND(LEFT($E174,2)&lt;&gt;"수입",$E174&lt;&gt;"대체",$I174&gt;0),"지출 과목인데 수입에 적혔습니다",IF($K174="","증빙을 고르십시오",IF(AND($C174="바우처통장",$J174&gt;0,IFERROR(INDEX('통합 ④ 설정'!$E$6:$E$40,MATCH($D174,'통합 ④ 설정'!$B$6:$B$40,0)),"")&lt;&gt;"○"),"바우처통장 지출 — 목적 확인",IF($H174="","적요를 적으십시오",""))))))))))))</f>
        <v/>
      </c>
      <c r="M174" s="39"/>
      <c r="O174" s="11" t="str">
        <f aca="false">IF($B174="","",YEAR($B174)*100+MONTH($B174))</f>
        <v/>
      </c>
      <c r="P174" s="11" t="str">
        <f aca="false">IF($B174="","",IF($E174="대체",0,1))</f>
        <v/>
      </c>
    </row>
    <row r="175" customFormat="false" ht="15" hidden="false" customHeight="false" outlineLevel="0" collapsed="false">
      <c r="A175" s="36" t="str">
        <f aca="false">IF($B175="","",COUNT($B$15:$B175))</f>
        <v/>
      </c>
      <c r="B175" s="37"/>
      <c r="C175" s="38"/>
      <c r="D175" s="39"/>
      <c r="E175" s="36" t="str">
        <f aca="false">IF($D175="","",IFERROR(INDEX('통합 ④ 설정'!$A$6:$A$40,MATCH($D175,'통합 ④ 설정'!$B$6:$B$40,0)),"※없는 과목"))</f>
        <v/>
      </c>
      <c r="F175" s="36" t="str">
        <f aca="false">IF($D175="","",IFERROR(INDEX('통합 ④ 설정'!$C$6:$C$40,MATCH($D175,'통합 ④ 설정'!$B$6:$B$40,0)),""))</f>
        <v/>
      </c>
      <c r="G175" s="39"/>
      <c r="H175" s="39"/>
      <c r="I175" s="40"/>
      <c r="J175" s="41"/>
      <c r="K175" s="38"/>
      <c r="L175" s="42" t="str">
        <f aca="false">IF($B175="","",IF(AND(N($I175)=0,N($J175)=0),"금액이 없습니다",IF(AND($I175&gt;0,$J175&gt;0),"수입·지출 둘 다 적혔습니다",IF($C175="","결제수단을 고르십시오",IF(ISNA(MATCH($C175,'통합 ③ 통장·카드'!$A$5:$A$11,0)),"③ 통장·카드에 없는 결제수단입니다",IF($D175="","계정과목을 고르십시오",IF($E175="※없는 과목","④ 설정에 없는 과목입니다",IF(AND($E175="수입",$J175&gt;0),"수입 과목인데 지출에 적혔습니다",IF(AND(LEFT($E175,2)&lt;&gt;"수입",$E175&lt;&gt;"대체",$I175&gt;0),"지출 과목인데 수입에 적혔습니다",IF($K175="","증빙을 고르십시오",IF(AND($C175="바우처통장",$J175&gt;0,IFERROR(INDEX('통합 ④ 설정'!$E$6:$E$40,MATCH($D175,'통합 ④ 설정'!$B$6:$B$40,0)),"")&lt;&gt;"○"),"바우처통장 지출 — 목적 확인",IF($H175="","적요를 적으십시오",""))))))))))))</f>
        <v/>
      </c>
      <c r="M175" s="39"/>
      <c r="O175" s="11" t="str">
        <f aca="false">IF($B175="","",YEAR($B175)*100+MONTH($B175))</f>
        <v/>
      </c>
      <c r="P175" s="11" t="str">
        <f aca="false">IF($B175="","",IF($E175="대체",0,1))</f>
        <v/>
      </c>
    </row>
    <row r="176" customFormat="false" ht="15" hidden="false" customHeight="false" outlineLevel="0" collapsed="false">
      <c r="A176" s="36" t="str">
        <f aca="false">IF($B176="","",COUNT($B$15:$B176))</f>
        <v/>
      </c>
      <c r="B176" s="37"/>
      <c r="C176" s="38"/>
      <c r="D176" s="39"/>
      <c r="E176" s="36" t="str">
        <f aca="false">IF($D176="","",IFERROR(INDEX('통합 ④ 설정'!$A$6:$A$40,MATCH($D176,'통합 ④ 설정'!$B$6:$B$40,0)),"※없는 과목"))</f>
        <v/>
      </c>
      <c r="F176" s="36" t="str">
        <f aca="false">IF($D176="","",IFERROR(INDEX('통합 ④ 설정'!$C$6:$C$40,MATCH($D176,'통합 ④ 설정'!$B$6:$B$40,0)),""))</f>
        <v/>
      </c>
      <c r="G176" s="39"/>
      <c r="H176" s="39"/>
      <c r="I176" s="40"/>
      <c r="J176" s="41"/>
      <c r="K176" s="38"/>
      <c r="L176" s="42" t="str">
        <f aca="false">IF($B176="","",IF(AND(N($I176)=0,N($J176)=0),"금액이 없습니다",IF(AND($I176&gt;0,$J176&gt;0),"수입·지출 둘 다 적혔습니다",IF($C176="","결제수단을 고르십시오",IF(ISNA(MATCH($C176,'통합 ③ 통장·카드'!$A$5:$A$11,0)),"③ 통장·카드에 없는 결제수단입니다",IF($D176="","계정과목을 고르십시오",IF($E176="※없는 과목","④ 설정에 없는 과목입니다",IF(AND($E176="수입",$J176&gt;0),"수입 과목인데 지출에 적혔습니다",IF(AND(LEFT($E176,2)&lt;&gt;"수입",$E176&lt;&gt;"대체",$I176&gt;0),"지출 과목인데 수입에 적혔습니다",IF($K176="","증빙을 고르십시오",IF(AND($C176="바우처통장",$J176&gt;0,IFERROR(INDEX('통합 ④ 설정'!$E$6:$E$40,MATCH($D176,'통합 ④ 설정'!$B$6:$B$40,0)),"")&lt;&gt;"○"),"바우처통장 지출 — 목적 확인",IF($H176="","적요를 적으십시오",""))))))))))))</f>
        <v/>
      </c>
      <c r="M176" s="39"/>
      <c r="O176" s="11" t="str">
        <f aca="false">IF($B176="","",YEAR($B176)*100+MONTH($B176))</f>
        <v/>
      </c>
      <c r="P176" s="11" t="str">
        <f aca="false">IF($B176="","",IF($E176="대체",0,1))</f>
        <v/>
      </c>
    </row>
    <row r="177" customFormat="false" ht="15" hidden="false" customHeight="false" outlineLevel="0" collapsed="false">
      <c r="A177" s="36" t="str">
        <f aca="false">IF($B177="","",COUNT($B$15:$B177))</f>
        <v/>
      </c>
      <c r="B177" s="37"/>
      <c r="C177" s="38"/>
      <c r="D177" s="39"/>
      <c r="E177" s="36" t="str">
        <f aca="false">IF($D177="","",IFERROR(INDEX('통합 ④ 설정'!$A$6:$A$40,MATCH($D177,'통합 ④ 설정'!$B$6:$B$40,0)),"※없는 과목"))</f>
        <v/>
      </c>
      <c r="F177" s="36" t="str">
        <f aca="false">IF($D177="","",IFERROR(INDEX('통합 ④ 설정'!$C$6:$C$40,MATCH($D177,'통합 ④ 설정'!$B$6:$B$40,0)),""))</f>
        <v/>
      </c>
      <c r="G177" s="39"/>
      <c r="H177" s="39"/>
      <c r="I177" s="40"/>
      <c r="J177" s="41"/>
      <c r="K177" s="38"/>
      <c r="L177" s="42" t="str">
        <f aca="false">IF($B177="","",IF(AND(N($I177)=0,N($J177)=0),"금액이 없습니다",IF(AND($I177&gt;0,$J177&gt;0),"수입·지출 둘 다 적혔습니다",IF($C177="","결제수단을 고르십시오",IF(ISNA(MATCH($C177,'통합 ③ 통장·카드'!$A$5:$A$11,0)),"③ 통장·카드에 없는 결제수단입니다",IF($D177="","계정과목을 고르십시오",IF($E177="※없는 과목","④ 설정에 없는 과목입니다",IF(AND($E177="수입",$J177&gt;0),"수입 과목인데 지출에 적혔습니다",IF(AND(LEFT($E177,2)&lt;&gt;"수입",$E177&lt;&gt;"대체",$I177&gt;0),"지출 과목인데 수입에 적혔습니다",IF($K177="","증빙을 고르십시오",IF(AND($C177="바우처통장",$J177&gt;0,IFERROR(INDEX('통합 ④ 설정'!$E$6:$E$40,MATCH($D177,'통합 ④ 설정'!$B$6:$B$40,0)),"")&lt;&gt;"○"),"바우처통장 지출 — 목적 확인",IF($H177="","적요를 적으십시오",""))))))))))))</f>
        <v/>
      </c>
      <c r="M177" s="39"/>
      <c r="O177" s="11" t="str">
        <f aca="false">IF($B177="","",YEAR($B177)*100+MONTH($B177))</f>
        <v/>
      </c>
      <c r="P177" s="11" t="str">
        <f aca="false">IF($B177="","",IF($E177="대체",0,1))</f>
        <v/>
      </c>
    </row>
    <row r="178" customFormat="false" ht="15" hidden="false" customHeight="false" outlineLevel="0" collapsed="false">
      <c r="A178" s="36" t="str">
        <f aca="false">IF($B178="","",COUNT($B$15:$B178))</f>
        <v/>
      </c>
      <c r="B178" s="37"/>
      <c r="C178" s="38"/>
      <c r="D178" s="39"/>
      <c r="E178" s="36" t="str">
        <f aca="false">IF($D178="","",IFERROR(INDEX('통합 ④ 설정'!$A$6:$A$40,MATCH($D178,'통합 ④ 설정'!$B$6:$B$40,0)),"※없는 과목"))</f>
        <v/>
      </c>
      <c r="F178" s="36" t="str">
        <f aca="false">IF($D178="","",IFERROR(INDEX('통합 ④ 설정'!$C$6:$C$40,MATCH($D178,'통합 ④ 설정'!$B$6:$B$40,0)),""))</f>
        <v/>
      </c>
      <c r="G178" s="39"/>
      <c r="H178" s="39"/>
      <c r="I178" s="40"/>
      <c r="J178" s="41"/>
      <c r="K178" s="38"/>
      <c r="L178" s="42" t="str">
        <f aca="false">IF($B178="","",IF(AND(N($I178)=0,N($J178)=0),"금액이 없습니다",IF(AND($I178&gt;0,$J178&gt;0),"수입·지출 둘 다 적혔습니다",IF($C178="","결제수단을 고르십시오",IF(ISNA(MATCH($C178,'통합 ③ 통장·카드'!$A$5:$A$11,0)),"③ 통장·카드에 없는 결제수단입니다",IF($D178="","계정과목을 고르십시오",IF($E178="※없는 과목","④ 설정에 없는 과목입니다",IF(AND($E178="수입",$J178&gt;0),"수입 과목인데 지출에 적혔습니다",IF(AND(LEFT($E178,2)&lt;&gt;"수입",$E178&lt;&gt;"대체",$I178&gt;0),"지출 과목인데 수입에 적혔습니다",IF($K178="","증빙을 고르십시오",IF(AND($C178="바우처통장",$J178&gt;0,IFERROR(INDEX('통합 ④ 설정'!$E$6:$E$40,MATCH($D178,'통합 ④ 설정'!$B$6:$B$40,0)),"")&lt;&gt;"○"),"바우처통장 지출 — 목적 확인",IF($H178="","적요를 적으십시오",""))))))))))))</f>
        <v/>
      </c>
      <c r="M178" s="39"/>
      <c r="O178" s="11" t="str">
        <f aca="false">IF($B178="","",YEAR($B178)*100+MONTH($B178))</f>
        <v/>
      </c>
      <c r="P178" s="11" t="str">
        <f aca="false">IF($B178="","",IF($E178="대체",0,1))</f>
        <v/>
      </c>
    </row>
    <row r="179" customFormat="false" ht="15" hidden="false" customHeight="false" outlineLevel="0" collapsed="false">
      <c r="A179" s="36" t="str">
        <f aca="false">IF($B179="","",COUNT($B$15:$B179))</f>
        <v/>
      </c>
      <c r="B179" s="37"/>
      <c r="C179" s="38"/>
      <c r="D179" s="39"/>
      <c r="E179" s="36" t="str">
        <f aca="false">IF($D179="","",IFERROR(INDEX('통합 ④ 설정'!$A$6:$A$40,MATCH($D179,'통합 ④ 설정'!$B$6:$B$40,0)),"※없는 과목"))</f>
        <v/>
      </c>
      <c r="F179" s="36" t="str">
        <f aca="false">IF($D179="","",IFERROR(INDEX('통합 ④ 설정'!$C$6:$C$40,MATCH($D179,'통합 ④ 설정'!$B$6:$B$40,0)),""))</f>
        <v/>
      </c>
      <c r="G179" s="39"/>
      <c r="H179" s="39"/>
      <c r="I179" s="40"/>
      <c r="J179" s="41"/>
      <c r="K179" s="38"/>
      <c r="L179" s="42" t="str">
        <f aca="false">IF($B179="","",IF(AND(N($I179)=0,N($J179)=0),"금액이 없습니다",IF(AND($I179&gt;0,$J179&gt;0),"수입·지출 둘 다 적혔습니다",IF($C179="","결제수단을 고르십시오",IF(ISNA(MATCH($C179,'통합 ③ 통장·카드'!$A$5:$A$11,0)),"③ 통장·카드에 없는 결제수단입니다",IF($D179="","계정과목을 고르십시오",IF($E179="※없는 과목","④ 설정에 없는 과목입니다",IF(AND($E179="수입",$J179&gt;0),"수입 과목인데 지출에 적혔습니다",IF(AND(LEFT($E179,2)&lt;&gt;"수입",$E179&lt;&gt;"대체",$I179&gt;0),"지출 과목인데 수입에 적혔습니다",IF($K179="","증빙을 고르십시오",IF(AND($C179="바우처통장",$J179&gt;0,IFERROR(INDEX('통합 ④ 설정'!$E$6:$E$40,MATCH($D179,'통합 ④ 설정'!$B$6:$B$40,0)),"")&lt;&gt;"○"),"바우처통장 지출 — 목적 확인",IF($H179="","적요를 적으십시오",""))))))))))))</f>
        <v/>
      </c>
      <c r="M179" s="39"/>
      <c r="O179" s="11" t="str">
        <f aca="false">IF($B179="","",YEAR($B179)*100+MONTH($B179))</f>
        <v/>
      </c>
      <c r="P179" s="11" t="str">
        <f aca="false">IF($B179="","",IF($E179="대체",0,1))</f>
        <v/>
      </c>
    </row>
    <row r="180" customFormat="false" ht="15" hidden="false" customHeight="false" outlineLevel="0" collapsed="false">
      <c r="A180" s="36" t="str">
        <f aca="false">IF($B180="","",COUNT($B$15:$B180))</f>
        <v/>
      </c>
      <c r="B180" s="37"/>
      <c r="C180" s="38"/>
      <c r="D180" s="39"/>
      <c r="E180" s="36" t="str">
        <f aca="false">IF($D180="","",IFERROR(INDEX('통합 ④ 설정'!$A$6:$A$40,MATCH($D180,'통합 ④ 설정'!$B$6:$B$40,0)),"※없는 과목"))</f>
        <v/>
      </c>
      <c r="F180" s="36" t="str">
        <f aca="false">IF($D180="","",IFERROR(INDEX('통합 ④ 설정'!$C$6:$C$40,MATCH($D180,'통합 ④ 설정'!$B$6:$B$40,0)),""))</f>
        <v/>
      </c>
      <c r="G180" s="39"/>
      <c r="H180" s="39"/>
      <c r="I180" s="40"/>
      <c r="J180" s="41"/>
      <c r="K180" s="38"/>
      <c r="L180" s="42" t="str">
        <f aca="false">IF($B180="","",IF(AND(N($I180)=0,N($J180)=0),"금액이 없습니다",IF(AND($I180&gt;0,$J180&gt;0),"수입·지출 둘 다 적혔습니다",IF($C180="","결제수단을 고르십시오",IF(ISNA(MATCH($C180,'통합 ③ 통장·카드'!$A$5:$A$11,0)),"③ 통장·카드에 없는 결제수단입니다",IF($D180="","계정과목을 고르십시오",IF($E180="※없는 과목","④ 설정에 없는 과목입니다",IF(AND($E180="수입",$J180&gt;0),"수입 과목인데 지출에 적혔습니다",IF(AND(LEFT($E180,2)&lt;&gt;"수입",$E180&lt;&gt;"대체",$I180&gt;0),"지출 과목인데 수입에 적혔습니다",IF($K180="","증빙을 고르십시오",IF(AND($C180="바우처통장",$J180&gt;0,IFERROR(INDEX('통합 ④ 설정'!$E$6:$E$40,MATCH($D180,'통합 ④ 설정'!$B$6:$B$40,0)),"")&lt;&gt;"○"),"바우처통장 지출 — 목적 확인",IF($H180="","적요를 적으십시오",""))))))))))))</f>
        <v/>
      </c>
      <c r="M180" s="39"/>
      <c r="O180" s="11" t="str">
        <f aca="false">IF($B180="","",YEAR($B180)*100+MONTH($B180))</f>
        <v/>
      </c>
      <c r="P180" s="11" t="str">
        <f aca="false">IF($B180="","",IF($E180="대체",0,1))</f>
        <v/>
      </c>
    </row>
    <row r="181" customFormat="false" ht="15" hidden="false" customHeight="false" outlineLevel="0" collapsed="false">
      <c r="A181" s="36" t="str">
        <f aca="false">IF($B181="","",COUNT($B$15:$B181))</f>
        <v/>
      </c>
      <c r="B181" s="37"/>
      <c r="C181" s="38"/>
      <c r="D181" s="39"/>
      <c r="E181" s="36" t="str">
        <f aca="false">IF($D181="","",IFERROR(INDEX('통합 ④ 설정'!$A$6:$A$40,MATCH($D181,'통합 ④ 설정'!$B$6:$B$40,0)),"※없는 과목"))</f>
        <v/>
      </c>
      <c r="F181" s="36" t="str">
        <f aca="false">IF($D181="","",IFERROR(INDEX('통합 ④ 설정'!$C$6:$C$40,MATCH($D181,'통합 ④ 설정'!$B$6:$B$40,0)),""))</f>
        <v/>
      </c>
      <c r="G181" s="39"/>
      <c r="H181" s="39"/>
      <c r="I181" s="40"/>
      <c r="J181" s="41"/>
      <c r="K181" s="38"/>
      <c r="L181" s="42" t="str">
        <f aca="false">IF($B181="","",IF(AND(N($I181)=0,N($J181)=0),"금액이 없습니다",IF(AND($I181&gt;0,$J181&gt;0),"수입·지출 둘 다 적혔습니다",IF($C181="","결제수단을 고르십시오",IF(ISNA(MATCH($C181,'통합 ③ 통장·카드'!$A$5:$A$11,0)),"③ 통장·카드에 없는 결제수단입니다",IF($D181="","계정과목을 고르십시오",IF($E181="※없는 과목","④ 설정에 없는 과목입니다",IF(AND($E181="수입",$J181&gt;0),"수입 과목인데 지출에 적혔습니다",IF(AND(LEFT($E181,2)&lt;&gt;"수입",$E181&lt;&gt;"대체",$I181&gt;0),"지출 과목인데 수입에 적혔습니다",IF($K181="","증빙을 고르십시오",IF(AND($C181="바우처통장",$J181&gt;0,IFERROR(INDEX('통합 ④ 설정'!$E$6:$E$40,MATCH($D181,'통합 ④ 설정'!$B$6:$B$40,0)),"")&lt;&gt;"○"),"바우처통장 지출 — 목적 확인",IF($H181="","적요를 적으십시오",""))))))))))))</f>
        <v/>
      </c>
      <c r="M181" s="39"/>
      <c r="O181" s="11" t="str">
        <f aca="false">IF($B181="","",YEAR($B181)*100+MONTH($B181))</f>
        <v/>
      </c>
      <c r="P181" s="11" t="str">
        <f aca="false">IF($B181="","",IF($E181="대체",0,1))</f>
        <v/>
      </c>
    </row>
    <row r="182" customFormat="false" ht="15" hidden="false" customHeight="false" outlineLevel="0" collapsed="false">
      <c r="A182" s="36" t="str">
        <f aca="false">IF($B182="","",COUNT($B$15:$B182))</f>
        <v/>
      </c>
      <c r="B182" s="37"/>
      <c r="C182" s="38"/>
      <c r="D182" s="39"/>
      <c r="E182" s="36" t="str">
        <f aca="false">IF($D182="","",IFERROR(INDEX('통합 ④ 설정'!$A$6:$A$40,MATCH($D182,'통합 ④ 설정'!$B$6:$B$40,0)),"※없는 과목"))</f>
        <v/>
      </c>
      <c r="F182" s="36" t="str">
        <f aca="false">IF($D182="","",IFERROR(INDEX('통합 ④ 설정'!$C$6:$C$40,MATCH($D182,'통합 ④ 설정'!$B$6:$B$40,0)),""))</f>
        <v/>
      </c>
      <c r="G182" s="39"/>
      <c r="H182" s="39"/>
      <c r="I182" s="40"/>
      <c r="J182" s="41"/>
      <c r="K182" s="38"/>
      <c r="L182" s="42" t="str">
        <f aca="false">IF($B182="","",IF(AND(N($I182)=0,N($J182)=0),"금액이 없습니다",IF(AND($I182&gt;0,$J182&gt;0),"수입·지출 둘 다 적혔습니다",IF($C182="","결제수단을 고르십시오",IF(ISNA(MATCH($C182,'통합 ③ 통장·카드'!$A$5:$A$11,0)),"③ 통장·카드에 없는 결제수단입니다",IF($D182="","계정과목을 고르십시오",IF($E182="※없는 과목","④ 설정에 없는 과목입니다",IF(AND($E182="수입",$J182&gt;0),"수입 과목인데 지출에 적혔습니다",IF(AND(LEFT($E182,2)&lt;&gt;"수입",$E182&lt;&gt;"대체",$I182&gt;0),"지출 과목인데 수입에 적혔습니다",IF($K182="","증빙을 고르십시오",IF(AND($C182="바우처통장",$J182&gt;0,IFERROR(INDEX('통합 ④ 설정'!$E$6:$E$40,MATCH($D182,'통합 ④ 설정'!$B$6:$B$40,0)),"")&lt;&gt;"○"),"바우처통장 지출 — 목적 확인",IF($H182="","적요를 적으십시오",""))))))))))))</f>
        <v/>
      </c>
      <c r="M182" s="39"/>
      <c r="O182" s="11" t="str">
        <f aca="false">IF($B182="","",YEAR($B182)*100+MONTH($B182))</f>
        <v/>
      </c>
      <c r="P182" s="11" t="str">
        <f aca="false">IF($B182="","",IF($E182="대체",0,1))</f>
        <v/>
      </c>
    </row>
    <row r="183" customFormat="false" ht="15" hidden="false" customHeight="false" outlineLevel="0" collapsed="false">
      <c r="A183" s="36" t="str">
        <f aca="false">IF($B183="","",COUNT($B$15:$B183))</f>
        <v/>
      </c>
      <c r="B183" s="37"/>
      <c r="C183" s="38"/>
      <c r="D183" s="39"/>
      <c r="E183" s="36" t="str">
        <f aca="false">IF($D183="","",IFERROR(INDEX('통합 ④ 설정'!$A$6:$A$40,MATCH($D183,'통합 ④ 설정'!$B$6:$B$40,0)),"※없는 과목"))</f>
        <v/>
      </c>
      <c r="F183" s="36" t="str">
        <f aca="false">IF($D183="","",IFERROR(INDEX('통합 ④ 설정'!$C$6:$C$40,MATCH($D183,'통합 ④ 설정'!$B$6:$B$40,0)),""))</f>
        <v/>
      </c>
      <c r="G183" s="39"/>
      <c r="H183" s="39"/>
      <c r="I183" s="40"/>
      <c r="J183" s="41"/>
      <c r="K183" s="38"/>
      <c r="L183" s="42" t="str">
        <f aca="false">IF($B183="","",IF(AND(N($I183)=0,N($J183)=0),"금액이 없습니다",IF(AND($I183&gt;0,$J183&gt;0),"수입·지출 둘 다 적혔습니다",IF($C183="","결제수단을 고르십시오",IF(ISNA(MATCH($C183,'통합 ③ 통장·카드'!$A$5:$A$11,0)),"③ 통장·카드에 없는 결제수단입니다",IF($D183="","계정과목을 고르십시오",IF($E183="※없는 과목","④ 설정에 없는 과목입니다",IF(AND($E183="수입",$J183&gt;0),"수입 과목인데 지출에 적혔습니다",IF(AND(LEFT($E183,2)&lt;&gt;"수입",$E183&lt;&gt;"대체",$I183&gt;0),"지출 과목인데 수입에 적혔습니다",IF($K183="","증빙을 고르십시오",IF(AND($C183="바우처통장",$J183&gt;0,IFERROR(INDEX('통합 ④ 설정'!$E$6:$E$40,MATCH($D183,'통합 ④ 설정'!$B$6:$B$40,0)),"")&lt;&gt;"○"),"바우처통장 지출 — 목적 확인",IF($H183="","적요를 적으십시오",""))))))))))))</f>
        <v/>
      </c>
      <c r="M183" s="39"/>
      <c r="O183" s="11" t="str">
        <f aca="false">IF($B183="","",YEAR($B183)*100+MONTH($B183))</f>
        <v/>
      </c>
      <c r="P183" s="11" t="str">
        <f aca="false">IF($B183="","",IF($E183="대체",0,1))</f>
        <v/>
      </c>
    </row>
    <row r="184" customFormat="false" ht="15" hidden="false" customHeight="false" outlineLevel="0" collapsed="false">
      <c r="A184" s="36" t="str">
        <f aca="false">IF($B184="","",COUNT($B$15:$B184))</f>
        <v/>
      </c>
      <c r="B184" s="37"/>
      <c r="C184" s="38"/>
      <c r="D184" s="39"/>
      <c r="E184" s="36" t="str">
        <f aca="false">IF($D184="","",IFERROR(INDEX('통합 ④ 설정'!$A$6:$A$40,MATCH($D184,'통합 ④ 설정'!$B$6:$B$40,0)),"※없는 과목"))</f>
        <v/>
      </c>
      <c r="F184" s="36" t="str">
        <f aca="false">IF($D184="","",IFERROR(INDEX('통합 ④ 설정'!$C$6:$C$40,MATCH($D184,'통합 ④ 설정'!$B$6:$B$40,0)),""))</f>
        <v/>
      </c>
      <c r="G184" s="39"/>
      <c r="H184" s="39"/>
      <c r="I184" s="40"/>
      <c r="J184" s="41"/>
      <c r="K184" s="38"/>
      <c r="L184" s="42" t="str">
        <f aca="false">IF($B184="","",IF(AND(N($I184)=0,N($J184)=0),"금액이 없습니다",IF(AND($I184&gt;0,$J184&gt;0),"수입·지출 둘 다 적혔습니다",IF($C184="","결제수단을 고르십시오",IF(ISNA(MATCH($C184,'통합 ③ 통장·카드'!$A$5:$A$11,0)),"③ 통장·카드에 없는 결제수단입니다",IF($D184="","계정과목을 고르십시오",IF($E184="※없는 과목","④ 설정에 없는 과목입니다",IF(AND($E184="수입",$J184&gt;0),"수입 과목인데 지출에 적혔습니다",IF(AND(LEFT($E184,2)&lt;&gt;"수입",$E184&lt;&gt;"대체",$I184&gt;0),"지출 과목인데 수입에 적혔습니다",IF($K184="","증빙을 고르십시오",IF(AND($C184="바우처통장",$J184&gt;0,IFERROR(INDEX('통합 ④ 설정'!$E$6:$E$40,MATCH($D184,'통합 ④ 설정'!$B$6:$B$40,0)),"")&lt;&gt;"○"),"바우처통장 지출 — 목적 확인",IF($H184="","적요를 적으십시오",""))))))))))))</f>
        <v/>
      </c>
      <c r="M184" s="39"/>
      <c r="O184" s="11" t="str">
        <f aca="false">IF($B184="","",YEAR($B184)*100+MONTH($B184))</f>
        <v/>
      </c>
      <c r="P184" s="11" t="str">
        <f aca="false">IF($B184="","",IF($E184="대체",0,1))</f>
        <v/>
      </c>
    </row>
    <row r="185" customFormat="false" ht="15" hidden="false" customHeight="false" outlineLevel="0" collapsed="false">
      <c r="A185" s="36" t="str">
        <f aca="false">IF($B185="","",COUNT($B$15:$B185))</f>
        <v/>
      </c>
      <c r="B185" s="37"/>
      <c r="C185" s="38"/>
      <c r="D185" s="39"/>
      <c r="E185" s="36" t="str">
        <f aca="false">IF($D185="","",IFERROR(INDEX('통합 ④ 설정'!$A$6:$A$40,MATCH($D185,'통합 ④ 설정'!$B$6:$B$40,0)),"※없는 과목"))</f>
        <v/>
      </c>
      <c r="F185" s="36" t="str">
        <f aca="false">IF($D185="","",IFERROR(INDEX('통합 ④ 설정'!$C$6:$C$40,MATCH($D185,'통합 ④ 설정'!$B$6:$B$40,0)),""))</f>
        <v/>
      </c>
      <c r="G185" s="39"/>
      <c r="H185" s="39"/>
      <c r="I185" s="40"/>
      <c r="J185" s="41"/>
      <c r="K185" s="38"/>
      <c r="L185" s="42" t="str">
        <f aca="false">IF($B185="","",IF(AND(N($I185)=0,N($J185)=0),"금액이 없습니다",IF(AND($I185&gt;0,$J185&gt;0),"수입·지출 둘 다 적혔습니다",IF($C185="","결제수단을 고르십시오",IF(ISNA(MATCH($C185,'통합 ③ 통장·카드'!$A$5:$A$11,0)),"③ 통장·카드에 없는 결제수단입니다",IF($D185="","계정과목을 고르십시오",IF($E185="※없는 과목","④ 설정에 없는 과목입니다",IF(AND($E185="수입",$J185&gt;0),"수입 과목인데 지출에 적혔습니다",IF(AND(LEFT($E185,2)&lt;&gt;"수입",$E185&lt;&gt;"대체",$I185&gt;0),"지출 과목인데 수입에 적혔습니다",IF($K185="","증빙을 고르십시오",IF(AND($C185="바우처통장",$J185&gt;0,IFERROR(INDEX('통합 ④ 설정'!$E$6:$E$40,MATCH($D185,'통합 ④ 설정'!$B$6:$B$40,0)),"")&lt;&gt;"○"),"바우처통장 지출 — 목적 확인",IF($H185="","적요를 적으십시오",""))))))))))))</f>
        <v/>
      </c>
      <c r="M185" s="39"/>
      <c r="O185" s="11" t="str">
        <f aca="false">IF($B185="","",YEAR($B185)*100+MONTH($B185))</f>
        <v/>
      </c>
      <c r="P185" s="11" t="str">
        <f aca="false">IF($B185="","",IF($E185="대체",0,1))</f>
        <v/>
      </c>
    </row>
    <row r="186" customFormat="false" ht="15" hidden="false" customHeight="false" outlineLevel="0" collapsed="false">
      <c r="A186" s="36" t="str">
        <f aca="false">IF($B186="","",COUNT($B$15:$B186))</f>
        <v/>
      </c>
      <c r="B186" s="37"/>
      <c r="C186" s="38"/>
      <c r="D186" s="39"/>
      <c r="E186" s="36" t="str">
        <f aca="false">IF($D186="","",IFERROR(INDEX('통합 ④ 설정'!$A$6:$A$40,MATCH($D186,'통합 ④ 설정'!$B$6:$B$40,0)),"※없는 과목"))</f>
        <v/>
      </c>
      <c r="F186" s="36" t="str">
        <f aca="false">IF($D186="","",IFERROR(INDEX('통합 ④ 설정'!$C$6:$C$40,MATCH($D186,'통합 ④ 설정'!$B$6:$B$40,0)),""))</f>
        <v/>
      </c>
      <c r="G186" s="39"/>
      <c r="H186" s="39"/>
      <c r="I186" s="40"/>
      <c r="J186" s="41"/>
      <c r="K186" s="38"/>
      <c r="L186" s="42" t="str">
        <f aca="false">IF($B186="","",IF(AND(N($I186)=0,N($J186)=0),"금액이 없습니다",IF(AND($I186&gt;0,$J186&gt;0),"수입·지출 둘 다 적혔습니다",IF($C186="","결제수단을 고르십시오",IF(ISNA(MATCH($C186,'통합 ③ 통장·카드'!$A$5:$A$11,0)),"③ 통장·카드에 없는 결제수단입니다",IF($D186="","계정과목을 고르십시오",IF($E186="※없는 과목","④ 설정에 없는 과목입니다",IF(AND($E186="수입",$J186&gt;0),"수입 과목인데 지출에 적혔습니다",IF(AND(LEFT($E186,2)&lt;&gt;"수입",$E186&lt;&gt;"대체",$I186&gt;0),"지출 과목인데 수입에 적혔습니다",IF($K186="","증빙을 고르십시오",IF(AND($C186="바우처통장",$J186&gt;0,IFERROR(INDEX('통합 ④ 설정'!$E$6:$E$40,MATCH($D186,'통합 ④ 설정'!$B$6:$B$40,0)),"")&lt;&gt;"○"),"바우처통장 지출 — 목적 확인",IF($H186="","적요를 적으십시오",""))))))))))))</f>
        <v/>
      </c>
      <c r="M186" s="39"/>
      <c r="O186" s="11" t="str">
        <f aca="false">IF($B186="","",YEAR($B186)*100+MONTH($B186))</f>
        <v/>
      </c>
      <c r="P186" s="11" t="str">
        <f aca="false">IF($B186="","",IF($E186="대체",0,1))</f>
        <v/>
      </c>
    </row>
    <row r="187" customFormat="false" ht="15" hidden="false" customHeight="false" outlineLevel="0" collapsed="false">
      <c r="A187" s="36" t="str">
        <f aca="false">IF($B187="","",COUNT($B$15:$B187))</f>
        <v/>
      </c>
      <c r="B187" s="37"/>
      <c r="C187" s="38"/>
      <c r="D187" s="39"/>
      <c r="E187" s="36" t="str">
        <f aca="false">IF($D187="","",IFERROR(INDEX('통합 ④ 설정'!$A$6:$A$40,MATCH($D187,'통합 ④ 설정'!$B$6:$B$40,0)),"※없는 과목"))</f>
        <v/>
      </c>
      <c r="F187" s="36" t="str">
        <f aca="false">IF($D187="","",IFERROR(INDEX('통합 ④ 설정'!$C$6:$C$40,MATCH($D187,'통합 ④ 설정'!$B$6:$B$40,0)),""))</f>
        <v/>
      </c>
      <c r="G187" s="39"/>
      <c r="H187" s="39"/>
      <c r="I187" s="40"/>
      <c r="J187" s="41"/>
      <c r="K187" s="38"/>
      <c r="L187" s="42" t="str">
        <f aca="false">IF($B187="","",IF(AND(N($I187)=0,N($J187)=0),"금액이 없습니다",IF(AND($I187&gt;0,$J187&gt;0),"수입·지출 둘 다 적혔습니다",IF($C187="","결제수단을 고르십시오",IF(ISNA(MATCH($C187,'통합 ③ 통장·카드'!$A$5:$A$11,0)),"③ 통장·카드에 없는 결제수단입니다",IF($D187="","계정과목을 고르십시오",IF($E187="※없는 과목","④ 설정에 없는 과목입니다",IF(AND($E187="수입",$J187&gt;0),"수입 과목인데 지출에 적혔습니다",IF(AND(LEFT($E187,2)&lt;&gt;"수입",$E187&lt;&gt;"대체",$I187&gt;0),"지출 과목인데 수입에 적혔습니다",IF($K187="","증빙을 고르십시오",IF(AND($C187="바우처통장",$J187&gt;0,IFERROR(INDEX('통합 ④ 설정'!$E$6:$E$40,MATCH($D187,'통합 ④ 설정'!$B$6:$B$40,0)),"")&lt;&gt;"○"),"바우처통장 지출 — 목적 확인",IF($H187="","적요를 적으십시오",""))))))))))))</f>
        <v/>
      </c>
      <c r="M187" s="39"/>
      <c r="O187" s="11" t="str">
        <f aca="false">IF($B187="","",YEAR($B187)*100+MONTH($B187))</f>
        <v/>
      </c>
      <c r="P187" s="11" t="str">
        <f aca="false">IF($B187="","",IF($E187="대체",0,1))</f>
        <v/>
      </c>
    </row>
    <row r="188" customFormat="false" ht="15" hidden="false" customHeight="false" outlineLevel="0" collapsed="false">
      <c r="A188" s="36" t="str">
        <f aca="false">IF($B188="","",COUNT($B$15:$B188))</f>
        <v/>
      </c>
      <c r="B188" s="37"/>
      <c r="C188" s="38"/>
      <c r="D188" s="39"/>
      <c r="E188" s="36" t="str">
        <f aca="false">IF($D188="","",IFERROR(INDEX('통합 ④ 설정'!$A$6:$A$40,MATCH($D188,'통합 ④ 설정'!$B$6:$B$40,0)),"※없는 과목"))</f>
        <v/>
      </c>
      <c r="F188" s="36" t="str">
        <f aca="false">IF($D188="","",IFERROR(INDEX('통합 ④ 설정'!$C$6:$C$40,MATCH($D188,'통합 ④ 설정'!$B$6:$B$40,0)),""))</f>
        <v/>
      </c>
      <c r="G188" s="39"/>
      <c r="H188" s="39"/>
      <c r="I188" s="40"/>
      <c r="J188" s="41"/>
      <c r="K188" s="38"/>
      <c r="L188" s="42" t="str">
        <f aca="false">IF($B188="","",IF(AND(N($I188)=0,N($J188)=0),"금액이 없습니다",IF(AND($I188&gt;0,$J188&gt;0),"수입·지출 둘 다 적혔습니다",IF($C188="","결제수단을 고르십시오",IF(ISNA(MATCH($C188,'통합 ③ 통장·카드'!$A$5:$A$11,0)),"③ 통장·카드에 없는 결제수단입니다",IF($D188="","계정과목을 고르십시오",IF($E188="※없는 과목","④ 설정에 없는 과목입니다",IF(AND($E188="수입",$J188&gt;0),"수입 과목인데 지출에 적혔습니다",IF(AND(LEFT($E188,2)&lt;&gt;"수입",$E188&lt;&gt;"대체",$I188&gt;0),"지출 과목인데 수입에 적혔습니다",IF($K188="","증빙을 고르십시오",IF(AND($C188="바우처통장",$J188&gt;0,IFERROR(INDEX('통합 ④ 설정'!$E$6:$E$40,MATCH($D188,'통합 ④ 설정'!$B$6:$B$40,0)),"")&lt;&gt;"○"),"바우처통장 지출 — 목적 확인",IF($H188="","적요를 적으십시오",""))))))))))))</f>
        <v/>
      </c>
      <c r="M188" s="39"/>
      <c r="O188" s="11" t="str">
        <f aca="false">IF($B188="","",YEAR($B188)*100+MONTH($B188))</f>
        <v/>
      </c>
      <c r="P188" s="11" t="str">
        <f aca="false">IF($B188="","",IF($E188="대체",0,1))</f>
        <v/>
      </c>
    </row>
    <row r="189" customFormat="false" ht="15" hidden="false" customHeight="false" outlineLevel="0" collapsed="false">
      <c r="A189" s="36" t="str">
        <f aca="false">IF($B189="","",COUNT($B$15:$B189))</f>
        <v/>
      </c>
      <c r="B189" s="37"/>
      <c r="C189" s="38"/>
      <c r="D189" s="39"/>
      <c r="E189" s="36" t="str">
        <f aca="false">IF($D189="","",IFERROR(INDEX('통합 ④ 설정'!$A$6:$A$40,MATCH($D189,'통합 ④ 설정'!$B$6:$B$40,0)),"※없는 과목"))</f>
        <v/>
      </c>
      <c r="F189" s="36" t="str">
        <f aca="false">IF($D189="","",IFERROR(INDEX('통합 ④ 설정'!$C$6:$C$40,MATCH($D189,'통합 ④ 설정'!$B$6:$B$40,0)),""))</f>
        <v/>
      </c>
      <c r="G189" s="39"/>
      <c r="H189" s="39"/>
      <c r="I189" s="40"/>
      <c r="J189" s="41"/>
      <c r="K189" s="38"/>
      <c r="L189" s="42" t="str">
        <f aca="false">IF($B189="","",IF(AND(N($I189)=0,N($J189)=0),"금액이 없습니다",IF(AND($I189&gt;0,$J189&gt;0),"수입·지출 둘 다 적혔습니다",IF($C189="","결제수단을 고르십시오",IF(ISNA(MATCH($C189,'통합 ③ 통장·카드'!$A$5:$A$11,0)),"③ 통장·카드에 없는 결제수단입니다",IF($D189="","계정과목을 고르십시오",IF($E189="※없는 과목","④ 설정에 없는 과목입니다",IF(AND($E189="수입",$J189&gt;0),"수입 과목인데 지출에 적혔습니다",IF(AND(LEFT($E189,2)&lt;&gt;"수입",$E189&lt;&gt;"대체",$I189&gt;0),"지출 과목인데 수입에 적혔습니다",IF($K189="","증빙을 고르십시오",IF(AND($C189="바우처통장",$J189&gt;0,IFERROR(INDEX('통합 ④ 설정'!$E$6:$E$40,MATCH($D189,'통합 ④ 설정'!$B$6:$B$40,0)),"")&lt;&gt;"○"),"바우처통장 지출 — 목적 확인",IF($H189="","적요를 적으십시오",""))))))))))))</f>
        <v/>
      </c>
      <c r="M189" s="39"/>
      <c r="O189" s="11" t="str">
        <f aca="false">IF($B189="","",YEAR($B189)*100+MONTH($B189))</f>
        <v/>
      </c>
      <c r="P189" s="11" t="str">
        <f aca="false">IF($B189="","",IF($E189="대체",0,1))</f>
        <v/>
      </c>
    </row>
    <row r="190" customFormat="false" ht="15" hidden="false" customHeight="false" outlineLevel="0" collapsed="false">
      <c r="A190" s="36" t="str">
        <f aca="false">IF($B190="","",COUNT($B$15:$B190))</f>
        <v/>
      </c>
      <c r="B190" s="37"/>
      <c r="C190" s="38"/>
      <c r="D190" s="39"/>
      <c r="E190" s="36" t="str">
        <f aca="false">IF($D190="","",IFERROR(INDEX('통합 ④ 설정'!$A$6:$A$40,MATCH($D190,'통합 ④ 설정'!$B$6:$B$40,0)),"※없는 과목"))</f>
        <v/>
      </c>
      <c r="F190" s="36" t="str">
        <f aca="false">IF($D190="","",IFERROR(INDEX('통합 ④ 설정'!$C$6:$C$40,MATCH($D190,'통합 ④ 설정'!$B$6:$B$40,0)),""))</f>
        <v/>
      </c>
      <c r="G190" s="39"/>
      <c r="H190" s="39"/>
      <c r="I190" s="40"/>
      <c r="J190" s="41"/>
      <c r="K190" s="38"/>
      <c r="L190" s="42" t="str">
        <f aca="false">IF($B190="","",IF(AND(N($I190)=0,N($J190)=0),"금액이 없습니다",IF(AND($I190&gt;0,$J190&gt;0),"수입·지출 둘 다 적혔습니다",IF($C190="","결제수단을 고르십시오",IF(ISNA(MATCH($C190,'통합 ③ 통장·카드'!$A$5:$A$11,0)),"③ 통장·카드에 없는 결제수단입니다",IF($D190="","계정과목을 고르십시오",IF($E190="※없는 과목","④ 설정에 없는 과목입니다",IF(AND($E190="수입",$J190&gt;0),"수입 과목인데 지출에 적혔습니다",IF(AND(LEFT($E190,2)&lt;&gt;"수입",$E190&lt;&gt;"대체",$I190&gt;0),"지출 과목인데 수입에 적혔습니다",IF($K190="","증빙을 고르십시오",IF(AND($C190="바우처통장",$J190&gt;0,IFERROR(INDEX('통합 ④ 설정'!$E$6:$E$40,MATCH($D190,'통합 ④ 설정'!$B$6:$B$40,0)),"")&lt;&gt;"○"),"바우처통장 지출 — 목적 확인",IF($H190="","적요를 적으십시오",""))))))))))))</f>
        <v/>
      </c>
      <c r="M190" s="39"/>
      <c r="O190" s="11" t="str">
        <f aca="false">IF($B190="","",YEAR($B190)*100+MONTH($B190))</f>
        <v/>
      </c>
      <c r="P190" s="11" t="str">
        <f aca="false">IF($B190="","",IF($E190="대체",0,1))</f>
        <v/>
      </c>
    </row>
    <row r="191" customFormat="false" ht="15" hidden="false" customHeight="false" outlineLevel="0" collapsed="false">
      <c r="A191" s="36" t="str">
        <f aca="false">IF($B191="","",COUNT($B$15:$B191))</f>
        <v/>
      </c>
      <c r="B191" s="37"/>
      <c r="C191" s="38"/>
      <c r="D191" s="39"/>
      <c r="E191" s="36" t="str">
        <f aca="false">IF($D191="","",IFERROR(INDEX('통합 ④ 설정'!$A$6:$A$40,MATCH($D191,'통합 ④ 설정'!$B$6:$B$40,0)),"※없는 과목"))</f>
        <v/>
      </c>
      <c r="F191" s="36" t="str">
        <f aca="false">IF($D191="","",IFERROR(INDEX('통합 ④ 설정'!$C$6:$C$40,MATCH($D191,'통합 ④ 설정'!$B$6:$B$40,0)),""))</f>
        <v/>
      </c>
      <c r="G191" s="39"/>
      <c r="H191" s="39"/>
      <c r="I191" s="40"/>
      <c r="J191" s="41"/>
      <c r="K191" s="38"/>
      <c r="L191" s="42" t="str">
        <f aca="false">IF($B191="","",IF(AND(N($I191)=0,N($J191)=0),"금액이 없습니다",IF(AND($I191&gt;0,$J191&gt;0),"수입·지출 둘 다 적혔습니다",IF($C191="","결제수단을 고르십시오",IF(ISNA(MATCH($C191,'통합 ③ 통장·카드'!$A$5:$A$11,0)),"③ 통장·카드에 없는 결제수단입니다",IF($D191="","계정과목을 고르십시오",IF($E191="※없는 과목","④ 설정에 없는 과목입니다",IF(AND($E191="수입",$J191&gt;0),"수입 과목인데 지출에 적혔습니다",IF(AND(LEFT($E191,2)&lt;&gt;"수입",$E191&lt;&gt;"대체",$I191&gt;0),"지출 과목인데 수입에 적혔습니다",IF($K191="","증빙을 고르십시오",IF(AND($C191="바우처통장",$J191&gt;0,IFERROR(INDEX('통합 ④ 설정'!$E$6:$E$40,MATCH($D191,'통합 ④ 설정'!$B$6:$B$40,0)),"")&lt;&gt;"○"),"바우처통장 지출 — 목적 확인",IF($H191="","적요를 적으십시오",""))))))))))))</f>
        <v/>
      </c>
      <c r="M191" s="39"/>
      <c r="O191" s="11" t="str">
        <f aca="false">IF($B191="","",YEAR($B191)*100+MONTH($B191))</f>
        <v/>
      </c>
      <c r="P191" s="11" t="str">
        <f aca="false">IF($B191="","",IF($E191="대체",0,1))</f>
        <v/>
      </c>
    </row>
    <row r="192" customFormat="false" ht="15" hidden="false" customHeight="false" outlineLevel="0" collapsed="false">
      <c r="A192" s="36" t="str">
        <f aca="false">IF($B192="","",COUNT($B$15:$B192))</f>
        <v/>
      </c>
      <c r="B192" s="37"/>
      <c r="C192" s="38"/>
      <c r="D192" s="39"/>
      <c r="E192" s="36" t="str">
        <f aca="false">IF($D192="","",IFERROR(INDEX('통합 ④ 설정'!$A$6:$A$40,MATCH($D192,'통합 ④ 설정'!$B$6:$B$40,0)),"※없는 과목"))</f>
        <v/>
      </c>
      <c r="F192" s="36" t="str">
        <f aca="false">IF($D192="","",IFERROR(INDEX('통합 ④ 설정'!$C$6:$C$40,MATCH($D192,'통합 ④ 설정'!$B$6:$B$40,0)),""))</f>
        <v/>
      </c>
      <c r="G192" s="39"/>
      <c r="H192" s="39"/>
      <c r="I192" s="40"/>
      <c r="J192" s="41"/>
      <c r="K192" s="38"/>
      <c r="L192" s="42" t="str">
        <f aca="false">IF($B192="","",IF(AND(N($I192)=0,N($J192)=0),"금액이 없습니다",IF(AND($I192&gt;0,$J192&gt;0),"수입·지출 둘 다 적혔습니다",IF($C192="","결제수단을 고르십시오",IF(ISNA(MATCH($C192,'통합 ③ 통장·카드'!$A$5:$A$11,0)),"③ 통장·카드에 없는 결제수단입니다",IF($D192="","계정과목을 고르십시오",IF($E192="※없는 과목","④ 설정에 없는 과목입니다",IF(AND($E192="수입",$J192&gt;0),"수입 과목인데 지출에 적혔습니다",IF(AND(LEFT($E192,2)&lt;&gt;"수입",$E192&lt;&gt;"대체",$I192&gt;0),"지출 과목인데 수입에 적혔습니다",IF($K192="","증빙을 고르십시오",IF(AND($C192="바우처통장",$J192&gt;0,IFERROR(INDEX('통합 ④ 설정'!$E$6:$E$40,MATCH($D192,'통합 ④ 설정'!$B$6:$B$40,0)),"")&lt;&gt;"○"),"바우처통장 지출 — 목적 확인",IF($H192="","적요를 적으십시오",""))))))))))))</f>
        <v/>
      </c>
      <c r="M192" s="39"/>
      <c r="O192" s="11" t="str">
        <f aca="false">IF($B192="","",YEAR($B192)*100+MONTH($B192))</f>
        <v/>
      </c>
      <c r="P192" s="11" t="str">
        <f aca="false">IF($B192="","",IF($E192="대체",0,1))</f>
        <v/>
      </c>
    </row>
    <row r="193" customFormat="false" ht="15" hidden="false" customHeight="false" outlineLevel="0" collapsed="false">
      <c r="A193" s="36" t="str">
        <f aca="false">IF($B193="","",COUNT($B$15:$B193))</f>
        <v/>
      </c>
      <c r="B193" s="37"/>
      <c r="C193" s="38"/>
      <c r="D193" s="39"/>
      <c r="E193" s="36" t="str">
        <f aca="false">IF($D193="","",IFERROR(INDEX('통합 ④ 설정'!$A$6:$A$40,MATCH($D193,'통합 ④ 설정'!$B$6:$B$40,0)),"※없는 과목"))</f>
        <v/>
      </c>
      <c r="F193" s="36" t="str">
        <f aca="false">IF($D193="","",IFERROR(INDEX('통합 ④ 설정'!$C$6:$C$40,MATCH($D193,'통합 ④ 설정'!$B$6:$B$40,0)),""))</f>
        <v/>
      </c>
      <c r="G193" s="39"/>
      <c r="H193" s="39"/>
      <c r="I193" s="40"/>
      <c r="J193" s="41"/>
      <c r="K193" s="38"/>
      <c r="L193" s="42" t="str">
        <f aca="false">IF($B193="","",IF(AND(N($I193)=0,N($J193)=0),"금액이 없습니다",IF(AND($I193&gt;0,$J193&gt;0),"수입·지출 둘 다 적혔습니다",IF($C193="","결제수단을 고르십시오",IF(ISNA(MATCH($C193,'통합 ③ 통장·카드'!$A$5:$A$11,0)),"③ 통장·카드에 없는 결제수단입니다",IF($D193="","계정과목을 고르십시오",IF($E193="※없는 과목","④ 설정에 없는 과목입니다",IF(AND($E193="수입",$J193&gt;0),"수입 과목인데 지출에 적혔습니다",IF(AND(LEFT($E193,2)&lt;&gt;"수입",$E193&lt;&gt;"대체",$I193&gt;0),"지출 과목인데 수입에 적혔습니다",IF($K193="","증빙을 고르십시오",IF(AND($C193="바우처통장",$J193&gt;0,IFERROR(INDEX('통합 ④ 설정'!$E$6:$E$40,MATCH($D193,'통합 ④ 설정'!$B$6:$B$40,0)),"")&lt;&gt;"○"),"바우처통장 지출 — 목적 확인",IF($H193="","적요를 적으십시오",""))))))))))))</f>
        <v/>
      </c>
      <c r="M193" s="39"/>
      <c r="O193" s="11" t="str">
        <f aca="false">IF($B193="","",YEAR($B193)*100+MONTH($B193))</f>
        <v/>
      </c>
      <c r="P193" s="11" t="str">
        <f aca="false">IF($B193="","",IF($E193="대체",0,1))</f>
        <v/>
      </c>
    </row>
    <row r="194" customFormat="false" ht="15" hidden="false" customHeight="false" outlineLevel="0" collapsed="false">
      <c r="A194" s="36" t="str">
        <f aca="false">IF($B194="","",COUNT($B$15:$B194))</f>
        <v/>
      </c>
      <c r="B194" s="37"/>
      <c r="C194" s="38"/>
      <c r="D194" s="39"/>
      <c r="E194" s="36" t="str">
        <f aca="false">IF($D194="","",IFERROR(INDEX('통합 ④ 설정'!$A$6:$A$40,MATCH($D194,'통합 ④ 설정'!$B$6:$B$40,0)),"※없는 과목"))</f>
        <v/>
      </c>
      <c r="F194" s="36" t="str">
        <f aca="false">IF($D194="","",IFERROR(INDEX('통합 ④ 설정'!$C$6:$C$40,MATCH($D194,'통합 ④ 설정'!$B$6:$B$40,0)),""))</f>
        <v/>
      </c>
      <c r="G194" s="39"/>
      <c r="H194" s="39"/>
      <c r="I194" s="40"/>
      <c r="J194" s="41"/>
      <c r="K194" s="38"/>
      <c r="L194" s="42" t="str">
        <f aca="false">IF($B194="","",IF(AND(N($I194)=0,N($J194)=0),"금액이 없습니다",IF(AND($I194&gt;0,$J194&gt;0),"수입·지출 둘 다 적혔습니다",IF($C194="","결제수단을 고르십시오",IF(ISNA(MATCH($C194,'통합 ③ 통장·카드'!$A$5:$A$11,0)),"③ 통장·카드에 없는 결제수단입니다",IF($D194="","계정과목을 고르십시오",IF($E194="※없는 과목","④ 설정에 없는 과목입니다",IF(AND($E194="수입",$J194&gt;0),"수입 과목인데 지출에 적혔습니다",IF(AND(LEFT($E194,2)&lt;&gt;"수입",$E194&lt;&gt;"대체",$I194&gt;0),"지출 과목인데 수입에 적혔습니다",IF($K194="","증빙을 고르십시오",IF(AND($C194="바우처통장",$J194&gt;0,IFERROR(INDEX('통합 ④ 설정'!$E$6:$E$40,MATCH($D194,'통합 ④ 설정'!$B$6:$B$40,0)),"")&lt;&gt;"○"),"바우처통장 지출 — 목적 확인",IF($H194="","적요를 적으십시오",""))))))))))))</f>
        <v/>
      </c>
      <c r="M194" s="39"/>
      <c r="O194" s="11" t="str">
        <f aca="false">IF($B194="","",YEAR($B194)*100+MONTH($B194))</f>
        <v/>
      </c>
      <c r="P194" s="11" t="str">
        <f aca="false">IF($B194="","",IF($E194="대체",0,1))</f>
        <v/>
      </c>
    </row>
    <row r="195" customFormat="false" ht="15" hidden="false" customHeight="false" outlineLevel="0" collapsed="false">
      <c r="A195" s="36" t="str">
        <f aca="false">IF($B195="","",COUNT($B$15:$B195))</f>
        <v/>
      </c>
      <c r="B195" s="37"/>
      <c r="C195" s="38"/>
      <c r="D195" s="39"/>
      <c r="E195" s="36" t="str">
        <f aca="false">IF($D195="","",IFERROR(INDEX('통합 ④ 설정'!$A$6:$A$40,MATCH($D195,'통합 ④ 설정'!$B$6:$B$40,0)),"※없는 과목"))</f>
        <v/>
      </c>
      <c r="F195" s="36" t="str">
        <f aca="false">IF($D195="","",IFERROR(INDEX('통합 ④ 설정'!$C$6:$C$40,MATCH($D195,'통합 ④ 설정'!$B$6:$B$40,0)),""))</f>
        <v/>
      </c>
      <c r="G195" s="39"/>
      <c r="H195" s="39"/>
      <c r="I195" s="40"/>
      <c r="J195" s="41"/>
      <c r="K195" s="38"/>
      <c r="L195" s="42" t="str">
        <f aca="false">IF($B195="","",IF(AND(N($I195)=0,N($J195)=0),"금액이 없습니다",IF(AND($I195&gt;0,$J195&gt;0),"수입·지출 둘 다 적혔습니다",IF($C195="","결제수단을 고르십시오",IF(ISNA(MATCH($C195,'통합 ③ 통장·카드'!$A$5:$A$11,0)),"③ 통장·카드에 없는 결제수단입니다",IF($D195="","계정과목을 고르십시오",IF($E195="※없는 과목","④ 설정에 없는 과목입니다",IF(AND($E195="수입",$J195&gt;0),"수입 과목인데 지출에 적혔습니다",IF(AND(LEFT($E195,2)&lt;&gt;"수입",$E195&lt;&gt;"대체",$I195&gt;0),"지출 과목인데 수입에 적혔습니다",IF($K195="","증빙을 고르십시오",IF(AND($C195="바우처통장",$J195&gt;0,IFERROR(INDEX('통합 ④ 설정'!$E$6:$E$40,MATCH($D195,'통합 ④ 설정'!$B$6:$B$40,0)),"")&lt;&gt;"○"),"바우처통장 지출 — 목적 확인",IF($H195="","적요를 적으십시오",""))))))))))))</f>
        <v/>
      </c>
      <c r="M195" s="39"/>
      <c r="O195" s="11" t="str">
        <f aca="false">IF($B195="","",YEAR($B195)*100+MONTH($B195))</f>
        <v/>
      </c>
      <c r="P195" s="11" t="str">
        <f aca="false">IF($B195="","",IF($E195="대체",0,1))</f>
        <v/>
      </c>
    </row>
    <row r="196" customFormat="false" ht="15" hidden="false" customHeight="false" outlineLevel="0" collapsed="false">
      <c r="A196" s="36" t="str">
        <f aca="false">IF($B196="","",COUNT($B$15:$B196))</f>
        <v/>
      </c>
      <c r="B196" s="37"/>
      <c r="C196" s="38"/>
      <c r="D196" s="39"/>
      <c r="E196" s="36" t="str">
        <f aca="false">IF($D196="","",IFERROR(INDEX('통합 ④ 설정'!$A$6:$A$40,MATCH($D196,'통합 ④ 설정'!$B$6:$B$40,0)),"※없는 과목"))</f>
        <v/>
      </c>
      <c r="F196" s="36" t="str">
        <f aca="false">IF($D196="","",IFERROR(INDEX('통합 ④ 설정'!$C$6:$C$40,MATCH($D196,'통합 ④ 설정'!$B$6:$B$40,0)),""))</f>
        <v/>
      </c>
      <c r="G196" s="39"/>
      <c r="H196" s="39"/>
      <c r="I196" s="40"/>
      <c r="J196" s="41"/>
      <c r="K196" s="38"/>
      <c r="L196" s="42" t="str">
        <f aca="false">IF($B196="","",IF(AND(N($I196)=0,N($J196)=0),"금액이 없습니다",IF(AND($I196&gt;0,$J196&gt;0),"수입·지출 둘 다 적혔습니다",IF($C196="","결제수단을 고르십시오",IF(ISNA(MATCH($C196,'통합 ③ 통장·카드'!$A$5:$A$11,0)),"③ 통장·카드에 없는 결제수단입니다",IF($D196="","계정과목을 고르십시오",IF($E196="※없는 과목","④ 설정에 없는 과목입니다",IF(AND($E196="수입",$J196&gt;0),"수입 과목인데 지출에 적혔습니다",IF(AND(LEFT($E196,2)&lt;&gt;"수입",$E196&lt;&gt;"대체",$I196&gt;0),"지출 과목인데 수입에 적혔습니다",IF($K196="","증빙을 고르십시오",IF(AND($C196="바우처통장",$J196&gt;0,IFERROR(INDEX('통합 ④ 설정'!$E$6:$E$40,MATCH($D196,'통합 ④ 설정'!$B$6:$B$40,0)),"")&lt;&gt;"○"),"바우처통장 지출 — 목적 확인",IF($H196="","적요를 적으십시오",""))))))))))))</f>
        <v/>
      </c>
      <c r="M196" s="39"/>
      <c r="O196" s="11" t="str">
        <f aca="false">IF($B196="","",YEAR($B196)*100+MONTH($B196))</f>
        <v/>
      </c>
      <c r="P196" s="11" t="str">
        <f aca="false">IF($B196="","",IF($E196="대체",0,1))</f>
        <v/>
      </c>
    </row>
    <row r="197" customFormat="false" ht="15" hidden="false" customHeight="false" outlineLevel="0" collapsed="false">
      <c r="A197" s="36" t="str">
        <f aca="false">IF($B197="","",COUNT($B$15:$B197))</f>
        <v/>
      </c>
      <c r="B197" s="37"/>
      <c r="C197" s="38"/>
      <c r="D197" s="39"/>
      <c r="E197" s="36" t="str">
        <f aca="false">IF($D197="","",IFERROR(INDEX('통합 ④ 설정'!$A$6:$A$40,MATCH($D197,'통합 ④ 설정'!$B$6:$B$40,0)),"※없는 과목"))</f>
        <v/>
      </c>
      <c r="F197" s="36" t="str">
        <f aca="false">IF($D197="","",IFERROR(INDEX('통합 ④ 설정'!$C$6:$C$40,MATCH($D197,'통합 ④ 설정'!$B$6:$B$40,0)),""))</f>
        <v/>
      </c>
      <c r="G197" s="39"/>
      <c r="H197" s="39"/>
      <c r="I197" s="40"/>
      <c r="J197" s="41"/>
      <c r="K197" s="38"/>
      <c r="L197" s="42" t="str">
        <f aca="false">IF($B197="","",IF(AND(N($I197)=0,N($J197)=0),"금액이 없습니다",IF(AND($I197&gt;0,$J197&gt;0),"수입·지출 둘 다 적혔습니다",IF($C197="","결제수단을 고르십시오",IF(ISNA(MATCH($C197,'통합 ③ 통장·카드'!$A$5:$A$11,0)),"③ 통장·카드에 없는 결제수단입니다",IF($D197="","계정과목을 고르십시오",IF($E197="※없는 과목","④ 설정에 없는 과목입니다",IF(AND($E197="수입",$J197&gt;0),"수입 과목인데 지출에 적혔습니다",IF(AND(LEFT($E197,2)&lt;&gt;"수입",$E197&lt;&gt;"대체",$I197&gt;0),"지출 과목인데 수입에 적혔습니다",IF($K197="","증빙을 고르십시오",IF(AND($C197="바우처통장",$J197&gt;0,IFERROR(INDEX('통합 ④ 설정'!$E$6:$E$40,MATCH($D197,'통합 ④ 설정'!$B$6:$B$40,0)),"")&lt;&gt;"○"),"바우처통장 지출 — 목적 확인",IF($H197="","적요를 적으십시오",""))))))))))))</f>
        <v/>
      </c>
      <c r="M197" s="39"/>
      <c r="O197" s="11" t="str">
        <f aca="false">IF($B197="","",YEAR($B197)*100+MONTH($B197))</f>
        <v/>
      </c>
      <c r="P197" s="11" t="str">
        <f aca="false">IF($B197="","",IF($E197="대체",0,1))</f>
        <v/>
      </c>
    </row>
    <row r="198" customFormat="false" ht="15" hidden="false" customHeight="false" outlineLevel="0" collapsed="false">
      <c r="A198" s="36" t="str">
        <f aca="false">IF($B198="","",COUNT($B$15:$B198))</f>
        <v/>
      </c>
      <c r="B198" s="37"/>
      <c r="C198" s="38"/>
      <c r="D198" s="39"/>
      <c r="E198" s="36" t="str">
        <f aca="false">IF($D198="","",IFERROR(INDEX('통합 ④ 설정'!$A$6:$A$40,MATCH($D198,'통합 ④ 설정'!$B$6:$B$40,0)),"※없는 과목"))</f>
        <v/>
      </c>
      <c r="F198" s="36" t="str">
        <f aca="false">IF($D198="","",IFERROR(INDEX('통합 ④ 설정'!$C$6:$C$40,MATCH($D198,'통합 ④ 설정'!$B$6:$B$40,0)),""))</f>
        <v/>
      </c>
      <c r="G198" s="39"/>
      <c r="H198" s="39"/>
      <c r="I198" s="40"/>
      <c r="J198" s="41"/>
      <c r="K198" s="38"/>
      <c r="L198" s="42" t="str">
        <f aca="false">IF($B198="","",IF(AND(N($I198)=0,N($J198)=0),"금액이 없습니다",IF(AND($I198&gt;0,$J198&gt;0),"수입·지출 둘 다 적혔습니다",IF($C198="","결제수단을 고르십시오",IF(ISNA(MATCH($C198,'통합 ③ 통장·카드'!$A$5:$A$11,0)),"③ 통장·카드에 없는 결제수단입니다",IF($D198="","계정과목을 고르십시오",IF($E198="※없는 과목","④ 설정에 없는 과목입니다",IF(AND($E198="수입",$J198&gt;0),"수입 과목인데 지출에 적혔습니다",IF(AND(LEFT($E198,2)&lt;&gt;"수입",$E198&lt;&gt;"대체",$I198&gt;0),"지출 과목인데 수입에 적혔습니다",IF($K198="","증빙을 고르십시오",IF(AND($C198="바우처통장",$J198&gt;0,IFERROR(INDEX('통합 ④ 설정'!$E$6:$E$40,MATCH($D198,'통합 ④ 설정'!$B$6:$B$40,0)),"")&lt;&gt;"○"),"바우처통장 지출 — 목적 확인",IF($H198="","적요를 적으십시오",""))))))))))))</f>
        <v/>
      </c>
      <c r="M198" s="39"/>
      <c r="O198" s="11" t="str">
        <f aca="false">IF($B198="","",YEAR($B198)*100+MONTH($B198))</f>
        <v/>
      </c>
      <c r="P198" s="11" t="str">
        <f aca="false">IF($B198="","",IF($E198="대체",0,1))</f>
        <v/>
      </c>
    </row>
    <row r="199" customFormat="false" ht="15" hidden="false" customHeight="false" outlineLevel="0" collapsed="false">
      <c r="A199" s="36" t="str">
        <f aca="false">IF($B199="","",COUNT($B$15:$B199))</f>
        <v/>
      </c>
      <c r="B199" s="37"/>
      <c r="C199" s="38"/>
      <c r="D199" s="39"/>
      <c r="E199" s="36" t="str">
        <f aca="false">IF($D199="","",IFERROR(INDEX('통합 ④ 설정'!$A$6:$A$40,MATCH($D199,'통합 ④ 설정'!$B$6:$B$40,0)),"※없는 과목"))</f>
        <v/>
      </c>
      <c r="F199" s="36" t="str">
        <f aca="false">IF($D199="","",IFERROR(INDEX('통합 ④ 설정'!$C$6:$C$40,MATCH($D199,'통합 ④ 설정'!$B$6:$B$40,0)),""))</f>
        <v/>
      </c>
      <c r="G199" s="39"/>
      <c r="H199" s="39"/>
      <c r="I199" s="40"/>
      <c r="J199" s="41"/>
      <c r="K199" s="38"/>
      <c r="L199" s="42" t="str">
        <f aca="false">IF($B199="","",IF(AND(N($I199)=0,N($J199)=0),"금액이 없습니다",IF(AND($I199&gt;0,$J199&gt;0),"수입·지출 둘 다 적혔습니다",IF($C199="","결제수단을 고르십시오",IF(ISNA(MATCH($C199,'통합 ③ 통장·카드'!$A$5:$A$11,0)),"③ 통장·카드에 없는 결제수단입니다",IF($D199="","계정과목을 고르십시오",IF($E199="※없는 과목","④ 설정에 없는 과목입니다",IF(AND($E199="수입",$J199&gt;0),"수입 과목인데 지출에 적혔습니다",IF(AND(LEFT($E199,2)&lt;&gt;"수입",$E199&lt;&gt;"대체",$I199&gt;0),"지출 과목인데 수입에 적혔습니다",IF($K199="","증빙을 고르십시오",IF(AND($C199="바우처통장",$J199&gt;0,IFERROR(INDEX('통합 ④ 설정'!$E$6:$E$40,MATCH($D199,'통합 ④ 설정'!$B$6:$B$40,0)),"")&lt;&gt;"○"),"바우처통장 지출 — 목적 확인",IF($H199="","적요를 적으십시오",""))))))))))))</f>
        <v/>
      </c>
      <c r="M199" s="39"/>
      <c r="O199" s="11" t="str">
        <f aca="false">IF($B199="","",YEAR($B199)*100+MONTH($B199))</f>
        <v/>
      </c>
      <c r="P199" s="11" t="str">
        <f aca="false">IF($B199="","",IF($E199="대체",0,1))</f>
        <v/>
      </c>
    </row>
    <row r="200" customFormat="false" ht="15" hidden="false" customHeight="false" outlineLevel="0" collapsed="false">
      <c r="A200" s="36" t="str">
        <f aca="false">IF($B200="","",COUNT($B$15:$B200))</f>
        <v/>
      </c>
      <c r="B200" s="37"/>
      <c r="C200" s="38"/>
      <c r="D200" s="39"/>
      <c r="E200" s="36" t="str">
        <f aca="false">IF($D200="","",IFERROR(INDEX('통합 ④ 설정'!$A$6:$A$40,MATCH($D200,'통합 ④ 설정'!$B$6:$B$40,0)),"※없는 과목"))</f>
        <v/>
      </c>
      <c r="F200" s="36" t="str">
        <f aca="false">IF($D200="","",IFERROR(INDEX('통합 ④ 설정'!$C$6:$C$40,MATCH($D200,'통합 ④ 설정'!$B$6:$B$40,0)),""))</f>
        <v/>
      </c>
      <c r="G200" s="39"/>
      <c r="H200" s="39"/>
      <c r="I200" s="40"/>
      <c r="J200" s="41"/>
      <c r="K200" s="38"/>
      <c r="L200" s="42" t="str">
        <f aca="false">IF($B200="","",IF(AND(N($I200)=0,N($J200)=0),"금액이 없습니다",IF(AND($I200&gt;0,$J200&gt;0),"수입·지출 둘 다 적혔습니다",IF($C200="","결제수단을 고르십시오",IF(ISNA(MATCH($C200,'통합 ③ 통장·카드'!$A$5:$A$11,0)),"③ 통장·카드에 없는 결제수단입니다",IF($D200="","계정과목을 고르십시오",IF($E200="※없는 과목","④ 설정에 없는 과목입니다",IF(AND($E200="수입",$J200&gt;0),"수입 과목인데 지출에 적혔습니다",IF(AND(LEFT($E200,2)&lt;&gt;"수입",$E200&lt;&gt;"대체",$I200&gt;0),"지출 과목인데 수입에 적혔습니다",IF($K200="","증빙을 고르십시오",IF(AND($C200="바우처통장",$J200&gt;0,IFERROR(INDEX('통합 ④ 설정'!$E$6:$E$40,MATCH($D200,'통합 ④ 설정'!$B$6:$B$40,0)),"")&lt;&gt;"○"),"바우처통장 지출 — 목적 확인",IF($H200="","적요를 적으십시오",""))))))))))))</f>
        <v/>
      </c>
      <c r="M200" s="39"/>
      <c r="O200" s="11" t="str">
        <f aca="false">IF($B200="","",YEAR($B200)*100+MONTH($B200))</f>
        <v/>
      </c>
      <c r="P200" s="11" t="str">
        <f aca="false">IF($B200="","",IF($E200="대체",0,1))</f>
        <v/>
      </c>
    </row>
    <row r="201" customFormat="false" ht="15" hidden="false" customHeight="false" outlineLevel="0" collapsed="false">
      <c r="A201" s="36" t="str">
        <f aca="false">IF($B201="","",COUNT($B$15:$B201))</f>
        <v/>
      </c>
      <c r="B201" s="37"/>
      <c r="C201" s="38"/>
      <c r="D201" s="39"/>
      <c r="E201" s="36" t="str">
        <f aca="false">IF($D201="","",IFERROR(INDEX('통합 ④ 설정'!$A$6:$A$40,MATCH($D201,'통합 ④ 설정'!$B$6:$B$40,0)),"※없는 과목"))</f>
        <v/>
      </c>
      <c r="F201" s="36" t="str">
        <f aca="false">IF($D201="","",IFERROR(INDEX('통합 ④ 설정'!$C$6:$C$40,MATCH($D201,'통합 ④ 설정'!$B$6:$B$40,0)),""))</f>
        <v/>
      </c>
      <c r="G201" s="39"/>
      <c r="H201" s="39"/>
      <c r="I201" s="40"/>
      <c r="J201" s="41"/>
      <c r="K201" s="38"/>
      <c r="L201" s="42" t="str">
        <f aca="false">IF($B201="","",IF(AND(N($I201)=0,N($J201)=0),"금액이 없습니다",IF(AND($I201&gt;0,$J201&gt;0),"수입·지출 둘 다 적혔습니다",IF($C201="","결제수단을 고르십시오",IF(ISNA(MATCH($C201,'통합 ③ 통장·카드'!$A$5:$A$11,0)),"③ 통장·카드에 없는 결제수단입니다",IF($D201="","계정과목을 고르십시오",IF($E201="※없는 과목","④ 설정에 없는 과목입니다",IF(AND($E201="수입",$J201&gt;0),"수입 과목인데 지출에 적혔습니다",IF(AND(LEFT($E201,2)&lt;&gt;"수입",$E201&lt;&gt;"대체",$I201&gt;0),"지출 과목인데 수입에 적혔습니다",IF($K201="","증빙을 고르십시오",IF(AND($C201="바우처통장",$J201&gt;0,IFERROR(INDEX('통합 ④ 설정'!$E$6:$E$40,MATCH($D201,'통합 ④ 설정'!$B$6:$B$40,0)),"")&lt;&gt;"○"),"바우처통장 지출 — 목적 확인",IF($H201="","적요를 적으십시오",""))))))))))))</f>
        <v/>
      </c>
      <c r="M201" s="39"/>
      <c r="O201" s="11" t="str">
        <f aca="false">IF($B201="","",YEAR($B201)*100+MONTH($B201))</f>
        <v/>
      </c>
      <c r="P201" s="11" t="str">
        <f aca="false">IF($B201="","",IF($E201="대체",0,1))</f>
        <v/>
      </c>
    </row>
    <row r="202" customFormat="false" ht="15" hidden="false" customHeight="false" outlineLevel="0" collapsed="false">
      <c r="A202" s="36" t="str">
        <f aca="false">IF($B202="","",COUNT($B$15:$B202))</f>
        <v/>
      </c>
      <c r="B202" s="37"/>
      <c r="C202" s="38"/>
      <c r="D202" s="39"/>
      <c r="E202" s="36" t="str">
        <f aca="false">IF($D202="","",IFERROR(INDEX('통합 ④ 설정'!$A$6:$A$40,MATCH($D202,'통합 ④ 설정'!$B$6:$B$40,0)),"※없는 과목"))</f>
        <v/>
      </c>
      <c r="F202" s="36" t="str">
        <f aca="false">IF($D202="","",IFERROR(INDEX('통합 ④ 설정'!$C$6:$C$40,MATCH($D202,'통합 ④ 설정'!$B$6:$B$40,0)),""))</f>
        <v/>
      </c>
      <c r="G202" s="39"/>
      <c r="H202" s="39"/>
      <c r="I202" s="40"/>
      <c r="J202" s="41"/>
      <c r="K202" s="38"/>
      <c r="L202" s="42" t="str">
        <f aca="false">IF($B202="","",IF(AND(N($I202)=0,N($J202)=0),"금액이 없습니다",IF(AND($I202&gt;0,$J202&gt;0),"수입·지출 둘 다 적혔습니다",IF($C202="","결제수단을 고르십시오",IF(ISNA(MATCH($C202,'통합 ③ 통장·카드'!$A$5:$A$11,0)),"③ 통장·카드에 없는 결제수단입니다",IF($D202="","계정과목을 고르십시오",IF($E202="※없는 과목","④ 설정에 없는 과목입니다",IF(AND($E202="수입",$J202&gt;0),"수입 과목인데 지출에 적혔습니다",IF(AND(LEFT($E202,2)&lt;&gt;"수입",$E202&lt;&gt;"대체",$I202&gt;0),"지출 과목인데 수입에 적혔습니다",IF($K202="","증빙을 고르십시오",IF(AND($C202="바우처통장",$J202&gt;0,IFERROR(INDEX('통합 ④ 설정'!$E$6:$E$40,MATCH($D202,'통합 ④ 설정'!$B$6:$B$40,0)),"")&lt;&gt;"○"),"바우처통장 지출 — 목적 확인",IF($H202="","적요를 적으십시오",""))))))))))))</f>
        <v/>
      </c>
      <c r="M202" s="39"/>
      <c r="O202" s="11" t="str">
        <f aca="false">IF($B202="","",YEAR($B202)*100+MONTH($B202))</f>
        <v/>
      </c>
      <c r="P202" s="11" t="str">
        <f aca="false">IF($B202="","",IF($E202="대체",0,1))</f>
        <v/>
      </c>
    </row>
    <row r="203" customFormat="false" ht="15" hidden="false" customHeight="false" outlineLevel="0" collapsed="false">
      <c r="A203" s="36" t="str">
        <f aca="false">IF($B203="","",COUNT($B$15:$B203))</f>
        <v/>
      </c>
      <c r="B203" s="37"/>
      <c r="C203" s="38"/>
      <c r="D203" s="39"/>
      <c r="E203" s="36" t="str">
        <f aca="false">IF($D203="","",IFERROR(INDEX('통합 ④ 설정'!$A$6:$A$40,MATCH($D203,'통합 ④ 설정'!$B$6:$B$40,0)),"※없는 과목"))</f>
        <v/>
      </c>
      <c r="F203" s="36" t="str">
        <f aca="false">IF($D203="","",IFERROR(INDEX('통합 ④ 설정'!$C$6:$C$40,MATCH($D203,'통합 ④ 설정'!$B$6:$B$40,0)),""))</f>
        <v/>
      </c>
      <c r="G203" s="39"/>
      <c r="H203" s="39"/>
      <c r="I203" s="40"/>
      <c r="J203" s="41"/>
      <c r="K203" s="38"/>
      <c r="L203" s="42" t="str">
        <f aca="false">IF($B203="","",IF(AND(N($I203)=0,N($J203)=0),"금액이 없습니다",IF(AND($I203&gt;0,$J203&gt;0),"수입·지출 둘 다 적혔습니다",IF($C203="","결제수단을 고르십시오",IF(ISNA(MATCH($C203,'통합 ③ 통장·카드'!$A$5:$A$11,0)),"③ 통장·카드에 없는 결제수단입니다",IF($D203="","계정과목을 고르십시오",IF($E203="※없는 과목","④ 설정에 없는 과목입니다",IF(AND($E203="수입",$J203&gt;0),"수입 과목인데 지출에 적혔습니다",IF(AND(LEFT($E203,2)&lt;&gt;"수입",$E203&lt;&gt;"대체",$I203&gt;0),"지출 과목인데 수입에 적혔습니다",IF($K203="","증빙을 고르십시오",IF(AND($C203="바우처통장",$J203&gt;0,IFERROR(INDEX('통합 ④ 설정'!$E$6:$E$40,MATCH($D203,'통합 ④ 설정'!$B$6:$B$40,0)),"")&lt;&gt;"○"),"바우처통장 지출 — 목적 확인",IF($H203="","적요를 적으십시오",""))))))))))))</f>
        <v/>
      </c>
      <c r="M203" s="39"/>
      <c r="O203" s="11" t="str">
        <f aca="false">IF($B203="","",YEAR($B203)*100+MONTH($B203))</f>
        <v/>
      </c>
      <c r="P203" s="11" t="str">
        <f aca="false">IF($B203="","",IF($E203="대체",0,1))</f>
        <v/>
      </c>
    </row>
    <row r="204" customFormat="false" ht="15" hidden="false" customHeight="false" outlineLevel="0" collapsed="false">
      <c r="A204" s="36" t="str">
        <f aca="false">IF($B204="","",COUNT($B$15:$B204))</f>
        <v/>
      </c>
      <c r="B204" s="37"/>
      <c r="C204" s="38"/>
      <c r="D204" s="39"/>
      <c r="E204" s="36" t="str">
        <f aca="false">IF($D204="","",IFERROR(INDEX('통합 ④ 설정'!$A$6:$A$40,MATCH($D204,'통합 ④ 설정'!$B$6:$B$40,0)),"※없는 과목"))</f>
        <v/>
      </c>
      <c r="F204" s="36" t="str">
        <f aca="false">IF($D204="","",IFERROR(INDEX('통합 ④ 설정'!$C$6:$C$40,MATCH($D204,'통합 ④ 설정'!$B$6:$B$40,0)),""))</f>
        <v/>
      </c>
      <c r="G204" s="39"/>
      <c r="H204" s="39"/>
      <c r="I204" s="40"/>
      <c r="J204" s="41"/>
      <c r="K204" s="38"/>
      <c r="L204" s="42" t="str">
        <f aca="false">IF($B204="","",IF(AND(N($I204)=0,N($J204)=0),"금액이 없습니다",IF(AND($I204&gt;0,$J204&gt;0),"수입·지출 둘 다 적혔습니다",IF($C204="","결제수단을 고르십시오",IF(ISNA(MATCH($C204,'통합 ③ 통장·카드'!$A$5:$A$11,0)),"③ 통장·카드에 없는 결제수단입니다",IF($D204="","계정과목을 고르십시오",IF($E204="※없는 과목","④ 설정에 없는 과목입니다",IF(AND($E204="수입",$J204&gt;0),"수입 과목인데 지출에 적혔습니다",IF(AND(LEFT($E204,2)&lt;&gt;"수입",$E204&lt;&gt;"대체",$I204&gt;0),"지출 과목인데 수입에 적혔습니다",IF($K204="","증빙을 고르십시오",IF(AND($C204="바우처통장",$J204&gt;0,IFERROR(INDEX('통합 ④ 설정'!$E$6:$E$40,MATCH($D204,'통합 ④ 설정'!$B$6:$B$40,0)),"")&lt;&gt;"○"),"바우처통장 지출 — 목적 확인",IF($H204="","적요를 적으십시오",""))))))))))))</f>
        <v/>
      </c>
      <c r="M204" s="39"/>
      <c r="O204" s="11" t="str">
        <f aca="false">IF($B204="","",YEAR($B204)*100+MONTH($B204))</f>
        <v/>
      </c>
      <c r="P204" s="11" t="str">
        <f aca="false">IF($B204="","",IF($E204="대체",0,1))</f>
        <v/>
      </c>
    </row>
    <row r="205" customFormat="false" ht="15" hidden="false" customHeight="false" outlineLevel="0" collapsed="false">
      <c r="A205" s="36" t="str">
        <f aca="false">IF($B205="","",COUNT($B$15:$B205))</f>
        <v/>
      </c>
      <c r="B205" s="37"/>
      <c r="C205" s="38"/>
      <c r="D205" s="39"/>
      <c r="E205" s="36" t="str">
        <f aca="false">IF($D205="","",IFERROR(INDEX('통합 ④ 설정'!$A$6:$A$40,MATCH($D205,'통합 ④ 설정'!$B$6:$B$40,0)),"※없는 과목"))</f>
        <v/>
      </c>
      <c r="F205" s="36" t="str">
        <f aca="false">IF($D205="","",IFERROR(INDEX('통합 ④ 설정'!$C$6:$C$40,MATCH($D205,'통합 ④ 설정'!$B$6:$B$40,0)),""))</f>
        <v/>
      </c>
      <c r="G205" s="39"/>
      <c r="H205" s="39"/>
      <c r="I205" s="40"/>
      <c r="J205" s="41"/>
      <c r="K205" s="38"/>
      <c r="L205" s="42" t="str">
        <f aca="false">IF($B205="","",IF(AND(N($I205)=0,N($J205)=0),"금액이 없습니다",IF(AND($I205&gt;0,$J205&gt;0),"수입·지출 둘 다 적혔습니다",IF($C205="","결제수단을 고르십시오",IF(ISNA(MATCH($C205,'통합 ③ 통장·카드'!$A$5:$A$11,0)),"③ 통장·카드에 없는 결제수단입니다",IF($D205="","계정과목을 고르십시오",IF($E205="※없는 과목","④ 설정에 없는 과목입니다",IF(AND($E205="수입",$J205&gt;0),"수입 과목인데 지출에 적혔습니다",IF(AND(LEFT($E205,2)&lt;&gt;"수입",$E205&lt;&gt;"대체",$I205&gt;0),"지출 과목인데 수입에 적혔습니다",IF($K205="","증빙을 고르십시오",IF(AND($C205="바우처통장",$J205&gt;0,IFERROR(INDEX('통합 ④ 설정'!$E$6:$E$40,MATCH($D205,'통합 ④ 설정'!$B$6:$B$40,0)),"")&lt;&gt;"○"),"바우처통장 지출 — 목적 확인",IF($H205="","적요를 적으십시오",""))))))))))))</f>
        <v/>
      </c>
      <c r="M205" s="39"/>
      <c r="O205" s="11" t="str">
        <f aca="false">IF($B205="","",YEAR($B205)*100+MONTH($B205))</f>
        <v/>
      </c>
      <c r="P205" s="11" t="str">
        <f aca="false">IF($B205="","",IF($E205="대체",0,1))</f>
        <v/>
      </c>
    </row>
    <row r="206" customFormat="false" ht="15" hidden="false" customHeight="false" outlineLevel="0" collapsed="false">
      <c r="A206" s="36" t="str">
        <f aca="false">IF($B206="","",COUNT($B$15:$B206))</f>
        <v/>
      </c>
      <c r="B206" s="37"/>
      <c r="C206" s="38"/>
      <c r="D206" s="39"/>
      <c r="E206" s="36" t="str">
        <f aca="false">IF($D206="","",IFERROR(INDEX('통합 ④ 설정'!$A$6:$A$40,MATCH($D206,'통합 ④ 설정'!$B$6:$B$40,0)),"※없는 과목"))</f>
        <v/>
      </c>
      <c r="F206" s="36" t="str">
        <f aca="false">IF($D206="","",IFERROR(INDEX('통합 ④ 설정'!$C$6:$C$40,MATCH($D206,'통합 ④ 설정'!$B$6:$B$40,0)),""))</f>
        <v/>
      </c>
      <c r="G206" s="39"/>
      <c r="H206" s="39"/>
      <c r="I206" s="40"/>
      <c r="J206" s="41"/>
      <c r="K206" s="38"/>
      <c r="L206" s="42" t="str">
        <f aca="false">IF($B206="","",IF(AND(N($I206)=0,N($J206)=0),"금액이 없습니다",IF(AND($I206&gt;0,$J206&gt;0),"수입·지출 둘 다 적혔습니다",IF($C206="","결제수단을 고르십시오",IF(ISNA(MATCH($C206,'통합 ③ 통장·카드'!$A$5:$A$11,0)),"③ 통장·카드에 없는 결제수단입니다",IF($D206="","계정과목을 고르십시오",IF($E206="※없는 과목","④ 설정에 없는 과목입니다",IF(AND($E206="수입",$J206&gt;0),"수입 과목인데 지출에 적혔습니다",IF(AND(LEFT($E206,2)&lt;&gt;"수입",$E206&lt;&gt;"대체",$I206&gt;0),"지출 과목인데 수입에 적혔습니다",IF($K206="","증빙을 고르십시오",IF(AND($C206="바우처통장",$J206&gt;0,IFERROR(INDEX('통합 ④ 설정'!$E$6:$E$40,MATCH($D206,'통합 ④ 설정'!$B$6:$B$40,0)),"")&lt;&gt;"○"),"바우처통장 지출 — 목적 확인",IF($H206="","적요를 적으십시오",""))))))))))))</f>
        <v/>
      </c>
      <c r="M206" s="39"/>
      <c r="O206" s="11" t="str">
        <f aca="false">IF($B206="","",YEAR($B206)*100+MONTH($B206))</f>
        <v/>
      </c>
      <c r="P206" s="11" t="str">
        <f aca="false">IF($B206="","",IF($E206="대체",0,1))</f>
        <v/>
      </c>
    </row>
    <row r="207" customFormat="false" ht="15" hidden="false" customHeight="false" outlineLevel="0" collapsed="false">
      <c r="A207" s="36" t="str">
        <f aca="false">IF($B207="","",COUNT($B$15:$B207))</f>
        <v/>
      </c>
      <c r="B207" s="37"/>
      <c r="C207" s="38"/>
      <c r="D207" s="39"/>
      <c r="E207" s="36" t="str">
        <f aca="false">IF($D207="","",IFERROR(INDEX('통합 ④ 설정'!$A$6:$A$40,MATCH($D207,'통합 ④ 설정'!$B$6:$B$40,0)),"※없는 과목"))</f>
        <v/>
      </c>
      <c r="F207" s="36" t="str">
        <f aca="false">IF($D207="","",IFERROR(INDEX('통합 ④ 설정'!$C$6:$C$40,MATCH($D207,'통합 ④ 설정'!$B$6:$B$40,0)),""))</f>
        <v/>
      </c>
      <c r="G207" s="39"/>
      <c r="H207" s="39"/>
      <c r="I207" s="40"/>
      <c r="J207" s="41"/>
      <c r="K207" s="38"/>
      <c r="L207" s="42" t="str">
        <f aca="false">IF($B207="","",IF(AND(N($I207)=0,N($J207)=0),"금액이 없습니다",IF(AND($I207&gt;0,$J207&gt;0),"수입·지출 둘 다 적혔습니다",IF($C207="","결제수단을 고르십시오",IF(ISNA(MATCH($C207,'통합 ③ 통장·카드'!$A$5:$A$11,0)),"③ 통장·카드에 없는 결제수단입니다",IF($D207="","계정과목을 고르십시오",IF($E207="※없는 과목","④ 설정에 없는 과목입니다",IF(AND($E207="수입",$J207&gt;0),"수입 과목인데 지출에 적혔습니다",IF(AND(LEFT($E207,2)&lt;&gt;"수입",$E207&lt;&gt;"대체",$I207&gt;0),"지출 과목인데 수입에 적혔습니다",IF($K207="","증빙을 고르십시오",IF(AND($C207="바우처통장",$J207&gt;0,IFERROR(INDEX('통합 ④ 설정'!$E$6:$E$40,MATCH($D207,'통합 ④ 설정'!$B$6:$B$40,0)),"")&lt;&gt;"○"),"바우처통장 지출 — 목적 확인",IF($H207="","적요를 적으십시오",""))))))))))))</f>
        <v/>
      </c>
      <c r="M207" s="39"/>
      <c r="O207" s="11" t="str">
        <f aca="false">IF($B207="","",YEAR($B207)*100+MONTH($B207))</f>
        <v/>
      </c>
      <c r="P207" s="11" t="str">
        <f aca="false">IF($B207="","",IF($E207="대체",0,1))</f>
        <v/>
      </c>
    </row>
    <row r="208" customFormat="false" ht="15" hidden="false" customHeight="false" outlineLevel="0" collapsed="false">
      <c r="A208" s="36" t="str">
        <f aca="false">IF($B208="","",COUNT($B$15:$B208))</f>
        <v/>
      </c>
      <c r="B208" s="37"/>
      <c r="C208" s="38"/>
      <c r="D208" s="39"/>
      <c r="E208" s="36" t="str">
        <f aca="false">IF($D208="","",IFERROR(INDEX('통합 ④ 설정'!$A$6:$A$40,MATCH($D208,'통합 ④ 설정'!$B$6:$B$40,0)),"※없는 과목"))</f>
        <v/>
      </c>
      <c r="F208" s="36" t="str">
        <f aca="false">IF($D208="","",IFERROR(INDEX('통합 ④ 설정'!$C$6:$C$40,MATCH($D208,'통합 ④ 설정'!$B$6:$B$40,0)),""))</f>
        <v/>
      </c>
      <c r="G208" s="39"/>
      <c r="H208" s="39"/>
      <c r="I208" s="40"/>
      <c r="J208" s="41"/>
      <c r="K208" s="38"/>
      <c r="L208" s="42" t="str">
        <f aca="false">IF($B208="","",IF(AND(N($I208)=0,N($J208)=0),"금액이 없습니다",IF(AND($I208&gt;0,$J208&gt;0),"수입·지출 둘 다 적혔습니다",IF($C208="","결제수단을 고르십시오",IF(ISNA(MATCH($C208,'통합 ③ 통장·카드'!$A$5:$A$11,0)),"③ 통장·카드에 없는 결제수단입니다",IF($D208="","계정과목을 고르십시오",IF($E208="※없는 과목","④ 설정에 없는 과목입니다",IF(AND($E208="수입",$J208&gt;0),"수입 과목인데 지출에 적혔습니다",IF(AND(LEFT($E208,2)&lt;&gt;"수입",$E208&lt;&gt;"대체",$I208&gt;0),"지출 과목인데 수입에 적혔습니다",IF($K208="","증빙을 고르십시오",IF(AND($C208="바우처통장",$J208&gt;0,IFERROR(INDEX('통합 ④ 설정'!$E$6:$E$40,MATCH($D208,'통합 ④ 설정'!$B$6:$B$40,0)),"")&lt;&gt;"○"),"바우처통장 지출 — 목적 확인",IF($H208="","적요를 적으십시오",""))))))))))))</f>
        <v/>
      </c>
      <c r="M208" s="39"/>
      <c r="O208" s="11" t="str">
        <f aca="false">IF($B208="","",YEAR($B208)*100+MONTH($B208))</f>
        <v/>
      </c>
      <c r="P208" s="11" t="str">
        <f aca="false">IF($B208="","",IF($E208="대체",0,1))</f>
        <v/>
      </c>
    </row>
    <row r="209" customFormat="false" ht="15" hidden="false" customHeight="false" outlineLevel="0" collapsed="false">
      <c r="A209" s="36" t="str">
        <f aca="false">IF($B209="","",COUNT($B$15:$B209))</f>
        <v/>
      </c>
      <c r="B209" s="37"/>
      <c r="C209" s="38"/>
      <c r="D209" s="39"/>
      <c r="E209" s="36" t="str">
        <f aca="false">IF($D209="","",IFERROR(INDEX('통합 ④ 설정'!$A$6:$A$40,MATCH($D209,'통합 ④ 설정'!$B$6:$B$40,0)),"※없는 과목"))</f>
        <v/>
      </c>
      <c r="F209" s="36" t="str">
        <f aca="false">IF($D209="","",IFERROR(INDEX('통합 ④ 설정'!$C$6:$C$40,MATCH($D209,'통합 ④ 설정'!$B$6:$B$40,0)),""))</f>
        <v/>
      </c>
      <c r="G209" s="39"/>
      <c r="H209" s="39"/>
      <c r="I209" s="40"/>
      <c r="J209" s="41"/>
      <c r="K209" s="38"/>
      <c r="L209" s="42" t="str">
        <f aca="false">IF($B209="","",IF(AND(N($I209)=0,N($J209)=0),"금액이 없습니다",IF(AND($I209&gt;0,$J209&gt;0),"수입·지출 둘 다 적혔습니다",IF($C209="","결제수단을 고르십시오",IF(ISNA(MATCH($C209,'통합 ③ 통장·카드'!$A$5:$A$11,0)),"③ 통장·카드에 없는 결제수단입니다",IF($D209="","계정과목을 고르십시오",IF($E209="※없는 과목","④ 설정에 없는 과목입니다",IF(AND($E209="수입",$J209&gt;0),"수입 과목인데 지출에 적혔습니다",IF(AND(LEFT($E209,2)&lt;&gt;"수입",$E209&lt;&gt;"대체",$I209&gt;0),"지출 과목인데 수입에 적혔습니다",IF($K209="","증빙을 고르십시오",IF(AND($C209="바우처통장",$J209&gt;0,IFERROR(INDEX('통합 ④ 설정'!$E$6:$E$40,MATCH($D209,'통합 ④ 설정'!$B$6:$B$40,0)),"")&lt;&gt;"○"),"바우처통장 지출 — 목적 확인",IF($H209="","적요를 적으십시오",""))))))))))))</f>
        <v/>
      </c>
      <c r="M209" s="39"/>
      <c r="O209" s="11" t="str">
        <f aca="false">IF($B209="","",YEAR($B209)*100+MONTH($B209))</f>
        <v/>
      </c>
      <c r="P209" s="11" t="str">
        <f aca="false">IF($B209="","",IF($E209="대체",0,1))</f>
        <v/>
      </c>
    </row>
    <row r="210" customFormat="false" ht="15" hidden="false" customHeight="false" outlineLevel="0" collapsed="false">
      <c r="A210" s="36" t="str">
        <f aca="false">IF($B210="","",COUNT($B$15:$B210))</f>
        <v/>
      </c>
      <c r="B210" s="37"/>
      <c r="C210" s="38"/>
      <c r="D210" s="39"/>
      <c r="E210" s="36" t="str">
        <f aca="false">IF($D210="","",IFERROR(INDEX('통합 ④ 설정'!$A$6:$A$40,MATCH($D210,'통합 ④ 설정'!$B$6:$B$40,0)),"※없는 과목"))</f>
        <v/>
      </c>
      <c r="F210" s="36" t="str">
        <f aca="false">IF($D210="","",IFERROR(INDEX('통합 ④ 설정'!$C$6:$C$40,MATCH($D210,'통합 ④ 설정'!$B$6:$B$40,0)),""))</f>
        <v/>
      </c>
      <c r="G210" s="39"/>
      <c r="H210" s="39"/>
      <c r="I210" s="40"/>
      <c r="J210" s="41"/>
      <c r="K210" s="38"/>
      <c r="L210" s="42" t="str">
        <f aca="false">IF($B210="","",IF(AND(N($I210)=0,N($J210)=0),"금액이 없습니다",IF(AND($I210&gt;0,$J210&gt;0),"수입·지출 둘 다 적혔습니다",IF($C210="","결제수단을 고르십시오",IF(ISNA(MATCH($C210,'통합 ③ 통장·카드'!$A$5:$A$11,0)),"③ 통장·카드에 없는 결제수단입니다",IF($D210="","계정과목을 고르십시오",IF($E210="※없는 과목","④ 설정에 없는 과목입니다",IF(AND($E210="수입",$J210&gt;0),"수입 과목인데 지출에 적혔습니다",IF(AND(LEFT($E210,2)&lt;&gt;"수입",$E210&lt;&gt;"대체",$I210&gt;0),"지출 과목인데 수입에 적혔습니다",IF($K210="","증빙을 고르십시오",IF(AND($C210="바우처통장",$J210&gt;0,IFERROR(INDEX('통합 ④ 설정'!$E$6:$E$40,MATCH($D210,'통합 ④ 설정'!$B$6:$B$40,0)),"")&lt;&gt;"○"),"바우처통장 지출 — 목적 확인",IF($H210="","적요를 적으십시오",""))))))))))))</f>
        <v/>
      </c>
      <c r="M210" s="39"/>
      <c r="O210" s="11" t="str">
        <f aca="false">IF($B210="","",YEAR($B210)*100+MONTH($B210))</f>
        <v/>
      </c>
      <c r="P210" s="11" t="str">
        <f aca="false">IF($B210="","",IF($E210="대체",0,1))</f>
        <v/>
      </c>
    </row>
    <row r="211" customFormat="false" ht="15" hidden="false" customHeight="false" outlineLevel="0" collapsed="false">
      <c r="A211" s="36" t="str">
        <f aca="false">IF($B211="","",COUNT($B$15:$B211))</f>
        <v/>
      </c>
      <c r="B211" s="37"/>
      <c r="C211" s="38"/>
      <c r="D211" s="39"/>
      <c r="E211" s="36" t="str">
        <f aca="false">IF($D211="","",IFERROR(INDEX('통합 ④ 설정'!$A$6:$A$40,MATCH($D211,'통합 ④ 설정'!$B$6:$B$40,0)),"※없는 과목"))</f>
        <v/>
      </c>
      <c r="F211" s="36" t="str">
        <f aca="false">IF($D211="","",IFERROR(INDEX('통합 ④ 설정'!$C$6:$C$40,MATCH($D211,'통합 ④ 설정'!$B$6:$B$40,0)),""))</f>
        <v/>
      </c>
      <c r="G211" s="39"/>
      <c r="H211" s="39"/>
      <c r="I211" s="40"/>
      <c r="J211" s="41"/>
      <c r="K211" s="38"/>
      <c r="L211" s="42" t="str">
        <f aca="false">IF($B211="","",IF(AND(N($I211)=0,N($J211)=0),"금액이 없습니다",IF(AND($I211&gt;0,$J211&gt;0),"수입·지출 둘 다 적혔습니다",IF($C211="","결제수단을 고르십시오",IF(ISNA(MATCH($C211,'통합 ③ 통장·카드'!$A$5:$A$11,0)),"③ 통장·카드에 없는 결제수단입니다",IF($D211="","계정과목을 고르십시오",IF($E211="※없는 과목","④ 설정에 없는 과목입니다",IF(AND($E211="수입",$J211&gt;0),"수입 과목인데 지출에 적혔습니다",IF(AND(LEFT($E211,2)&lt;&gt;"수입",$E211&lt;&gt;"대체",$I211&gt;0),"지출 과목인데 수입에 적혔습니다",IF($K211="","증빙을 고르십시오",IF(AND($C211="바우처통장",$J211&gt;0,IFERROR(INDEX('통합 ④ 설정'!$E$6:$E$40,MATCH($D211,'통합 ④ 설정'!$B$6:$B$40,0)),"")&lt;&gt;"○"),"바우처통장 지출 — 목적 확인",IF($H211="","적요를 적으십시오",""))))))))))))</f>
        <v/>
      </c>
      <c r="M211" s="39"/>
      <c r="O211" s="11" t="str">
        <f aca="false">IF($B211="","",YEAR($B211)*100+MONTH($B211))</f>
        <v/>
      </c>
      <c r="P211" s="11" t="str">
        <f aca="false">IF($B211="","",IF($E211="대체",0,1))</f>
        <v/>
      </c>
    </row>
    <row r="212" customFormat="false" ht="15" hidden="false" customHeight="false" outlineLevel="0" collapsed="false">
      <c r="A212" s="36" t="str">
        <f aca="false">IF($B212="","",COUNT($B$15:$B212))</f>
        <v/>
      </c>
      <c r="B212" s="37"/>
      <c r="C212" s="38"/>
      <c r="D212" s="39"/>
      <c r="E212" s="36" t="str">
        <f aca="false">IF($D212="","",IFERROR(INDEX('통합 ④ 설정'!$A$6:$A$40,MATCH($D212,'통합 ④ 설정'!$B$6:$B$40,0)),"※없는 과목"))</f>
        <v/>
      </c>
      <c r="F212" s="36" t="str">
        <f aca="false">IF($D212="","",IFERROR(INDEX('통합 ④ 설정'!$C$6:$C$40,MATCH($D212,'통합 ④ 설정'!$B$6:$B$40,0)),""))</f>
        <v/>
      </c>
      <c r="G212" s="39"/>
      <c r="H212" s="39"/>
      <c r="I212" s="40"/>
      <c r="J212" s="41"/>
      <c r="K212" s="38"/>
      <c r="L212" s="42" t="str">
        <f aca="false">IF($B212="","",IF(AND(N($I212)=0,N($J212)=0),"금액이 없습니다",IF(AND($I212&gt;0,$J212&gt;0),"수입·지출 둘 다 적혔습니다",IF($C212="","결제수단을 고르십시오",IF(ISNA(MATCH($C212,'통합 ③ 통장·카드'!$A$5:$A$11,0)),"③ 통장·카드에 없는 결제수단입니다",IF($D212="","계정과목을 고르십시오",IF($E212="※없는 과목","④ 설정에 없는 과목입니다",IF(AND($E212="수입",$J212&gt;0),"수입 과목인데 지출에 적혔습니다",IF(AND(LEFT($E212,2)&lt;&gt;"수입",$E212&lt;&gt;"대체",$I212&gt;0),"지출 과목인데 수입에 적혔습니다",IF($K212="","증빙을 고르십시오",IF(AND($C212="바우처통장",$J212&gt;0,IFERROR(INDEX('통합 ④ 설정'!$E$6:$E$40,MATCH($D212,'통합 ④ 설정'!$B$6:$B$40,0)),"")&lt;&gt;"○"),"바우처통장 지출 — 목적 확인",IF($H212="","적요를 적으십시오",""))))))))))))</f>
        <v/>
      </c>
      <c r="M212" s="39"/>
      <c r="O212" s="11" t="str">
        <f aca="false">IF($B212="","",YEAR($B212)*100+MONTH($B212))</f>
        <v/>
      </c>
      <c r="P212" s="11" t="str">
        <f aca="false">IF($B212="","",IF($E212="대체",0,1))</f>
        <v/>
      </c>
    </row>
    <row r="213" customFormat="false" ht="15" hidden="false" customHeight="false" outlineLevel="0" collapsed="false">
      <c r="A213" s="36" t="str">
        <f aca="false">IF($B213="","",COUNT($B$15:$B213))</f>
        <v/>
      </c>
      <c r="B213" s="37"/>
      <c r="C213" s="38"/>
      <c r="D213" s="39"/>
      <c r="E213" s="36" t="str">
        <f aca="false">IF($D213="","",IFERROR(INDEX('통합 ④ 설정'!$A$6:$A$40,MATCH($D213,'통합 ④ 설정'!$B$6:$B$40,0)),"※없는 과목"))</f>
        <v/>
      </c>
      <c r="F213" s="36" t="str">
        <f aca="false">IF($D213="","",IFERROR(INDEX('통합 ④ 설정'!$C$6:$C$40,MATCH($D213,'통합 ④ 설정'!$B$6:$B$40,0)),""))</f>
        <v/>
      </c>
      <c r="G213" s="39"/>
      <c r="H213" s="39"/>
      <c r="I213" s="40"/>
      <c r="J213" s="41"/>
      <c r="K213" s="38"/>
      <c r="L213" s="42" t="str">
        <f aca="false">IF($B213="","",IF(AND(N($I213)=0,N($J213)=0),"금액이 없습니다",IF(AND($I213&gt;0,$J213&gt;0),"수입·지출 둘 다 적혔습니다",IF($C213="","결제수단을 고르십시오",IF(ISNA(MATCH($C213,'통합 ③ 통장·카드'!$A$5:$A$11,0)),"③ 통장·카드에 없는 결제수단입니다",IF($D213="","계정과목을 고르십시오",IF($E213="※없는 과목","④ 설정에 없는 과목입니다",IF(AND($E213="수입",$J213&gt;0),"수입 과목인데 지출에 적혔습니다",IF(AND(LEFT($E213,2)&lt;&gt;"수입",$E213&lt;&gt;"대체",$I213&gt;0),"지출 과목인데 수입에 적혔습니다",IF($K213="","증빙을 고르십시오",IF(AND($C213="바우처통장",$J213&gt;0,IFERROR(INDEX('통합 ④ 설정'!$E$6:$E$40,MATCH($D213,'통합 ④ 설정'!$B$6:$B$40,0)),"")&lt;&gt;"○"),"바우처통장 지출 — 목적 확인",IF($H213="","적요를 적으십시오",""))))))))))))</f>
        <v/>
      </c>
      <c r="M213" s="39"/>
      <c r="O213" s="11" t="str">
        <f aca="false">IF($B213="","",YEAR($B213)*100+MONTH($B213))</f>
        <v/>
      </c>
      <c r="P213" s="11" t="str">
        <f aca="false">IF($B213="","",IF($E213="대체",0,1))</f>
        <v/>
      </c>
    </row>
    <row r="214" customFormat="false" ht="15" hidden="false" customHeight="false" outlineLevel="0" collapsed="false">
      <c r="A214" s="36" t="str">
        <f aca="false">IF($B214="","",COUNT($B$15:$B214))</f>
        <v/>
      </c>
      <c r="B214" s="37"/>
      <c r="C214" s="38"/>
      <c r="D214" s="39"/>
      <c r="E214" s="36" t="str">
        <f aca="false">IF($D214="","",IFERROR(INDEX('통합 ④ 설정'!$A$6:$A$40,MATCH($D214,'통합 ④ 설정'!$B$6:$B$40,0)),"※없는 과목"))</f>
        <v/>
      </c>
      <c r="F214" s="36" t="str">
        <f aca="false">IF($D214="","",IFERROR(INDEX('통합 ④ 설정'!$C$6:$C$40,MATCH($D214,'통합 ④ 설정'!$B$6:$B$40,0)),""))</f>
        <v/>
      </c>
      <c r="G214" s="39"/>
      <c r="H214" s="39"/>
      <c r="I214" s="40"/>
      <c r="J214" s="41"/>
      <c r="K214" s="38"/>
      <c r="L214" s="42" t="str">
        <f aca="false">IF($B214="","",IF(AND(N($I214)=0,N($J214)=0),"금액이 없습니다",IF(AND($I214&gt;0,$J214&gt;0),"수입·지출 둘 다 적혔습니다",IF($C214="","결제수단을 고르십시오",IF(ISNA(MATCH($C214,'통합 ③ 통장·카드'!$A$5:$A$11,0)),"③ 통장·카드에 없는 결제수단입니다",IF($D214="","계정과목을 고르십시오",IF($E214="※없는 과목","④ 설정에 없는 과목입니다",IF(AND($E214="수입",$J214&gt;0),"수입 과목인데 지출에 적혔습니다",IF(AND(LEFT($E214,2)&lt;&gt;"수입",$E214&lt;&gt;"대체",$I214&gt;0),"지출 과목인데 수입에 적혔습니다",IF($K214="","증빙을 고르십시오",IF(AND($C214="바우처통장",$J214&gt;0,IFERROR(INDEX('통합 ④ 설정'!$E$6:$E$40,MATCH($D214,'통합 ④ 설정'!$B$6:$B$40,0)),"")&lt;&gt;"○"),"바우처통장 지출 — 목적 확인",IF($H214="","적요를 적으십시오",""))))))))))))</f>
        <v/>
      </c>
      <c r="M214" s="39"/>
      <c r="O214" s="11" t="str">
        <f aca="false">IF($B214="","",YEAR($B214)*100+MONTH($B214))</f>
        <v/>
      </c>
      <c r="P214" s="11" t="str">
        <f aca="false">IF($B214="","",IF($E214="대체",0,1))</f>
        <v/>
      </c>
    </row>
    <row r="215" customFormat="false" ht="15" hidden="false" customHeight="false" outlineLevel="0" collapsed="false">
      <c r="A215" s="36" t="str">
        <f aca="false">IF($B215="","",COUNT($B$15:$B215))</f>
        <v/>
      </c>
      <c r="B215" s="37"/>
      <c r="C215" s="38"/>
      <c r="D215" s="39"/>
      <c r="E215" s="36" t="str">
        <f aca="false">IF($D215="","",IFERROR(INDEX('통합 ④ 설정'!$A$6:$A$40,MATCH($D215,'통합 ④ 설정'!$B$6:$B$40,0)),"※없는 과목"))</f>
        <v/>
      </c>
      <c r="F215" s="36" t="str">
        <f aca="false">IF($D215="","",IFERROR(INDEX('통합 ④ 설정'!$C$6:$C$40,MATCH($D215,'통합 ④ 설정'!$B$6:$B$40,0)),""))</f>
        <v/>
      </c>
      <c r="G215" s="39"/>
      <c r="H215" s="39"/>
      <c r="I215" s="40"/>
      <c r="J215" s="41"/>
      <c r="K215" s="38"/>
      <c r="L215" s="42" t="str">
        <f aca="false">IF($B215="","",IF(AND(N($I215)=0,N($J215)=0),"금액이 없습니다",IF(AND($I215&gt;0,$J215&gt;0),"수입·지출 둘 다 적혔습니다",IF($C215="","결제수단을 고르십시오",IF(ISNA(MATCH($C215,'통합 ③ 통장·카드'!$A$5:$A$11,0)),"③ 통장·카드에 없는 결제수단입니다",IF($D215="","계정과목을 고르십시오",IF($E215="※없는 과목","④ 설정에 없는 과목입니다",IF(AND($E215="수입",$J215&gt;0),"수입 과목인데 지출에 적혔습니다",IF(AND(LEFT($E215,2)&lt;&gt;"수입",$E215&lt;&gt;"대체",$I215&gt;0),"지출 과목인데 수입에 적혔습니다",IF($K215="","증빙을 고르십시오",IF(AND($C215="바우처통장",$J215&gt;0,IFERROR(INDEX('통합 ④ 설정'!$E$6:$E$40,MATCH($D215,'통합 ④ 설정'!$B$6:$B$40,0)),"")&lt;&gt;"○"),"바우처통장 지출 — 목적 확인",IF($H215="","적요를 적으십시오",""))))))))))))</f>
        <v/>
      </c>
      <c r="M215" s="39"/>
      <c r="O215" s="11" t="str">
        <f aca="false">IF($B215="","",YEAR($B215)*100+MONTH($B215))</f>
        <v/>
      </c>
      <c r="P215" s="11" t="str">
        <f aca="false">IF($B215="","",IF($E215="대체",0,1))</f>
        <v/>
      </c>
    </row>
    <row r="216" customFormat="false" ht="15" hidden="false" customHeight="false" outlineLevel="0" collapsed="false">
      <c r="A216" s="36" t="str">
        <f aca="false">IF($B216="","",COUNT($B$15:$B216))</f>
        <v/>
      </c>
      <c r="B216" s="37"/>
      <c r="C216" s="38"/>
      <c r="D216" s="39"/>
      <c r="E216" s="36" t="str">
        <f aca="false">IF($D216="","",IFERROR(INDEX('통합 ④ 설정'!$A$6:$A$40,MATCH($D216,'통합 ④ 설정'!$B$6:$B$40,0)),"※없는 과목"))</f>
        <v/>
      </c>
      <c r="F216" s="36" t="str">
        <f aca="false">IF($D216="","",IFERROR(INDEX('통합 ④ 설정'!$C$6:$C$40,MATCH($D216,'통합 ④ 설정'!$B$6:$B$40,0)),""))</f>
        <v/>
      </c>
      <c r="G216" s="39"/>
      <c r="H216" s="39"/>
      <c r="I216" s="40"/>
      <c r="J216" s="41"/>
      <c r="K216" s="38"/>
      <c r="L216" s="42" t="str">
        <f aca="false">IF($B216="","",IF(AND(N($I216)=0,N($J216)=0),"금액이 없습니다",IF(AND($I216&gt;0,$J216&gt;0),"수입·지출 둘 다 적혔습니다",IF($C216="","결제수단을 고르십시오",IF(ISNA(MATCH($C216,'통합 ③ 통장·카드'!$A$5:$A$11,0)),"③ 통장·카드에 없는 결제수단입니다",IF($D216="","계정과목을 고르십시오",IF($E216="※없는 과목","④ 설정에 없는 과목입니다",IF(AND($E216="수입",$J216&gt;0),"수입 과목인데 지출에 적혔습니다",IF(AND(LEFT($E216,2)&lt;&gt;"수입",$E216&lt;&gt;"대체",$I216&gt;0),"지출 과목인데 수입에 적혔습니다",IF($K216="","증빙을 고르십시오",IF(AND($C216="바우처통장",$J216&gt;0,IFERROR(INDEX('통합 ④ 설정'!$E$6:$E$40,MATCH($D216,'통합 ④ 설정'!$B$6:$B$40,0)),"")&lt;&gt;"○"),"바우처통장 지출 — 목적 확인",IF($H216="","적요를 적으십시오",""))))))))))))</f>
        <v/>
      </c>
      <c r="M216" s="39"/>
      <c r="O216" s="11" t="str">
        <f aca="false">IF($B216="","",YEAR($B216)*100+MONTH($B216))</f>
        <v/>
      </c>
      <c r="P216" s="11" t="str">
        <f aca="false">IF($B216="","",IF($E216="대체",0,1))</f>
        <v/>
      </c>
    </row>
    <row r="217" customFormat="false" ht="15" hidden="false" customHeight="false" outlineLevel="0" collapsed="false">
      <c r="A217" s="36" t="str">
        <f aca="false">IF($B217="","",COUNT($B$15:$B217))</f>
        <v/>
      </c>
      <c r="B217" s="37"/>
      <c r="C217" s="38"/>
      <c r="D217" s="39"/>
      <c r="E217" s="36" t="str">
        <f aca="false">IF($D217="","",IFERROR(INDEX('통합 ④ 설정'!$A$6:$A$40,MATCH($D217,'통합 ④ 설정'!$B$6:$B$40,0)),"※없는 과목"))</f>
        <v/>
      </c>
      <c r="F217" s="36" t="str">
        <f aca="false">IF($D217="","",IFERROR(INDEX('통합 ④ 설정'!$C$6:$C$40,MATCH($D217,'통합 ④ 설정'!$B$6:$B$40,0)),""))</f>
        <v/>
      </c>
      <c r="G217" s="39"/>
      <c r="H217" s="39"/>
      <c r="I217" s="40"/>
      <c r="J217" s="41"/>
      <c r="K217" s="38"/>
      <c r="L217" s="42" t="str">
        <f aca="false">IF($B217="","",IF(AND(N($I217)=0,N($J217)=0),"금액이 없습니다",IF(AND($I217&gt;0,$J217&gt;0),"수입·지출 둘 다 적혔습니다",IF($C217="","결제수단을 고르십시오",IF(ISNA(MATCH($C217,'통합 ③ 통장·카드'!$A$5:$A$11,0)),"③ 통장·카드에 없는 결제수단입니다",IF($D217="","계정과목을 고르십시오",IF($E217="※없는 과목","④ 설정에 없는 과목입니다",IF(AND($E217="수입",$J217&gt;0),"수입 과목인데 지출에 적혔습니다",IF(AND(LEFT($E217,2)&lt;&gt;"수입",$E217&lt;&gt;"대체",$I217&gt;0),"지출 과목인데 수입에 적혔습니다",IF($K217="","증빙을 고르십시오",IF(AND($C217="바우처통장",$J217&gt;0,IFERROR(INDEX('통합 ④ 설정'!$E$6:$E$40,MATCH($D217,'통합 ④ 설정'!$B$6:$B$40,0)),"")&lt;&gt;"○"),"바우처통장 지출 — 목적 확인",IF($H217="","적요를 적으십시오",""))))))))))))</f>
        <v/>
      </c>
      <c r="M217" s="39"/>
      <c r="O217" s="11" t="str">
        <f aca="false">IF($B217="","",YEAR($B217)*100+MONTH($B217))</f>
        <v/>
      </c>
      <c r="P217" s="11" t="str">
        <f aca="false">IF($B217="","",IF($E217="대체",0,1))</f>
        <v/>
      </c>
    </row>
    <row r="218" customFormat="false" ht="15" hidden="false" customHeight="false" outlineLevel="0" collapsed="false">
      <c r="A218" s="36" t="str">
        <f aca="false">IF($B218="","",COUNT($B$15:$B218))</f>
        <v/>
      </c>
      <c r="B218" s="37"/>
      <c r="C218" s="38"/>
      <c r="D218" s="39"/>
      <c r="E218" s="36" t="str">
        <f aca="false">IF($D218="","",IFERROR(INDEX('통합 ④ 설정'!$A$6:$A$40,MATCH($D218,'통합 ④ 설정'!$B$6:$B$40,0)),"※없는 과목"))</f>
        <v/>
      </c>
      <c r="F218" s="36" t="str">
        <f aca="false">IF($D218="","",IFERROR(INDEX('통합 ④ 설정'!$C$6:$C$40,MATCH($D218,'통합 ④ 설정'!$B$6:$B$40,0)),""))</f>
        <v/>
      </c>
      <c r="G218" s="39"/>
      <c r="H218" s="39"/>
      <c r="I218" s="40"/>
      <c r="J218" s="41"/>
      <c r="K218" s="38"/>
      <c r="L218" s="42" t="str">
        <f aca="false">IF($B218="","",IF(AND(N($I218)=0,N($J218)=0),"금액이 없습니다",IF(AND($I218&gt;0,$J218&gt;0),"수입·지출 둘 다 적혔습니다",IF($C218="","결제수단을 고르십시오",IF(ISNA(MATCH($C218,'통합 ③ 통장·카드'!$A$5:$A$11,0)),"③ 통장·카드에 없는 결제수단입니다",IF($D218="","계정과목을 고르십시오",IF($E218="※없는 과목","④ 설정에 없는 과목입니다",IF(AND($E218="수입",$J218&gt;0),"수입 과목인데 지출에 적혔습니다",IF(AND(LEFT($E218,2)&lt;&gt;"수입",$E218&lt;&gt;"대체",$I218&gt;0),"지출 과목인데 수입에 적혔습니다",IF($K218="","증빙을 고르십시오",IF(AND($C218="바우처통장",$J218&gt;0,IFERROR(INDEX('통합 ④ 설정'!$E$6:$E$40,MATCH($D218,'통합 ④ 설정'!$B$6:$B$40,0)),"")&lt;&gt;"○"),"바우처통장 지출 — 목적 확인",IF($H218="","적요를 적으십시오",""))))))))))))</f>
        <v/>
      </c>
      <c r="M218" s="39"/>
      <c r="O218" s="11" t="str">
        <f aca="false">IF($B218="","",YEAR($B218)*100+MONTH($B218))</f>
        <v/>
      </c>
      <c r="P218" s="11" t="str">
        <f aca="false">IF($B218="","",IF($E218="대체",0,1))</f>
        <v/>
      </c>
    </row>
    <row r="219" customFormat="false" ht="15" hidden="false" customHeight="false" outlineLevel="0" collapsed="false">
      <c r="A219" s="36" t="str">
        <f aca="false">IF($B219="","",COUNT($B$15:$B219))</f>
        <v/>
      </c>
      <c r="B219" s="37"/>
      <c r="C219" s="38"/>
      <c r="D219" s="39"/>
      <c r="E219" s="36" t="str">
        <f aca="false">IF($D219="","",IFERROR(INDEX('통합 ④ 설정'!$A$6:$A$40,MATCH($D219,'통합 ④ 설정'!$B$6:$B$40,0)),"※없는 과목"))</f>
        <v/>
      </c>
      <c r="F219" s="36" t="str">
        <f aca="false">IF($D219="","",IFERROR(INDEX('통합 ④ 설정'!$C$6:$C$40,MATCH($D219,'통합 ④ 설정'!$B$6:$B$40,0)),""))</f>
        <v/>
      </c>
      <c r="G219" s="39"/>
      <c r="H219" s="39"/>
      <c r="I219" s="40"/>
      <c r="J219" s="41"/>
      <c r="K219" s="38"/>
      <c r="L219" s="42" t="str">
        <f aca="false">IF($B219="","",IF(AND(N($I219)=0,N($J219)=0),"금액이 없습니다",IF(AND($I219&gt;0,$J219&gt;0),"수입·지출 둘 다 적혔습니다",IF($C219="","결제수단을 고르십시오",IF(ISNA(MATCH($C219,'통합 ③ 통장·카드'!$A$5:$A$11,0)),"③ 통장·카드에 없는 결제수단입니다",IF($D219="","계정과목을 고르십시오",IF($E219="※없는 과목","④ 설정에 없는 과목입니다",IF(AND($E219="수입",$J219&gt;0),"수입 과목인데 지출에 적혔습니다",IF(AND(LEFT($E219,2)&lt;&gt;"수입",$E219&lt;&gt;"대체",$I219&gt;0),"지출 과목인데 수입에 적혔습니다",IF($K219="","증빙을 고르십시오",IF(AND($C219="바우처통장",$J219&gt;0,IFERROR(INDEX('통합 ④ 설정'!$E$6:$E$40,MATCH($D219,'통합 ④ 설정'!$B$6:$B$40,0)),"")&lt;&gt;"○"),"바우처통장 지출 — 목적 확인",IF($H219="","적요를 적으십시오",""))))))))))))</f>
        <v/>
      </c>
      <c r="M219" s="39"/>
      <c r="O219" s="11" t="str">
        <f aca="false">IF($B219="","",YEAR($B219)*100+MONTH($B219))</f>
        <v/>
      </c>
      <c r="P219" s="11" t="str">
        <f aca="false">IF($B219="","",IF($E219="대체",0,1))</f>
        <v/>
      </c>
    </row>
    <row r="220" customFormat="false" ht="15" hidden="false" customHeight="false" outlineLevel="0" collapsed="false">
      <c r="A220" s="36" t="str">
        <f aca="false">IF($B220="","",COUNT($B$15:$B220))</f>
        <v/>
      </c>
      <c r="B220" s="37"/>
      <c r="C220" s="38"/>
      <c r="D220" s="39"/>
      <c r="E220" s="36" t="str">
        <f aca="false">IF($D220="","",IFERROR(INDEX('통합 ④ 설정'!$A$6:$A$40,MATCH($D220,'통합 ④ 설정'!$B$6:$B$40,0)),"※없는 과목"))</f>
        <v/>
      </c>
      <c r="F220" s="36" t="str">
        <f aca="false">IF($D220="","",IFERROR(INDEX('통합 ④ 설정'!$C$6:$C$40,MATCH($D220,'통합 ④ 설정'!$B$6:$B$40,0)),""))</f>
        <v/>
      </c>
      <c r="G220" s="39"/>
      <c r="H220" s="39"/>
      <c r="I220" s="40"/>
      <c r="J220" s="41"/>
      <c r="K220" s="38"/>
      <c r="L220" s="42" t="str">
        <f aca="false">IF($B220="","",IF(AND(N($I220)=0,N($J220)=0),"금액이 없습니다",IF(AND($I220&gt;0,$J220&gt;0),"수입·지출 둘 다 적혔습니다",IF($C220="","결제수단을 고르십시오",IF(ISNA(MATCH($C220,'통합 ③ 통장·카드'!$A$5:$A$11,0)),"③ 통장·카드에 없는 결제수단입니다",IF($D220="","계정과목을 고르십시오",IF($E220="※없는 과목","④ 설정에 없는 과목입니다",IF(AND($E220="수입",$J220&gt;0),"수입 과목인데 지출에 적혔습니다",IF(AND(LEFT($E220,2)&lt;&gt;"수입",$E220&lt;&gt;"대체",$I220&gt;0),"지출 과목인데 수입에 적혔습니다",IF($K220="","증빙을 고르십시오",IF(AND($C220="바우처통장",$J220&gt;0,IFERROR(INDEX('통합 ④ 설정'!$E$6:$E$40,MATCH($D220,'통합 ④ 설정'!$B$6:$B$40,0)),"")&lt;&gt;"○"),"바우처통장 지출 — 목적 확인",IF($H220="","적요를 적으십시오",""))))))))))))</f>
        <v/>
      </c>
      <c r="M220" s="39"/>
      <c r="O220" s="11" t="str">
        <f aca="false">IF($B220="","",YEAR($B220)*100+MONTH($B220))</f>
        <v/>
      </c>
      <c r="P220" s="11" t="str">
        <f aca="false">IF($B220="","",IF($E220="대체",0,1))</f>
        <v/>
      </c>
    </row>
    <row r="221" customFormat="false" ht="15" hidden="false" customHeight="false" outlineLevel="0" collapsed="false">
      <c r="A221" s="36" t="str">
        <f aca="false">IF($B221="","",COUNT($B$15:$B221))</f>
        <v/>
      </c>
      <c r="B221" s="37"/>
      <c r="C221" s="38"/>
      <c r="D221" s="39"/>
      <c r="E221" s="36" t="str">
        <f aca="false">IF($D221="","",IFERROR(INDEX('통합 ④ 설정'!$A$6:$A$40,MATCH($D221,'통합 ④ 설정'!$B$6:$B$40,0)),"※없는 과목"))</f>
        <v/>
      </c>
      <c r="F221" s="36" t="str">
        <f aca="false">IF($D221="","",IFERROR(INDEX('통합 ④ 설정'!$C$6:$C$40,MATCH($D221,'통합 ④ 설정'!$B$6:$B$40,0)),""))</f>
        <v/>
      </c>
      <c r="G221" s="39"/>
      <c r="H221" s="39"/>
      <c r="I221" s="40"/>
      <c r="J221" s="41"/>
      <c r="K221" s="38"/>
      <c r="L221" s="42" t="str">
        <f aca="false">IF($B221="","",IF(AND(N($I221)=0,N($J221)=0),"금액이 없습니다",IF(AND($I221&gt;0,$J221&gt;0),"수입·지출 둘 다 적혔습니다",IF($C221="","결제수단을 고르십시오",IF(ISNA(MATCH($C221,'통합 ③ 통장·카드'!$A$5:$A$11,0)),"③ 통장·카드에 없는 결제수단입니다",IF($D221="","계정과목을 고르십시오",IF($E221="※없는 과목","④ 설정에 없는 과목입니다",IF(AND($E221="수입",$J221&gt;0),"수입 과목인데 지출에 적혔습니다",IF(AND(LEFT($E221,2)&lt;&gt;"수입",$E221&lt;&gt;"대체",$I221&gt;0),"지출 과목인데 수입에 적혔습니다",IF($K221="","증빙을 고르십시오",IF(AND($C221="바우처통장",$J221&gt;0,IFERROR(INDEX('통합 ④ 설정'!$E$6:$E$40,MATCH($D221,'통합 ④ 설정'!$B$6:$B$40,0)),"")&lt;&gt;"○"),"바우처통장 지출 — 목적 확인",IF($H221="","적요를 적으십시오",""))))))))))))</f>
        <v/>
      </c>
      <c r="M221" s="39"/>
      <c r="O221" s="11" t="str">
        <f aca="false">IF($B221="","",YEAR($B221)*100+MONTH($B221))</f>
        <v/>
      </c>
      <c r="P221" s="11" t="str">
        <f aca="false">IF($B221="","",IF($E221="대체",0,1))</f>
        <v/>
      </c>
    </row>
    <row r="222" customFormat="false" ht="15" hidden="false" customHeight="false" outlineLevel="0" collapsed="false">
      <c r="A222" s="36" t="str">
        <f aca="false">IF($B222="","",COUNT($B$15:$B222))</f>
        <v/>
      </c>
      <c r="B222" s="37"/>
      <c r="C222" s="38"/>
      <c r="D222" s="39"/>
      <c r="E222" s="36" t="str">
        <f aca="false">IF($D222="","",IFERROR(INDEX('통합 ④ 설정'!$A$6:$A$40,MATCH($D222,'통합 ④ 설정'!$B$6:$B$40,0)),"※없는 과목"))</f>
        <v/>
      </c>
      <c r="F222" s="36" t="str">
        <f aca="false">IF($D222="","",IFERROR(INDEX('통합 ④ 설정'!$C$6:$C$40,MATCH($D222,'통합 ④ 설정'!$B$6:$B$40,0)),""))</f>
        <v/>
      </c>
      <c r="G222" s="39"/>
      <c r="H222" s="39"/>
      <c r="I222" s="40"/>
      <c r="J222" s="41"/>
      <c r="K222" s="38"/>
      <c r="L222" s="42" t="str">
        <f aca="false">IF($B222="","",IF(AND(N($I222)=0,N($J222)=0),"금액이 없습니다",IF(AND($I222&gt;0,$J222&gt;0),"수입·지출 둘 다 적혔습니다",IF($C222="","결제수단을 고르십시오",IF(ISNA(MATCH($C222,'통합 ③ 통장·카드'!$A$5:$A$11,0)),"③ 통장·카드에 없는 결제수단입니다",IF($D222="","계정과목을 고르십시오",IF($E222="※없는 과목","④ 설정에 없는 과목입니다",IF(AND($E222="수입",$J222&gt;0),"수입 과목인데 지출에 적혔습니다",IF(AND(LEFT($E222,2)&lt;&gt;"수입",$E222&lt;&gt;"대체",$I222&gt;0),"지출 과목인데 수입에 적혔습니다",IF($K222="","증빙을 고르십시오",IF(AND($C222="바우처통장",$J222&gt;0,IFERROR(INDEX('통합 ④ 설정'!$E$6:$E$40,MATCH($D222,'통합 ④ 설정'!$B$6:$B$40,0)),"")&lt;&gt;"○"),"바우처통장 지출 — 목적 확인",IF($H222="","적요를 적으십시오",""))))))))))))</f>
        <v/>
      </c>
      <c r="M222" s="39"/>
      <c r="O222" s="11" t="str">
        <f aca="false">IF($B222="","",YEAR($B222)*100+MONTH($B222))</f>
        <v/>
      </c>
      <c r="P222" s="11" t="str">
        <f aca="false">IF($B222="","",IF($E222="대체",0,1))</f>
        <v/>
      </c>
    </row>
    <row r="223" customFormat="false" ht="15" hidden="false" customHeight="false" outlineLevel="0" collapsed="false">
      <c r="A223" s="36" t="str">
        <f aca="false">IF($B223="","",COUNT($B$15:$B223))</f>
        <v/>
      </c>
      <c r="B223" s="37"/>
      <c r="C223" s="38"/>
      <c r="D223" s="39"/>
      <c r="E223" s="36" t="str">
        <f aca="false">IF($D223="","",IFERROR(INDEX('통합 ④ 설정'!$A$6:$A$40,MATCH($D223,'통합 ④ 설정'!$B$6:$B$40,0)),"※없는 과목"))</f>
        <v/>
      </c>
      <c r="F223" s="36" t="str">
        <f aca="false">IF($D223="","",IFERROR(INDEX('통합 ④ 설정'!$C$6:$C$40,MATCH($D223,'통합 ④ 설정'!$B$6:$B$40,0)),""))</f>
        <v/>
      </c>
      <c r="G223" s="39"/>
      <c r="H223" s="39"/>
      <c r="I223" s="40"/>
      <c r="J223" s="41"/>
      <c r="K223" s="38"/>
      <c r="L223" s="42" t="str">
        <f aca="false">IF($B223="","",IF(AND(N($I223)=0,N($J223)=0),"금액이 없습니다",IF(AND($I223&gt;0,$J223&gt;0),"수입·지출 둘 다 적혔습니다",IF($C223="","결제수단을 고르십시오",IF(ISNA(MATCH($C223,'통합 ③ 통장·카드'!$A$5:$A$11,0)),"③ 통장·카드에 없는 결제수단입니다",IF($D223="","계정과목을 고르십시오",IF($E223="※없는 과목","④ 설정에 없는 과목입니다",IF(AND($E223="수입",$J223&gt;0),"수입 과목인데 지출에 적혔습니다",IF(AND(LEFT($E223,2)&lt;&gt;"수입",$E223&lt;&gt;"대체",$I223&gt;0),"지출 과목인데 수입에 적혔습니다",IF($K223="","증빙을 고르십시오",IF(AND($C223="바우처통장",$J223&gt;0,IFERROR(INDEX('통합 ④ 설정'!$E$6:$E$40,MATCH($D223,'통합 ④ 설정'!$B$6:$B$40,0)),"")&lt;&gt;"○"),"바우처통장 지출 — 목적 확인",IF($H223="","적요를 적으십시오",""))))))))))))</f>
        <v/>
      </c>
      <c r="M223" s="39"/>
      <c r="O223" s="11" t="str">
        <f aca="false">IF($B223="","",YEAR($B223)*100+MONTH($B223))</f>
        <v/>
      </c>
      <c r="P223" s="11" t="str">
        <f aca="false">IF($B223="","",IF($E223="대체",0,1))</f>
        <v/>
      </c>
    </row>
    <row r="224" customFormat="false" ht="15" hidden="false" customHeight="false" outlineLevel="0" collapsed="false">
      <c r="A224" s="36" t="str">
        <f aca="false">IF($B224="","",COUNT($B$15:$B224))</f>
        <v/>
      </c>
      <c r="B224" s="37"/>
      <c r="C224" s="38"/>
      <c r="D224" s="39"/>
      <c r="E224" s="36" t="str">
        <f aca="false">IF($D224="","",IFERROR(INDEX('통합 ④ 설정'!$A$6:$A$40,MATCH($D224,'통합 ④ 설정'!$B$6:$B$40,0)),"※없는 과목"))</f>
        <v/>
      </c>
      <c r="F224" s="36" t="str">
        <f aca="false">IF($D224="","",IFERROR(INDEX('통합 ④ 설정'!$C$6:$C$40,MATCH($D224,'통합 ④ 설정'!$B$6:$B$40,0)),""))</f>
        <v/>
      </c>
      <c r="G224" s="39"/>
      <c r="H224" s="39"/>
      <c r="I224" s="40"/>
      <c r="J224" s="41"/>
      <c r="K224" s="38"/>
      <c r="L224" s="42" t="str">
        <f aca="false">IF($B224="","",IF(AND(N($I224)=0,N($J224)=0),"금액이 없습니다",IF(AND($I224&gt;0,$J224&gt;0),"수입·지출 둘 다 적혔습니다",IF($C224="","결제수단을 고르십시오",IF(ISNA(MATCH($C224,'통합 ③ 통장·카드'!$A$5:$A$11,0)),"③ 통장·카드에 없는 결제수단입니다",IF($D224="","계정과목을 고르십시오",IF($E224="※없는 과목","④ 설정에 없는 과목입니다",IF(AND($E224="수입",$J224&gt;0),"수입 과목인데 지출에 적혔습니다",IF(AND(LEFT($E224,2)&lt;&gt;"수입",$E224&lt;&gt;"대체",$I224&gt;0),"지출 과목인데 수입에 적혔습니다",IF($K224="","증빙을 고르십시오",IF(AND($C224="바우처통장",$J224&gt;0,IFERROR(INDEX('통합 ④ 설정'!$E$6:$E$40,MATCH($D224,'통합 ④ 설정'!$B$6:$B$40,0)),"")&lt;&gt;"○"),"바우처통장 지출 — 목적 확인",IF($H224="","적요를 적으십시오",""))))))))))))</f>
        <v/>
      </c>
      <c r="M224" s="39"/>
      <c r="O224" s="11" t="str">
        <f aca="false">IF($B224="","",YEAR($B224)*100+MONTH($B224))</f>
        <v/>
      </c>
      <c r="P224" s="11" t="str">
        <f aca="false">IF($B224="","",IF($E224="대체",0,1))</f>
        <v/>
      </c>
    </row>
    <row r="225" customFormat="false" ht="15" hidden="false" customHeight="false" outlineLevel="0" collapsed="false">
      <c r="A225" s="36" t="str">
        <f aca="false">IF($B225="","",COUNT($B$15:$B225))</f>
        <v/>
      </c>
      <c r="B225" s="37"/>
      <c r="C225" s="38"/>
      <c r="D225" s="39"/>
      <c r="E225" s="36" t="str">
        <f aca="false">IF($D225="","",IFERROR(INDEX('통합 ④ 설정'!$A$6:$A$40,MATCH($D225,'통합 ④ 설정'!$B$6:$B$40,0)),"※없는 과목"))</f>
        <v/>
      </c>
      <c r="F225" s="36" t="str">
        <f aca="false">IF($D225="","",IFERROR(INDEX('통합 ④ 설정'!$C$6:$C$40,MATCH($D225,'통합 ④ 설정'!$B$6:$B$40,0)),""))</f>
        <v/>
      </c>
      <c r="G225" s="39"/>
      <c r="H225" s="39"/>
      <c r="I225" s="40"/>
      <c r="J225" s="41"/>
      <c r="K225" s="38"/>
      <c r="L225" s="42" t="str">
        <f aca="false">IF($B225="","",IF(AND(N($I225)=0,N($J225)=0),"금액이 없습니다",IF(AND($I225&gt;0,$J225&gt;0),"수입·지출 둘 다 적혔습니다",IF($C225="","결제수단을 고르십시오",IF(ISNA(MATCH($C225,'통합 ③ 통장·카드'!$A$5:$A$11,0)),"③ 통장·카드에 없는 결제수단입니다",IF($D225="","계정과목을 고르십시오",IF($E225="※없는 과목","④ 설정에 없는 과목입니다",IF(AND($E225="수입",$J225&gt;0),"수입 과목인데 지출에 적혔습니다",IF(AND(LEFT($E225,2)&lt;&gt;"수입",$E225&lt;&gt;"대체",$I225&gt;0),"지출 과목인데 수입에 적혔습니다",IF($K225="","증빙을 고르십시오",IF(AND($C225="바우처통장",$J225&gt;0,IFERROR(INDEX('통합 ④ 설정'!$E$6:$E$40,MATCH($D225,'통합 ④ 설정'!$B$6:$B$40,0)),"")&lt;&gt;"○"),"바우처통장 지출 — 목적 확인",IF($H225="","적요를 적으십시오",""))))))))))))</f>
        <v/>
      </c>
      <c r="M225" s="39"/>
      <c r="O225" s="11" t="str">
        <f aca="false">IF($B225="","",YEAR($B225)*100+MONTH($B225))</f>
        <v/>
      </c>
      <c r="P225" s="11" t="str">
        <f aca="false">IF($B225="","",IF($E225="대체",0,1))</f>
        <v/>
      </c>
    </row>
    <row r="226" customFormat="false" ht="15" hidden="false" customHeight="false" outlineLevel="0" collapsed="false">
      <c r="A226" s="36" t="str">
        <f aca="false">IF($B226="","",COUNT($B$15:$B226))</f>
        <v/>
      </c>
      <c r="B226" s="37"/>
      <c r="C226" s="38"/>
      <c r="D226" s="39"/>
      <c r="E226" s="36" t="str">
        <f aca="false">IF($D226="","",IFERROR(INDEX('통합 ④ 설정'!$A$6:$A$40,MATCH($D226,'통합 ④ 설정'!$B$6:$B$40,0)),"※없는 과목"))</f>
        <v/>
      </c>
      <c r="F226" s="36" t="str">
        <f aca="false">IF($D226="","",IFERROR(INDEX('통합 ④ 설정'!$C$6:$C$40,MATCH($D226,'통합 ④ 설정'!$B$6:$B$40,0)),""))</f>
        <v/>
      </c>
      <c r="G226" s="39"/>
      <c r="H226" s="39"/>
      <c r="I226" s="40"/>
      <c r="J226" s="41"/>
      <c r="K226" s="38"/>
      <c r="L226" s="42" t="str">
        <f aca="false">IF($B226="","",IF(AND(N($I226)=0,N($J226)=0),"금액이 없습니다",IF(AND($I226&gt;0,$J226&gt;0),"수입·지출 둘 다 적혔습니다",IF($C226="","결제수단을 고르십시오",IF(ISNA(MATCH($C226,'통합 ③ 통장·카드'!$A$5:$A$11,0)),"③ 통장·카드에 없는 결제수단입니다",IF($D226="","계정과목을 고르십시오",IF($E226="※없는 과목","④ 설정에 없는 과목입니다",IF(AND($E226="수입",$J226&gt;0),"수입 과목인데 지출에 적혔습니다",IF(AND(LEFT($E226,2)&lt;&gt;"수입",$E226&lt;&gt;"대체",$I226&gt;0),"지출 과목인데 수입에 적혔습니다",IF($K226="","증빙을 고르십시오",IF(AND($C226="바우처통장",$J226&gt;0,IFERROR(INDEX('통합 ④ 설정'!$E$6:$E$40,MATCH($D226,'통합 ④ 설정'!$B$6:$B$40,0)),"")&lt;&gt;"○"),"바우처통장 지출 — 목적 확인",IF($H226="","적요를 적으십시오",""))))))))))))</f>
        <v/>
      </c>
      <c r="M226" s="39"/>
      <c r="O226" s="11" t="str">
        <f aca="false">IF($B226="","",YEAR($B226)*100+MONTH($B226))</f>
        <v/>
      </c>
      <c r="P226" s="11" t="str">
        <f aca="false">IF($B226="","",IF($E226="대체",0,1))</f>
        <v/>
      </c>
    </row>
    <row r="227" customFormat="false" ht="15" hidden="false" customHeight="false" outlineLevel="0" collapsed="false">
      <c r="A227" s="36" t="str">
        <f aca="false">IF($B227="","",COUNT($B$15:$B227))</f>
        <v/>
      </c>
      <c r="B227" s="37"/>
      <c r="C227" s="38"/>
      <c r="D227" s="39"/>
      <c r="E227" s="36" t="str">
        <f aca="false">IF($D227="","",IFERROR(INDEX('통합 ④ 설정'!$A$6:$A$40,MATCH($D227,'통합 ④ 설정'!$B$6:$B$40,0)),"※없는 과목"))</f>
        <v/>
      </c>
      <c r="F227" s="36" t="str">
        <f aca="false">IF($D227="","",IFERROR(INDEX('통합 ④ 설정'!$C$6:$C$40,MATCH($D227,'통합 ④ 설정'!$B$6:$B$40,0)),""))</f>
        <v/>
      </c>
      <c r="G227" s="39"/>
      <c r="H227" s="39"/>
      <c r="I227" s="40"/>
      <c r="J227" s="41"/>
      <c r="K227" s="38"/>
      <c r="L227" s="42" t="str">
        <f aca="false">IF($B227="","",IF(AND(N($I227)=0,N($J227)=0),"금액이 없습니다",IF(AND($I227&gt;0,$J227&gt;0),"수입·지출 둘 다 적혔습니다",IF($C227="","결제수단을 고르십시오",IF(ISNA(MATCH($C227,'통합 ③ 통장·카드'!$A$5:$A$11,0)),"③ 통장·카드에 없는 결제수단입니다",IF($D227="","계정과목을 고르십시오",IF($E227="※없는 과목","④ 설정에 없는 과목입니다",IF(AND($E227="수입",$J227&gt;0),"수입 과목인데 지출에 적혔습니다",IF(AND(LEFT($E227,2)&lt;&gt;"수입",$E227&lt;&gt;"대체",$I227&gt;0),"지출 과목인데 수입에 적혔습니다",IF($K227="","증빙을 고르십시오",IF(AND($C227="바우처통장",$J227&gt;0,IFERROR(INDEX('통합 ④ 설정'!$E$6:$E$40,MATCH($D227,'통합 ④ 설정'!$B$6:$B$40,0)),"")&lt;&gt;"○"),"바우처통장 지출 — 목적 확인",IF($H227="","적요를 적으십시오",""))))))))))))</f>
        <v/>
      </c>
      <c r="M227" s="39"/>
      <c r="O227" s="11" t="str">
        <f aca="false">IF($B227="","",YEAR($B227)*100+MONTH($B227))</f>
        <v/>
      </c>
      <c r="P227" s="11" t="str">
        <f aca="false">IF($B227="","",IF($E227="대체",0,1))</f>
        <v/>
      </c>
    </row>
    <row r="228" customFormat="false" ht="15" hidden="false" customHeight="false" outlineLevel="0" collapsed="false">
      <c r="A228" s="36" t="str">
        <f aca="false">IF($B228="","",COUNT($B$15:$B228))</f>
        <v/>
      </c>
      <c r="B228" s="37"/>
      <c r="C228" s="38"/>
      <c r="D228" s="39"/>
      <c r="E228" s="36" t="str">
        <f aca="false">IF($D228="","",IFERROR(INDEX('통합 ④ 설정'!$A$6:$A$40,MATCH($D228,'통합 ④ 설정'!$B$6:$B$40,0)),"※없는 과목"))</f>
        <v/>
      </c>
      <c r="F228" s="36" t="str">
        <f aca="false">IF($D228="","",IFERROR(INDEX('통합 ④ 설정'!$C$6:$C$40,MATCH($D228,'통합 ④ 설정'!$B$6:$B$40,0)),""))</f>
        <v/>
      </c>
      <c r="G228" s="39"/>
      <c r="H228" s="39"/>
      <c r="I228" s="40"/>
      <c r="J228" s="41"/>
      <c r="K228" s="38"/>
      <c r="L228" s="42" t="str">
        <f aca="false">IF($B228="","",IF(AND(N($I228)=0,N($J228)=0),"금액이 없습니다",IF(AND($I228&gt;0,$J228&gt;0),"수입·지출 둘 다 적혔습니다",IF($C228="","결제수단을 고르십시오",IF(ISNA(MATCH($C228,'통합 ③ 통장·카드'!$A$5:$A$11,0)),"③ 통장·카드에 없는 결제수단입니다",IF($D228="","계정과목을 고르십시오",IF($E228="※없는 과목","④ 설정에 없는 과목입니다",IF(AND($E228="수입",$J228&gt;0),"수입 과목인데 지출에 적혔습니다",IF(AND(LEFT($E228,2)&lt;&gt;"수입",$E228&lt;&gt;"대체",$I228&gt;0),"지출 과목인데 수입에 적혔습니다",IF($K228="","증빙을 고르십시오",IF(AND($C228="바우처통장",$J228&gt;0,IFERROR(INDEX('통합 ④ 설정'!$E$6:$E$40,MATCH($D228,'통합 ④ 설정'!$B$6:$B$40,0)),"")&lt;&gt;"○"),"바우처통장 지출 — 목적 확인",IF($H228="","적요를 적으십시오",""))))))))))))</f>
        <v/>
      </c>
      <c r="M228" s="39"/>
      <c r="O228" s="11" t="str">
        <f aca="false">IF($B228="","",YEAR($B228)*100+MONTH($B228))</f>
        <v/>
      </c>
      <c r="P228" s="11" t="str">
        <f aca="false">IF($B228="","",IF($E228="대체",0,1))</f>
        <v/>
      </c>
    </row>
    <row r="229" customFormat="false" ht="15" hidden="false" customHeight="false" outlineLevel="0" collapsed="false">
      <c r="A229" s="36" t="str">
        <f aca="false">IF($B229="","",COUNT($B$15:$B229))</f>
        <v/>
      </c>
      <c r="B229" s="37"/>
      <c r="C229" s="38"/>
      <c r="D229" s="39"/>
      <c r="E229" s="36" t="str">
        <f aca="false">IF($D229="","",IFERROR(INDEX('통합 ④ 설정'!$A$6:$A$40,MATCH($D229,'통합 ④ 설정'!$B$6:$B$40,0)),"※없는 과목"))</f>
        <v/>
      </c>
      <c r="F229" s="36" t="str">
        <f aca="false">IF($D229="","",IFERROR(INDEX('통합 ④ 설정'!$C$6:$C$40,MATCH($D229,'통합 ④ 설정'!$B$6:$B$40,0)),""))</f>
        <v/>
      </c>
      <c r="G229" s="39"/>
      <c r="H229" s="39"/>
      <c r="I229" s="40"/>
      <c r="J229" s="41"/>
      <c r="K229" s="38"/>
      <c r="L229" s="42" t="str">
        <f aca="false">IF($B229="","",IF(AND(N($I229)=0,N($J229)=0),"금액이 없습니다",IF(AND($I229&gt;0,$J229&gt;0),"수입·지출 둘 다 적혔습니다",IF($C229="","결제수단을 고르십시오",IF(ISNA(MATCH($C229,'통합 ③ 통장·카드'!$A$5:$A$11,0)),"③ 통장·카드에 없는 결제수단입니다",IF($D229="","계정과목을 고르십시오",IF($E229="※없는 과목","④ 설정에 없는 과목입니다",IF(AND($E229="수입",$J229&gt;0),"수입 과목인데 지출에 적혔습니다",IF(AND(LEFT($E229,2)&lt;&gt;"수입",$E229&lt;&gt;"대체",$I229&gt;0),"지출 과목인데 수입에 적혔습니다",IF($K229="","증빙을 고르십시오",IF(AND($C229="바우처통장",$J229&gt;0,IFERROR(INDEX('통합 ④ 설정'!$E$6:$E$40,MATCH($D229,'통합 ④ 설정'!$B$6:$B$40,0)),"")&lt;&gt;"○"),"바우처통장 지출 — 목적 확인",IF($H229="","적요를 적으십시오",""))))))))))))</f>
        <v/>
      </c>
      <c r="M229" s="39"/>
      <c r="O229" s="11" t="str">
        <f aca="false">IF($B229="","",YEAR($B229)*100+MONTH($B229))</f>
        <v/>
      </c>
      <c r="P229" s="11" t="str">
        <f aca="false">IF($B229="","",IF($E229="대체",0,1))</f>
        <v/>
      </c>
    </row>
    <row r="230" customFormat="false" ht="15" hidden="false" customHeight="false" outlineLevel="0" collapsed="false">
      <c r="A230" s="36" t="str">
        <f aca="false">IF($B230="","",COUNT($B$15:$B230))</f>
        <v/>
      </c>
      <c r="B230" s="37"/>
      <c r="C230" s="38"/>
      <c r="D230" s="39"/>
      <c r="E230" s="36" t="str">
        <f aca="false">IF($D230="","",IFERROR(INDEX('통합 ④ 설정'!$A$6:$A$40,MATCH($D230,'통합 ④ 설정'!$B$6:$B$40,0)),"※없는 과목"))</f>
        <v/>
      </c>
      <c r="F230" s="36" t="str">
        <f aca="false">IF($D230="","",IFERROR(INDEX('통합 ④ 설정'!$C$6:$C$40,MATCH($D230,'통합 ④ 설정'!$B$6:$B$40,0)),""))</f>
        <v/>
      </c>
      <c r="G230" s="39"/>
      <c r="H230" s="39"/>
      <c r="I230" s="40"/>
      <c r="J230" s="41"/>
      <c r="K230" s="38"/>
      <c r="L230" s="42" t="str">
        <f aca="false">IF($B230="","",IF(AND(N($I230)=0,N($J230)=0),"금액이 없습니다",IF(AND($I230&gt;0,$J230&gt;0),"수입·지출 둘 다 적혔습니다",IF($C230="","결제수단을 고르십시오",IF(ISNA(MATCH($C230,'통합 ③ 통장·카드'!$A$5:$A$11,0)),"③ 통장·카드에 없는 결제수단입니다",IF($D230="","계정과목을 고르십시오",IF($E230="※없는 과목","④ 설정에 없는 과목입니다",IF(AND($E230="수입",$J230&gt;0),"수입 과목인데 지출에 적혔습니다",IF(AND(LEFT($E230,2)&lt;&gt;"수입",$E230&lt;&gt;"대체",$I230&gt;0),"지출 과목인데 수입에 적혔습니다",IF($K230="","증빙을 고르십시오",IF(AND($C230="바우처통장",$J230&gt;0,IFERROR(INDEX('통합 ④ 설정'!$E$6:$E$40,MATCH($D230,'통합 ④ 설정'!$B$6:$B$40,0)),"")&lt;&gt;"○"),"바우처통장 지출 — 목적 확인",IF($H230="","적요를 적으십시오",""))))))))))))</f>
        <v/>
      </c>
      <c r="M230" s="39"/>
      <c r="O230" s="11" t="str">
        <f aca="false">IF($B230="","",YEAR($B230)*100+MONTH($B230))</f>
        <v/>
      </c>
      <c r="P230" s="11" t="str">
        <f aca="false">IF($B230="","",IF($E230="대체",0,1))</f>
        <v/>
      </c>
    </row>
    <row r="231" customFormat="false" ht="15" hidden="false" customHeight="false" outlineLevel="0" collapsed="false">
      <c r="A231" s="36" t="str">
        <f aca="false">IF($B231="","",COUNT($B$15:$B231))</f>
        <v/>
      </c>
      <c r="B231" s="37"/>
      <c r="C231" s="38"/>
      <c r="D231" s="39"/>
      <c r="E231" s="36" t="str">
        <f aca="false">IF($D231="","",IFERROR(INDEX('통합 ④ 설정'!$A$6:$A$40,MATCH($D231,'통합 ④ 설정'!$B$6:$B$40,0)),"※없는 과목"))</f>
        <v/>
      </c>
      <c r="F231" s="36" t="str">
        <f aca="false">IF($D231="","",IFERROR(INDEX('통합 ④ 설정'!$C$6:$C$40,MATCH($D231,'통합 ④ 설정'!$B$6:$B$40,0)),""))</f>
        <v/>
      </c>
      <c r="G231" s="39"/>
      <c r="H231" s="39"/>
      <c r="I231" s="40"/>
      <c r="J231" s="41"/>
      <c r="K231" s="38"/>
      <c r="L231" s="42" t="str">
        <f aca="false">IF($B231="","",IF(AND(N($I231)=0,N($J231)=0),"금액이 없습니다",IF(AND($I231&gt;0,$J231&gt;0),"수입·지출 둘 다 적혔습니다",IF($C231="","결제수단을 고르십시오",IF(ISNA(MATCH($C231,'통합 ③ 통장·카드'!$A$5:$A$11,0)),"③ 통장·카드에 없는 결제수단입니다",IF($D231="","계정과목을 고르십시오",IF($E231="※없는 과목","④ 설정에 없는 과목입니다",IF(AND($E231="수입",$J231&gt;0),"수입 과목인데 지출에 적혔습니다",IF(AND(LEFT($E231,2)&lt;&gt;"수입",$E231&lt;&gt;"대체",$I231&gt;0),"지출 과목인데 수입에 적혔습니다",IF($K231="","증빙을 고르십시오",IF(AND($C231="바우처통장",$J231&gt;0,IFERROR(INDEX('통합 ④ 설정'!$E$6:$E$40,MATCH($D231,'통합 ④ 설정'!$B$6:$B$40,0)),"")&lt;&gt;"○"),"바우처통장 지출 — 목적 확인",IF($H231="","적요를 적으십시오",""))))))))))))</f>
        <v/>
      </c>
      <c r="M231" s="39"/>
      <c r="O231" s="11" t="str">
        <f aca="false">IF($B231="","",YEAR($B231)*100+MONTH($B231))</f>
        <v/>
      </c>
      <c r="P231" s="11" t="str">
        <f aca="false">IF($B231="","",IF($E231="대체",0,1))</f>
        <v/>
      </c>
    </row>
    <row r="232" customFormat="false" ht="15" hidden="false" customHeight="false" outlineLevel="0" collapsed="false">
      <c r="A232" s="36" t="str">
        <f aca="false">IF($B232="","",COUNT($B$15:$B232))</f>
        <v/>
      </c>
      <c r="B232" s="37"/>
      <c r="C232" s="38"/>
      <c r="D232" s="39"/>
      <c r="E232" s="36" t="str">
        <f aca="false">IF($D232="","",IFERROR(INDEX('통합 ④ 설정'!$A$6:$A$40,MATCH($D232,'통합 ④ 설정'!$B$6:$B$40,0)),"※없는 과목"))</f>
        <v/>
      </c>
      <c r="F232" s="36" t="str">
        <f aca="false">IF($D232="","",IFERROR(INDEX('통합 ④ 설정'!$C$6:$C$40,MATCH($D232,'통합 ④ 설정'!$B$6:$B$40,0)),""))</f>
        <v/>
      </c>
      <c r="G232" s="39"/>
      <c r="H232" s="39"/>
      <c r="I232" s="40"/>
      <c r="J232" s="41"/>
      <c r="K232" s="38"/>
      <c r="L232" s="42" t="str">
        <f aca="false">IF($B232="","",IF(AND(N($I232)=0,N($J232)=0),"금액이 없습니다",IF(AND($I232&gt;0,$J232&gt;0),"수입·지출 둘 다 적혔습니다",IF($C232="","결제수단을 고르십시오",IF(ISNA(MATCH($C232,'통합 ③ 통장·카드'!$A$5:$A$11,0)),"③ 통장·카드에 없는 결제수단입니다",IF($D232="","계정과목을 고르십시오",IF($E232="※없는 과목","④ 설정에 없는 과목입니다",IF(AND($E232="수입",$J232&gt;0),"수입 과목인데 지출에 적혔습니다",IF(AND(LEFT($E232,2)&lt;&gt;"수입",$E232&lt;&gt;"대체",$I232&gt;0),"지출 과목인데 수입에 적혔습니다",IF($K232="","증빙을 고르십시오",IF(AND($C232="바우처통장",$J232&gt;0,IFERROR(INDEX('통합 ④ 설정'!$E$6:$E$40,MATCH($D232,'통합 ④ 설정'!$B$6:$B$40,0)),"")&lt;&gt;"○"),"바우처통장 지출 — 목적 확인",IF($H232="","적요를 적으십시오",""))))))))))))</f>
        <v/>
      </c>
      <c r="M232" s="39"/>
      <c r="O232" s="11" t="str">
        <f aca="false">IF($B232="","",YEAR($B232)*100+MONTH($B232))</f>
        <v/>
      </c>
      <c r="P232" s="11" t="str">
        <f aca="false">IF($B232="","",IF($E232="대체",0,1))</f>
        <v/>
      </c>
    </row>
    <row r="233" customFormat="false" ht="15" hidden="false" customHeight="false" outlineLevel="0" collapsed="false">
      <c r="A233" s="36" t="str">
        <f aca="false">IF($B233="","",COUNT($B$15:$B233))</f>
        <v/>
      </c>
      <c r="B233" s="37"/>
      <c r="C233" s="38"/>
      <c r="D233" s="39"/>
      <c r="E233" s="36" t="str">
        <f aca="false">IF($D233="","",IFERROR(INDEX('통합 ④ 설정'!$A$6:$A$40,MATCH($D233,'통합 ④ 설정'!$B$6:$B$40,0)),"※없는 과목"))</f>
        <v/>
      </c>
      <c r="F233" s="36" t="str">
        <f aca="false">IF($D233="","",IFERROR(INDEX('통합 ④ 설정'!$C$6:$C$40,MATCH($D233,'통합 ④ 설정'!$B$6:$B$40,0)),""))</f>
        <v/>
      </c>
      <c r="G233" s="39"/>
      <c r="H233" s="39"/>
      <c r="I233" s="40"/>
      <c r="J233" s="41"/>
      <c r="K233" s="38"/>
      <c r="L233" s="42" t="str">
        <f aca="false">IF($B233="","",IF(AND(N($I233)=0,N($J233)=0),"금액이 없습니다",IF(AND($I233&gt;0,$J233&gt;0),"수입·지출 둘 다 적혔습니다",IF($C233="","결제수단을 고르십시오",IF(ISNA(MATCH($C233,'통합 ③ 통장·카드'!$A$5:$A$11,0)),"③ 통장·카드에 없는 결제수단입니다",IF($D233="","계정과목을 고르십시오",IF($E233="※없는 과목","④ 설정에 없는 과목입니다",IF(AND($E233="수입",$J233&gt;0),"수입 과목인데 지출에 적혔습니다",IF(AND(LEFT($E233,2)&lt;&gt;"수입",$E233&lt;&gt;"대체",$I233&gt;0),"지출 과목인데 수입에 적혔습니다",IF($K233="","증빙을 고르십시오",IF(AND($C233="바우처통장",$J233&gt;0,IFERROR(INDEX('통합 ④ 설정'!$E$6:$E$40,MATCH($D233,'통합 ④ 설정'!$B$6:$B$40,0)),"")&lt;&gt;"○"),"바우처통장 지출 — 목적 확인",IF($H233="","적요를 적으십시오",""))))))))))))</f>
        <v/>
      </c>
      <c r="M233" s="39"/>
      <c r="O233" s="11" t="str">
        <f aca="false">IF($B233="","",YEAR($B233)*100+MONTH($B233))</f>
        <v/>
      </c>
      <c r="P233" s="11" t="str">
        <f aca="false">IF($B233="","",IF($E233="대체",0,1))</f>
        <v/>
      </c>
    </row>
    <row r="234" customFormat="false" ht="15" hidden="false" customHeight="false" outlineLevel="0" collapsed="false">
      <c r="A234" s="36" t="str">
        <f aca="false">IF($B234="","",COUNT($B$15:$B234))</f>
        <v/>
      </c>
      <c r="B234" s="37"/>
      <c r="C234" s="38"/>
      <c r="D234" s="39"/>
      <c r="E234" s="36" t="str">
        <f aca="false">IF($D234="","",IFERROR(INDEX('통합 ④ 설정'!$A$6:$A$40,MATCH($D234,'통합 ④ 설정'!$B$6:$B$40,0)),"※없는 과목"))</f>
        <v/>
      </c>
      <c r="F234" s="36" t="str">
        <f aca="false">IF($D234="","",IFERROR(INDEX('통합 ④ 설정'!$C$6:$C$40,MATCH($D234,'통합 ④ 설정'!$B$6:$B$40,0)),""))</f>
        <v/>
      </c>
      <c r="G234" s="39"/>
      <c r="H234" s="39"/>
      <c r="I234" s="40"/>
      <c r="J234" s="41"/>
      <c r="K234" s="38"/>
      <c r="L234" s="42" t="str">
        <f aca="false">IF($B234="","",IF(AND(N($I234)=0,N($J234)=0),"금액이 없습니다",IF(AND($I234&gt;0,$J234&gt;0),"수입·지출 둘 다 적혔습니다",IF($C234="","결제수단을 고르십시오",IF(ISNA(MATCH($C234,'통합 ③ 통장·카드'!$A$5:$A$11,0)),"③ 통장·카드에 없는 결제수단입니다",IF($D234="","계정과목을 고르십시오",IF($E234="※없는 과목","④ 설정에 없는 과목입니다",IF(AND($E234="수입",$J234&gt;0),"수입 과목인데 지출에 적혔습니다",IF(AND(LEFT($E234,2)&lt;&gt;"수입",$E234&lt;&gt;"대체",$I234&gt;0),"지출 과목인데 수입에 적혔습니다",IF($K234="","증빙을 고르십시오",IF(AND($C234="바우처통장",$J234&gt;0,IFERROR(INDEX('통합 ④ 설정'!$E$6:$E$40,MATCH($D234,'통합 ④ 설정'!$B$6:$B$40,0)),"")&lt;&gt;"○"),"바우처통장 지출 — 목적 확인",IF($H234="","적요를 적으십시오",""))))))))))))</f>
        <v/>
      </c>
      <c r="M234" s="39"/>
      <c r="O234" s="11" t="str">
        <f aca="false">IF($B234="","",YEAR($B234)*100+MONTH($B234))</f>
        <v/>
      </c>
      <c r="P234" s="11" t="str">
        <f aca="false">IF($B234="","",IF($E234="대체",0,1))</f>
        <v/>
      </c>
    </row>
    <row r="235" customFormat="false" ht="15" hidden="false" customHeight="false" outlineLevel="0" collapsed="false">
      <c r="A235" s="36" t="str">
        <f aca="false">IF($B235="","",COUNT($B$15:$B235))</f>
        <v/>
      </c>
      <c r="B235" s="37"/>
      <c r="C235" s="38"/>
      <c r="D235" s="39"/>
      <c r="E235" s="36" t="str">
        <f aca="false">IF($D235="","",IFERROR(INDEX('통합 ④ 설정'!$A$6:$A$40,MATCH($D235,'통합 ④ 설정'!$B$6:$B$40,0)),"※없는 과목"))</f>
        <v/>
      </c>
      <c r="F235" s="36" t="str">
        <f aca="false">IF($D235="","",IFERROR(INDEX('통합 ④ 설정'!$C$6:$C$40,MATCH($D235,'통합 ④ 설정'!$B$6:$B$40,0)),""))</f>
        <v/>
      </c>
      <c r="G235" s="39"/>
      <c r="H235" s="39"/>
      <c r="I235" s="40"/>
      <c r="J235" s="41"/>
      <c r="K235" s="38"/>
      <c r="L235" s="42" t="str">
        <f aca="false">IF($B235="","",IF(AND(N($I235)=0,N($J235)=0),"금액이 없습니다",IF(AND($I235&gt;0,$J235&gt;0),"수입·지출 둘 다 적혔습니다",IF($C235="","결제수단을 고르십시오",IF(ISNA(MATCH($C235,'통합 ③ 통장·카드'!$A$5:$A$11,0)),"③ 통장·카드에 없는 결제수단입니다",IF($D235="","계정과목을 고르십시오",IF($E235="※없는 과목","④ 설정에 없는 과목입니다",IF(AND($E235="수입",$J235&gt;0),"수입 과목인데 지출에 적혔습니다",IF(AND(LEFT($E235,2)&lt;&gt;"수입",$E235&lt;&gt;"대체",$I235&gt;0),"지출 과목인데 수입에 적혔습니다",IF($K235="","증빙을 고르십시오",IF(AND($C235="바우처통장",$J235&gt;0,IFERROR(INDEX('통합 ④ 설정'!$E$6:$E$40,MATCH($D235,'통합 ④ 설정'!$B$6:$B$40,0)),"")&lt;&gt;"○"),"바우처통장 지출 — 목적 확인",IF($H235="","적요를 적으십시오",""))))))))))))</f>
        <v/>
      </c>
      <c r="M235" s="39"/>
      <c r="O235" s="11" t="str">
        <f aca="false">IF($B235="","",YEAR($B235)*100+MONTH($B235))</f>
        <v/>
      </c>
      <c r="P235" s="11" t="str">
        <f aca="false">IF($B235="","",IF($E235="대체",0,1))</f>
        <v/>
      </c>
    </row>
    <row r="236" customFormat="false" ht="15" hidden="false" customHeight="false" outlineLevel="0" collapsed="false">
      <c r="A236" s="36" t="str">
        <f aca="false">IF($B236="","",COUNT($B$15:$B236))</f>
        <v/>
      </c>
      <c r="B236" s="37"/>
      <c r="C236" s="38"/>
      <c r="D236" s="39"/>
      <c r="E236" s="36" t="str">
        <f aca="false">IF($D236="","",IFERROR(INDEX('통합 ④ 설정'!$A$6:$A$40,MATCH($D236,'통합 ④ 설정'!$B$6:$B$40,0)),"※없는 과목"))</f>
        <v/>
      </c>
      <c r="F236" s="36" t="str">
        <f aca="false">IF($D236="","",IFERROR(INDEX('통합 ④ 설정'!$C$6:$C$40,MATCH($D236,'통합 ④ 설정'!$B$6:$B$40,0)),""))</f>
        <v/>
      </c>
      <c r="G236" s="39"/>
      <c r="H236" s="39"/>
      <c r="I236" s="40"/>
      <c r="J236" s="41"/>
      <c r="K236" s="38"/>
      <c r="L236" s="42" t="str">
        <f aca="false">IF($B236="","",IF(AND(N($I236)=0,N($J236)=0),"금액이 없습니다",IF(AND($I236&gt;0,$J236&gt;0),"수입·지출 둘 다 적혔습니다",IF($C236="","결제수단을 고르십시오",IF(ISNA(MATCH($C236,'통합 ③ 통장·카드'!$A$5:$A$11,0)),"③ 통장·카드에 없는 결제수단입니다",IF($D236="","계정과목을 고르십시오",IF($E236="※없는 과목","④ 설정에 없는 과목입니다",IF(AND($E236="수입",$J236&gt;0),"수입 과목인데 지출에 적혔습니다",IF(AND(LEFT($E236,2)&lt;&gt;"수입",$E236&lt;&gt;"대체",$I236&gt;0),"지출 과목인데 수입에 적혔습니다",IF($K236="","증빙을 고르십시오",IF(AND($C236="바우처통장",$J236&gt;0,IFERROR(INDEX('통합 ④ 설정'!$E$6:$E$40,MATCH($D236,'통합 ④ 설정'!$B$6:$B$40,0)),"")&lt;&gt;"○"),"바우처통장 지출 — 목적 확인",IF($H236="","적요를 적으십시오",""))))))))))))</f>
        <v/>
      </c>
      <c r="M236" s="39"/>
      <c r="O236" s="11" t="str">
        <f aca="false">IF($B236="","",YEAR($B236)*100+MONTH($B236))</f>
        <v/>
      </c>
      <c r="P236" s="11" t="str">
        <f aca="false">IF($B236="","",IF($E236="대체",0,1))</f>
        <v/>
      </c>
    </row>
    <row r="237" customFormat="false" ht="15" hidden="false" customHeight="false" outlineLevel="0" collapsed="false">
      <c r="A237" s="36" t="str">
        <f aca="false">IF($B237="","",COUNT($B$15:$B237))</f>
        <v/>
      </c>
      <c r="B237" s="37"/>
      <c r="C237" s="38"/>
      <c r="D237" s="39"/>
      <c r="E237" s="36" t="str">
        <f aca="false">IF($D237="","",IFERROR(INDEX('통합 ④ 설정'!$A$6:$A$40,MATCH($D237,'통합 ④ 설정'!$B$6:$B$40,0)),"※없는 과목"))</f>
        <v/>
      </c>
      <c r="F237" s="36" t="str">
        <f aca="false">IF($D237="","",IFERROR(INDEX('통합 ④ 설정'!$C$6:$C$40,MATCH($D237,'통합 ④ 설정'!$B$6:$B$40,0)),""))</f>
        <v/>
      </c>
      <c r="G237" s="39"/>
      <c r="H237" s="39"/>
      <c r="I237" s="40"/>
      <c r="J237" s="41"/>
      <c r="K237" s="38"/>
      <c r="L237" s="42" t="str">
        <f aca="false">IF($B237="","",IF(AND(N($I237)=0,N($J237)=0),"금액이 없습니다",IF(AND($I237&gt;0,$J237&gt;0),"수입·지출 둘 다 적혔습니다",IF($C237="","결제수단을 고르십시오",IF(ISNA(MATCH($C237,'통합 ③ 통장·카드'!$A$5:$A$11,0)),"③ 통장·카드에 없는 결제수단입니다",IF($D237="","계정과목을 고르십시오",IF($E237="※없는 과목","④ 설정에 없는 과목입니다",IF(AND($E237="수입",$J237&gt;0),"수입 과목인데 지출에 적혔습니다",IF(AND(LEFT($E237,2)&lt;&gt;"수입",$E237&lt;&gt;"대체",$I237&gt;0),"지출 과목인데 수입에 적혔습니다",IF($K237="","증빙을 고르십시오",IF(AND($C237="바우처통장",$J237&gt;0,IFERROR(INDEX('통합 ④ 설정'!$E$6:$E$40,MATCH($D237,'통합 ④ 설정'!$B$6:$B$40,0)),"")&lt;&gt;"○"),"바우처통장 지출 — 목적 확인",IF($H237="","적요를 적으십시오",""))))))))))))</f>
        <v/>
      </c>
      <c r="M237" s="39"/>
      <c r="O237" s="11" t="str">
        <f aca="false">IF($B237="","",YEAR($B237)*100+MONTH($B237))</f>
        <v/>
      </c>
      <c r="P237" s="11" t="str">
        <f aca="false">IF($B237="","",IF($E237="대체",0,1))</f>
        <v/>
      </c>
    </row>
    <row r="238" customFormat="false" ht="15" hidden="false" customHeight="false" outlineLevel="0" collapsed="false">
      <c r="A238" s="36" t="str">
        <f aca="false">IF($B238="","",COUNT($B$15:$B238))</f>
        <v/>
      </c>
      <c r="B238" s="37"/>
      <c r="C238" s="38"/>
      <c r="D238" s="39"/>
      <c r="E238" s="36" t="str">
        <f aca="false">IF($D238="","",IFERROR(INDEX('통합 ④ 설정'!$A$6:$A$40,MATCH($D238,'통합 ④ 설정'!$B$6:$B$40,0)),"※없는 과목"))</f>
        <v/>
      </c>
      <c r="F238" s="36" t="str">
        <f aca="false">IF($D238="","",IFERROR(INDEX('통합 ④ 설정'!$C$6:$C$40,MATCH($D238,'통합 ④ 설정'!$B$6:$B$40,0)),""))</f>
        <v/>
      </c>
      <c r="G238" s="39"/>
      <c r="H238" s="39"/>
      <c r="I238" s="40"/>
      <c r="J238" s="41"/>
      <c r="K238" s="38"/>
      <c r="L238" s="42" t="str">
        <f aca="false">IF($B238="","",IF(AND(N($I238)=0,N($J238)=0),"금액이 없습니다",IF(AND($I238&gt;0,$J238&gt;0),"수입·지출 둘 다 적혔습니다",IF($C238="","결제수단을 고르십시오",IF(ISNA(MATCH($C238,'통합 ③ 통장·카드'!$A$5:$A$11,0)),"③ 통장·카드에 없는 결제수단입니다",IF($D238="","계정과목을 고르십시오",IF($E238="※없는 과목","④ 설정에 없는 과목입니다",IF(AND($E238="수입",$J238&gt;0),"수입 과목인데 지출에 적혔습니다",IF(AND(LEFT($E238,2)&lt;&gt;"수입",$E238&lt;&gt;"대체",$I238&gt;0),"지출 과목인데 수입에 적혔습니다",IF($K238="","증빙을 고르십시오",IF(AND($C238="바우처통장",$J238&gt;0,IFERROR(INDEX('통합 ④ 설정'!$E$6:$E$40,MATCH($D238,'통합 ④ 설정'!$B$6:$B$40,0)),"")&lt;&gt;"○"),"바우처통장 지출 — 목적 확인",IF($H238="","적요를 적으십시오",""))))))))))))</f>
        <v/>
      </c>
      <c r="M238" s="39"/>
      <c r="O238" s="11" t="str">
        <f aca="false">IF($B238="","",YEAR($B238)*100+MONTH($B238))</f>
        <v/>
      </c>
      <c r="P238" s="11" t="str">
        <f aca="false">IF($B238="","",IF($E238="대체",0,1))</f>
        <v/>
      </c>
    </row>
    <row r="239" customFormat="false" ht="15" hidden="false" customHeight="false" outlineLevel="0" collapsed="false">
      <c r="A239" s="36" t="str">
        <f aca="false">IF($B239="","",COUNT($B$15:$B239))</f>
        <v/>
      </c>
      <c r="B239" s="37"/>
      <c r="C239" s="38"/>
      <c r="D239" s="39"/>
      <c r="E239" s="36" t="str">
        <f aca="false">IF($D239="","",IFERROR(INDEX('통합 ④ 설정'!$A$6:$A$40,MATCH($D239,'통합 ④ 설정'!$B$6:$B$40,0)),"※없는 과목"))</f>
        <v/>
      </c>
      <c r="F239" s="36" t="str">
        <f aca="false">IF($D239="","",IFERROR(INDEX('통합 ④ 설정'!$C$6:$C$40,MATCH($D239,'통합 ④ 설정'!$B$6:$B$40,0)),""))</f>
        <v/>
      </c>
      <c r="G239" s="39"/>
      <c r="H239" s="39"/>
      <c r="I239" s="40"/>
      <c r="J239" s="41"/>
      <c r="K239" s="38"/>
      <c r="L239" s="42" t="str">
        <f aca="false">IF($B239="","",IF(AND(N($I239)=0,N($J239)=0),"금액이 없습니다",IF(AND($I239&gt;0,$J239&gt;0),"수입·지출 둘 다 적혔습니다",IF($C239="","결제수단을 고르십시오",IF(ISNA(MATCH($C239,'통합 ③ 통장·카드'!$A$5:$A$11,0)),"③ 통장·카드에 없는 결제수단입니다",IF($D239="","계정과목을 고르십시오",IF($E239="※없는 과목","④ 설정에 없는 과목입니다",IF(AND($E239="수입",$J239&gt;0),"수입 과목인데 지출에 적혔습니다",IF(AND(LEFT($E239,2)&lt;&gt;"수입",$E239&lt;&gt;"대체",$I239&gt;0),"지출 과목인데 수입에 적혔습니다",IF($K239="","증빙을 고르십시오",IF(AND($C239="바우처통장",$J239&gt;0,IFERROR(INDEX('통합 ④ 설정'!$E$6:$E$40,MATCH($D239,'통합 ④ 설정'!$B$6:$B$40,0)),"")&lt;&gt;"○"),"바우처통장 지출 — 목적 확인",IF($H239="","적요를 적으십시오",""))))))))))))</f>
        <v/>
      </c>
      <c r="M239" s="39"/>
      <c r="O239" s="11" t="str">
        <f aca="false">IF($B239="","",YEAR($B239)*100+MONTH($B239))</f>
        <v/>
      </c>
      <c r="P239" s="11" t="str">
        <f aca="false">IF($B239="","",IF($E239="대체",0,1))</f>
        <v/>
      </c>
    </row>
    <row r="240" customFormat="false" ht="15" hidden="false" customHeight="false" outlineLevel="0" collapsed="false">
      <c r="A240" s="36" t="str">
        <f aca="false">IF($B240="","",COUNT($B$15:$B240))</f>
        <v/>
      </c>
      <c r="B240" s="37"/>
      <c r="C240" s="38"/>
      <c r="D240" s="39"/>
      <c r="E240" s="36" t="str">
        <f aca="false">IF($D240="","",IFERROR(INDEX('통합 ④ 설정'!$A$6:$A$40,MATCH($D240,'통합 ④ 설정'!$B$6:$B$40,0)),"※없는 과목"))</f>
        <v/>
      </c>
      <c r="F240" s="36" t="str">
        <f aca="false">IF($D240="","",IFERROR(INDEX('통합 ④ 설정'!$C$6:$C$40,MATCH($D240,'통합 ④ 설정'!$B$6:$B$40,0)),""))</f>
        <v/>
      </c>
      <c r="G240" s="39"/>
      <c r="H240" s="39"/>
      <c r="I240" s="40"/>
      <c r="J240" s="41"/>
      <c r="K240" s="38"/>
      <c r="L240" s="42" t="str">
        <f aca="false">IF($B240="","",IF(AND(N($I240)=0,N($J240)=0),"금액이 없습니다",IF(AND($I240&gt;0,$J240&gt;0),"수입·지출 둘 다 적혔습니다",IF($C240="","결제수단을 고르십시오",IF(ISNA(MATCH($C240,'통합 ③ 통장·카드'!$A$5:$A$11,0)),"③ 통장·카드에 없는 결제수단입니다",IF($D240="","계정과목을 고르십시오",IF($E240="※없는 과목","④ 설정에 없는 과목입니다",IF(AND($E240="수입",$J240&gt;0),"수입 과목인데 지출에 적혔습니다",IF(AND(LEFT($E240,2)&lt;&gt;"수입",$E240&lt;&gt;"대체",$I240&gt;0),"지출 과목인데 수입에 적혔습니다",IF($K240="","증빙을 고르십시오",IF(AND($C240="바우처통장",$J240&gt;0,IFERROR(INDEX('통합 ④ 설정'!$E$6:$E$40,MATCH($D240,'통합 ④ 설정'!$B$6:$B$40,0)),"")&lt;&gt;"○"),"바우처통장 지출 — 목적 확인",IF($H240="","적요를 적으십시오",""))))))))))))</f>
        <v/>
      </c>
      <c r="M240" s="39"/>
      <c r="O240" s="11" t="str">
        <f aca="false">IF($B240="","",YEAR($B240)*100+MONTH($B240))</f>
        <v/>
      </c>
      <c r="P240" s="11" t="str">
        <f aca="false">IF($B240="","",IF($E240="대체",0,1))</f>
        <v/>
      </c>
    </row>
    <row r="241" customFormat="false" ht="15" hidden="false" customHeight="false" outlineLevel="0" collapsed="false">
      <c r="A241" s="36" t="str">
        <f aca="false">IF($B241="","",COUNT($B$15:$B241))</f>
        <v/>
      </c>
      <c r="B241" s="37"/>
      <c r="C241" s="38"/>
      <c r="D241" s="39"/>
      <c r="E241" s="36" t="str">
        <f aca="false">IF($D241="","",IFERROR(INDEX('통합 ④ 설정'!$A$6:$A$40,MATCH($D241,'통합 ④ 설정'!$B$6:$B$40,0)),"※없는 과목"))</f>
        <v/>
      </c>
      <c r="F241" s="36" t="str">
        <f aca="false">IF($D241="","",IFERROR(INDEX('통합 ④ 설정'!$C$6:$C$40,MATCH($D241,'통합 ④ 설정'!$B$6:$B$40,0)),""))</f>
        <v/>
      </c>
      <c r="G241" s="39"/>
      <c r="H241" s="39"/>
      <c r="I241" s="40"/>
      <c r="J241" s="41"/>
      <c r="K241" s="38"/>
      <c r="L241" s="42" t="str">
        <f aca="false">IF($B241="","",IF(AND(N($I241)=0,N($J241)=0),"금액이 없습니다",IF(AND($I241&gt;0,$J241&gt;0),"수입·지출 둘 다 적혔습니다",IF($C241="","결제수단을 고르십시오",IF(ISNA(MATCH($C241,'통합 ③ 통장·카드'!$A$5:$A$11,0)),"③ 통장·카드에 없는 결제수단입니다",IF($D241="","계정과목을 고르십시오",IF($E241="※없는 과목","④ 설정에 없는 과목입니다",IF(AND($E241="수입",$J241&gt;0),"수입 과목인데 지출에 적혔습니다",IF(AND(LEFT($E241,2)&lt;&gt;"수입",$E241&lt;&gt;"대체",$I241&gt;0),"지출 과목인데 수입에 적혔습니다",IF($K241="","증빙을 고르십시오",IF(AND($C241="바우처통장",$J241&gt;0,IFERROR(INDEX('통합 ④ 설정'!$E$6:$E$40,MATCH($D241,'통합 ④ 설정'!$B$6:$B$40,0)),"")&lt;&gt;"○"),"바우처통장 지출 — 목적 확인",IF($H241="","적요를 적으십시오",""))))))))))))</f>
        <v/>
      </c>
      <c r="M241" s="39"/>
      <c r="O241" s="11" t="str">
        <f aca="false">IF($B241="","",YEAR($B241)*100+MONTH($B241))</f>
        <v/>
      </c>
      <c r="P241" s="11" t="str">
        <f aca="false">IF($B241="","",IF($E241="대체",0,1))</f>
        <v/>
      </c>
    </row>
    <row r="242" customFormat="false" ht="15" hidden="false" customHeight="false" outlineLevel="0" collapsed="false">
      <c r="A242" s="36" t="str">
        <f aca="false">IF($B242="","",COUNT($B$15:$B242))</f>
        <v/>
      </c>
      <c r="B242" s="37"/>
      <c r="C242" s="38"/>
      <c r="D242" s="39"/>
      <c r="E242" s="36" t="str">
        <f aca="false">IF($D242="","",IFERROR(INDEX('통합 ④ 설정'!$A$6:$A$40,MATCH($D242,'통합 ④ 설정'!$B$6:$B$40,0)),"※없는 과목"))</f>
        <v/>
      </c>
      <c r="F242" s="36" t="str">
        <f aca="false">IF($D242="","",IFERROR(INDEX('통합 ④ 설정'!$C$6:$C$40,MATCH($D242,'통합 ④ 설정'!$B$6:$B$40,0)),""))</f>
        <v/>
      </c>
      <c r="G242" s="39"/>
      <c r="H242" s="39"/>
      <c r="I242" s="40"/>
      <c r="J242" s="41"/>
      <c r="K242" s="38"/>
      <c r="L242" s="42" t="str">
        <f aca="false">IF($B242="","",IF(AND(N($I242)=0,N($J242)=0),"금액이 없습니다",IF(AND($I242&gt;0,$J242&gt;0),"수입·지출 둘 다 적혔습니다",IF($C242="","결제수단을 고르십시오",IF(ISNA(MATCH($C242,'통합 ③ 통장·카드'!$A$5:$A$11,0)),"③ 통장·카드에 없는 결제수단입니다",IF($D242="","계정과목을 고르십시오",IF($E242="※없는 과목","④ 설정에 없는 과목입니다",IF(AND($E242="수입",$J242&gt;0),"수입 과목인데 지출에 적혔습니다",IF(AND(LEFT($E242,2)&lt;&gt;"수입",$E242&lt;&gt;"대체",$I242&gt;0),"지출 과목인데 수입에 적혔습니다",IF($K242="","증빙을 고르십시오",IF(AND($C242="바우처통장",$J242&gt;0,IFERROR(INDEX('통합 ④ 설정'!$E$6:$E$40,MATCH($D242,'통합 ④ 설정'!$B$6:$B$40,0)),"")&lt;&gt;"○"),"바우처통장 지출 — 목적 확인",IF($H242="","적요를 적으십시오",""))))))))))))</f>
        <v/>
      </c>
      <c r="M242" s="39"/>
      <c r="O242" s="11" t="str">
        <f aca="false">IF($B242="","",YEAR($B242)*100+MONTH($B242))</f>
        <v/>
      </c>
      <c r="P242" s="11" t="str">
        <f aca="false">IF($B242="","",IF($E242="대체",0,1))</f>
        <v/>
      </c>
    </row>
    <row r="243" customFormat="false" ht="15" hidden="false" customHeight="false" outlineLevel="0" collapsed="false">
      <c r="A243" s="36" t="str">
        <f aca="false">IF($B243="","",COUNT($B$15:$B243))</f>
        <v/>
      </c>
      <c r="B243" s="37"/>
      <c r="C243" s="38"/>
      <c r="D243" s="39"/>
      <c r="E243" s="36" t="str">
        <f aca="false">IF($D243="","",IFERROR(INDEX('통합 ④ 설정'!$A$6:$A$40,MATCH($D243,'통합 ④ 설정'!$B$6:$B$40,0)),"※없는 과목"))</f>
        <v/>
      </c>
      <c r="F243" s="36" t="str">
        <f aca="false">IF($D243="","",IFERROR(INDEX('통합 ④ 설정'!$C$6:$C$40,MATCH($D243,'통합 ④ 설정'!$B$6:$B$40,0)),""))</f>
        <v/>
      </c>
      <c r="G243" s="39"/>
      <c r="H243" s="39"/>
      <c r="I243" s="40"/>
      <c r="J243" s="41"/>
      <c r="K243" s="38"/>
      <c r="L243" s="42" t="str">
        <f aca="false">IF($B243="","",IF(AND(N($I243)=0,N($J243)=0),"금액이 없습니다",IF(AND($I243&gt;0,$J243&gt;0),"수입·지출 둘 다 적혔습니다",IF($C243="","결제수단을 고르십시오",IF(ISNA(MATCH($C243,'통합 ③ 통장·카드'!$A$5:$A$11,0)),"③ 통장·카드에 없는 결제수단입니다",IF($D243="","계정과목을 고르십시오",IF($E243="※없는 과목","④ 설정에 없는 과목입니다",IF(AND($E243="수입",$J243&gt;0),"수입 과목인데 지출에 적혔습니다",IF(AND(LEFT($E243,2)&lt;&gt;"수입",$E243&lt;&gt;"대체",$I243&gt;0),"지출 과목인데 수입에 적혔습니다",IF($K243="","증빙을 고르십시오",IF(AND($C243="바우처통장",$J243&gt;0,IFERROR(INDEX('통합 ④ 설정'!$E$6:$E$40,MATCH($D243,'통합 ④ 설정'!$B$6:$B$40,0)),"")&lt;&gt;"○"),"바우처통장 지출 — 목적 확인",IF($H243="","적요를 적으십시오",""))))))))))))</f>
        <v/>
      </c>
      <c r="M243" s="39"/>
      <c r="O243" s="11" t="str">
        <f aca="false">IF($B243="","",YEAR($B243)*100+MONTH($B243))</f>
        <v/>
      </c>
      <c r="P243" s="11" t="str">
        <f aca="false">IF($B243="","",IF($E243="대체",0,1))</f>
        <v/>
      </c>
    </row>
    <row r="244" customFormat="false" ht="15" hidden="false" customHeight="false" outlineLevel="0" collapsed="false">
      <c r="A244" s="36" t="str">
        <f aca="false">IF($B244="","",COUNT($B$15:$B244))</f>
        <v/>
      </c>
      <c r="B244" s="37"/>
      <c r="C244" s="38"/>
      <c r="D244" s="39"/>
      <c r="E244" s="36" t="str">
        <f aca="false">IF($D244="","",IFERROR(INDEX('통합 ④ 설정'!$A$6:$A$40,MATCH($D244,'통합 ④ 설정'!$B$6:$B$40,0)),"※없는 과목"))</f>
        <v/>
      </c>
      <c r="F244" s="36" t="str">
        <f aca="false">IF($D244="","",IFERROR(INDEX('통합 ④ 설정'!$C$6:$C$40,MATCH($D244,'통합 ④ 설정'!$B$6:$B$40,0)),""))</f>
        <v/>
      </c>
      <c r="G244" s="39"/>
      <c r="H244" s="39"/>
      <c r="I244" s="40"/>
      <c r="J244" s="41"/>
      <c r="K244" s="38"/>
      <c r="L244" s="42" t="str">
        <f aca="false">IF($B244="","",IF(AND(N($I244)=0,N($J244)=0),"금액이 없습니다",IF(AND($I244&gt;0,$J244&gt;0),"수입·지출 둘 다 적혔습니다",IF($C244="","결제수단을 고르십시오",IF(ISNA(MATCH($C244,'통합 ③ 통장·카드'!$A$5:$A$11,0)),"③ 통장·카드에 없는 결제수단입니다",IF($D244="","계정과목을 고르십시오",IF($E244="※없는 과목","④ 설정에 없는 과목입니다",IF(AND($E244="수입",$J244&gt;0),"수입 과목인데 지출에 적혔습니다",IF(AND(LEFT($E244,2)&lt;&gt;"수입",$E244&lt;&gt;"대체",$I244&gt;0),"지출 과목인데 수입에 적혔습니다",IF($K244="","증빙을 고르십시오",IF(AND($C244="바우처통장",$J244&gt;0,IFERROR(INDEX('통합 ④ 설정'!$E$6:$E$40,MATCH($D244,'통합 ④ 설정'!$B$6:$B$40,0)),"")&lt;&gt;"○"),"바우처통장 지출 — 목적 확인",IF($H244="","적요를 적으십시오",""))))))))))))</f>
        <v/>
      </c>
      <c r="M244" s="39"/>
      <c r="O244" s="11" t="str">
        <f aca="false">IF($B244="","",YEAR($B244)*100+MONTH($B244))</f>
        <v/>
      </c>
      <c r="P244" s="11" t="str">
        <f aca="false">IF($B244="","",IF($E244="대체",0,1))</f>
        <v/>
      </c>
    </row>
    <row r="245" customFormat="false" ht="15" hidden="false" customHeight="false" outlineLevel="0" collapsed="false">
      <c r="A245" s="36" t="str">
        <f aca="false">IF($B245="","",COUNT($B$15:$B245))</f>
        <v/>
      </c>
      <c r="B245" s="37"/>
      <c r="C245" s="38"/>
      <c r="D245" s="39"/>
      <c r="E245" s="36" t="str">
        <f aca="false">IF($D245="","",IFERROR(INDEX('통합 ④ 설정'!$A$6:$A$40,MATCH($D245,'통합 ④ 설정'!$B$6:$B$40,0)),"※없는 과목"))</f>
        <v/>
      </c>
      <c r="F245" s="36" t="str">
        <f aca="false">IF($D245="","",IFERROR(INDEX('통합 ④ 설정'!$C$6:$C$40,MATCH($D245,'통합 ④ 설정'!$B$6:$B$40,0)),""))</f>
        <v/>
      </c>
      <c r="G245" s="39"/>
      <c r="H245" s="39"/>
      <c r="I245" s="40"/>
      <c r="J245" s="41"/>
      <c r="K245" s="38"/>
      <c r="L245" s="42" t="str">
        <f aca="false">IF($B245="","",IF(AND(N($I245)=0,N($J245)=0),"금액이 없습니다",IF(AND($I245&gt;0,$J245&gt;0),"수입·지출 둘 다 적혔습니다",IF($C245="","결제수단을 고르십시오",IF(ISNA(MATCH($C245,'통합 ③ 통장·카드'!$A$5:$A$11,0)),"③ 통장·카드에 없는 결제수단입니다",IF($D245="","계정과목을 고르십시오",IF($E245="※없는 과목","④ 설정에 없는 과목입니다",IF(AND($E245="수입",$J245&gt;0),"수입 과목인데 지출에 적혔습니다",IF(AND(LEFT($E245,2)&lt;&gt;"수입",$E245&lt;&gt;"대체",$I245&gt;0),"지출 과목인데 수입에 적혔습니다",IF($K245="","증빙을 고르십시오",IF(AND($C245="바우처통장",$J245&gt;0,IFERROR(INDEX('통합 ④ 설정'!$E$6:$E$40,MATCH($D245,'통합 ④ 설정'!$B$6:$B$40,0)),"")&lt;&gt;"○"),"바우처통장 지출 — 목적 확인",IF($H245="","적요를 적으십시오",""))))))))))))</f>
        <v/>
      </c>
      <c r="M245" s="39"/>
      <c r="O245" s="11" t="str">
        <f aca="false">IF($B245="","",YEAR($B245)*100+MONTH($B245))</f>
        <v/>
      </c>
      <c r="P245" s="11" t="str">
        <f aca="false">IF($B245="","",IF($E245="대체",0,1))</f>
        <v/>
      </c>
    </row>
    <row r="246" customFormat="false" ht="15" hidden="false" customHeight="false" outlineLevel="0" collapsed="false">
      <c r="A246" s="36" t="str">
        <f aca="false">IF($B246="","",COUNT($B$15:$B246))</f>
        <v/>
      </c>
      <c r="B246" s="37"/>
      <c r="C246" s="38"/>
      <c r="D246" s="39"/>
      <c r="E246" s="36" t="str">
        <f aca="false">IF($D246="","",IFERROR(INDEX('통합 ④ 설정'!$A$6:$A$40,MATCH($D246,'통합 ④ 설정'!$B$6:$B$40,0)),"※없는 과목"))</f>
        <v/>
      </c>
      <c r="F246" s="36" t="str">
        <f aca="false">IF($D246="","",IFERROR(INDEX('통합 ④ 설정'!$C$6:$C$40,MATCH($D246,'통합 ④ 설정'!$B$6:$B$40,0)),""))</f>
        <v/>
      </c>
      <c r="G246" s="39"/>
      <c r="H246" s="39"/>
      <c r="I246" s="40"/>
      <c r="J246" s="41"/>
      <c r="K246" s="38"/>
      <c r="L246" s="42" t="str">
        <f aca="false">IF($B246="","",IF(AND(N($I246)=0,N($J246)=0),"금액이 없습니다",IF(AND($I246&gt;0,$J246&gt;0),"수입·지출 둘 다 적혔습니다",IF($C246="","결제수단을 고르십시오",IF(ISNA(MATCH($C246,'통합 ③ 통장·카드'!$A$5:$A$11,0)),"③ 통장·카드에 없는 결제수단입니다",IF($D246="","계정과목을 고르십시오",IF($E246="※없는 과목","④ 설정에 없는 과목입니다",IF(AND($E246="수입",$J246&gt;0),"수입 과목인데 지출에 적혔습니다",IF(AND(LEFT($E246,2)&lt;&gt;"수입",$E246&lt;&gt;"대체",$I246&gt;0),"지출 과목인데 수입에 적혔습니다",IF($K246="","증빙을 고르십시오",IF(AND($C246="바우처통장",$J246&gt;0,IFERROR(INDEX('통합 ④ 설정'!$E$6:$E$40,MATCH($D246,'통합 ④ 설정'!$B$6:$B$40,0)),"")&lt;&gt;"○"),"바우처통장 지출 — 목적 확인",IF($H246="","적요를 적으십시오",""))))))))))))</f>
        <v/>
      </c>
      <c r="M246" s="39"/>
      <c r="O246" s="11" t="str">
        <f aca="false">IF($B246="","",YEAR($B246)*100+MONTH($B246))</f>
        <v/>
      </c>
      <c r="P246" s="11" t="str">
        <f aca="false">IF($B246="","",IF($E246="대체",0,1))</f>
        <v/>
      </c>
    </row>
    <row r="247" customFormat="false" ht="15" hidden="false" customHeight="false" outlineLevel="0" collapsed="false">
      <c r="A247" s="36" t="str">
        <f aca="false">IF($B247="","",COUNT($B$15:$B247))</f>
        <v/>
      </c>
      <c r="B247" s="37"/>
      <c r="C247" s="38"/>
      <c r="D247" s="39"/>
      <c r="E247" s="36" t="str">
        <f aca="false">IF($D247="","",IFERROR(INDEX('통합 ④ 설정'!$A$6:$A$40,MATCH($D247,'통합 ④ 설정'!$B$6:$B$40,0)),"※없는 과목"))</f>
        <v/>
      </c>
      <c r="F247" s="36" t="str">
        <f aca="false">IF($D247="","",IFERROR(INDEX('통합 ④ 설정'!$C$6:$C$40,MATCH($D247,'통합 ④ 설정'!$B$6:$B$40,0)),""))</f>
        <v/>
      </c>
      <c r="G247" s="39"/>
      <c r="H247" s="39"/>
      <c r="I247" s="40"/>
      <c r="J247" s="41"/>
      <c r="K247" s="38"/>
      <c r="L247" s="42" t="str">
        <f aca="false">IF($B247="","",IF(AND(N($I247)=0,N($J247)=0),"금액이 없습니다",IF(AND($I247&gt;0,$J247&gt;0),"수입·지출 둘 다 적혔습니다",IF($C247="","결제수단을 고르십시오",IF(ISNA(MATCH($C247,'통합 ③ 통장·카드'!$A$5:$A$11,0)),"③ 통장·카드에 없는 결제수단입니다",IF($D247="","계정과목을 고르십시오",IF($E247="※없는 과목","④ 설정에 없는 과목입니다",IF(AND($E247="수입",$J247&gt;0),"수입 과목인데 지출에 적혔습니다",IF(AND(LEFT($E247,2)&lt;&gt;"수입",$E247&lt;&gt;"대체",$I247&gt;0),"지출 과목인데 수입에 적혔습니다",IF($K247="","증빙을 고르십시오",IF(AND($C247="바우처통장",$J247&gt;0,IFERROR(INDEX('통합 ④ 설정'!$E$6:$E$40,MATCH($D247,'통합 ④ 설정'!$B$6:$B$40,0)),"")&lt;&gt;"○"),"바우처통장 지출 — 목적 확인",IF($H247="","적요를 적으십시오",""))))))))))))</f>
        <v/>
      </c>
      <c r="M247" s="39"/>
      <c r="O247" s="11" t="str">
        <f aca="false">IF($B247="","",YEAR($B247)*100+MONTH($B247))</f>
        <v/>
      </c>
      <c r="P247" s="11" t="str">
        <f aca="false">IF($B247="","",IF($E247="대체",0,1))</f>
        <v/>
      </c>
    </row>
    <row r="248" customFormat="false" ht="15" hidden="false" customHeight="false" outlineLevel="0" collapsed="false">
      <c r="A248" s="36" t="str">
        <f aca="false">IF($B248="","",COUNT($B$15:$B248))</f>
        <v/>
      </c>
      <c r="B248" s="37"/>
      <c r="C248" s="38"/>
      <c r="D248" s="39"/>
      <c r="E248" s="36" t="str">
        <f aca="false">IF($D248="","",IFERROR(INDEX('통합 ④ 설정'!$A$6:$A$40,MATCH($D248,'통합 ④ 설정'!$B$6:$B$40,0)),"※없는 과목"))</f>
        <v/>
      </c>
      <c r="F248" s="36" t="str">
        <f aca="false">IF($D248="","",IFERROR(INDEX('통합 ④ 설정'!$C$6:$C$40,MATCH($D248,'통합 ④ 설정'!$B$6:$B$40,0)),""))</f>
        <v/>
      </c>
      <c r="G248" s="39"/>
      <c r="H248" s="39"/>
      <c r="I248" s="40"/>
      <c r="J248" s="41"/>
      <c r="K248" s="38"/>
      <c r="L248" s="42" t="str">
        <f aca="false">IF($B248="","",IF(AND(N($I248)=0,N($J248)=0),"금액이 없습니다",IF(AND($I248&gt;0,$J248&gt;0),"수입·지출 둘 다 적혔습니다",IF($C248="","결제수단을 고르십시오",IF(ISNA(MATCH($C248,'통합 ③ 통장·카드'!$A$5:$A$11,0)),"③ 통장·카드에 없는 결제수단입니다",IF($D248="","계정과목을 고르십시오",IF($E248="※없는 과목","④ 설정에 없는 과목입니다",IF(AND($E248="수입",$J248&gt;0),"수입 과목인데 지출에 적혔습니다",IF(AND(LEFT($E248,2)&lt;&gt;"수입",$E248&lt;&gt;"대체",$I248&gt;0),"지출 과목인데 수입에 적혔습니다",IF($K248="","증빙을 고르십시오",IF(AND($C248="바우처통장",$J248&gt;0,IFERROR(INDEX('통합 ④ 설정'!$E$6:$E$40,MATCH($D248,'통합 ④ 설정'!$B$6:$B$40,0)),"")&lt;&gt;"○"),"바우처통장 지출 — 목적 확인",IF($H248="","적요를 적으십시오",""))))))))))))</f>
        <v/>
      </c>
      <c r="M248" s="39"/>
      <c r="O248" s="11" t="str">
        <f aca="false">IF($B248="","",YEAR($B248)*100+MONTH($B248))</f>
        <v/>
      </c>
      <c r="P248" s="11" t="str">
        <f aca="false">IF($B248="","",IF($E248="대체",0,1))</f>
        <v/>
      </c>
    </row>
    <row r="249" customFormat="false" ht="15" hidden="false" customHeight="false" outlineLevel="0" collapsed="false">
      <c r="A249" s="36" t="str">
        <f aca="false">IF($B249="","",COUNT($B$15:$B249))</f>
        <v/>
      </c>
      <c r="B249" s="37"/>
      <c r="C249" s="38"/>
      <c r="D249" s="39"/>
      <c r="E249" s="36" t="str">
        <f aca="false">IF($D249="","",IFERROR(INDEX('통합 ④ 설정'!$A$6:$A$40,MATCH($D249,'통합 ④ 설정'!$B$6:$B$40,0)),"※없는 과목"))</f>
        <v/>
      </c>
      <c r="F249" s="36" t="str">
        <f aca="false">IF($D249="","",IFERROR(INDEX('통합 ④ 설정'!$C$6:$C$40,MATCH($D249,'통합 ④ 설정'!$B$6:$B$40,0)),""))</f>
        <v/>
      </c>
      <c r="G249" s="39"/>
      <c r="H249" s="39"/>
      <c r="I249" s="40"/>
      <c r="J249" s="41"/>
      <c r="K249" s="38"/>
      <c r="L249" s="42" t="str">
        <f aca="false">IF($B249="","",IF(AND(N($I249)=0,N($J249)=0),"금액이 없습니다",IF(AND($I249&gt;0,$J249&gt;0),"수입·지출 둘 다 적혔습니다",IF($C249="","결제수단을 고르십시오",IF(ISNA(MATCH($C249,'통합 ③ 통장·카드'!$A$5:$A$11,0)),"③ 통장·카드에 없는 결제수단입니다",IF($D249="","계정과목을 고르십시오",IF($E249="※없는 과목","④ 설정에 없는 과목입니다",IF(AND($E249="수입",$J249&gt;0),"수입 과목인데 지출에 적혔습니다",IF(AND(LEFT($E249,2)&lt;&gt;"수입",$E249&lt;&gt;"대체",$I249&gt;0),"지출 과목인데 수입에 적혔습니다",IF($K249="","증빙을 고르십시오",IF(AND($C249="바우처통장",$J249&gt;0,IFERROR(INDEX('통합 ④ 설정'!$E$6:$E$40,MATCH($D249,'통합 ④ 설정'!$B$6:$B$40,0)),"")&lt;&gt;"○"),"바우처통장 지출 — 목적 확인",IF($H249="","적요를 적으십시오",""))))))))))))</f>
        <v/>
      </c>
      <c r="M249" s="39"/>
      <c r="O249" s="11" t="str">
        <f aca="false">IF($B249="","",YEAR($B249)*100+MONTH($B249))</f>
        <v/>
      </c>
      <c r="P249" s="11" t="str">
        <f aca="false">IF($B249="","",IF($E249="대체",0,1))</f>
        <v/>
      </c>
    </row>
    <row r="250" customFormat="false" ht="15" hidden="false" customHeight="false" outlineLevel="0" collapsed="false">
      <c r="A250" s="36" t="str">
        <f aca="false">IF($B250="","",COUNT($B$15:$B250))</f>
        <v/>
      </c>
      <c r="B250" s="37"/>
      <c r="C250" s="38"/>
      <c r="D250" s="39"/>
      <c r="E250" s="36" t="str">
        <f aca="false">IF($D250="","",IFERROR(INDEX('통합 ④ 설정'!$A$6:$A$40,MATCH($D250,'통합 ④ 설정'!$B$6:$B$40,0)),"※없는 과목"))</f>
        <v/>
      </c>
      <c r="F250" s="36" t="str">
        <f aca="false">IF($D250="","",IFERROR(INDEX('통합 ④ 설정'!$C$6:$C$40,MATCH($D250,'통합 ④ 설정'!$B$6:$B$40,0)),""))</f>
        <v/>
      </c>
      <c r="G250" s="39"/>
      <c r="H250" s="39"/>
      <c r="I250" s="40"/>
      <c r="J250" s="41"/>
      <c r="K250" s="38"/>
      <c r="L250" s="42" t="str">
        <f aca="false">IF($B250="","",IF(AND(N($I250)=0,N($J250)=0),"금액이 없습니다",IF(AND($I250&gt;0,$J250&gt;0),"수입·지출 둘 다 적혔습니다",IF($C250="","결제수단을 고르십시오",IF(ISNA(MATCH($C250,'통합 ③ 통장·카드'!$A$5:$A$11,0)),"③ 통장·카드에 없는 결제수단입니다",IF($D250="","계정과목을 고르십시오",IF($E250="※없는 과목","④ 설정에 없는 과목입니다",IF(AND($E250="수입",$J250&gt;0),"수입 과목인데 지출에 적혔습니다",IF(AND(LEFT($E250,2)&lt;&gt;"수입",$E250&lt;&gt;"대체",$I250&gt;0),"지출 과목인데 수입에 적혔습니다",IF($K250="","증빙을 고르십시오",IF(AND($C250="바우처통장",$J250&gt;0,IFERROR(INDEX('통합 ④ 설정'!$E$6:$E$40,MATCH($D250,'통합 ④ 설정'!$B$6:$B$40,0)),"")&lt;&gt;"○"),"바우처통장 지출 — 목적 확인",IF($H250="","적요를 적으십시오",""))))))))))))</f>
        <v/>
      </c>
      <c r="M250" s="39"/>
      <c r="O250" s="11" t="str">
        <f aca="false">IF($B250="","",YEAR($B250)*100+MONTH($B250))</f>
        <v/>
      </c>
      <c r="P250" s="11" t="str">
        <f aca="false">IF($B250="","",IF($E250="대체",0,1))</f>
        <v/>
      </c>
    </row>
    <row r="251" customFormat="false" ht="15" hidden="false" customHeight="false" outlineLevel="0" collapsed="false">
      <c r="A251" s="36" t="str">
        <f aca="false">IF($B251="","",COUNT($B$15:$B251))</f>
        <v/>
      </c>
      <c r="B251" s="37"/>
      <c r="C251" s="38"/>
      <c r="D251" s="39"/>
      <c r="E251" s="36" t="str">
        <f aca="false">IF($D251="","",IFERROR(INDEX('통합 ④ 설정'!$A$6:$A$40,MATCH($D251,'통합 ④ 설정'!$B$6:$B$40,0)),"※없는 과목"))</f>
        <v/>
      </c>
      <c r="F251" s="36" t="str">
        <f aca="false">IF($D251="","",IFERROR(INDEX('통합 ④ 설정'!$C$6:$C$40,MATCH($D251,'통합 ④ 설정'!$B$6:$B$40,0)),""))</f>
        <v/>
      </c>
      <c r="G251" s="39"/>
      <c r="H251" s="39"/>
      <c r="I251" s="40"/>
      <c r="J251" s="41"/>
      <c r="K251" s="38"/>
      <c r="L251" s="42" t="str">
        <f aca="false">IF($B251="","",IF(AND(N($I251)=0,N($J251)=0),"금액이 없습니다",IF(AND($I251&gt;0,$J251&gt;0),"수입·지출 둘 다 적혔습니다",IF($C251="","결제수단을 고르십시오",IF(ISNA(MATCH($C251,'통합 ③ 통장·카드'!$A$5:$A$11,0)),"③ 통장·카드에 없는 결제수단입니다",IF($D251="","계정과목을 고르십시오",IF($E251="※없는 과목","④ 설정에 없는 과목입니다",IF(AND($E251="수입",$J251&gt;0),"수입 과목인데 지출에 적혔습니다",IF(AND(LEFT($E251,2)&lt;&gt;"수입",$E251&lt;&gt;"대체",$I251&gt;0),"지출 과목인데 수입에 적혔습니다",IF($K251="","증빙을 고르십시오",IF(AND($C251="바우처통장",$J251&gt;0,IFERROR(INDEX('통합 ④ 설정'!$E$6:$E$40,MATCH($D251,'통합 ④ 설정'!$B$6:$B$40,0)),"")&lt;&gt;"○"),"바우처통장 지출 — 목적 확인",IF($H251="","적요를 적으십시오",""))))))))))))</f>
        <v/>
      </c>
      <c r="M251" s="39"/>
      <c r="O251" s="11" t="str">
        <f aca="false">IF($B251="","",YEAR($B251)*100+MONTH($B251))</f>
        <v/>
      </c>
      <c r="P251" s="11" t="str">
        <f aca="false">IF($B251="","",IF($E251="대체",0,1))</f>
        <v/>
      </c>
    </row>
    <row r="252" customFormat="false" ht="15" hidden="false" customHeight="false" outlineLevel="0" collapsed="false">
      <c r="A252" s="36" t="str">
        <f aca="false">IF($B252="","",COUNT($B$15:$B252))</f>
        <v/>
      </c>
      <c r="B252" s="37"/>
      <c r="C252" s="38"/>
      <c r="D252" s="39"/>
      <c r="E252" s="36" t="str">
        <f aca="false">IF($D252="","",IFERROR(INDEX('통합 ④ 설정'!$A$6:$A$40,MATCH($D252,'통합 ④ 설정'!$B$6:$B$40,0)),"※없는 과목"))</f>
        <v/>
      </c>
      <c r="F252" s="36" t="str">
        <f aca="false">IF($D252="","",IFERROR(INDEX('통합 ④ 설정'!$C$6:$C$40,MATCH($D252,'통합 ④ 설정'!$B$6:$B$40,0)),""))</f>
        <v/>
      </c>
      <c r="G252" s="39"/>
      <c r="H252" s="39"/>
      <c r="I252" s="40"/>
      <c r="J252" s="41"/>
      <c r="K252" s="38"/>
      <c r="L252" s="42" t="str">
        <f aca="false">IF($B252="","",IF(AND(N($I252)=0,N($J252)=0),"금액이 없습니다",IF(AND($I252&gt;0,$J252&gt;0),"수입·지출 둘 다 적혔습니다",IF($C252="","결제수단을 고르십시오",IF(ISNA(MATCH($C252,'통합 ③ 통장·카드'!$A$5:$A$11,0)),"③ 통장·카드에 없는 결제수단입니다",IF($D252="","계정과목을 고르십시오",IF($E252="※없는 과목","④ 설정에 없는 과목입니다",IF(AND($E252="수입",$J252&gt;0),"수입 과목인데 지출에 적혔습니다",IF(AND(LEFT($E252,2)&lt;&gt;"수입",$E252&lt;&gt;"대체",$I252&gt;0),"지출 과목인데 수입에 적혔습니다",IF($K252="","증빙을 고르십시오",IF(AND($C252="바우처통장",$J252&gt;0,IFERROR(INDEX('통합 ④ 설정'!$E$6:$E$40,MATCH($D252,'통합 ④ 설정'!$B$6:$B$40,0)),"")&lt;&gt;"○"),"바우처통장 지출 — 목적 확인",IF($H252="","적요를 적으십시오",""))))))))))))</f>
        <v/>
      </c>
      <c r="M252" s="39"/>
      <c r="O252" s="11" t="str">
        <f aca="false">IF($B252="","",YEAR($B252)*100+MONTH($B252))</f>
        <v/>
      </c>
      <c r="P252" s="11" t="str">
        <f aca="false">IF($B252="","",IF($E252="대체",0,1))</f>
        <v/>
      </c>
    </row>
    <row r="253" customFormat="false" ht="15" hidden="false" customHeight="false" outlineLevel="0" collapsed="false">
      <c r="A253" s="36" t="str">
        <f aca="false">IF($B253="","",COUNT($B$15:$B253))</f>
        <v/>
      </c>
      <c r="B253" s="37"/>
      <c r="C253" s="38"/>
      <c r="D253" s="39"/>
      <c r="E253" s="36" t="str">
        <f aca="false">IF($D253="","",IFERROR(INDEX('통합 ④ 설정'!$A$6:$A$40,MATCH($D253,'통합 ④ 설정'!$B$6:$B$40,0)),"※없는 과목"))</f>
        <v/>
      </c>
      <c r="F253" s="36" t="str">
        <f aca="false">IF($D253="","",IFERROR(INDEX('통합 ④ 설정'!$C$6:$C$40,MATCH($D253,'통합 ④ 설정'!$B$6:$B$40,0)),""))</f>
        <v/>
      </c>
      <c r="G253" s="39"/>
      <c r="H253" s="39"/>
      <c r="I253" s="40"/>
      <c r="J253" s="41"/>
      <c r="K253" s="38"/>
      <c r="L253" s="42" t="str">
        <f aca="false">IF($B253="","",IF(AND(N($I253)=0,N($J253)=0),"금액이 없습니다",IF(AND($I253&gt;0,$J253&gt;0),"수입·지출 둘 다 적혔습니다",IF($C253="","결제수단을 고르십시오",IF(ISNA(MATCH($C253,'통합 ③ 통장·카드'!$A$5:$A$11,0)),"③ 통장·카드에 없는 결제수단입니다",IF($D253="","계정과목을 고르십시오",IF($E253="※없는 과목","④ 설정에 없는 과목입니다",IF(AND($E253="수입",$J253&gt;0),"수입 과목인데 지출에 적혔습니다",IF(AND(LEFT($E253,2)&lt;&gt;"수입",$E253&lt;&gt;"대체",$I253&gt;0),"지출 과목인데 수입에 적혔습니다",IF($K253="","증빙을 고르십시오",IF(AND($C253="바우처통장",$J253&gt;0,IFERROR(INDEX('통합 ④ 설정'!$E$6:$E$40,MATCH($D253,'통합 ④ 설정'!$B$6:$B$40,0)),"")&lt;&gt;"○"),"바우처통장 지출 — 목적 확인",IF($H253="","적요를 적으십시오",""))))))))))))</f>
        <v/>
      </c>
      <c r="M253" s="39"/>
      <c r="O253" s="11" t="str">
        <f aca="false">IF($B253="","",YEAR($B253)*100+MONTH($B253))</f>
        <v/>
      </c>
      <c r="P253" s="11" t="str">
        <f aca="false">IF($B253="","",IF($E253="대체",0,1))</f>
        <v/>
      </c>
    </row>
    <row r="254" customFormat="false" ht="15" hidden="false" customHeight="false" outlineLevel="0" collapsed="false">
      <c r="A254" s="36" t="str">
        <f aca="false">IF($B254="","",COUNT($B$15:$B254))</f>
        <v/>
      </c>
      <c r="B254" s="37"/>
      <c r="C254" s="38"/>
      <c r="D254" s="39"/>
      <c r="E254" s="36" t="str">
        <f aca="false">IF($D254="","",IFERROR(INDEX('통합 ④ 설정'!$A$6:$A$40,MATCH($D254,'통합 ④ 설정'!$B$6:$B$40,0)),"※없는 과목"))</f>
        <v/>
      </c>
      <c r="F254" s="36" t="str">
        <f aca="false">IF($D254="","",IFERROR(INDEX('통합 ④ 설정'!$C$6:$C$40,MATCH($D254,'통합 ④ 설정'!$B$6:$B$40,0)),""))</f>
        <v/>
      </c>
      <c r="G254" s="39"/>
      <c r="H254" s="39"/>
      <c r="I254" s="40"/>
      <c r="J254" s="41"/>
      <c r="K254" s="38"/>
      <c r="L254" s="42" t="str">
        <f aca="false">IF($B254="","",IF(AND(N($I254)=0,N($J254)=0),"금액이 없습니다",IF(AND($I254&gt;0,$J254&gt;0),"수입·지출 둘 다 적혔습니다",IF($C254="","결제수단을 고르십시오",IF(ISNA(MATCH($C254,'통합 ③ 통장·카드'!$A$5:$A$11,0)),"③ 통장·카드에 없는 결제수단입니다",IF($D254="","계정과목을 고르십시오",IF($E254="※없는 과목","④ 설정에 없는 과목입니다",IF(AND($E254="수입",$J254&gt;0),"수입 과목인데 지출에 적혔습니다",IF(AND(LEFT($E254,2)&lt;&gt;"수입",$E254&lt;&gt;"대체",$I254&gt;0),"지출 과목인데 수입에 적혔습니다",IF($K254="","증빙을 고르십시오",IF(AND($C254="바우처통장",$J254&gt;0,IFERROR(INDEX('통합 ④ 설정'!$E$6:$E$40,MATCH($D254,'통합 ④ 설정'!$B$6:$B$40,0)),"")&lt;&gt;"○"),"바우처통장 지출 — 목적 확인",IF($H254="","적요를 적으십시오",""))))))))))))</f>
        <v/>
      </c>
      <c r="M254" s="39"/>
      <c r="O254" s="11" t="str">
        <f aca="false">IF($B254="","",YEAR($B254)*100+MONTH($B254))</f>
        <v/>
      </c>
      <c r="P254" s="11" t="str">
        <f aca="false">IF($B254="","",IF($E254="대체",0,1))</f>
        <v/>
      </c>
    </row>
    <row r="255" customFormat="false" ht="15" hidden="false" customHeight="false" outlineLevel="0" collapsed="false">
      <c r="A255" s="36" t="str">
        <f aca="false">IF($B255="","",COUNT($B$15:$B255))</f>
        <v/>
      </c>
      <c r="B255" s="37"/>
      <c r="C255" s="38"/>
      <c r="D255" s="39"/>
      <c r="E255" s="36" t="str">
        <f aca="false">IF($D255="","",IFERROR(INDEX('통합 ④ 설정'!$A$6:$A$40,MATCH($D255,'통합 ④ 설정'!$B$6:$B$40,0)),"※없는 과목"))</f>
        <v/>
      </c>
      <c r="F255" s="36" t="str">
        <f aca="false">IF($D255="","",IFERROR(INDEX('통합 ④ 설정'!$C$6:$C$40,MATCH($D255,'통합 ④ 설정'!$B$6:$B$40,0)),""))</f>
        <v/>
      </c>
      <c r="G255" s="39"/>
      <c r="H255" s="39"/>
      <c r="I255" s="40"/>
      <c r="J255" s="41"/>
      <c r="K255" s="38"/>
      <c r="L255" s="42" t="str">
        <f aca="false">IF($B255="","",IF(AND(N($I255)=0,N($J255)=0),"금액이 없습니다",IF(AND($I255&gt;0,$J255&gt;0),"수입·지출 둘 다 적혔습니다",IF($C255="","결제수단을 고르십시오",IF(ISNA(MATCH($C255,'통합 ③ 통장·카드'!$A$5:$A$11,0)),"③ 통장·카드에 없는 결제수단입니다",IF($D255="","계정과목을 고르십시오",IF($E255="※없는 과목","④ 설정에 없는 과목입니다",IF(AND($E255="수입",$J255&gt;0),"수입 과목인데 지출에 적혔습니다",IF(AND(LEFT($E255,2)&lt;&gt;"수입",$E255&lt;&gt;"대체",$I255&gt;0),"지출 과목인데 수입에 적혔습니다",IF($K255="","증빙을 고르십시오",IF(AND($C255="바우처통장",$J255&gt;0,IFERROR(INDEX('통합 ④ 설정'!$E$6:$E$40,MATCH($D255,'통합 ④ 설정'!$B$6:$B$40,0)),"")&lt;&gt;"○"),"바우처통장 지출 — 목적 확인",IF($H255="","적요를 적으십시오",""))))))))))))</f>
        <v/>
      </c>
      <c r="M255" s="39"/>
      <c r="O255" s="11" t="str">
        <f aca="false">IF($B255="","",YEAR($B255)*100+MONTH($B255))</f>
        <v/>
      </c>
      <c r="P255" s="11" t="str">
        <f aca="false">IF($B255="","",IF($E255="대체",0,1))</f>
        <v/>
      </c>
    </row>
    <row r="256" customFormat="false" ht="15" hidden="false" customHeight="false" outlineLevel="0" collapsed="false">
      <c r="A256" s="36" t="str">
        <f aca="false">IF($B256="","",COUNT($B$15:$B256))</f>
        <v/>
      </c>
      <c r="B256" s="37"/>
      <c r="C256" s="38"/>
      <c r="D256" s="39"/>
      <c r="E256" s="36" t="str">
        <f aca="false">IF($D256="","",IFERROR(INDEX('통합 ④ 설정'!$A$6:$A$40,MATCH($D256,'통합 ④ 설정'!$B$6:$B$40,0)),"※없는 과목"))</f>
        <v/>
      </c>
      <c r="F256" s="36" t="str">
        <f aca="false">IF($D256="","",IFERROR(INDEX('통합 ④ 설정'!$C$6:$C$40,MATCH($D256,'통합 ④ 설정'!$B$6:$B$40,0)),""))</f>
        <v/>
      </c>
      <c r="G256" s="39"/>
      <c r="H256" s="39"/>
      <c r="I256" s="40"/>
      <c r="J256" s="41"/>
      <c r="K256" s="38"/>
      <c r="L256" s="42" t="str">
        <f aca="false">IF($B256="","",IF(AND(N($I256)=0,N($J256)=0),"금액이 없습니다",IF(AND($I256&gt;0,$J256&gt;0),"수입·지출 둘 다 적혔습니다",IF($C256="","결제수단을 고르십시오",IF(ISNA(MATCH($C256,'통합 ③ 통장·카드'!$A$5:$A$11,0)),"③ 통장·카드에 없는 결제수단입니다",IF($D256="","계정과목을 고르십시오",IF($E256="※없는 과목","④ 설정에 없는 과목입니다",IF(AND($E256="수입",$J256&gt;0),"수입 과목인데 지출에 적혔습니다",IF(AND(LEFT($E256,2)&lt;&gt;"수입",$E256&lt;&gt;"대체",$I256&gt;0),"지출 과목인데 수입에 적혔습니다",IF($K256="","증빙을 고르십시오",IF(AND($C256="바우처통장",$J256&gt;0,IFERROR(INDEX('통합 ④ 설정'!$E$6:$E$40,MATCH($D256,'통합 ④ 설정'!$B$6:$B$40,0)),"")&lt;&gt;"○"),"바우처통장 지출 — 목적 확인",IF($H256="","적요를 적으십시오",""))))))))))))</f>
        <v/>
      </c>
      <c r="M256" s="39"/>
      <c r="O256" s="11" t="str">
        <f aca="false">IF($B256="","",YEAR($B256)*100+MONTH($B256))</f>
        <v/>
      </c>
      <c r="P256" s="11" t="str">
        <f aca="false">IF($B256="","",IF($E256="대체",0,1))</f>
        <v/>
      </c>
    </row>
    <row r="257" customFormat="false" ht="15" hidden="false" customHeight="false" outlineLevel="0" collapsed="false">
      <c r="A257" s="36" t="str">
        <f aca="false">IF($B257="","",COUNT($B$15:$B257))</f>
        <v/>
      </c>
      <c r="B257" s="37"/>
      <c r="C257" s="38"/>
      <c r="D257" s="39"/>
      <c r="E257" s="36" t="str">
        <f aca="false">IF($D257="","",IFERROR(INDEX('통합 ④ 설정'!$A$6:$A$40,MATCH($D257,'통합 ④ 설정'!$B$6:$B$40,0)),"※없는 과목"))</f>
        <v/>
      </c>
      <c r="F257" s="36" t="str">
        <f aca="false">IF($D257="","",IFERROR(INDEX('통합 ④ 설정'!$C$6:$C$40,MATCH($D257,'통합 ④ 설정'!$B$6:$B$40,0)),""))</f>
        <v/>
      </c>
      <c r="G257" s="39"/>
      <c r="H257" s="39"/>
      <c r="I257" s="40"/>
      <c r="J257" s="41"/>
      <c r="K257" s="38"/>
      <c r="L257" s="42" t="str">
        <f aca="false">IF($B257="","",IF(AND(N($I257)=0,N($J257)=0),"금액이 없습니다",IF(AND($I257&gt;0,$J257&gt;0),"수입·지출 둘 다 적혔습니다",IF($C257="","결제수단을 고르십시오",IF(ISNA(MATCH($C257,'통합 ③ 통장·카드'!$A$5:$A$11,0)),"③ 통장·카드에 없는 결제수단입니다",IF($D257="","계정과목을 고르십시오",IF($E257="※없는 과목","④ 설정에 없는 과목입니다",IF(AND($E257="수입",$J257&gt;0),"수입 과목인데 지출에 적혔습니다",IF(AND(LEFT($E257,2)&lt;&gt;"수입",$E257&lt;&gt;"대체",$I257&gt;0),"지출 과목인데 수입에 적혔습니다",IF($K257="","증빙을 고르십시오",IF(AND($C257="바우처통장",$J257&gt;0,IFERROR(INDEX('통합 ④ 설정'!$E$6:$E$40,MATCH($D257,'통합 ④ 설정'!$B$6:$B$40,0)),"")&lt;&gt;"○"),"바우처통장 지출 — 목적 확인",IF($H257="","적요를 적으십시오",""))))))))))))</f>
        <v/>
      </c>
      <c r="M257" s="39"/>
      <c r="O257" s="11" t="str">
        <f aca="false">IF($B257="","",YEAR($B257)*100+MONTH($B257))</f>
        <v/>
      </c>
      <c r="P257" s="11" t="str">
        <f aca="false">IF($B257="","",IF($E257="대체",0,1))</f>
        <v/>
      </c>
    </row>
    <row r="258" customFormat="false" ht="15" hidden="false" customHeight="false" outlineLevel="0" collapsed="false">
      <c r="A258" s="36" t="str">
        <f aca="false">IF($B258="","",COUNT($B$15:$B258))</f>
        <v/>
      </c>
      <c r="B258" s="37"/>
      <c r="C258" s="38"/>
      <c r="D258" s="39"/>
      <c r="E258" s="36" t="str">
        <f aca="false">IF($D258="","",IFERROR(INDEX('통합 ④ 설정'!$A$6:$A$40,MATCH($D258,'통합 ④ 설정'!$B$6:$B$40,0)),"※없는 과목"))</f>
        <v/>
      </c>
      <c r="F258" s="36" t="str">
        <f aca="false">IF($D258="","",IFERROR(INDEX('통합 ④ 설정'!$C$6:$C$40,MATCH($D258,'통합 ④ 설정'!$B$6:$B$40,0)),""))</f>
        <v/>
      </c>
      <c r="G258" s="39"/>
      <c r="H258" s="39"/>
      <c r="I258" s="40"/>
      <c r="J258" s="41"/>
      <c r="K258" s="38"/>
      <c r="L258" s="42" t="str">
        <f aca="false">IF($B258="","",IF(AND(N($I258)=0,N($J258)=0),"금액이 없습니다",IF(AND($I258&gt;0,$J258&gt;0),"수입·지출 둘 다 적혔습니다",IF($C258="","결제수단을 고르십시오",IF(ISNA(MATCH($C258,'통합 ③ 통장·카드'!$A$5:$A$11,0)),"③ 통장·카드에 없는 결제수단입니다",IF($D258="","계정과목을 고르십시오",IF($E258="※없는 과목","④ 설정에 없는 과목입니다",IF(AND($E258="수입",$J258&gt;0),"수입 과목인데 지출에 적혔습니다",IF(AND(LEFT($E258,2)&lt;&gt;"수입",$E258&lt;&gt;"대체",$I258&gt;0),"지출 과목인데 수입에 적혔습니다",IF($K258="","증빙을 고르십시오",IF(AND($C258="바우처통장",$J258&gt;0,IFERROR(INDEX('통합 ④ 설정'!$E$6:$E$40,MATCH($D258,'통합 ④ 설정'!$B$6:$B$40,0)),"")&lt;&gt;"○"),"바우처통장 지출 — 목적 확인",IF($H258="","적요를 적으십시오",""))))))))))))</f>
        <v/>
      </c>
      <c r="M258" s="39"/>
      <c r="O258" s="11" t="str">
        <f aca="false">IF($B258="","",YEAR($B258)*100+MONTH($B258))</f>
        <v/>
      </c>
      <c r="P258" s="11" t="str">
        <f aca="false">IF($B258="","",IF($E258="대체",0,1))</f>
        <v/>
      </c>
    </row>
    <row r="259" customFormat="false" ht="15" hidden="false" customHeight="false" outlineLevel="0" collapsed="false">
      <c r="A259" s="36" t="str">
        <f aca="false">IF($B259="","",COUNT($B$15:$B259))</f>
        <v/>
      </c>
      <c r="B259" s="37"/>
      <c r="C259" s="38"/>
      <c r="D259" s="39"/>
      <c r="E259" s="36" t="str">
        <f aca="false">IF($D259="","",IFERROR(INDEX('통합 ④ 설정'!$A$6:$A$40,MATCH($D259,'통합 ④ 설정'!$B$6:$B$40,0)),"※없는 과목"))</f>
        <v/>
      </c>
      <c r="F259" s="36" t="str">
        <f aca="false">IF($D259="","",IFERROR(INDEX('통합 ④ 설정'!$C$6:$C$40,MATCH($D259,'통합 ④ 설정'!$B$6:$B$40,0)),""))</f>
        <v/>
      </c>
      <c r="G259" s="39"/>
      <c r="H259" s="39"/>
      <c r="I259" s="40"/>
      <c r="J259" s="41"/>
      <c r="K259" s="38"/>
      <c r="L259" s="42" t="str">
        <f aca="false">IF($B259="","",IF(AND(N($I259)=0,N($J259)=0),"금액이 없습니다",IF(AND($I259&gt;0,$J259&gt;0),"수입·지출 둘 다 적혔습니다",IF($C259="","결제수단을 고르십시오",IF(ISNA(MATCH($C259,'통합 ③ 통장·카드'!$A$5:$A$11,0)),"③ 통장·카드에 없는 결제수단입니다",IF($D259="","계정과목을 고르십시오",IF($E259="※없는 과목","④ 설정에 없는 과목입니다",IF(AND($E259="수입",$J259&gt;0),"수입 과목인데 지출에 적혔습니다",IF(AND(LEFT($E259,2)&lt;&gt;"수입",$E259&lt;&gt;"대체",$I259&gt;0),"지출 과목인데 수입에 적혔습니다",IF($K259="","증빙을 고르십시오",IF(AND($C259="바우처통장",$J259&gt;0,IFERROR(INDEX('통합 ④ 설정'!$E$6:$E$40,MATCH($D259,'통합 ④ 설정'!$B$6:$B$40,0)),"")&lt;&gt;"○"),"바우처통장 지출 — 목적 확인",IF($H259="","적요를 적으십시오",""))))))))))))</f>
        <v/>
      </c>
      <c r="M259" s="39"/>
      <c r="O259" s="11" t="str">
        <f aca="false">IF($B259="","",YEAR($B259)*100+MONTH($B259))</f>
        <v/>
      </c>
      <c r="P259" s="11" t="str">
        <f aca="false">IF($B259="","",IF($E259="대체",0,1))</f>
        <v/>
      </c>
    </row>
    <row r="260" customFormat="false" ht="15" hidden="false" customHeight="false" outlineLevel="0" collapsed="false">
      <c r="A260" s="36" t="str">
        <f aca="false">IF($B260="","",COUNT($B$15:$B260))</f>
        <v/>
      </c>
      <c r="B260" s="37"/>
      <c r="C260" s="38"/>
      <c r="D260" s="39"/>
      <c r="E260" s="36" t="str">
        <f aca="false">IF($D260="","",IFERROR(INDEX('통합 ④ 설정'!$A$6:$A$40,MATCH($D260,'통합 ④ 설정'!$B$6:$B$40,0)),"※없는 과목"))</f>
        <v/>
      </c>
      <c r="F260" s="36" t="str">
        <f aca="false">IF($D260="","",IFERROR(INDEX('통합 ④ 설정'!$C$6:$C$40,MATCH($D260,'통합 ④ 설정'!$B$6:$B$40,0)),""))</f>
        <v/>
      </c>
      <c r="G260" s="39"/>
      <c r="H260" s="39"/>
      <c r="I260" s="40"/>
      <c r="J260" s="41"/>
      <c r="K260" s="38"/>
      <c r="L260" s="42" t="str">
        <f aca="false">IF($B260="","",IF(AND(N($I260)=0,N($J260)=0),"금액이 없습니다",IF(AND($I260&gt;0,$J260&gt;0),"수입·지출 둘 다 적혔습니다",IF($C260="","결제수단을 고르십시오",IF(ISNA(MATCH($C260,'통합 ③ 통장·카드'!$A$5:$A$11,0)),"③ 통장·카드에 없는 결제수단입니다",IF($D260="","계정과목을 고르십시오",IF($E260="※없는 과목","④ 설정에 없는 과목입니다",IF(AND($E260="수입",$J260&gt;0),"수입 과목인데 지출에 적혔습니다",IF(AND(LEFT($E260,2)&lt;&gt;"수입",$E260&lt;&gt;"대체",$I260&gt;0),"지출 과목인데 수입에 적혔습니다",IF($K260="","증빙을 고르십시오",IF(AND($C260="바우처통장",$J260&gt;0,IFERROR(INDEX('통합 ④ 설정'!$E$6:$E$40,MATCH($D260,'통합 ④ 설정'!$B$6:$B$40,0)),"")&lt;&gt;"○"),"바우처통장 지출 — 목적 확인",IF($H260="","적요를 적으십시오",""))))))))))))</f>
        <v/>
      </c>
      <c r="M260" s="39"/>
      <c r="O260" s="11" t="str">
        <f aca="false">IF($B260="","",YEAR($B260)*100+MONTH($B260))</f>
        <v/>
      </c>
      <c r="P260" s="11" t="str">
        <f aca="false">IF($B260="","",IF($E260="대체",0,1))</f>
        <v/>
      </c>
    </row>
    <row r="261" customFormat="false" ht="15" hidden="false" customHeight="false" outlineLevel="0" collapsed="false">
      <c r="A261" s="36" t="str">
        <f aca="false">IF($B261="","",COUNT($B$15:$B261))</f>
        <v/>
      </c>
      <c r="B261" s="37"/>
      <c r="C261" s="38"/>
      <c r="D261" s="39"/>
      <c r="E261" s="36" t="str">
        <f aca="false">IF($D261="","",IFERROR(INDEX('통합 ④ 설정'!$A$6:$A$40,MATCH($D261,'통합 ④ 설정'!$B$6:$B$40,0)),"※없는 과목"))</f>
        <v/>
      </c>
      <c r="F261" s="36" t="str">
        <f aca="false">IF($D261="","",IFERROR(INDEX('통합 ④ 설정'!$C$6:$C$40,MATCH($D261,'통합 ④ 설정'!$B$6:$B$40,0)),""))</f>
        <v/>
      </c>
      <c r="G261" s="39"/>
      <c r="H261" s="39"/>
      <c r="I261" s="40"/>
      <c r="J261" s="41"/>
      <c r="K261" s="38"/>
      <c r="L261" s="42" t="str">
        <f aca="false">IF($B261="","",IF(AND(N($I261)=0,N($J261)=0),"금액이 없습니다",IF(AND($I261&gt;0,$J261&gt;0),"수입·지출 둘 다 적혔습니다",IF($C261="","결제수단을 고르십시오",IF(ISNA(MATCH($C261,'통합 ③ 통장·카드'!$A$5:$A$11,0)),"③ 통장·카드에 없는 결제수단입니다",IF($D261="","계정과목을 고르십시오",IF($E261="※없는 과목","④ 설정에 없는 과목입니다",IF(AND($E261="수입",$J261&gt;0),"수입 과목인데 지출에 적혔습니다",IF(AND(LEFT($E261,2)&lt;&gt;"수입",$E261&lt;&gt;"대체",$I261&gt;0),"지출 과목인데 수입에 적혔습니다",IF($K261="","증빙을 고르십시오",IF(AND($C261="바우처통장",$J261&gt;0,IFERROR(INDEX('통합 ④ 설정'!$E$6:$E$40,MATCH($D261,'통합 ④ 설정'!$B$6:$B$40,0)),"")&lt;&gt;"○"),"바우처통장 지출 — 목적 확인",IF($H261="","적요를 적으십시오",""))))))))))))</f>
        <v/>
      </c>
      <c r="M261" s="39"/>
      <c r="O261" s="11" t="str">
        <f aca="false">IF($B261="","",YEAR($B261)*100+MONTH($B261))</f>
        <v/>
      </c>
      <c r="P261" s="11" t="str">
        <f aca="false">IF($B261="","",IF($E261="대체",0,1))</f>
        <v/>
      </c>
    </row>
    <row r="262" customFormat="false" ht="15" hidden="false" customHeight="false" outlineLevel="0" collapsed="false">
      <c r="A262" s="36" t="str">
        <f aca="false">IF($B262="","",COUNT($B$15:$B262))</f>
        <v/>
      </c>
      <c r="B262" s="37"/>
      <c r="C262" s="38"/>
      <c r="D262" s="39"/>
      <c r="E262" s="36" t="str">
        <f aca="false">IF($D262="","",IFERROR(INDEX('통합 ④ 설정'!$A$6:$A$40,MATCH($D262,'통합 ④ 설정'!$B$6:$B$40,0)),"※없는 과목"))</f>
        <v/>
      </c>
      <c r="F262" s="36" t="str">
        <f aca="false">IF($D262="","",IFERROR(INDEX('통합 ④ 설정'!$C$6:$C$40,MATCH($D262,'통합 ④ 설정'!$B$6:$B$40,0)),""))</f>
        <v/>
      </c>
      <c r="G262" s="39"/>
      <c r="H262" s="39"/>
      <c r="I262" s="40"/>
      <c r="J262" s="41"/>
      <c r="K262" s="38"/>
      <c r="L262" s="42" t="str">
        <f aca="false">IF($B262="","",IF(AND(N($I262)=0,N($J262)=0),"금액이 없습니다",IF(AND($I262&gt;0,$J262&gt;0),"수입·지출 둘 다 적혔습니다",IF($C262="","결제수단을 고르십시오",IF(ISNA(MATCH($C262,'통합 ③ 통장·카드'!$A$5:$A$11,0)),"③ 통장·카드에 없는 결제수단입니다",IF($D262="","계정과목을 고르십시오",IF($E262="※없는 과목","④ 설정에 없는 과목입니다",IF(AND($E262="수입",$J262&gt;0),"수입 과목인데 지출에 적혔습니다",IF(AND(LEFT($E262,2)&lt;&gt;"수입",$E262&lt;&gt;"대체",$I262&gt;0),"지출 과목인데 수입에 적혔습니다",IF($K262="","증빙을 고르십시오",IF(AND($C262="바우처통장",$J262&gt;0,IFERROR(INDEX('통합 ④ 설정'!$E$6:$E$40,MATCH($D262,'통합 ④ 설정'!$B$6:$B$40,0)),"")&lt;&gt;"○"),"바우처통장 지출 — 목적 확인",IF($H262="","적요를 적으십시오",""))))))))))))</f>
        <v/>
      </c>
      <c r="M262" s="39"/>
      <c r="O262" s="11" t="str">
        <f aca="false">IF($B262="","",YEAR($B262)*100+MONTH($B262))</f>
        <v/>
      </c>
      <c r="P262" s="11" t="str">
        <f aca="false">IF($B262="","",IF($E262="대체",0,1))</f>
        <v/>
      </c>
    </row>
    <row r="263" customFormat="false" ht="15" hidden="false" customHeight="false" outlineLevel="0" collapsed="false">
      <c r="A263" s="36" t="str">
        <f aca="false">IF($B263="","",COUNT($B$15:$B263))</f>
        <v/>
      </c>
      <c r="B263" s="37"/>
      <c r="C263" s="38"/>
      <c r="D263" s="39"/>
      <c r="E263" s="36" t="str">
        <f aca="false">IF($D263="","",IFERROR(INDEX('통합 ④ 설정'!$A$6:$A$40,MATCH($D263,'통합 ④ 설정'!$B$6:$B$40,0)),"※없는 과목"))</f>
        <v/>
      </c>
      <c r="F263" s="36" t="str">
        <f aca="false">IF($D263="","",IFERROR(INDEX('통합 ④ 설정'!$C$6:$C$40,MATCH($D263,'통합 ④ 설정'!$B$6:$B$40,0)),""))</f>
        <v/>
      </c>
      <c r="G263" s="39"/>
      <c r="H263" s="39"/>
      <c r="I263" s="40"/>
      <c r="J263" s="41"/>
      <c r="K263" s="38"/>
      <c r="L263" s="42" t="str">
        <f aca="false">IF($B263="","",IF(AND(N($I263)=0,N($J263)=0),"금액이 없습니다",IF(AND($I263&gt;0,$J263&gt;0),"수입·지출 둘 다 적혔습니다",IF($C263="","결제수단을 고르십시오",IF(ISNA(MATCH($C263,'통합 ③ 통장·카드'!$A$5:$A$11,0)),"③ 통장·카드에 없는 결제수단입니다",IF($D263="","계정과목을 고르십시오",IF($E263="※없는 과목","④ 설정에 없는 과목입니다",IF(AND($E263="수입",$J263&gt;0),"수입 과목인데 지출에 적혔습니다",IF(AND(LEFT($E263,2)&lt;&gt;"수입",$E263&lt;&gt;"대체",$I263&gt;0),"지출 과목인데 수입에 적혔습니다",IF($K263="","증빙을 고르십시오",IF(AND($C263="바우처통장",$J263&gt;0,IFERROR(INDEX('통합 ④ 설정'!$E$6:$E$40,MATCH($D263,'통합 ④ 설정'!$B$6:$B$40,0)),"")&lt;&gt;"○"),"바우처통장 지출 — 목적 확인",IF($H263="","적요를 적으십시오",""))))))))))))</f>
        <v/>
      </c>
      <c r="M263" s="39"/>
      <c r="O263" s="11" t="str">
        <f aca="false">IF($B263="","",YEAR($B263)*100+MONTH($B263))</f>
        <v/>
      </c>
      <c r="P263" s="11" t="str">
        <f aca="false">IF($B263="","",IF($E263="대체",0,1))</f>
        <v/>
      </c>
    </row>
    <row r="264" customFormat="false" ht="15" hidden="false" customHeight="false" outlineLevel="0" collapsed="false">
      <c r="A264" s="36" t="str">
        <f aca="false">IF($B264="","",COUNT($B$15:$B264))</f>
        <v/>
      </c>
      <c r="B264" s="37"/>
      <c r="C264" s="38"/>
      <c r="D264" s="39"/>
      <c r="E264" s="36" t="str">
        <f aca="false">IF($D264="","",IFERROR(INDEX('통합 ④ 설정'!$A$6:$A$40,MATCH($D264,'통합 ④ 설정'!$B$6:$B$40,0)),"※없는 과목"))</f>
        <v/>
      </c>
      <c r="F264" s="36" t="str">
        <f aca="false">IF($D264="","",IFERROR(INDEX('통합 ④ 설정'!$C$6:$C$40,MATCH($D264,'통합 ④ 설정'!$B$6:$B$40,0)),""))</f>
        <v/>
      </c>
      <c r="G264" s="39"/>
      <c r="H264" s="39"/>
      <c r="I264" s="40"/>
      <c r="J264" s="41"/>
      <c r="K264" s="38"/>
      <c r="L264" s="42" t="str">
        <f aca="false">IF($B264="","",IF(AND(N($I264)=0,N($J264)=0),"금액이 없습니다",IF(AND($I264&gt;0,$J264&gt;0),"수입·지출 둘 다 적혔습니다",IF($C264="","결제수단을 고르십시오",IF(ISNA(MATCH($C264,'통합 ③ 통장·카드'!$A$5:$A$11,0)),"③ 통장·카드에 없는 결제수단입니다",IF($D264="","계정과목을 고르십시오",IF($E264="※없는 과목","④ 설정에 없는 과목입니다",IF(AND($E264="수입",$J264&gt;0),"수입 과목인데 지출에 적혔습니다",IF(AND(LEFT($E264,2)&lt;&gt;"수입",$E264&lt;&gt;"대체",$I264&gt;0),"지출 과목인데 수입에 적혔습니다",IF($K264="","증빙을 고르십시오",IF(AND($C264="바우처통장",$J264&gt;0,IFERROR(INDEX('통합 ④ 설정'!$E$6:$E$40,MATCH($D264,'통합 ④ 설정'!$B$6:$B$40,0)),"")&lt;&gt;"○"),"바우처통장 지출 — 목적 확인",IF($H264="","적요를 적으십시오",""))))))))))))</f>
        <v/>
      </c>
      <c r="M264" s="39"/>
      <c r="O264" s="11" t="str">
        <f aca="false">IF($B264="","",YEAR($B264)*100+MONTH($B264))</f>
        <v/>
      </c>
      <c r="P264" s="11" t="str">
        <f aca="false">IF($B264="","",IF($E264="대체",0,1))</f>
        <v/>
      </c>
    </row>
    <row r="265" customFormat="false" ht="15" hidden="false" customHeight="false" outlineLevel="0" collapsed="false">
      <c r="A265" s="36" t="str">
        <f aca="false">IF($B265="","",COUNT($B$15:$B265))</f>
        <v/>
      </c>
      <c r="B265" s="37"/>
      <c r="C265" s="38"/>
      <c r="D265" s="39"/>
      <c r="E265" s="36" t="str">
        <f aca="false">IF($D265="","",IFERROR(INDEX('통합 ④ 설정'!$A$6:$A$40,MATCH($D265,'통합 ④ 설정'!$B$6:$B$40,0)),"※없는 과목"))</f>
        <v/>
      </c>
      <c r="F265" s="36" t="str">
        <f aca="false">IF($D265="","",IFERROR(INDEX('통합 ④ 설정'!$C$6:$C$40,MATCH($D265,'통합 ④ 설정'!$B$6:$B$40,0)),""))</f>
        <v/>
      </c>
      <c r="G265" s="39"/>
      <c r="H265" s="39"/>
      <c r="I265" s="40"/>
      <c r="J265" s="41"/>
      <c r="K265" s="38"/>
      <c r="L265" s="42" t="str">
        <f aca="false">IF($B265="","",IF(AND(N($I265)=0,N($J265)=0),"금액이 없습니다",IF(AND($I265&gt;0,$J265&gt;0),"수입·지출 둘 다 적혔습니다",IF($C265="","결제수단을 고르십시오",IF(ISNA(MATCH($C265,'통합 ③ 통장·카드'!$A$5:$A$11,0)),"③ 통장·카드에 없는 결제수단입니다",IF($D265="","계정과목을 고르십시오",IF($E265="※없는 과목","④ 설정에 없는 과목입니다",IF(AND($E265="수입",$J265&gt;0),"수입 과목인데 지출에 적혔습니다",IF(AND(LEFT($E265,2)&lt;&gt;"수입",$E265&lt;&gt;"대체",$I265&gt;0),"지출 과목인데 수입에 적혔습니다",IF($K265="","증빙을 고르십시오",IF(AND($C265="바우처통장",$J265&gt;0,IFERROR(INDEX('통합 ④ 설정'!$E$6:$E$40,MATCH($D265,'통합 ④ 설정'!$B$6:$B$40,0)),"")&lt;&gt;"○"),"바우처통장 지출 — 목적 확인",IF($H265="","적요를 적으십시오",""))))))))))))</f>
        <v/>
      </c>
      <c r="M265" s="39"/>
      <c r="O265" s="11" t="str">
        <f aca="false">IF($B265="","",YEAR($B265)*100+MONTH($B265))</f>
        <v/>
      </c>
      <c r="P265" s="11" t="str">
        <f aca="false">IF($B265="","",IF($E265="대체",0,1))</f>
        <v/>
      </c>
    </row>
    <row r="266" customFormat="false" ht="15" hidden="false" customHeight="false" outlineLevel="0" collapsed="false">
      <c r="A266" s="36" t="str">
        <f aca="false">IF($B266="","",COUNT($B$15:$B266))</f>
        <v/>
      </c>
      <c r="B266" s="37"/>
      <c r="C266" s="38"/>
      <c r="D266" s="39"/>
      <c r="E266" s="36" t="str">
        <f aca="false">IF($D266="","",IFERROR(INDEX('통합 ④ 설정'!$A$6:$A$40,MATCH($D266,'통합 ④ 설정'!$B$6:$B$40,0)),"※없는 과목"))</f>
        <v/>
      </c>
      <c r="F266" s="36" t="str">
        <f aca="false">IF($D266="","",IFERROR(INDEX('통합 ④ 설정'!$C$6:$C$40,MATCH($D266,'통합 ④ 설정'!$B$6:$B$40,0)),""))</f>
        <v/>
      </c>
      <c r="G266" s="39"/>
      <c r="H266" s="39"/>
      <c r="I266" s="40"/>
      <c r="J266" s="41"/>
      <c r="K266" s="38"/>
      <c r="L266" s="42" t="str">
        <f aca="false">IF($B266="","",IF(AND(N($I266)=0,N($J266)=0),"금액이 없습니다",IF(AND($I266&gt;0,$J266&gt;0),"수입·지출 둘 다 적혔습니다",IF($C266="","결제수단을 고르십시오",IF(ISNA(MATCH($C266,'통합 ③ 통장·카드'!$A$5:$A$11,0)),"③ 통장·카드에 없는 결제수단입니다",IF($D266="","계정과목을 고르십시오",IF($E266="※없는 과목","④ 설정에 없는 과목입니다",IF(AND($E266="수입",$J266&gt;0),"수입 과목인데 지출에 적혔습니다",IF(AND(LEFT($E266,2)&lt;&gt;"수입",$E266&lt;&gt;"대체",$I266&gt;0),"지출 과목인데 수입에 적혔습니다",IF($K266="","증빙을 고르십시오",IF(AND($C266="바우처통장",$J266&gt;0,IFERROR(INDEX('통합 ④ 설정'!$E$6:$E$40,MATCH($D266,'통합 ④ 설정'!$B$6:$B$40,0)),"")&lt;&gt;"○"),"바우처통장 지출 — 목적 확인",IF($H266="","적요를 적으십시오",""))))))))))))</f>
        <v/>
      </c>
      <c r="M266" s="39"/>
      <c r="O266" s="11" t="str">
        <f aca="false">IF($B266="","",YEAR($B266)*100+MONTH($B266))</f>
        <v/>
      </c>
      <c r="P266" s="11" t="str">
        <f aca="false">IF($B266="","",IF($E266="대체",0,1))</f>
        <v/>
      </c>
    </row>
    <row r="267" customFormat="false" ht="15" hidden="false" customHeight="false" outlineLevel="0" collapsed="false">
      <c r="A267" s="36" t="str">
        <f aca="false">IF($B267="","",COUNT($B$15:$B267))</f>
        <v/>
      </c>
      <c r="B267" s="37"/>
      <c r="C267" s="38"/>
      <c r="D267" s="39"/>
      <c r="E267" s="36" t="str">
        <f aca="false">IF($D267="","",IFERROR(INDEX('통합 ④ 설정'!$A$6:$A$40,MATCH($D267,'통합 ④ 설정'!$B$6:$B$40,0)),"※없는 과목"))</f>
        <v/>
      </c>
      <c r="F267" s="36" t="str">
        <f aca="false">IF($D267="","",IFERROR(INDEX('통합 ④ 설정'!$C$6:$C$40,MATCH($D267,'통합 ④ 설정'!$B$6:$B$40,0)),""))</f>
        <v/>
      </c>
      <c r="G267" s="39"/>
      <c r="H267" s="39"/>
      <c r="I267" s="40"/>
      <c r="J267" s="41"/>
      <c r="K267" s="38"/>
      <c r="L267" s="42" t="str">
        <f aca="false">IF($B267="","",IF(AND(N($I267)=0,N($J267)=0),"금액이 없습니다",IF(AND($I267&gt;0,$J267&gt;0),"수입·지출 둘 다 적혔습니다",IF($C267="","결제수단을 고르십시오",IF(ISNA(MATCH($C267,'통합 ③ 통장·카드'!$A$5:$A$11,0)),"③ 통장·카드에 없는 결제수단입니다",IF($D267="","계정과목을 고르십시오",IF($E267="※없는 과목","④ 설정에 없는 과목입니다",IF(AND($E267="수입",$J267&gt;0),"수입 과목인데 지출에 적혔습니다",IF(AND(LEFT($E267,2)&lt;&gt;"수입",$E267&lt;&gt;"대체",$I267&gt;0),"지출 과목인데 수입에 적혔습니다",IF($K267="","증빙을 고르십시오",IF(AND($C267="바우처통장",$J267&gt;0,IFERROR(INDEX('통합 ④ 설정'!$E$6:$E$40,MATCH($D267,'통합 ④ 설정'!$B$6:$B$40,0)),"")&lt;&gt;"○"),"바우처통장 지출 — 목적 확인",IF($H267="","적요를 적으십시오",""))))))))))))</f>
        <v/>
      </c>
      <c r="M267" s="39"/>
      <c r="O267" s="11" t="str">
        <f aca="false">IF($B267="","",YEAR($B267)*100+MONTH($B267))</f>
        <v/>
      </c>
      <c r="P267" s="11" t="str">
        <f aca="false">IF($B267="","",IF($E267="대체",0,1))</f>
        <v/>
      </c>
    </row>
    <row r="268" customFormat="false" ht="15" hidden="false" customHeight="false" outlineLevel="0" collapsed="false">
      <c r="A268" s="36" t="str">
        <f aca="false">IF($B268="","",COUNT($B$15:$B268))</f>
        <v/>
      </c>
      <c r="B268" s="37"/>
      <c r="C268" s="38"/>
      <c r="D268" s="39"/>
      <c r="E268" s="36" t="str">
        <f aca="false">IF($D268="","",IFERROR(INDEX('통합 ④ 설정'!$A$6:$A$40,MATCH($D268,'통합 ④ 설정'!$B$6:$B$40,0)),"※없는 과목"))</f>
        <v/>
      </c>
      <c r="F268" s="36" t="str">
        <f aca="false">IF($D268="","",IFERROR(INDEX('통합 ④ 설정'!$C$6:$C$40,MATCH($D268,'통합 ④ 설정'!$B$6:$B$40,0)),""))</f>
        <v/>
      </c>
      <c r="G268" s="39"/>
      <c r="H268" s="39"/>
      <c r="I268" s="40"/>
      <c r="J268" s="41"/>
      <c r="K268" s="38"/>
      <c r="L268" s="42" t="str">
        <f aca="false">IF($B268="","",IF(AND(N($I268)=0,N($J268)=0),"금액이 없습니다",IF(AND($I268&gt;0,$J268&gt;0),"수입·지출 둘 다 적혔습니다",IF($C268="","결제수단을 고르십시오",IF(ISNA(MATCH($C268,'통합 ③ 통장·카드'!$A$5:$A$11,0)),"③ 통장·카드에 없는 결제수단입니다",IF($D268="","계정과목을 고르십시오",IF($E268="※없는 과목","④ 설정에 없는 과목입니다",IF(AND($E268="수입",$J268&gt;0),"수입 과목인데 지출에 적혔습니다",IF(AND(LEFT($E268,2)&lt;&gt;"수입",$E268&lt;&gt;"대체",$I268&gt;0),"지출 과목인데 수입에 적혔습니다",IF($K268="","증빙을 고르십시오",IF(AND($C268="바우처통장",$J268&gt;0,IFERROR(INDEX('통합 ④ 설정'!$E$6:$E$40,MATCH($D268,'통합 ④ 설정'!$B$6:$B$40,0)),"")&lt;&gt;"○"),"바우처통장 지출 — 목적 확인",IF($H268="","적요를 적으십시오",""))))))))))))</f>
        <v/>
      </c>
      <c r="M268" s="39"/>
      <c r="O268" s="11" t="str">
        <f aca="false">IF($B268="","",YEAR($B268)*100+MONTH($B268))</f>
        <v/>
      </c>
      <c r="P268" s="11" t="str">
        <f aca="false">IF($B268="","",IF($E268="대체",0,1))</f>
        <v/>
      </c>
    </row>
    <row r="269" customFormat="false" ht="15" hidden="false" customHeight="false" outlineLevel="0" collapsed="false">
      <c r="A269" s="36" t="str">
        <f aca="false">IF($B269="","",COUNT($B$15:$B269))</f>
        <v/>
      </c>
      <c r="B269" s="37"/>
      <c r="C269" s="38"/>
      <c r="D269" s="39"/>
      <c r="E269" s="36" t="str">
        <f aca="false">IF($D269="","",IFERROR(INDEX('통합 ④ 설정'!$A$6:$A$40,MATCH($D269,'통합 ④ 설정'!$B$6:$B$40,0)),"※없는 과목"))</f>
        <v/>
      </c>
      <c r="F269" s="36" t="str">
        <f aca="false">IF($D269="","",IFERROR(INDEX('통합 ④ 설정'!$C$6:$C$40,MATCH($D269,'통합 ④ 설정'!$B$6:$B$40,0)),""))</f>
        <v/>
      </c>
      <c r="G269" s="39"/>
      <c r="H269" s="39"/>
      <c r="I269" s="40"/>
      <c r="J269" s="41"/>
      <c r="K269" s="38"/>
      <c r="L269" s="42" t="str">
        <f aca="false">IF($B269="","",IF(AND(N($I269)=0,N($J269)=0),"금액이 없습니다",IF(AND($I269&gt;0,$J269&gt;0),"수입·지출 둘 다 적혔습니다",IF($C269="","결제수단을 고르십시오",IF(ISNA(MATCH($C269,'통합 ③ 통장·카드'!$A$5:$A$11,0)),"③ 통장·카드에 없는 결제수단입니다",IF($D269="","계정과목을 고르십시오",IF($E269="※없는 과목","④ 설정에 없는 과목입니다",IF(AND($E269="수입",$J269&gt;0),"수입 과목인데 지출에 적혔습니다",IF(AND(LEFT($E269,2)&lt;&gt;"수입",$E269&lt;&gt;"대체",$I269&gt;0),"지출 과목인데 수입에 적혔습니다",IF($K269="","증빙을 고르십시오",IF(AND($C269="바우처통장",$J269&gt;0,IFERROR(INDEX('통합 ④ 설정'!$E$6:$E$40,MATCH($D269,'통합 ④ 설정'!$B$6:$B$40,0)),"")&lt;&gt;"○"),"바우처통장 지출 — 목적 확인",IF($H269="","적요를 적으십시오",""))))))))))))</f>
        <v/>
      </c>
      <c r="M269" s="39"/>
      <c r="O269" s="11" t="str">
        <f aca="false">IF($B269="","",YEAR($B269)*100+MONTH($B269))</f>
        <v/>
      </c>
      <c r="P269" s="11" t="str">
        <f aca="false">IF($B269="","",IF($E269="대체",0,1))</f>
        <v/>
      </c>
    </row>
    <row r="270" customFormat="false" ht="15" hidden="false" customHeight="false" outlineLevel="0" collapsed="false">
      <c r="A270" s="36" t="str">
        <f aca="false">IF($B270="","",COUNT($B$15:$B270))</f>
        <v/>
      </c>
      <c r="B270" s="37"/>
      <c r="C270" s="38"/>
      <c r="D270" s="39"/>
      <c r="E270" s="36" t="str">
        <f aca="false">IF($D270="","",IFERROR(INDEX('통합 ④ 설정'!$A$6:$A$40,MATCH($D270,'통합 ④ 설정'!$B$6:$B$40,0)),"※없는 과목"))</f>
        <v/>
      </c>
      <c r="F270" s="36" t="str">
        <f aca="false">IF($D270="","",IFERROR(INDEX('통합 ④ 설정'!$C$6:$C$40,MATCH($D270,'통합 ④ 설정'!$B$6:$B$40,0)),""))</f>
        <v/>
      </c>
      <c r="G270" s="39"/>
      <c r="H270" s="39"/>
      <c r="I270" s="40"/>
      <c r="J270" s="41"/>
      <c r="K270" s="38"/>
      <c r="L270" s="42" t="str">
        <f aca="false">IF($B270="","",IF(AND(N($I270)=0,N($J270)=0),"금액이 없습니다",IF(AND($I270&gt;0,$J270&gt;0),"수입·지출 둘 다 적혔습니다",IF($C270="","결제수단을 고르십시오",IF(ISNA(MATCH($C270,'통합 ③ 통장·카드'!$A$5:$A$11,0)),"③ 통장·카드에 없는 결제수단입니다",IF($D270="","계정과목을 고르십시오",IF($E270="※없는 과목","④ 설정에 없는 과목입니다",IF(AND($E270="수입",$J270&gt;0),"수입 과목인데 지출에 적혔습니다",IF(AND(LEFT($E270,2)&lt;&gt;"수입",$E270&lt;&gt;"대체",$I270&gt;0),"지출 과목인데 수입에 적혔습니다",IF($K270="","증빙을 고르십시오",IF(AND($C270="바우처통장",$J270&gt;0,IFERROR(INDEX('통합 ④ 설정'!$E$6:$E$40,MATCH($D270,'통합 ④ 설정'!$B$6:$B$40,0)),"")&lt;&gt;"○"),"바우처통장 지출 — 목적 확인",IF($H270="","적요를 적으십시오",""))))))))))))</f>
        <v/>
      </c>
      <c r="M270" s="39"/>
      <c r="O270" s="11" t="str">
        <f aca="false">IF($B270="","",YEAR($B270)*100+MONTH($B270))</f>
        <v/>
      </c>
      <c r="P270" s="11" t="str">
        <f aca="false">IF($B270="","",IF($E270="대체",0,1))</f>
        <v/>
      </c>
    </row>
    <row r="271" customFormat="false" ht="15" hidden="false" customHeight="false" outlineLevel="0" collapsed="false">
      <c r="A271" s="36" t="str">
        <f aca="false">IF($B271="","",COUNT($B$15:$B271))</f>
        <v/>
      </c>
      <c r="B271" s="37"/>
      <c r="C271" s="38"/>
      <c r="D271" s="39"/>
      <c r="E271" s="36" t="str">
        <f aca="false">IF($D271="","",IFERROR(INDEX('통합 ④ 설정'!$A$6:$A$40,MATCH($D271,'통합 ④ 설정'!$B$6:$B$40,0)),"※없는 과목"))</f>
        <v/>
      </c>
      <c r="F271" s="36" t="str">
        <f aca="false">IF($D271="","",IFERROR(INDEX('통합 ④ 설정'!$C$6:$C$40,MATCH($D271,'통합 ④ 설정'!$B$6:$B$40,0)),""))</f>
        <v/>
      </c>
      <c r="G271" s="39"/>
      <c r="H271" s="39"/>
      <c r="I271" s="40"/>
      <c r="J271" s="41"/>
      <c r="K271" s="38"/>
      <c r="L271" s="42" t="str">
        <f aca="false">IF($B271="","",IF(AND(N($I271)=0,N($J271)=0),"금액이 없습니다",IF(AND($I271&gt;0,$J271&gt;0),"수입·지출 둘 다 적혔습니다",IF($C271="","결제수단을 고르십시오",IF(ISNA(MATCH($C271,'통합 ③ 통장·카드'!$A$5:$A$11,0)),"③ 통장·카드에 없는 결제수단입니다",IF($D271="","계정과목을 고르십시오",IF($E271="※없는 과목","④ 설정에 없는 과목입니다",IF(AND($E271="수입",$J271&gt;0),"수입 과목인데 지출에 적혔습니다",IF(AND(LEFT($E271,2)&lt;&gt;"수입",$E271&lt;&gt;"대체",$I271&gt;0),"지출 과목인데 수입에 적혔습니다",IF($K271="","증빙을 고르십시오",IF(AND($C271="바우처통장",$J271&gt;0,IFERROR(INDEX('통합 ④ 설정'!$E$6:$E$40,MATCH($D271,'통합 ④ 설정'!$B$6:$B$40,0)),"")&lt;&gt;"○"),"바우처통장 지출 — 목적 확인",IF($H271="","적요를 적으십시오",""))))))))))))</f>
        <v/>
      </c>
      <c r="M271" s="39"/>
      <c r="O271" s="11" t="str">
        <f aca="false">IF($B271="","",YEAR($B271)*100+MONTH($B271))</f>
        <v/>
      </c>
      <c r="P271" s="11" t="str">
        <f aca="false">IF($B271="","",IF($E271="대체",0,1))</f>
        <v/>
      </c>
    </row>
    <row r="272" customFormat="false" ht="15" hidden="false" customHeight="false" outlineLevel="0" collapsed="false">
      <c r="A272" s="36" t="str">
        <f aca="false">IF($B272="","",COUNT($B$15:$B272))</f>
        <v/>
      </c>
      <c r="B272" s="37"/>
      <c r="C272" s="38"/>
      <c r="D272" s="39"/>
      <c r="E272" s="36" t="str">
        <f aca="false">IF($D272="","",IFERROR(INDEX('통합 ④ 설정'!$A$6:$A$40,MATCH($D272,'통합 ④ 설정'!$B$6:$B$40,0)),"※없는 과목"))</f>
        <v/>
      </c>
      <c r="F272" s="36" t="str">
        <f aca="false">IF($D272="","",IFERROR(INDEX('통합 ④ 설정'!$C$6:$C$40,MATCH($D272,'통합 ④ 설정'!$B$6:$B$40,0)),""))</f>
        <v/>
      </c>
      <c r="G272" s="39"/>
      <c r="H272" s="39"/>
      <c r="I272" s="40"/>
      <c r="J272" s="41"/>
      <c r="K272" s="38"/>
      <c r="L272" s="42" t="str">
        <f aca="false">IF($B272="","",IF(AND(N($I272)=0,N($J272)=0),"금액이 없습니다",IF(AND($I272&gt;0,$J272&gt;0),"수입·지출 둘 다 적혔습니다",IF($C272="","결제수단을 고르십시오",IF(ISNA(MATCH($C272,'통합 ③ 통장·카드'!$A$5:$A$11,0)),"③ 통장·카드에 없는 결제수단입니다",IF($D272="","계정과목을 고르십시오",IF($E272="※없는 과목","④ 설정에 없는 과목입니다",IF(AND($E272="수입",$J272&gt;0),"수입 과목인데 지출에 적혔습니다",IF(AND(LEFT($E272,2)&lt;&gt;"수입",$E272&lt;&gt;"대체",$I272&gt;0),"지출 과목인데 수입에 적혔습니다",IF($K272="","증빙을 고르십시오",IF(AND($C272="바우처통장",$J272&gt;0,IFERROR(INDEX('통합 ④ 설정'!$E$6:$E$40,MATCH($D272,'통합 ④ 설정'!$B$6:$B$40,0)),"")&lt;&gt;"○"),"바우처통장 지출 — 목적 확인",IF($H272="","적요를 적으십시오",""))))))))))))</f>
        <v/>
      </c>
      <c r="M272" s="39"/>
      <c r="O272" s="11" t="str">
        <f aca="false">IF($B272="","",YEAR($B272)*100+MONTH($B272))</f>
        <v/>
      </c>
      <c r="P272" s="11" t="str">
        <f aca="false">IF($B272="","",IF($E272="대체",0,1))</f>
        <v/>
      </c>
    </row>
    <row r="273" customFormat="false" ht="15" hidden="false" customHeight="false" outlineLevel="0" collapsed="false">
      <c r="A273" s="36" t="str">
        <f aca="false">IF($B273="","",COUNT($B$15:$B273))</f>
        <v/>
      </c>
      <c r="B273" s="37"/>
      <c r="C273" s="38"/>
      <c r="D273" s="39"/>
      <c r="E273" s="36" t="str">
        <f aca="false">IF($D273="","",IFERROR(INDEX('통합 ④ 설정'!$A$6:$A$40,MATCH($D273,'통합 ④ 설정'!$B$6:$B$40,0)),"※없는 과목"))</f>
        <v/>
      </c>
      <c r="F273" s="36" t="str">
        <f aca="false">IF($D273="","",IFERROR(INDEX('통합 ④ 설정'!$C$6:$C$40,MATCH($D273,'통합 ④ 설정'!$B$6:$B$40,0)),""))</f>
        <v/>
      </c>
      <c r="G273" s="39"/>
      <c r="H273" s="39"/>
      <c r="I273" s="40"/>
      <c r="J273" s="41"/>
      <c r="K273" s="38"/>
      <c r="L273" s="42" t="str">
        <f aca="false">IF($B273="","",IF(AND(N($I273)=0,N($J273)=0),"금액이 없습니다",IF(AND($I273&gt;0,$J273&gt;0),"수입·지출 둘 다 적혔습니다",IF($C273="","결제수단을 고르십시오",IF(ISNA(MATCH($C273,'통합 ③ 통장·카드'!$A$5:$A$11,0)),"③ 통장·카드에 없는 결제수단입니다",IF($D273="","계정과목을 고르십시오",IF($E273="※없는 과목","④ 설정에 없는 과목입니다",IF(AND($E273="수입",$J273&gt;0),"수입 과목인데 지출에 적혔습니다",IF(AND(LEFT($E273,2)&lt;&gt;"수입",$E273&lt;&gt;"대체",$I273&gt;0),"지출 과목인데 수입에 적혔습니다",IF($K273="","증빙을 고르십시오",IF(AND($C273="바우처통장",$J273&gt;0,IFERROR(INDEX('통합 ④ 설정'!$E$6:$E$40,MATCH($D273,'통합 ④ 설정'!$B$6:$B$40,0)),"")&lt;&gt;"○"),"바우처통장 지출 — 목적 확인",IF($H273="","적요를 적으십시오",""))))))))))))</f>
        <v/>
      </c>
      <c r="M273" s="39"/>
      <c r="O273" s="11" t="str">
        <f aca="false">IF($B273="","",YEAR($B273)*100+MONTH($B273))</f>
        <v/>
      </c>
      <c r="P273" s="11" t="str">
        <f aca="false">IF($B273="","",IF($E273="대체",0,1))</f>
        <v/>
      </c>
    </row>
    <row r="274" customFormat="false" ht="15" hidden="false" customHeight="false" outlineLevel="0" collapsed="false">
      <c r="A274" s="36" t="str">
        <f aca="false">IF($B274="","",COUNT($B$15:$B274))</f>
        <v/>
      </c>
      <c r="B274" s="37"/>
      <c r="C274" s="38"/>
      <c r="D274" s="39"/>
      <c r="E274" s="36" t="str">
        <f aca="false">IF($D274="","",IFERROR(INDEX('통합 ④ 설정'!$A$6:$A$40,MATCH($D274,'통합 ④ 설정'!$B$6:$B$40,0)),"※없는 과목"))</f>
        <v/>
      </c>
      <c r="F274" s="36" t="str">
        <f aca="false">IF($D274="","",IFERROR(INDEX('통합 ④ 설정'!$C$6:$C$40,MATCH($D274,'통합 ④ 설정'!$B$6:$B$40,0)),""))</f>
        <v/>
      </c>
      <c r="G274" s="39"/>
      <c r="H274" s="39"/>
      <c r="I274" s="40"/>
      <c r="J274" s="41"/>
      <c r="K274" s="38"/>
      <c r="L274" s="42" t="str">
        <f aca="false">IF($B274="","",IF(AND(N($I274)=0,N($J274)=0),"금액이 없습니다",IF(AND($I274&gt;0,$J274&gt;0),"수입·지출 둘 다 적혔습니다",IF($C274="","결제수단을 고르십시오",IF(ISNA(MATCH($C274,'통합 ③ 통장·카드'!$A$5:$A$11,0)),"③ 통장·카드에 없는 결제수단입니다",IF($D274="","계정과목을 고르십시오",IF($E274="※없는 과목","④ 설정에 없는 과목입니다",IF(AND($E274="수입",$J274&gt;0),"수입 과목인데 지출에 적혔습니다",IF(AND(LEFT($E274,2)&lt;&gt;"수입",$E274&lt;&gt;"대체",$I274&gt;0),"지출 과목인데 수입에 적혔습니다",IF($K274="","증빙을 고르십시오",IF(AND($C274="바우처통장",$J274&gt;0,IFERROR(INDEX('통합 ④ 설정'!$E$6:$E$40,MATCH($D274,'통합 ④ 설정'!$B$6:$B$40,0)),"")&lt;&gt;"○"),"바우처통장 지출 — 목적 확인",IF($H274="","적요를 적으십시오",""))))))))))))</f>
        <v/>
      </c>
      <c r="M274" s="39"/>
      <c r="O274" s="11" t="str">
        <f aca="false">IF($B274="","",YEAR($B274)*100+MONTH($B274))</f>
        <v/>
      </c>
      <c r="P274" s="11" t="str">
        <f aca="false">IF($B274="","",IF($E274="대체",0,1))</f>
        <v/>
      </c>
    </row>
    <row r="275" customFormat="false" ht="15" hidden="false" customHeight="false" outlineLevel="0" collapsed="false">
      <c r="A275" s="36" t="str">
        <f aca="false">IF($B275="","",COUNT($B$15:$B275))</f>
        <v/>
      </c>
      <c r="B275" s="37"/>
      <c r="C275" s="38"/>
      <c r="D275" s="39"/>
      <c r="E275" s="36" t="str">
        <f aca="false">IF($D275="","",IFERROR(INDEX('통합 ④ 설정'!$A$6:$A$40,MATCH($D275,'통합 ④ 설정'!$B$6:$B$40,0)),"※없는 과목"))</f>
        <v/>
      </c>
      <c r="F275" s="36" t="str">
        <f aca="false">IF($D275="","",IFERROR(INDEX('통합 ④ 설정'!$C$6:$C$40,MATCH($D275,'통합 ④ 설정'!$B$6:$B$40,0)),""))</f>
        <v/>
      </c>
      <c r="G275" s="39"/>
      <c r="H275" s="39"/>
      <c r="I275" s="40"/>
      <c r="J275" s="41"/>
      <c r="K275" s="38"/>
      <c r="L275" s="42" t="str">
        <f aca="false">IF($B275="","",IF(AND(N($I275)=0,N($J275)=0),"금액이 없습니다",IF(AND($I275&gt;0,$J275&gt;0),"수입·지출 둘 다 적혔습니다",IF($C275="","결제수단을 고르십시오",IF(ISNA(MATCH($C275,'통합 ③ 통장·카드'!$A$5:$A$11,0)),"③ 통장·카드에 없는 결제수단입니다",IF($D275="","계정과목을 고르십시오",IF($E275="※없는 과목","④ 설정에 없는 과목입니다",IF(AND($E275="수입",$J275&gt;0),"수입 과목인데 지출에 적혔습니다",IF(AND(LEFT($E275,2)&lt;&gt;"수입",$E275&lt;&gt;"대체",$I275&gt;0),"지출 과목인데 수입에 적혔습니다",IF($K275="","증빙을 고르십시오",IF(AND($C275="바우처통장",$J275&gt;0,IFERROR(INDEX('통합 ④ 설정'!$E$6:$E$40,MATCH($D275,'통합 ④ 설정'!$B$6:$B$40,0)),"")&lt;&gt;"○"),"바우처통장 지출 — 목적 확인",IF($H275="","적요를 적으십시오",""))))))))))))</f>
        <v/>
      </c>
      <c r="M275" s="39"/>
      <c r="O275" s="11" t="str">
        <f aca="false">IF($B275="","",YEAR($B275)*100+MONTH($B275))</f>
        <v/>
      </c>
      <c r="P275" s="11" t="str">
        <f aca="false">IF($B275="","",IF($E275="대체",0,1))</f>
        <v/>
      </c>
    </row>
    <row r="276" customFormat="false" ht="15" hidden="false" customHeight="false" outlineLevel="0" collapsed="false">
      <c r="A276" s="36" t="str">
        <f aca="false">IF($B276="","",COUNT($B$15:$B276))</f>
        <v/>
      </c>
      <c r="B276" s="37"/>
      <c r="C276" s="38"/>
      <c r="D276" s="39"/>
      <c r="E276" s="36" t="str">
        <f aca="false">IF($D276="","",IFERROR(INDEX('통합 ④ 설정'!$A$6:$A$40,MATCH($D276,'통합 ④ 설정'!$B$6:$B$40,0)),"※없는 과목"))</f>
        <v/>
      </c>
      <c r="F276" s="36" t="str">
        <f aca="false">IF($D276="","",IFERROR(INDEX('통합 ④ 설정'!$C$6:$C$40,MATCH($D276,'통합 ④ 설정'!$B$6:$B$40,0)),""))</f>
        <v/>
      </c>
      <c r="G276" s="39"/>
      <c r="H276" s="39"/>
      <c r="I276" s="40"/>
      <c r="J276" s="41"/>
      <c r="K276" s="38"/>
      <c r="L276" s="42" t="str">
        <f aca="false">IF($B276="","",IF(AND(N($I276)=0,N($J276)=0),"금액이 없습니다",IF(AND($I276&gt;0,$J276&gt;0),"수입·지출 둘 다 적혔습니다",IF($C276="","결제수단을 고르십시오",IF(ISNA(MATCH($C276,'통합 ③ 통장·카드'!$A$5:$A$11,0)),"③ 통장·카드에 없는 결제수단입니다",IF($D276="","계정과목을 고르십시오",IF($E276="※없는 과목","④ 설정에 없는 과목입니다",IF(AND($E276="수입",$J276&gt;0),"수입 과목인데 지출에 적혔습니다",IF(AND(LEFT($E276,2)&lt;&gt;"수입",$E276&lt;&gt;"대체",$I276&gt;0),"지출 과목인데 수입에 적혔습니다",IF($K276="","증빙을 고르십시오",IF(AND($C276="바우처통장",$J276&gt;0,IFERROR(INDEX('통합 ④ 설정'!$E$6:$E$40,MATCH($D276,'통합 ④ 설정'!$B$6:$B$40,0)),"")&lt;&gt;"○"),"바우처통장 지출 — 목적 확인",IF($H276="","적요를 적으십시오",""))))))))))))</f>
        <v/>
      </c>
      <c r="M276" s="39"/>
      <c r="O276" s="11" t="str">
        <f aca="false">IF($B276="","",YEAR($B276)*100+MONTH($B276))</f>
        <v/>
      </c>
      <c r="P276" s="11" t="str">
        <f aca="false">IF($B276="","",IF($E276="대체",0,1))</f>
        <v/>
      </c>
    </row>
    <row r="277" customFormat="false" ht="15" hidden="false" customHeight="false" outlineLevel="0" collapsed="false">
      <c r="A277" s="36" t="str">
        <f aca="false">IF($B277="","",COUNT($B$15:$B277))</f>
        <v/>
      </c>
      <c r="B277" s="37"/>
      <c r="C277" s="38"/>
      <c r="D277" s="39"/>
      <c r="E277" s="36" t="str">
        <f aca="false">IF($D277="","",IFERROR(INDEX('통합 ④ 설정'!$A$6:$A$40,MATCH($D277,'통합 ④ 설정'!$B$6:$B$40,0)),"※없는 과목"))</f>
        <v/>
      </c>
      <c r="F277" s="36" t="str">
        <f aca="false">IF($D277="","",IFERROR(INDEX('통합 ④ 설정'!$C$6:$C$40,MATCH($D277,'통합 ④ 설정'!$B$6:$B$40,0)),""))</f>
        <v/>
      </c>
      <c r="G277" s="39"/>
      <c r="H277" s="39"/>
      <c r="I277" s="40"/>
      <c r="J277" s="41"/>
      <c r="K277" s="38"/>
      <c r="L277" s="42" t="str">
        <f aca="false">IF($B277="","",IF(AND(N($I277)=0,N($J277)=0),"금액이 없습니다",IF(AND($I277&gt;0,$J277&gt;0),"수입·지출 둘 다 적혔습니다",IF($C277="","결제수단을 고르십시오",IF(ISNA(MATCH($C277,'통합 ③ 통장·카드'!$A$5:$A$11,0)),"③ 통장·카드에 없는 결제수단입니다",IF($D277="","계정과목을 고르십시오",IF($E277="※없는 과목","④ 설정에 없는 과목입니다",IF(AND($E277="수입",$J277&gt;0),"수입 과목인데 지출에 적혔습니다",IF(AND(LEFT($E277,2)&lt;&gt;"수입",$E277&lt;&gt;"대체",$I277&gt;0),"지출 과목인데 수입에 적혔습니다",IF($K277="","증빙을 고르십시오",IF(AND($C277="바우처통장",$J277&gt;0,IFERROR(INDEX('통합 ④ 설정'!$E$6:$E$40,MATCH($D277,'통합 ④ 설정'!$B$6:$B$40,0)),"")&lt;&gt;"○"),"바우처통장 지출 — 목적 확인",IF($H277="","적요를 적으십시오",""))))))))))))</f>
        <v/>
      </c>
      <c r="M277" s="39"/>
      <c r="O277" s="11" t="str">
        <f aca="false">IF($B277="","",YEAR($B277)*100+MONTH($B277))</f>
        <v/>
      </c>
      <c r="P277" s="11" t="str">
        <f aca="false">IF($B277="","",IF($E277="대체",0,1))</f>
        <v/>
      </c>
    </row>
    <row r="278" customFormat="false" ht="15" hidden="false" customHeight="false" outlineLevel="0" collapsed="false">
      <c r="A278" s="36" t="str">
        <f aca="false">IF($B278="","",COUNT($B$15:$B278))</f>
        <v/>
      </c>
      <c r="B278" s="37"/>
      <c r="C278" s="38"/>
      <c r="D278" s="39"/>
      <c r="E278" s="36" t="str">
        <f aca="false">IF($D278="","",IFERROR(INDEX('통합 ④ 설정'!$A$6:$A$40,MATCH($D278,'통합 ④ 설정'!$B$6:$B$40,0)),"※없는 과목"))</f>
        <v/>
      </c>
      <c r="F278" s="36" t="str">
        <f aca="false">IF($D278="","",IFERROR(INDEX('통합 ④ 설정'!$C$6:$C$40,MATCH($D278,'통합 ④ 설정'!$B$6:$B$40,0)),""))</f>
        <v/>
      </c>
      <c r="G278" s="39"/>
      <c r="H278" s="39"/>
      <c r="I278" s="40"/>
      <c r="J278" s="41"/>
      <c r="K278" s="38"/>
      <c r="L278" s="42" t="str">
        <f aca="false">IF($B278="","",IF(AND(N($I278)=0,N($J278)=0),"금액이 없습니다",IF(AND($I278&gt;0,$J278&gt;0),"수입·지출 둘 다 적혔습니다",IF($C278="","결제수단을 고르십시오",IF(ISNA(MATCH($C278,'통합 ③ 통장·카드'!$A$5:$A$11,0)),"③ 통장·카드에 없는 결제수단입니다",IF($D278="","계정과목을 고르십시오",IF($E278="※없는 과목","④ 설정에 없는 과목입니다",IF(AND($E278="수입",$J278&gt;0),"수입 과목인데 지출에 적혔습니다",IF(AND(LEFT($E278,2)&lt;&gt;"수입",$E278&lt;&gt;"대체",$I278&gt;0),"지출 과목인데 수입에 적혔습니다",IF($K278="","증빙을 고르십시오",IF(AND($C278="바우처통장",$J278&gt;0,IFERROR(INDEX('통합 ④ 설정'!$E$6:$E$40,MATCH($D278,'통합 ④ 설정'!$B$6:$B$40,0)),"")&lt;&gt;"○"),"바우처통장 지출 — 목적 확인",IF($H278="","적요를 적으십시오",""))))))))))))</f>
        <v/>
      </c>
      <c r="M278" s="39"/>
      <c r="O278" s="11" t="str">
        <f aca="false">IF($B278="","",YEAR($B278)*100+MONTH($B278))</f>
        <v/>
      </c>
      <c r="P278" s="11" t="str">
        <f aca="false">IF($B278="","",IF($E278="대체",0,1))</f>
        <v/>
      </c>
    </row>
    <row r="279" customFormat="false" ht="15" hidden="false" customHeight="false" outlineLevel="0" collapsed="false">
      <c r="A279" s="36" t="str">
        <f aca="false">IF($B279="","",COUNT($B$15:$B279))</f>
        <v/>
      </c>
      <c r="B279" s="37"/>
      <c r="C279" s="38"/>
      <c r="D279" s="39"/>
      <c r="E279" s="36" t="str">
        <f aca="false">IF($D279="","",IFERROR(INDEX('통합 ④ 설정'!$A$6:$A$40,MATCH($D279,'통합 ④ 설정'!$B$6:$B$40,0)),"※없는 과목"))</f>
        <v/>
      </c>
      <c r="F279" s="36" t="str">
        <f aca="false">IF($D279="","",IFERROR(INDEX('통합 ④ 설정'!$C$6:$C$40,MATCH($D279,'통합 ④ 설정'!$B$6:$B$40,0)),""))</f>
        <v/>
      </c>
      <c r="G279" s="39"/>
      <c r="H279" s="39"/>
      <c r="I279" s="40"/>
      <c r="J279" s="41"/>
      <c r="K279" s="38"/>
      <c r="L279" s="42" t="str">
        <f aca="false">IF($B279="","",IF(AND(N($I279)=0,N($J279)=0),"금액이 없습니다",IF(AND($I279&gt;0,$J279&gt;0),"수입·지출 둘 다 적혔습니다",IF($C279="","결제수단을 고르십시오",IF(ISNA(MATCH($C279,'통합 ③ 통장·카드'!$A$5:$A$11,0)),"③ 통장·카드에 없는 결제수단입니다",IF($D279="","계정과목을 고르십시오",IF($E279="※없는 과목","④ 설정에 없는 과목입니다",IF(AND($E279="수입",$J279&gt;0),"수입 과목인데 지출에 적혔습니다",IF(AND(LEFT($E279,2)&lt;&gt;"수입",$E279&lt;&gt;"대체",$I279&gt;0),"지출 과목인데 수입에 적혔습니다",IF($K279="","증빙을 고르십시오",IF(AND($C279="바우처통장",$J279&gt;0,IFERROR(INDEX('통합 ④ 설정'!$E$6:$E$40,MATCH($D279,'통합 ④ 설정'!$B$6:$B$40,0)),"")&lt;&gt;"○"),"바우처통장 지출 — 목적 확인",IF($H279="","적요를 적으십시오",""))))))))))))</f>
        <v/>
      </c>
      <c r="M279" s="39"/>
      <c r="O279" s="11" t="str">
        <f aca="false">IF($B279="","",YEAR($B279)*100+MONTH($B279))</f>
        <v/>
      </c>
      <c r="P279" s="11" t="str">
        <f aca="false">IF($B279="","",IF($E279="대체",0,1))</f>
        <v/>
      </c>
    </row>
    <row r="280" customFormat="false" ht="15" hidden="false" customHeight="false" outlineLevel="0" collapsed="false">
      <c r="A280" s="36" t="str">
        <f aca="false">IF($B280="","",COUNT($B$15:$B280))</f>
        <v/>
      </c>
      <c r="B280" s="37"/>
      <c r="C280" s="38"/>
      <c r="D280" s="39"/>
      <c r="E280" s="36" t="str">
        <f aca="false">IF($D280="","",IFERROR(INDEX('통합 ④ 설정'!$A$6:$A$40,MATCH($D280,'통합 ④ 설정'!$B$6:$B$40,0)),"※없는 과목"))</f>
        <v/>
      </c>
      <c r="F280" s="36" t="str">
        <f aca="false">IF($D280="","",IFERROR(INDEX('통합 ④ 설정'!$C$6:$C$40,MATCH($D280,'통합 ④ 설정'!$B$6:$B$40,0)),""))</f>
        <v/>
      </c>
      <c r="G280" s="39"/>
      <c r="H280" s="39"/>
      <c r="I280" s="40"/>
      <c r="J280" s="41"/>
      <c r="K280" s="38"/>
      <c r="L280" s="42" t="str">
        <f aca="false">IF($B280="","",IF(AND(N($I280)=0,N($J280)=0),"금액이 없습니다",IF(AND($I280&gt;0,$J280&gt;0),"수입·지출 둘 다 적혔습니다",IF($C280="","결제수단을 고르십시오",IF(ISNA(MATCH($C280,'통합 ③ 통장·카드'!$A$5:$A$11,0)),"③ 통장·카드에 없는 결제수단입니다",IF($D280="","계정과목을 고르십시오",IF($E280="※없는 과목","④ 설정에 없는 과목입니다",IF(AND($E280="수입",$J280&gt;0),"수입 과목인데 지출에 적혔습니다",IF(AND(LEFT($E280,2)&lt;&gt;"수입",$E280&lt;&gt;"대체",$I280&gt;0),"지출 과목인데 수입에 적혔습니다",IF($K280="","증빙을 고르십시오",IF(AND($C280="바우처통장",$J280&gt;0,IFERROR(INDEX('통합 ④ 설정'!$E$6:$E$40,MATCH($D280,'통합 ④ 설정'!$B$6:$B$40,0)),"")&lt;&gt;"○"),"바우처통장 지출 — 목적 확인",IF($H280="","적요를 적으십시오",""))))))))))))</f>
        <v/>
      </c>
      <c r="M280" s="39"/>
      <c r="O280" s="11" t="str">
        <f aca="false">IF($B280="","",YEAR($B280)*100+MONTH($B280))</f>
        <v/>
      </c>
      <c r="P280" s="11" t="str">
        <f aca="false">IF($B280="","",IF($E280="대체",0,1))</f>
        <v/>
      </c>
    </row>
    <row r="281" customFormat="false" ht="15" hidden="false" customHeight="false" outlineLevel="0" collapsed="false">
      <c r="A281" s="36" t="str">
        <f aca="false">IF($B281="","",COUNT($B$15:$B281))</f>
        <v/>
      </c>
      <c r="B281" s="37"/>
      <c r="C281" s="38"/>
      <c r="D281" s="39"/>
      <c r="E281" s="36" t="str">
        <f aca="false">IF($D281="","",IFERROR(INDEX('통합 ④ 설정'!$A$6:$A$40,MATCH($D281,'통합 ④ 설정'!$B$6:$B$40,0)),"※없는 과목"))</f>
        <v/>
      </c>
      <c r="F281" s="36" t="str">
        <f aca="false">IF($D281="","",IFERROR(INDEX('통합 ④ 설정'!$C$6:$C$40,MATCH($D281,'통합 ④ 설정'!$B$6:$B$40,0)),""))</f>
        <v/>
      </c>
      <c r="G281" s="39"/>
      <c r="H281" s="39"/>
      <c r="I281" s="40"/>
      <c r="J281" s="41"/>
      <c r="K281" s="38"/>
      <c r="L281" s="42" t="str">
        <f aca="false">IF($B281="","",IF(AND(N($I281)=0,N($J281)=0),"금액이 없습니다",IF(AND($I281&gt;0,$J281&gt;0),"수입·지출 둘 다 적혔습니다",IF($C281="","결제수단을 고르십시오",IF(ISNA(MATCH($C281,'통합 ③ 통장·카드'!$A$5:$A$11,0)),"③ 통장·카드에 없는 결제수단입니다",IF($D281="","계정과목을 고르십시오",IF($E281="※없는 과목","④ 설정에 없는 과목입니다",IF(AND($E281="수입",$J281&gt;0),"수입 과목인데 지출에 적혔습니다",IF(AND(LEFT($E281,2)&lt;&gt;"수입",$E281&lt;&gt;"대체",$I281&gt;0),"지출 과목인데 수입에 적혔습니다",IF($K281="","증빙을 고르십시오",IF(AND($C281="바우처통장",$J281&gt;0,IFERROR(INDEX('통합 ④ 설정'!$E$6:$E$40,MATCH($D281,'통합 ④ 설정'!$B$6:$B$40,0)),"")&lt;&gt;"○"),"바우처통장 지출 — 목적 확인",IF($H281="","적요를 적으십시오",""))))))))))))</f>
        <v/>
      </c>
      <c r="M281" s="39"/>
      <c r="O281" s="11" t="str">
        <f aca="false">IF($B281="","",YEAR($B281)*100+MONTH($B281))</f>
        <v/>
      </c>
      <c r="P281" s="11" t="str">
        <f aca="false">IF($B281="","",IF($E281="대체",0,1))</f>
        <v/>
      </c>
    </row>
    <row r="282" customFormat="false" ht="15" hidden="false" customHeight="false" outlineLevel="0" collapsed="false">
      <c r="A282" s="36" t="str">
        <f aca="false">IF($B282="","",COUNT($B$15:$B282))</f>
        <v/>
      </c>
      <c r="B282" s="37"/>
      <c r="C282" s="38"/>
      <c r="D282" s="39"/>
      <c r="E282" s="36" t="str">
        <f aca="false">IF($D282="","",IFERROR(INDEX('통합 ④ 설정'!$A$6:$A$40,MATCH($D282,'통합 ④ 설정'!$B$6:$B$40,0)),"※없는 과목"))</f>
        <v/>
      </c>
      <c r="F282" s="36" t="str">
        <f aca="false">IF($D282="","",IFERROR(INDEX('통합 ④ 설정'!$C$6:$C$40,MATCH($D282,'통합 ④ 설정'!$B$6:$B$40,0)),""))</f>
        <v/>
      </c>
      <c r="G282" s="39"/>
      <c r="H282" s="39"/>
      <c r="I282" s="40"/>
      <c r="J282" s="41"/>
      <c r="K282" s="38"/>
      <c r="L282" s="42" t="str">
        <f aca="false">IF($B282="","",IF(AND(N($I282)=0,N($J282)=0),"금액이 없습니다",IF(AND($I282&gt;0,$J282&gt;0),"수입·지출 둘 다 적혔습니다",IF($C282="","결제수단을 고르십시오",IF(ISNA(MATCH($C282,'통합 ③ 통장·카드'!$A$5:$A$11,0)),"③ 통장·카드에 없는 결제수단입니다",IF($D282="","계정과목을 고르십시오",IF($E282="※없는 과목","④ 설정에 없는 과목입니다",IF(AND($E282="수입",$J282&gt;0),"수입 과목인데 지출에 적혔습니다",IF(AND(LEFT($E282,2)&lt;&gt;"수입",$E282&lt;&gt;"대체",$I282&gt;0),"지출 과목인데 수입에 적혔습니다",IF($K282="","증빙을 고르십시오",IF(AND($C282="바우처통장",$J282&gt;0,IFERROR(INDEX('통합 ④ 설정'!$E$6:$E$40,MATCH($D282,'통합 ④ 설정'!$B$6:$B$40,0)),"")&lt;&gt;"○"),"바우처통장 지출 — 목적 확인",IF($H282="","적요를 적으십시오",""))))))))))))</f>
        <v/>
      </c>
      <c r="M282" s="39"/>
      <c r="O282" s="11" t="str">
        <f aca="false">IF($B282="","",YEAR($B282)*100+MONTH($B282))</f>
        <v/>
      </c>
      <c r="P282" s="11" t="str">
        <f aca="false">IF($B282="","",IF($E282="대체",0,1))</f>
        <v/>
      </c>
    </row>
    <row r="283" customFormat="false" ht="15" hidden="false" customHeight="false" outlineLevel="0" collapsed="false">
      <c r="A283" s="36" t="str">
        <f aca="false">IF($B283="","",COUNT($B$15:$B283))</f>
        <v/>
      </c>
      <c r="B283" s="37"/>
      <c r="C283" s="38"/>
      <c r="D283" s="39"/>
      <c r="E283" s="36" t="str">
        <f aca="false">IF($D283="","",IFERROR(INDEX('통합 ④ 설정'!$A$6:$A$40,MATCH($D283,'통합 ④ 설정'!$B$6:$B$40,0)),"※없는 과목"))</f>
        <v/>
      </c>
      <c r="F283" s="36" t="str">
        <f aca="false">IF($D283="","",IFERROR(INDEX('통합 ④ 설정'!$C$6:$C$40,MATCH($D283,'통합 ④ 설정'!$B$6:$B$40,0)),""))</f>
        <v/>
      </c>
      <c r="G283" s="39"/>
      <c r="H283" s="39"/>
      <c r="I283" s="40"/>
      <c r="J283" s="41"/>
      <c r="K283" s="38"/>
      <c r="L283" s="42" t="str">
        <f aca="false">IF($B283="","",IF(AND(N($I283)=0,N($J283)=0),"금액이 없습니다",IF(AND($I283&gt;0,$J283&gt;0),"수입·지출 둘 다 적혔습니다",IF($C283="","결제수단을 고르십시오",IF(ISNA(MATCH($C283,'통합 ③ 통장·카드'!$A$5:$A$11,0)),"③ 통장·카드에 없는 결제수단입니다",IF($D283="","계정과목을 고르십시오",IF($E283="※없는 과목","④ 설정에 없는 과목입니다",IF(AND($E283="수입",$J283&gt;0),"수입 과목인데 지출에 적혔습니다",IF(AND(LEFT($E283,2)&lt;&gt;"수입",$E283&lt;&gt;"대체",$I283&gt;0),"지출 과목인데 수입에 적혔습니다",IF($K283="","증빙을 고르십시오",IF(AND($C283="바우처통장",$J283&gt;0,IFERROR(INDEX('통합 ④ 설정'!$E$6:$E$40,MATCH($D283,'통합 ④ 설정'!$B$6:$B$40,0)),"")&lt;&gt;"○"),"바우처통장 지출 — 목적 확인",IF($H283="","적요를 적으십시오",""))))))))))))</f>
        <v/>
      </c>
      <c r="M283" s="39"/>
      <c r="O283" s="11" t="str">
        <f aca="false">IF($B283="","",YEAR($B283)*100+MONTH($B283))</f>
        <v/>
      </c>
      <c r="P283" s="11" t="str">
        <f aca="false">IF($B283="","",IF($E283="대체",0,1))</f>
        <v/>
      </c>
    </row>
    <row r="284" customFormat="false" ht="15" hidden="false" customHeight="false" outlineLevel="0" collapsed="false">
      <c r="A284" s="36" t="str">
        <f aca="false">IF($B284="","",COUNT($B$15:$B284))</f>
        <v/>
      </c>
      <c r="B284" s="37"/>
      <c r="C284" s="38"/>
      <c r="D284" s="39"/>
      <c r="E284" s="36" t="str">
        <f aca="false">IF($D284="","",IFERROR(INDEX('통합 ④ 설정'!$A$6:$A$40,MATCH($D284,'통합 ④ 설정'!$B$6:$B$40,0)),"※없는 과목"))</f>
        <v/>
      </c>
      <c r="F284" s="36" t="str">
        <f aca="false">IF($D284="","",IFERROR(INDEX('통합 ④ 설정'!$C$6:$C$40,MATCH($D284,'통합 ④ 설정'!$B$6:$B$40,0)),""))</f>
        <v/>
      </c>
      <c r="G284" s="39"/>
      <c r="H284" s="39"/>
      <c r="I284" s="40"/>
      <c r="J284" s="41"/>
      <c r="K284" s="38"/>
      <c r="L284" s="42" t="str">
        <f aca="false">IF($B284="","",IF(AND(N($I284)=0,N($J284)=0),"금액이 없습니다",IF(AND($I284&gt;0,$J284&gt;0),"수입·지출 둘 다 적혔습니다",IF($C284="","결제수단을 고르십시오",IF(ISNA(MATCH($C284,'통합 ③ 통장·카드'!$A$5:$A$11,0)),"③ 통장·카드에 없는 결제수단입니다",IF($D284="","계정과목을 고르십시오",IF($E284="※없는 과목","④ 설정에 없는 과목입니다",IF(AND($E284="수입",$J284&gt;0),"수입 과목인데 지출에 적혔습니다",IF(AND(LEFT($E284,2)&lt;&gt;"수입",$E284&lt;&gt;"대체",$I284&gt;0),"지출 과목인데 수입에 적혔습니다",IF($K284="","증빙을 고르십시오",IF(AND($C284="바우처통장",$J284&gt;0,IFERROR(INDEX('통합 ④ 설정'!$E$6:$E$40,MATCH($D284,'통합 ④ 설정'!$B$6:$B$40,0)),"")&lt;&gt;"○"),"바우처통장 지출 — 목적 확인",IF($H284="","적요를 적으십시오",""))))))))))))</f>
        <v/>
      </c>
      <c r="M284" s="39"/>
      <c r="O284" s="11" t="str">
        <f aca="false">IF($B284="","",YEAR($B284)*100+MONTH($B284))</f>
        <v/>
      </c>
      <c r="P284" s="11" t="str">
        <f aca="false">IF($B284="","",IF($E284="대체",0,1))</f>
        <v/>
      </c>
    </row>
    <row r="285" customFormat="false" ht="15" hidden="false" customHeight="false" outlineLevel="0" collapsed="false">
      <c r="A285" s="36" t="str">
        <f aca="false">IF($B285="","",COUNT($B$15:$B285))</f>
        <v/>
      </c>
      <c r="B285" s="37"/>
      <c r="C285" s="38"/>
      <c r="D285" s="39"/>
      <c r="E285" s="36" t="str">
        <f aca="false">IF($D285="","",IFERROR(INDEX('통합 ④ 설정'!$A$6:$A$40,MATCH($D285,'통합 ④ 설정'!$B$6:$B$40,0)),"※없는 과목"))</f>
        <v/>
      </c>
      <c r="F285" s="36" t="str">
        <f aca="false">IF($D285="","",IFERROR(INDEX('통합 ④ 설정'!$C$6:$C$40,MATCH($D285,'통합 ④ 설정'!$B$6:$B$40,0)),""))</f>
        <v/>
      </c>
      <c r="G285" s="39"/>
      <c r="H285" s="39"/>
      <c r="I285" s="40"/>
      <c r="J285" s="41"/>
      <c r="K285" s="38"/>
      <c r="L285" s="42" t="str">
        <f aca="false">IF($B285="","",IF(AND(N($I285)=0,N($J285)=0),"금액이 없습니다",IF(AND($I285&gt;0,$J285&gt;0),"수입·지출 둘 다 적혔습니다",IF($C285="","결제수단을 고르십시오",IF(ISNA(MATCH($C285,'통합 ③ 통장·카드'!$A$5:$A$11,0)),"③ 통장·카드에 없는 결제수단입니다",IF($D285="","계정과목을 고르십시오",IF($E285="※없는 과목","④ 설정에 없는 과목입니다",IF(AND($E285="수입",$J285&gt;0),"수입 과목인데 지출에 적혔습니다",IF(AND(LEFT($E285,2)&lt;&gt;"수입",$E285&lt;&gt;"대체",$I285&gt;0),"지출 과목인데 수입에 적혔습니다",IF($K285="","증빙을 고르십시오",IF(AND($C285="바우처통장",$J285&gt;0,IFERROR(INDEX('통합 ④ 설정'!$E$6:$E$40,MATCH($D285,'통합 ④ 설정'!$B$6:$B$40,0)),"")&lt;&gt;"○"),"바우처통장 지출 — 목적 확인",IF($H285="","적요를 적으십시오",""))))))))))))</f>
        <v/>
      </c>
      <c r="M285" s="39"/>
      <c r="O285" s="11" t="str">
        <f aca="false">IF($B285="","",YEAR($B285)*100+MONTH($B285))</f>
        <v/>
      </c>
      <c r="P285" s="11" t="str">
        <f aca="false">IF($B285="","",IF($E285="대체",0,1))</f>
        <v/>
      </c>
    </row>
    <row r="286" customFormat="false" ht="15" hidden="false" customHeight="false" outlineLevel="0" collapsed="false">
      <c r="A286" s="36" t="str">
        <f aca="false">IF($B286="","",COUNT($B$15:$B286))</f>
        <v/>
      </c>
      <c r="B286" s="37"/>
      <c r="C286" s="38"/>
      <c r="D286" s="39"/>
      <c r="E286" s="36" t="str">
        <f aca="false">IF($D286="","",IFERROR(INDEX('통합 ④ 설정'!$A$6:$A$40,MATCH($D286,'통합 ④ 설정'!$B$6:$B$40,0)),"※없는 과목"))</f>
        <v/>
      </c>
      <c r="F286" s="36" t="str">
        <f aca="false">IF($D286="","",IFERROR(INDEX('통합 ④ 설정'!$C$6:$C$40,MATCH($D286,'통합 ④ 설정'!$B$6:$B$40,0)),""))</f>
        <v/>
      </c>
      <c r="G286" s="39"/>
      <c r="H286" s="39"/>
      <c r="I286" s="40"/>
      <c r="J286" s="41"/>
      <c r="K286" s="38"/>
      <c r="L286" s="42" t="str">
        <f aca="false">IF($B286="","",IF(AND(N($I286)=0,N($J286)=0),"금액이 없습니다",IF(AND($I286&gt;0,$J286&gt;0),"수입·지출 둘 다 적혔습니다",IF($C286="","결제수단을 고르십시오",IF(ISNA(MATCH($C286,'통합 ③ 통장·카드'!$A$5:$A$11,0)),"③ 통장·카드에 없는 결제수단입니다",IF($D286="","계정과목을 고르십시오",IF($E286="※없는 과목","④ 설정에 없는 과목입니다",IF(AND($E286="수입",$J286&gt;0),"수입 과목인데 지출에 적혔습니다",IF(AND(LEFT($E286,2)&lt;&gt;"수입",$E286&lt;&gt;"대체",$I286&gt;0),"지출 과목인데 수입에 적혔습니다",IF($K286="","증빙을 고르십시오",IF(AND($C286="바우처통장",$J286&gt;0,IFERROR(INDEX('통합 ④ 설정'!$E$6:$E$40,MATCH($D286,'통합 ④ 설정'!$B$6:$B$40,0)),"")&lt;&gt;"○"),"바우처통장 지출 — 목적 확인",IF($H286="","적요를 적으십시오",""))))))))))))</f>
        <v/>
      </c>
      <c r="M286" s="39"/>
      <c r="O286" s="11" t="str">
        <f aca="false">IF($B286="","",YEAR($B286)*100+MONTH($B286))</f>
        <v/>
      </c>
      <c r="P286" s="11" t="str">
        <f aca="false">IF($B286="","",IF($E286="대체",0,1))</f>
        <v/>
      </c>
    </row>
    <row r="287" customFormat="false" ht="15" hidden="false" customHeight="false" outlineLevel="0" collapsed="false">
      <c r="A287" s="36" t="str">
        <f aca="false">IF($B287="","",COUNT($B$15:$B287))</f>
        <v/>
      </c>
      <c r="B287" s="37"/>
      <c r="C287" s="38"/>
      <c r="D287" s="39"/>
      <c r="E287" s="36" t="str">
        <f aca="false">IF($D287="","",IFERROR(INDEX('통합 ④ 설정'!$A$6:$A$40,MATCH($D287,'통합 ④ 설정'!$B$6:$B$40,0)),"※없는 과목"))</f>
        <v/>
      </c>
      <c r="F287" s="36" t="str">
        <f aca="false">IF($D287="","",IFERROR(INDEX('통합 ④ 설정'!$C$6:$C$40,MATCH($D287,'통합 ④ 설정'!$B$6:$B$40,0)),""))</f>
        <v/>
      </c>
      <c r="G287" s="39"/>
      <c r="H287" s="39"/>
      <c r="I287" s="40"/>
      <c r="J287" s="41"/>
      <c r="K287" s="38"/>
      <c r="L287" s="42" t="str">
        <f aca="false">IF($B287="","",IF(AND(N($I287)=0,N($J287)=0),"금액이 없습니다",IF(AND($I287&gt;0,$J287&gt;0),"수입·지출 둘 다 적혔습니다",IF($C287="","결제수단을 고르십시오",IF(ISNA(MATCH($C287,'통합 ③ 통장·카드'!$A$5:$A$11,0)),"③ 통장·카드에 없는 결제수단입니다",IF($D287="","계정과목을 고르십시오",IF($E287="※없는 과목","④ 설정에 없는 과목입니다",IF(AND($E287="수입",$J287&gt;0),"수입 과목인데 지출에 적혔습니다",IF(AND(LEFT($E287,2)&lt;&gt;"수입",$E287&lt;&gt;"대체",$I287&gt;0),"지출 과목인데 수입에 적혔습니다",IF($K287="","증빙을 고르십시오",IF(AND($C287="바우처통장",$J287&gt;0,IFERROR(INDEX('통합 ④ 설정'!$E$6:$E$40,MATCH($D287,'통합 ④ 설정'!$B$6:$B$40,0)),"")&lt;&gt;"○"),"바우처통장 지출 — 목적 확인",IF($H287="","적요를 적으십시오",""))))))))))))</f>
        <v/>
      </c>
      <c r="M287" s="39"/>
      <c r="O287" s="11" t="str">
        <f aca="false">IF($B287="","",YEAR($B287)*100+MONTH($B287))</f>
        <v/>
      </c>
      <c r="P287" s="11" t="str">
        <f aca="false">IF($B287="","",IF($E287="대체",0,1))</f>
        <v/>
      </c>
    </row>
    <row r="288" customFormat="false" ht="15" hidden="false" customHeight="false" outlineLevel="0" collapsed="false">
      <c r="A288" s="36" t="str">
        <f aca="false">IF($B288="","",COUNT($B$15:$B288))</f>
        <v/>
      </c>
      <c r="B288" s="37"/>
      <c r="C288" s="38"/>
      <c r="D288" s="39"/>
      <c r="E288" s="36" t="str">
        <f aca="false">IF($D288="","",IFERROR(INDEX('통합 ④ 설정'!$A$6:$A$40,MATCH($D288,'통합 ④ 설정'!$B$6:$B$40,0)),"※없는 과목"))</f>
        <v/>
      </c>
      <c r="F288" s="36" t="str">
        <f aca="false">IF($D288="","",IFERROR(INDEX('통합 ④ 설정'!$C$6:$C$40,MATCH($D288,'통합 ④ 설정'!$B$6:$B$40,0)),""))</f>
        <v/>
      </c>
      <c r="G288" s="39"/>
      <c r="H288" s="39"/>
      <c r="I288" s="40"/>
      <c r="J288" s="41"/>
      <c r="K288" s="38"/>
      <c r="L288" s="42" t="str">
        <f aca="false">IF($B288="","",IF(AND(N($I288)=0,N($J288)=0),"금액이 없습니다",IF(AND($I288&gt;0,$J288&gt;0),"수입·지출 둘 다 적혔습니다",IF($C288="","결제수단을 고르십시오",IF(ISNA(MATCH($C288,'통합 ③ 통장·카드'!$A$5:$A$11,0)),"③ 통장·카드에 없는 결제수단입니다",IF($D288="","계정과목을 고르십시오",IF($E288="※없는 과목","④ 설정에 없는 과목입니다",IF(AND($E288="수입",$J288&gt;0),"수입 과목인데 지출에 적혔습니다",IF(AND(LEFT($E288,2)&lt;&gt;"수입",$E288&lt;&gt;"대체",$I288&gt;0),"지출 과목인데 수입에 적혔습니다",IF($K288="","증빙을 고르십시오",IF(AND($C288="바우처통장",$J288&gt;0,IFERROR(INDEX('통합 ④ 설정'!$E$6:$E$40,MATCH($D288,'통합 ④ 설정'!$B$6:$B$40,0)),"")&lt;&gt;"○"),"바우처통장 지출 — 목적 확인",IF($H288="","적요를 적으십시오",""))))))))))))</f>
        <v/>
      </c>
      <c r="M288" s="39"/>
      <c r="O288" s="11" t="str">
        <f aca="false">IF($B288="","",YEAR($B288)*100+MONTH($B288))</f>
        <v/>
      </c>
      <c r="P288" s="11" t="str">
        <f aca="false">IF($B288="","",IF($E288="대체",0,1))</f>
        <v/>
      </c>
    </row>
    <row r="289" customFormat="false" ht="15" hidden="false" customHeight="false" outlineLevel="0" collapsed="false">
      <c r="A289" s="36" t="str">
        <f aca="false">IF($B289="","",COUNT($B$15:$B289))</f>
        <v/>
      </c>
      <c r="B289" s="37"/>
      <c r="C289" s="38"/>
      <c r="D289" s="39"/>
      <c r="E289" s="36" t="str">
        <f aca="false">IF($D289="","",IFERROR(INDEX('통합 ④ 설정'!$A$6:$A$40,MATCH($D289,'통합 ④ 설정'!$B$6:$B$40,0)),"※없는 과목"))</f>
        <v/>
      </c>
      <c r="F289" s="36" t="str">
        <f aca="false">IF($D289="","",IFERROR(INDEX('통합 ④ 설정'!$C$6:$C$40,MATCH($D289,'통합 ④ 설정'!$B$6:$B$40,0)),""))</f>
        <v/>
      </c>
      <c r="G289" s="39"/>
      <c r="H289" s="39"/>
      <c r="I289" s="40"/>
      <c r="J289" s="41"/>
      <c r="K289" s="38"/>
      <c r="L289" s="42" t="str">
        <f aca="false">IF($B289="","",IF(AND(N($I289)=0,N($J289)=0),"금액이 없습니다",IF(AND($I289&gt;0,$J289&gt;0),"수입·지출 둘 다 적혔습니다",IF($C289="","결제수단을 고르십시오",IF(ISNA(MATCH($C289,'통합 ③ 통장·카드'!$A$5:$A$11,0)),"③ 통장·카드에 없는 결제수단입니다",IF($D289="","계정과목을 고르십시오",IF($E289="※없는 과목","④ 설정에 없는 과목입니다",IF(AND($E289="수입",$J289&gt;0),"수입 과목인데 지출에 적혔습니다",IF(AND(LEFT($E289,2)&lt;&gt;"수입",$E289&lt;&gt;"대체",$I289&gt;0),"지출 과목인데 수입에 적혔습니다",IF($K289="","증빙을 고르십시오",IF(AND($C289="바우처통장",$J289&gt;0,IFERROR(INDEX('통합 ④ 설정'!$E$6:$E$40,MATCH($D289,'통합 ④ 설정'!$B$6:$B$40,0)),"")&lt;&gt;"○"),"바우처통장 지출 — 목적 확인",IF($H289="","적요를 적으십시오",""))))))))))))</f>
        <v/>
      </c>
      <c r="M289" s="39"/>
      <c r="O289" s="11" t="str">
        <f aca="false">IF($B289="","",YEAR($B289)*100+MONTH($B289))</f>
        <v/>
      </c>
      <c r="P289" s="11" t="str">
        <f aca="false">IF($B289="","",IF($E289="대체",0,1))</f>
        <v/>
      </c>
    </row>
    <row r="290" customFormat="false" ht="15" hidden="false" customHeight="false" outlineLevel="0" collapsed="false">
      <c r="A290" s="36" t="str">
        <f aca="false">IF($B290="","",COUNT($B$15:$B290))</f>
        <v/>
      </c>
      <c r="B290" s="37"/>
      <c r="C290" s="38"/>
      <c r="D290" s="39"/>
      <c r="E290" s="36" t="str">
        <f aca="false">IF($D290="","",IFERROR(INDEX('통합 ④ 설정'!$A$6:$A$40,MATCH($D290,'통합 ④ 설정'!$B$6:$B$40,0)),"※없는 과목"))</f>
        <v/>
      </c>
      <c r="F290" s="36" t="str">
        <f aca="false">IF($D290="","",IFERROR(INDEX('통합 ④ 설정'!$C$6:$C$40,MATCH($D290,'통합 ④ 설정'!$B$6:$B$40,0)),""))</f>
        <v/>
      </c>
      <c r="G290" s="39"/>
      <c r="H290" s="39"/>
      <c r="I290" s="40"/>
      <c r="J290" s="41"/>
      <c r="K290" s="38"/>
      <c r="L290" s="42" t="str">
        <f aca="false">IF($B290="","",IF(AND(N($I290)=0,N($J290)=0),"금액이 없습니다",IF(AND($I290&gt;0,$J290&gt;0),"수입·지출 둘 다 적혔습니다",IF($C290="","결제수단을 고르십시오",IF(ISNA(MATCH($C290,'통합 ③ 통장·카드'!$A$5:$A$11,0)),"③ 통장·카드에 없는 결제수단입니다",IF($D290="","계정과목을 고르십시오",IF($E290="※없는 과목","④ 설정에 없는 과목입니다",IF(AND($E290="수입",$J290&gt;0),"수입 과목인데 지출에 적혔습니다",IF(AND(LEFT($E290,2)&lt;&gt;"수입",$E290&lt;&gt;"대체",$I290&gt;0),"지출 과목인데 수입에 적혔습니다",IF($K290="","증빙을 고르십시오",IF(AND($C290="바우처통장",$J290&gt;0,IFERROR(INDEX('통합 ④ 설정'!$E$6:$E$40,MATCH($D290,'통합 ④ 설정'!$B$6:$B$40,0)),"")&lt;&gt;"○"),"바우처통장 지출 — 목적 확인",IF($H290="","적요를 적으십시오",""))))))))))))</f>
        <v/>
      </c>
      <c r="M290" s="39"/>
      <c r="O290" s="11" t="str">
        <f aca="false">IF($B290="","",YEAR($B290)*100+MONTH($B290))</f>
        <v/>
      </c>
      <c r="P290" s="11" t="str">
        <f aca="false">IF($B290="","",IF($E290="대체",0,1))</f>
        <v/>
      </c>
    </row>
    <row r="291" customFormat="false" ht="15" hidden="false" customHeight="false" outlineLevel="0" collapsed="false">
      <c r="A291" s="36" t="str">
        <f aca="false">IF($B291="","",COUNT($B$15:$B291))</f>
        <v/>
      </c>
      <c r="B291" s="37"/>
      <c r="C291" s="38"/>
      <c r="D291" s="39"/>
      <c r="E291" s="36" t="str">
        <f aca="false">IF($D291="","",IFERROR(INDEX('통합 ④ 설정'!$A$6:$A$40,MATCH($D291,'통합 ④ 설정'!$B$6:$B$40,0)),"※없는 과목"))</f>
        <v/>
      </c>
      <c r="F291" s="36" t="str">
        <f aca="false">IF($D291="","",IFERROR(INDEX('통합 ④ 설정'!$C$6:$C$40,MATCH($D291,'통합 ④ 설정'!$B$6:$B$40,0)),""))</f>
        <v/>
      </c>
      <c r="G291" s="39"/>
      <c r="H291" s="39"/>
      <c r="I291" s="40"/>
      <c r="J291" s="41"/>
      <c r="K291" s="38"/>
      <c r="L291" s="42" t="str">
        <f aca="false">IF($B291="","",IF(AND(N($I291)=0,N($J291)=0),"금액이 없습니다",IF(AND($I291&gt;0,$J291&gt;0),"수입·지출 둘 다 적혔습니다",IF($C291="","결제수단을 고르십시오",IF(ISNA(MATCH($C291,'통합 ③ 통장·카드'!$A$5:$A$11,0)),"③ 통장·카드에 없는 결제수단입니다",IF($D291="","계정과목을 고르십시오",IF($E291="※없는 과목","④ 설정에 없는 과목입니다",IF(AND($E291="수입",$J291&gt;0),"수입 과목인데 지출에 적혔습니다",IF(AND(LEFT($E291,2)&lt;&gt;"수입",$E291&lt;&gt;"대체",$I291&gt;0),"지출 과목인데 수입에 적혔습니다",IF($K291="","증빙을 고르십시오",IF(AND($C291="바우처통장",$J291&gt;0,IFERROR(INDEX('통합 ④ 설정'!$E$6:$E$40,MATCH($D291,'통합 ④ 설정'!$B$6:$B$40,0)),"")&lt;&gt;"○"),"바우처통장 지출 — 목적 확인",IF($H291="","적요를 적으십시오",""))))))))))))</f>
        <v/>
      </c>
      <c r="M291" s="39"/>
      <c r="O291" s="11" t="str">
        <f aca="false">IF($B291="","",YEAR($B291)*100+MONTH($B291))</f>
        <v/>
      </c>
      <c r="P291" s="11" t="str">
        <f aca="false">IF($B291="","",IF($E291="대체",0,1))</f>
        <v/>
      </c>
    </row>
    <row r="292" customFormat="false" ht="15" hidden="false" customHeight="false" outlineLevel="0" collapsed="false">
      <c r="A292" s="36" t="str">
        <f aca="false">IF($B292="","",COUNT($B$15:$B292))</f>
        <v/>
      </c>
      <c r="B292" s="37"/>
      <c r="C292" s="38"/>
      <c r="D292" s="39"/>
      <c r="E292" s="36" t="str">
        <f aca="false">IF($D292="","",IFERROR(INDEX('통합 ④ 설정'!$A$6:$A$40,MATCH($D292,'통합 ④ 설정'!$B$6:$B$40,0)),"※없는 과목"))</f>
        <v/>
      </c>
      <c r="F292" s="36" t="str">
        <f aca="false">IF($D292="","",IFERROR(INDEX('통합 ④ 설정'!$C$6:$C$40,MATCH($D292,'통합 ④ 설정'!$B$6:$B$40,0)),""))</f>
        <v/>
      </c>
      <c r="G292" s="39"/>
      <c r="H292" s="39"/>
      <c r="I292" s="40"/>
      <c r="J292" s="41"/>
      <c r="K292" s="38"/>
      <c r="L292" s="42" t="str">
        <f aca="false">IF($B292="","",IF(AND(N($I292)=0,N($J292)=0),"금액이 없습니다",IF(AND($I292&gt;0,$J292&gt;0),"수입·지출 둘 다 적혔습니다",IF($C292="","결제수단을 고르십시오",IF(ISNA(MATCH($C292,'통합 ③ 통장·카드'!$A$5:$A$11,0)),"③ 통장·카드에 없는 결제수단입니다",IF($D292="","계정과목을 고르십시오",IF($E292="※없는 과목","④ 설정에 없는 과목입니다",IF(AND($E292="수입",$J292&gt;0),"수입 과목인데 지출에 적혔습니다",IF(AND(LEFT($E292,2)&lt;&gt;"수입",$E292&lt;&gt;"대체",$I292&gt;0),"지출 과목인데 수입에 적혔습니다",IF($K292="","증빙을 고르십시오",IF(AND($C292="바우처통장",$J292&gt;0,IFERROR(INDEX('통합 ④ 설정'!$E$6:$E$40,MATCH($D292,'통합 ④ 설정'!$B$6:$B$40,0)),"")&lt;&gt;"○"),"바우처통장 지출 — 목적 확인",IF($H292="","적요를 적으십시오",""))))))))))))</f>
        <v/>
      </c>
      <c r="M292" s="39"/>
      <c r="O292" s="11" t="str">
        <f aca="false">IF($B292="","",YEAR($B292)*100+MONTH($B292))</f>
        <v/>
      </c>
      <c r="P292" s="11" t="str">
        <f aca="false">IF($B292="","",IF($E292="대체",0,1))</f>
        <v/>
      </c>
    </row>
    <row r="293" customFormat="false" ht="15" hidden="false" customHeight="false" outlineLevel="0" collapsed="false">
      <c r="A293" s="36" t="str">
        <f aca="false">IF($B293="","",COUNT($B$15:$B293))</f>
        <v/>
      </c>
      <c r="B293" s="37"/>
      <c r="C293" s="38"/>
      <c r="D293" s="39"/>
      <c r="E293" s="36" t="str">
        <f aca="false">IF($D293="","",IFERROR(INDEX('통합 ④ 설정'!$A$6:$A$40,MATCH($D293,'통합 ④ 설정'!$B$6:$B$40,0)),"※없는 과목"))</f>
        <v/>
      </c>
      <c r="F293" s="36" t="str">
        <f aca="false">IF($D293="","",IFERROR(INDEX('통합 ④ 설정'!$C$6:$C$40,MATCH($D293,'통합 ④ 설정'!$B$6:$B$40,0)),""))</f>
        <v/>
      </c>
      <c r="G293" s="39"/>
      <c r="H293" s="39"/>
      <c r="I293" s="40"/>
      <c r="J293" s="41"/>
      <c r="K293" s="38"/>
      <c r="L293" s="42" t="str">
        <f aca="false">IF($B293="","",IF(AND(N($I293)=0,N($J293)=0),"금액이 없습니다",IF(AND($I293&gt;0,$J293&gt;0),"수입·지출 둘 다 적혔습니다",IF($C293="","결제수단을 고르십시오",IF(ISNA(MATCH($C293,'통합 ③ 통장·카드'!$A$5:$A$11,0)),"③ 통장·카드에 없는 결제수단입니다",IF($D293="","계정과목을 고르십시오",IF($E293="※없는 과목","④ 설정에 없는 과목입니다",IF(AND($E293="수입",$J293&gt;0),"수입 과목인데 지출에 적혔습니다",IF(AND(LEFT($E293,2)&lt;&gt;"수입",$E293&lt;&gt;"대체",$I293&gt;0),"지출 과목인데 수입에 적혔습니다",IF($K293="","증빙을 고르십시오",IF(AND($C293="바우처통장",$J293&gt;0,IFERROR(INDEX('통합 ④ 설정'!$E$6:$E$40,MATCH($D293,'통합 ④ 설정'!$B$6:$B$40,0)),"")&lt;&gt;"○"),"바우처통장 지출 — 목적 확인",IF($H293="","적요를 적으십시오",""))))))))))))</f>
        <v/>
      </c>
      <c r="M293" s="39"/>
      <c r="O293" s="11" t="str">
        <f aca="false">IF($B293="","",YEAR($B293)*100+MONTH($B293))</f>
        <v/>
      </c>
      <c r="P293" s="11" t="str">
        <f aca="false">IF($B293="","",IF($E293="대체",0,1))</f>
        <v/>
      </c>
    </row>
    <row r="294" customFormat="false" ht="15" hidden="false" customHeight="false" outlineLevel="0" collapsed="false">
      <c r="A294" s="36" t="str">
        <f aca="false">IF($B294="","",COUNT($B$15:$B294))</f>
        <v/>
      </c>
      <c r="B294" s="37"/>
      <c r="C294" s="38"/>
      <c r="D294" s="39"/>
      <c r="E294" s="36" t="str">
        <f aca="false">IF($D294="","",IFERROR(INDEX('통합 ④ 설정'!$A$6:$A$40,MATCH($D294,'통합 ④ 설정'!$B$6:$B$40,0)),"※없는 과목"))</f>
        <v/>
      </c>
      <c r="F294" s="36" t="str">
        <f aca="false">IF($D294="","",IFERROR(INDEX('통합 ④ 설정'!$C$6:$C$40,MATCH($D294,'통합 ④ 설정'!$B$6:$B$40,0)),""))</f>
        <v/>
      </c>
      <c r="G294" s="39"/>
      <c r="H294" s="39"/>
      <c r="I294" s="40"/>
      <c r="J294" s="41"/>
      <c r="K294" s="38"/>
      <c r="L294" s="42" t="str">
        <f aca="false">IF($B294="","",IF(AND(N($I294)=0,N($J294)=0),"금액이 없습니다",IF(AND($I294&gt;0,$J294&gt;0),"수입·지출 둘 다 적혔습니다",IF($C294="","결제수단을 고르십시오",IF(ISNA(MATCH($C294,'통합 ③ 통장·카드'!$A$5:$A$11,0)),"③ 통장·카드에 없는 결제수단입니다",IF($D294="","계정과목을 고르십시오",IF($E294="※없는 과목","④ 설정에 없는 과목입니다",IF(AND($E294="수입",$J294&gt;0),"수입 과목인데 지출에 적혔습니다",IF(AND(LEFT($E294,2)&lt;&gt;"수입",$E294&lt;&gt;"대체",$I294&gt;0),"지출 과목인데 수입에 적혔습니다",IF($K294="","증빙을 고르십시오",IF(AND($C294="바우처통장",$J294&gt;0,IFERROR(INDEX('통합 ④ 설정'!$E$6:$E$40,MATCH($D294,'통합 ④ 설정'!$B$6:$B$40,0)),"")&lt;&gt;"○"),"바우처통장 지출 — 목적 확인",IF($H294="","적요를 적으십시오",""))))))))))))</f>
        <v/>
      </c>
      <c r="M294" s="39"/>
      <c r="O294" s="11" t="str">
        <f aca="false">IF($B294="","",YEAR($B294)*100+MONTH($B294))</f>
        <v/>
      </c>
      <c r="P294" s="11" t="str">
        <f aca="false">IF($B294="","",IF($E294="대체",0,1))</f>
        <v/>
      </c>
    </row>
    <row r="295" customFormat="false" ht="15" hidden="false" customHeight="false" outlineLevel="0" collapsed="false">
      <c r="A295" s="36" t="str">
        <f aca="false">IF($B295="","",COUNT($B$15:$B295))</f>
        <v/>
      </c>
      <c r="B295" s="37"/>
      <c r="C295" s="38"/>
      <c r="D295" s="39"/>
      <c r="E295" s="36" t="str">
        <f aca="false">IF($D295="","",IFERROR(INDEX('통합 ④ 설정'!$A$6:$A$40,MATCH($D295,'통합 ④ 설정'!$B$6:$B$40,0)),"※없는 과목"))</f>
        <v/>
      </c>
      <c r="F295" s="36" t="str">
        <f aca="false">IF($D295="","",IFERROR(INDEX('통합 ④ 설정'!$C$6:$C$40,MATCH($D295,'통합 ④ 설정'!$B$6:$B$40,0)),""))</f>
        <v/>
      </c>
      <c r="G295" s="39"/>
      <c r="H295" s="39"/>
      <c r="I295" s="40"/>
      <c r="J295" s="41"/>
      <c r="K295" s="38"/>
      <c r="L295" s="42" t="str">
        <f aca="false">IF($B295="","",IF(AND(N($I295)=0,N($J295)=0),"금액이 없습니다",IF(AND($I295&gt;0,$J295&gt;0),"수입·지출 둘 다 적혔습니다",IF($C295="","결제수단을 고르십시오",IF(ISNA(MATCH($C295,'통합 ③ 통장·카드'!$A$5:$A$11,0)),"③ 통장·카드에 없는 결제수단입니다",IF($D295="","계정과목을 고르십시오",IF($E295="※없는 과목","④ 설정에 없는 과목입니다",IF(AND($E295="수입",$J295&gt;0),"수입 과목인데 지출에 적혔습니다",IF(AND(LEFT($E295,2)&lt;&gt;"수입",$E295&lt;&gt;"대체",$I295&gt;0),"지출 과목인데 수입에 적혔습니다",IF($K295="","증빙을 고르십시오",IF(AND($C295="바우처통장",$J295&gt;0,IFERROR(INDEX('통합 ④ 설정'!$E$6:$E$40,MATCH($D295,'통합 ④ 설정'!$B$6:$B$40,0)),"")&lt;&gt;"○"),"바우처통장 지출 — 목적 확인",IF($H295="","적요를 적으십시오",""))))))))))))</f>
        <v/>
      </c>
      <c r="M295" s="39"/>
      <c r="O295" s="11" t="str">
        <f aca="false">IF($B295="","",YEAR($B295)*100+MONTH($B295))</f>
        <v/>
      </c>
      <c r="P295" s="11" t="str">
        <f aca="false">IF($B295="","",IF($E295="대체",0,1))</f>
        <v/>
      </c>
    </row>
    <row r="296" customFormat="false" ht="15" hidden="false" customHeight="false" outlineLevel="0" collapsed="false">
      <c r="A296" s="36" t="str">
        <f aca="false">IF($B296="","",COUNT($B$15:$B296))</f>
        <v/>
      </c>
      <c r="B296" s="37"/>
      <c r="C296" s="38"/>
      <c r="D296" s="39"/>
      <c r="E296" s="36" t="str">
        <f aca="false">IF($D296="","",IFERROR(INDEX('통합 ④ 설정'!$A$6:$A$40,MATCH($D296,'통합 ④ 설정'!$B$6:$B$40,0)),"※없는 과목"))</f>
        <v/>
      </c>
      <c r="F296" s="36" t="str">
        <f aca="false">IF($D296="","",IFERROR(INDEX('통합 ④ 설정'!$C$6:$C$40,MATCH($D296,'통합 ④ 설정'!$B$6:$B$40,0)),""))</f>
        <v/>
      </c>
      <c r="G296" s="39"/>
      <c r="H296" s="39"/>
      <c r="I296" s="40"/>
      <c r="J296" s="41"/>
      <c r="K296" s="38"/>
      <c r="L296" s="42" t="str">
        <f aca="false">IF($B296="","",IF(AND(N($I296)=0,N($J296)=0),"금액이 없습니다",IF(AND($I296&gt;0,$J296&gt;0),"수입·지출 둘 다 적혔습니다",IF($C296="","결제수단을 고르십시오",IF(ISNA(MATCH($C296,'통합 ③ 통장·카드'!$A$5:$A$11,0)),"③ 통장·카드에 없는 결제수단입니다",IF($D296="","계정과목을 고르십시오",IF($E296="※없는 과목","④ 설정에 없는 과목입니다",IF(AND($E296="수입",$J296&gt;0),"수입 과목인데 지출에 적혔습니다",IF(AND(LEFT($E296,2)&lt;&gt;"수입",$E296&lt;&gt;"대체",$I296&gt;0),"지출 과목인데 수입에 적혔습니다",IF($K296="","증빙을 고르십시오",IF(AND($C296="바우처통장",$J296&gt;0,IFERROR(INDEX('통합 ④ 설정'!$E$6:$E$40,MATCH($D296,'통합 ④ 설정'!$B$6:$B$40,0)),"")&lt;&gt;"○"),"바우처통장 지출 — 목적 확인",IF($H296="","적요를 적으십시오",""))))))))))))</f>
        <v/>
      </c>
      <c r="M296" s="39"/>
      <c r="O296" s="11" t="str">
        <f aca="false">IF($B296="","",YEAR($B296)*100+MONTH($B296))</f>
        <v/>
      </c>
      <c r="P296" s="11" t="str">
        <f aca="false">IF($B296="","",IF($E296="대체",0,1))</f>
        <v/>
      </c>
    </row>
    <row r="297" customFormat="false" ht="15" hidden="false" customHeight="false" outlineLevel="0" collapsed="false">
      <c r="A297" s="36" t="str">
        <f aca="false">IF($B297="","",COUNT($B$15:$B297))</f>
        <v/>
      </c>
      <c r="B297" s="37"/>
      <c r="C297" s="38"/>
      <c r="D297" s="39"/>
      <c r="E297" s="36" t="str">
        <f aca="false">IF($D297="","",IFERROR(INDEX('통합 ④ 설정'!$A$6:$A$40,MATCH($D297,'통합 ④ 설정'!$B$6:$B$40,0)),"※없는 과목"))</f>
        <v/>
      </c>
      <c r="F297" s="36" t="str">
        <f aca="false">IF($D297="","",IFERROR(INDEX('통합 ④ 설정'!$C$6:$C$40,MATCH($D297,'통합 ④ 설정'!$B$6:$B$40,0)),""))</f>
        <v/>
      </c>
      <c r="G297" s="39"/>
      <c r="H297" s="39"/>
      <c r="I297" s="40"/>
      <c r="J297" s="41"/>
      <c r="K297" s="38"/>
      <c r="L297" s="42" t="str">
        <f aca="false">IF($B297="","",IF(AND(N($I297)=0,N($J297)=0),"금액이 없습니다",IF(AND($I297&gt;0,$J297&gt;0),"수입·지출 둘 다 적혔습니다",IF($C297="","결제수단을 고르십시오",IF(ISNA(MATCH($C297,'통합 ③ 통장·카드'!$A$5:$A$11,0)),"③ 통장·카드에 없는 결제수단입니다",IF($D297="","계정과목을 고르십시오",IF($E297="※없는 과목","④ 설정에 없는 과목입니다",IF(AND($E297="수입",$J297&gt;0),"수입 과목인데 지출에 적혔습니다",IF(AND(LEFT($E297,2)&lt;&gt;"수입",$E297&lt;&gt;"대체",$I297&gt;0),"지출 과목인데 수입에 적혔습니다",IF($K297="","증빙을 고르십시오",IF(AND($C297="바우처통장",$J297&gt;0,IFERROR(INDEX('통합 ④ 설정'!$E$6:$E$40,MATCH($D297,'통합 ④ 설정'!$B$6:$B$40,0)),"")&lt;&gt;"○"),"바우처통장 지출 — 목적 확인",IF($H297="","적요를 적으십시오",""))))))))))))</f>
        <v/>
      </c>
      <c r="M297" s="39"/>
      <c r="O297" s="11" t="str">
        <f aca="false">IF($B297="","",YEAR($B297)*100+MONTH($B297))</f>
        <v/>
      </c>
      <c r="P297" s="11" t="str">
        <f aca="false">IF($B297="","",IF($E297="대체",0,1))</f>
        <v/>
      </c>
    </row>
    <row r="298" customFormat="false" ht="15" hidden="false" customHeight="false" outlineLevel="0" collapsed="false">
      <c r="A298" s="36" t="str">
        <f aca="false">IF($B298="","",COUNT($B$15:$B298))</f>
        <v/>
      </c>
      <c r="B298" s="37"/>
      <c r="C298" s="38"/>
      <c r="D298" s="39"/>
      <c r="E298" s="36" t="str">
        <f aca="false">IF($D298="","",IFERROR(INDEX('통합 ④ 설정'!$A$6:$A$40,MATCH($D298,'통합 ④ 설정'!$B$6:$B$40,0)),"※없는 과목"))</f>
        <v/>
      </c>
      <c r="F298" s="36" t="str">
        <f aca="false">IF($D298="","",IFERROR(INDEX('통합 ④ 설정'!$C$6:$C$40,MATCH($D298,'통합 ④ 설정'!$B$6:$B$40,0)),""))</f>
        <v/>
      </c>
      <c r="G298" s="39"/>
      <c r="H298" s="39"/>
      <c r="I298" s="40"/>
      <c r="J298" s="41"/>
      <c r="K298" s="38"/>
      <c r="L298" s="42" t="str">
        <f aca="false">IF($B298="","",IF(AND(N($I298)=0,N($J298)=0),"금액이 없습니다",IF(AND($I298&gt;0,$J298&gt;0),"수입·지출 둘 다 적혔습니다",IF($C298="","결제수단을 고르십시오",IF(ISNA(MATCH($C298,'통합 ③ 통장·카드'!$A$5:$A$11,0)),"③ 통장·카드에 없는 결제수단입니다",IF($D298="","계정과목을 고르십시오",IF($E298="※없는 과목","④ 설정에 없는 과목입니다",IF(AND($E298="수입",$J298&gt;0),"수입 과목인데 지출에 적혔습니다",IF(AND(LEFT($E298,2)&lt;&gt;"수입",$E298&lt;&gt;"대체",$I298&gt;0),"지출 과목인데 수입에 적혔습니다",IF($K298="","증빙을 고르십시오",IF(AND($C298="바우처통장",$J298&gt;0,IFERROR(INDEX('통합 ④ 설정'!$E$6:$E$40,MATCH($D298,'통합 ④ 설정'!$B$6:$B$40,0)),"")&lt;&gt;"○"),"바우처통장 지출 — 목적 확인",IF($H298="","적요를 적으십시오",""))))))))))))</f>
        <v/>
      </c>
      <c r="M298" s="39"/>
      <c r="O298" s="11" t="str">
        <f aca="false">IF($B298="","",YEAR($B298)*100+MONTH($B298))</f>
        <v/>
      </c>
      <c r="P298" s="11" t="str">
        <f aca="false">IF($B298="","",IF($E298="대체",0,1))</f>
        <v/>
      </c>
    </row>
    <row r="299" customFormat="false" ht="15" hidden="false" customHeight="false" outlineLevel="0" collapsed="false">
      <c r="A299" s="36" t="str">
        <f aca="false">IF($B299="","",COUNT($B$15:$B299))</f>
        <v/>
      </c>
      <c r="B299" s="37"/>
      <c r="C299" s="38"/>
      <c r="D299" s="39"/>
      <c r="E299" s="36" t="str">
        <f aca="false">IF($D299="","",IFERROR(INDEX('통합 ④ 설정'!$A$6:$A$40,MATCH($D299,'통합 ④ 설정'!$B$6:$B$40,0)),"※없는 과목"))</f>
        <v/>
      </c>
      <c r="F299" s="36" t="str">
        <f aca="false">IF($D299="","",IFERROR(INDEX('통합 ④ 설정'!$C$6:$C$40,MATCH($D299,'통합 ④ 설정'!$B$6:$B$40,0)),""))</f>
        <v/>
      </c>
      <c r="G299" s="39"/>
      <c r="H299" s="39"/>
      <c r="I299" s="40"/>
      <c r="J299" s="41"/>
      <c r="K299" s="38"/>
      <c r="L299" s="42" t="str">
        <f aca="false">IF($B299="","",IF(AND(N($I299)=0,N($J299)=0),"금액이 없습니다",IF(AND($I299&gt;0,$J299&gt;0),"수입·지출 둘 다 적혔습니다",IF($C299="","결제수단을 고르십시오",IF(ISNA(MATCH($C299,'통합 ③ 통장·카드'!$A$5:$A$11,0)),"③ 통장·카드에 없는 결제수단입니다",IF($D299="","계정과목을 고르십시오",IF($E299="※없는 과목","④ 설정에 없는 과목입니다",IF(AND($E299="수입",$J299&gt;0),"수입 과목인데 지출에 적혔습니다",IF(AND(LEFT($E299,2)&lt;&gt;"수입",$E299&lt;&gt;"대체",$I299&gt;0),"지출 과목인데 수입에 적혔습니다",IF($K299="","증빙을 고르십시오",IF(AND($C299="바우처통장",$J299&gt;0,IFERROR(INDEX('통합 ④ 설정'!$E$6:$E$40,MATCH($D299,'통합 ④ 설정'!$B$6:$B$40,0)),"")&lt;&gt;"○"),"바우처통장 지출 — 목적 확인",IF($H299="","적요를 적으십시오",""))))))))))))</f>
        <v/>
      </c>
      <c r="M299" s="39"/>
      <c r="O299" s="11" t="str">
        <f aca="false">IF($B299="","",YEAR($B299)*100+MONTH($B299))</f>
        <v/>
      </c>
      <c r="P299" s="11" t="str">
        <f aca="false">IF($B299="","",IF($E299="대체",0,1))</f>
        <v/>
      </c>
    </row>
    <row r="300" customFormat="false" ht="15" hidden="false" customHeight="false" outlineLevel="0" collapsed="false">
      <c r="A300" s="36" t="str">
        <f aca="false">IF($B300="","",COUNT($B$15:$B300))</f>
        <v/>
      </c>
      <c r="B300" s="37"/>
      <c r="C300" s="38"/>
      <c r="D300" s="39"/>
      <c r="E300" s="36" t="str">
        <f aca="false">IF($D300="","",IFERROR(INDEX('통합 ④ 설정'!$A$6:$A$40,MATCH($D300,'통합 ④ 설정'!$B$6:$B$40,0)),"※없는 과목"))</f>
        <v/>
      </c>
      <c r="F300" s="36" t="str">
        <f aca="false">IF($D300="","",IFERROR(INDEX('통합 ④ 설정'!$C$6:$C$40,MATCH($D300,'통합 ④ 설정'!$B$6:$B$40,0)),""))</f>
        <v/>
      </c>
      <c r="G300" s="39"/>
      <c r="H300" s="39"/>
      <c r="I300" s="40"/>
      <c r="J300" s="41"/>
      <c r="K300" s="38"/>
      <c r="L300" s="42" t="str">
        <f aca="false">IF($B300="","",IF(AND(N($I300)=0,N($J300)=0),"금액이 없습니다",IF(AND($I300&gt;0,$J300&gt;0),"수입·지출 둘 다 적혔습니다",IF($C300="","결제수단을 고르십시오",IF(ISNA(MATCH($C300,'통합 ③ 통장·카드'!$A$5:$A$11,0)),"③ 통장·카드에 없는 결제수단입니다",IF($D300="","계정과목을 고르십시오",IF($E300="※없는 과목","④ 설정에 없는 과목입니다",IF(AND($E300="수입",$J300&gt;0),"수입 과목인데 지출에 적혔습니다",IF(AND(LEFT($E300,2)&lt;&gt;"수입",$E300&lt;&gt;"대체",$I300&gt;0),"지출 과목인데 수입에 적혔습니다",IF($K300="","증빙을 고르십시오",IF(AND($C300="바우처통장",$J300&gt;0,IFERROR(INDEX('통합 ④ 설정'!$E$6:$E$40,MATCH($D300,'통합 ④ 설정'!$B$6:$B$40,0)),"")&lt;&gt;"○"),"바우처통장 지출 — 목적 확인",IF($H300="","적요를 적으십시오",""))))))))))))</f>
        <v/>
      </c>
      <c r="M300" s="39"/>
      <c r="O300" s="11" t="str">
        <f aca="false">IF($B300="","",YEAR($B300)*100+MONTH($B300))</f>
        <v/>
      </c>
      <c r="P300" s="11" t="str">
        <f aca="false">IF($B300="","",IF($E300="대체",0,1))</f>
        <v/>
      </c>
    </row>
    <row r="301" customFormat="false" ht="15" hidden="false" customHeight="false" outlineLevel="0" collapsed="false">
      <c r="A301" s="36" t="str">
        <f aca="false">IF($B301="","",COUNT($B$15:$B301))</f>
        <v/>
      </c>
      <c r="B301" s="37"/>
      <c r="C301" s="38"/>
      <c r="D301" s="39"/>
      <c r="E301" s="36" t="str">
        <f aca="false">IF($D301="","",IFERROR(INDEX('통합 ④ 설정'!$A$6:$A$40,MATCH($D301,'통합 ④ 설정'!$B$6:$B$40,0)),"※없는 과목"))</f>
        <v/>
      </c>
      <c r="F301" s="36" t="str">
        <f aca="false">IF($D301="","",IFERROR(INDEX('통합 ④ 설정'!$C$6:$C$40,MATCH($D301,'통합 ④ 설정'!$B$6:$B$40,0)),""))</f>
        <v/>
      </c>
      <c r="G301" s="39"/>
      <c r="H301" s="39"/>
      <c r="I301" s="40"/>
      <c r="J301" s="41"/>
      <c r="K301" s="38"/>
      <c r="L301" s="42" t="str">
        <f aca="false">IF($B301="","",IF(AND(N($I301)=0,N($J301)=0),"금액이 없습니다",IF(AND($I301&gt;0,$J301&gt;0),"수입·지출 둘 다 적혔습니다",IF($C301="","결제수단을 고르십시오",IF(ISNA(MATCH($C301,'통합 ③ 통장·카드'!$A$5:$A$11,0)),"③ 통장·카드에 없는 결제수단입니다",IF($D301="","계정과목을 고르십시오",IF($E301="※없는 과목","④ 설정에 없는 과목입니다",IF(AND($E301="수입",$J301&gt;0),"수입 과목인데 지출에 적혔습니다",IF(AND(LEFT($E301,2)&lt;&gt;"수입",$E301&lt;&gt;"대체",$I301&gt;0),"지출 과목인데 수입에 적혔습니다",IF($K301="","증빙을 고르십시오",IF(AND($C301="바우처통장",$J301&gt;0,IFERROR(INDEX('통합 ④ 설정'!$E$6:$E$40,MATCH($D301,'통합 ④ 설정'!$B$6:$B$40,0)),"")&lt;&gt;"○"),"바우처통장 지출 — 목적 확인",IF($H301="","적요를 적으십시오",""))))))))))))</f>
        <v/>
      </c>
      <c r="M301" s="39"/>
      <c r="O301" s="11" t="str">
        <f aca="false">IF($B301="","",YEAR($B301)*100+MONTH($B301))</f>
        <v/>
      </c>
      <c r="P301" s="11" t="str">
        <f aca="false">IF($B301="","",IF($E301="대체",0,1))</f>
        <v/>
      </c>
    </row>
    <row r="302" customFormat="false" ht="15" hidden="false" customHeight="false" outlineLevel="0" collapsed="false">
      <c r="A302" s="36" t="str">
        <f aca="false">IF($B302="","",COUNT($B$15:$B302))</f>
        <v/>
      </c>
      <c r="B302" s="37"/>
      <c r="C302" s="38"/>
      <c r="D302" s="39"/>
      <c r="E302" s="36" t="str">
        <f aca="false">IF($D302="","",IFERROR(INDEX('통합 ④ 설정'!$A$6:$A$40,MATCH($D302,'통합 ④ 설정'!$B$6:$B$40,0)),"※없는 과목"))</f>
        <v/>
      </c>
      <c r="F302" s="36" t="str">
        <f aca="false">IF($D302="","",IFERROR(INDEX('통합 ④ 설정'!$C$6:$C$40,MATCH($D302,'통합 ④ 설정'!$B$6:$B$40,0)),""))</f>
        <v/>
      </c>
      <c r="G302" s="39"/>
      <c r="H302" s="39"/>
      <c r="I302" s="40"/>
      <c r="J302" s="41"/>
      <c r="K302" s="38"/>
      <c r="L302" s="42" t="str">
        <f aca="false">IF($B302="","",IF(AND(N($I302)=0,N($J302)=0),"금액이 없습니다",IF(AND($I302&gt;0,$J302&gt;0),"수입·지출 둘 다 적혔습니다",IF($C302="","결제수단을 고르십시오",IF(ISNA(MATCH($C302,'통합 ③ 통장·카드'!$A$5:$A$11,0)),"③ 통장·카드에 없는 결제수단입니다",IF($D302="","계정과목을 고르십시오",IF($E302="※없는 과목","④ 설정에 없는 과목입니다",IF(AND($E302="수입",$J302&gt;0),"수입 과목인데 지출에 적혔습니다",IF(AND(LEFT($E302,2)&lt;&gt;"수입",$E302&lt;&gt;"대체",$I302&gt;0),"지출 과목인데 수입에 적혔습니다",IF($K302="","증빙을 고르십시오",IF(AND($C302="바우처통장",$J302&gt;0,IFERROR(INDEX('통합 ④ 설정'!$E$6:$E$40,MATCH($D302,'통합 ④ 설정'!$B$6:$B$40,0)),"")&lt;&gt;"○"),"바우처통장 지출 — 목적 확인",IF($H302="","적요를 적으십시오",""))))))))))))</f>
        <v/>
      </c>
      <c r="M302" s="39"/>
      <c r="O302" s="11" t="str">
        <f aca="false">IF($B302="","",YEAR($B302)*100+MONTH($B302))</f>
        <v/>
      </c>
      <c r="P302" s="11" t="str">
        <f aca="false">IF($B302="","",IF($E302="대체",0,1))</f>
        <v/>
      </c>
    </row>
    <row r="303" customFormat="false" ht="15" hidden="false" customHeight="false" outlineLevel="0" collapsed="false">
      <c r="A303" s="36" t="str">
        <f aca="false">IF($B303="","",COUNT($B$15:$B303))</f>
        <v/>
      </c>
      <c r="B303" s="37"/>
      <c r="C303" s="38"/>
      <c r="D303" s="39"/>
      <c r="E303" s="36" t="str">
        <f aca="false">IF($D303="","",IFERROR(INDEX('통합 ④ 설정'!$A$6:$A$40,MATCH($D303,'통합 ④ 설정'!$B$6:$B$40,0)),"※없는 과목"))</f>
        <v/>
      </c>
      <c r="F303" s="36" t="str">
        <f aca="false">IF($D303="","",IFERROR(INDEX('통합 ④ 설정'!$C$6:$C$40,MATCH($D303,'통합 ④ 설정'!$B$6:$B$40,0)),""))</f>
        <v/>
      </c>
      <c r="G303" s="39"/>
      <c r="H303" s="39"/>
      <c r="I303" s="40"/>
      <c r="J303" s="41"/>
      <c r="K303" s="38"/>
      <c r="L303" s="42" t="str">
        <f aca="false">IF($B303="","",IF(AND(N($I303)=0,N($J303)=0),"금액이 없습니다",IF(AND($I303&gt;0,$J303&gt;0),"수입·지출 둘 다 적혔습니다",IF($C303="","결제수단을 고르십시오",IF(ISNA(MATCH($C303,'통합 ③ 통장·카드'!$A$5:$A$11,0)),"③ 통장·카드에 없는 결제수단입니다",IF($D303="","계정과목을 고르십시오",IF($E303="※없는 과목","④ 설정에 없는 과목입니다",IF(AND($E303="수입",$J303&gt;0),"수입 과목인데 지출에 적혔습니다",IF(AND(LEFT($E303,2)&lt;&gt;"수입",$E303&lt;&gt;"대체",$I303&gt;0),"지출 과목인데 수입에 적혔습니다",IF($K303="","증빙을 고르십시오",IF(AND($C303="바우처통장",$J303&gt;0,IFERROR(INDEX('통합 ④ 설정'!$E$6:$E$40,MATCH($D303,'통합 ④ 설정'!$B$6:$B$40,0)),"")&lt;&gt;"○"),"바우처통장 지출 — 목적 확인",IF($H303="","적요를 적으십시오",""))))))))))))</f>
        <v/>
      </c>
      <c r="M303" s="39"/>
      <c r="O303" s="11" t="str">
        <f aca="false">IF($B303="","",YEAR($B303)*100+MONTH($B303))</f>
        <v/>
      </c>
      <c r="P303" s="11" t="str">
        <f aca="false">IF($B303="","",IF($E303="대체",0,1))</f>
        <v/>
      </c>
    </row>
    <row r="304" customFormat="false" ht="15" hidden="false" customHeight="false" outlineLevel="0" collapsed="false">
      <c r="A304" s="36" t="str">
        <f aca="false">IF($B304="","",COUNT($B$15:$B304))</f>
        <v/>
      </c>
      <c r="B304" s="37"/>
      <c r="C304" s="38"/>
      <c r="D304" s="39"/>
      <c r="E304" s="36" t="str">
        <f aca="false">IF($D304="","",IFERROR(INDEX('통합 ④ 설정'!$A$6:$A$40,MATCH($D304,'통합 ④ 설정'!$B$6:$B$40,0)),"※없는 과목"))</f>
        <v/>
      </c>
      <c r="F304" s="36" t="str">
        <f aca="false">IF($D304="","",IFERROR(INDEX('통합 ④ 설정'!$C$6:$C$40,MATCH($D304,'통합 ④ 설정'!$B$6:$B$40,0)),""))</f>
        <v/>
      </c>
      <c r="G304" s="39"/>
      <c r="H304" s="39"/>
      <c r="I304" s="40"/>
      <c r="J304" s="41"/>
      <c r="K304" s="38"/>
      <c r="L304" s="42" t="str">
        <f aca="false">IF($B304="","",IF(AND(N($I304)=0,N($J304)=0),"금액이 없습니다",IF(AND($I304&gt;0,$J304&gt;0),"수입·지출 둘 다 적혔습니다",IF($C304="","결제수단을 고르십시오",IF(ISNA(MATCH($C304,'통합 ③ 통장·카드'!$A$5:$A$11,0)),"③ 통장·카드에 없는 결제수단입니다",IF($D304="","계정과목을 고르십시오",IF($E304="※없는 과목","④ 설정에 없는 과목입니다",IF(AND($E304="수입",$J304&gt;0),"수입 과목인데 지출에 적혔습니다",IF(AND(LEFT($E304,2)&lt;&gt;"수입",$E304&lt;&gt;"대체",$I304&gt;0),"지출 과목인데 수입에 적혔습니다",IF($K304="","증빙을 고르십시오",IF(AND($C304="바우처통장",$J304&gt;0,IFERROR(INDEX('통합 ④ 설정'!$E$6:$E$40,MATCH($D304,'통합 ④ 설정'!$B$6:$B$40,0)),"")&lt;&gt;"○"),"바우처통장 지출 — 목적 확인",IF($H304="","적요를 적으십시오",""))))))))))))</f>
        <v/>
      </c>
      <c r="M304" s="39"/>
      <c r="O304" s="11" t="str">
        <f aca="false">IF($B304="","",YEAR($B304)*100+MONTH($B304))</f>
        <v/>
      </c>
      <c r="P304" s="11" t="str">
        <f aca="false">IF($B304="","",IF($E304="대체",0,1))</f>
        <v/>
      </c>
    </row>
    <row r="305" customFormat="false" ht="15" hidden="false" customHeight="false" outlineLevel="0" collapsed="false">
      <c r="A305" s="36" t="str">
        <f aca="false">IF($B305="","",COUNT($B$15:$B305))</f>
        <v/>
      </c>
      <c r="B305" s="37"/>
      <c r="C305" s="38"/>
      <c r="D305" s="39"/>
      <c r="E305" s="36" t="str">
        <f aca="false">IF($D305="","",IFERROR(INDEX('통합 ④ 설정'!$A$6:$A$40,MATCH($D305,'통합 ④ 설정'!$B$6:$B$40,0)),"※없는 과목"))</f>
        <v/>
      </c>
      <c r="F305" s="36" t="str">
        <f aca="false">IF($D305="","",IFERROR(INDEX('통합 ④ 설정'!$C$6:$C$40,MATCH($D305,'통합 ④ 설정'!$B$6:$B$40,0)),""))</f>
        <v/>
      </c>
      <c r="G305" s="39"/>
      <c r="H305" s="39"/>
      <c r="I305" s="40"/>
      <c r="J305" s="41"/>
      <c r="K305" s="38"/>
      <c r="L305" s="42" t="str">
        <f aca="false">IF($B305="","",IF(AND(N($I305)=0,N($J305)=0),"금액이 없습니다",IF(AND($I305&gt;0,$J305&gt;0),"수입·지출 둘 다 적혔습니다",IF($C305="","결제수단을 고르십시오",IF(ISNA(MATCH($C305,'통합 ③ 통장·카드'!$A$5:$A$11,0)),"③ 통장·카드에 없는 결제수단입니다",IF($D305="","계정과목을 고르십시오",IF($E305="※없는 과목","④ 설정에 없는 과목입니다",IF(AND($E305="수입",$J305&gt;0),"수입 과목인데 지출에 적혔습니다",IF(AND(LEFT($E305,2)&lt;&gt;"수입",$E305&lt;&gt;"대체",$I305&gt;0),"지출 과목인데 수입에 적혔습니다",IF($K305="","증빙을 고르십시오",IF(AND($C305="바우처통장",$J305&gt;0,IFERROR(INDEX('통합 ④ 설정'!$E$6:$E$40,MATCH($D305,'통합 ④ 설정'!$B$6:$B$40,0)),"")&lt;&gt;"○"),"바우처통장 지출 — 목적 확인",IF($H305="","적요를 적으십시오",""))))))))))))</f>
        <v/>
      </c>
      <c r="M305" s="39"/>
      <c r="O305" s="11" t="str">
        <f aca="false">IF($B305="","",YEAR($B305)*100+MONTH($B305))</f>
        <v/>
      </c>
      <c r="P305" s="11" t="str">
        <f aca="false">IF($B305="","",IF($E305="대체",0,1))</f>
        <v/>
      </c>
    </row>
    <row r="306" customFormat="false" ht="15" hidden="false" customHeight="false" outlineLevel="0" collapsed="false">
      <c r="A306" s="36" t="str">
        <f aca="false">IF($B306="","",COUNT($B$15:$B306))</f>
        <v/>
      </c>
      <c r="B306" s="37"/>
      <c r="C306" s="38"/>
      <c r="D306" s="39"/>
      <c r="E306" s="36" t="str">
        <f aca="false">IF($D306="","",IFERROR(INDEX('통합 ④ 설정'!$A$6:$A$40,MATCH($D306,'통합 ④ 설정'!$B$6:$B$40,0)),"※없는 과목"))</f>
        <v/>
      </c>
      <c r="F306" s="36" t="str">
        <f aca="false">IF($D306="","",IFERROR(INDEX('통합 ④ 설정'!$C$6:$C$40,MATCH($D306,'통합 ④ 설정'!$B$6:$B$40,0)),""))</f>
        <v/>
      </c>
      <c r="G306" s="39"/>
      <c r="H306" s="39"/>
      <c r="I306" s="40"/>
      <c r="J306" s="41"/>
      <c r="K306" s="38"/>
      <c r="L306" s="42" t="str">
        <f aca="false">IF($B306="","",IF(AND(N($I306)=0,N($J306)=0),"금액이 없습니다",IF(AND($I306&gt;0,$J306&gt;0),"수입·지출 둘 다 적혔습니다",IF($C306="","결제수단을 고르십시오",IF(ISNA(MATCH($C306,'통합 ③ 통장·카드'!$A$5:$A$11,0)),"③ 통장·카드에 없는 결제수단입니다",IF($D306="","계정과목을 고르십시오",IF($E306="※없는 과목","④ 설정에 없는 과목입니다",IF(AND($E306="수입",$J306&gt;0),"수입 과목인데 지출에 적혔습니다",IF(AND(LEFT($E306,2)&lt;&gt;"수입",$E306&lt;&gt;"대체",$I306&gt;0),"지출 과목인데 수입에 적혔습니다",IF($K306="","증빙을 고르십시오",IF(AND($C306="바우처통장",$J306&gt;0,IFERROR(INDEX('통합 ④ 설정'!$E$6:$E$40,MATCH($D306,'통합 ④ 설정'!$B$6:$B$40,0)),"")&lt;&gt;"○"),"바우처통장 지출 — 목적 확인",IF($H306="","적요를 적으십시오",""))))))))))))</f>
        <v/>
      </c>
      <c r="M306" s="39"/>
      <c r="O306" s="11" t="str">
        <f aca="false">IF($B306="","",YEAR($B306)*100+MONTH($B306))</f>
        <v/>
      </c>
      <c r="P306" s="11" t="str">
        <f aca="false">IF($B306="","",IF($E306="대체",0,1))</f>
        <v/>
      </c>
    </row>
    <row r="307" customFormat="false" ht="15" hidden="false" customHeight="false" outlineLevel="0" collapsed="false">
      <c r="A307" s="36" t="str">
        <f aca="false">IF($B307="","",COUNT($B$15:$B307))</f>
        <v/>
      </c>
      <c r="B307" s="37"/>
      <c r="C307" s="38"/>
      <c r="D307" s="39"/>
      <c r="E307" s="36" t="str">
        <f aca="false">IF($D307="","",IFERROR(INDEX('통합 ④ 설정'!$A$6:$A$40,MATCH($D307,'통합 ④ 설정'!$B$6:$B$40,0)),"※없는 과목"))</f>
        <v/>
      </c>
      <c r="F307" s="36" t="str">
        <f aca="false">IF($D307="","",IFERROR(INDEX('통합 ④ 설정'!$C$6:$C$40,MATCH($D307,'통합 ④ 설정'!$B$6:$B$40,0)),""))</f>
        <v/>
      </c>
      <c r="G307" s="39"/>
      <c r="H307" s="39"/>
      <c r="I307" s="40"/>
      <c r="J307" s="41"/>
      <c r="K307" s="38"/>
      <c r="L307" s="42" t="str">
        <f aca="false">IF($B307="","",IF(AND(N($I307)=0,N($J307)=0),"금액이 없습니다",IF(AND($I307&gt;0,$J307&gt;0),"수입·지출 둘 다 적혔습니다",IF($C307="","결제수단을 고르십시오",IF(ISNA(MATCH($C307,'통합 ③ 통장·카드'!$A$5:$A$11,0)),"③ 통장·카드에 없는 결제수단입니다",IF($D307="","계정과목을 고르십시오",IF($E307="※없는 과목","④ 설정에 없는 과목입니다",IF(AND($E307="수입",$J307&gt;0),"수입 과목인데 지출에 적혔습니다",IF(AND(LEFT($E307,2)&lt;&gt;"수입",$E307&lt;&gt;"대체",$I307&gt;0),"지출 과목인데 수입에 적혔습니다",IF($K307="","증빙을 고르십시오",IF(AND($C307="바우처통장",$J307&gt;0,IFERROR(INDEX('통합 ④ 설정'!$E$6:$E$40,MATCH($D307,'통합 ④ 설정'!$B$6:$B$40,0)),"")&lt;&gt;"○"),"바우처통장 지출 — 목적 확인",IF($H307="","적요를 적으십시오",""))))))))))))</f>
        <v/>
      </c>
      <c r="M307" s="39"/>
      <c r="O307" s="11" t="str">
        <f aca="false">IF($B307="","",YEAR($B307)*100+MONTH($B307))</f>
        <v/>
      </c>
      <c r="P307" s="11" t="str">
        <f aca="false">IF($B307="","",IF($E307="대체",0,1))</f>
        <v/>
      </c>
    </row>
    <row r="308" customFormat="false" ht="15" hidden="false" customHeight="false" outlineLevel="0" collapsed="false">
      <c r="A308" s="36" t="str">
        <f aca="false">IF($B308="","",COUNT($B$15:$B308))</f>
        <v/>
      </c>
      <c r="B308" s="37"/>
      <c r="C308" s="38"/>
      <c r="D308" s="39"/>
      <c r="E308" s="36" t="str">
        <f aca="false">IF($D308="","",IFERROR(INDEX('통합 ④ 설정'!$A$6:$A$40,MATCH($D308,'통합 ④ 설정'!$B$6:$B$40,0)),"※없는 과목"))</f>
        <v/>
      </c>
      <c r="F308" s="36" t="str">
        <f aca="false">IF($D308="","",IFERROR(INDEX('통합 ④ 설정'!$C$6:$C$40,MATCH($D308,'통합 ④ 설정'!$B$6:$B$40,0)),""))</f>
        <v/>
      </c>
      <c r="G308" s="39"/>
      <c r="H308" s="39"/>
      <c r="I308" s="40"/>
      <c r="J308" s="41"/>
      <c r="K308" s="38"/>
      <c r="L308" s="42" t="str">
        <f aca="false">IF($B308="","",IF(AND(N($I308)=0,N($J308)=0),"금액이 없습니다",IF(AND($I308&gt;0,$J308&gt;0),"수입·지출 둘 다 적혔습니다",IF($C308="","결제수단을 고르십시오",IF(ISNA(MATCH($C308,'통합 ③ 통장·카드'!$A$5:$A$11,0)),"③ 통장·카드에 없는 결제수단입니다",IF($D308="","계정과목을 고르십시오",IF($E308="※없는 과목","④ 설정에 없는 과목입니다",IF(AND($E308="수입",$J308&gt;0),"수입 과목인데 지출에 적혔습니다",IF(AND(LEFT($E308,2)&lt;&gt;"수입",$E308&lt;&gt;"대체",$I308&gt;0),"지출 과목인데 수입에 적혔습니다",IF($K308="","증빙을 고르십시오",IF(AND($C308="바우처통장",$J308&gt;0,IFERROR(INDEX('통합 ④ 설정'!$E$6:$E$40,MATCH($D308,'통합 ④ 설정'!$B$6:$B$40,0)),"")&lt;&gt;"○"),"바우처통장 지출 — 목적 확인",IF($H308="","적요를 적으십시오",""))))))))))))</f>
        <v/>
      </c>
      <c r="M308" s="39"/>
      <c r="O308" s="11" t="str">
        <f aca="false">IF($B308="","",YEAR($B308)*100+MONTH($B308))</f>
        <v/>
      </c>
      <c r="P308" s="11" t="str">
        <f aca="false">IF($B308="","",IF($E308="대체",0,1))</f>
        <v/>
      </c>
    </row>
    <row r="309" customFormat="false" ht="15" hidden="false" customHeight="false" outlineLevel="0" collapsed="false">
      <c r="A309" s="36" t="str">
        <f aca="false">IF($B309="","",COUNT($B$15:$B309))</f>
        <v/>
      </c>
      <c r="B309" s="37"/>
      <c r="C309" s="38"/>
      <c r="D309" s="39"/>
      <c r="E309" s="36" t="str">
        <f aca="false">IF($D309="","",IFERROR(INDEX('통합 ④ 설정'!$A$6:$A$40,MATCH($D309,'통합 ④ 설정'!$B$6:$B$40,0)),"※없는 과목"))</f>
        <v/>
      </c>
      <c r="F309" s="36" t="str">
        <f aca="false">IF($D309="","",IFERROR(INDEX('통합 ④ 설정'!$C$6:$C$40,MATCH($D309,'통합 ④ 설정'!$B$6:$B$40,0)),""))</f>
        <v/>
      </c>
      <c r="G309" s="39"/>
      <c r="H309" s="39"/>
      <c r="I309" s="40"/>
      <c r="J309" s="41"/>
      <c r="K309" s="38"/>
      <c r="L309" s="42" t="str">
        <f aca="false">IF($B309="","",IF(AND(N($I309)=0,N($J309)=0),"금액이 없습니다",IF(AND($I309&gt;0,$J309&gt;0),"수입·지출 둘 다 적혔습니다",IF($C309="","결제수단을 고르십시오",IF(ISNA(MATCH($C309,'통합 ③ 통장·카드'!$A$5:$A$11,0)),"③ 통장·카드에 없는 결제수단입니다",IF($D309="","계정과목을 고르십시오",IF($E309="※없는 과목","④ 설정에 없는 과목입니다",IF(AND($E309="수입",$J309&gt;0),"수입 과목인데 지출에 적혔습니다",IF(AND(LEFT($E309,2)&lt;&gt;"수입",$E309&lt;&gt;"대체",$I309&gt;0),"지출 과목인데 수입에 적혔습니다",IF($K309="","증빙을 고르십시오",IF(AND($C309="바우처통장",$J309&gt;0,IFERROR(INDEX('통합 ④ 설정'!$E$6:$E$40,MATCH($D309,'통합 ④ 설정'!$B$6:$B$40,0)),"")&lt;&gt;"○"),"바우처통장 지출 — 목적 확인",IF($H309="","적요를 적으십시오",""))))))))))))</f>
        <v/>
      </c>
      <c r="M309" s="39"/>
      <c r="O309" s="11" t="str">
        <f aca="false">IF($B309="","",YEAR($B309)*100+MONTH($B309))</f>
        <v/>
      </c>
      <c r="P309" s="11" t="str">
        <f aca="false">IF($B309="","",IF($E309="대체",0,1))</f>
        <v/>
      </c>
    </row>
    <row r="310" customFormat="false" ht="15" hidden="false" customHeight="false" outlineLevel="0" collapsed="false">
      <c r="A310" s="36" t="str">
        <f aca="false">IF($B310="","",COUNT($B$15:$B310))</f>
        <v/>
      </c>
      <c r="B310" s="37"/>
      <c r="C310" s="38"/>
      <c r="D310" s="39"/>
      <c r="E310" s="36" t="str">
        <f aca="false">IF($D310="","",IFERROR(INDEX('통합 ④ 설정'!$A$6:$A$40,MATCH($D310,'통합 ④ 설정'!$B$6:$B$40,0)),"※없는 과목"))</f>
        <v/>
      </c>
      <c r="F310" s="36" t="str">
        <f aca="false">IF($D310="","",IFERROR(INDEX('통합 ④ 설정'!$C$6:$C$40,MATCH($D310,'통합 ④ 설정'!$B$6:$B$40,0)),""))</f>
        <v/>
      </c>
      <c r="G310" s="39"/>
      <c r="H310" s="39"/>
      <c r="I310" s="40"/>
      <c r="J310" s="41"/>
      <c r="K310" s="38"/>
      <c r="L310" s="42" t="str">
        <f aca="false">IF($B310="","",IF(AND(N($I310)=0,N($J310)=0),"금액이 없습니다",IF(AND($I310&gt;0,$J310&gt;0),"수입·지출 둘 다 적혔습니다",IF($C310="","결제수단을 고르십시오",IF(ISNA(MATCH($C310,'통합 ③ 통장·카드'!$A$5:$A$11,0)),"③ 통장·카드에 없는 결제수단입니다",IF($D310="","계정과목을 고르십시오",IF($E310="※없는 과목","④ 설정에 없는 과목입니다",IF(AND($E310="수입",$J310&gt;0),"수입 과목인데 지출에 적혔습니다",IF(AND(LEFT($E310,2)&lt;&gt;"수입",$E310&lt;&gt;"대체",$I310&gt;0),"지출 과목인데 수입에 적혔습니다",IF($K310="","증빙을 고르십시오",IF(AND($C310="바우처통장",$J310&gt;0,IFERROR(INDEX('통합 ④ 설정'!$E$6:$E$40,MATCH($D310,'통합 ④ 설정'!$B$6:$B$40,0)),"")&lt;&gt;"○"),"바우처통장 지출 — 목적 확인",IF($H310="","적요를 적으십시오",""))))))))))))</f>
        <v/>
      </c>
      <c r="M310" s="39"/>
      <c r="O310" s="11" t="str">
        <f aca="false">IF($B310="","",YEAR($B310)*100+MONTH($B310))</f>
        <v/>
      </c>
      <c r="P310" s="11" t="str">
        <f aca="false">IF($B310="","",IF($E310="대체",0,1))</f>
        <v/>
      </c>
    </row>
    <row r="311" customFormat="false" ht="15" hidden="false" customHeight="false" outlineLevel="0" collapsed="false">
      <c r="A311" s="36" t="str">
        <f aca="false">IF($B311="","",COUNT($B$15:$B311))</f>
        <v/>
      </c>
      <c r="B311" s="37"/>
      <c r="C311" s="38"/>
      <c r="D311" s="39"/>
      <c r="E311" s="36" t="str">
        <f aca="false">IF($D311="","",IFERROR(INDEX('통합 ④ 설정'!$A$6:$A$40,MATCH($D311,'통합 ④ 설정'!$B$6:$B$40,0)),"※없는 과목"))</f>
        <v/>
      </c>
      <c r="F311" s="36" t="str">
        <f aca="false">IF($D311="","",IFERROR(INDEX('통합 ④ 설정'!$C$6:$C$40,MATCH($D311,'통합 ④ 설정'!$B$6:$B$40,0)),""))</f>
        <v/>
      </c>
      <c r="G311" s="39"/>
      <c r="H311" s="39"/>
      <c r="I311" s="40"/>
      <c r="J311" s="41"/>
      <c r="K311" s="38"/>
      <c r="L311" s="42" t="str">
        <f aca="false">IF($B311="","",IF(AND(N($I311)=0,N($J311)=0),"금액이 없습니다",IF(AND($I311&gt;0,$J311&gt;0),"수입·지출 둘 다 적혔습니다",IF($C311="","결제수단을 고르십시오",IF(ISNA(MATCH($C311,'통합 ③ 통장·카드'!$A$5:$A$11,0)),"③ 통장·카드에 없는 결제수단입니다",IF($D311="","계정과목을 고르십시오",IF($E311="※없는 과목","④ 설정에 없는 과목입니다",IF(AND($E311="수입",$J311&gt;0),"수입 과목인데 지출에 적혔습니다",IF(AND(LEFT($E311,2)&lt;&gt;"수입",$E311&lt;&gt;"대체",$I311&gt;0),"지출 과목인데 수입에 적혔습니다",IF($K311="","증빙을 고르십시오",IF(AND($C311="바우처통장",$J311&gt;0,IFERROR(INDEX('통합 ④ 설정'!$E$6:$E$40,MATCH($D311,'통합 ④ 설정'!$B$6:$B$40,0)),"")&lt;&gt;"○"),"바우처통장 지출 — 목적 확인",IF($H311="","적요를 적으십시오",""))))))))))))</f>
        <v/>
      </c>
      <c r="M311" s="39"/>
      <c r="O311" s="11" t="str">
        <f aca="false">IF($B311="","",YEAR($B311)*100+MONTH($B311))</f>
        <v/>
      </c>
      <c r="P311" s="11" t="str">
        <f aca="false">IF($B311="","",IF($E311="대체",0,1))</f>
        <v/>
      </c>
    </row>
    <row r="312" customFormat="false" ht="15" hidden="false" customHeight="false" outlineLevel="0" collapsed="false">
      <c r="A312" s="36" t="str">
        <f aca="false">IF($B312="","",COUNT($B$15:$B312))</f>
        <v/>
      </c>
      <c r="B312" s="37"/>
      <c r="C312" s="38"/>
      <c r="D312" s="39"/>
      <c r="E312" s="36" t="str">
        <f aca="false">IF($D312="","",IFERROR(INDEX('통합 ④ 설정'!$A$6:$A$40,MATCH($D312,'통합 ④ 설정'!$B$6:$B$40,0)),"※없는 과목"))</f>
        <v/>
      </c>
      <c r="F312" s="36" t="str">
        <f aca="false">IF($D312="","",IFERROR(INDEX('통합 ④ 설정'!$C$6:$C$40,MATCH($D312,'통합 ④ 설정'!$B$6:$B$40,0)),""))</f>
        <v/>
      </c>
      <c r="G312" s="39"/>
      <c r="H312" s="39"/>
      <c r="I312" s="40"/>
      <c r="J312" s="41"/>
      <c r="K312" s="38"/>
      <c r="L312" s="42" t="str">
        <f aca="false">IF($B312="","",IF(AND(N($I312)=0,N($J312)=0),"금액이 없습니다",IF(AND($I312&gt;0,$J312&gt;0),"수입·지출 둘 다 적혔습니다",IF($C312="","결제수단을 고르십시오",IF(ISNA(MATCH($C312,'통합 ③ 통장·카드'!$A$5:$A$11,0)),"③ 통장·카드에 없는 결제수단입니다",IF($D312="","계정과목을 고르십시오",IF($E312="※없는 과목","④ 설정에 없는 과목입니다",IF(AND($E312="수입",$J312&gt;0),"수입 과목인데 지출에 적혔습니다",IF(AND(LEFT($E312,2)&lt;&gt;"수입",$E312&lt;&gt;"대체",$I312&gt;0),"지출 과목인데 수입에 적혔습니다",IF($K312="","증빙을 고르십시오",IF(AND($C312="바우처통장",$J312&gt;0,IFERROR(INDEX('통합 ④ 설정'!$E$6:$E$40,MATCH($D312,'통합 ④ 설정'!$B$6:$B$40,0)),"")&lt;&gt;"○"),"바우처통장 지출 — 목적 확인",IF($H312="","적요를 적으십시오",""))))))))))))</f>
        <v/>
      </c>
      <c r="M312" s="39"/>
      <c r="O312" s="11" t="str">
        <f aca="false">IF($B312="","",YEAR($B312)*100+MONTH($B312))</f>
        <v/>
      </c>
      <c r="P312" s="11" t="str">
        <f aca="false">IF($B312="","",IF($E312="대체",0,1))</f>
        <v/>
      </c>
    </row>
    <row r="313" customFormat="false" ht="15" hidden="false" customHeight="false" outlineLevel="0" collapsed="false">
      <c r="A313" s="36" t="str">
        <f aca="false">IF($B313="","",COUNT($B$15:$B313))</f>
        <v/>
      </c>
      <c r="B313" s="37"/>
      <c r="C313" s="38"/>
      <c r="D313" s="39"/>
      <c r="E313" s="36" t="str">
        <f aca="false">IF($D313="","",IFERROR(INDEX('통합 ④ 설정'!$A$6:$A$40,MATCH($D313,'통합 ④ 설정'!$B$6:$B$40,0)),"※없는 과목"))</f>
        <v/>
      </c>
      <c r="F313" s="36" t="str">
        <f aca="false">IF($D313="","",IFERROR(INDEX('통합 ④ 설정'!$C$6:$C$40,MATCH($D313,'통합 ④ 설정'!$B$6:$B$40,0)),""))</f>
        <v/>
      </c>
      <c r="G313" s="39"/>
      <c r="H313" s="39"/>
      <c r="I313" s="40"/>
      <c r="J313" s="41"/>
      <c r="K313" s="38"/>
      <c r="L313" s="42" t="str">
        <f aca="false">IF($B313="","",IF(AND(N($I313)=0,N($J313)=0),"금액이 없습니다",IF(AND($I313&gt;0,$J313&gt;0),"수입·지출 둘 다 적혔습니다",IF($C313="","결제수단을 고르십시오",IF(ISNA(MATCH($C313,'통합 ③ 통장·카드'!$A$5:$A$11,0)),"③ 통장·카드에 없는 결제수단입니다",IF($D313="","계정과목을 고르십시오",IF($E313="※없는 과목","④ 설정에 없는 과목입니다",IF(AND($E313="수입",$J313&gt;0),"수입 과목인데 지출에 적혔습니다",IF(AND(LEFT($E313,2)&lt;&gt;"수입",$E313&lt;&gt;"대체",$I313&gt;0),"지출 과목인데 수입에 적혔습니다",IF($K313="","증빙을 고르십시오",IF(AND($C313="바우처통장",$J313&gt;0,IFERROR(INDEX('통합 ④ 설정'!$E$6:$E$40,MATCH($D313,'통합 ④ 설정'!$B$6:$B$40,0)),"")&lt;&gt;"○"),"바우처통장 지출 — 목적 확인",IF($H313="","적요를 적으십시오",""))))))))))))</f>
        <v/>
      </c>
      <c r="M313" s="39"/>
      <c r="O313" s="11" t="str">
        <f aca="false">IF($B313="","",YEAR($B313)*100+MONTH($B313))</f>
        <v/>
      </c>
      <c r="P313" s="11" t="str">
        <f aca="false">IF($B313="","",IF($E313="대체",0,1))</f>
        <v/>
      </c>
    </row>
    <row r="314" customFormat="false" ht="15" hidden="false" customHeight="false" outlineLevel="0" collapsed="false">
      <c r="A314" s="36" t="str">
        <f aca="false">IF($B314="","",COUNT($B$15:$B314))</f>
        <v/>
      </c>
      <c r="B314" s="37"/>
      <c r="C314" s="38"/>
      <c r="D314" s="39"/>
      <c r="E314" s="36" t="str">
        <f aca="false">IF($D314="","",IFERROR(INDEX('통합 ④ 설정'!$A$6:$A$40,MATCH($D314,'통합 ④ 설정'!$B$6:$B$40,0)),"※없는 과목"))</f>
        <v/>
      </c>
      <c r="F314" s="36" t="str">
        <f aca="false">IF($D314="","",IFERROR(INDEX('통합 ④ 설정'!$C$6:$C$40,MATCH($D314,'통합 ④ 설정'!$B$6:$B$40,0)),""))</f>
        <v/>
      </c>
      <c r="G314" s="39"/>
      <c r="H314" s="39"/>
      <c r="I314" s="40"/>
      <c r="J314" s="41"/>
      <c r="K314" s="38"/>
      <c r="L314" s="42" t="str">
        <f aca="false">IF($B314="","",IF(AND(N($I314)=0,N($J314)=0),"금액이 없습니다",IF(AND($I314&gt;0,$J314&gt;0),"수입·지출 둘 다 적혔습니다",IF($C314="","결제수단을 고르십시오",IF(ISNA(MATCH($C314,'통합 ③ 통장·카드'!$A$5:$A$11,0)),"③ 통장·카드에 없는 결제수단입니다",IF($D314="","계정과목을 고르십시오",IF($E314="※없는 과목","④ 설정에 없는 과목입니다",IF(AND($E314="수입",$J314&gt;0),"수입 과목인데 지출에 적혔습니다",IF(AND(LEFT($E314,2)&lt;&gt;"수입",$E314&lt;&gt;"대체",$I314&gt;0),"지출 과목인데 수입에 적혔습니다",IF($K314="","증빙을 고르십시오",IF(AND($C314="바우처통장",$J314&gt;0,IFERROR(INDEX('통합 ④ 설정'!$E$6:$E$40,MATCH($D314,'통합 ④ 설정'!$B$6:$B$40,0)),"")&lt;&gt;"○"),"바우처통장 지출 — 목적 확인",IF($H314="","적요를 적으십시오",""))))))))))))</f>
        <v/>
      </c>
      <c r="M314" s="39"/>
      <c r="O314" s="11" t="str">
        <f aca="false">IF($B314="","",YEAR($B314)*100+MONTH($B314))</f>
        <v/>
      </c>
      <c r="P314" s="11" t="str">
        <f aca="false">IF($B314="","",IF($E314="대체",0,1))</f>
        <v/>
      </c>
    </row>
    <row r="315" customFormat="false" ht="15" hidden="false" customHeight="false" outlineLevel="0" collapsed="false">
      <c r="A315" s="36" t="str">
        <f aca="false">IF($B315="","",COUNT($B$15:$B315))</f>
        <v/>
      </c>
      <c r="B315" s="37"/>
      <c r="C315" s="38"/>
      <c r="D315" s="39"/>
      <c r="E315" s="36" t="str">
        <f aca="false">IF($D315="","",IFERROR(INDEX('통합 ④ 설정'!$A$6:$A$40,MATCH($D315,'통합 ④ 설정'!$B$6:$B$40,0)),"※없는 과목"))</f>
        <v/>
      </c>
      <c r="F315" s="36" t="str">
        <f aca="false">IF($D315="","",IFERROR(INDEX('통합 ④ 설정'!$C$6:$C$40,MATCH($D315,'통합 ④ 설정'!$B$6:$B$40,0)),""))</f>
        <v/>
      </c>
      <c r="G315" s="39"/>
      <c r="H315" s="39"/>
      <c r="I315" s="40"/>
      <c r="J315" s="41"/>
      <c r="K315" s="38"/>
      <c r="L315" s="42" t="str">
        <f aca="false">IF($B315="","",IF(AND(N($I315)=0,N($J315)=0),"금액이 없습니다",IF(AND($I315&gt;0,$J315&gt;0),"수입·지출 둘 다 적혔습니다",IF($C315="","결제수단을 고르십시오",IF(ISNA(MATCH($C315,'통합 ③ 통장·카드'!$A$5:$A$11,0)),"③ 통장·카드에 없는 결제수단입니다",IF($D315="","계정과목을 고르십시오",IF($E315="※없는 과목","④ 설정에 없는 과목입니다",IF(AND($E315="수입",$J315&gt;0),"수입 과목인데 지출에 적혔습니다",IF(AND(LEFT($E315,2)&lt;&gt;"수입",$E315&lt;&gt;"대체",$I315&gt;0),"지출 과목인데 수입에 적혔습니다",IF($K315="","증빙을 고르십시오",IF(AND($C315="바우처통장",$J315&gt;0,IFERROR(INDEX('통합 ④ 설정'!$E$6:$E$40,MATCH($D315,'통합 ④ 설정'!$B$6:$B$40,0)),"")&lt;&gt;"○"),"바우처통장 지출 — 목적 확인",IF($H315="","적요를 적으십시오",""))))))))))))</f>
        <v/>
      </c>
      <c r="M315" s="39"/>
      <c r="O315" s="11" t="str">
        <f aca="false">IF($B315="","",YEAR($B315)*100+MONTH($B315))</f>
        <v/>
      </c>
      <c r="P315" s="11" t="str">
        <f aca="false">IF($B315="","",IF($E315="대체",0,1))</f>
        <v/>
      </c>
    </row>
    <row r="316" customFormat="false" ht="15" hidden="false" customHeight="false" outlineLevel="0" collapsed="false">
      <c r="A316" s="36" t="str">
        <f aca="false">IF($B316="","",COUNT($B$15:$B316))</f>
        <v/>
      </c>
      <c r="B316" s="37"/>
      <c r="C316" s="38"/>
      <c r="D316" s="39"/>
      <c r="E316" s="36" t="str">
        <f aca="false">IF($D316="","",IFERROR(INDEX('통합 ④ 설정'!$A$6:$A$40,MATCH($D316,'통합 ④ 설정'!$B$6:$B$40,0)),"※없는 과목"))</f>
        <v/>
      </c>
      <c r="F316" s="36" t="str">
        <f aca="false">IF($D316="","",IFERROR(INDEX('통합 ④ 설정'!$C$6:$C$40,MATCH($D316,'통합 ④ 설정'!$B$6:$B$40,0)),""))</f>
        <v/>
      </c>
      <c r="G316" s="39"/>
      <c r="H316" s="39"/>
      <c r="I316" s="40"/>
      <c r="J316" s="41"/>
      <c r="K316" s="38"/>
      <c r="L316" s="42" t="str">
        <f aca="false">IF($B316="","",IF(AND(N($I316)=0,N($J316)=0),"금액이 없습니다",IF(AND($I316&gt;0,$J316&gt;0),"수입·지출 둘 다 적혔습니다",IF($C316="","결제수단을 고르십시오",IF(ISNA(MATCH($C316,'통합 ③ 통장·카드'!$A$5:$A$11,0)),"③ 통장·카드에 없는 결제수단입니다",IF($D316="","계정과목을 고르십시오",IF($E316="※없는 과목","④ 설정에 없는 과목입니다",IF(AND($E316="수입",$J316&gt;0),"수입 과목인데 지출에 적혔습니다",IF(AND(LEFT($E316,2)&lt;&gt;"수입",$E316&lt;&gt;"대체",$I316&gt;0),"지출 과목인데 수입에 적혔습니다",IF($K316="","증빙을 고르십시오",IF(AND($C316="바우처통장",$J316&gt;0,IFERROR(INDEX('통합 ④ 설정'!$E$6:$E$40,MATCH($D316,'통합 ④ 설정'!$B$6:$B$40,0)),"")&lt;&gt;"○"),"바우처통장 지출 — 목적 확인",IF($H316="","적요를 적으십시오",""))))))))))))</f>
        <v/>
      </c>
      <c r="M316" s="39"/>
      <c r="O316" s="11" t="str">
        <f aca="false">IF($B316="","",YEAR($B316)*100+MONTH($B316))</f>
        <v/>
      </c>
      <c r="P316" s="11" t="str">
        <f aca="false">IF($B316="","",IF($E316="대체",0,1))</f>
        <v/>
      </c>
    </row>
    <row r="317" customFormat="false" ht="15" hidden="false" customHeight="false" outlineLevel="0" collapsed="false">
      <c r="A317" s="36" t="str">
        <f aca="false">IF($B317="","",COUNT($B$15:$B317))</f>
        <v/>
      </c>
      <c r="B317" s="37"/>
      <c r="C317" s="38"/>
      <c r="D317" s="39"/>
      <c r="E317" s="36" t="str">
        <f aca="false">IF($D317="","",IFERROR(INDEX('통합 ④ 설정'!$A$6:$A$40,MATCH($D317,'통합 ④ 설정'!$B$6:$B$40,0)),"※없는 과목"))</f>
        <v/>
      </c>
      <c r="F317" s="36" t="str">
        <f aca="false">IF($D317="","",IFERROR(INDEX('통합 ④ 설정'!$C$6:$C$40,MATCH($D317,'통합 ④ 설정'!$B$6:$B$40,0)),""))</f>
        <v/>
      </c>
      <c r="G317" s="39"/>
      <c r="H317" s="39"/>
      <c r="I317" s="40"/>
      <c r="J317" s="41"/>
      <c r="K317" s="38"/>
      <c r="L317" s="42" t="str">
        <f aca="false">IF($B317="","",IF(AND(N($I317)=0,N($J317)=0),"금액이 없습니다",IF(AND($I317&gt;0,$J317&gt;0),"수입·지출 둘 다 적혔습니다",IF($C317="","결제수단을 고르십시오",IF(ISNA(MATCH($C317,'통합 ③ 통장·카드'!$A$5:$A$11,0)),"③ 통장·카드에 없는 결제수단입니다",IF($D317="","계정과목을 고르십시오",IF($E317="※없는 과목","④ 설정에 없는 과목입니다",IF(AND($E317="수입",$J317&gt;0),"수입 과목인데 지출에 적혔습니다",IF(AND(LEFT($E317,2)&lt;&gt;"수입",$E317&lt;&gt;"대체",$I317&gt;0),"지출 과목인데 수입에 적혔습니다",IF($K317="","증빙을 고르십시오",IF(AND($C317="바우처통장",$J317&gt;0,IFERROR(INDEX('통합 ④ 설정'!$E$6:$E$40,MATCH($D317,'통합 ④ 설정'!$B$6:$B$40,0)),"")&lt;&gt;"○"),"바우처통장 지출 — 목적 확인",IF($H317="","적요를 적으십시오",""))))))))))))</f>
        <v/>
      </c>
      <c r="M317" s="39"/>
      <c r="O317" s="11" t="str">
        <f aca="false">IF($B317="","",YEAR($B317)*100+MONTH($B317))</f>
        <v/>
      </c>
      <c r="P317" s="11" t="str">
        <f aca="false">IF($B317="","",IF($E317="대체",0,1))</f>
        <v/>
      </c>
    </row>
    <row r="318" customFormat="false" ht="15" hidden="false" customHeight="false" outlineLevel="0" collapsed="false">
      <c r="A318" s="36" t="str">
        <f aca="false">IF($B318="","",COUNT($B$15:$B318))</f>
        <v/>
      </c>
      <c r="B318" s="37"/>
      <c r="C318" s="38"/>
      <c r="D318" s="39"/>
      <c r="E318" s="36" t="str">
        <f aca="false">IF($D318="","",IFERROR(INDEX('통합 ④ 설정'!$A$6:$A$40,MATCH($D318,'통합 ④ 설정'!$B$6:$B$40,0)),"※없는 과목"))</f>
        <v/>
      </c>
      <c r="F318" s="36" t="str">
        <f aca="false">IF($D318="","",IFERROR(INDEX('통합 ④ 설정'!$C$6:$C$40,MATCH($D318,'통합 ④ 설정'!$B$6:$B$40,0)),""))</f>
        <v/>
      </c>
      <c r="G318" s="39"/>
      <c r="H318" s="39"/>
      <c r="I318" s="40"/>
      <c r="J318" s="41"/>
      <c r="K318" s="38"/>
      <c r="L318" s="42" t="str">
        <f aca="false">IF($B318="","",IF(AND(N($I318)=0,N($J318)=0),"금액이 없습니다",IF(AND($I318&gt;0,$J318&gt;0),"수입·지출 둘 다 적혔습니다",IF($C318="","결제수단을 고르십시오",IF(ISNA(MATCH($C318,'통합 ③ 통장·카드'!$A$5:$A$11,0)),"③ 통장·카드에 없는 결제수단입니다",IF($D318="","계정과목을 고르십시오",IF($E318="※없는 과목","④ 설정에 없는 과목입니다",IF(AND($E318="수입",$J318&gt;0),"수입 과목인데 지출에 적혔습니다",IF(AND(LEFT($E318,2)&lt;&gt;"수입",$E318&lt;&gt;"대체",$I318&gt;0),"지출 과목인데 수입에 적혔습니다",IF($K318="","증빙을 고르십시오",IF(AND($C318="바우처통장",$J318&gt;0,IFERROR(INDEX('통합 ④ 설정'!$E$6:$E$40,MATCH($D318,'통합 ④ 설정'!$B$6:$B$40,0)),"")&lt;&gt;"○"),"바우처통장 지출 — 목적 확인",IF($H318="","적요를 적으십시오",""))))))))))))</f>
        <v/>
      </c>
      <c r="M318" s="39"/>
      <c r="O318" s="11" t="str">
        <f aca="false">IF($B318="","",YEAR($B318)*100+MONTH($B318))</f>
        <v/>
      </c>
      <c r="P318" s="11" t="str">
        <f aca="false">IF($B318="","",IF($E318="대체",0,1))</f>
        <v/>
      </c>
    </row>
    <row r="319" customFormat="false" ht="15" hidden="false" customHeight="false" outlineLevel="0" collapsed="false">
      <c r="A319" s="36" t="str">
        <f aca="false">IF($B319="","",COUNT($B$15:$B319))</f>
        <v/>
      </c>
      <c r="B319" s="37"/>
      <c r="C319" s="38"/>
      <c r="D319" s="39"/>
      <c r="E319" s="36" t="str">
        <f aca="false">IF($D319="","",IFERROR(INDEX('통합 ④ 설정'!$A$6:$A$40,MATCH($D319,'통합 ④ 설정'!$B$6:$B$40,0)),"※없는 과목"))</f>
        <v/>
      </c>
      <c r="F319" s="36" t="str">
        <f aca="false">IF($D319="","",IFERROR(INDEX('통합 ④ 설정'!$C$6:$C$40,MATCH($D319,'통합 ④ 설정'!$B$6:$B$40,0)),""))</f>
        <v/>
      </c>
      <c r="G319" s="39"/>
      <c r="H319" s="39"/>
      <c r="I319" s="40"/>
      <c r="J319" s="41"/>
      <c r="K319" s="38"/>
      <c r="L319" s="42" t="str">
        <f aca="false">IF($B319="","",IF(AND(N($I319)=0,N($J319)=0),"금액이 없습니다",IF(AND($I319&gt;0,$J319&gt;0),"수입·지출 둘 다 적혔습니다",IF($C319="","결제수단을 고르십시오",IF(ISNA(MATCH($C319,'통합 ③ 통장·카드'!$A$5:$A$11,0)),"③ 통장·카드에 없는 결제수단입니다",IF($D319="","계정과목을 고르십시오",IF($E319="※없는 과목","④ 설정에 없는 과목입니다",IF(AND($E319="수입",$J319&gt;0),"수입 과목인데 지출에 적혔습니다",IF(AND(LEFT($E319,2)&lt;&gt;"수입",$E319&lt;&gt;"대체",$I319&gt;0),"지출 과목인데 수입에 적혔습니다",IF($K319="","증빙을 고르십시오",IF(AND($C319="바우처통장",$J319&gt;0,IFERROR(INDEX('통합 ④ 설정'!$E$6:$E$40,MATCH($D319,'통합 ④ 설정'!$B$6:$B$40,0)),"")&lt;&gt;"○"),"바우처통장 지출 — 목적 확인",IF($H319="","적요를 적으십시오",""))))))))))))</f>
        <v/>
      </c>
      <c r="M319" s="39"/>
      <c r="O319" s="11" t="str">
        <f aca="false">IF($B319="","",YEAR($B319)*100+MONTH($B319))</f>
        <v/>
      </c>
      <c r="P319" s="11" t="str">
        <f aca="false">IF($B319="","",IF($E319="대체",0,1))</f>
        <v/>
      </c>
    </row>
    <row r="320" customFormat="false" ht="15" hidden="false" customHeight="false" outlineLevel="0" collapsed="false">
      <c r="A320" s="36" t="str">
        <f aca="false">IF($B320="","",COUNT($B$15:$B320))</f>
        <v/>
      </c>
      <c r="B320" s="37"/>
      <c r="C320" s="38"/>
      <c r="D320" s="39"/>
      <c r="E320" s="36" t="str">
        <f aca="false">IF($D320="","",IFERROR(INDEX('통합 ④ 설정'!$A$6:$A$40,MATCH($D320,'통합 ④ 설정'!$B$6:$B$40,0)),"※없는 과목"))</f>
        <v/>
      </c>
      <c r="F320" s="36" t="str">
        <f aca="false">IF($D320="","",IFERROR(INDEX('통합 ④ 설정'!$C$6:$C$40,MATCH($D320,'통합 ④ 설정'!$B$6:$B$40,0)),""))</f>
        <v/>
      </c>
      <c r="G320" s="39"/>
      <c r="H320" s="39"/>
      <c r="I320" s="40"/>
      <c r="J320" s="41"/>
      <c r="K320" s="38"/>
      <c r="L320" s="42" t="str">
        <f aca="false">IF($B320="","",IF(AND(N($I320)=0,N($J320)=0),"금액이 없습니다",IF(AND($I320&gt;0,$J320&gt;0),"수입·지출 둘 다 적혔습니다",IF($C320="","결제수단을 고르십시오",IF(ISNA(MATCH($C320,'통합 ③ 통장·카드'!$A$5:$A$11,0)),"③ 통장·카드에 없는 결제수단입니다",IF($D320="","계정과목을 고르십시오",IF($E320="※없는 과목","④ 설정에 없는 과목입니다",IF(AND($E320="수입",$J320&gt;0),"수입 과목인데 지출에 적혔습니다",IF(AND(LEFT($E320,2)&lt;&gt;"수입",$E320&lt;&gt;"대체",$I320&gt;0),"지출 과목인데 수입에 적혔습니다",IF($K320="","증빙을 고르십시오",IF(AND($C320="바우처통장",$J320&gt;0,IFERROR(INDEX('통합 ④ 설정'!$E$6:$E$40,MATCH($D320,'통합 ④ 설정'!$B$6:$B$40,0)),"")&lt;&gt;"○"),"바우처통장 지출 — 목적 확인",IF($H320="","적요를 적으십시오",""))))))))))))</f>
        <v/>
      </c>
      <c r="M320" s="39"/>
      <c r="O320" s="11" t="str">
        <f aca="false">IF($B320="","",YEAR($B320)*100+MONTH($B320))</f>
        <v/>
      </c>
      <c r="P320" s="11" t="str">
        <f aca="false">IF($B320="","",IF($E320="대체",0,1))</f>
        <v/>
      </c>
    </row>
    <row r="321" customFormat="false" ht="15" hidden="false" customHeight="false" outlineLevel="0" collapsed="false">
      <c r="A321" s="36" t="str">
        <f aca="false">IF($B321="","",COUNT($B$15:$B321))</f>
        <v/>
      </c>
      <c r="B321" s="37"/>
      <c r="C321" s="38"/>
      <c r="D321" s="39"/>
      <c r="E321" s="36" t="str">
        <f aca="false">IF($D321="","",IFERROR(INDEX('통합 ④ 설정'!$A$6:$A$40,MATCH($D321,'통합 ④ 설정'!$B$6:$B$40,0)),"※없는 과목"))</f>
        <v/>
      </c>
      <c r="F321" s="36" t="str">
        <f aca="false">IF($D321="","",IFERROR(INDEX('통합 ④ 설정'!$C$6:$C$40,MATCH($D321,'통합 ④ 설정'!$B$6:$B$40,0)),""))</f>
        <v/>
      </c>
      <c r="G321" s="39"/>
      <c r="H321" s="39"/>
      <c r="I321" s="40"/>
      <c r="J321" s="41"/>
      <c r="K321" s="38"/>
      <c r="L321" s="42" t="str">
        <f aca="false">IF($B321="","",IF(AND(N($I321)=0,N($J321)=0),"금액이 없습니다",IF(AND($I321&gt;0,$J321&gt;0),"수입·지출 둘 다 적혔습니다",IF($C321="","결제수단을 고르십시오",IF(ISNA(MATCH($C321,'통합 ③ 통장·카드'!$A$5:$A$11,0)),"③ 통장·카드에 없는 결제수단입니다",IF($D321="","계정과목을 고르십시오",IF($E321="※없는 과목","④ 설정에 없는 과목입니다",IF(AND($E321="수입",$J321&gt;0),"수입 과목인데 지출에 적혔습니다",IF(AND(LEFT($E321,2)&lt;&gt;"수입",$E321&lt;&gt;"대체",$I321&gt;0),"지출 과목인데 수입에 적혔습니다",IF($K321="","증빙을 고르십시오",IF(AND($C321="바우처통장",$J321&gt;0,IFERROR(INDEX('통합 ④ 설정'!$E$6:$E$40,MATCH($D321,'통합 ④ 설정'!$B$6:$B$40,0)),"")&lt;&gt;"○"),"바우처통장 지출 — 목적 확인",IF($H321="","적요를 적으십시오",""))))))))))))</f>
        <v/>
      </c>
      <c r="M321" s="39"/>
      <c r="O321" s="11" t="str">
        <f aca="false">IF($B321="","",YEAR($B321)*100+MONTH($B321))</f>
        <v/>
      </c>
      <c r="P321" s="11" t="str">
        <f aca="false">IF($B321="","",IF($E321="대체",0,1))</f>
        <v/>
      </c>
    </row>
    <row r="322" customFormat="false" ht="15" hidden="false" customHeight="false" outlineLevel="0" collapsed="false">
      <c r="A322" s="36" t="str">
        <f aca="false">IF($B322="","",COUNT($B$15:$B322))</f>
        <v/>
      </c>
      <c r="B322" s="37"/>
      <c r="C322" s="38"/>
      <c r="D322" s="39"/>
      <c r="E322" s="36" t="str">
        <f aca="false">IF($D322="","",IFERROR(INDEX('통합 ④ 설정'!$A$6:$A$40,MATCH($D322,'통합 ④ 설정'!$B$6:$B$40,0)),"※없는 과목"))</f>
        <v/>
      </c>
      <c r="F322" s="36" t="str">
        <f aca="false">IF($D322="","",IFERROR(INDEX('통합 ④ 설정'!$C$6:$C$40,MATCH($D322,'통합 ④ 설정'!$B$6:$B$40,0)),""))</f>
        <v/>
      </c>
      <c r="G322" s="39"/>
      <c r="H322" s="39"/>
      <c r="I322" s="40"/>
      <c r="J322" s="41"/>
      <c r="K322" s="38"/>
      <c r="L322" s="42" t="str">
        <f aca="false">IF($B322="","",IF(AND(N($I322)=0,N($J322)=0),"금액이 없습니다",IF(AND($I322&gt;0,$J322&gt;0),"수입·지출 둘 다 적혔습니다",IF($C322="","결제수단을 고르십시오",IF(ISNA(MATCH($C322,'통합 ③ 통장·카드'!$A$5:$A$11,0)),"③ 통장·카드에 없는 결제수단입니다",IF($D322="","계정과목을 고르십시오",IF($E322="※없는 과목","④ 설정에 없는 과목입니다",IF(AND($E322="수입",$J322&gt;0),"수입 과목인데 지출에 적혔습니다",IF(AND(LEFT($E322,2)&lt;&gt;"수입",$E322&lt;&gt;"대체",$I322&gt;0),"지출 과목인데 수입에 적혔습니다",IF($K322="","증빙을 고르십시오",IF(AND($C322="바우처통장",$J322&gt;0,IFERROR(INDEX('통합 ④ 설정'!$E$6:$E$40,MATCH($D322,'통합 ④ 설정'!$B$6:$B$40,0)),"")&lt;&gt;"○"),"바우처통장 지출 — 목적 확인",IF($H322="","적요를 적으십시오",""))))))))))))</f>
        <v/>
      </c>
      <c r="M322" s="39"/>
      <c r="O322" s="11" t="str">
        <f aca="false">IF($B322="","",YEAR($B322)*100+MONTH($B322))</f>
        <v/>
      </c>
      <c r="P322" s="11" t="str">
        <f aca="false">IF($B322="","",IF($E322="대체",0,1))</f>
        <v/>
      </c>
    </row>
    <row r="323" customFormat="false" ht="15" hidden="false" customHeight="false" outlineLevel="0" collapsed="false">
      <c r="A323" s="36" t="str">
        <f aca="false">IF($B323="","",COUNT($B$15:$B323))</f>
        <v/>
      </c>
      <c r="B323" s="37"/>
      <c r="C323" s="38"/>
      <c r="D323" s="39"/>
      <c r="E323" s="36" t="str">
        <f aca="false">IF($D323="","",IFERROR(INDEX('통합 ④ 설정'!$A$6:$A$40,MATCH($D323,'통합 ④ 설정'!$B$6:$B$40,0)),"※없는 과목"))</f>
        <v/>
      </c>
      <c r="F323" s="36" t="str">
        <f aca="false">IF($D323="","",IFERROR(INDEX('통합 ④ 설정'!$C$6:$C$40,MATCH($D323,'통합 ④ 설정'!$B$6:$B$40,0)),""))</f>
        <v/>
      </c>
      <c r="G323" s="39"/>
      <c r="H323" s="39"/>
      <c r="I323" s="40"/>
      <c r="J323" s="41"/>
      <c r="K323" s="38"/>
      <c r="L323" s="42" t="str">
        <f aca="false">IF($B323="","",IF(AND(N($I323)=0,N($J323)=0),"금액이 없습니다",IF(AND($I323&gt;0,$J323&gt;0),"수입·지출 둘 다 적혔습니다",IF($C323="","결제수단을 고르십시오",IF(ISNA(MATCH($C323,'통합 ③ 통장·카드'!$A$5:$A$11,0)),"③ 통장·카드에 없는 결제수단입니다",IF($D323="","계정과목을 고르십시오",IF($E323="※없는 과목","④ 설정에 없는 과목입니다",IF(AND($E323="수입",$J323&gt;0),"수입 과목인데 지출에 적혔습니다",IF(AND(LEFT($E323,2)&lt;&gt;"수입",$E323&lt;&gt;"대체",$I323&gt;0),"지출 과목인데 수입에 적혔습니다",IF($K323="","증빙을 고르십시오",IF(AND($C323="바우처통장",$J323&gt;0,IFERROR(INDEX('통합 ④ 설정'!$E$6:$E$40,MATCH($D323,'통합 ④ 설정'!$B$6:$B$40,0)),"")&lt;&gt;"○"),"바우처통장 지출 — 목적 확인",IF($H323="","적요를 적으십시오",""))))))))))))</f>
        <v/>
      </c>
      <c r="M323" s="39"/>
      <c r="O323" s="11" t="str">
        <f aca="false">IF($B323="","",YEAR($B323)*100+MONTH($B323))</f>
        <v/>
      </c>
      <c r="P323" s="11" t="str">
        <f aca="false">IF($B323="","",IF($E323="대체",0,1))</f>
        <v/>
      </c>
    </row>
    <row r="324" customFormat="false" ht="15" hidden="false" customHeight="false" outlineLevel="0" collapsed="false">
      <c r="A324" s="36" t="str">
        <f aca="false">IF($B324="","",COUNT($B$15:$B324))</f>
        <v/>
      </c>
      <c r="B324" s="37"/>
      <c r="C324" s="38"/>
      <c r="D324" s="39"/>
      <c r="E324" s="36" t="str">
        <f aca="false">IF($D324="","",IFERROR(INDEX('통합 ④ 설정'!$A$6:$A$40,MATCH($D324,'통합 ④ 설정'!$B$6:$B$40,0)),"※없는 과목"))</f>
        <v/>
      </c>
      <c r="F324" s="36" t="str">
        <f aca="false">IF($D324="","",IFERROR(INDEX('통합 ④ 설정'!$C$6:$C$40,MATCH($D324,'통합 ④ 설정'!$B$6:$B$40,0)),""))</f>
        <v/>
      </c>
      <c r="G324" s="39"/>
      <c r="H324" s="39"/>
      <c r="I324" s="40"/>
      <c r="J324" s="41"/>
      <c r="K324" s="38"/>
      <c r="L324" s="42" t="str">
        <f aca="false">IF($B324="","",IF(AND(N($I324)=0,N($J324)=0),"금액이 없습니다",IF(AND($I324&gt;0,$J324&gt;0),"수입·지출 둘 다 적혔습니다",IF($C324="","결제수단을 고르십시오",IF(ISNA(MATCH($C324,'통합 ③ 통장·카드'!$A$5:$A$11,0)),"③ 통장·카드에 없는 결제수단입니다",IF($D324="","계정과목을 고르십시오",IF($E324="※없는 과목","④ 설정에 없는 과목입니다",IF(AND($E324="수입",$J324&gt;0),"수입 과목인데 지출에 적혔습니다",IF(AND(LEFT($E324,2)&lt;&gt;"수입",$E324&lt;&gt;"대체",$I324&gt;0),"지출 과목인데 수입에 적혔습니다",IF($K324="","증빙을 고르십시오",IF(AND($C324="바우처통장",$J324&gt;0,IFERROR(INDEX('통합 ④ 설정'!$E$6:$E$40,MATCH($D324,'통합 ④ 설정'!$B$6:$B$40,0)),"")&lt;&gt;"○"),"바우처통장 지출 — 목적 확인",IF($H324="","적요를 적으십시오",""))))))))))))</f>
        <v/>
      </c>
      <c r="M324" s="39"/>
      <c r="O324" s="11" t="str">
        <f aca="false">IF($B324="","",YEAR($B324)*100+MONTH($B324))</f>
        <v/>
      </c>
      <c r="P324" s="11" t="str">
        <f aca="false">IF($B324="","",IF($E324="대체",0,1))</f>
        <v/>
      </c>
    </row>
    <row r="325" customFormat="false" ht="15" hidden="false" customHeight="false" outlineLevel="0" collapsed="false">
      <c r="A325" s="36" t="str">
        <f aca="false">IF($B325="","",COUNT($B$15:$B325))</f>
        <v/>
      </c>
      <c r="B325" s="37"/>
      <c r="C325" s="38"/>
      <c r="D325" s="39"/>
      <c r="E325" s="36" t="str">
        <f aca="false">IF($D325="","",IFERROR(INDEX('통합 ④ 설정'!$A$6:$A$40,MATCH($D325,'통합 ④ 설정'!$B$6:$B$40,0)),"※없는 과목"))</f>
        <v/>
      </c>
      <c r="F325" s="36" t="str">
        <f aca="false">IF($D325="","",IFERROR(INDEX('통합 ④ 설정'!$C$6:$C$40,MATCH($D325,'통합 ④ 설정'!$B$6:$B$40,0)),""))</f>
        <v/>
      </c>
      <c r="G325" s="39"/>
      <c r="H325" s="39"/>
      <c r="I325" s="40"/>
      <c r="J325" s="41"/>
      <c r="K325" s="38"/>
      <c r="L325" s="42" t="str">
        <f aca="false">IF($B325="","",IF(AND(N($I325)=0,N($J325)=0),"금액이 없습니다",IF(AND($I325&gt;0,$J325&gt;0),"수입·지출 둘 다 적혔습니다",IF($C325="","결제수단을 고르십시오",IF(ISNA(MATCH($C325,'통합 ③ 통장·카드'!$A$5:$A$11,0)),"③ 통장·카드에 없는 결제수단입니다",IF($D325="","계정과목을 고르십시오",IF($E325="※없는 과목","④ 설정에 없는 과목입니다",IF(AND($E325="수입",$J325&gt;0),"수입 과목인데 지출에 적혔습니다",IF(AND(LEFT($E325,2)&lt;&gt;"수입",$E325&lt;&gt;"대체",$I325&gt;0),"지출 과목인데 수입에 적혔습니다",IF($K325="","증빙을 고르십시오",IF(AND($C325="바우처통장",$J325&gt;0,IFERROR(INDEX('통합 ④ 설정'!$E$6:$E$40,MATCH($D325,'통합 ④ 설정'!$B$6:$B$40,0)),"")&lt;&gt;"○"),"바우처통장 지출 — 목적 확인",IF($H325="","적요를 적으십시오",""))))))))))))</f>
        <v/>
      </c>
      <c r="M325" s="39"/>
      <c r="O325" s="11" t="str">
        <f aca="false">IF($B325="","",YEAR($B325)*100+MONTH($B325))</f>
        <v/>
      </c>
      <c r="P325" s="11" t="str">
        <f aca="false">IF($B325="","",IF($E325="대체",0,1))</f>
        <v/>
      </c>
    </row>
    <row r="326" customFormat="false" ht="15" hidden="false" customHeight="false" outlineLevel="0" collapsed="false">
      <c r="A326" s="36" t="str">
        <f aca="false">IF($B326="","",COUNT($B$15:$B326))</f>
        <v/>
      </c>
      <c r="B326" s="37"/>
      <c r="C326" s="38"/>
      <c r="D326" s="39"/>
      <c r="E326" s="36" t="str">
        <f aca="false">IF($D326="","",IFERROR(INDEX('통합 ④ 설정'!$A$6:$A$40,MATCH($D326,'통합 ④ 설정'!$B$6:$B$40,0)),"※없는 과목"))</f>
        <v/>
      </c>
      <c r="F326" s="36" t="str">
        <f aca="false">IF($D326="","",IFERROR(INDEX('통합 ④ 설정'!$C$6:$C$40,MATCH($D326,'통합 ④ 설정'!$B$6:$B$40,0)),""))</f>
        <v/>
      </c>
      <c r="G326" s="39"/>
      <c r="H326" s="39"/>
      <c r="I326" s="40"/>
      <c r="J326" s="41"/>
      <c r="K326" s="38"/>
      <c r="L326" s="42" t="str">
        <f aca="false">IF($B326="","",IF(AND(N($I326)=0,N($J326)=0),"금액이 없습니다",IF(AND($I326&gt;0,$J326&gt;0),"수입·지출 둘 다 적혔습니다",IF($C326="","결제수단을 고르십시오",IF(ISNA(MATCH($C326,'통합 ③ 통장·카드'!$A$5:$A$11,0)),"③ 통장·카드에 없는 결제수단입니다",IF($D326="","계정과목을 고르십시오",IF($E326="※없는 과목","④ 설정에 없는 과목입니다",IF(AND($E326="수입",$J326&gt;0),"수입 과목인데 지출에 적혔습니다",IF(AND(LEFT($E326,2)&lt;&gt;"수입",$E326&lt;&gt;"대체",$I326&gt;0),"지출 과목인데 수입에 적혔습니다",IF($K326="","증빙을 고르십시오",IF(AND($C326="바우처통장",$J326&gt;0,IFERROR(INDEX('통합 ④ 설정'!$E$6:$E$40,MATCH($D326,'통합 ④ 설정'!$B$6:$B$40,0)),"")&lt;&gt;"○"),"바우처통장 지출 — 목적 확인",IF($H326="","적요를 적으십시오",""))))))))))))</f>
        <v/>
      </c>
      <c r="M326" s="39"/>
      <c r="O326" s="11" t="str">
        <f aca="false">IF($B326="","",YEAR($B326)*100+MONTH($B326))</f>
        <v/>
      </c>
      <c r="P326" s="11" t="str">
        <f aca="false">IF($B326="","",IF($E326="대체",0,1))</f>
        <v/>
      </c>
    </row>
    <row r="327" customFormat="false" ht="15" hidden="false" customHeight="false" outlineLevel="0" collapsed="false">
      <c r="A327" s="36" t="str">
        <f aca="false">IF($B327="","",COUNT($B$15:$B327))</f>
        <v/>
      </c>
      <c r="B327" s="37"/>
      <c r="C327" s="38"/>
      <c r="D327" s="39"/>
      <c r="E327" s="36" t="str">
        <f aca="false">IF($D327="","",IFERROR(INDEX('통합 ④ 설정'!$A$6:$A$40,MATCH($D327,'통합 ④ 설정'!$B$6:$B$40,0)),"※없는 과목"))</f>
        <v/>
      </c>
      <c r="F327" s="36" t="str">
        <f aca="false">IF($D327="","",IFERROR(INDEX('통합 ④ 설정'!$C$6:$C$40,MATCH($D327,'통합 ④ 설정'!$B$6:$B$40,0)),""))</f>
        <v/>
      </c>
      <c r="G327" s="39"/>
      <c r="H327" s="39"/>
      <c r="I327" s="40"/>
      <c r="J327" s="41"/>
      <c r="K327" s="38"/>
      <c r="L327" s="42" t="str">
        <f aca="false">IF($B327="","",IF(AND(N($I327)=0,N($J327)=0),"금액이 없습니다",IF(AND($I327&gt;0,$J327&gt;0),"수입·지출 둘 다 적혔습니다",IF($C327="","결제수단을 고르십시오",IF(ISNA(MATCH($C327,'통합 ③ 통장·카드'!$A$5:$A$11,0)),"③ 통장·카드에 없는 결제수단입니다",IF($D327="","계정과목을 고르십시오",IF($E327="※없는 과목","④ 설정에 없는 과목입니다",IF(AND($E327="수입",$J327&gt;0),"수입 과목인데 지출에 적혔습니다",IF(AND(LEFT($E327,2)&lt;&gt;"수입",$E327&lt;&gt;"대체",$I327&gt;0),"지출 과목인데 수입에 적혔습니다",IF($K327="","증빙을 고르십시오",IF(AND($C327="바우처통장",$J327&gt;0,IFERROR(INDEX('통합 ④ 설정'!$E$6:$E$40,MATCH($D327,'통합 ④ 설정'!$B$6:$B$40,0)),"")&lt;&gt;"○"),"바우처통장 지출 — 목적 확인",IF($H327="","적요를 적으십시오",""))))))))))))</f>
        <v/>
      </c>
      <c r="M327" s="39"/>
      <c r="O327" s="11" t="str">
        <f aca="false">IF($B327="","",YEAR($B327)*100+MONTH($B327))</f>
        <v/>
      </c>
      <c r="P327" s="11" t="str">
        <f aca="false">IF($B327="","",IF($E327="대체",0,1))</f>
        <v/>
      </c>
    </row>
    <row r="328" customFormat="false" ht="15" hidden="false" customHeight="false" outlineLevel="0" collapsed="false">
      <c r="A328" s="36" t="str">
        <f aca="false">IF($B328="","",COUNT($B$15:$B328))</f>
        <v/>
      </c>
      <c r="B328" s="37"/>
      <c r="C328" s="38"/>
      <c r="D328" s="39"/>
      <c r="E328" s="36" t="str">
        <f aca="false">IF($D328="","",IFERROR(INDEX('통합 ④ 설정'!$A$6:$A$40,MATCH($D328,'통합 ④ 설정'!$B$6:$B$40,0)),"※없는 과목"))</f>
        <v/>
      </c>
      <c r="F328" s="36" t="str">
        <f aca="false">IF($D328="","",IFERROR(INDEX('통합 ④ 설정'!$C$6:$C$40,MATCH($D328,'통합 ④ 설정'!$B$6:$B$40,0)),""))</f>
        <v/>
      </c>
      <c r="G328" s="39"/>
      <c r="H328" s="39"/>
      <c r="I328" s="40"/>
      <c r="J328" s="41"/>
      <c r="K328" s="38"/>
      <c r="L328" s="42" t="str">
        <f aca="false">IF($B328="","",IF(AND(N($I328)=0,N($J328)=0),"금액이 없습니다",IF(AND($I328&gt;0,$J328&gt;0),"수입·지출 둘 다 적혔습니다",IF($C328="","결제수단을 고르십시오",IF(ISNA(MATCH($C328,'통합 ③ 통장·카드'!$A$5:$A$11,0)),"③ 통장·카드에 없는 결제수단입니다",IF($D328="","계정과목을 고르십시오",IF($E328="※없는 과목","④ 설정에 없는 과목입니다",IF(AND($E328="수입",$J328&gt;0),"수입 과목인데 지출에 적혔습니다",IF(AND(LEFT($E328,2)&lt;&gt;"수입",$E328&lt;&gt;"대체",$I328&gt;0),"지출 과목인데 수입에 적혔습니다",IF($K328="","증빙을 고르십시오",IF(AND($C328="바우처통장",$J328&gt;0,IFERROR(INDEX('통합 ④ 설정'!$E$6:$E$40,MATCH($D328,'통합 ④ 설정'!$B$6:$B$40,0)),"")&lt;&gt;"○"),"바우처통장 지출 — 목적 확인",IF($H328="","적요를 적으십시오",""))))))))))))</f>
        <v/>
      </c>
      <c r="M328" s="39"/>
      <c r="O328" s="11" t="str">
        <f aca="false">IF($B328="","",YEAR($B328)*100+MONTH($B328))</f>
        <v/>
      </c>
      <c r="P328" s="11" t="str">
        <f aca="false">IF($B328="","",IF($E328="대체",0,1))</f>
        <v/>
      </c>
    </row>
    <row r="329" customFormat="false" ht="15" hidden="false" customHeight="false" outlineLevel="0" collapsed="false">
      <c r="A329" s="36" t="str">
        <f aca="false">IF($B329="","",COUNT($B$15:$B329))</f>
        <v/>
      </c>
      <c r="B329" s="37"/>
      <c r="C329" s="38"/>
      <c r="D329" s="39"/>
      <c r="E329" s="36" t="str">
        <f aca="false">IF($D329="","",IFERROR(INDEX('통합 ④ 설정'!$A$6:$A$40,MATCH($D329,'통합 ④ 설정'!$B$6:$B$40,0)),"※없는 과목"))</f>
        <v/>
      </c>
      <c r="F329" s="36" t="str">
        <f aca="false">IF($D329="","",IFERROR(INDEX('통합 ④ 설정'!$C$6:$C$40,MATCH($D329,'통합 ④ 설정'!$B$6:$B$40,0)),""))</f>
        <v/>
      </c>
      <c r="G329" s="39"/>
      <c r="H329" s="39"/>
      <c r="I329" s="40"/>
      <c r="J329" s="41"/>
      <c r="K329" s="38"/>
      <c r="L329" s="42" t="str">
        <f aca="false">IF($B329="","",IF(AND(N($I329)=0,N($J329)=0),"금액이 없습니다",IF(AND($I329&gt;0,$J329&gt;0),"수입·지출 둘 다 적혔습니다",IF($C329="","결제수단을 고르십시오",IF(ISNA(MATCH($C329,'통합 ③ 통장·카드'!$A$5:$A$11,0)),"③ 통장·카드에 없는 결제수단입니다",IF($D329="","계정과목을 고르십시오",IF($E329="※없는 과목","④ 설정에 없는 과목입니다",IF(AND($E329="수입",$J329&gt;0),"수입 과목인데 지출에 적혔습니다",IF(AND(LEFT($E329,2)&lt;&gt;"수입",$E329&lt;&gt;"대체",$I329&gt;0),"지출 과목인데 수입에 적혔습니다",IF($K329="","증빙을 고르십시오",IF(AND($C329="바우처통장",$J329&gt;0,IFERROR(INDEX('통합 ④ 설정'!$E$6:$E$40,MATCH($D329,'통합 ④ 설정'!$B$6:$B$40,0)),"")&lt;&gt;"○"),"바우처통장 지출 — 목적 확인",IF($H329="","적요를 적으십시오",""))))))))))))</f>
        <v/>
      </c>
      <c r="M329" s="39"/>
      <c r="O329" s="11" t="str">
        <f aca="false">IF($B329="","",YEAR($B329)*100+MONTH($B329))</f>
        <v/>
      </c>
      <c r="P329" s="11" t="str">
        <f aca="false">IF($B329="","",IF($E329="대체",0,1))</f>
        <v/>
      </c>
    </row>
    <row r="330" customFormat="false" ht="15" hidden="false" customHeight="false" outlineLevel="0" collapsed="false">
      <c r="A330" s="36" t="str">
        <f aca="false">IF($B330="","",COUNT($B$15:$B330))</f>
        <v/>
      </c>
      <c r="B330" s="37"/>
      <c r="C330" s="38"/>
      <c r="D330" s="39"/>
      <c r="E330" s="36" t="str">
        <f aca="false">IF($D330="","",IFERROR(INDEX('통합 ④ 설정'!$A$6:$A$40,MATCH($D330,'통합 ④ 설정'!$B$6:$B$40,0)),"※없는 과목"))</f>
        <v/>
      </c>
      <c r="F330" s="36" t="str">
        <f aca="false">IF($D330="","",IFERROR(INDEX('통합 ④ 설정'!$C$6:$C$40,MATCH($D330,'통합 ④ 설정'!$B$6:$B$40,0)),""))</f>
        <v/>
      </c>
      <c r="G330" s="39"/>
      <c r="H330" s="39"/>
      <c r="I330" s="40"/>
      <c r="J330" s="41"/>
      <c r="K330" s="38"/>
      <c r="L330" s="42" t="str">
        <f aca="false">IF($B330="","",IF(AND(N($I330)=0,N($J330)=0),"금액이 없습니다",IF(AND($I330&gt;0,$J330&gt;0),"수입·지출 둘 다 적혔습니다",IF($C330="","결제수단을 고르십시오",IF(ISNA(MATCH($C330,'통합 ③ 통장·카드'!$A$5:$A$11,0)),"③ 통장·카드에 없는 결제수단입니다",IF($D330="","계정과목을 고르십시오",IF($E330="※없는 과목","④ 설정에 없는 과목입니다",IF(AND($E330="수입",$J330&gt;0),"수입 과목인데 지출에 적혔습니다",IF(AND(LEFT($E330,2)&lt;&gt;"수입",$E330&lt;&gt;"대체",$I330&gt;0),"지출 과목인데 수입에 적혔습니다",IF($K330="","증빙을 고르십시오",IF(AND($C330="바우처통장",$J330&gt;0,IFERROR(INDEX('통합 ④ 설정'!$E$6:$E$40,MATCH($D330,'통합 ④ 설정'!$B$6:$B$40,0)),"")&lt;&gt;"○"),"바우처통장 지출 — 목적 확인",IF($H330="","적요를 적으십시오",""))))))))))))</f>
        <v/>
      </c>
      <c r="M330" s="39"/>
      <c r="O330" s="11" t="str">
        <f aca="false">IF($B330="","",YEAR($B330)*100+MONTH($B330))</f>
        <v/>
      </c>
      <c r="P330" s="11" t="str">
        <f aca="false">IF($B330="","",IF($E330="대체",0,1))</f>
        <v/>
      </c>
    </row>
    <row r="331" customFormat="false" ht="15" hidden="false" customHeight="false" outlineLevel="0" collapsed="false">
      <c r="A331" s="36" t="str">
        <f aca="false">IF($B331="","",COUNT($B$15:$B331))</f>
        <v/>
      </c>
      <c r="B331" s="37"/>
      <c r="C331" s="38"/>
      <c r="D331" s="39"/>
      <c r="E331" s="36" t="str">
        <f aca="false">IF($D331="","",IFERROR(INDEX('통합 ④ 설정'!$A$6:$A$40,MATCH($D331,'통합 ④ 설정'!$B$6:$B$40,0)),"※없는 과목"))</f>
        <v/>
      </c>
      <c r="F331" s="36" t="str">
        <f aca="false">IF($D331="","",IFERROR(INDEX('통합 ④ 설정'!$C$6:$C$40,MATCH($D331,'통합 ④ 설정'!$B$6:$B$40,0)),""))</f>
        <v/>
      </c>
      <c r="G331" s="39"/>
      <c r="H331" s="39"/>
      <c r="I331" s="40"/>
      <c r="J331" s="41"/>
      <c r="K331" s="38"/>
      <c r="L331" s="42" t="str">
        <f aca="false">IF($B331="","",IF(AND(N($I331)=0,N($J331)=0),"금액이 없습니다",IF(AND($I331&gt;0,$J331&gt;0),"수입·지출 둘 다 적혔습니다",IF($C331="","결제수단을 고르십시오",IF(ISNA(MATCH($C331,'통합 ③ 통장·카드'!$A$5:$A$11,0)),"③ 통장·카드에 없는 결제수단입니다",IF($D331="","계정과목을 고르십시오",IF($E331="※없는 과목","④ 설정에 없는 과목입니다",IF(AND($E331="수입",$J331&gt;0),"수입 과목인데 지출에 적혔습니다",IF(AND(LEFT($E331,2)&lt;&gt;"수입",$E331&lt;&gt;"대체",$I331&gt;0),"지출 과목인데 수입에 적혔습니다",IF($K331="","증빙을 고르십시오",IF(AND($C331="바우처통장",$J331&gt;0,IFERROR(INDEX('통합 ④ 설정'!$E$6:$E$40,MATCH($D331,'통합 ④ 설정'!$B$6:$B$40,0)),"")&lt;&gt;"○"),"바우처통장 지출 — 목적 확인",IF($H331="","적요를 적으십시오",""))))))))))))</f>
        <v/>
      </c>
      <c r="M331" s="39"/>
      <c r="O331" s="11" t="str">
        <f aca="false">IF($B331="","",YEAR($B331)*100+MONTH($B331))</f>
        <v/>
      </c>
      <c r="P331" s="11" t="str">
        <f aca="false">IF($B331="","",IF($E331="대체",0,1))</f>
        <v/>
      </c>
    </row>
    <row r="332" customFormat="false" ht="15" hidden="false" customHeight="false" outlineLevel="0" collapsed="false">
      <c r="A332" s="36" t="str">
        <f aca="false">IF($B332="","",COUNT($B$15:$B332))</f>
        <v/>
      </c>
      <c r="B332" s="37"/>
      <c r="C332" s="38"/>
      <c r="D332" s="39"/>
      <c r="E332" s="36" t="str">
        <f aca="false">IF($D332="","",IFERROR(INDEX('통합 ④ 설정'!$A$6:$A$40,MATCH($D332,'통합 ④ 설정'!$B$6:$B$40,0)),"※없는 과목"))</f>
        <v/>
      </c>
      <c r="F332" s="36" t="str">
        <f aca="false">IF($D332="","",IFERROR(INDEX('통합 ④ 설정'!$C$6:$C$40,MATCH($D332,'통합 ④ 설정'!$B$6:$B$40,0)),""))</f>
        <v/>
      </c>
      <c r="G332" s="39"/>
      <c r="H332" s="39"/>
      <c r="I332" s="40"/>
      <c r="J332" s="41"/>
      <c r="K332" s="38"/>
      <c r="L332" s="42" t="str">
        <f aca="false">IF($B332="","",IF(AND(N($I332)=0,N($J332)=0),"금액이 없습니다",IF(AND($I332&gt;0,$J332&gt;0),"수입·지출 둘 다 적혔습니다",IF($C332="","결제수단을 고르십시오",IF(ISNA(MATCH($C332,'통합 ③ 통장·카드'!$A$5:$A$11,0)),"③ 통장·카드에 없는 결제수단입니다",IF($D332="","계정과목을 고르십시오",IF($E332="※없는 과목","④ 설정에 없는 과목입니다",IF(AND($E332="수입",$J332&gt;0),"수입 과목인데 지출에 적혔습니다",IF(AND(LEFT($E332,2)&lt;&gt;"수입",$E332&lt;&gt;"대체",$I332&gt;0),"지출 과목인데 수입에 적혔습니다",IF($K332="","증빙을 고르십시오",IF(AND($C332="바우처통장",$J332&gt;0,IFERROR(INDEX('통합 ④ 설정'!$E$6:$E$40,MATCH($D332,'통합 ④ 설정'!$B$6:$B$40,0)),"")&lt;&gt;"○"),"바우처통장 지출 — 목적 확인",IF($H332="","적요를 적으십시오",""))))))))))))</f>
        <v/>
      </c>
      <c r="M332" s="39"/>
      <c r="O332" s="11" t="str">
        <f aca="false">IF($B332="","",YEAR($B332)*100+MONTH($B332))</f>
        <v/>
      </c>
      <c r="P332" s="11" t="str">
        <f aca="false">IF($B332="","",IF($E332="대체",0,1))</f>
        <v/>
      </c>
    </row>
    <row r="333" customFormat="false" ht="15" hidden="false" customHeight="false" outlineLevel="0" collapsed="false">
      <c r="A333" s="36" t="str">
        <f aca="false">IF($B333="","",COUNT($B$15:$B333))</f>
        <v/>
      </c>
      <c r="B333" s="37"/>
      <c r="C333" s="38"/>
      <c r="D333" s="39"/>
      <c r="E333" s="36" t="str">
        <f aca="false">IF($D333="","",IFERROR(INDEX('통합 ④ 설정'!$A$6:$A$40,MATCH($D333,'통합 ④ 설정'!$B$6:$B$40,0)),"※없는 과목"))</f>
        <v/>
      </c>
      <c r="F333" s="36" t="str">
        <f aca="false">IF($D333="","",IFERROR(INDEX('통합 ④ 설정'!$C$6:$C$40,MATCH($D333,'통합 ④ 설정'!$B$6:$B$40,0)),""))</f>
        <v/>
      </c>
      <c r="G333" s="39"/>
      <c r="H333" s="39"/>
      <c r="I333" s="40"/>
      <c r="J333" s="41"/>
      <c r="K333" s="38"/>
      <c r="L333" s="42" t="str">
        <f aca="false">IF($B333="","",IF(AND(N($I333)=0,N($J333)=0),"금액이 없습니다",IF(AND($I333&gt;0,$J333&gt;0),"수입·지출 둘 다 적혔습니다",IF($C333="","결제수단을 고르십시오",IF(ISNA(MATCH($C333,'통합 ③ 통장·카드'!$A$5:$A$11,0)),"③ 통장·카드에 없는 결제수단입니다",IF($D333="","계정과목을 고르십시오",IF($E333="※없는 과목","④ 설정에 없는 과목입니다",IF(AND($E333="수입",$J333&gt;0),"수입 과목인데 지출에 적혔습니다",IF(AND(LEFT($E333,2)&lt;&gt;"수입",$E333&lt;&gt;"대체",$I333&gt;0),"지출 과목인데 수입에 적혔습니다",IF($K333="","증빙을 고르십시오",IF(AND($C333="바우처통장",$J333&gt;0,IFERROR(INDEX('통합 ④ 설정'!$E$6:$E$40,MATCH($D333,'통합 ④ 설정'!$B$6:$B$40,0)),"")&lt;&gt;"○"),"바우처통장 지출 — 목적 확인",IF($H333="","적요를 적으십시오",""))))))))))))</f>
        <v/>
      </c>
      <c r="M333" s="39"/>
      <c r="O333" s="11" t="str">
        <f aca="false">IF($B333="","",YEAR($B333)*100+MONTH($B333))</f>
        <v/>
      </c>
      <c r="P333" s="11" t="str">
        <f aca="false">IF($B333="","",IF($E333="대체",0,1))</f>
        <v/>
      </c>
    </row>
    <row r="334" customFormat="false" ht="15" hidden="false" customHeight="false" outlineLevel="0" collapsed="false">
      <c r="A334" s="36" t="str">
        <f aca="false">IF($B334="","",COUNT($B$15:$B334))</f>
        <v/>
      </c>
      <c r="B334" s="37"/>
      <c r="C334" s="38"/>
      <c r="D334" s="39"/>
      <c r="E334" s="36" t="str">
        <f aca="false">IF($D334="","",IFERROR(INDEX('통합 ④ 설정'!$A$6:$A$40,MATCH($D334,'통합 ④ 설정'!$B$6:$B$40,0)),"※없는 과목"))</f>
        <v/>
      </c>
      <c r="F334" s="36" t="str">
        <f aca="false">IF($D334="","",IFERROR(INDEX('통합 ④ 설정'!$C$6:$C$40,MATCH($D334,'통합 ④ 설정'!$B$6:$B$40,0)),""))</f>
        <v/>
      </c>
      <c r="G334" s="39"/>
      <c r="H334" s="39"/>
      <c r="I334" s="40"/>
      <c r="J334" s="41"/>
      <c r="K334" s="38"/>
      <c r="L334" s="42" t="str">
        <f aca="false">IF($B334="","",IF(AND(N($I334)=0,N($J334)=0),"금액이 없습니다",IF(AND($I334&gt;0,$J334&gt;0),"수입·지출 둘 다 적혔습니다",IF($C334="","결제수단을 고르십시오",IF(ISNA(MATCH($C334,'통합 ③ 통장·카드'!$A$5:$A$11,0)),"③ 통장·카드에 없는 결제수단입니다",IF($D334="","계정과목을 고르십시오",IF($E334="※없는 과목","④ 설정에 없는 과목입니다",IF(AND($E334="수입",$J334&gt;0),"수입 과목인데 지출에 적혔습니다",IF(AND(LEFT($E334,2)&lt;&gt;"수입",$E334&lt;&gt;"대체",$I334&gt;0),"지출 과목인데 수입에 적혔습니다",IF($K334="","증빙을 고르십시오",IF(AND($C334="바우처통장",$J334&gt;0,IFERROR(INDEX('통합 ④ 설정'!$E$6:$E$40,MATCH($D334,'통합 ④ 설정'!$B$6:$B$40,0)),"")&lt;&gt;"○"),"바우처통장 지출 — 목적 확인",IF($H334="","적요를 적으십시오",""))))))))))))</f>
        <v/>
      </c>
      <c r="M334" s="39"/>
      <c r="O334" s="11" t="str">
        <f aca="false">IF($B334="","",YEAR($B334)*100+MONTH($B334))</f>
        <v/>
      </c>
      <c r="P334" s="11" t="str">
        <f aca="false">IF($B334="","",IF($E334="대체",0,1))</f>
        <v/>
      </c>
    </row>
    <row r="335" customFormat="false" ht="15" hidden="false" customHeight="false" outlineLevel="0" collapsed="false">
      <c r="A335" s="36" t="str">
        <f aca="false">IF($B335="","",COUNT($B$15:$B335))</f>
        <v/>
      </c>
      <c r="B335" s="37"/>
      <c r="C335" s="38"/>
      <c r="D335" s="39"/>
      <c r="E335" s="36" t="str">
        <f aca="false">IF($D335="","",IFERROR(INDEX('통합 ④ 설정'!$A$6:$A$40,MATCH($D335,'통합 ④ 설정'!$B$6:$B$40,0)),"※없는 과목"))</f>
        <v/>
      </c>
      <c r="F335" s="36" t="str">
        <f aca="false">IF($D335="","",IFERROR(INDEX('통합 ④ 설정'!$C$6:$C$40,MATCH($D335,'통합 ④ 설정'!$B$6:$B$40,0)),""))</f>
        <v/>
      </c>
      <c r="G335" s="39"/>
      <c r="H335" s="39"/>
      <c r="I335" s="40"/>
      <c r="J335" s="41"/>
      <c r="K335" s="38"/>
      <c r="L335" s="42" t="str">
        <f aca="false">IF($B335="","",IF(AND(N($I335)=0,N($J335)=0),"금액이 없습니다",IF(AND($I335&gt;0,$J335&gt;0),"수입·지출 둘 다 적혔습니다",IF($C335="","결제수단을 고르십시오",IF(ISNA(MATCH($C335,'통합 ③ 통장·카드'!$A$5:$A$11,0)),"③ 통장·카드에 없는 결제수단입니다",IF($D335="","계정과목을 고르십시오",IF($E335="※없는 과목","④ 설정에 없는 과목입니다",IF(AND($E335="수입",$J335&gt;0),"수입 과목인데 지출에 적혔습니다",IF(AND(LEFT($E335,2)&lt;&gt;"수입",$E335&lt;&gt;"대체",$I335&gt;0),"지출 과목인데 수입에 적혔습니다",IF($K335="","증빙을 고르십시오",IF(AND($C335="바우처통장",$J335&gt;0,IFERROR(INDEX('통합 ④ 설정'!$E$6:$E$40,MATCH($D335,'통합 ④ 설정'!$B$6:$B$40,0)),"")&lt;&gt;"○"),"바우처통장 지출 — 목적 확인",IF($H335="","적요를 적으십시오",""))))))))))))</f>
        <v/>
      </c>
      <c r="M335" s="39"/>
      <c r="O335" s="11" t="str">
        <f aca="false">IF($B335="","",YEAR($B335)*100+MONTH($B335))</f>
        <v/>
      </c>
      <c r="P335" s="11" t="str">
        <f aca="false">IF($B335="","",IF($E335="대체",0,1))</f>
        <v/>
      </c>
    </row>
    <row r="336" customFormat="false" ht="15" hidden="false" customHeight="false" outlineLevel="0" collapsed="false">
      <c r="A336" s="36" t="str">
        <f aca="false">IF($B336="","",COUNT($B$15:$B336))</f>
        <v/>
      </c>
      <c r="B336" s="37"/>
      <c r="C336" s="38"/>
      <c r="D336" s="39"/>
      <c r="E336" s="36" t="str">
        <f aca="false">IF($D336="","",IFERROR(INDEX('통합 ④ 설정'!$A$6:$A$40,MATCH($D336,'통합 ④ 설정'!$B$6:$B$40,0)),"※없는 과목"))</f>
        <v/>
      </c>
      <c r="F336" s="36" t="str">
        <f aca="false">IF($D336="","",IFERROR(INDEX('통합 ④ 설정'!$C$6:$C$40,MATCH($D336,'통합 ④ 설정'!$B$6:$B$40,0)),""))</f>
        <v/>
      </c>
      <c r="G336" s="39"/>
      <c r="H336" s="39"/>
      <c r="I336" s="40"/>
      <c r="J336" s="41"/>
      <c r="K336" s="38"/>
      <c r="L336" s="42" t="str">
        <f aca="false">IF($B336="","",IF(AND(N($I336)=0,N($J336)=0),"금액이 없습니다",IF(AND($I336&gt;0,$J336&gt;0),"수입·지출 둘 다 적혔습니다",IF($C336="","결제수단을 고르십시오",IF(ISNA(MATCH($C336,'통합 ③ 통장·카드'!$A$5:$A$11,0)),"③ 통장·카드에 없는 결제수단입니다",IF($D336="","계정과목을 고르십시오",IF($E336="※없는 과목","④ 설정에 없는 과목입니다",IF(AND($E336="수입",$J336&gt;0),"수입 과목인데 지출에 적혔습니다",IF(AND(LEFT($E336,2)&lt;&gt;"수입",$E336&lt;&gt;"대체",$I336&gt;0),"지출 과목인데 수입에 적혔습니다",IF($K336="","증빙을 고르십시오",IF(AND($C336="바우처통장",$J336&gt;0,IFERROR(INDEX('통합 ④ 설정'!$E$6:$E$40,MATCH($D336,'통합 ④ 설정'!$B$6:$B$40,0)),"")&lt;&gt;"○"),"바우처통장 지출 — 목적 확인",IF($H336="","적요를 적으십시오",""))))))))))))</f>
        <v/>
      </c>
      <c r="M336" s="39"/>
      <c r="O336" s="11" t="str">
        <f aca="false">IF($B336="","",YEAR($B336)*100+MONTH($B336))</f>
        <v/>
      </c>
      <c r="P336" s="11" t="str">
        <f aca="false">IF($B336="","",IF($E336="대체",0,1))</f>
        <v/>
      </c>
    </row>
    <row r="337" customFormat="false" ht="15" hidden="false" customHeight="false" outlineLevel="0" collapsed="false">
      <c r="A337" s="36" t="str">
        <f aca="false">IF($B337="","",COUNT($B$15:$B337))</f>
        <v/>
      </c>
      <c r="B337" s="37"/>
      <c r="C337" s="38"/>
      <c r="D337" s="39"/>
      <c r="E337" s="36" t="str">
        <f aca="false">IF($D337="","",IFERROR(INDEX('통합 ④ 설정'!$A$6:$A$40,MATCH($D337,'통합 ④ 설정'!$B$6:$B$40,0)),"※없는 과목"))</f>
        <v/>
      </c>
      <c r="F337" s="36" t="str">
        <f aca="false">IF($D337="","",IFERROR(INDEX('통합 ④ 설정'!$C$6:$C$40,MATCH($D337,'통합 ④ 설정'!$B$6:$B$40,0)),""))</f>
        <v/>
      </c>
      <c r="G337" s="39"/>
      <c r="H337" s="39"/>
      <c r="I337" s="40"/>
      <c r="J337" s="41"/>
      <c r="K337" s="38"/>
      <c r="L337" s="42" t="str">
        <f aca="false">IF($B337="","",IF(AND(N($I337)=0,N($J337)=0),"금액이 없습니다",IF(AND($I337&gt;0,$J337&gt;0),"수입·지출 둘 다 적혔습니다",IF($C337="","결제수단을 고르십시오",IF(ISNA(MATCH($C337,'통합 ③ 통장·카드'!$A$5:$A$11,0)),"③ 통장·카드에 없는 결제수단입니다",IF($D337="","계정과목을 고르십시오",IF($E337="※없는 과목","④ 설정에 없는 과목입니다",IF(AND($E337="수입",$J337&gt;0),"수입 과목인데 지출에 적혔습니다",IF(AND(LEFT($E337,2)&lt;&gt;"수입",$E337&lt;&gt;"대체",$I337&gt;0),"지출 과목인데 수입에 적혔습니다",IF($K337="","증빙을 고르십시오",IF(AND($C337="바우처통장",$J337&gt;0,IFERROR(INDEX('통합 ④ 설정'!$E$6:$E$40,MATCH($D337,'통합 ④ 설정'!$B$6:$B$40,0)),"")&lt;&gt;"○"),"바우처통장 지출 — 목적 확인",IF($H337="","적요를 적으십시오",""))))))))))))</f>
        <v/>
      </c>
      <c r="M337" s="39"/>
      <c r="O337" s="11" t="str">
        <f aca="false">IF($B337="","",YEAR($B337)*100+MONTH($B337))</f>
        <v/>
      </c>
      <c r="P337" s="11" t="str">
        <f aca="false">IF($B337="","",IF($E337="대체",0,1))</f>
        <v/>
      </c>
    </row>
    <row r="338" customFormat="false" ht="15" hidden="false" customHeight="false" outlineLevel="0" collapsed="false">
      <c r="A338" s="36" t="str">
        <f aca="false">IF($B338="","",COUNT($B$15:$B338))</f>
        <v/>
      </c>
      <c r="B338" s="37"/>
      <c r="C338" s="38"/>
      <c r="D338" s="39"/>
      <c r="E338" s="36" t="str">
        <f aca="false">IF($D338="","",IFERROR(INDEX('통합 ④ 설정'!$A$6:$A$40,MATCH($D338,'통합 ④ 설정'!$B$6:$B$40,0)),"※없는 과목"))</f>
        <v/>
      </c>
      <c r="F338" s="36" t="str">
        <f aca="false">IF($D338="","",IFERROR(INDEX('통합 ④ 설정'!$C$6:$C$40,MATCH($D338,'통합 ④ 설정'!$B$6:$B$40,0)),""))</f>
        <v/>
      </c>
      <c r="G338" s="39"/>
      <c r="H338" s="39"/>
      <c r="I338" s="40"/>
      <c r="J338" s="41"/>
      <c r="K338" s="38"/>
      <c r="L338" s="42" t="str">
        <f aca="false">IF($B338="","",IF(AND(N($I338)=0,N($J338)=0),"금액이 없습니다",IF(AND($I338&gt;0,$J338&gt;0),"수입·지출 둘 다 적혔습니다",IF($C338="","결제수단을 고르십시오",IF(ISNA(MATCH($C338,'통합 ③ 통장·카드'!$A$5:$A$11,0)),"③ 통장·카드에 없는 결제수단입니다",IF($D338="","계정과목을 고르십시오",IF($E338="※없는 과목","④ 설정에 없는 과목입니다",IF(AND($E338="수입",$J338&gt;0),"수입 과목인데 지출에 적혔습니다",IF(AND(LEFT($E338,2)&lt;&gt;"수입",$E338&lt;&gt;"대체",$I338&gt;0),"지출 과목인데 수입에 적혔습니다",IF($K338="","증빙을 고르십시오",IF(AND($C338="바우처통장",$J338&gt;0,IFERROR(INDEX('통합 ④ 설정'!$E$6:$E$40,MATCH($D338,'통합 ④ 설정'!$B$6:$B$40,0)),"")&lt;&gt;"○"),"바우처통장 지출 — 목적 확인",IF($H338="","적요를 적으십시오",""))))))))))))</f>
        <v/>
      </c>
      <c r="M338" s="39"/>
      <c r="O338" s="11" t="str">
        <f aca="false">IF($B338="","",YEAR($B338)*100+MONTH($B338))</f>
        <v/>
      </c>
      <c r="P338" s="11" t="str">
        <f aca="false">IF($B338="","",IF($E338="대체",0,1))</f>
        <v/>
      </c>
    </row>
    <row r="339" customFormat="false" ht="15" hidden="false" customHeight="false" outlineLevel="0" collapsed="false">
      <c r="A339" s="36" t="str">
        <f aca="false">IF($B339="","",COUNT($B$15:$B339))</f>
        <v/>
      </c>
      <c r="B339" s="37"/>
      <c r="C339" s="38"/>
      <c r="D339" s="39"/>
      <c r="E339" s="36" t="str">
        <f aca="false">IF($D339="","",IFERROR(INDEX('통합 ④ 설정'!$A$6:$A$40,MATCH($D339,'통합 ④ 설정'!$B$6:$B$40,0)),"※없는 과목"))</f>
        <v/>
      </c>
      <c r="F339" s="36" t="str">
        <f aca="false">IF($D339="","",IFERROR(INDEX('통합 ④ 설정'!$C$6:$C$40,MATCH($D339,'통합 ④ 설정'!$B$6:$B$40,0)),""))</f>
        <v/>
      </c>
      <c r="G339" s="39"/>
      <c r="H339" s="39"/>
      <c r="I339" s="40"/>
      <c r="J339" s="41"/>
      <c r="K339" s="38"/>
      <c r="L339" s="42" t="str">
        <f aca="false">IF($B339="","",IF(AND(N($I339)=0,N($J339)=0),"금액이 없습니다",IF(AND($I339&gt;0,$J339&gt;0),"수입·지출 둘 다 적혔습니다",IF($C339="","결제수단을 고르십시오",IF(ISNA(MATCH($C339,'통합 ③ 통장·카드'!$A$5:$A$11,0)),"③ 통장·카드에 없는 결제수단입니다",IF($D339="","계정과목을 고르십시오",IF($E339="※없는 과목","④ 설정에 없는 과목입니다",IF(AND($E339="수입",$J339&gt;0),"수입 과목인데 지출에 적혔습니다",IF(AND(LEFT($E339,2)&lt;&gt;"수입",$E339&lt;&gt;"대체",$I339&gt;0),"지출 과목인데 수입에 적혔습니다",IF($K339="","증빙을 고르십시오",IF(AND($C339="바우처통장",$J339&gt;0,IFERROR(INDEX('통합 ④ 설정'!$E$6:$E$40,MATCH($D339,'통합 ④ 설정'!$B$6:$B$40,0)),"")&lt;&gt;"○"),"바우처통장 지출 — 목적 확인",IF($H339="","적요를 적으십시오",""))))))))))))</f>
        <v/>
      </c>
      <c r="M339" s="39"/>
      <c r="O339" s="11" t="str">
        <f aca="false">IF($B339="","",YEAR($B339)*100+MONTH($B339))</f>
        <v/>
      </c>
      <c r="P339" s="11" t="str">
        <f aca="false">IF($B339="","",IF($E339="대체",0,1))</f>
        <v/>
      </c>
    </row>
    <row r="340" customFormat="false" ht="15" hidden="false" customHeight="false" outlineLevel="0" collapsed="false">
      <c r="A340" s="36" t="str">
        <f aca="false">IF($B340="","",COUNT($B$15:$B340))</f>
        <v/>
      </c>
      <c r="B340" s="37"/>
      <c r="C340" s="38"/>
      <c r="D340" s="39"/>
      <c r="E340" s="36" t="str">
        <f aca="false">IF($D340="","",IFERROR(INDEX('통합 ④ 설정'!$A$6:$A$40,MATCH($D340,'통합 ④ 설정'!$B$6:$B$40,0)),"※없는 과목"))</f>
        <v/>
      </c>
      <c r="F340" s="36" t="str">
        <f aca="false">IF($D340="","",IFERROR(INDEX('통합 ④ 설정'!$C$6:$C$40,MATCH($D340,'통합 ④ 설정'!$B$6:$B$40,0)),""))</f>
        <v/>
      </c>
      <c r="G340" s="39"/>
      <c r="H340" s="39"/>
      <c r="I340" s="40"/>
      <c r="J340" s="41"/>
      <c r="K340" s="38"/>
      <c r="L340" s="42" t="str">
        <f aca="false">IF($B340="","",IF(AND(N($I340)=0,N($J340)=0),"금액이 없습니다",IF(AND($I340&gt;0,$J340&gt;0),"수입·지출 둘 다 적혔습니다",IF($C340="","결제수단을 고르십시오",IF(ISNA(MATCH($C340,'통합 ③ 통장·카드'!$A$5:$A$11,0)),"③ 통장·카드에 없는 결제수단입니다",IF($D340="","계정과목을 고르십시오",IF($E340="※없는 과목","④ 설정에 없는 과목입니다",IF(AND($E340="수입",$J340&gt;0),"수입 과목인데 지출에 적혔습니다",IF(AND(LEFT($E340,2)&lt;&gt;"수입",$E340&lt;&gt;"대체",$I340&gt;0),"지출 과목인데 수입에 적혔습니다",IF($K340="","증빙을 고르십시오",IF(AND($C340="바우처통장",$J340&gt;0,IFERROR(INDEX('통합 ④ 설정'!$E$6:$E$40,MATCH($D340,'통합 ④ 설정'!$B$6:$B$40,0)),"")&lt;&gt;"○"),"바우처통장 지출 — 목적 확인",IF($H340="","적요를 적으십시오",""))))))))))))</f>
        <v/>
      </c>
      <c r="M340" s="39"/>
      <c r="O340" s="11" t="str">
        <f aca="false">IF($B340="","",YEAR($B340)*100+MONTH($B340))</f>
        <v/>
      </c>
      <c r="P340" s="11" t="str">
        <f aca="false">IF($B340="","",IF($E340="대체",0,1))</f>
        <v/>
      </c>
    </row>
    <row r="341" customFormat="false" ht="15" hidden="false" customHeight="false" outlineLevel="0" collapsed="false">
      <c r="A341" s="36" t="str">
        <f aca="false">IF($B341="","",COUNT($B$15:$B341))</f>
        <v/>
      </c>
      <c r="B341" s="37"/>
      <c r="C341" s="38"/>
      <c r="D341" s="39"/>
      <c r="E341" s="36" t="str">
        <f aca="false">IF($D341="","",IFERROR(INDEX('통합 ④ 설정'!$A$6:$A$40,MATCH($D341,'통합 ④ 설정'!$B$6:$B$40,0)),"※없는 과목"))</f>
        <v/>
      </c>
      <c r="F341" s="36" t="str">
        <f aca="false">IF($D341="","",IFERROR(INDEX('통합 ④ 설정'!$C$6:$C$40,MATCH($D341,'통합 ④ 설정'!$B$6:$B$40,0)),""))</f>
        <v/>
      </c>
      <c r="G341" s="39"/>
      <c r="H341" s="39"/>
      <c r="I341" s="40"/>
      <c r="J341" s="41"/>
      <c r="K341" s="38"/>
      <c r="L341" s="42" t="str">
        <f aca="false">IF($B341="","",IF(AND(N($I341)=0,N($J341)=0),"금액이 없습니다",IF(AND($I341&gt;0,$J341&gt;0),"수입·지출 둘 다 적혔습니다",IF($C341="","결제수단을 고르십시오",IF(ISNA(MATCH($C341,'통합 ③ 통장·카드'!$A$5:$A$11,0)),"③ 통장·카드에 없는 결제수단입니다",IF($D341="","계정과목을 고르십시오",IF($E341="※없는 과목","④ 설정에 없는 과목입니다",IF(AND($E341="수입",$J341&gt;0),"수입 과목인데 지출에 적혔습니다",IF(AND(LEFT($E341,2)&lt;&gt;"수입",$E341&lt;&gt;"대체",$I341&gt;0),"지출 과목인데 수입에 적혔습니다",IF($K341="","증빙을 고르십시오",IF(AND($C341="바우처통장",$J341&gt;0,IFERROR(INDEX('통합 ④ 설정'!$E$6:$E$40,MATCH($D341,'통합 ④ 설정'!$B$6:$B$40,0)),"")&lt;&gt;"○"),"바우처통장 지출 — 목적 확인",IF($H341="","적요를 적으십시오",""))))))))))))</f>
        <v/>
      </c>
      <c r="M341" s="39"/>
      <c r="O341" s="11" t="str">
        <f aca="false">IF($B341="","",YEAR($B341)*100+MONTH($B341))</f>
        <v/>
      </c>
      <c r="P341" s="11" t="str">
        <f aca="false">IF($B341="","",IF($E341="대체",0,1))</f>
        <v/>
      </c>
    </row>
    <row r="342" customFormat="false" ht="15" hidden="false" customHeight="false" outlineLevel="0" collapsed="false">
      <c r="A342" s="36" t="str">
        <f aca="false">IF($B342="","",COUNT($B$15:$B342))</f>
        <v/>
      </c>
      <c r="B342" s="37"/>
      <c r="C342" s="38"/>
      <c r="D342" s="39"/>
      <c r="E342" s="36" t="str">
        <f aca="false">IF($D342="","",IFERROR(INDEX('통합 ④ 설정'!$A$6:$A$40,MATCH($D342,'통합 ④ 설정'!$B$6:$B$40,0)),"※없는 과목"))</f>
        <v/>
      </c>
      <c r="F342" s="36" t="str">
        <f aca="false">IF($D342="","",IFERROR(INDEX('통합 ④ 설정'!$C$6:$C$40,MATCH($D342,'통합 ④ 설정'!$B$6:$B$40,0)),""))</f>
        <v/>
      </c>
      <c r="G342" s="39"/>
      <c r="H342" s="39"/>
      <c r="I342" s="40"/>
      <c r="J342" s="41"/>
      <c r="K342" s="38"/>
      <c r="L342" s="42" t="str">
        <f aca="false">IF($B342="","",IF(AND(N($I342)=0,N($J342)=0),"금액이 없습니다",IF(AND($I342&gt;0,$J342&gt;0),"수입·지출 둘 다 적혔습니다",IF($C342="","결제수단을 고르십시오",IF(ISNA(MATCH($C342,'통합 ③ 통장·카드'!$A$5:$A$11,0)),"③ 통장·카드에 없는 결제수단입니다",IF($D342="","계정과목을 고르십시오",IF($E342="※없는 과목","④ 설정에 없는 과목입니다",IF(AND($E342="수입",$J342&gt;0),"수입 과목인데 지출에 적혔습니다",IF(AND(LEFT($E342,2)&lt;&gt;"수입",$E342&lt;&gt;"대체",$I342&gt;0),"지출 과목인데 수입에 적혔습니다",IF($K342="","증빙을 고르십시오",IF(AND($C342="바우처통장",$J342&gt;0,IFERROR(INDEX('통합 ④ 설정'!$E$6:$E$40,MATCH($D342,'통합 ④ 설정'!$B$6:$B$40,0)),"")&lt;&gt;"○"),"바우처통장 지출 — 목적 확인",IF($H342="","적요를 적으십시오",""))))))))))))</f>
        <v/>
      </c>
      <c r="M342" s="39"/>
      <c r="O342" s="11" t="str">
        <f aca="false">IF($B342="","",YEAR($B342)*100+MONTH($B342))</f>
        <v/>
      </c>
      <c r="P342" s="11" t="str">
        <f aca="false">IF($B342="","",IF($E342="대체",0,1))</f>
        <v/>
      </c>
    </row>
    <row r="343" customFormat="false" ht="15" hidden="false" customHeight="false" outlineLevel="0" collapsed="false">
      <c r="A343" s="36" t="str">
        <f aca="false">IF($B343="","",COUNT($B$15:$B343))</f>
        <v/>
      </c>
      <c r="B343" s="37"/>
      <c r="C343" s="38"/>
      <c r="D343" s="39"/>
      <c r="E343" s="36" t="str">
        <f aca="false">IF($D343="","",IFERROR(INDEX('통합 ④ 설정'!$A$6:$A$40,MATCH($D343,'통합 ④ 설정'!$B$6:$B$40,0)),"※없는 과목"))</f>
        <v/>
      </c>
      <c r="F343" s="36" t="str">
        <f aca="false">IF($D343="","",IFERROR(INDEX('통합 ④ 설정'!$C$6:$C$40,MATCH($D343,'통합 ④ 설정'!$B$6:$B$40,0)),""))</f>
        <v/>
      </c>
      <c r="G343" s="39"/>
      <c r="H343" s="39"/>
      <c r="I343" s="40"/>
      <c r="J343" s="41"/>
      <c r="K343" s="38"/>
      <c r="L343" s="42" t="str">
        <f aca="false">IF($B343="","",IF(AND(N($I343)=0,N($J343)=0),"금액이 없습니다",IF(AND($I343&gt;0,$J343&gt;0),"수입·지출 둘 다 적혔습니다",IF($C343="","결제수단을 고르십시오",IF(ISNA(MATCH($C343,'통합 ③ 통장·카드'!$A$5:$A$11,0)),"③ 통장·카드에 없는 결제수단입니다",IF($D343="","계정과목을 고르십시오",IF($E343="※없는 과목","④ 설정에 없는 과목입니다",IF(AND($E343="수입",$J343&gt;0),"수입 과목인데 지출에 적혔습니다",IF(AND(LEFT($E343,2)&lt;&gt;"수입",$E343&lt;&gt;"대체",$I343&gt;0),"지출 과목인데 수입에 적혔습니다",IF($K343="","증빙을 고르십시오",IF(AND($C343="바우처통장",$J343&gt;0,IFERROR(INDEX('통합 ④ 설정'!$E$6:$E$40,MATCH($D343,'통합 ④ 설정'!$B$6:$B$40,0)),"")&lt;&gt;"○"),"바우처통장 지출 — 목적 확인",IF($H343="","적요를 적으십시오",""))))))))))))</f>
        <v/>
      </c>
      <c r="M343" s="39"/>
      <c r="O343" s="11" t="str">
        <f aca="false">IF($B343="","",YEAR($B343)*100+MONTH($B343))</f>
        <v/>
      </c>
      <c r="P343" s="11" t="str">
        <f aca="false">IF($B343="","",IF($E343="대체",0,1))</f>
        <v/>
      </c>
    </row>
    <row r="344" customFormat="false" ht="15" hidden="false" customHeight="false" outlineLevel="0" collapsed="false">
      <c r="A344" s="36" t="str">
        <f aca="false">IF($B344="","",COUNT($B$15:$B344))</f>
        <v/>
      </c>
      <c r="B344" s="37"/>
      <c r="C344" s="38"/>
      <c r="D344" s="39"/>
      <c r="E344" s="36" t="str">
        <f aca="false">IF($D344="","",IFERROR(INDEX('통합 ④ 설정'!$A$6:$A$40,MATCH($D344,'통합 ④ 설정'!$B$6:$B$40,0)),"※없는 과목"))</f>
        <v/>
      </c>
      <c r="F344" s="36" t="str">
        <f aca="false">IF($D344="","",IFERROR(INDEX('통합 ④ 설정'!$C$6:$C$40,MATCH($D344,'통합 ④ 설정'!$B$6:$B$40,0)),""))</f>
        <v/>
      </c>
      <c r="G344" s="39"/>
      <c r="H344" s="39"/>
      <c r="I344" s="40"/>
      <c r="J344" s="41"/>
      <c r="K344" s="38"/>
      <c r="L344" s="42" t="str">
        <f aca="false">IF($B344="","",IF(AND(N($I344)=0,N($J344)=0),"금액이 없습니다",IF(AND($I344&gt;0,$J344&gt;0),"수입·지출 둘 다 적혔습니다",IF($C344="","결제수단을 고르십시오",IF(ISNA(MATCH($C344,'통합 ③ 통장·카드'!$A$5:$A$11,0)),"③ 통장·카드에 없는 결제수단입니다",IF($D344="","계정과목을 고르십시오",IF($E344="※없는 과목","④ 설정에 없는 과목입니다",IF(AND($E344="수입",$J344&gt;0),"수입 과목인데 지출에 적혔습니다",IF(AND(LEFT($E344,2)&lt;&gt;"수입",$E344&lt;&gt;"대체",$I344&gt;0),"지출 과목인데 수입에 적혔습니다",IF($K344="","증빙을 고르십시오",IF(AND($C344="바우처통장",$J344&gt;0,IFERROR(INDEX('통합 ④ 설정'!$E$6:$E$40,MATCH($D344,'통합 ④ 설정'!$B$6:$B$40,0)),"")&lt;&gt;"○"),"바우처통장 지출 — 목적 확인",IF($H344="","적요를 적으십시오",""))))))))))))</f>
        <v/>
      </c>
      <c r="M344" s="39"/>
      <c r="O344" s="11" t="str">
        <f aca="false">IF($B344="","",YEAR($B344)*100+MONTH($B344))</f>
        <v/>
      </c>
      <c r="P344" s="11" t="str">
        <f aca="false">IF($B344="","",IF($E344="대체",0,1))</f>
        <v/>
      </c>
    </row>
    <row r="345" customFormat="false" ht="15" hidden="false" customHeight="false" outlineLevel="0" collapsed="false">
      <c r="A345" s="36" t="str">
        <f aca="false">IF($B345="","",COUNT($B$15:$B345))</f>
        <v/>
      </c>
      <c r="B345" s="37"/>
      <c r="C345" s="38"/>
      <c r="D345" s="39"/>
      <c r="E345" s="36" t="str">
        <f aca="false">IF($D345="","",IFERROR(INDEX('통합 ④ 설정'!$A$6:$A$40,MATCH($D345,'통합 ④ 설정'!$B$6:$B$40,0)),"※없는 과목"))</f>
        <v/>
      </c>
      <c r="F345" s="36" t="str">
        <f aca="false">IF($D345="","",IFERROR(INDEX('통합 ④ 설정'!$C$6:$C$40,MATCH($D345,'통합 ④ 설정'!$B$6:$B$40,0)),""))</f>
        <v/>
      </c>
      <c r="G345" s="39"/>
      <c r="H345" s="39"/>
      <c r="I345" s="40"/>
      <c r="J345" s="41"/>
      <c r="K345" s="38"/>
      <c r="L345" s="42" t="str">
        <f aca="false">IF($B345="","",IF(AND(N($I345)=0,N($J345)=0),"금액이 없습니다",IF(AND($I345&gt;0,$J345&gt;0),"수입·지출 둘 다 적혔습니다",IF($C345="","결제수단을 고르십시오",IF(ISNA(MATCH($C345,'통합 ③ 통장·카드'!$A$5:$A$11,0)),"③ 통장·카드에 없는 결제수단입니다",IF($D345="","계정과목을 고르십시오",IF($E345="※없는 과목","④ 설정에 없는 과목입니다",IF(AND($E345="수입",$J345&gt;0),"수입 과목인데 지출에 적혔습니다",IF(AND(LEFT($E345,2)&lt;&gt;"수입",$E345&lt;&gt;"대체",$I345&gt;0),"지출 과목인데 수입에 적혔습니다",IF($K345="","증빙을 고르십시오",IF(AND($C345="바우처통장",$J345&gt;0,IFERROR(INDEX('통합 ④ 설정'!$E$6:$E$40,MATCH($D345,'통합 ④ 설정'!$B$6:$B$40,0)),"")&lt;&gt;"○"),"바우처통장 지출 — 목적 확인",IF($H345="","적요를 적으십시오",""))))))))))))</f>
        <v/>
      </c>
      <c r="M345" s="39"/>
      <c r="O345" s="11" t="str">
        <f aca="false">IF($B345="","",YEAR($B345)*100+MONTH($B345))</f>
        <v/>
      </c>
      <c r="P345" s="11" t="str">
        <f aca="false">IF($B345="","",IF($E345="대체",0,1))</f>
        <v/>
      </c>
    </row>
    <row r="346" customFormat="false" ht="15" hidden="false" customHeight="false" outlineLevel="0" collapsed="false">
      <c r="A346" s="36" t="str">
        <f aca="false">IF($B346="","",COUNT($B$15:$B346))</f>
        <v/>
      </c>
      <c r="B346" s="37"/>
      <c r="C346" s="38"/>
      <c r="D346" s="39"/>
      <c r="E346" s="36" t="str">
        <f aca="false">IF($D346="","",IFERROR(INDEX('통합 ④ 설정'!$A$6:$A$40,MATCH($D346,'통합 ④ 설정'!$B$6:$B$40,0)),"※없는 과목"))</f>
        <v/>
      </c>
      <c r="F346" s="36" t="str">
        <f aca="false">IF($D346="","",IFERROR(INDEX('통합 ④ 설정'!$C$6:$C$40,MATCH($D346,'통합 ④ 설정'!$B$6:$B$40,0)),""))</f>
        <v/>
      </c>
      <c r="G346" s="39"/>
      <c r="H346" s="39"/>
      <c r="I346" s="40"/>
      <c r="J346" s="41"/>
      <c r="K346" s="38"/>
      <c r="L346" s="42" t="str">
        <f aca="false">IF($B346="","",IF(AND(N($I346)=0,N($J346)=0),"금액이 없습니다",IF(AND($I346&gt;0,$J346&gt;0),"수입·지출 둘 다 적혔습니다",IF($C346="","결제수단을 고르십시오",IF(ISNA(MATCH($C346,'통합 ③ 통장·카드'!$A$5:$A$11,0)),"③ 통장·카드에 없는 결제수단입니다",IF($D346="","계정과목을 고르십시오",IF($E346="※없는 과목","④ 설정에 없는 과목입니다",IF(AND($E346="수입",$J346&gt;0),"수입 과목인데 지출에 적혔습니다",IF(AND(LEFT($E346,2)&lt;&gt;"수입",$E346&lt;&gt;"대체",$I346&gt;0),"지출 과목인데 수입에 적혔습니다",IF($K346="","증빙을 고르십시오",IF(AND($C346="바우처통장",$J346&gt;0,IFERROR(INDEX('통합 ④ 설정'!$E$6:$E$40,MATCH($D346,'통합 ④ 설정'!$B$6:$B$40,0)),"")&lt;&gt;"○"),"바우처통장 지출 — 목적 확인",IF($H346="","적요를 적으십시오",""))))))))))))</f>
        <v/>
      </c>
      <c r="M346" s="39"/>
      <c r="O346" s="11" t="str">
        <f aca="false">IF($B346="","",YEAR($B346)*100+MONTH($B346))</f>
        <v/>
      </c>
      <c r="P346" s="11" t="str">
        <f aca="false">IF($B346="","",IF($E346="대체",0,1))</f>
        <v/>
      </c>
    </row>
    <row r="347" customFormat="false" ht="15" hidden="false" customHeight="false" outlineLevel="0" collapsed="false">
      <c r="A347" s="36" t="str">
        <f aca="false">IF($B347="","",COUNT($B$15:$B347))</f>
        <v/>
      </c>
      <c r="B347" s="37"/>
      <c r="C347" s="38"/>
      <c r="D347" s="39"/>
      <c r="E347" s="36" t="str">
        <f aca="false">IF($D347="","",IFERROR(INDEX('통합 ④ 설정'!$A$6:$A$40,MATCH($D347,'통합 ④ 설정'!$B$6:$B$40,0)),"※없는 과목"))</f>
        <v/>
      </c>
      <c r="F347" s="36" t="str">
        <f aca="false">IF($D347="","",IFERROR(INDEX('통합 ④ 설정'!$C$6:$C$40,MATCH($D347,'통합 ④ 설정'!$B$6:$B$40,0)),""))</f>
        <v/>
      </c>
      <c r="G347" s="39"/>
      <c r="H347" s="39"/>
      <c r="I347" s="40"/>
      <c r="J347" s="41"/>
      <c r="K347" s="38"/>
      <c r="L347" s="42" t="str">
        <f aca="false">IF($B347="","",IF(AND(N($I347)=0,N($J347)=0),"금액이 없습니다",IF(AND($I347&gt;0,$J347&gt;0),"수입·지출 둘 다 적혔습니다",IF($C347="","결제수단을 고르십시오",IF(ISNA(MATCH($C347,'통합 ③ 통장·카드'!$A$5:$A$11,0)),"③ 통장·카드에 없는 결제수단입니다",IF($D347="","계정과목을 고르십시오",IF($E347="※없는 과목","④ 설정에 없는 과목입니다",IF(AND($E347="수입",$J347&gt;0),"수입 과목인데 지출에 적혔습니다",IF(AND(LEFT($E347,2)&lt;&gt;"수입",$E347&lt;&gt;"대체",$I347&gt;0),"지출 과목인데 수입에 적혔습니다",IF($K347="","증빙을 고르십시오",IF(AND($C347="바우처통장",$J347&gt;0,IFERROR(INDEX('통합 ④ 설정'!$E$6:$E$40,MATCH($D347,'통합 ④ 설정'!$B$6:$B$40,0)),"")&lt;&gt;"○"),"바우처통장 지출 — 목적 확인",IF($H347="","적요를 적으십시오",""))))))))))))</f>
        <v/>
      </c>
      <c r="M347" s="39"/>
      <c r="O347" s="11" t="str">
        <f aca="false">IF($B347="","",YEAR($B347)*100+MONTH($B347))</f>
        <v/>
      </c>
      <c r="P347" s="11" t="str">
        <f aca="false">IF($B347="","",IF($E347="대체",0,1))</f>
        <v/>
      </c>
    </row>
    <row r="348" customFormat="false" ht="15" hidden="false" customHeight="false" outlineLevel="0" collapsed="false">
      <c r="A348" s="36" t="str">
        <f aca="false">IF($B348="","",COUNT($B$15:$B348))</f>
        <v/>
      </c>
      <c r="B348" s="37"/>
      <c r="C348" s="38"/>
      <c r="D348" s="39"/>
      <c r="E348" s="36" t="str">
        <f aca="false">IF($D348="","",IFERROR(INDEX('통합 ④ 설정'!$A$6:$A$40,MATCH($D348,'통합 ④ 설정'!$B$6:$B$40,0)),"※없는 과목"))</f>
        <v/>
      </c>
      <c r="F348" s="36" t="str">
        <f aca="false">IF($D348="","",IFERROR(INDEX('통합 ④ 설정'!$C$6:$C$40,MATCH($D348,'통합 ④ 설정'!$B$6:$B$40,0)),""))</f>
        <v/>
      </c>
      <c r="G348" s="39"/>
      <c r="H348" s="39"/>
      <c r="I348" s="40"/>
      <c r="J348" s="41"/>
      <c r="K348" s="38"/>
      <c r="L348" s="42" t="str">
        <f aca="false">IF($B348="","",IF(AND(N($I348)=0,N($J348)=0),"금액이 없습니다",IF(AND($I348&gt;0,$J348&gt;0),"수입·지출 둘 다 적혔습니다",IF($C348="","결제수단을 고르십시오",IF(ISNA(MATCH($C348,'통합 ③ 통장·카드'!$A$5:$A$11,0)),"③ 통장·카드에 없는 결제수단입니다",IF($D348="","계정과목을 고르십시오",IF($E348="※없는 과목","④ 설정에 없는 과목입니다",IF(AND($E348="수입",$J348&gt;0),"수입 과목인데 지출에 적혔습니다",IF(AND(LEFT($E348,2)&lt;&gt;"수입",$E348&lt;&gt;"대체",$I348&gt;0),"지출 과목인데 수입에 적혔습니다",IF($K348="","증빙을 고르십시오",IF(AND($C348="바우처통장",$J348&gt;0,IFERROR(INDEX('통합 ④ 설정'!$E$6:$E$40,MATCH($D348,'통합 ④ 설정'!$B$6:$B$40,0)),"")&lt;&gt;"○"),"바우처통장 지출 — 목적 확인",IF($H348="","적요를 적으십시오",""))))))))))))</f>
        <v/>
      </c>
      <c r="M348" s="39"/>
      <c r="O348" s="11" t="str">
        <f aca="false">IF($B348="","",YEAR($B348)*100+MONTH($B348))</f>
        <v/>
      </c>
      <c r="P348" s="11" t="str">
        <f aca="false">IF($B348="","",IF($E348="대체",0,1))</f>
        <v/>
      </c>
    </row>
    <row r="349" customFormat="false" ht="15" hidden="false" customHeight="false" outlineLevel="0" collapsed="false">
      <c r="A349" s="36" t="str">
        <f aca="false">IF($B349="","",COUNT($B$15:$B349))</f>
        <v/>
      </c>
      <c r="B349" s="37"/>
      <c r="C349" s="38"/>
      <c r="D349" s="39"/>
      <c r="E349" s="36" t="str">
        <f aca="false">IF($D349="","",IFERROR(INDEX('통합 ④ 설정'!$A$6:$A$40,MATCH($D349,'통합 ④ 설정'!$B$6:$B$40,0)),"※없는 과목"))</f>
        <v/>
      </c>
      <c r="F349" s="36" t="str">
        <f aca="false">IF($D349="","",IFERROR(INDEX('통합 ④ 설정'!$C$6:$C$40,MATCH($D349,'통합 ④ 설정'!$B$6:$B$40,0)),""))</f>
        <v/>
      </c>
      <c r="G349" s="39"/>
      <c r="H349" s="39"/>
      <c r="I349" s="40"/>
      <c r="J349" s="41"/>
      <c r="K349" s="38"/>
      <c r="L349" s="42" t="str">
        <f aca="false">IF($B349="","",IF(AND(N($I349)=0,N($J349)=0),"금액이 없습니다",IF(AND($I349&gt;0,$J349&gt;0),"수입·지출 둘 다 적혔습니다",IF($C349="","결제수단을 고르십시오",IF(ISNA(MATCH($C349,'통합 ③ 통장·카드'!$A$5:$A$11,0)),"③ 통장·카드에 없는 결제수단입니다",IF($D349="","계정과목을 고르십시오",IF($E349="※없는 과목","④ 설정에 없는 과목입니다",IF(AND($E349="수입",$J349&gt;0),"수입 과목인데 지출에 적혔습니다",IF(AND(LEFT($E349,2)&lt;&gt;"수입",$E349&lt;&gt;"대체",$I349&gt;0),"지출 과목인데 수입에 적혔습니다",IF($K349="","증빙을 고르십시오",IF(AND($C349="바우처통장",$J349&gt;0,IFERROR(INDEX('통합 ④ 설정'!$E$6:$E$40,MATCH($D349,'통합 ④ 설정'!$B$6:$B$40,0)),"")&lt;&gt;"○"),"바우처통장 지출 — 목적 확인",IF($H349="","적요를 적으십시오",""))))))))))))</f>
        <v/>
      </c>
      <c r="M349" s="39"/>
      <c r="O349" s="11" t="str">
        <f aca="false">IF($B349="","",YEAR($B349)*100+MONTH($B349))</f>
        <v/>
      </c>
      <c r="P349" s="11" t="str">
        <f aca="false">IF($B349="","",IF($E349="대체",0,1))</f>
        <v/>
      </c>
    </row>
    <row r="350" customFormat="false" ht="15" hidden="false" customHeight="false" outlineLevel="0" collapsed="false">
      <c r="A350" s="36" t="str">
        <f aca="false">IF($B350="","",COUNT($B$15:$B350))</f>
        <v/>
      </c>
      <c r="B350" s="37"/>
      <c r="C350" s="38"/>
      <c r="D350" s="39"/>
      <c r="E350" s="36" t="str">
        <f aca="false">IF($D350="","",IFERROR(INDEX('통합 ④ 설정'!$A$6:$A$40,MATCH($D350,'통합 ④ 설정'!$B$6:$B$40,0)),"※없는 과목"))</f>
        <v/>
      </c>
      <c r="F350" s="36" t="str">
        <f aca="false">IF($D350="","",IFERROR(INDEX('통합 ④ 설정'!$C$6:$C$40,MATCH($D350,'통합 ④ 설정'!$B$6:$B$40,0)),""))</f>
        <v/>
      </c>
      <c r="G350" s="39"/>
      <c r="H350" s="39"/>
      <c r="I350" s="40"/>
      <c r="J350" s="41"/>
      <c r="K350" s="38"/>
      <c r="L350" s="42" t="str">
        <f aca="false">IF($B350="","",IF(AND(N($I350)=0,N($J350)=0),"금액이 없습니다",IF(AND($I350&gt;0,$J350&gt;0),"수입·지출 둘 다 적혔습니다",IF($C350="","결제수단을 고르십시오",IF(ISNA(MATCH($C350,'통합 ③ 통장·카드'!$A$5:$A$11,0)),"③ 통장·카드에 없는 결제수단입니다",IF($D350="","계정과목을 고르십시오",IF($E350="※없는 과목","④ 설정에 없는 과목입니다",IF(AND($E350="수입",$J350&gt;0),"수입 과목인데 지출에 적혔습니다",IF(AND(LEFT($E350,2)&lt;&gt;"수입",$E350&lt;&gt;"대체",$I350&gt;0),"지출 과목인데 수입에 적혔습니다",IF($K350="","증빙을 고르십시오",IF(AND($C350="바우처통장",$J350&gt;0,IFERROR(INDEX('통합 ④ 설정'!$E$6:$E$40,MATCH($D350,'통합 ④ 설정'!$B$6:$B$40,0)),"")&lt;&gt;"○"),"바우처통장 지출 — 목적 확인",IF($H350="","적요를 적으십시오",""))))))))))))</f>
        <v/>
      </c>
      <c r="M350" s="39"/>
      <c r="O350" s="11" t="str">
        <f aca="false">IF($B350="","",YEAR($B350)*100+MONTH($B350))</f>
        <v/>
      </c>
      <c r="P350" s="11" t="str">
        <f aca="false">IF($B350="","",IF($E350="대체",0,1))</f>
        <v/>
      </c>
    </row>
    <row r="351" customFormat="false" ht="15" hidden="false" customHeight="false" outlineLevel="0" collapsed="false">
      <c r="A351" s="36" t="str">
        <f aca="false">IF($B351="","",COUNT($B$15:$B351))</f>
        <v/>
      </c>
      <c r="B351" s="37"/>
      <c r="C351" s="38"/>
      <c r="D351" s="39"/>
      <c r="E351" s="36" t="str">
        <f aca="false">IF($D351="","",IFERROR(INDEX('통합 ④ 설정'!$A$6:$A$40,MATCH($D351,'통합 ④ 설정'!$B$6:$B$40,0)),"※없는 과목"))</f>
        <v/>
      </c>
      <c r="F351" s="36" t="str">
        <f aca="false">IF($D351="","",IFERROR(INDEX('통합 ④ 설정'!$C$6:$C$40,MATCH($D351,'통합 ④ 설정'!$B$6:$B$40,0)),""))</f>
        <v/>
      </c>
      <c r="G351" s="39"/>
      <c r="H351" s="39"/>
      <c r="I351" s="40"/>
      <c r="J351" s="41"/>
      <c r="K351" s="38"/>
      <c r="L351" s="42" t="str">
        <f aca="false">IF($B351="","",IF(AND(N($I351)=0,N($J351)=0),"금액이 없습니다",IF(AND($I351&gt;0,$J351&gt;0),"수입·지출 둘 다 적혔습니다",IF($C351="","결제수단을 고르십시오",IF(ISNA(MATCH($C351,'통합 ③ 통장·카드'!$A$5:$A$11,0)),"③ 통장·카드에 없는 결제수단입니다",IF($D351="","계정과목을 고르십시오",IF($E351="※없는 과목","④ 설정에 없는 과목입니다",IF(AND($E351="수입",$J351&gt;0),"수입 과목인데 지출에 적혔습니다",IF(AND(LEFT($E351,2)&lt;&gt;"수입",$E351&lt;&gt;"대체",$I351&gt;0),"지출 과목인데 수입에 적혔습니다",IF($K351="","증빙을 고르십시오",IF(AND($C351="바우처통장",$J351&gt;0,IFERROR(INDEX('통합 ④ 설정'!$E$6:$E$40,MATCH($D351,'통합 ④ 설정'!$B$6:$B$40,0)),"")&lt;&gt;"○"),"바우처통장 지출 — 목적 확인",IF($H351="","적요를 적으십시오",""))))))))))))</f>
        <v/>
      </c>
      <c r="M351" s="39"/>
      <c r="O351" s="11" t="str">
        <f aca="false">IF($B351="","",YEAR($B351)*100+MONTH($B351))</f>
        <v/>
      </c>
      <c r="P351" s="11" t="str">
        <f aca="false">IF($B351="","",IF($E351="대체",0,1))</f>
        <v/>
      </c>
    </row>
    <row r="352" customFormat="false" ht="15" hidden="false" customHeight="false" outlineLevel="0" collapsed="false">
      <c r="A352" s="36" t="str">
        <f aca="false">IF($B352="","",COUNT($B$15:$B352))</f>
        <v/>
      </c>
      <c r="B352" s="37"/>
      <c r="C352" s="38"/>
      <c r="D352" s="39"/>
      <c r="E352" s="36" t="str">
        <f aca="false">IF($D352="","",IFERROR(INDEX('통합 ④ 설정'!$A$6:$A$40,MATCH($D352,'통합 ④ 설정'!$B$6:$B$40,0)),"※없는 과목"))</f>
        <v/>
      </c>
      <c r="F352" s="36" t="str">
        <f aca="false">IF($D352="","",IFERROR(INDEX('통합 ④ 설정'!$C$6:$C$40,MATCH($D352,'통합 ④ 설정'!$B$6:$B$40,0)),""))</f>
        <v/>
      </c>
      <c r="G352" s="39"/>
      <c r="H352" s="39"/>
      <c r="I352" s="40"/>
      <c r="J352" s="41"/>
      <c r="K352" s="38"/>
      <c r="L352" s="42" t="str">
        <f aca="false">IF($B352="","",IF(AND(N($I352)=0,N($J352)=0),"금액이 없습니다",IF(AND($I352&gt;0,$J352&gt;0),"수입·지출 둘 다 적혔습니다",IF($C352="","결제수단을 고르십시오",IF(ISNA(MATCH($C352,'통합 ③ 통장·카드'!$A$5:$A$11,0)),"③ 통장·카드에 없는 결제수단입니다",IF($D352="","계정과목을 고르십시오",IF($E352="※없는 과목","④ 설정에 없는 과목입니다",IF(AND($E352="수입",$J352&gt;0),"수입 과목인데 지출에 적혔습니다",IF(AND(LEFT($E352,2)&lt;&gt;"수입",$E352&lt;&gt;"대체",$I352&gt;0),"지출 과목인데 수입에 적혔습니다",IF($K352="","증빙을 고르십시오",IF(AND($C352="바우처통장",$J352&gt;0,IFERROR(INDEX('통합 ④ 설정'!$E$6:$E$40,MATCH($D352,'통합 ④ 설정'!$B$6:$B$40,0)),"")&lt;&gt;"○"),"바우처통장 지출 — 목적 확인",IF($H352="","적요를 적으십시오",""))))))))))))</f>
        <v/>
      </c>
      <c r="M352" s="39"/>
      <c r="O352" s="11" t="str">
        <f aca="false">IF($B352="","",YEAR($B352)*100+MONTH($B352))</f>
        <v/>
      </c>
      <c r="P352" s="11" t="str">
        <f aca="false">IF($B352="","",IF($E352="대체",0,1))</f>
        <v/>
      </c>
    </row>
    <row r="353" customFormat="false" ht="15" hidden="false" customHeight="false" outlineLevel="0" collapsed="false">
      <c r="A353" s="36" t="str">
        <f aca="false">IF($B353="","",COUNT($B$15:$B353))</f>
        <v/>
      </c>
      <c r="B353" s="37"/>
      <c r="C353" s="38"/>
      <c r="D353" s="39"/>
      <c r="E353" s="36" t="str">
        <f aca="false">IF($D353="","",IFERROR(INDEX('통합 ④ 설정'!$A$6:$A$40,MATCH($D353,'통합 ④ 설정'!$B$6:$B$40,0)),"※없는 과목"))</f>
        <v/>
      </c>
      <c r="F353" s="36" t="str">
        <f aca="false">IF($D353="","",IFERROR(INDEX('통합 ④ 설정'!$C$6:$C$40,MATCH($D353,'통합 ④ 설정'!$B$6:$B$40,0)),""))</f>
        <v/>
      </c>
      <c r="G353" s="39"/>
      <c r="H353" s="39"/>
      <c r="I353" s="40"/>
      <c r="J353" s="41"/>
      <c r="K353" s="38"/>
      <c r="L353" s="42" t="str">
        <f aca="false">IF($B353="","",IF(AND(N($I353)=0,N($J353)=0),"금액이 없습니다",IF(AND($I353&gt;0,$J353&gt;0),"수입·지출 둘 다 적혔습니다",IF($C353="","결제수단을 고르십시오",IF(ISNA(MATCH($C353,'통합 ③ 통장·카드'!$A$5:$A$11,0)),"③ 통장·카드에 없는 결제수단입니다",IF($D353="","계정과목을 고르십시오",IF($E353="※없는 과목","④ 설정에 없는 과목입니다",IF(AND($E353="수입",$J353&gt;0),"수입 과목인데 지출에 적혔습니다",IF(AND(LEFT($E353,2)&lt;&gt;"수입",$E353&lt;&gt;"대체",$I353&gt;0),"지출 과목인데 수입에 적혔습니다",IF($K353="","증빙을 고르십시오",IF(AND($C353="바우처통장",$J353&gt;0,IFERROR(INDEX('통합 ④ 설정'!$E$6:$E$40,MATCH($D353,'통합 ④ 설정'!$B$6:$B$40,0)),"")&lt;&gt;"○"),"바우처통장 지출 — 목적 확인",IF($H353="","적요를 적으십시오",""))))))))))))</f>
        <v/>
      </c>
      <c r="M353" s="39"/>
      <c r="O353" s="11" t="str">
        <f aca="false">IF($B353="","",YEAR($B353)*100+MONTH($B353))</f>
        <v/>
      </c>
      <c r="P353" s="11" t="str">
        <f aca="false">IF($B353="","",IF($E353="대체",0,1))</f>
        <v/>
      </c>
    </row>
    <row r="354" customFormat="false" ht="15" hidden="false" customHeight="false" outlineLevel="0" collapsed="false">
      <c r="A354" s="36" t="str">
        <f aca="false">IF($B354="","",COUNT($B$15:$B354))</f>
        <v/>
      </c>
      <c r="B354" s="37"/>
      <c r="C354" s="38"/>
      <c r="D354" s="39"/>
      <c r="E354" s="36" t="str">
        <f aca="false">IF($D354="","",IFERROR(INDEX('통합 ④ 설정'!$A$6:$A$40,MATCH($D354,'통합 ④ 설정'!$B$6:$B$40,0)),"※없는 과목"))</f>
        <v/>
      </c>
      <c r="F354" s="36" t="str">
        <f aca="false">IF($D354="","",IFERROR(INDEX('통합 ④ 설정'!$C$6:$C$40,MATCH($D354,'통합 ④ 설정'!$B$6:$B$40,0)),""))</f>
        <v/>
      </c>
      <c r="G354" s="39"/>
      <c r="H354" s="39"/>
      <c r="I354" s="40"/>
      <c r="J354" s="41"/>
      <c r="K354" s="38"/>
      <c r="L354" s="42" t="str">
        <f aca="false">IF($B354="","",IF(AND(N($I354)=0,N($J354)=0),"금액이 없습니다",IF(AND($I354&gt;0,$J354&gt;0),"수입·지출 둘 다 적혔습니다",IF($C354="","결제수단을 고르십시오",IF(ISNA(MATCH($C354,'통합 ③ 통장·카드'!$A$5:$A$11,0)),"③ 통장·카드에 없는 결제수단입니다",IF($D354="","계정과목을 고르십시오",IF($E354="※없는 과목","④ 설정에 없는 과목입니다",IF(AND($E354="수입",$J354&gt;0),"수입 과목인데 지출에 적혔습니다",IF(AND(LEFT($E354,2)&lt;&gt;"수입",$E354&lt;&gt;"대체",$I354&gt;0),"지출 과목인데 수입에 적혔습니다",IF($K354="","증빙을 고르십시오",IF(AND($C354="바우처통장",$J354&gt;0,IFERROR(INDEX('통합 ④ 설정'!$E$6:$E$40,MATCH($D354,'통합 ④ 설정'!$B$6:$B$40,0)),"")&lt;&gt;"○"),"바우처통장 지출 — 목적 확인",IF($H354="","적요를 적으십시오",""))))))))))))</f>
        <v/>
      </c>
      <c r="M354" s="39"/>
      <c r="O354" s="11" t="str">
        <f aca="false">IF($B354="","",YEAR($B354)*100+MONTH($B354))</f>
        <v/>
      </c>
      <c r="P354" s="11" t="str">
        <f aca="false">IF($B354="","",IF($E354="대체",0,1))</f>
        <v/>
      </c>
    </row>
    <row r="355" customFormat="false" ht="15" hidden="false" customHeight="false" outlineLevel="0" collapsed="false">
      <c r="A355" s="36" t="str">
        <f aca="false">IF($B355="","",COUNT($B$15:$B355))</f>
        <v/>
      </c>
      <c r="B355" s="37"/>
      <c r="C355" s="38"/>
      <c r="D355" s="39"/>
      <c r="E355" s="36" t="str">
        <f aca="false">IF($D355="","",IFERROR(INDEX('통합 ④ 설정'!$A$6:$A$40,MATCH($D355,'통합 ④ 설정'!$B$6:$B$40,0)),"※없는 과목"))</f>
        <v/>
      </c>
      <c r="F355" s="36" t="str">
        <f aca="false">IF($D355="","",IFERROR(INDEX('통합 ④ 설정'!$C$6:$C$40,MATCH($D355,'통합 ④ 설정'!$B$6:$B$40,0)),""))</f>
        <v/>
      </c>
      <c r="G355" s="39"/>
      <c r="H355" s="39"/>
      <c r="I355" s="40"/>
      <c r="J355" s="41"/>
      <c r="K355" s="38"/>
      <c r="L355" s="42" t="str">
        <f aca="false">IF($B355="","",IF(AND(N($I355)=0,N($J355)=0),"금액이 없습니다",IF(AND($I355&gt;0,$J355&gt;0),"수입·지출 둘 다 적혔습니다",IF($C355="","결제수단을 고르십시오",IF(ISNA(MATCH($C355,'통합 ③ 통장·카드'!$A$5:$A$11,0)),"③ 통장·카드에 없는 결제수단입니다",IF($D355="","계정과목을 고르십시오",IF($E355="※없는 과목","④ 설정에 없는 과목입니다",IF(AND($E355="수입",$J355&gt;0),"수입 과목인데 지출에 적혔습니다",IF(AND(LEFT($E355,2)&lt;&gt;"수입",$E355&lt;&gt;"대체",$I355&gt;0),"지출 과목인데 수입에 적혔습니다",IF($K355="","증빙을 고르십시오",IF(AND($C355="바우처통장",$J355&gt;0,IFERROR(INDEX('통합 ④ 설정'!$E$6:$E$40,MATCH($D355,'통합 ④ 설정'!$B$6:$B$40,0)),"")&lt;&gt;"○"),"바우처통장 지출 — 목적 확인",IF($H355="","적요를 적으십시오",""))))))))))))</f>
        <v/>
      </c>
      <c r="M355" s="39"/>
      <c r="O355" s="11" t="str">
        <f aca="false">IF($B355="","",YEAR($B355)*100+MONTH($B355))</f>
        <v/>
      </c>
      <c r="P355" s="11" t="str">
        <f aca="false">IF($B355="","",IF($E355="대체",0,1))</f>
        <v/>
      </c>
    </row>
    <row r="356" customFormat="false" ht="15" hidden="false" customHeight="false" outlineLevel="0" collapsed="false">
      <c r="A356" s="36" t="str">
        <f aca="false">IF($B356="","",COUNT($B$15:$B356))</f>
        <v/>
      </c>
      <c r="B356" s="37"/>
      <c r="C356" s="38"/>
      <c r="D356" s="39"/>
      <c r="E356" s="36" t="str">
        <f aca="false">IF($D356="","",IFERROR(INDEX('통합 ④ 설정'!$A$6:$A$40,MATCH($D356,'통합 ④ 설정'!$B$6:$B$40,0)),"※없는 과목"))</f>
        <v/>
      </c>
      <c r="F356" s="36" t="str">
        <f aca="false">IF($D356="","",IFERROR(INDEX('통합 ④ 설정'!$C$6:$C$40,MATCH($D356,'통합 ④ 설정'!$B$6:$B$40,0)),""))</f>
        <v/>
      </c>
      <c r="G356" s="39"/>
      <c r="H356" s="39"/>
      <c r="I356" s="40"/>
      <c r="J356" s="41"/>
      <c r="K356" s="38"/>
      <c r="L356" s="42" t="str">
        <f aca="false">IF($B356="","",IF(AND(N($I356)=0,N($J356)=0),"금액이 없습니다",IF(AND($I356&gt;0,$J356&gt;0),"수입·지출 둘 다 적혔습니다",IF($C356="","결제수단을 고르십시오",IF(ISNA(MATCH($C356,'통합 ③ 통장·카드'!$A$5:$A$11,0)),"③ 통장·카드에 없는 결제수단입니다",IF($D356="","계정과목을 고르십시오",IF($E356="※없는 과목","④ 설정에 없는 과목입니다",IF(AND($E356="수입",$J356&gt;0),"수입 과목인데 지출에 적혔습니다",IF(AND(LEFT($E356,2)&lt;&gt;"수입",$E356&lt;&gt;"대체",$I356&gt;0),"지출 과목인데 수입에 적혔습니다",IF($K356="","증빙을 고르십시오",IF(AND($C356="바우처통장",$J356&gt;0,IFERROR(INDEX('통합 ④ 설정'!$E$6:$E$40,MATCH($D356,'통합 ④ 설정'!$B$6:$B$40,0)),"")&lt;&gt;"○"),"바우처통장 지출 — 목적 확인",IF($H356="","적요를 적으십시오",""))))))))))))</f>
        <v/>
      </c>
      <c r="M356" s="39"/>
      <c r="O356" s="11" t="str">
        <f aca="false">IF($B356="","",YEAR($B356)*100+MONTH($B356))</f>
        <v/>
      </c>
      <c r="P356" s="11" t="str">
        <f aca="false">IF($B356="","",IF($E356="대체",0,1))</f>
        <v/>
      </c>
    </row>
    <row r="357" customFormat="false" ht="15" hidden="false" customHeight="false" outlineLevel="0" collapsed="false">
      <c r="A357" s="36" t="str">
        <f aca="false">IF($B357="","",COUNT($B$15:$B357))</f>
        <v/>
      </c>
      <c r="B357" s="37"/>
      <c r="C357" s="38"/>
      <c r="D357" s="39"/>
      <c r="E357" s="36" t="str">
        <f aca="false">IF($D357="","",IFERROR(INDEX('통합 ④ 설정'!$A$6:$A$40,MATCH($D357,'통합 ④ 설정'!$B$6:$B$40,0)),"※없는 과목"))</f>
        <v/>
      </c>
      <c r="F357" s="36" t="str">
        <f aca="false">IF($D357="","",IFERROR(INDEX('통합 ④ 설정'!$C$6:$C$40,MATCH($D357,'통합 ④ 설정'!$B$6:$B$40,0)),""))</f>
        <v/>
      </c>
      <c r="G357" s="39"/>
      <c r="H357" s="39"/>
      <c r="I357" s="40"/>
      <c r="J357" s="41"/>
      <c r="K357" s="38"/>
      <c r="L357" s="42" t="str">
        <f aca="false">IF($B357="","",IF(AND(N($I357)=0,N($J357)=0),"금액이 없습니다",IF(AND($I357&gt;0,$J357&gt;0),"수입·지출 둘 다 적혔습니다",IF($C357="","결제수단을 고르십시오",IF(ISNA(MATCH($C357,'통합 ③ 통장·카드'!$A$5:$A$11,0)),"③ 통장·카드에 없는 결제수단입니다",IF($D357="","계정과목을 고르십시오",IF($E357="※없는 과목","④ 설정에 없는 과목입니다",IF(AND($E357="수입",$J357&gt;0),"수입 과목인데 지출에 적혔습니다",IF(AND(LEFT($E357,2)&lt;&gt;"수입",$E357&lt;&gt;"대체",$I357&gt;0),"지출 과목인데 수입에 적혔습니다",IF($K357="","증빙을 고르십시오",IF(AND($C357="바우처통장",$J357&gt;0,IFERROR(INDEX('통합 ④ 설정'!$E$6:$E$40,MATCH($D357,'통합 ④ 설정'!$B$6:$B$40,0)),"")&lt;&gt;"○"),"바우처통장 지출 — 목적 확인",IF($H357="","적요를 적으십시오",""))))))))))))</f>
        <v/>
      </c>
      <c r="M357" s="39"/>
      <c r="O357" s="11" t="str">
        <f aca="false">IF($B357="","",YEAR($B357)*100+MONTH($B357))</f>
        <v/>
      </c>
      <c r="P357" s="11" t="str">
        <f aca="false">IF($B357="","",IF($E357="대체",0,1))</f>
        <v/>
      </c>
    </row>
    <row r="358" customFormat="false" ht="15" hidden="false" customHeight="false" outlineLevel="0" collapsed="false">
      <c r="A358" s="36" t="str">
        <f aca="false">IF($B358="","",COUNT($B$15:$B358))</f>
        <v/>
      </c>
      <c r="B358" s="37"/>
      <c r="C358" s="38"/>
      <c r="D358" s="39"/>
      <c r="E358" s="36" t="str">
        <f aca="false">IF($D358="","",IFERROR(INDEX('통합 ④ 설정'!$A$6:$A$40,MATCH($D358,'통합 ④ 설정'!$B$6:$B$40,0)),"※없는 과목"))</f>
        <v/>
      </c>
      <c r="F358" s="36" t="str">
        <f aca="false">IF($D358="","",IFERROR(INDEX('통합 ④ 설정'!$C$6:$C$40,MATCH($D358,'통합 ④ 설정'!$B$6:$B$40,0)),""))</f>
        <v/>
      </c>
      <c r="G358" s="39"/>
      <c r="H358" s="39"/>
      <c r="I358" s="40"/>
      <c r="J358" s="41"/>
      <c r="K358" s="38"/>
      <c r="L358" s="42" t="str">
        <f aca="false">IF($B358="","",IF(AND(N($I358)=0,N($J358)=0),"금액이 없습니다",IF(AND($I358&gt;0,$J358&gt;0),"수입·지출 둘 다 적혔습니다",IF($C358="","결제수단을 고르십시오",IF(ISNA(MATCH($C358,'통합 ③ 통장·카드'!$A$5:$A$11,0)),"③ 통장·카드에 없는 결제수단입니다",IF($D358="","계정과목을 고르십시오",IF($E358="※없는 과목","④ 설정에 없는 과목입니다",IF(AND($E358="수입",$J358&gt;0),"수입 과목인데 지출에 적혔습니다",IF(AND(LEFT($E358,2)&lt;&gt;"수입",$E358&lt;&gt;"대체",$I358&gt;0),"지출 과목인데 수입에 적혔습니다",IF($K358="","증빙을 고르십시오",IF(AND($C358="바우처통장",$J358&gt;0,IFERROR(INDEX('통합 ④ 설정'!$E$6:$E$40,MATCH($D358,'통합 ④ 설정'!$B$6:$B$40,0)),"")&lt;&gt;"○"),"바우처통장 지출 — 목적 확인",IF($H358="","적요를 적으십시오",""))))))))))))</f>
        <v/>
      </c>
      <c r="M358" s="39"/>
      <c r="O358" s="11" t="str">
        <f aca="false">IF($B358="","",YEAR($B358)*100+MONTH($B358))</f>
        <v/>
      </c>
      <c r="P358" s="11" t="str">
        <f aca="false">IF($B358="","",IF($E358="대체",0,1))</f>
        <v/>
      </c>
    </row>
    <row r="359" customFormat="false" ht="15" hidden="false" customHeight="false" outlineLevel="0" collapsed="false">
      <c r="A359" s="36" t="str">
        <f aca="false">IF($B359="","",COUNT($B$15:$B359))</f>
        <v/>
      </c>
      <c r="B359" s="37"/>
      <c r="C359" s="38"/>
      <c r="D359" s="39"/>
      <c r="E359" s="36" t="str">
        <f aca="false">IF($D359="","",IFERROR(INDEX('통합 ④ 설정'!$A$6:$A$40,MATCH($D359,'통합 ④ 설정'!$B$6:$B$40,0)),"※없는 과목"))</f>
        <v/>
      </c>
      <c r="F359" s="36" t="str">
        <f aca="false">IF($D359="","",IFERROR(INDEX('통합 ④ 설정'!$C$6:$C$40,MATCH($D359,'통합 ④ 설정'!$B$6:$B$40,0)),""))</f>
        <v/>
      </c>
      <c r="G359" s="39"/>
      <c r="H359" s="39"/>
      <c r="I359" s="40"/>
      <c r="J359" s="41"/>
      <c r="K359" s="38"/>
      <c r="L359" s="42" t="str">
        <f aca="false">IF($B359="","",IF(AND(N($I359)=0,N($J359)=0),"금액이 없습니다",IF(AND($I359&gt;0,$J359&gt;0),"수입·지출 둘 다 적혔습니다",IF($C359="","결제수단을 고르십시오",IF(ISNA(MATCH($C359,'통합 ③ 통장·카드'!$A$5:$A$11,0)),"③ 통장·카드에 없는 결제수단입니다",IF($D359="","계정과목을 고르십시오",IF($E359="※없는 과목","④ 설정에 없는 과목입니다",IF(AND($E359="수입",$J359&gt;0),"수입 과목인데 지출에 적혔습니다",IF(AND(LEFT($E359,2)&lt;&gt;"수입",$E359&lt;&gt;"대체",$I359&gt;0),"지출 과목인데 수입에 적혔습니다",IF($K359="","증빙을 고르십시오",IF(AND($C359="바우처통장",$J359&gt;0,IFERROR(INDEX('통합 ④ 설정'!$E$6:$E$40,MATCH($D359,'통합 ④ 설정'!$B$6:$B$40,0)),"")&lt;&gt;"○"),"바우처통장 지출 — 목적 확인",IF($H359="","적요를 적으십시오",""))))))))))))</f>
        <v/>
      </c>
      <c r="M359" s="39"/>
      <c r="O359" s="11" t="str">
        <f aca="false">IF($B359="","",YEAR($B359)*100+MONTH($B359))</f>
        <v/>
      </c>
      <c r="P359" s="11" t="str">
        <f aca="false">IF($B359="","",IF($E359="대체",0,1))</f>
        <v/>
      </c>
    </row>
    <row r="360" customFormat="false" ht="15" hidden="false" customHeight="false" outlineLevel="0" collapsed="false">
      <c r="A360" s="36" t="str">
        <f aca="false">IF($B360="","",COUNT($B$15:$B360))</f>
        <v/>
      </c>
      <c r="B360" s="37"/>
      <c r="C360" s="38"/>
      <c r="D360" s="39"/>
      <c r="E360" s="36" t="str">
        <f aca="false">IF($D360="","",IFERROR(INDEX('통합 ④ 설정'!$A$6:$A$40,MATCH($D360,'통합 ④ 설정'!$B$6:$B$40,0)),"※없는 과목"))</f>
        <v/>
      </c>
      <c r="F360" s="36" t="str">
        <f aca="false">IF($D360="","",IFERROR(INDEX('통합 ④ 설정'!$C$6:$C$40,MATCH($D360,'통합 ④ 설정'!$B$6:$B$40,0)),""))</f>
        <v/>
      </c>
      <c r="G360" s="39"/>
      <c r="H360" s="39"/>
      <c r="I360" s="40"/>
      <c r="J360" s="41"/>
      <c r="K360" s="38"/>
      <c r="L360" s="42" t="str">
        <f aca="false">IF($B360="","",IF(AND(N($I360)=0,N($J360)=0),"금액이 없습니다",IF(AND($I360&gt;0,$J360&gt;0),"수입·지출 둘 다 적혔습니다",IF($C360="","결제수단을 고르십시오",IF(ISNA(MATCH($C360,'통합 ③ 통장·카드'!$A$5:$A$11,0)),"③ 통장·카드에 없는 결제수단입니다",IF($D360="","계정과목을 고르십시오",IF($E360="※없는 과목","④ 설정에 없는 과목입니다",IF(AND($E360="수입",$J360&gt;0),"수입 과목인데 지출에 적혔습니다",IF(AND(LEFT($E360,2)&lt;&gt;"수입",$E360&lt;&gt;"대체",$I360&gt;0),"지출 과목인데 수입에 적혔습니다",IF($K360="","증빙을 고르십시오",IF(AND($C360="바우처통장",$J360&gt;0,IFERROR(INDEX('통합 ④ 설정'!$E$6:$E$40,MATCH($D360,'통합 ④ 설정'!$B$6:$B$40,0)),"")&lt;&gt;"○"),"바우처통장 지출 — 목적 확인",IF($H360="","적요를 적으십시오",""))))))))))))</f>
        <v/>
      </c>
      <c r="M360" s="39"/>
      <c r="O360" s="11" t="str">
        <f aca="false">IF($B360="","",YEAR($B360)*100+MONTH($B360))</f>
        <v/>
      </c>
      <c r="P360" s="11" t="str">
        <f aca="false">IF($B360="","",IF($E360="대체",0,1))</f>
        <v/>
      </c>
    </row>
    <row r="361" customFormat="false" ht="15" hidden="false" customHeight="false" outlineLevel="0" collapsed="false">
      <c r="A361" s="36" t="str">
        <f aca="false">IF($B361="","",COUNT($B$15:$B361))</f>
        <v/>
      </c>
      <c r="B361" s="37"/>
      <c r="C361" s="38"/>
      <c r="D361" s="39"/>
      <c r="E361" s="36" t="str">
        <f aca="false">IF($D361="","",IFERROR(INDEX('통합 ④ 설정'!$A$6:$A$40,MATCH($D361,'통합 ④ 설정'!$B$6:$B$40,0)),"※없는 과목"))</f>
        <v/>
      </c>
      <c r="F361" s="36" t="str">
        <f aca="false">IF($D361="","",IFERROR(INDEX('통합 ④ 설정'!$C$6:$C$40,MATCH($D361,'통합 ④ 설정'!$B$6:$B$40,0)),""))</f>
        <v/>
      </c>
      <c r="G361" s="39"/>
      <c r="H361" s="39"/>
      <c r="I361" s="40"/>
      <c r="J361" s="41"/>
      <c r="K361" s="38"/>
      <c r="L361" s="42" t="str">
        <f aca="false">IF($B361="","",IF(AND(N($I361)=0,N($J361)=0),"금액이 없습니다",IF(AND($I361&gt;0,$J361&gt;0),"수입·지출 둘 다 적혔습니다",IF($C361="","결제수단을 고르십시오",IF(ISNA(MATCH($C361,'통합 ③ 통장·카드'!$A$5:$A$11,0)),"③ 통장·카드에 없는 결제수단입니다",IF($D361="","계정과목을 고르십시오",IF($E361="※없는 과목","④ 설정에 없는 과목입니다",IF(AND($E361="수입",$J361&gt;0),"수입 과목인데 지출에 적혔습니다",IF(AND(LEFT($E361,2)&lt;&gt;"수입",$E361&lt;&gt;"대체",$I361&gt;0),"지출 과목인데 수입에 적혔습니다",IF($K361="","증빙을 고르십시오",IF(AND($C361="바우처통장",$J361&gt;0,IFERROR(INDEX('통합 ④ 설정'!$E$6:$E$40,MATCH($D361,'통합 ④ 설정'!$B$6:$B$40,0)),"")&lt;&gt;"○"),"바우처통장 지출 — 목적 확인",IF($H361="","적요를 적으십시오",""))))))))))))</f>
        <v/>
      </c>
      <c r="M361" s="39"/>
      <c r="O361" s="11" t="str">
        <f aca="false">IF($B361="","",YEAR($B361)*100+MONTH($B361))</f>
        <v/>
      </c>
      <c r="P361" s="11" t="str">
        <f aca="false">IF($B361="","",IF($E361="대체",0,1))</f>
        <v/>
      </c>
    </row>
    <row r="362" customFormat="false" ht="15" hidden="false" customHeight="false" outlineLevel="0" collapsed="false">
      <c r="A362" s="36" t="str">
        <f aca="false">IF($B362="","",COUNT($B$15:$B362))</f>
        <v/>
      </c>
      <c r="B362" s="37"/>
      <c r="C362" s="38"/>
      <c r="D362" s="39"/>
      <c r="E362" s="36" t="str">
        <f aca="false">IF($D362="","",IFERROR(INDEX('통합 ④ 설정'!$A$6:$A$40,MATCH($D362,'통합 ④ 설정'!$B$6:$B$40,0)),"※없는 과목"))</f>
        <v/>
      </c>
      <c r="F362" s="36" t="str">
        <f aca="false">IF($D362="","",IFERROR(INDEX('통합 ④ 설정'!$C$6:$C$40,MATCH($D362,'통합 ④ 설정'!$B$6:$B$40,0)),""))</f>
        <v/>
      </c>
      <c r="G362" s="39"/>
      <c r="H362" s="39"/>
      <c r="I362" s="40"/>
      <c r="J362" s="41"/>
      <c r="K362" s="38"/>
      <c r="L362" s="42" t="str">
        <f aca="false">IF($B362="","",IF(AND(N($I362)=0,N($J362)=0),"금액이 없습니다",IF(AND($I362&gt;0,$J362&gt;0),"수입·지출 둘 다 적혔습니다",IF($C362="","결제수단을 고르십시오",IF(ISNA(MATCH($C362,'통합 ③ 통장·카드'!$A$5:$A$11,0)),"③ 통장·카드에 없는 결제수단입니다",IF($D362="","계정과목을 고르십시오",IF($E362="※없는 과목","④ 설정에 없는 과목입니다",IF(AND($E362="수입",$J362&gt;0),"수입 과목인데 지출에 적혔습니다",IF(AND(LEFT($E362,2)&lt;&gt;"수입",$E362&lt;&gt;"대체",$I362&gt;0),"지출 과목인데 수입에 적혔습니다",IF($K362="","증빙을 고르십시오",IF(AND($C362="바우처통장",$J362&gt;0,IFERROR(INDEX('통합 ④ 설정'!$E$6:$E$40,MATCH($D362,'통합 ④ 설정'!$B$6:$B$40,0)),"")&lt;&gt;"○"),"바우처통장 지출 — 목적 확인",IF($H362="","적요를 적으십시오",""))))))))))))</f>
        <v/>
      </c>
      <c r="M362" s="39"/>
      <c r="O362" s="11" t="str">
        <f aca="false">IF($B362="","",YEAR($B362)*100+MONTH($B362))</f>
        <v/>
      </c>
      <c r="P362" s="11" t="str">
        <f aca="false">IF($B362="","",IF($E362="대체",0,1))</f>
        <v/>
      </c>
    </row>
    <row r="363" customFormat="false" ht="15" hidden="false" customHeight="false" outlineLevel="0" collapsed="false">
      <c r="A363" s="36" t="str">
        <f aca="false">IF($B363="","",COUNT($B$15:$B363))</f>
        <v/>
      </c>
      <c r="B363" s="37"/>
      <c r="C363" s="38"/>
      <c r="D363" s="39"/>
      <c r="E363" s="36" t="str">
        <f aca="false">IF($D363="","",IFERROR(INDEX('통합 ④ 설정'!$A$6:$A$40,MATCH($D363,'통합 ④ 설정'!$B$6:$B$40,0)),"※없는 과목"))</f>
        <v/>
      </c>
      <c r="F363" s="36" t="str">
        <f aca="false">IF($D363="","",IFERROR(INDEX('통합 ④ 설정'!$C$6:$C$40,MATCH($D363,'통합 ④ 설정'!$B$6:$B$40,0)),""))</f>
        <v/>
      </c>
      <c r="G363" s="39"/>
      <c r="H363" s="39"/>
      <c r="I363" s="40"/>
      <c r="J363" s="41"/>
      <c r="K363" s="38"/>
      <c r="L363" s="42" t="str">
        <f aca="false">IF($B363="","",IF(AND(N($I363)=0,N($J363)=0),"금액이 없습니다",IF(AND($I363&gt;0,$J363&gt;0),"수입·지출 둘 다 적혔습니다",IF($C363="","결제수단을 고르십시오",IF(ISNA(MATCH($C363,'통합 ③ 통장·카드'!$A$5:$A$11,0)),"③ 통장·카드에 없는 결제수단입니다",IF($D363="","계정과목을 고르십시오",IF($E363="※없는 과목","④ 설정에 없는 과목입니다",IF(AND($E363="수입",$J363&gt;0),"수입 과목인데 지출에 적혔습니다",IF(AND(LEFT($E363,2)&lt;&gt;"수입",$E363&lt;&gt;"대체",$I363&gt;0),"지출 과목인데 수입에 적혔습니다",IF($K363="","증빙을 고르십시오",IF(AND($C363="바우처통장",$J363&gt;0,IFERROR(INDEX('통합 ④ 설정'!$E$6:$E$40,MATCH($D363,'통합 ④ 설정'!$B$6:$B$40,0)),"")&lt;&gt;"○"),"바우처통장 지출 — 목적 확인",IF($H363="","적요를 적으십시오",""))))))))))))</f>
        <v/>
      </c>
      <c r="M363" s="39"/>
      <c r="O363" s="11" t="str">
        <f aca="false">IF($B363="","",YEAR($B363)*100+MONTH($B363))</f>
        <v/>
      </c>
      <c r="P363" s="11" t="str">
        <f aca="false">IF($B363="","",IF($E363="대체",0,1))</f>
        <v/>
      </c>
    </row>
    <row r="364" customFormat="false" ht="15" hidden="false" customHeight="false" outlineLevel="0" collapsed="false">
      <c r="A364" s="36" t="str">
        <f aca="false">IF($B364="","",COUNT($B$15:$B364))</f>
        <v/>
      </c>
      <c r="B364" s="37"/>
      <c r="C364" s="38"/>
      <c r="D364" s="39"/>
      <c r="E364" s="36" t="str">
        <f aca="false">IF($D364="","",IFERROR(INDEX('통합 ④ 설정'!$A$6:$A$40,MATCH($D364,'통합 ④ 설정'!$B$6:$B$40,0)),"※없는 과목"))</f>
        <v/>
      </c>
      <c r="F364" s="36" t="str">
        <f aca="false">IF($D364="","",IFERROR(INDEX('통합 ④ 설정'!$C$6:$C$40,MATCH($D364,'통합 ④ 설정'!$B$6:$B$40,0)),""))</f>
        <v/>
      </c>
      <c r="G364" s="39"/>
      <c r="H364" s="39"/>
      <c r="I364" s="40"/>
      <c r="J364" s="41"/>
      <c r="K364" s="38"/>
      <c r="L364" s="42" t="str">
        <f aca="false">IF($B364="","",IF(AND(N($I364)=0,N($J364)=0),"금액이 없습니다",IF(AND($I364&gt;0,$J364&gt;0),"수입·지출 둘 다 적혔습니다",IF($C364="","결제수단을 고르십시오",IF(ISNA(MATCH($C364,'통합 ③ 통장·카드'!$A$5:$A$11,0)),"③ 통장·카드에 없는 결제수단입니다",IF($D364="","계정과목을 고르십시오",IF($E364="※없는 과목","④ 설정에 없는 과목입니다",IF(AND($E364="수입",$J364&gt;0),"수입 과목인데 지출에 적혔습니다",IF(AND(LEFT($E364,2)&lt;&gt;"수입",$E364&lt;&gt;"대체",$I364&gt;0),"지출 과목인데 수입에 적혔습니다",IF($K364="","증빙을 고르십시오",IF(AND($C364="바우처통장",$J364&gt;0,IFERROR(INDEX('통합 ④ 설정'!$E$6:$E$40,MATCH($D364,'통합 ④ 설정'!$B$6:$B$40,0)),"")&lt;&gt;"○"),"바우처통장 지출 — 목적 확인",IF($H364="","적요를 적으십시오",""))))))))))))</f>
        <v/>
      </c>
      <c r="M364" s="39"/>
      <c r="O364" s="11" t="str">
        <f aca="false">IF($B364="","",YEAR($B364)*100+MONTH($B364))</f>
        <v/>
      </c>
      <c r="P364" s="11" t="str">
        <f aca="false">IF($B364="","",IF($E364="대체",0,1))</f>
        <v/>
      </c>
    </row>
    <row r="365" customFormat="false" ht="15" hidden="false" customHeight="false" outlineLevel="0" collapsed="false">
      <c r="A365" s="36" t="str">
        <f aca="false">IF($B365="","",COUNT($B$15:$B365))</f>
        <v/>
      </c>
      <c r="B365" s="37"/>
      <c r="C365" s="38"/>
      <c r="D365" s="39"/>
      <c r="E365" s="36" t="str">
        <f aca="false">IF($D365="","",IFERROR(INDEX('통합 ④ 설정'!$A$6:$A$40,MATCH($D365,'통합 ④ 설정'!$B$6:$B$40,0)),"※없는 과목"))</f>
        <v/>
      </c>
      <c r="F365" s="36" t="str">
        <f aca="false">IF($D365="","",IFERROR(INDEX('통합 ④ 설정'!$C$6:$C$40,MATCH($D365,'통합 ④ 설정'!$B$6:$B$40,0)),""))</f>
        <v/>
      </c>
      <c r="G365" s="39"/>
      <c r="H365" s="39"/>
      <c r="I365" s="40"/>
      <c r="J365" s="41"/>
      <c r="K365" s="38"/>
      <c r="L365" s="42" t="str">
        <f aca="false">IF($B365="","",IF(AND(N($I365)=0,N($J365)=0),"금액이 없습니다",IF(AND($I365&gt;0,$J365&gt;0),"수입·지출 둘 다 적혔습니다",IF($C365="","결제수단을 고르십시오",IF(ISNA(MATCH($C365,'통합 ③ 통장·카드'!$A$5:$A$11,0)),"③ 통장·카드에 없는 결제수단입니다",IF($D365="","계정과목을 고르십시오",IF($E365="※없는 과목","④ 설정에 없는 과목입니다",IF(AND($E365="수입",$J365&gt;0),"수입 과목인데 지출에 적혔습니다",IF(AND(LEFT($E365,2)&lt;&gt;"수입",$E365&lt;&gt;"대체",$I365&gt;0),"지출 과목인데 수입에 적혔습니다",IF($K365="","증빙을 고르십시오",IF(AND($C365="바우처통장",$J365&gt;0,IFERROR(INDEX('통합 ④ 설정'!$E$6:$E$40,MATCH($D365,'통합 ④ 설정'!$B$6:$B$40,0)),"")&lt;&gt;"○"),"바우처통장 지출 — 목적 확인",IF($H365="","적요를 적으십시오",""))))))))))))</f>
        <v/>
      </c>
      <c r="M365" s="39"/>
      <c r="O365" s="11" t="str">
        <f aca="false">IF($B365="","",YEAR($B365)*100+MONTH($B365))</f>
        <v/>
      </c>
      <c r="P365" s="11" t="str">
        <f aca="false">IF($B365="","",IF($E365="대체",0,1))</f>
        <v/>
      </c>
    </row>
    <row r="366" customFormat="false" ht="15" hidden="false" customHeight="false" outlineLevel="0" collapsed="false">
      <c r="A366" s="36" t="str">
        <f aca="false">IF($B366="","",COUNT($B$15:$B366))</f>
        <v/>
      </c>
      <c r="B366" s="37"/>
      <c r="C366" s="38"/>
      <c r="D366" s="39"/>
      <c r="E366" s="36" t="str">
        <f aca="false">IF($D366="","",IFERROR(INDEX('통합 ④ 설정'!$A$6:$A$40,MATCH($D366,'통합 ④ 설정'!$B$6:$B$40,0)),"※없는 과목"))</f>
        <v/>
      </c>
      <c r="F366" s="36" t="str">
        <f aca="false">IF($D366="","",IFERROR(INDEX('통합 ④ 설정'!$C$6:$C$40,MATCH($D366,'통합 ④ 설정'!$B$6:$B$40,0)),""))</f>
        <v/>
      </c>
      <c r="G366" s="39"/>
      <c r="H366" s="39"/>
      <c r="I366" s="40"/>
      <c r="J366" s="41"/>
      <c r="K366" s="38"/>
      <c r="L366" s="42" t="str">
        <f aca="false">IF($B366="","",IF(AND(N($I366)=0,N($J366)=0),"금액이 없습니다",IF(AND($I366&gt;0,$J366&gt;0),"수입·지출 둘 다 적혔습니다",IF($C366="","결제수단을 고르십시오",IF(ISNA(MATCH($C366,'통합 ③ 통장·카드'!$A$5:$A$11,0)),"③ 통장·카드에 없는 결제수단입니다",IF($D366="","계정과목을 고르십시오",IF($E366="※없는 과목","④ 설정에 없는 과목입니다",IF(AND($E366="수입",$J366&gt;0),"수입 과목인데 지출에 적혔습니다",IF(AND(LEFT($E366,2)&lt;&gt;"수입",$E366&lt;&gt;"대체",$I366&gt;0),"지출 과목인데 수입에 적혔습니다",IF($K366="","증빙을 고르십시오",IF(AND($C366="바우처통장",$J366&gt;0,IFERROR(INDEX('통합 ④ 설정'!$E$6:$E$40,MATCH($D366,'통합 ④ 설정'!$B$6:$B$40,0)),"")&lt;&gt;"○"),"바우처통장 지출 — 목적 확인",IF($H366="","적요를 적으십시오",""))))))))))))</f>
        <v/>
      </c>
      <c r="M366" s="39"/>
      <c r="O366" s="11" t="str">
        <f aca="false">IF($B366="","",YEAR($B366)*100+MONTH($B366))</f>
        <v/>
      </c>
      <c r="P366" s="11" t="str">
        <f aca="false">IF($B366="","",IF($E366="대체",0,1))</f>
        <v/>
      </c>
    </row>
    <row r="367" customFormat="false" ht="15" hidden="false" customHeight="false" outlineLevel="0" collapsed="false">
      <c r="A367" s="36" t="str">
        <f aca="false">IF($B367="","",COUNT($B$15:$B367))</f>
        <v/>
      </c>
      <c r="B367" s="37"/>
      <c r="C367" s="38"/>
      <c r="D367" s="39"/>
      <c r="E367" s="36" t="str">
        <f aca="false">IF($D367="","",IFERROR(INDEX('통합 ④ 설정'!$A$6:$A$40,MATCH($D367,'통합 ④ 설정'!$B$6:$B$40,0)),"※없는 과목"))</f>
        <v/>
      </c>
      <c r="F367" s="36" t="str">
        <f aca="false">IF($D367="","",IFERROR(INDEX('통합 ④ 설정'!$C$6:$C$40,MATCH($D367,'통합 ④ 설정'!$B$6:$B$40,0)),""))</f>
        <v/>
      </c>
      <c r="G367" s="39"/>
      <c r="H367" s="39"/>
      <c r="I367" s="40"/>
      <c r="J367" s="41"/>
      <c r="K367" s="38"/>
      <c r="L367" s="42" t="str">
        <f aca="false">IF($B367="","",IF(AND(N($I367)=0,N($J367)=0),"금액이 없습니다",IF(AND($I367&gt;0,$J367&gt;0),"수입·지출 둘 다 적혔습니다",IF($C367="","결제수단을 고르십시오",IF(ISNA(MATCH($C367,'통합 ③ 통장·카드'!$A$5:$A$11,0)),"③ 통장·카드에 없는 결제수단입니다",IF($D367="","계정과목을 고르십시오",IF($E367="※없는 과목","④ 설정에 없는 과목입니다",IF(AND($E367="수입",$J367&gt;0),"수입 과목인데 지출에 적혔습니다",IF(AND(LEFT($E367,2)&lt;&gt;"수입",$E367&lt;&gt;"대체",$I367&gt;0),"지출 과목인데 수입에 적혔습니다",IF($K367="","증빙을 고르십시오",IF(AND($C367="바우처통장",$J367&gt;0,IFERROR(INDEX('통합 ④ 설정'!$E$6:$E$40,MATCH($D367,'통합 ④ 설정'!$B$6:$B$40,0)),"")&lt;&gt;"○"),"바우처통장 지출 — 목적 확인",IF($H367="","적요를 적으십시오",""))))))))))))</f>
        <v/>
      </c>
      <c r="M367" s="39"/>
      <c r="O367" s="11" t="str">
        <f aca="false">IF($B367="","",YEAR($B367)*100+MONTH($B367))</f>
        <v/>
      </c>
      <c r="P367" s="11" t="str">
        <f aca="false">IF($B367="","",IF($E367="대체",0,1))</f>
        <v/>
      </c>
    </row>
    <row r="368" customFormat="false" ht="15" hidden="false" customHeight="false" outlineLevel="0" collapsed="false">
      <c r="A368" s="36" t="str">
        <f aca="false">IF($B368="","",COUNT($B$15:$B368))</f>
        <v/>
      </c>
      <c r="B368" s="37"/>
      <c r="C368" s="38"/>
      <c r="D368" s="39"/>
      <c r="E368" s="36" t="str">
        <f aca="false">IF($D368="","",IFERROR(INDEX('통합 ④ 설정'!$A$6:$A$40,MATCH($D368,'통합 ④ 설정'!$B$6:$B$40,0)),"※없는 과목"))</f>
        <v/>
      </c>
      <c r="F368" s="36" t="str">
        <f aca="false">IF($D368="","",IFERROR(INDEX('통합 ④ 설정'!$C$6:$C$40,MATCH($D368,'통합 ④ 설정'!$B$6:$B$40,0)),""))</f>
        <v/>
      </c>
      <c r="G368" s="39"/>
      <c r="H368" s="39"/>
      <c r="I368" s="40"/>
      <c r="J368" s="41"/>
      <c r="K368" s="38"/>
      <c r="L368" s="42" t="str">
        <f aca="false">IF($B368="","",IF(AND(N($I368)=0,N($J368)=0),"금액이 없습니다",IF(AND($I368&gt;0,$J368&gt;0),"수입·지출 둘 다 적혔습니다",IF($C368="","결제수단을 고르십시오",IF(ISNA(MATCH($C368,'통합 ③ 통장·카드'!$A$5:$A$11,0)),"③ 통장·카드에 없는 결제수단입니다",IF($D368="","계정과목을 고르십시오",IF($E368="※없는 과목","④ 설정에 없는 과목입니다",IF(AND($E368="수입",$J368&gt;0),"수입 과목인데 지출에 적혔습니다",IF(AND(LEFT($E368,2)&lt;&gt;"수입",$E368&lt;&gt;"대체",$I368&gt;0),"지출 과목인데 수입에 적혔습니다",IF($K368="","증빙을 고르십시오",IF(AND($C368="바우처통장",$J368&gt;0,IFERROR(INDEX('통합 ④ 설정'!$E$6:$E$40,MATCH($D368,'통합 ④ 설정'!$B$6:$B$40,0)),"")&lt;&gt;"○"),"바우처통장 지출 — 목적 확인",IF($H368="","적요를 적으십시오",""))))))))))))</f>
        <v/>
      </c>
      <c r="M368" s="39"/>
      <c r="O368" s="11" t="str">
        <f aca="false">IF($B368="","",YEAR($B368)*100+MONTH($B368))</f>
        <v/>
      </c>
      <c r="P368" s="11" t="str">
        <f aca="false">IF($B368="","",IF($E368="대체",0,1))</f>
        <v/>
      </c>
    </row>
    <row r="369" customFormat="false" ht="15" hidden="false" customHeight="false" outlineLevel="0" collapsed="false">
      <c r="A369" s="36" t="str">
        <f aca="false">IF($B369="","",COUNT($B$15:$B369))</f>
        <v/>
      </c>
      <c r="B369" s="37"/>
      <c r="C369" s="38"/>
      <c r="D369" s="39"/>
      <c r="E369" s="36" t="str">
        <f aca="false">IF($D369="","",IFERROR(INDEX('통합 ④ 설정'!$A$6:$A$40,MATCH($D369,'통합 ④ 설정'!$B$6:$B$40,0)),"※없는 과목"))</f>
        <v/>
      </c>
      <c r="F369" s="36" t="str">
        <f aca="false">IF($D369="","",IFERROR(INDEX('통합 ④ 설정'!$C$6:$C$40,MATCH($D369,'통합 ④ 설정'!$B$6:$B$40,0)),""))</f>
        <v/>
      </c>
      <c r="G369" s="39"/>
      <c r="H369" s="39"/>
      <c r="I369" s="40"/>
      <c r="J369" s="41"/>
      <c r="K369" s="38"/>
      <c r="L369" s="42" t="str">
        <f aca="false">IF($B369="","",IF(AND(N($I369)=0,N($J369)=0),"금액이 없습니다",IF(AND($I369&gt;0,$J369&gt;0),"수입·지출 둘 다 적혔습니다",IF($C369="","결제수단을 고르십시오",IF(ISNA(MATCH($C369,'통합 ③ 통장·카드'!$A$5:$A$11,0)),"③ 통장·카드에 없는 결제수단입니다",IF($D369="","계정과목을 고르십시오",IF($E369="※없는 과목","④ 설정에 없는 과목입니다",IF(AND($E369="수입",$J369&gt;0),"수입 과목인데 지출에 적혔습니다",IF(AND(LEFT($E369,2)&lt;&gt;"수입",$E369&lt;&gt;"대체",$I369&gt;0),"지출 과목인데 수입에 적혔습니다",IF($K369="","증빙을 고르십시오",IF(AND($C369="바우처통장",$J369&gt;0,IFERROR(INDEX('통합 ④ 설정'!$E$6:$E$40,MATCH($D369,'통합 ④ 설정'!$B$6:$B$40,0)),"")&lt;&gt;"○"),"바우처통장 지출 — 목적 확인",IF($H369="","적요를 적으십시오",""))))))))))))</f>
        <v/>
      </c>
      <c r="M369" s="39"/>
      <c r="O369" s="11" t="str">
        <f aca="false">IF($B369="","",YEAR($B369)*100+MONTH($B369))</f>
        <v/>
      </c>
      <c r="P369" s="11" t="str">
        <f aca="false">IF($B369="","",IF($E369="대체",0,1))</f>
        <v/>
      </c>
    </row>
    <row r="370" customFormat="false" ht="15" hidden="false" customHeight="false" outlineLevel="0" collapsed="false">
      <c r="A370" s="36" t="str">
        <f aca="false">IF($B370="","",COUNT($B$15:$B370))</f>
        <v/>
      </c>
      <c r="B370" s="37"/>
      <c r="C370" s="38"/>
      <c r="D370" s="39"/>
      <c r="E370" s="36" t="str">
        <f aca="false">IF($D370="","",IFERROR(INDEX('통합 ④ 설정'!$A$6:$A$40,MATCH($D370,'통합 ④ 설정'!$B$6:$B$40,0)),"※없는 과목"))</f>
        <v/>
      </c>
      <c r="F370" s="36" t="str">
        <f aca="false">IF($D370="","",IFERROR(INDEX('통합 ④ 설정'!$C$6:$C$40,MATCH($D370,'통합 ④ 설정'!$B$6:$B$40,0)),""))</f>
        <v/>
      </c>
      <c r="G370" s="39"/>
      <c r="H370" s="39"/>
      <c r="I370" s="40"/>
      <c r="J370" s="41"/>
      <c r="K370" s="38"/>
      <c r="L370" s="42" t="str">
        <f aca="false">IF($B370="","",IF(AND(N($I370)=0,N($J370)=0),"금액이 없습니다",IF(AND($I370&gt;0,$J370&gt;0),"수입·지출 둘 다 적혔습니다",IF($C370="","결제수단을 고르십시오",IF(ISNA(MATCH($C370,'통합 ③ 통장·카드'!$A$5:$A$11,0)),"③ 통장·카드에 없는 결제수단입니다",IF($D370="","계정과목을 고르십시오",IF($E370="※없는 과목","④ 설정에 없는 과목입니다",IF(AND($E370="수입",$J370&gt;0),"수입 과목인데 지출에 적혔습니다",IF(AND(LEFT($E370,2)&lt;&gt;"수입",$E370&lt;&gt;"대체",$I370&gt;0),"지출 과목인데 수입에 적혔습니다",IF($K370="","증빙을 고르십시오",IF(AND($C370="바우처통장",$J370&gt;0,IFERROR(INDEX('통합 ④ 설정'!$E$6:$E$40,MATCH($D370,'통합 ④ 설정'!$B$6:$B$40,0)),"")&lt;&gt;"○"),"바우처통장 지출 — 목적 확인",IF($H370="","적요를 적으십시오",""))))))))))))</f>
        <v/>
      </c>
      <c r="M370" s="39"/>
      <c r="O370" s="11" t="str">
        <f aca="false">IF($B370="","",YEAR($B370)*100+MONTH($B370))</f>
        <v/>
      </c>
      <c r="P370" s="11" t="str">
        <f aca="false">IF($B370="","",IF($E370="대체",0,1))</f>
        <v/>
      </c>
    </row>
    <row r="371" customFormat="false" ht="15" hidden="false" customHeight="false" outlineLevel="0" collapsed="false">
      <c r="A371" s="36" t="str">
        <f aca="false">IF($B371="","",COUNT($B$15:$B371))</f>
        <v/>
      </c>
      <c r="B371" s="37"/>
      <c r="C371" s="38"/>
      <c r="D371" s="39"/>
      <c r="E371" s="36" t="str">
        <f aca="false">IF($D371="","",IFERROR(INDEX('통합 ④ 설정'!$A$6:$A$40,MATCH($D371,'통합 ④ 설정'!$B$6:$B$40,0)),"※없는 과목"))</f>
        <v/>
      </c>
      <c r="F371" s="36" t="str">
        <f aca="false">IF($D371="","",IFERROR(INDEX('통합 ④ 설정'!$C$6:$C$40,MATCH($D371,'통합 ④ 설정'!$B$6:$B$40,0)),""))</f>
        <v/>
      </c>
      <c r="G371" s="39"/>
      <c r="H371" s="39"/>
      <c r="I371" s="40"/>
      <c r="J371" s="41"/>
      <c r="K371" s="38"/>
      <c r="L371" s="42" t="str">
        <f aca="false">IF($B371="","",IF(AND(N($I371)=0,N($J371)=0),"금액이 없습니다",IF(AND($I371&gt;0,$J371&gt;0),"수입·지출 둘 다 적혔습니다",IF($C371="","결제수단을 고르십시오",IF(ISNA(MATCH($C371,'통합 ③ 통장·카드'!$A$5:$A$11,0)),"③ 통장·카드에 없는 결제수단입니다",IF($D371="","계정과목을 고르십시오",IF($E371="※없는 과목","④ 설정에 없는 과목입니다",IF(AND($E371="수입",$J371&gt;0),"수입 과목인데 지출에 적혔습니다",IF(AND(LEFT($E371,2)&lt;&gt;"수입",$E371&lt;&gt;"대체",$I371&gt;0),"지출 과목인데 수입에 적혔습니다",IF($K371="","증빙을 고르십시오",IF(AND($C371="바우처통장",$J371&gt;0,IFERROR(INDEX('통합 ④ 설정'!$E$6:$E$40,MATCH($D371,'통합 ④ 설정'!$B$6:$B$40,0)),"")&lt;&gt;"○"),"바우처통장 지출 — 목적 확인",IF($H371="","적요를 적으십시오",""))))))))))))</f>
        <v/>
      </c>
      <c r="M371" s="39"/>
      <c r="O371" s="11" t="str">
        <f aca="false">IF($B371="","",YEAR($B371)*100+MONTH($B371))</f>
        <v/>
      </c>
      <c r="P371" s="11" t="str">
        <f aca="false">IF($B371="","",IF($E371="대체",0,1))</f>
        <v/>
      </c>
    </row>
    <row r="372" customFormat="false" ht="15" hidden="false" customHeight="false" outlineLevel="0" collapsed="false">
      <c r="A372" s="36" t="str">
        <f aca="false">IF($B372="","",COUNT($B$15:$B372))</f>
        <v/>
      </c>
      <c r="B372" s="37"/>
      <c r="C372" s="38"/>
      <c r="D372" s="39"/>
      <c r="E372" s="36" t="str">
        <f aca="false">IF($D372="","",IFERROR(INDEX('통합 ④ 설정'!$A$6:$A$40,MATCH($D372,'통합 ④ 설정'!$B$6:$B$40,0)),"※없는 과목"))</f>
        <v/>
      </c>
      <c r="F372" s="36" t="str">
        <f aca="false">IF($D372="","",IFERROR(INDEX('통합 ④ 설정'!$C$6:$C$40,MATCH($D372,'통합 ④ 설정'!$B$6:$B$40,0)),""))</f>
        <v/>
      </c>
      <c r="G372" s="39"/>
      <c r="H372" s="39"/>
      <c r="I372" s="40"/>
      <c r="J372" s="41"/>
      <c r="K372" s="38"/>
      <c r="L372" s="42" t="str">
        <f aca="false">IF($B372="","",IF(AND(N($I372)=0,N($J372)=0),"금액이 없습니다",IF(AND($I372&gt;0,$J372&gt;0),"수입·지출 둘 다 적혔습니다",IF($C372="","결제수단을 고르십시오",IF(ISNA(MATCH($C372,'통합 ③ 통장·카드'!$A$5:$A$11,0)),"③ 통장·카드에 없는 결제수단입니다",IF($D372="","계정과목을 고르십시오",IF($E372="※없는 과목","④ 설정에 없는 과목입니다",IF(AND($E372="수입",$J372&gt;0),"수입 과목인데 지출에 적혔습니다",IF(AND(LEFT($E372,2)&lt;&gt;"수입",$E372&lt;&gt;"대체",$I372&gt;0),"지출 과목인데 수입에 적혔습니다",IF($K372="","증빙을 고르십시오",IF(AND($C372="바우처통장",$J372&gt;0,IFERROR(INDEX('통합 ④ 설정'!$E$6:$E$40,MATCH($D372,'통합 ④ 설정'!$B$6:$B$40,0)),"")&lt;&gt;"○"),"바우처통장 지출 — 목적 확인",IF($H372="","적요를 적으십시오",""))))))))))))</f>
        <v/>
      </c>
      <c r="M372" s="39"/>
      <c r="O372" s="11" t="str">
        <f aca="false">IF($B372="","",YEAR($B372)*100+MONTH($B372))</f>
        <v/>
      </c>
      <c r="P372" s="11" t="str">
        <f aca="false">IF($B372="","",IF($E372="대체",0,1))</f>
        <v/>
      </c>
    </row>
    <row r="373" customFormat="false" ht="15" hidden="false" customHeight="false" outlineLevel="0" collapsed="false">
      <c r="A373" s="36" t="str">
        <f aca="false">IF($B373="","",COUNT($B$15:$B373))</f>
        <v/>
      </c>
      <c r="B373" s="37"/>
      <c r="C373" s="38"/>
      <c r="D373" s="39"/>
      <c r="E373" s="36" t="str">
        <f aca="false">IF($D373="","",IFERROR(INDEX('통합 ④ 설정'!$A$6:$A$40,MATCH($D373,'통합 ④ 설정'!$B$6:$B$40,0)),"※없는 과목"))</f>
        <v/>
      </c>
      <c r="F373" s="36" t="str">
        <f aca="false">IF($D373="","",IFERROR(INDEX('통합 ④ 설정'!$C$6:$C$40,MATCH($D373,'통합 ④ 설정'!$B$6:$B$40,0)),""))</f>
        <v/>
      </c>
      <c r="G373" s="39"/>
      <c r="H373" s="39"/>
      <c r="I373" s="40"/>
      <c r="J373" s="41"/>
      <c r="K373" s="38"/>
      <c r="L373" s="42" t="str">
        <f aca="false">IF($B373="","",IF(AND(N($I373)=0,N($J373)=0),"금액이 없습니다",IF(AND($I373&gt;0,$J373&gt;0),"수입·지출 둘 다 적혔습니다",IF($C373="","결제수단을 고르십시오",IF(ISNA(MATCH($C373,'통합 ③ 통장·카드'!$A$5:$A$11,0)),"③ 통장·카드에 없는 결제수단입니다",IF($D373="","계정과목을 고르십시오",IF($E373="※없는 과목","④ 설정에 없는 과목입니다",IF(AND($E373="수입",$J373&gt;0),"수입 과목인데 지출에 적혔습니다",IF(AND(LEFT($E373,2)&lt;&gt;"수입",$E373&lt;&gt;"대체",$I373&gt;0),"지출 과목인데 수입에 적혔습니다",IF($K373="","증빙을 고르십시오",IF(AND($C373="바우처통장",$J373&gt;0,IFERROR(INDEX('통합 ④ 설정'!$E$6:$E$40,MATCH($D373,'통합 ④ 설정'!$B$6:$B$40,0)),"")&lt;&gt;"○"),"바우처통장 지출 — 목적 확인",IF($H373="","적요를 적으십시오",""))))))))))))</f>
        <v/>
      </c>
      <c r="M373" s="39"/>
      <c r="O373" s="11" t="str">
        <f aca="false">IF($B373="","",YEAR($B373)*100+MONTH($B373))</f>
        <v/>
      </c>
      <c r="P373" s="11" t="str">
        <f aca="false">IF($B373="","",IF($E373="대체",0,1))</f>
        <v/>
      </c>
    </row>
    <row r="374" customFormat="false" ht="15" hidden="false" customHeight="false" outlineLevel="0" collapsed="false">
      <c r="A374" s="36" t="str">
        <f aca="false">IF($B374="","",COUNT($B$15:$B374))</f>
        <v/>
      </c>
      <c r="B374" s="37"/>
      <c r="C374" s="38"/>
      <c r="D374" s="39"/>
      <c r="E374" s="36" t="str">
        <f aca="false">IF($D374="","",IFERROR(INDEX('통합 ④ 설정'!$A$6:$A$40,MATCH($D374,'통합 ④ 설정'!$B$6:$B$40,0)),"※없는 과목"))</f>
        <v/>
      </c>
      <c r="F374" s="36" t="str">
        <f aca="false">IF($D374="","",IFERROR(INDEX('통합 ④ 설정'!$C$6:$C$40,MATCH($D374,'통합 ④ 설정'!$B$6:$B$40,0)),""))</f>
        <v/>
      </c>
      <c r="G374" s="39"/>
      <c r="H374" s="39"/>
      <c r="I374" s="40"/>
      <c r="J374" s="41"/>
      <c r="K374" s="38"/>
      <c r="L374" s="42" t="str">
        <f aca="false">IF($B374="","",IF(AND(N($I374)=0,N($J374)=0),"금액이 없습니다",IF(AND($I374&gt;0,$J374&gt;0),"수입·지출 둘 다 적혔습니다",IF($C374="","결제수단을 고르십시오",IF(ISNA(MATCH($C374,'통합 ③ 통장·카드'!$A$5:$A$11,0)),"③ 통장·카드에 없는 결제수단입니다",IF($D374="","계정과목을 고르십시오",IF($E374="※없는 과목","④ 설정에 없는 과목입니다",IF(AND($E374="수입",$J374&gt;0),"수입 과목인데 지출에 적혔습니다",IF(AND(LEFT($E374,2)&lt;&gt;"수입",$E374&lt;&gt;"대체",$I374&gt;0),"지출 과목인데 수입에 적혔습니다",IF($K374="","증빙을 고르십시오",IF(AND($C374="바우처통장",$J374&gt;0,IFERROR(INDEX('통합 ④ 설정'!$E$6:$E$40,MATCH($D374,'통합 ④ 설정'!$B$6:$B$40,0)),"")&lt;&gt;"○"),"바우처통장 지출 — 목적 확인",IF($H374="","적요를 적으십시오",""))))))))))))</f>
        <v/>
      </c>
      <c r="M374" s="39"/>
      <c r="O374" s="11" t="str">
        <f aca="false">IF($B374="","",YEAR($B374)*100+MONTH($B374))</f>
        <v/>
      </c>
      <c r="P374" s="11" t="str">
        <f aca="false">IF($B374="","",IF($E374="대체",0,1))</f>
        <v/>
      </c>
    </row>
    <row r="375" customFormat="false" ht="15" hidden="false" customHeight="false" outlineLevel="0" collapsed="false">
      <c r="A375" s="36" t="str">
        <f aca="false">IF($B375="","",COUNT($B$15:$B375))</f>
        <v/>
      </c>
      <c r="B375" s="37"/>
      <c r="C375" s="38"/>
      <c r="D375" s="39"/>
      <c r="E375" s="36" t="str">
        <f aca="false">IF($D375="","",IFERROR(INDEX('통합 ④ 설정'!$A$6:$A$40,MATCH($D375,'통합 ④ 설정'!$B$6:$B$40,0)),"※없는 과목"))</f>
        <v/>
      </c>
      <c r="F375" s="36" t="str">
        <f aca="false">IF($D375="","",IFERROR(INDEX('통합 ④ 설정'!$C$6:$C$40,MATCH($D375,'통합 ④ 설정'!$B$6:$B$40,0)),""))</f>
        <v/>
      </c>
      <c r="G375" s="39"/>
      <c r="H375" s="39"/>
      <c r="I375" s="40"/>
      <c r="J375" s="41"/>
      <c r="K375" s="38"/>
      <c r="L375" s="42" t="str">
        <f aca="false">IF($B375="","",IF(AND(N($I375)=0,N($J375)=0),"금액이 없습니다",IF(AND($I375&gt;0,$J375&gt;0),"수입·지출 둘 다 적혔습니다",IF($C375="","결제수단을 고르십시오",IF(ISNA(MATCH($C375,'통합 ③ 통장·카드'!$A$5:$A$11,0)),"③ 통장·카드에 없는 결제수단입니다",IF($D375="","계정과목을 고르십시오",IF($E375="※없는 과목","④ 설정에 없는 과목입니다",IF(AND($E375="수입",$J375&gt;0),"수입 과목인데 지출에 적혔습니다",IF(AND(LEFT($E375,2)&lt;&gt;"수입",$E375&lt;&gt;"대체",$I375&gt;0),"지출 과목인데 수입에 적혔습니다",IF($K375="","증빙을 고르십시오",IF(AND($C375="바우처통장",$J375&gt;0,IFERROR(INDEX('통합 ④ 설정'!$E$6:$E$40,MATCH($D375,'통합 ④ 설정'!$B$6:$B$40,0)),"")&lt;&gt;"○"),"바우처통장 지출 — 목적 확인",IF($H375="","적요를 적으십시오",""))))))))))))</f>
        <v/>
      </c>
      <c r="M375" s="39"/>
      <c r="O375" s="11" t="str">
        <f aca="false">IF($B375="","",YEAR($B375)*100+MONTH($B375))</f>
        <v/>
      </c>
      <c r="P375" s="11" t="str">
        <f aca="false">IF($B375="","",IF($E375="대체",0,1))</f>
        <v/>
      </c>
    </row>
    <row r="376" customFormat="false" ht="15" hidden="false" customHeight="false" outlineLevel="0" collapsed="false">
      <c r="A376" s="36" t="str">
        <f aca="false">IF($B376="","",COUNT($B$15:$B376))</f>
        <v/>
      </c>
      <c r="B376" s="37"/>
      <c r="C376" s="38"/>
      <c r="D376" s="39"/>
      <c r="E376" s="36" t="str">
        <f aca="false">IF($D376="","",IFERROR(INDEX('통합 ④ 설정'!$A$6:$A$40,MATCH($D376,'통합 ④ 설정'!$B$6:$B$40,0)),"※없는 과목"))</f>
        <v/>
      </c>
      <c r="F376" s="36" t="str">
        <f aca="false">IF($D376="","",IFERROR(INDEX('통합 ④ 설정'!$C$6:$C$40,MATCH($D376,'통합 ④ 설정'!$B$6:$B$40,0)),""))</f>
        <v/>
      </c>
      <c r="G376" s="39"/>
      <c r="H376" s="39"/>
      <c r="I376" s="40"/>
      <c r="J376" s="41"/>
      <c r="K376" s="38"/>
      <c r="L376" s="42" t="str">
        <f aca="false">IF($B376="","",IF(AND(N($I376)=0,N($J376)=0),"금액이 없습니다",IF(AND($I376&gt;0,$J376&gt;0),"수입·지출 둘 다 적혔습니다",IF($C376="","결제수단을 고르십시오",IF(ISNA(MATCH($C376,'통합 ③ 통장·카드'!$A$5:$A$11,0)),"③ 통장·카드에 없는 결제수단입니다",IF($D376="","계정과목을 고르십시오",IF($E376="※없는 과목","④ 설정에 없는 과목입니다",IF(AND($E376="수입",$J376&gt;0),"수입 과목인데 지출에 적혔습니다",IF(AND(LEFT($E376,2)&lt;&gt;"수입",$E376&lt;&gt;"대체",$I376&gt;0),"지출 과목인데 수입에 적혔습니다",IF($K376="","증빙을 고르십시오",IF(AND($C376="바우처통장",$J376&gt;0,IFERROR(INDEX('통합 ④ 설정'!$E$6:$E$40,MATCH($D376,'통합 ④ 설정'!$B$6:$B$40,0)),"")&lt;&gt;"○"),"바우처통장 지출 — 목적 확인",IF($H376="","적요를 적으십시오",""))))))))))))</f>
        <v/>
      </c>
      <c r="M376" s="39"/>
      <c r="O376" s="11" t="str">
        <f aca="false">IF($B376="","",YEAR($B376)*100+MONTH($B376))</f>
        <v/>
      </c>
      <c r="P376" s="11" t="str">
        <f aca="false">IF($B376="","",IF($E376="대체",0,1))</f>
        <v/>
      </c>
    </row>
    <row r="377" customFormat="false" ht="15" hidden="false" customHeight="false" outlineLevel="0" collapsed="false">
      <c r="A377" s="36" t="str">
        <f aca="false">IF($B377="","",COUNT($B$15:$B377))</f>
        <v/>
      </c>
      <c r="B377" s="37"/>
      <c r="C377" s="38"/>
      <c r="D377" s="39"/>
      <c r="E377" s="36" t="str">
        <f aca="false">IF($D377="","",IFERROR(INDEX('통합 ④ 설정'!$A$6:$A$40,MATCH($D377,'통합 ④ 설정'!$B$6:$B$40,0)),"※없는 과목"))</f>
        <v/>
      </c>
      <c r="F377" s="36" t="str">
        <f aca="false">IF($D377="","",IFERROR(INDEX('통합 ④ 설정'!$C$6:$C$40,MATCH($D377,'통합 ④ 설정'!$B$6:$B$40,0)),""))</f>
        <v/>
      </c>
      <c r="G377" s="39"/>
      <c r="H377" s="39"/>
      <c r="I377" s="40"/>
      <c r="J377" s="41"/>
      <c r="K377" s="38"/>
      <c r="L377" s="42" t="str">
        <f aca="false">IF($B377="","",IF(AND(N($I377)=0,N($J377)=0),"금액이 없습니다",IF(AND($I377&gt;0,$J377&gt;0),"수입·지출 둘 다 적혔습니다",IF($C377="","결제수단을 고르십시오",IF(ISNA(MATCH($C377,'통합 ③ 통장·카드'!$A$5:$A$11,0)),"③ 통장·카드에 없는 결제수단입니다",IF($D377="","계정과목을 고르십시오",IF($E377="※없는 과목","④ 설정에 없는 과목입니다",IF(AND($E377="수입",$J377&gt;0),"수입 과목인데 지출에 적혔습니다",IF(AND(LEFT($E377,2)&lt;&gt;"수입",$E377&lt;&gt;"대체",$I377&gt;0),"지출 과목인데 수입에 적혔습니다",IF($K377="","증빙을 고르십시오",IF(AND($C377="바우처통장",$J377&gt;0,IFERROR(INDEX('통합 ④ 설정'!$E$6:$E$40,MATCH($D377,'통합 ④ 설정'!$B$6:$B$40,0)),"")&lt;&gt;"○"),"바우처통장 지출 — 목적 확인",IF($H377="","적요를 적으십시오",""))))))))))))</f>
        <v/>
      </c>
      <c r="M377" s="39"/>
      <c r="O377" s="11" t="str">
        <f aca="false">IF($B377="","",YEAR($B377)*100+MONTH($B377))</f>
        <v/>
      </c>
      <c r="P377" s="11" t="str">
        <f aca="false">IF($B377="","",IF($E377="대체",0,1))</f>
        <v/>
      </c>
    </row>
    <row r="378" customFormat="false" ht="15" hidden="false" customHeight="false" outlineLevel="0" collapsed="false">
      <c r="A378" s="36" t="str">
        <f aca="false">IF($B378="","",COUNT($B$15:$B378))</f>
        <v/>
      </c>
      <c r="B378" s="37"/>
      <c r="C378" s="38"/>
      <c r="D378" s="39"/>
      <c r="E378" s="36" t="str">
        <f aca="false">IF($D378="","",IFERROR(INDEX('통합 ④ 설정'!$A$6:$A$40,MATCH($D378,'통합 ④ 설정'!$B$6:$B$40,0)),"※없는 과목"))</f>
        <v/>
      </c>
      <c r="F378" s="36" t="str">
        <f aca="false">IF($D378="","",IFERROR(INDEX('통합 ④ 설정'!$C$6:$C$40,MATCH($D378,'통합 ④ 설정'!$B$6:$B$40,0)),""))</f>
        <v/>
      </c>
      <c r="G378" s="39"/>
      <c r="H378" s="39"/>
      <c r="I378" s="40"/>
      <c r="J378" s="41"/>
      <c r="K378" s="38"/>
      <c r="L378" s="42" t="str">
        <f aca="false">IF($B378="","",IF(AND(N($I378)=0,N($J378)=0),"금액이 없습니다",IF(AND($I378&gt;0,$J378&gt;0),"수입·지출 둘 다 적혔습니다",IF($C378="","결제수단을 고르십시오",IF(ISNA(MATCH($C378,'통합 ③ 통장·카드'!$A$5:$A$11,0)),"③ 통장·카드에 없는 결제수단입니다",IF($D378="","계정과목을 고르십시오",IF($E378="※없는 과목","④ 설정에 없는 과목입니다",IF(AND($E378="수입",$J378&gt;0),"수입 과목인데 지출에 적혔습니다",IF(AND(LEFT($E378,2)&lt;&gt;"수입",$E378&lt;&gt;"대체",$I378&gt;0),"지출 과목인데 수입에 적혔습니다",IF($K378="","증빙을 고르십시오",IF(AND($C378="바우처통장",$J378&gt;0,IFERROR(INDEX('통합 ④ 설정'!$E$6:$E$40,MATCH($D378,'통합 ④ 설정'!$B$6:$B$40,0)),"")&lt;&gt;"○"),"바우처통장 지출 — 목적 확인",IF($H378="","적요를 적으십시오",""))))))))))))</f>
        <v/>
      </c>
      <c r="M378" s="39"/>
      <c r="O378" s="11" t="str">
        <f aca="false">IF($B378="","",YEAR($B378)*100+MONTH($B378))</f>
        <v/>
      </c>
      <c r="P378" s="11" t="str">
        <f aca="false">IF($B378="","",IF($E378="대체",0,1))</f>
        <v/>
      </c>
    </row>
    <row r="379" customFormat="false" ht="15" hidden="false" customHeight="false" outlineLevel="0" collapsed="false">
      <c r="A379" s="36" t="str">
        <f aca="false">IF($B379="","",COUNT($B$15:$B379))</f>
        <v/>
      </c>
      <c r="B379" s="37"/>
      <c r="C379" s="38"/>
      <c r="D379" s="39"/>
      <c r="E379" s="36" t="str">
        <f aca="false">IF($D379="","",IFERROR(INDEX('통합 ④ 설정'!$A$6:$A$40,MATCH($D379,'통합 ④ 설정'!$B$6:$B$40,0)),"※없는 과목"))</f>
        <v/>
      </c>
      <c r="F379" s="36" t="str">
        <f aca="false">IF($D379="","",IFERROR(INDEX('통합 ④ 설정'!$C$6:$C$40,MATCH($D379,'통합 ④ 설정'!$B$6:$B$40,0)),""))</f>
        <v/>
      </c>
      <c r="G379" s="39"/>
      <c r="H379" s="39"/>
      <c r="I379" s="40"/>
      <c r="J379" s="41"/>
      <c r="K379" s="38"/>
      <c r="L379" s="42" t="str">
        <f aca="false">IF($B379="","",IF(AND(N($I379)=0,N($J379)=0),"금액이 없습니다",IF(AND($I379&gt;0,$J379&gt;0),"수입·지출 둘 다 적혔습니다",IF($C379="","결제수단을 고르십시오",IF(ISNA(MATCH($C379,'통합 ③ 통장·카드'!$A$5:$A$11,0)),"③ 통장·카드에 없는 결제수단입니다",IF($D379="","계정과목을 고르십시오",IF($E379="※없는 과목","④ 설정에 없는 과목입니다",IF(AND($E379="수입",$J379&gt;0),"수입 과목인데 지출에 적혔습니다",IF(AND(LEFT($E379,2)&lt;&gt;"수입",$E379&lt;&gt;"대체",$I379&gt;0),"지출 과목인데 수입에 적혔습니다",IF($K379="","증빙을 고르십시오",IF(AND($C379="바우처통장",$J379&gt;0,IFERROR(INDEX('통합 ④ 설정'!$E$6:$E$40,MATCH($D379,'통합 ④ 설정'!$B$6:$B$40,0)),"")&lt;&gt;"○"),"바우처통장 지출 — 목적 확인",IF($H379="","적요를 적으십시오",""))))))))))))</f>
        <v/>
      </c>
      <c r="M379" s="39"/>
      <c r="O379" s="11" t="str">
        <f aca="false">IF($B379="","",YEAR($B379)*100+MONTH($B379))</f>
        <v/>
      </c>
      <c r="P379" s="11" t="str">
        <f aca="false">IF($B379="","",IF($E379="대체",0,1))</f>
        <v/>
      </c>
    </row>
    <row r="380" customFormat="false" ht="15" hidden="false" customHeight="false" outlineLevel="0" collapsed="false">
      <c r="A380" s="36" t="str">
        <f aca="false">IF($B380="","",COUNT($B$15:$B380))</f>
        <v/>
      </c>
      <c r="B380" s="37"/>
      <c r="C380" s="38"/>
      <c r="D380" s="39"/>
      <c r="E380" s="36" t="str">
        <f aca="false">IF($D380="","",IFERROR(INDEX('통합 ④ 설정'!$A$6:$A$40,MATCH($D380,'통합 ④ 설정'!$B$6:$B$40,0)),"※없는 과목"))</f>
        <v/>
      </c>
      <c r="F380" s="36" t="str">
        <f aca="false">IF($D380="","",IFERROR(INDEX('통합 ④ 설정'!$C$6:$C$40,MATCH($D380,'통합 ④ 설정'!$B$6:$B$40,0)),""))</f>
        <v/>
      </c>
      <c r="G380" s="39"/>
      <c r="H380" s="39"/>
      <c r="I380" s="40"/>
      <c r="J380" s="41"/>
      <c r="K380" s="38"/>
      <c r="L380" s="42" t="str">
        <f aca="false">IF($B380="","",IF(AND(N($I380)=0,N($J380)=0),"금액이 없습니다",IF(AND($I380&gt;0,$J380&gt;0),"수입·지출 둘 다 적혔습니다",IF($C380="","결제수단을 고르십시오",IF(ISNA(MATCH($C380,'통합 ③ 통장·카드'!$A$5:$A$11,0)),"③ 통장·카드에 없는 결제수단입니다",IF($D380="","계정과목을 고르십시오",IF($E380="※없는 과목","④ 설정에 없는 과목입니다",IF(AND($E380="수입",$J380&gt;0),"수입 과목인데 지출에 적혔습니다",IF(AND(LEFT($E380,2)&lt;&gt;"수입",$E380&lt;&gt;"대체",$I380&gt;0),"지출 과목인데 수입에 적혔습니다",IF($K380="","증빙을 고르십시오",IF(AND($C380="바우처통장",$J380&gt;0,IFERROR(INDEX('통합 ④ 설정'!$E$6:$E$40,MATCH($D380,'통합 ④ 설정'!$B$6:$B$40,0)),"")&lt;&gt;"○"),"바우처통장 지출 — 목적 확인",IF($H380="","적요를 적으십시오",""))))))))))))</f>
        <v/>
      </c>
      <c r="M380" s="39"/>
      <c r="O380" s="11" t="str">
        <f aca="false">IF($B380="","",YEAR($B380)*100+MONTH($B380))</f>
        <v/>
      </c>
      <c r="P380" s="11" t="str">
        <f aca="false">IF($B380="","",IF($E380="대체",0,1))</f>
        <v/>
      </c>
    </row>
    <row r="381" customFormat="false" ht="15" hidden="false" customHeight="false" outlineLevel="0" collapsed="false">
      <c r="A381" s="36" t="str">
        <f aca="false">IF($B381="","",COUNT($B$15:$B381))</f>
        <v/>
      </c>
      <c r="B381" s="37"/>
      <c r="C381" s="38"/>
      <c r="D381" s="39"/>
      <c r="E381" s="36" t="str">
        <f aca="false">IF($D381="","",IFERROR(INDEX('통합 ④ 설정'!$A$6:$A$40,MATCH($D381,'통합 ④ 설정'!$B$6:$B$40,0)),"※없는 과목"))</f>
        <v/>
      </c>
      <c r="F381" s="36" t="str">
        <f aca="false">IF($D381="","",IFERROR(INDEX('통합 ④ 설정'!$C$6:$C$40,MATCH($D381,'통합 ④ 설정'!$B$6:$B$40,0)),""))</f>
        <v/>
      </c>
      <c r="G381" s="39"/>
      <c r="H381" s="39"/>
      <c r="I381" s="40"/>
      <c r="J381" s="41"/>
      <c r="K381" s="38"/>
      <c r="L381" s="42" t="str">
        <f aca="false">IF($B381="","",IF(AND(N($I381)=0,N($J381)=0),"금액이 없습니다",IF(AND($I381&gt;0,$J381&gt;0),"수입·지출 둘 다 적혔습니다",IF($C381="","결제수단을 고르십시오",IF(ISNA(MATCH($C381,'통합 ③ 통장·카드'!$A$5:$A$11,0)),"③ 통장·카드에 없는 결제수단입니다",IF($D381="","계정과목을 고르십시오",IF($E381="※없는 과목","④ 설정에 없는 과목입니다",IF(AND($E381="수입",$J381&gt;0),"수입 과목인데 지출에 적혔습니다",IF(AND(LEFT($E381,2)&lt;&gt;"수입",$E381&lt;&gt;"대체",$I381&gt;0),"지출 과목인데 수입에 적혔습니다",IF($K381="","증빙을 고르십시오",IF(AND($C381="바우처통장",$J381&gt;0,IFERROR(INDEX('통합 ④ 설정'!$E$6:$E$40,MATCH($D381,'통합 ④ 설정'!$B$6:$B$40,0)),"")&lt;&gt;"○"),"바우처통장 지출 — 목적 확인",IF($H381="","적요를 적으십시오",""))))))))))))</f>
        <v/>
      </c>
      <c r="M381" s="39"/>
      <c r="O381" s="11" t="str">
        <f aca="false">IF($B381="","",YEAR($B381)*100+MONTH($B381))</f>
        <v/>
      </c>
      <c r="P381" s="11" t="str">
        <f aca="false">IF($B381="","",IF($E381="대체",0,1))</f>
        <v/>
      </c>
    </row>
    <row r="382" customFormat="false" ht="15" hidden="false" customHeight="false" outlineLevel="0" collapsed="false">
      <c r="A382" s="36" t="str">
        <f aca="false">IF($B382="","",COUNT($B$15:$B382))</f>
        <v/>
      </c>
      <c r="B382" s="37"/>
      <c r="C382" s="38"/>
      <c r="D382" s="39"/>
      <c r="E382" s="36" t="str">
        <f aca="false">IF($D382="","",IFERROR(INDEX('통합 ④ 설정'!$A$6:$A$40,MATCH($D382,'통합 ④ 설정'!$B$6:$B$40,0)),"※없는 과목"))</f>
        <v/>
      </c>
      <c r="F382" s="36" t="str">
        <f aca="false">IF($D382="","",IFERROR(INDEX('통합 ④ 설정'!$C$6:$C$40,MATCH($D382,'통합 ④ 설정'!$B$6:$B$40,0)),""))</f>
        <v/>
      </c>
      <c r="G382" s="39"/>
      <c r="H382" s="39"/>
      <c r="I382" s="40"/>
      <c r="J382" s="41"/>
      <c r="K382" s="38"/>
      <c r="L382" s="42" t="str">
        <f aca="false">IF($B382="","",IF(AND(N($I382)=0,N($J382)=0),"금액이 없습니다",IF(AND($I382&gt;0,$J382&gt;0),"수입·지출 둘 다 적혔습니다",IF($C382="","결제수단을 고르십시오",IF(ISNA(MATCH($C382,'통합 ③ 통장·카드'!$A$5:$A$11,0)),"③ 통장·카드에 없는 결제수단입니다",IF($D382="","계정과목을 고르십시오",IF($E382="※없는 과목","④ 설정에 없는 과목입니다",IF(AND($E382="수입",$J382&gt;0),"수입 과목인데 지출에 적혔습니다",IF(AND(LEFT($E382,2)&lt;&gt;"수입",$E382&lt;&gt;"대체",$I382&gt;0),"지출 과목인데 수입에 적혔습니다",IF($K382="","증빙을 고르십시오",IF(AND($C382="바우처통장",$J382&gt;0,IFERROR(INDEX('통합 ④ 설정'!$E$6:$E$40,MATCH($D382,'통합 ④ 설정'!$B$6:$B$40,0)),"")&lt;&gt;"○"),"바우처통장 지출 — 목적 확인",IF($H382="","적요를 적으십시오",""))))))))))))</f>
        <v/>
      </c>
      <c r="M382" s="39"/>
      <c r="O382" s="11" t="str">
        <f aca="false">IF($B382="","",YEAR($B382)*100+MONTH($B382))</f>
        <v/>
      </c>
      <c r="P382" s="11" t="str">
        <f aca="false">IF($B382="","",IF($E382="대체",0,1))</f>
        <v/>
      </c>
    </row>
    <row r="383" customFormat="false" ht="15" hidden="false" customHeight="false" outlineLevel="0" collapsed="false">
      <c r="A383" s="36" t="str">
        <f aca="false">IF($B383="","",COUNT($B$15:$B383))</f>
        <v/>
      </c>
      <c r="B383" s="37"/>
      <c r="C383" s="38"/>
      <c r="D383" s="39"/>
      <c r="E383" s="36" t="str">
        <f aca="false">IF($D383="","",IFERROR(INDEX('통합 ④ 설정'!$A$6:$A$40,MATCH($D383,'통합 ④ 설정'!$B$6:$B$40,0)),"※없는 과목"))</f>
        <v/>
      </c>
      <c r="F383" s="36" t="str">
        <f aca="false">IF($D383="","",IFERROR(INDEX('통합 ④ 설정'!$C$6:$C$40,MATCH($D383,'통합 ④ 설정'!$B$6:$B$40,0)),""))</f>
        <v/>
      </c>
      <c r="G383" s="39"/>
      <c r="H383" s="39"/>
      <c r="I383" s="40"/>
      <c r="J383" s="41"/>
      <c r="K383" s="38"/>
      <c r="L383" s="42" t="str">
        <f aca="false">IF($B383="","",IF(AND(N($I383)=0,N($J383)=0),"금액이 없습니다",IF(AND($I383&gt;0,$J383&gt;0),"수입·지출 둘 다 적혔습니다",IF($C383="","결제수단을 고르십시오",IF(ISNA(MATCH($C383,'통합 ③ 통장·카드'!$A$5:$A$11,0)),"③ 통장·카드에 없는 결제수단입니다",IF($D383="","계정과목을 고르십시오",IF($E383="※없는 과목","④ 설정에 없는 과목입니다",IF(AND($E383="수입",$J383&gt;0),"수입 과목인데 지출에 적혔습니다",IF(AND(LEFT($E383,2)&lt;&gt;"수입",$E383&lt;&gt;"대체",$I383&gt;0),"지출 과목인데 수입에 적혔습니다",IF($K383="","증빙을 고르십시오",IF(AND($C383="바우처통장",$J383&gt;0,IFERROR(INDEX('통합 ④ 설정'!$E$6:$E$40,MATCH($D383,'통합 ④ 설정'!$B$6:$B$40,0)),"")&lt;&gt;"○"),"바우처통장 지출 — 목적 확인",IF($H383="","적요를 적으십시오",""))))))))))))</f>
        <v/>
      </c>
      <c r="M383" s="39"/>
      <c r="O383" s="11" t="str">
        <f aca="false">IF($B383="","",YEAR($B383)*100+MONTH($B383))</f>
        <v/>
      </c>
      <c r="P383" s="11" t="str">
        <f aca="false">IF($B383="","",IF($E383="대체",0,1))</f>
        <v/>
      </c>
    </row>
    <row r="384" customFormat="false" ht="15" hidden="false" customHeight="false" outlineLevel="0" collapsed="false">
      <c r="A384" s="36" t="str">
        <f aca="false">IF($B384="","",COUNT($B$15:$B384))</f>
        <v/>
      </c>
      <c r="B384" s="37"/>
      <c r="C384" s="38"/>
      <c r="D384" s="39"/>
      <c r="E384" s="36" t="str">
        <f aca="false">IF($D384="","",IFERROR(INDEX('통합 ④ 설정'!$A$6:$A$40,MATCH($D384,'통합 ④ 설정'!$B$6:$B$40,0)),"※없는 과목"))</f>
        <v/>
      </c>
      <c r="F384" s="36" t="str">
        <f aca="false">IF($D384="","",IFERROR(INDEX('통합 ④ 설정'!$C$6:$C$40,MATCH($D384,'통합 ④ 설정'!$B$6:$B$40,0)),""))</f>
        <v/>
      </c>
      <c r="G384" s="39"/>
      <c r="H384" s="39"/>
      <c r="I384" s="40"/>
      <c r="J384" s="41"/>
      <c r="K384" s="38"/>
      <c r="L384" s="42" t="str">
        <f aca="false">IF($B384="","",IF(AND(N($I384)=0,N($J384)=0),"금액이 없습니다",IF(AND($I384&gt;0,$J384&gt;0),"수입·지출 둘 다 적혔습니다",IF($C384="","결제수단을 고르십시오",IF(ISNA(MATCH($C384,'통합 ③ 통장·카드'!$A$5:$A$11,0)),"③ 통장·카드에 없는 결제수단입니다",IF($D384="","계정과목을 고르십시오",IF($E384="※없는 과목","④ 설정에 없는 과목입니다",IF(AND($E384="수입",$J384&gt;0),"수입 과목인데 지출에 적혔습니다",IF(AND(LEFT($E384,2)&lt;&gt;"수입",$E384&lt;&gt;"대체",$I384&gt;0),"지출 과목인데 수입에 적혔습니다",IF($K384="","증빙을 고르십시오",IF(AND($C384="바우처통장",$J384&gt;0,IFERROR(INDEX('통합 ④ 설정'!$E$6:$E$40,MATCH($D384,'통합 ④ 설정'!$B$6:$B$40,0)),"")&lt;&gt;"○"),"바우처통장 지출 — 목적 확인",IF($H384="","적요를 적으십시오",""))))))))))))</f>
        <v/>
      </c>
      <c r="M384" s="39"/>
      <c r="O384" s="11" t="str">
        <f aca="false">IF($B384="","",YEAR($B384)*100+MONTH($B384))</f>
        <v/>
      </c>
      <c r="P384" s="11" t="str">
        <f aca="false">IF($B384="","",IF($E384="대체",0,1))</f>
        <v/>
      </c>
    </row>
    <row r="385" customFormat="false" ht="15" hidden="false" customHeight="false" outlineLevel="0" collapsed="false">
      <c r="A385" s="36" t="str">
        <f aca="false">IF($B385="","",COUNT($B$15:$B385))</f>
        <v/>
      </c>
      <c r="B385" s="37"/>
      <c r="C385" s="38"/>
      <c r="D385" s="39"/>
      <c r="E385" s="36" t="str">
        <f aca="false">IF($D385="","",IFERROR(INDEX('통합 ④ 설정'!$A$6:$A$40,MATCH($D385,'통합 ④ 설정'!$B$6:$B$40,0)),"※없는 과목"))</f>
        <v/>
      </c>
      <c r="F385" s="36" t="str">
        <f aca="false">IF($D385="","",IFERROR(INDEX('통합 ④ 설정'!$C$6:$C$40,MATCH($D385,'통합 ④ 설정'!$B$6:$B$40,0)),""))</f>
        <v/>
      </c>
      <c r="G385" s="39"/>
      <c r="H385" s="39"/>
      <c r="I385" s="40"/>
      <c r="J385" s="41"/>
      <c r="K385" s="38"/>
      <c r="L385" s="42" t="str">
        <f aca="false">IF($B385="","",IF(AND(N($I385)=0,N($J385)=0),"금액이 없습니다",IF(AND($I385&gt;0,$J385&gt;0),"수입·지출 둘 다 적혔습니다",IF($C385="","결제수단을 고르십시오",IF(ISNA(MATCH($C385,'통합 ③ 통장·카드'!$A$5:$A$11,0)),"③ 통장·카드에 없는 결제수단입니다",IF($D385="","계정과목을 고르십시오",IF($E385="※없는 과목","④ 설정에 없는 과목입니다",IF(AND($E385="수입",$J385&gt;0),"수입 과목인데 지출에 적혔습니다",IF(AND(LEFT($E385,2)&lt;&gt;"수입",$E385&lt;&gt;"대체",$I385&gt;0),"지출 과목인데 수입에 적혔습니다",IF($K385="","증빙을 고르십시오",IF(AND($C385="바우처통장",$J385&gt;0,IFERROR(INDEX('통합 ④ 설정'!$E$6:$E$40,MATCH($D385,'통합 ④ 설정'!$B$6:$B$40,0)),"")&lt;&gt;"○"),"바우처통장 지출 — 목적 확인",IF($H385="","적요를 적으십시오",""))))))))))))</f>
        <v/>
      </c>
      <c r="M385" s="39"/>
      <c r="O385" s="11" t="str">
        <f aca="false">IF($B385="","",YEAR($B385)*100+MONTH($B385))</f>
        <v/>
      </c>
      <c r="P385" s="11" t="str">
        <f aca="false">IF($B385="","",IF($E385="대체",0,1))</f>
        <v/>
      </c>
    </row>
    <row r="386" customFormat="false" ht="15" hidden="false" customHeight="false" outlineLevel="0" collapsed="false">
      <c r="A386" s="36" t="str">
        <f aca="false">IF($B386="","",COUNT($B$15:$B386))</f>
        <v/>
      </c>
      <c r="B386" s="37"/>
      <c r="C386" s="38"/>
      <c r="D386" s="39"/>
      <c r="E386" s="36" t="str">
        <f aca="false">IF($D386="","",IFERROR(INDEX('통합 ④ 설정'!$A$6:$A$40,MATCH($D386,'통합 ④ 설정'!$B$6:$B$40,0)),"※없는 과목"))</f>
        <v/>
      </c>
      <c r="F386" s="36" t="str">
        <f aca="false">IF($D386="","",IFERROR(INDEX('통합 ④ 설정'!$C$6:$C$40,MATCH($D386,'통합 ④ 설정'!$B$6:$B$40,0)),""))</f>
        <v/>
      </c>
      <c r="G386" s="39"/>
      <c r="H386" s="39"/>
      <c r="I386" s="40"/>
      <c r="J386" s="41"/>
      <c r="K386" s="38"/>
      <c r="L386" s="42" t="str">
        <f aca="false">IF($B386="","",IF(AND(N($I386)=0,N($J386)=0),"금액이 없습니다",IF(AND($I386&gt;0,$J386&gt;0),"수입·지출 둘 다 적혔습니다",IF($C386="","결제수단을 고르십시오",IF(ISNA(MATCH($C386,'통합 ③ 통장·카드'!$A$5:$A$11,0)),"③ 통장·카드에 없는 결제수단입니다",IF($D386="","계정과목을 고르십시오",IF($E386="※없는 과목","④ 설정에 없는 과목입니다",IF(AND($E386="수입",$J386&gt;0),"수입 과목인데 지출에 적혔습니다",IF(AND(LEFT($E386,2)&lt;&gt;"수입",$E386&lt;&gt;"대체",$I386&gt;0),"지출 과목인데 수입에 적혔습니다",IF($K386="","증빙을 고르십시오",IF(AND($C386="바우처통장",$J386&gt;0,IFERROR(INDEX('통합 ④ 설정'!$E$6:$E$40,MATCH($D386,'통합 ④ 설정'!$B$6:$B$40,0)),"")&lt;&gt;"○"),"바우처통장 지출 — 목적 확인",IF($H386="","적요를 적으십시오",""))))))))))))</f>
        <v/>
      </c>
      <c r="M386" s="39"/>
      <c r="O386" s="11" t="str">
        <f aca="false">IF($B386="","",YEAR($B386)*100+MONTH($B386))</f>
        <v/>
      </c>
      <c r="P386" s="11" t="str">
        <f aca="false">IF($B386="","",IF($E386="대체",0,1))</f>
        <v/>
      </c>
    </row>
    <row r="387" customFormat="false" ht="15" hidden="false" customHeight="false" outlineLevel="0" collapsed="false">
      <c r="A387" s="36" t="str">
        <f aca="false">IF($B387="","",COUNT($B$15:$B387))</f>
        <v/>
      </c>
      <c r="B387" s="37"/>
      <c r="C387" s="38"/>
      <c r="D387" s="39"/>
      <c r="E387" s="36" t="str">
        <f aca="false">IF($D387="","",IFERROR(INDEX('통합 ④ 설정'!$A$6:$A$40,MATCH($D387,'통합 ④ 설정'!$B$6:$B$40,0)),"※없는 과목"))</f>
        <v/>
      </c>
      <c r="F387" s="36" t="str">
        <f aca="false">IF($D387="","",IFERROR(INDEX('통합 ④ 설정'!$C$6:$C$40,MATCH($D387,'통합 ④ 설정'!$B$6:$B$40,0)),""))</f>
        <v/>
      </c>
      <c r="G387" s="39"/>
      <c r="H387" s="39"/>
      <c r="I387" s="40"/>
      <c r="J387" s="41"/>
      <c r="K387" s="38"/>
      <c r="L387" s="42" t="str">
        <f aca="false">IF($B387="","",IF(AND(N($I387)=0,N($J387)=0),"금액이 없습니다",IF(AND($I387&gt;0,$J387&gt;0),"수입·지출 둘 다 적혔습니다",IF($C387="","결제수단을 고르십시오",IF(ISNA(MATCH($C387,'통합 ③ 통장·카드'!$A$5:$A$11,0)),"③ 통장·카드에 없는 결제수단입니다",IF($D387="","계정과목을 고르십시오",IF($E387="※없는 과목","④ 설정에 없는 과목입니다",IF(AND($E387="수입",$J387&gt;0),"수입 과목인데 지출에 적혔습니다",IF(AND(LEFT($E387,2)&lt;&gt;"수입",$E387&lt;&gt;"대체",$I387&gt;0),"지출 과목인데 수입에 적혔습니다",IF($K387="","증빙을 고르십시오",IF(AND($C387="바우처통장",$J387&gt;0,IFERROR(INDEX('통합 ④ 설정'!$E$6:$E$40,MATCH($D387,'통합 ④ 설정'!$B$6:$B$40,0)),"")&lt;&gt;"○"),"바우처통장 지출 — 목적 확인",IF($H387="","적요를 적으십시오",""))))))))))))</f>
        <v/>
      </c>
      <c r="M387" s="39"/>
      <c r="O387" s="11" t="str">
        <f aca="false">IF($B387="","",YEAR($B387)*100+MONTH($B387))</f>
        <v/>
      </c>
      <c r="P387" s="11" t="str">
        <f aca="false">IF($B387="","",IF($E387="대체",0,1))</f>
        <v/>
      </c>
    </row>
    <row r="388" customFormat="false" ht="15" hidden="false" customHeight="false" outlineLevel="0" collapsed="false">
      <c r="A388" s="36" t="str">
        <f aca="false">IF($B388="","",COUNT($B$15:$B388))</f>
        <v/>
      </c>
      <c r="B388" s="37"/>
      <c r="C388" s="38"/>
      <c r="D388" s="39"/>
      <c r="E388" s="36" t="str">
        <f aca="false">IF($D388="","",IFERROR(INDEX('통합 ④ 설정'!$A$6:$A$40,MATCH($D388,'통합 ④ 설정'!$B$6:$B$40,0)),"※없는 과목"))</f>
        <v/>
      </c>
      <c r="F388" s="36" t="str">
        <f aca="false">IF($D388="","",IFERROR(INDEX('통합 ④ 설정'!$C$6:$C$40,MATCH($D388,'통합 ④ 설정'!$B$6:$B$40,0)),""))</f>
        <v/>
      </c>
      <c r="G388" s="39"/>
      <c r="H388" s="39"/>
      <c r="I388" s="40"/>
      <c r="J388" s="41"/>
      <c r="K388" s="38"/>
      <c r="L388" s="42" t="str">
        <f aca="false">IF($B388="","",IF(AND(N($I388)=0,N($J388)=0),"금액이 없습니다",IF(AND($I388&gt;0,$J388&gt;0),"수입·지출 둘 다 적혔습니다",IF($C388="","결제수단을 고르십시오",IF(ISNA(MATCH($C388,'통합 ③ 통장·카드'!$A$5:$A$11,0)),"③ 통장·카드에 없는 결제수단입니다",IF($D388="","계정과목을 고르십시오",IF($E388="※없는 과목","④ 설정에 없는 과목입니다",IF(AND($E388="수입",$J388&gt;0),"수입 과목인데 지출에 적혔습니다",IF(AND(LEFT($E388,2)&lt;&gt;"수입",$E388&lt;&gt;"대체",$I388&gt;0),"지출 과목인데 수입에 적혔습니다",IF($K388="","증빙을 고르십시오",IF(AND($C388="바우처통장",$J388&gt;0,IFERROR(INDEX('통합 ④ 설정'!$E$6:$E$40,MATCH($D388,'통합 ④ 설정'!$B$6:$B$40,0)),"")&lt;&gt;"○"),"바우처통장 지출 — 목적 확인",IF($H388="","적요를 적으십시오",""))))))))))))</f>
        <v/>
      </c>
      <c r="M388" s="39"/>
      <c r="O388" s="11" t="str">
        <f aca="false">IF($B388="","",YEAR($B388)*100+MONTH($B388))</f>
        <v/>
      </c>
      <c r="P388" s="11" t="str">
        <f aca="false">IF($B388="","",IF($E388="대체",0,1))</f>
        <v/>
      </c>
    </row>
    <row r="389" customFormat="false" ht="15" hidden="false" customHeight="false" outlineLevel="0" collapsed="false">
      <c r="A389" s="36" t="str">
        <f aca="false">IF($B389="","",COUNT($B$15:$B389))</f>
        <v/>
      </c>
      <c r="B389" s="37"/>
      <c r="C389" s="38"/>
      <c r="D389" s="39"/>
      <c r="E389" s="36" t="str">
        <f aca="false">IF($D389="","",IFERROR(INDEX('통합 ④ 설정'!$A$6:$A$40,MATCH($D389,'통합 ④ 설정'!$B$6:$B$40,0)),"※없는 과목"))</f>
        <v/>
      </c>
      <c r="F389" s="36" t="str">
        <f aca="false">IF($D389="","",IFERROR(INDEX('통합 ④ 설정'!$C$6:$C$40,MATCH($D389,'통합 ④ 설정'!$B$6:$B$40,0)),""))</f>
        <v/>
      </c>
      <c r="G389" s="39"/>
      <c r="H389" s="39"/>
      <c r="I389" s="40"/>
      <c r="J389" s="41"/>
      <c r="K389" s="38"/>
      <c r="L389" s="42" t="str">
        <f aca="false">IF($B389="","",IF(AND(N($I389)=0,N($J389)=0),"금액이 없습니다",IF(AND($I389&gt;0,$J389&gt;0),"수입·지출 둘 다 적혔습니다",IF($C389="","결제수단을 고르십시오",IF(ISNA(MATCH($C389,'통합 ③ 통장·카드'!$A$5:$A$11,0)),"③ 통장·카드에 없는 결제수단입니다",IF($D389="","계정과목을 고르십시오",IF($E389="※없는 과목","④ 설정에 없는 과목입니다",IF(AND($E389="수입",$J389&gt;0),"수입 과목인데 지출에 적혔습니다",IF(AND(LEFT($E389,2)&lt;&gt;"수입",$E389&lt;&gt;"대체",$I389&gt;0),"지출 과목인데 수입에 적혔습니다",IF($K389="","증빙을 고르십시오",IF(AND($C389="바우처통장",$J389&gt;0,IFERROR(INDEX('통합 ④ 설정'!$E$6:$E$40,MATCH($D389,'통합 ④ 설정'!$B$6:$B$40,0)),"")&lt;&gt;"○"),"바우처통장 지출 — 목적 확인",IF($H389="","적요를 적으십시오",""))))))))))))</f>
        <v/>
      </c>
      <c r="M389" s="39"/>
      <c r="O389" s="11" t="str">
        <f aca="false">IF($B389="","",YEAR($B389)*100+MONTH($B389))</f>
        <v/>
      </c>
      <c r="P389" s="11" t="str">
        <f aca="false">IF($B389="","",IF($E389="대체",0,1))</f>
        <v/>
      </c>
    </row>
    <row r="390" customFormat="false" ht="15" hidden="false" customHeight="false" outlineLevel="0" collapsed="false">
      <c r="A390" s="36" t="str">
        <f aca="false">IF($B390="","",COUNT($B$15:$B390))</f>
        <v/>
      </c>
      <c r="B390" s="37"/>
      <c r="C390" s="38"/>
      <c r="D390" s="39"/>
      <c r="E390" s="36" t="str">
        <f aca="false">IF($D390="","",IFERROR(INDEX('통합 ④ 설정'!$A$6:$A$40,MATCH($D390,'통합 ④ 설정'!$B$6:$B$40,0)),"※없는 과목"))</f>
        <v/>
      </c>
      <c r="F390" s="36" t="str">
        <f aca="false">IF($D390="","",IFERROR(INDEX('통합 ④ 설정'!$C$6:$C$40,MATCH($D390,'통합 ④ 설정'!$B$6:$B$40,0)),""))</f>
        <v/>
      </c>
      <c r="G390" s="39"/>
      <c r="H390" s="39"/>
      <c r="I390" s="40"/>
      <c r="J390" s="41"/>
      <c r="K390" s="38"/>
      <c r="L390" s="42" t="str">
        <f aca="false">IF($B390="","",IF(AND(N($I390)=0,N($J390)=0),"금액이 없습니다",IF(AND($I390&gt;0,$J390&gt;0),"수입·지출 둘 다 적혔습니다",IF($C390="","결제수단을 고르십시오",IF(ISNA(MATCH($C390,'통합 ③ 통장·카드'!$A$5:$A$11,0)),"③ 통장·카드에 없는 결제수단입니다",IF($D390="","계정과목을 고르십시오",IF($E390="※없는 과목","④ 설정에 없는 과목입니다",IF(AND($E390="수입",$J390&gt;0),"수입 과목인데 지출에 적혔습니다",IF(AND(LEFT($E390,2)&lt;&gt;"수입",$E390&lt;&gt;"대체",$I390&gt;0),"지출 과목인데 수입에 적혔습니다",IF($K390="","증빙을 고르십시오",IF(AND($C390="바우처통장",$J390&gt;0,IFERROR(INDEX('통합 ④ 설정'!$E$6:$E$40,MATCH($D390,'통합 ④ 설정'!$B$6:$B$40,0)),"")&lt;&gt;"○"),"바우처통장 지출 — 목적 확인",IF($H390="","적요를 적으십시오",""))))))))))))</f>
        <v/>
      </c>
      <c r="M390" s="39"/>
      <c r="O390" s="11" t="str">
        <f aca="false">IF($B390="","",YEAR($B390)*100+MONTH($B390))</f>
        <v/>
      </c>
      <c r="P390" s="11" t="str">
        <f aca="false">IF($B390="","",IF($E390="대체",0,1))</f>
        <v/>
      </c>
    </row>
    <row r="391" customFormat="false" ht="15" hidden="false" customHeight="false" outlineLevel="0" collapsed="false">
      <c r="A391" s="36" t="str">
        <f aca="false">IF($B391="","",COUNT($B$15:$B391))</f>
        <v/>
      </c>
      <c r="B391" s="37"/>
      <c r="C391" s="38"/>
      <c r="D391" s="39"/>
      <c r="E391" s="36" t="str">
        <f aca="false">IF($D391="","",IFERROR(INDEX('통합 ④ 설정'!$A$6:$A$40,MATCH($D391,'통합 ④ 설정'!$B$6:$B$40,0)),"※없는 과목"))</f>
        <v/>
      </c>
      <c r="F391" s="36" t="str">
        <f aca="false">IF($D391="","",IFERROR(INDEX('통합 ④ 설정'!$C$6:$C$40,MATCH($D391,'통합 ④ 설정'!$B$6:$B$40,0)),""))</f>
        <v/>
      </c>
      <c r="G391" s="39"/>
      <c r="H391" s="39"/>
      <c r="I391" s="40"/>
      <c r="J391" s="41"/>
      <c r="K391" s="38"/>
      <c r="L391" s="42" t="str">
        <f aca="false">IF($B391="","",IF(AND(N($I391)=0,N($J391)=0),"금액이 없습니다",IF(AND($I391&gt;0,$J391&gt;0),"수입·지출 둘 다 적혔습니다",IF($C391="","결제수단을 고르십시오",IF(ISNA(MATCH($C391,'통합 ③ 통장·카드'!$A$5:$A$11,0)),"③ 통장·카드에 없는 결제수단입니다",IF($D391="","계정과목을 고르십시오",IF($E391="※없는 과목","④ 설정에 없는 과목입니다",IF(AND($E391="수입",$J391&gt;0),"수입 과목인데 지출에 적혔습니다",IF(AND(LEFT($E391,2)&lt;&gt;"수입",$E391&lt;&gt;"대체",$I391&gt;0),"지출 과목인데 수입에 적혔습니다",IF($K391="","증빙을 고르십시오",IF(AND($C391="바우처통장",$J391&gt;0,IFERROR(INDEX('통합 ④ 설정'!$E$6:$E$40,MATCH($D391,'통합 ④ 설정'!$B$6:$B$40,0)),"")&lt;&gt;"○"),"바우처통장 지출 — 목적 확인",IF($H391="","적요를 적으십시오",""))))))))))))</f>
        <v/>
      </c>
      <c r="M391" s="39"/>
      <c r="O391" s="11" t="str">
        <f aca="false">IF($B391="","",YEAR($B391)*100+MONTH($B391))</f>
        <v/>
      </c>
      <c r="P391" s="11" t="str">
        <f aca="false">IF($B391="","",IF($E391="대체",0,1))</f>
        <v/>
      </c>
    </row>
    <row r="392" customFormat="false" ht="15" hidden="false" customHeight="false" outlineLevel="0" collapsed="false">
      <c r="A392" s="36" t="str">
        <f aca="false">IF($B392="","",COUNT($B$15:$B392))</f>
        <v/>
      </c>
      <c r="B392" s="37"/>
      <c r="C392" s="38"/>
      <c r="D392" s="39"/>
      <c r="E392" s="36" t="str">
        <f aca="false">IF($D392="","",IFERROR(INDEX('통합 ④ 설정'!$A$6:$A$40,MATCH($D392,'통합 ④ 설정'!$B$6:$B$40,0)),"※없는 과목"))</f>
        <v/>
      </c>
      <c r="F392" s="36" t="str">
        <f aca="false">IF($D392="","",IFERROR(INDEX('통합 ④ 설정'!$C$6:$C$40,MATCH($D392,'통합 ④ 설정'!$B$6:$B$40,0)),""))</f>
        <v/>
      </c>
      <c r="G392" s="39"/>
      <c r="H392" s="39"/>
      <c r="I392" s="40"/>
      <c r="J392" s="41"/>
      <c r="K392" s="38"/>
      <c r="L392" s="42" t="str">
        <f aca="false">IF($B392="","",IF(AND(N($I392)=0,N($J392)=0),"금액이 없습니다",IF(AND($I392&gt;0,$J392&gt;0),"수입·지출 둘 다 적혔습니다",IF($C392="","결제수단을 고르십시오",IF(ISNA(MATCH($C392,'통합 ③ 통장·카드'!$A$5:$A$11,0)),"③ 통장·카드에 없는 결제수단입니다",IF($D392="","계정과목을 고르십시오",IF($E392="※없는 과목","④ 설정에 없는 과목입니다",IF(AND($E392="수입",$J392&gt;0),"수입 과목인데 지출에 적혔습니다",IF(AND(LEFT($E392,2)&lt;&gt;"수입",$E392&lt;&gt;"대체",$I392&gt;0),"지출 과목인데 수입에 적혔습니다",IF($K392="","증빙을 고르십시오",IF(AND($C392="바우처통장",$J392&gt;0,IFERROR(INDEX('통합 ④ 설정'!$E$6:$E$40,MATCH($D392,'통합 ④ 설정'!$B$6:$B$40,0)),"")&lt;&gt;"○"),"바우처통장 지출 — 목적 확인",IF($H392="","적요를 적으십시오",""))))))))))))</f>
        <v/>
      </c>
      <c r="M392" s="39"/>
      <c r="O392" s="11" t="str">
        <f aca="false">IF($B392="","",YEAR($B392)*100+MONTH($B392))</f>
        <v/>
      </c>
      <c r="P392" s="11" t="str">
        <f aca="false">IF($B392="","",IF($E392="대체",0,1))</f>
        <v/>
      </c>
    </row>
    <row r="393" customFormat="false" ht="15" hidden="false" customHeight="false" outlineLevel="0" collapsed="false">
      <c r="A393" s="36" t="str">
        <f aca="false">IF($B393="","",COUNT($B$15:$B393))</f>
        <v/>
      </c>
      <c r="B393" s="37"/>
      <c r="C393" s="38"/>
      <c r="D393" s="39"/>
      <c r="E393" s="36" t="str">
        <f aca="false">IF($D393="","",IFERROR(INDEX('통합 ④ 설정'!$A$6:$A$40,MATCH($D393,'통합 ④ 설정'!$B$6:$B$40,0)),"※없는 과목"))</f>
        <v/>
      </c>
      <c r="F393" s="36" t="str">
        <f aca="false">IF($D393="","",IFERROR(INDEX('통합 ④ 설정'!$C$6:$C$40,MATCH($D393,'통합 ④ 설정'!$B$6:$B$40,0)),""))</f>
        <v/>
      </c>
      <c r="G393" s="39"/>
      <c r="H393" s="39"/>
      <c r="I393" s="40"/>
      <c r="J393" s="41"/>
      <c r="K393" s="38"/>
      <c r="L393" s="42" t="str">
        <f aca="false">IF($B393="","",IF(AND(N($I393)=0,N($J393)=0),"금액이 없습니다",IF(AND($I393&gt;0,$J393&gt;0),"수입·지출 둘 다 적혔습니다",IF($C393="","결제수단을 고르십시오",IF(ISNA(MATCH($C393,'통합 ③ 통장·카드'!$A$5:$A$11,0)),"③ 통장·카드에 없는 결제수단입니다",IF($D393="","계정과목을 고르십시오",IF($E393="※없는 과목","④ 설정에 없는 과목입니다",IF(AND($E393="수입",$J393&gt;0),"수입 과목인데 지출에 적혔습니다",IF(AND(LEFT($E393,2)&lt;&gt;"수입",$E393&lt;&gt;"대체",$I393&gt;0),"지출 과목인데 수입에 적혔습니다",IF($K393="","증빙을 고르십시오",IF(AND($C393="바우처통장",$J393&gt;0,IFERROR(INDEX('통합 ④ 설정'!$E$6:$E$40,MATCH($D393,'통합 ④ 설정'!$B$6:$B$40,0)),"")&lt;&gt;"○"),"바우처통장 지출 — 목적 확인",IF($H393="","적요를 적으십시오",""))))))))))))</f>
        <v/>
      </c>
      <c r="M393" s="39"/>
      <c r="O393" s="11" t="str">
        <f aca="false">IF($B393="","",YEAR($B393)*100+MONTH($B393))</f>
        <v/>
      </c>
      <c r="P393" s="11" t="str">
        <f aca="false">IF($B393="","",IF($E393="대체",0,1))</f>
        <v/>
      </c>
    </row>
    <row r="394" customFormat="false" ht="15" hidden="false" customHeight="false" outlineLevel="0" collapsed="false">
      <c r="A394" s="36" t="str">
        <f aca="false">IF($B394="","",COUNT($B$15:$B394))</f>
        <v/>
      </c>
      <c r="B394" s="37"/>
      <c r="C394" s="38"/>
      <c r="D394" s="39"/>
      <c r="E394" s="36" t="str">
        <f aca="false">IF($D394="","",IFERROR(INDEX('통합 ④ 설정'!$A$6:$A$40,MATCH($D394,'통합 ④ 설정'!$B$6:$B$40,0)),"※없는 과목"))</f>
        <v/>
      </c>
      <c r="F394" s="36" t="str">
        <f aca="false">IF($D394="","",IFERROR(INDEX('통합 ④ 설정'!$C$6:$C$40,MATCH($D394,'통합 ④ 설정'!$B$6:$B$40,0)),""))</f>
        <v/>
      </c>
      <c r="G394" s="39"/>
      <c r="H394" s="39"/>
      <c r="I394" s="40"/>
      <c r="J394" s="41"/>
      <c r="K394" s="38"/>
      <c r="L394" s="42" t="str">
        <f aca="false">IF($B394="","",IF(AND(N($I394)=0,N($J394)=0),"금액이 없습니다",IF(AND($I394&gt;0,$J394&gt;0),"수입·지출 둘 다 적혔습니다",IF($C394="","결제수단을 고르십시오",IF(ISNA(MATCH($C394,'통합 ③ 통장·카드'!$A$5:$A$11,0)),"③ 통장·카드에 없는 결제수단입니다",IF($D394="","계정과목을 고르십시오",IF($E394="※없는 과목","④ 설정에 없는 과목입니다",IF(AND($E394="수입",$J394&gt;0),"수입 과목인데 지출에 적혔습니다",IF(AND(LEFT($E394,2)&lt;&gt;"수입",$E394&lt;&gt;"대체",$I394&gt;0),"지출 과목인데 수입에 적혔습니다",IF($K394="","증빙을 고르십시오",IF(AND($C394="바우처통장",$J394&gt;0,IFERROR(INDEX('통합 ④ 설정'!$E$6:$E$40,MATCH($D394,'통합 ④ 설정'!$B$6:$B$40,0)),"")&lt;&gt;"○"),"바우처통장 지출 — 목적 확인",IF($H394="","적요를 적으십시오",""))))))))))))</f>
        <v/>
      </c>
      <c r="M394" s="39"/>
      <c r="O394" s="11" t="str">
        <f aca="false">IF($B394="","",YEAR($B394)*100+MONTH($B394))</f>
        <v/>
      </c>
      <c r="P394" s="11" t="str">
        <f aca="false">IF($B394="","",IF($E394="대체",0,1))</f>
        <v/>
      </c>
    </row>
    <row r="395" customFormat="false" ht="15" hidden="false" customHeight="false" outlineLevel="0" collapsed="false">
      <c r="A395" s="36" t="str">
        <f aca="false">IF($B395="","",COUNT($B$15:$B395))</f>
        <v/>
      </c>
      <c r="B395" s="37"/>
      <c r="C395" s="38"/>
      <c r="D395" s="39"/>
      <c r="E395" s="36" t="str">
        <f aca="false">IF($D395="","",IFERROR(INDEX('통합 ④ 설정'!$A$6:$A$40,MATCH($D395,'통합 ④ 설정'!$B$6:$B$40,0)),"※없는 과목"))</f>
        <v/>
      </c>
      <c r="F395" s="36" t="str">
        <f aca="false">IF($D395="","",IFERROR(INDEX('통합 ④ 설정'!$C$6:$C$40,MATCH($D395,'통합 ④ 설정'!$B$6:$B$40,0)),""))</f>
        <v/>
      </c>
      <c r="G395" s="39"/>
      <c r="H395" s="39"/>
      <c r="I395" s="40"/>
      <c r="J395" s="41"/>
      <c r="K395" s="38"/>
      <c r="L395" s="42" t="str">
        <f aca="false">IF($B395="","",IF(AND(N($I395)=0,N($J395)=0),"금액이 없습니다",IF(AND($I395&gt;0,$J395&gt;0),"수입·지출 둘 다 적혔습니다",IF($C395="","결제수단을 고르십시오",IF(ISNA(MATCH($C395,'통합 ③ 통장·카드'!$A$5:$A$11,0)),"③ 통장·카드에 없는 결제수단입니다",IF($D395="","계정과목을 고르십시오",IF($E395="※없는 과목","④ 설정에 없는 과목입니다",IF(AND($E395="수입",$J395&gt;0),"수입 과목인데 지출에 적혔습니다",IF(AND(LEFT($E395,2)&lt;&gt;"수입",$E395&lt;&gt;"대체",$I395&gt;0),"지출 과목인데 수입에 적혔습니다",IF($K395="","증빙을 고르십시오",IF(AND($C395="바우처통장",$J395&gt;0,IFERROR(INDEX('통합 ④ 설정'!$E$6:$E$40,MATCH($D395,'통합 ④ 설정'!$B$6:$B$40,0)),"")&lt;&gt;"○"),"바우처통장 지출 — 목적 확인",IF($H395="","적요를 적으십시오",""))))))))))))</f>
        <v/>
      </c>
      <c r="M395" s="39"/>
      <c r="O395" s="11" t="str">
        <f aca="false">IF($B395="","",YEAR($B395)*100+MONTH($B395))</f>
        <v/>
      </c>
      <c r="P395" s="11" t="str">
        <f aca="false">IF($B395="","",IF($E395="대체",0,1))</f>
        <v/>
      </c>
    </row>
    <row r="396" customFormat="false" ht="15" hidden="false" customHeight="false" outlineLevel="0" collapsed="false">
      <c r="A396" s="36" t="str">
        <f aca="false">IF($B396="","",COUNT($B$15:$B396))</f>
        <v/>
      </c>
      <c r="B396" s="37"/>
      <c r="C396" s="38"/>
      <c r="D396" s="39"/>
      <c r="E396" s="36" t="str">
        <f aca="false">IF($D396="","",IFERROR(INDEX('통합 ④ 설정'!$A$6:$A$40,MATCH($D396,'통합 ④ 설정'!$B$6:$B$40,0)),"※없는 과목"))</f>
        <v/>
      </c>
      <c r="F396" s="36" t="str">
        <f aca="false">IF($D396="","",IFERROR(INDEX('통합 ④ 설정'!$C$6:$C$40,MATCH($D396,'통합 ④ 설정'!$B$6:$B$40,0)),""))</f>
        <v/>
      </c>
      <c r="G396" s="39"/>
      <c r="H396" s="39"/>
      <c r="I396" s="40"/>
      <c r="J396" s="41"/>
      <c r="K396" s="38"/>
      <c r="L396" s="42" t="str">
        <f aca="false">IF($B396="","",IF(AND(N($I396)=0,N($J396)=0),"금액이 없습니다",IF(AND($I396&gt;0,$J396&gt;0),"수입·지출 둘 다 적혔습니다",IF($C396="","결제수단을 고르십시오",IF(ISNA(MATCH($C396,'통합 ③ 통장·카드'!$A$5:$A$11,0)),"③ 통장·카드에 없는 결제수단입니다",IF($D396="","계정과목을 고르십시오",IF($E396="※없는 과목","④ 설정에 없는 과목입니다",IF(AND($E396="수입",$J396&gt;0),"수입 과목인데 지출에 적혔습니다",IF(AND(LEFT($E396,2)&lt;&gt;"수입",$E396&lt;&gt;"대체",$I396&gt;0),"지출 과목인데 수입에 적혔습니다",IF($K396="","증빙을 고르십시오",IF(AND($C396="바우처통장",$J396&gt;0,IFERROR(INDEX('통합 ④ 설정'!$E$6:$E$40,MATCH($D396,'통합 ④ 설정'!$B$6:$B$40,0)),"")&lt;&gt;"○"),"바우처통장 지출 — 목적 확인",IF($H396="","적요를 적으십시오",""))))))))))))</f>
        <v/>
      </c>
      <c r="M396" s="39"/>
      <c r="O396" s="11" t="str">
        <f aca="false">IF($B396="","",YEAR($B396)*100+MONTH($B396))</f>
        <v/>
      </c>
      <c r="P396" s="11" t="str">
        <f aca="false">IF($B396="","",IF($E396="대체",0,1))</f>
        <v/>
      </c>
    </row>
    <row r="397" customFormat="false" ht="15" hidden="false" customHeight="false" outlineLevel="0" collapsed="false">
      <c r="A397" s="36" t="str">
        <f aca="false">IF($B397="","",COUNT($B$15:$B397))</f>
        <v/>
      </c>
      <c r="B397" s="37"/>
      <c r="C397" s="38"/>
      <c r="D397" s="39"/>
      <c r="E397" s="36" t="str">
        <f aca="false">IF($D397="","",IFERROR(INDEX('통합 ④ 설정'!$A$6:$A$40,MATCH($D397,'통합 ④ 설정'!$B$6:$B$40,0)),"※없는 과목"))</f>
        <v/>
      </c>
      <c r="F397" s="36" t="str">
        <f aca="false">IF($D397="","",IFERROR(INDEX('통합 ④ 설정'!$C$6:$C$40,MATCH($D397,'통합 ④ 설정'!$B$6:$B$40,0)),""))</f>
        <v/>
      </c>
      <c r="G397" s="39"/>
      <c r="H397" s="39"/>
      <c r="I397" s="40"/>
      <c r="J397" s="41"/>
      <c r="K397" s="38"/>
      <c r="L397" s="42" t="str">
        <f aca="false">IF($B397="","",IF(AND(N($I397)=0,N($J397)=0),"금액이 없습니다",IF(AND($I397&gt;0,$J397&gt;0),"수입·지출 둘 다 적혔습니다",IF($C397="","결제수단을 고르십시오",IF(ISNA(MATCH($C397,'통합 ③ 통장·카드'!$A$5:$A$11,0)),"③ 통장·카드에 없는 결제수단입니다",IF($D397="","계정과목을 고르십시오",IF($E397="※없는 과목","④ 설정에 없는 과목입니다",IF(AND($E397="수입",$J397&gt;0),"수입 과목인데 지출에 적혔습니다",IF(AND(LEFT($E397,2)&lt;&gt;"수입",$E397&lt;&gt;"대체",$I397&gt;0),"지출 과목인데 수입에 적혔습니다",IF($K397="","증빙을 고르십시오",IF(AND($C397="바우처통장",$J397&gt;0,IFERROR(INDEX('통합 ④ 설정'!$E$6:$E$40,MATCH($D397,'통합 ④ 설정'!$B$6:$B$40,0)),"")&lt;&gt;"○"),"바우처통장 지출 — 목적 확인",IF($H397="","적요를 적으십시오",""))))))))))))</f>
        <v/>
      </c>
      <c r="M397" s="39"/>
      <c r="O397" s="11" t="str">
        <f aca="false">IF($B397="","",YEAR($B397)*100+MONTH($B397))</f>
        <v/>
      </c>
      <c r="P397" s="11" t="str">
        <f aca="false">IF($B397="","",IF($E397="대체",0,1))</f>
        <v/>
      </c>
    </row>
    <row r="398" customFormat="false" ht="15" hidden="false" customHeight="false" outlineLevel="0" collapsed="false">
      <c r="A398" s="36" t="str">
        <f aca="false">IF($B398="","",COUNT($B$15:$B398))</f>
        <v/>
      </c>
      <c r="B398" s="37"/>
      <c r="C398" s="38"/>
      <c r="D398" s="39"/>
      <c r="E398" s="36" t="str">
        <f aca="false">IF($D398="","",IFERROR(INDEX('통합 ④ 설정'!$A$6:$A$40,MATCH($D398,'통합 ④ 설정'!$B$6:$B$40,0)),"※없는 과목"))</f>
        <v/>
      </c>
      <c r="F398" s="36" t="str">
        <f aca="false">IF($D398="","",IFERROR(INDEX('통합 ④ 설정'!$C$6:$C$40,MATCH($D398,'통합 ④ 설정'!$B$6:$B$40,0)),""))</f>
        <v/>
      </c>
      <c r="G398" s="39"/>
      <c r="H398" s="39"/>
      <c r="I398" s="40"/>
      <c r="J398" s="41"/>
      <c r="K398" s="38"/>
      <c r="L398" s="42" t="str">
        <f aca="false">IF($B398="","",IF(AND(N($I398)=0,N($J398)=0),"금액이 없습니다",IF(AND($I398&gt;0,$J398&gt;0),"수입·지출 둘 다 적혔습니다",IF($C398="","결제수단을 고르십시오",IF(ISNA(MATCH($C398,'통합 ③ 통장·카드'!$A$5:$A$11,0)),"③ 통장·카드에 없는 결제수단입니다",IF($D398="","계정과목을 고르십시오",IF($E398="※없는 과목","④ 설정에 없는 과목입니다",IF(AND($E398="수입",$J398&gt;0),"수입 과목인데 지출에 적혔습니다",IF(AND(LEFT($E398,2)&lt;&gt;"수입",$E398&lt;&gt;"대체",$I398&gt;0),"지출 과목인데 수입에 적혔습니다",IF($K398="","증빙을 고르십시오",IF(AND($C398="바우처통장",$J398&gt;0,IFERROR(INDEX('통합 ④ 설정'!$E$6:$E$40,MATCH($D398,'통합 ④ 설정'!$B$6:$B$40,0)),"")&lt;&gt;"○"),"바우처통장 지출 — 목적 확인",IF($H398="","적요를 적으십시오",""))))))))))))</f>
        <v/>
      </c>
      <c r="M398" s="39"/>
      <c r="O398" s="11" t="str">
        <f aca="false">IF($B398="","",YEAR($B398)*100+MONTH($B398))</f>
        <v/>
      </c>
      <c r="P398" s="11" t="str">
        <f aca="false">IF($B398="","",IF($E398="대체",0,1))</f>
        <v/>
      </c>
    </row>
    <row r="399" customFormat="false" ht="15" hidden="false" customHeight="false" outlineLevel="0" collapsed="false">
      <c r="A399" s="36" t="str">
        <f aca="false">IF($B399="","",COUNT($B$15:$B399))</f>
        <v/>
      </c>
      <c r="B399" s="37"/>
      <c r="C399" s="38"/>
      <c r="D399" s="39"/>
      <c r="E399" s="36" t="str">
        <f aca="false">IF($D399="","",IFERROR(INDEX('통합 ④ 설정'!$A$6:$A$40,MATCH($D399,'통합 ④ 설정'!$B$6:$B$40,0)),"※없는 과목"))</f>
        <v/>
      </c>
      <c r="F399" s="36" t="str">
        <f aca="false">IF($D399="","",IFERROR(INDEX('통합 ④ 설정'!$C$6:$C$40,MATCH($D399,'통합 ④ 설정'!$B$6:$B$40,0)),""))</f>
        <v/>
      </c>
      <c r="G399" s="39"/>
      <c r="H399" s="39"/>
      <c r="I399" s="40"/>
      <c r="J399" s="41"/>
      <c r="K399" s="38"/>
      <c r="L399" s="42" t="str">
        <f aca="false">IF($B399="","",IF(AND(N($I399)=0,N($J399)=0),"금액이 없습니다",IF(AND($I399&gt;0,$J399&gt;0),"수입·지출 둘 다 적혔습니다",IF($C399="","결제수단을 고르십시오",IF(ISNA(MATCH($C399,'통합 ③ 통장·카드'!$A$5:$A$11,0)),"③ 통장·카드에 없는 결제수단입니다",IF($D399="","계정과목을 고르십시오",IF($E399="※없는 과목","④ 설정에 없는 과목입니다",IF(AND($E399="수입",$J399&gt;0),"수입 과목인데 지출에 적혔습니다",IF(AND(LEFT($E399,2)&lt;&gt;"수입",$E399&lt;&gt;"대체",$I399&gt;0),"지출 과목인데 수입에 적혔습니다",IF($K399="","증빙을 고르십시오",IF(AND($C399="바우처통장",$J399&gt;0,IFERROR(INDEX('통합 ④ 설정'!$E$6:$E$40,MATCH($D399,'통합 ④ 설정'!$B$6:$B$40,0)),"")&lt;&gt;"○"),"바우처통장 지출 — 목적 확인",IF($H399="","적요를 적으십시오",""))))))))))))</f>
        <v/>
      </c>
      <c r="M399" s="39"/>
      <c r="O399" s="11" t="str">
        <f aca="false">IF($B399="","",YEAR($B399)*100+MONTH($B399))</f>
        <v/>
      </c>
      <c r="P399" s="11" t="str">
        <f aca="false">IF($B399="","",IF($E399="대체",0,1))</f>
        <v/>
      </c>
    </row>
    <row r="400" customFormat="false" ht="15" hidden="false" customHeight="false" outlineLevel="0" collapsed="false">
      <c r="A400" s="36" t="str">
        <f aca="false">IF($B400="","",COUNT($B$15:$B400))</f>
        <v/>
      </c>
      <c r="B400" s="37"/>
      <c r="C400" s="38"/>
      <c r="D400" s="39"/>
      <c r="E400" s="36" t="str">
        <f aca="false">IF($D400="","",IFERROR(INDEX('통합 ④ 설정'!$A$6:$A$40,MATCH($D400,'통합 ④ 설정'!$B$6:$B$40,0)),"※없는 과목"))</f>
        <v/>
      </c>
      <c r="F400" s="36" t="str">
        <f aca="false">IF($D400="","",IFERROR(INDEX('통합 ④ 설정'!$C$6:$C$40,MATCH($D400,'통합 ④ 설정'!$B$6:$B$40,0)),""))</f>
        <v/>
      </c>
      <c r="G400" s="39"/>
      <c r="H400" s="39"/>
      <c r="I400" s="40"/>
      <c r="J400" s="41"/>
      <c r="K400" s="38"/>
      <c r="L400" s="42" t="str">
        <f aca="false">IF($B400="","",IF(AND(N($I400)=0,N($J400)=0),"금액이 없습니다",IF(AND($I400&gt;0,$J400&gt;0),"수입·지출 둘 다 적혔습니다",IF($C400="","결제수단을 고르십시오",IF(ISNA(MATCH($C400,'통합 ③ 통장·카드'!$A$5:$A$11,0)),"③ 통장·카드에 없는 결제수단입니다",IF($D400="","계정과목을 고르십시오",IF($E400="※없는 과목","④ 설정에 없는 과목입니다",IF(AND($E400="수입",$J400&gt;0),"수입 과목인데 지출에 적혔습니다",IF(AND(LEFT($E400,2)&lt;&gt;"수입",$E400&lt;&gt;"대체",$I400&gt;0),"지출 과목인데 수입에 적혔습니다",IF($K400="","증빙을 고르십시오",IF(AND($C400="바우처통장",$J400&gt;0,IFERROR(INDEX('통합 ④ 설정'!$E$6:$E$40,MATCH($D400,'통합 ④ 설정'!$B$6:$B$40,0)),"")&lt;&gt;"○"),"바우처통장 지출 — 목적 확인",IF($H400="","적요를 적으십시오",""))))))))))))</f>
        <v/>
      </c>
      <c r="M400" s="39"/>
      <c r="O400" s="11" t="str">
        <f aca="false">IF($B400="","",YEAR($B400)*100+MONTH($B400))</f>
        <v/>
      </c>
      <c r="P400" s="11" t="str">
        <f aca="false">IF($B400="","",IF($E400="대체",0,1))</f>
        <v/>
      </c>
    </row>
    <row r="401" customFormat="false" ht="15" hidden="false" customHeight="false" outlineLevel="0" collapsed="false">
      <c r="A401" s="36" t="str">
        <f aca="false">IF($B401="","",COUNT($B$15:$B401))</f>
        <v/>
      </c>
      <c r="B401" s="37"/>
      <c r="C401" s="38"/>
      <c r="D401" s="39"/>
      <c r="E401" s="36" t="str">
        <f aca="false">IF($D401="","",IFERROR(INDEX('통합 ④ 설정'!$A$6:$A$40,MATCH($D401,'통합 ④ 설정'!$B$6:$B$40,0)),"※없는 과목"))</f>
        <v/>
      </c>
      <c r="F401" s="36" t="str">
        <f aca="false">IF($D401="","",IFERROR(INDEX('통합 ④ 설정'!$C$6:$C$40,MATCH($D401,'통합 ④ 설정'!$B$6:$B$40,0)),""))</f>
        <v/>
      </c>
      <c r="G401" s="39"/>
      <c r="H401" s="39"/>
      <c r="I401" s="40"/>
      <c r="J401" s="41"/>
      <c r="K401" s="38"/>
      <c r="L401" s="42" t="str">
        <f aca="false">IF($B401="","",IF(AND(N($I401)=0,N($J401)=0),"금액이 없습니다",IF(AND($I401&gt;0,$J401&gt;0),"수입·지출 둘 다 적혔습니다",IF($C401="","결제수단을 고르십시오",IF(ISNA(MATCH($C401,'통합 ③ 통장·카드'!$A$5:$A$11,0)),"③ 통장·카드에 없는 결제수단입니다",IF($D401="","계정과목을 고르십시오",IF($E401="※없는 과목","④ 설정에 없는 과목입니다",IF(AND($E401="수입",$J401&gt;0),"수입 과목인데 지출에 적혔습니다",IF(AND(LEFT($E401,2)&lt;&gt;"수입",$E401&lt;&gt;"대체",$I401&gt;0),"지출 과목인데 수입에 적혔습니다",IF($K401="","증빙을 고르십시오",IF(AND($C401="바우처통장",$J401&gt;0,IFERROR(INDEX('통합 ④ 설정'!$E$6:$E$40,MATCH($D401,'통합 ④ 설정'!$B$6:$B$40,0)),"")&lt;&gt;"○"),"바우처통장 지출 — 목적 확인",IF($H401="","적요를 적으십시오",""))))))))))))</f>
        <v/>
      </c>
      <c r="M401" s="39"/>
      <c r="O401" s="11" t="str">
        <f aca="false">IF($B401="","",YEAR($B401)*100+MONTH($B401))</f>
        <v/>
      </c>
      <c r="P401" s="11" t="str">
        <f aca="false">IF($B401="","",IF($E401="대체",0,1))</f>
        <v/>
      </c>
    </row>
    <row r="402" customFormat="false" ht="15" hidden="false" customHeight="false" outlineLevel="0" collapsed="false">
      <c r="A402" s="36" t="str">
        <f aca="false">IF($B402="","",COUNT($B$15:$B402))</f>
        <v/>
      </c>
      <c r="B402" s="37"/>
      <c r="C402" s="38"/>
      <c r="D402" s="39"/>
      <c r="E402" s="36" t="str">
        <f aca="false">IF($D402="","",IFERROR(INDEX('통합 ④ 설정'!$A$6:$A$40,MATCH($D402,'통합 ④ 설정'!$B$6:$B$40,0)),"※없는 과목"))</f>
        <v/>
      </c>
      <c r="F402" s="36" t="str">
        <f aca="false">IF($D402="","",IFERROR(INDEX('통합 ④ 설정'!$C$6:$C$40,MATCH($D402,'통합 ④ 설정'!$B$6:$B$40,0)),""))</f>
        <v/>
      </c>
      <c r="G402" s="39"/>
      <c r="H402" s="39"/>
      <c r="I402" s="40"/>
      <c r="J402" s="41"/>
      <c r="K402" s="38"/>
      <c r="L402" s="42" t="str">
        <f aca="false">IF($B402="","",IF(AND(N($I402)=0,N($J402)=0),"금액이 없습니다",IF(AND($I402&gt;0,$J402&gt;0),"수입·지출 둘 다 적혔습니다",IF($C402="","결제수단을 고르십시오",IF(ISNA(MATCH($C402,'통합 ③ 통장·카드'!$A$5:$A$11,0)),"③ 통장·카드에 없는 결제수단입니다",IF($D402="","계정과목을 고르십시오",IF($E402="※없는 과목","④ 설정에 없는 과목입니다",IF(AND($E402="수입",$J402&gt;0),"수입 과목인데 지출에 적혔습니다",IF(AND(LEFT($E402,2)&lt;&gt;"수입",$E402&lt;&gt;"대체",$I402&gt;0),"지출 과목인데 수입에 적혔습니다",IF($K402="","증빙을 고르십시오",IF(AND($C402="바우처통장",$J402&gt;0,IFERROR(INDEX('통합 ④ 설정'!$E$6:$E$40,MATCH($D402,'통합 ④ 설정'!$B$6:$B$40,0)),"")&lt;&gt;"○"),"바우처통장 지출 — 목적 확인",IF($H402="","적요를 적으십시오",""))))))))))))</f>
        <v/>
      </c>
      <c r="M402" s="39"/>
      <c r="O402" s="11" t="str">
        <f aca="false">IF($B402="","",YEAR($B402)*100+MONTH($B402))</f>
        <v/>
      </c>
      <c r="P402" s="11" t="str">
        <f aca="false">IF($B402="","",IF($E402="대체",0,1))</f>
        <v/>
      </c>
    </row>
    <row r="403" customFormat="false" ht="15" hidden="false" customHeight="false" outlineLevel="0" collapsed="false">
      <c r="A403" s="36" t="str">
        <f aca="false">IF($B403="","",COUNT($B$15:$B403))</f>
        <v/>
      </c>
      <c r="B403" s="37"/>
      <c r="C403" s="38"/>
      <c r="D403" s="39"/>
      <c r="E403" s="36" t="str">
        <f aca="false">IF($D403="","",IFERROR(INDEX('통합 ④ 설정'!$A$6:$A$40,MATCH($D403,'통합 ④ 설정'!$B$6:$B$40,0)),"※없는 과목"))</f>
        <v/>
      </c>
      <c r="F403" s="36" t="str">
        <f aca="false">IF($D403="","",IFERROR(INDEX('통합 ④ 설정'!$C$6:$C$40,MATCH($D403,'통합 ④ 설정'!$B$6:$B$40,0)),""))</f>
        <v/>
      </c>
      <c r="G403" s="39"/>
      <c r="H403" s="39"/>
      <c r="I403" s="40"/>
      <c r="J403" s="41"/>
      <c r="K403" s="38"/>
      <c r="L403" s="42" t="str">
        <f aca="false">IF($B403="","",IF(AND(N($I403)=0,N($J403)=0),"금액이 없습니다",IF(AND($I403&gt;0,$J403&gt;0),"수입·지출 둘 다 적혔습니다",IF($C403="","결제수단을 고르십시오",IF(ISNA(MATCH($C403,'통합 ③ 통장·카드'!$A$5:$A$11,0)),"③ 통장·카드에 없는 결제수단입니다",IF($D403="","계정과목을 고르십시오",IF($E403="※없는 과목","④ 설정에 없는 과목입니다",IF(AND($E403="수입",$J403&gt;0),"수입 과목인데 지출에 적혔습니다",IF(AND(LEFT($E403,2)&lt;&gt;"수입",$E403&lt;&gt;"대체",$I403&gt;0),"지출 과목인데 수입에 적혔습니다",IF($K403="","증빙을 고르십시오",IF(AND($C403="바우처통장",$J403&gt;0,IFERROR(INDEX('통합 ④ 설정'!$E$6:$E$40,MATCH($D403,'통합 ④ 설정'!$B$6:$B$40,0)),"")&lt;&gt;"○"),"바우처통장 지출 — 목적 확인",IF($H403="","적요를 적으십시오",""))))))))))))</f>
        <v/>
      </c>
      <c r="M403" s="39"/>
      <c r="O403" s="11" t="str">
        <f aca="false">IF($B403="","",YEAR($B403)*100+MONTH($B403))</f>
        <v/>
      </c>
      <c r="P403" s="11" t="str">
        <f aca="false">IF($B403="","",IF($E403="대체",0,1))</f>
        <v/>
      </c>
    </row>
    <row r="404" customFormat="false" ht="15" hidden="false" customHeight="false" outlineLevel="0" collapsed="false">
      <c r="A404" s="36" t="str">
        <f aca="false">IF($B404="","",COUNT($B$15:$B404))</f>
        <v/>
      </c>
      <c r="B404" s="37"/>
      <c r="C404" s="38"/>
      <c r="D404" s="39"/>
      <c r="E404" s="36" t="str">
        <f aca="false">IF($D404="","",IFERROR(INDEX('통합 ④ 설정'!$A$6:$A$40,MATCH($D404,'통합 ④ 설정'!$B$6:$B$40,0)),"※없는 과목"))</f>
        <v/>
      </c>
      <c r="F404" s="36" t="str">
        <f aca="false">IF($D404="","",IFERROR(INDEX('통합 ④ 설정'!$C$6:$C$40,MATCH($D404,'통합 ④ 설정'!$B$6:$B$40,0)),""))</f>
        <v/>
      </c>
      <c r="G404" s="39"/>
      <c r="H404" s="39"/>
      <c r="I404" s="40"/>
      <c r="J404" s="41"/>
      <c r="K404" s="38"/>
      <c r="L404" s="42" t="str">
        <f aca="false">IF($B404="","",IF(AND(N($I404)=0,N($J404)=0),"금액이 없습니다",IF(AND($I404&gt;0,$J404&gt;0),"수입·지출 둘 다 적혔습니다",IF($C404="","결제수단을 고르십시오",IF(ISNA(MATCH($C404,'통합 ③ 통장·카드'!$A$5:$A$11,0)),"③ 통장·카드에 없는 결제수단입니다",IF($D404="","계정과목을 고르십시오",IF($E404="※없는 과목","④ 설정에 없는 과목입니다",IF(AND($E404="수입",$J404&gt;0),"수입 과목인데 지출에 적혔습니다",IF(AND(LEFT($E404,2)&lt;&gt;"수입",$E404&lt;&gt;"대체",$I404&gt;0),"지출 과목인데 수입에 적혔습니다",IF($K404="","증빙을 고르십시오",IF(AND($C404="바우처통장",$J404&gt;0,IFERROR(INDEX('통합 ④ 설정'!$E$6:$E$40,MATCH($D404,'통합 ④ 설정'!$B$6:$B$40,0)),"")&lt;&gt;"○"),"바우처통장 지출 — 목적 확인",IF($H404="","적요를 적으십시오",""))))))))))))</f>
        <v/>
      </c>
      <c r="M404" s="39"/>
      <c r="O404" s="11" t="str">
        <f aca="false">IF($B404="","",YEAR($B404)*100+MONTH($B404))</f>
        <v/>
      </c>
      <c r="P404" s="11" t="str">
        <f aca="false">IF($B404="","",IF($E404="대체",0,1))</f>
        <v/>
      </c>
    </row>
    <row r="405" customFormat="false" ht="15" hidden="false" customHeight="false" outlineLevel="0" collapsed="false">
      <c r="A405" s="36" t="str">
        <f aca="false">IF($B405="","",COUNT($B$15:$B405))</f>
        <v/>
      </c>
      <c r="B405" s="37"/>
      <c r="C405" s="38"/>
      <c r="D405" s="39"/>
      <c r="E405" s="36" t="str">
        <f aca="false">IF($D405="","",IFERROR(INDEX('통합 ④ 설정'!$A$6:$A$40,MATCH($D405,'통합 ④ 설정'!$B$6:$B$40,0)),"※없는 과목"))</f>
        <v/>
      </c>
      <c r="F405" s="36" t="str">
        <f aca="false">IF($D405="","",IFERROR(INDEX('통합 ④ 설정'!$C$6:$C$40,MATCH($D405,'통합 ④ 설정'!$B$6:$B$40,0)),""))</f>
        <v/>
      </c>
      <c r="G405" s="39"/>
      <c r="H405" s="39"/>
      <c r="I405" s="40"/>
      <c r="J405" s="41"/>
      <c r="K405" s="38"/>
      <c r="L405" s="42" t="str">
        <f aca="false">IF($B405="","",IF(AND(N($I405)=0,N($J405)=0),"금액이 없습니다",IF(AND($I405&gt;0,$J405&gt;0),"수입·지출 둘 다 적혔습니다",IF($C405="","결제수단을 고르십시오",IF(ISNA(MATCH($C405,'통합 ③ 통장·카드'!$A$5:$A$11,0)),"③ 통장·카드에 없는 결제수단입니다",IF($D405="","계정과목을 고르십시오",IF($E405="※없는 과목","④ 설정에 없는 과목입니다",IF(AND($E405="수입",$J405&gt;0),"수입 과목인데 지출에 적혔습니다",IF(AND(LEFT($E405,2)&lt;&gt;"수입",$E405&lt;&gt;"대체",$I405&gt;0),"지출 과목인데 수입에 적혔습니다",IF($K405="","증빙을 고르십시오",IF(AND($C405="바우처통장",$J405&gt;0,IFERROR(INDEX('통합 ④ 설정'!$E$6:$E$40,MATCH($D405,'통합 ④ 설정'!$B$6:$B$40,0)),"")&lt;&gt;"○"),"바우처통장 지출 — 목적 확인",IF($H405="","적요를 적으십시오",""))))))))))))</f>
        <v/>
      </c>
      <c r="M405" s="39"/>
      <c r="O405" s="11" t="str">
        <f aca="false">IF($B405="","",YEAR($B405)*100+MONTH($B405))</f>
        <v/>
      </c>
      <c r="P405" s="11" t="str">
        <f aca="false">IF($B405="","",IF($E405="대체",0,1))</f>
        <v/>
      </c>
    </row>
    <row r="406" customFormat="false" ht="15" hidden="false" customHeight="false" outlineLevel="0" collapsed="false">
      <c r="A406" s="36" t="str">
        <f aca="false">IF($B406="","",COUNT($B$15:$B406))</f>
        <v/>
      </c>
      <c r="B406" s="37"/>
      <c r="C406" s="38"/>
      <c r="D406" s="39"/>
      <c r="E406" s="36" t="str">
        <f aca="false">IF($D406="","",IFERROR(INDEX('통합 ④ 설정'!$A$6:$A$40,MATCH($D406,'통합 ④ 설정'!$B$6:$B$40,0)),"※없는 과목"))</f>
        <v/>
      </c>
      <c r="F406" s="36" t="str">
        <f aca="false">IF($D406="","",IFERROR(INDEX('통합 ④ 설정'!$C$6:$C$40,MATCH($D406,'통합 ④ 설정'!$B$6:$B$40,0)),""))</f>
        <v/>
      </c>
      <c r="G406" s="39"/>
      <c r="H406" s="39"/>
      <c r="I406" s="40"/>
      <c r="J406" s="41"/>
      <c r="K406" s="38"/>
      <c r="L406" s="42" t="str">
        <f aca="false">IF($B406="","",IF(AND(N($I406)=0,N($J406)=0),"금액이 없습니다",IF(AND($I406&gt;0,$J406&gt;0),"수입·지출 둘 다 적혔습니다",IF($C406="","결제수단을 고르십시오",IF(ISNA(MATCH($C406,'통합 ③ 통장·카드'!$A$5:$A$11,0)),"③ 통장·카드에 없는 결제수단입니다",IF($D406="","계정과목을 고르십시오",IF($E406="※없는 과목","④ 설정에 없는 과목입니다",IF(AND($E406="수입",$J406&gt;0),"수입 과목인데 지출에 적혔습니다",IF(AND(LEFT($E406,2)&lt;&gt;"수입",$E406&lt;&gt;"대체",$I406&gt;0),"지출 과목인데 수입에 적혔습니다",IF($K406="","증빙을 고르십시오",IF(AND($C406="바우처통장",$J406&gt;0,IFERROR(INDEX('통합 ④ 설정'!$E$6:$E$40,MATCH($D406,'통합 ④ 설정'!$B$6:$B$40,0)),"")&lt;&gt;"○"),"바우처통장 지출 — 목적 확인",IF($H406="","적요를 적으십시오",""))))))))))))</f>
        <v/>
      </c>
      <c r="M406" s="39"/>
      <c r="O406" s="11" t="str">
        <f aca="false">IF($B406="","",YEAR($B406)*100+MONTH($B406))</f>
        <v/>
      </c>
      <c r="P406" s="11" t="str">
        <f aca="false">IF($B406="","",IF($E406="대체",0,1))</f>
        <v/>
      </c>
    </row>
    <row r="407" customFormat="false" ht="15" hidden="false" customHeight="false" outlineLevel="0" collapsed="false">
      <c r="A407" s="36" t="str">
        <f aca="false">IF($B407="","",COUNT($B$15:$B407))</f>
        <v/>
      </c>
      <c r="B407" s="37"/>
      <c r="C407" s="38"/>
      <c r="D407" s="39"/>
      <c r="E407" s="36" t="str">
        <f aca="false">IF($D407="","",IFERROR(INDEX('통합 ④ 설정'!$A$6:$A$40,MATCH($D407,'통합 ④ 설정'!$B$6:$B$40,0)),"※없는 과목"))</f>
        <v/>
      </c>
      <c r="F407" s="36" t="str">
        <f aca="false">IF($D407="","",IFERROR(INDEX('통합 ④ 설정'!$C$6:$C$40,MATCH($D407,'통합 ④ 설정'!$B$6:$B$40,0)),""))</f>
        <v/>
      </c>
      <c r="G407" s="39"/>
      <c r="H407" s="39"/>
      <c r="I407" s="40"/>
      <c r="J407" s="41"/>
      <c r="K407" s="38"/>
      <c r="L407" s="42" t="str">
        <f aca="false">IF($B407="","",IF(AND(N($I407)=0,N($J407)=0),"금액이 없습니다",IF(AND($I407&gt;0,$J407&gt;0),"수입·지출 둘 다 적혔습니다",IF($C407="","결제수단을 고르십시오",IF(ISNA(MATCH($C407,'통합 ③ 통장·카드'!$A$5:$A$11,0)),"③ 통장·카드에 없는 결제수단입니다",IF($D407="","계정과목을 고르십시오",IF($E407="※없는 과목","④ 설정에 없는 과목입니다",IF(AND($E407="수입",$J407&gt;0),"수입 과목인데 지출에 적혔습니다",IF(AND(LEFT($E407,2)&lt;&gt;"수입",$E407&lt;&gt;"대체",$I407&gt;0),"지출 과목인데 수입에 적혔습니다",IF($K407="","증빙을 고르십시오",IF(AND($C407="바우처통장",$J407&gt;0,IFERROR(INDEX('통합 ④ 설정'!$E$6:$E$40,MATCH($D407,'통합 ④ 설정'!$B$6:$B$40,0)),"")&lt;&gt;"○"),"바우처통장 지출 — 목적 확인",IF($H407="","적요를 적으십시오",""))))))))))))</f>
        <v/>
      </c>
      <c r="M407" s="39"/>
      <c r="O407" s="11" t="str">
        <f aca="false">IF($B407="","",YEAR($B407)*100+MONTH($B407))</f>
        <v/>
      </c>
      <c r="P407" s="11" t="str">
        <f aca="false">IF($B407="","",IF($E407="대체",0,1))</f>
        <v/>
      </c>
    </row>
    <row r="408" customFormat="false" ht="15" hidden="false" customHeight="false" outlineLevel="0" collapsed="false">
      <c r="A408" s="36" t="str">
        <f aca="false">IF($B408="","",COUNT($B$15:$B408))</f>
        <v/>
      </c>
      <c r="B408" s="37"/>
      <c r="C408" s="38"/>
      <c r="D408" s="39"/>
      <c r="E408" s="36" t="str">
        <f aca="false">IF($D408="","",IFERROR(INDEX('통합 ④ 설정'!$A$6:$A$40,MATCH($D408,'통합 ④ 설정'!$B$6:$B$40,0)),"※없는 과목"))</f>
        <v/>
      </c>
      <c r="F408" s="36" t="str">
        <f aca="false">IF($D408="","",IFERROR(INDEX('통합 ④ 설정'!$C$6:$C$40,MATCH($D408,'통합 ④ 설정'!$B$6:$B$40,0)),""))</f>
        <v/>
      </c>
      <c r="G408" s="39"/>
      <c r="H408" s="39"/>
      <c r="I408" s="40"/>
      <c r="J408" s="41"/>
      <c r="K408" s="38"/>
      <c r="L408" s="42" t="str">
        <f aca="false">IF($B408="","",IF(AND(N($I408)=0,N($J408)=0),"금액이 없습니다",IF(AND($I408&gt;0,$J408&gt;0),"수입·지출 둘 다 적혔습니다",IF($C408="","결제수단을 고르십시오",IF(ISNA(MATCH($C408,'통합 ③ 통장·카드'!$A$5:$A$11,0)),"③ 통장·카드에 없는 결제수단입니다",IF($D408="","계정과목을 고르십시오",IF($E408="※없는 과목","④ 설정에 없는 과목입니다",IF(AND($E408="수입",$J408&gt;0),"수입 과목인데 지출에 적혔습니다",IF(AND(LEFT($E408,2)&lt;&gt;"수입",$E408&lt;&gt;"대체",$I408&gt;0),"지출 과목인데 수입에 적혔습니다",IF($K408="","증빙을 고르십시오",IF(AND($C408="바우처통장",$J408&gt;0,IFERROR(INDEX('통합 ④ 설정'!$E$6:$E$40,MATCH($D408,'통합 ④ 설정'!$B$6:$B$40,0)),"")&lt;&gt;"○"),"바우처통장 지출 — 목적 확인",IF($H408="","적요를 적으십시오",""))))))))))))</f>
        <v/>
      </c>
      <c r="M408" s="39"/>
      <c r="O408" s="11" t="str">
        <f aca="false">IF($B408="","",YEAR($B408)*100+MONTH($B408))</f>
        <v/>
      </c>
      <c r="P408" s="11" t="str">
        <f aca="false">IF($B408="","",IF($E408="대체",0,1))</f>
        <v/>
      </c>
    </row>
    <row r="409" customFormat="false" ht="15" hidden="false" customHeight="false" outlineLevel="0" collapsed="false">
      <c r="A409" s="36" t="str">
        <f aca="false">IF($B409="","",COUNT($B$15:$B409))</f>
        <v/>
      </c>
      <c r="B409" s="37"/>
      <c r="C409" s="38"/>
      <c r="D409" s="39"/>
      <c r="E409" s="36" t="str">
        <f aca="false">IF($D409="","",IFERROR(INDEX('통합 ④ 설정'!$A$6:$A$40,MATCH($D409,'통합 ④ 설정'!$B$6:$B$40,0)),"※없는 과목"))</f>
        <v/>
      </c>
      <c r="F409" s="36" t="str">
        <f aca="false">IF($D409="","",IFERROR(INDEX('통합 ④ 설정'!$C$6:$C$40,MATCH($D409,'통합 ④ 설정'!$B$6:$B$40,0)),""))</f>
        <v/>
      </c>
      <c r="G409" s="39"/>
      <c r="H409" s="39"/>
      <c r="I409" s="40"/>
      <c r="J409" s="41"/>
      <c r="K409" s="38"/>
      <c r="L409" s="42" t="str">
        <f aca="false">IF($B409="","",IF(AND(N($I409)=0,N($J409)=0),"금액이 없습니다",IF(AND($I409&gt;0,$J409&gt;0),"수입·지출 둘 다 적혔습니다",IF($C409="","결제수단을 고르십시오",IF(ISNA(MATCH($C409,'통합 ③ 통장·카드'!$A$5:$A$11,0)),"③ 통장·카드에 없는 결제수단입니다",IF($D409="","계정과목을 고르십시오",IF($E409="※없는 과목","④ 설정에 없는 과목입니다",IF(AND($E409="수입",$J409&gt;0),"수입 과목인데 지출에 적혔습니다",IF(AND(LEFT($E409,2)&lt;&gt;"수입",$E409&lt;&gt;"대체",$I409&gt;0),"지출 과목인데 수입에 적혔습니다",IF($K409="","증빙을 고르십시오",IF(AND($C409="바우처통장",$J409&gt;0,IFERROR(INDEX('통합 ④ 설정'!$E$6:$E$40,MATCH($D409,'통합 ④ 설정'!$B$6:$B$40,0)),"")&lt;&gt;"○"),"바우처통장 지출 — 목적 확인",IF($H409="","적요를 적으십시오",""))))))))))))</f>
        <v/>
      </c>
      <c r="M409" s="39"/>
      <c r="O409" s="11" t="str">
        <f aca="false">IF($B409="","",YEAR($B409)*100+MONTH($B409))</f>
        <v/>
      </c>
      <c r="P409" s="11" t="str">
        <f aca="false">IF($B409="","",IF($E409="대체",0,1))</f>
        <v/>
      </c>
    </row>
    <row r="410" customFormat="false" ht="15" hidden="false" customHeight="false" outlineLevel="0" collapsed="false">
      <c r="A410" s="36" t="str">
        <f aca="false">IF($B410="","",COUNT($B$15:$B410))</f>
        <v/>
      </c>
      <c r="B410" s="37"/>
      <c r="C410" s="38"/>
      <c r="D410" s="39"/>
      <c r="E410" s="36" t="str">
        <f aca="false">IF($D410="","",IFERROR(INDEX('통합 ④ 설정'!$A$6:$A$40,MATCH($D410,'통합 ④ 설정'!$B$6:$B$40,0)),"※없는 과목"))</f>
        <v/>
      </c>
      <c r="F410" s="36" t="str">
        <f aca="false">IF($D410="","",IFERROR(INDEX('통합 ④ 설정'!$C$6:$C$40,MATCH($D410,'통합 ④ 설정'!$B$6:$B$40,0)),""))</f>
        <v/>
      </c>
      <c r="G410" s="39"/>
      <c r="H410" s="39"/>
      <c r="I410" s="40"/>
      <c r="J410" s="41"/>
      <c r="K410" s="38"/>
      <c r="L410" s="42" t="str">
        <f aca="false">IF($B410="","",IF(AND(N($I410)=0,N($J410)=0),"금액이 없습니다",IF(AND($I410&gt;0,$J410&gt;0),"수입·지출 둘 다 적혔습니다",IF($C410="","결제수단을 고르십시오",IF(ISNA(MATCH($C410,'통합 ③ 통장·카드'!$A$5:$A$11,0)),"③ 통장·카드에 없는 결제수단입니다",IF($D410="","계정과목을 고르십시오",IF($E410="※없는 과목","④ 설정에 없는 과목입니다",IF(AND($E410="수입",$J410&gt;0),"수입 과목인데 지출에 적혔습니다",IF(AND(LEFT($E410,2)&lt;&gt;"수입",$E410&lt;&gt;"대체",$I410&gt;0),"지출 과목인데 수입에 적혔습니다",IF($K410="","증빙을 고르십시오",IF(AND($C410="바우처통장",$J410&gt;0,IFERROR(INDEX('통합 ④ 설정'!$E$6:$E$40,MATCH($D410,'통합 ④ 설정'!$B$6:$B$40,0)),"")&lt;&gt;"○"),"바우처통장 지출 — 목적 확인",IF($H410="","적요를 적으십시오",""))))))))))))</f>
        <v/>
      </c>
      <c r="M410" s="39"/>
      <c r="O410" s="11" t="str">
        <f aca="false">IF($B410="","",YEAR($B410)*100+MONTH($B410))</f>
        <v/>
      </c>
      <c r="P410" s="11" t="str">
        <f aca="false">IF($B410="","",IF($E410="대체",0,1))</f>
        <v/>
      </c>
    </row>
    <row r="411" customFormat="false" ht="15" hidden="false" customHeight="false" outlineLevel="0" collapsed="false">
      <c r="A411" s="36" t="str">
        <f aca="false">IF($B411="","",COUNT($B$15:$B411))</f>
        <v/>
      </c>
      <c r="B411" s="37"/>
      <c r="C411" s="38"/>
      <c r="D411" s="39"/>
      <c r="E411" s="36" t="str">
        <f aca="false">IF($D411="","",IFERROR(INDEX('통합 ④ 설정'!$A$6:$A$40,MATCH($D411,'통합 ④ 설정'!$B$6:$B$40,0)),"※없는 과목"))</f>
        <v/>
      </c>
      <c r="F411" s="36" t="str">
        <f aca="false">IF($D411="","",IFERROR(INDEX('통합 ④ 설정'!$C$6:$C$40,MATCH($D411,'통합 ④ 설정'!$B$6:$B$40,0)),""))</f>
        <v/>
      </c>
      <c r="G411" s="39"/>
      <c r="H411" s="39"/>
      <c r="I411" s="40"/>
      <c r="J411" s="41"/>
      <c r="K411" s="38"/>
      <c r="L411" s="42" t="str">
        <f aca="false">IF($B411="","",IF(AND(N($I411)=0,N($J411)=0),"금액이 없습니다",IF(AND($I411&gt;0,$J411&gt;0),"수입·지출 둘 다 적혔습니다",IF($C411="","결제수단을 고르십시오",IF(ISNA(MATCH($C411,'통합 ③ 통장·카드'!$A$5:$A$11,0)),"③ 통장·카드에 없는 결제수단입니다",IF($D411="","계정과목을 고르십시오",IF($E411="※없는 과목","④ 설정에 없는 과목입니다",IF(AND($E411="수입",$J411&gt;0),"수입 과목인데 지출에 적혔습니다",IF(AND(LEFT($E411,2)&lt;&gt;"수입",$E411&lt;&gt;"대체",$I411&gt;0),"지출 과목인데 수입에 적혔습니다",IF($K411="","증빙을 고르십시오",IF(AND($C411="바우처통장",$J411&gt;0,IFERROR(INDEX('통합 ④ 설정'!$E$6:$E$40,MATCH($D411,'통합 ④ 설정'!$B$6:$B$40,0)),"")&lt;&gt;"○"),"바우처통장 지출 — 목적 확인",IF($H411="","적요를 적으십시오",""))))))))))))</f>
        <v/>
      </c>
      <c r="M411" s="39"/>
      <c r="O411" s="11" t="str">
        <f aca="false">IF($B411="","",YEAR($B411)*100+MONTH($B411))</f>
        <v/>
      </c>
      <c r="P411" s="11" t="str">
        <f aca="false">IF($B411="","",IF($E411="대체",0,1))</f>
        <v/>
      </c>
    </row>
    <row r="412" customFormat="false" ht="15" hidden="false" customHeight="false" outlineLevel="0" collapsed="false">
      <c r="A412" s="36" t="str">
        <f aca="false">IF($B412="","",COUNT($B$15:$B412))</f>
        <v/>
      </c>
      <c r="B412" s="37"/>
      <c r="C412" s="38"/>
      <c r="D412" s="39"/>
      <c r="E412" s="36" t="str">
        <f aca="false">IF($D412="","",IFERROR(INDEX('통합 ④ 설정'!$A$6:$A$40,MATCH($D412,'통합 ④ 설정'!$B$6:$B$40,0)),"※없는 과목"))</f>
        <v/>
      </c>
      <c r="F412" s="36" t="str">
        <f aca="false">IF($D412="","",IFERROR(INDEX('통합 ④ 설정'!$C$6:$C$40,MATCH($D412,'통합 ④ 설정'!$B$6:$B$40,0)),""))</f>
        <v/>
      </c>
      <c r="G412" s="39"/>
      <c r="H412" s="39"/>
      <c r="I412" s="40"/>
      <c r="J412" s="41"/>
      <c r="K412" s="38"/>
      <c r="L412" s="42" t="str">
        <f aca="false">IF($B412="","",IF(AND(N($I412)=0,N($J412)=0),"금액이 없습니다",IF(AND($I412&gt;0,$J412&gt;0),"수입·지출 둘 다 적혔습니다",IF($C412="","결제수단을 고르십시오",IF(ISNA(MATCH($C412,'통합 ③ 통장·카드'!$A$5:$A$11,0)),"③ 통장·카드에 없는 결제수단입니다",IF($D412="","계정과목을 고르십시오",IF($E412="※없는 과목","④ 설정에 없는 과목입니다",IF(AND($E412="수입",$J412&gt;0),"수입 과목인데 지출에 적혔습니다",IF(AND(LEFT($E412,2)&lt;&gt;"수입",$E412&lt;&gt;"대체",$I412&gt;0),"지출 과목인데 수입에 적혔습니다",IF($K412="","증빙을 고르십시오",IF(AND($C412="바우처통장",$J412&gt;0,IFERROR(INDEX('통합 ④ 설정'!$E$6:$E$40,MATCH($D412,'통합 ④ 설정'!$B$6:$B$40,0)),"")&lt;&gt;"○"),"바우처통장 지출 — 목적 확인",IF($H412="","적요를 적으십시오",""))))))))))))</f>
        <v/>
      </c>
      <c r="M412" s="39"/>
      <c r="O412" s="11" t="str">
        <f aca="false">IF($B412="","",YEAR($B412)*100+MONTH($B412))</f>
        <v/>
      </c>
      <c r="P412" s="11" t="str">
        <f aca="false">IF($B412="","",IF($E412="대체",0,1))</f>
        <v/>
      </c>
    </row>
    <row r="413" customFormat="false" ht="15" hidden="false" customHeight="false" outlineLevel="0" collapsed="false">
      <c r="A413" s="36" t="str">
        <f aca="false">IF($B413="","",COUNT($B$15:$B413))</f>
        <v/>
      </c>
      <c r="B413" s="37"/>
      <c r="C413" s="38"/>
      <c r="D413" s="39"/>
      <c r="E413" s="36" t="str">
        <f aca="false">IF($D413="","",IFERROR(INDEX('통합 ④ 설정'!$A$6:$A$40,MATCH($D413,'통합 ④ 설정'!$B$6:$B$40,0)),"※없는 과목"))</f>
        <v/>
      </c>
      <c r="F413" s="36" t="str">
        <f aca="false">IF($D413="","",IFERROR(INDEX('통합 ④ 설정'!$C$6:$C$40,MATCH($D413,'통합 ④ 설정'!$B$6:$B$40,0)),""))</f>
        <v/>
      </c>
      <c r="G413" s="39"/>
      <c r="H413" s="39"/>
      <c r="I413" s="40"/>
      <c r="J413" s="41"/>
      <c r="K413" s="38"/>
      <c r="L413" s="42" t="str">
        <f aca="false">IF($B413="","",IF(AND(N($I413)=0,N($J413)=0),"금액이 없습니다",IF(AND($I413&gt;0,$J413&gt;0),"수입·지출 둘 다 적혔습니다",IF($C413="","결제수단을 고르십시오",IF(ISNA(MATCH($C413,'통합 ③ 통장·카드'!$A$5:$A$11,0)),"③ 통장·카드에 없는 결제수단입니다",IF($D413="","계정과목을 고르십시오",IF($E413="※없는 과목","④ 설정에 없는 과목입니다",IF(AND($E413="수입",$J413&gt;0),"수입 과목인데 지출에 적혔습니다",IF(AND(LEFT($E413,2)&lt;&gt;"수입",$E413&lt;&gt;"대체",$I413&gt;0),"지출 과목인데 수입에 적혔습니다",IF($K413="","증빙을 고르십시오",IF(AND($C413="바우처통장",$J413&gt;0,IFERROR(INDEX('통합 ④ 설정'!$E$6:$E$40,MATCH($D413,'통합 ④ 설정'!$B$6:$B$40,0)),"")&lt;&gt;"○"),"바우처통장 지출 — 목적 확인",IF($H413="","적요를 적으십시오",""))))))))))))</f>
        <v/>
      </c>
      <c r="M413" s="39"/>
      <c r="O413" s="11" t="str">
        <f aca="false">IF($B413="","",YEAR($B413)*100+MONTH($B413))</f>
        <v/>
      </c>
      <c r="P413" s="11" t="str">
        <f aca="false">IF($B413="","",IF($E413="대체",0,1))</f>
        <v/>
      </c>
    </row>
    <row r="414" customFormat="false" ht="15" hidden="false" customHeight="false" outlineLevel="0" collapsed="false">
      <c r="A414" s="36" t="str">
        <f aca="false">IF($B414="","",COUNT($B$15:$B414))</f>
        <v/>
      </c>
      <c r="B414" s="37"/>
      <c r="C414" s="38"/>
      <c r="D414" s="39"/>
      <c r="E414" s="36" t="str">
        <f aca="false">IF($D414="","",IFERROR(INDEX('통합 ④ 설정'!$A$6:$A$40,MATCH($D414,'통합 ④ 설정'!$B$6:$B$40,0)),"※없는 과목"))</f>
        <v/>
      </c>
      <c r="F414" s="36" t="str">
        <f aca="false">IF($D414="","",IFERROR(INDEX('통합 ④ 설정'!$C$6:$C$40,MATCH($D414,'통합 ④ 설정'!$B$6:$B$40,0)),""))</f>
        <v/>
      </c>
      <c r="G414" s="39"/>
      <c r="H414" s="39"/>
      <c r="I414" s="40"/>
      <c r="J414" s="41"/>
      <c r="K414" s="38"/>
      <c r="L414" s="42" t="str">
        <f aca="false">IF($B414="","",IF(AND(N($I414)=0,N($J414)=0),"금액이 없습니다",IF(AND($I414&gt;0,$J414&gt;0),"수입·지출 둘 다 적혔습니다",IF($C414="","결제수단을 고르십시오",IF(ISNA(MATCH($C414,'통합 ③ 통장·카드'!$A$5:$A$11,0)),"③ 통장·카드에 없는 결제수단입니다",IF($D414="","계정과목을 고르십시오",IF($E414="※없는 과목","④ 설정에 없는 과목입니다",IF(AND($E414="수입",$J414&gt;0),"수입 과목인데 지출에 적혔습니다",IF(AND(LEFT($E414,2)&lt;&gt;"수입",$E414&lt;&gt;"대체",$I414&gt;0),"지출 과목인데 수입에 적혔습니다",IF($K414="","증빙을 고르십시오",IF(AND($C414="바우처통장",$J414&gt;0,IFERROR(INDEX('통합 ④ 설정'!$E$6:$E$40,MATCH($D414,'통합 ④ 설정'!$B$6:$B$40,0)),"")&lt;&gt;"○"),"바우처통장 지출 — 목적 확인",IF($H414="","적요를 적으십시오",""))))))))))))</f>
        <v/>
      </c>
      <c r="M414" s="39"/>
      <c r="O414" s="11" t="str">
        <f aca="false">IF($B414="","",YEAR($B414)*100+MONTH($B414))</f>
        <v/>
      </c>
      <c r="P414" s="11" t="str">
        <f aca="false">IF($B414="","",IF($E414="대체",0,1))</f>
        <v/>
      </c>
    </row>
    <row r="415" customFormat="false" ht="15" hidden="false" customHeight="false" outlineLevel="0" collapsed="false">
      <c r="A415" s="36" t="str">
        <f aca="false">IF($B415="","",COUNT($B$15:$B415))</f>
        <v/>
      </c>
      <c r="B415" s="37"/>
      <c r="C415" s="38"/>
      <c r="D415" s="39"/>
      <c r="E415" s="36" t="str">
        <f aca="false">IF($D415="","",IFERROR(INDEX('통합 ④ 설정'!$A$6:$A$40,MATCH($D415,'통합 ④ 설정'!$B$6:$B$40,0)),"※없는 과목"))</f>
        <v/>
      </c>
      <c r="F415" s="36" t="str">
        <f aca="false">IF($D415="","",IFERROR(INDEX('통합 ④ 설정'!$C$6:$C$40,MATCH($D415,'통합 ④ 설정'!$B$6:$B$40,0)),""))</f>
        <v/>
      </c>
      <c r="G415" s="39"/>
      <c r="H415" s="39"/>
      <c r="I415" s="40"/>
      <c r="J415" s="41"/>
      <c r="K415" s="38"/>
      <c r="L415" s="42" t="str">
        <f aca="false">IF($B415="","",IF(AND(N($I415)=0,N($J415)=0),"금액이 없습니다",IF(AND($I415&gt;0,$J415&gt;0),"수입·지출 둘 다 적혔습니다",IF($C415="","결제수단을 고르십시오",IF(ISNA(MATCH($C415,'통합 ③ 통장·카드'!$A$5:$A$11,0)),"③ 통장·카드에 없는 결제수단입니다",IF($D415="","계정과목을 고르십시오",IF($E415="※없는 과목","④ 설정에 없는 과목입니다",IF(AND($E415="수입",$J415&gt;0),"수입 과목인데 지출에 적혔습니다",IF(AND(LEFT($E415,2)&lt;&gt;"수입",$E415&lt;&gt;"대체",$I415&gt;0),"지출 과목인데 수입에 적혔습니다",IF($K415="","증빙을 고르십시오",IF(AND($C415="바우처통장",$J415&gt;0,IFERROR(INDEX('통합 ④ 설정'!$E$6:$E$40,MATCH($D415,'통합 ④ 설정'!$B$6:$B$40,0)),"")&lt;&gt;"○"),"바우처통장 지출 — 목적 확인",IF($H415="","적요를 적으십시오",""))))))))))))</f>
        <v/>
      </c>
      <c r="M415" s="39"/>
      <c r="O415" s="11" t="str">
        <f aca="false">IF($B415="","",YEAR($B415)*100+MONTH($B415))</f>
        <v/>
      </c>
      <c r="P415" s="11" t="str">
        <f aca="false">IF($B415="","",IF($E415="대체",0,1))</f>
        <v/>
      </c>
    </row>
    <row r="416" customFormat="false" ht="15" hidden="false" customHeight="false" outlineLevel="0" collapsed="false">
      <c r="A416" s="36" t="str">
        <f aca="false">IF($B416="","",COUNT($B$15:$B416))</f>
        <v/>
      </c>
      <c r="B416" s="37"/>
      <c r="C416" s="38"/>
      <c r="D416" s="39"/>
      <c r="E416" s="36" t="str">
        <f aca="false">IF($D416="","",IFERROR(INDEX('통합 ④ 설정'!$A$6:$A$40,MATCH($D416,'통합 ④ 설정'!$B$6:$B$40,0)),"※없는 과목"))</f>
        <v/>
      </c>
      <c r="F416" s="36" t="str">
        <f aca="false">IF($D416="","",IFERROR(INDEX('통합 ④ 설정'!$C$6:$C$40,MATCH($D416,'통합 ④ 설정'!$B$6:$B$40,0)),""))</f>
        <v/>
      </c>
      <c r="G416" s="39"/>
      <c r="H416" s="39"/>
      <c r="I416" s="40"/>
      <c r="J416" s="41"/>
      <c r="K416" s="38"/>
      <c r="L416" s="42" t="str">
        <f aca="false">IF($B416="","",IF(AND(N($I416)=0,N($J416)=0),"금액이 없습니다",IF(AND($I416&gt;0,$J416&gt;0),"수입·지출 둘 다 적혔습니다",IF($C416="","결제수단을 고르십시오",IF(ISNA(MATCH($C416,'통합 ③ 통장·카드'!$A$5:$A$11,0)),"③ 통장·카드에 없는 결제수단입니다",IF($D416="","계정과목을 고르십시오",IF($E416="※없는 과목","④ 설정에 없는 과목입니다",IF(AND($E416="수입",$J416&gt;0),"수입 과목인데 지출에 적혔습니다",IF(AND(LEFT($E416,2)&lt;&gt;"수입",$E416&lt;&gt;"대체",$I416&gt;0),"지출 과목인데 수입에 적혔습니다",IF($K416="","증빙을 고르십시오",IF(AND($C416="바우처통장",$J416&gt;0,IFERROR(INDEX('통합 ④ 설정'!$E$6:$E$40,MATCH($D416,'통합 ④ 설정'!$B$6:$B$40,0)),"")&lt;&gt;"○"),"바우처통장 지출 — 목적 확인",IF($H416="","적요를 적으십시오",""))))))))))))</f>
        <v/>
      </c>
      <c r="M416" s="39"/>
      <c r="O416" s="11" t="str">
        <f aca="false">IF($B416="","",YEAR($B416)*100+MONTH($B416))</f>
        <v/>
      </c>
      <c r="P416" s="11" t="str">
        <f aca="false">IF($B416="","",IF($E416="대체",0,1))</f>
        <v/>
      </c>
    </row>
    <row r="417" customFormat="false" ht="15" hidden="false" customHeight="false" outlineLevel="0" collapsed="false">
      <c r="A417" s="36" t="str">
        <f aca="false">IF($B417="","",COUNT($B$15:$B417))</f>
        <v/>
      </c>
      <c r="B417" s="37"/>
      <c r="C417" s="38"/>
      <c r="D417" s="39"/>
      <c r="E417" s="36" t="str">
        <f aca="false">IF($D417="","",IFERROR(INDEX('통합 ④ 설정'!$A$6:$A$40,MATCH($D417,'통합 ④ 설정'!$B$6:$B$40,0)),"※없는 과목"))</f>
        <v/>
      </c>
      <c r="F417" s="36" t="str">
        <f aca="false">IF($D417="","",IFERROR(INDEX('통합 ④ 설정'!$C$6:$C$40,MATCH($D417,'통합 ④ 설정'!$B$6:$B$40,0)),""))</f>
        <v/>
      </c>
      <c r="G417" s="39"/>
      <c r="H417" s="39"/>
      <c r="I417" s="40"/>
      <c r="J417" s="41"/>
      <c r="K417" s="38"/>
      <c r="L417" s="42" t="str">
        <f aca="false">IF($B417="","",IF(AND(N($I417)=0,N($J417)=0),"금액이 없습니다",IF(AND($I417&gt;0,$J417&gt;0),"수입·지출 둘 다 적혔습니다",IF($C417="","결제수단을 고르십시오",IF(ISNA(MATCH($C417,'통합 ③ 통장·카드'!$A$5:$A$11,0)),"③ 통장·카드에 없는 결제수단입니다",IF($D417="","계정과목을 고르십시오",IF($E417="※없는 과목","④ 설정에 없는 과목입니다",IF(AND($E417="수입",$J417&gt;0),"수입 과목인데 지출에 적혔습니다",IF(AND(LEFT($E417,2)&lt;&gt;"수입",$E417&lt;&gt;"대체",$I417&gt;0),"지출 과목인데 수입에 적혔습니다",IF($K417="","증빙을 고르십시오",IF(AND($C417="바우처통장",$J417&gt;0,IFERROR(INDEX('통합 ④ 설정'!$E$6:$E$40,MATCH($D417,'통합 ④ 설정'!$B$6:$B$40,0)),"")&lt;&gt;"○"),"바우처통장 지출 — 목적 확인",IF($H417="","적요를 적으십시오",""))))))))))))</f>
        <v/>
      </c>
      <c r="M417" s="39"/>
      <c r="O417" s="11" t="str">
        <f aca="false">IF($B417="","",YEAR($B417)*100+MONTH($B417))</f>
        <v/>
      </c>
      <c r="P417" s="11" t="str">
        <f aca="false">IF($B417="","",IF($E417="대체",0,1))</f>
        <v/>
      </c>
    </row>
    <row r="418" customFormat="false" ht="15" hidden="false" customHeight="false" outlineLevel="0" collapsed="false">
      <c r="A418" s="36" t="str">
        <f aca="false">IF($B418="","",COUNT($B$15:$B418))</f>
        <v/>
      </c>
      <c r="B418" s="37"/>
      <c r="C418" s="38"/>
      <c r="D418" s="39"/>
      <c r="E418" s="36" t="str">
        <f aca="false">IF($D418="","",IFERROR(INDEX('통합 ④ 설정'!$A$6:$A$40,MATCH($D418,'통합 ④ 설정'!$B$6:$B$40,0)),"※없는 과목"))</f>
        <v/>
      </c>
      <c r="F418" s="36" t="str">
        <f aca="false">IF($D418="","",IFERROR(INDEX('통합 ④ 설정'!$C$6:$C$40,MATCH($D418,'통합 ④ 설정'!$B$6:$B$40,0)),""))</f>
        <v/>
      </c>
      <c r="G418" s="39"/>
      <c r="H418" s="39"/>
      <c r="I418" s="40"/>
      <c r="J418" s="41"/>
      <c r="K418" s="38"/>
      <c r="L418" s="42" t="str">
        <f aca="false">IF($B418="","",IF(AND(N($I418)=0,N($J418)=0),"금액이 없습니다",IF(AND($I418&gt;0,$J418&gt;0),"수입·지출 둘 다 적혔습니다",IF($C418="","결제수단을 고르십시오",IF(ISNA(MATCH($C418,'통합 ③ 통장·카드'!$A$5:$A$11,0)),"③ 통장·카드에 없는 결제수단입니다",IF($D418="","계정과목을 고르십시오",IF($E418="※없는 과목","④ 설정에 없는 과목입니다",IF(AND($E418="수입",$J418&gt;0),"수입 과목인데 지출에 적혔습니다",IF(AND(LEFT($E418,2)&lt;&gt;"수입",$E418&lt;&gt;"대체",$I418&gt;0),"지출 과목인데 수입에 적혔습니다",IF($K418="","증빙을 고르십시오",IF(AND($C418="바우처통장",$J418&gt;0,IFERROR(INDEX('통합 ④ 설정'!$E$6:$E$40,MATCH($D418,'통합 ④ 설정'!$B$6:$B$40,0)),"")&lt;&gt;"○"),"바우처통장 지출 — 목적 확인",IF($H418="","적요를 적으십시오",""))))))))))))</f>
        <v/>
      </c>
      <c r="M418" s="39"/>
      <c r="O418" s="11" t="str">
        <f aca="false">IF($B418="","",YEAR($B418)*100+MONTH($B418))</f>
        <v/>
      </c>
      <c r="P418" s="11" t="str">
        <f aca="false">IF($B418="","",IF($E418="대체",0,1))</f>
        <v/>
      </c>
    </row>
    <row r="419" customFormat="false" ht="15" hidden="false" customHeight="false" outlineLevel="0" collapsed="false">
      <c r="A419" s="36" t="str">
        <f aca="false">IF($B419="","",COUNT($B$15:$B419))</f>
        <v/>
      </c>
      <c r="B419" s="37"/>
      <c r="C419" s="38"/>
      <c r="D419" s="39"/>
      <c r="E419" s="36" t="str">
        <f aca="false">IF($D419="","",IFERROR(INDEX('통합 ④ 설정'!$A$6:$A$40,MATCH($D419,'통합 ④ 설정'!$B$6:$B$40,0)),"※없는 과목"))</f>
        <v/>
      </c>
      <c r="F419" s="36" t="str">
        <f aca="false">IF($D419="","",IFERROR(INDEX('통합 ④ 설정'!$C$6:$C$40,MATCH($D419,'통합 ④ 설정'!$B$6:$B$40,0)),""))</f>
        <v/>
      </c>
      <c r="G419" s="39"/>
      <c r="H419" s="39"/>
      <c r="I419" s="40"/>
      <c r="J419" s="41"/>
      <c r="K419" s="38"/>
      <c r="L419" s="42" t="str">
        <f aca="false">IF($B419="","",IF(AND(N($I419)=0,N($J419)=0),"금액이 없습니다",IF(AND($I419&gt;0,$J419&gt;0),"수입·지출 둘 다 적혔습니다",IF($C419="","결제수단을 고르십시오",IF(ISNA(MATCH($C419,'통합 ③ 통장·카드'!$A$5:$A$11,0)),"③ 통장·카드에 없는 결제수단입니다",IF($D419="","계정과목을 고르십시오",IF($E419="※없는 과목","④ 설정에 없는 과목입니다",IF(AND($E419="수입",$J419&gt;0),"수입 과목인데 지출에 적혔습니다",IF(AND(LEFT($E419,2)&lt;&gt;"수입",$E419&lt;&gt;"대체",$I419&gt;0),"지출 과목인데 수입에 적혔습니다",IF($K419="","증빙을 고르십시오",IF(AND($C419="바우처통장",$J419&gt;0,IFERROR(INDEX('통합 ④ 설정'!$E$6:$E$40,MATCH($D419,'통합 ④ 설정'!$B$6:$B$40,0)),"")&lt;&gt;"○"),"바우처통장 지출 — 목적 확인",IF($H419="","적요를 적으십시오",""))))))))))))</f>
        <v/>
      </c>
      <c r="M419" s="39"/>
      <c r="O419" s="11" t="str">
        <f aca="false">IF($B419="","",YEAR($B419)*100+MONTH($B419))</f>
        <v/>
      </c>
      <c r="P419" s="11" t="str">
        <f aca="false">IF($B419="","",IF($E419="대체",0,1))</f>
        <v/>
      </c>
    </row>
    <row r="420" customFormat="false" ht="15" hidden="false" customHeight="false" outlineLevel="0" collapsed="false">
      <c r="A420" s="36" t="str">
        <f aca="false">IF($B420="","",COUNT($B$15:$B420))</f>
        <v/>
      </c>
      <c r="B420" s="37"/>
      <c r="C420" s="38"/>
      <c r="D420" s="39"/>
      <c r="E420" s="36" t="str">
        <f aca="false">IF($D420="","",IFERROR(INDEX('통합 ④ 설정'!$A$6:$A$40,MATCH($D420,'통합 ④ 설정'!$B$6:$B$40,0)),"※없는 과목"))</f>
        <v/>
      </c>
      <c r="F420" s="36" t="str">
        <f aca="false">IF($D420="","",IFERROR(INDEX('통합 ④ 설정'!$C$6:$C$40,MATCH($D420,'통합 ④ 설정'!$B$6:$B$40,0)),""))</f>
        <v/>
      </c>
      <c r="G420" s="39"/>
      <c r="H420" s="39"/>
      <c r="I420" s="40"/>
      <c r="J420" s="41"/>
      <c r="K420" s="38"/>
      <c r="L420" s="42" t="str">
        <f aca="false">IF($B420="","",IF(AND(N($I420)=0,N($J420)=0),"금액이 없습니다",IF(AND($I420&gt;0,$J420&gt;0),"수입·지출 둘 다 적혔습니다",IF($C420="","결제수단을 고르십시오",IF(ISNA(MATCH($C420,'통합 ③ 통장·카드'!$A$5:$A$11,0)),"③ 통장·카드에 없는 결제수단입니다",IF($D420="","계정과목을 고르십시오",IF($E420="※없는 과목","④ 설정에 없는 과목입니다",IF(AND($E420="수입",$J420&gt;0),"수입 과목인데 지출에 적혔습니다",IF(AND(LEFT($E420,2)&lt;&gt;"수입",$E420&lt;&gt;"대체",$I420&gt;0),"지출 과목인데 수입에 적혔습니다",IF($K420="","증빙을 고르십시오",IF(AND($C420="바우처통장",$J420&gt;0,IFERROR(INDEX('통합 ④ 설정'!$E$6:$E$40,MATCH($D420,'통합 ④ 설정'!$B$6:$B$40,0)),"")&lt;&gt;"○"),"바우처통장 지출 — 목적 확인",IF($H420="","적요를 적으십시오",""))))))))))))</f>
        <v/>
      </c>
      <c r="M420" s="39"/>
      <c r="O420" s="11" t="str">
        <f aca="false">IF($B420="","",YEAR($B420)*100+MONTH($B420))</f>
        <v/>
      </c>
      <c r="P420" s="11" t="str">
        <f aca="false">IF($B420="","",IF($E420="대체",0,1))</f>
        <v/>
      </c>
    </row>
    <row r="421" customFormat="false" ht="15" hidden="false" customHeight="false" outlineLevel="0" collapsed="false">
      <c r="A421" s="36" t="str">
        <f aca="false">IF($B421="","",COUNT($B$15:$B421))</f>
        <v/>
      </c>
      <c r="B421" s="37"/>
      <c r="C421" s="38"/>
      <c r="D421" s="39"/>
      <c r="E421" s="36" t="str">
        <f aca="false">IF($D421="","",IFERROR(INDEX('통합 ④ 설정'!$A$6:$A$40,MATCH($D421,'통합 ④ 설정'!$B$6:$B$40,0)),"※없는 과목"))</f>
        <v/>
      </c>
      <c r="F421" s="36" t="str">
        <f aca="false">IF($D421="","",IFERROR(INDEX('통합 ④ 설정'!$C$6:$C$40,MATCH($D421,'통합 ④ 설정'!$B$6:$B$40,0)),""))</f>
        <v/>
      </c>
      <c r="G421" s="39"/>
      <c r="H421" s="39"/>
      <c r="I421" s="40"/>
      <c r="J421" s="41"/>
      <c r="K421" s="38"/>
      <c r="L421" s="42" t="str">
        <f aca="false">IF($B421="","",IF(AND(N($I421)=0,N($J421)=0),"금액이 없습니다",IF(AND($I421&gt;0,$J421&gt;0),"수입·지출 둘 다 적혔습니다",IF($C421="","결제수단을 고르십시오",IF(ISNA(MATCH($C421,'통합 ③ 통장·카드'!$A$5:$A$11,0)),"③ 통장·카드에 없는 결제수단입니다",IF($D421="","계정과목을 고르십시오",IF($E421="※없는 과목","④ 설정에 없는 과목입니다",IF(AND($E421="수입",$J421&gt;0),"수입 과목인데 지출에 적혔습니다",IF(AND(LEFT($E421,2)&lt;&gt;"수입",$E421&lt;&gt;"대체",$I421&gt;0),"지출 과목인데 수입에 적혔습니다",IF($K421="","증빙을 고르십시오",IF(AND($C421="바우처통장",$J421&gt;0,IFERROR(INDEX('통합 ④ 설정'!$E$6:$E$40,MATCH($D421,'통합 ④ 설정'!$B$6:$B$40,0)),"")&lt;&gt;"○"),"바우처통장 지출 — 목적 확인",IF($H421="","적요를 적으십시오",""))))))))))))</f>
        <v/>
      </c>
      <c r="M421" s="39"/>
      <c r="O421" s="11" t="str">
        <f aca="false">IF($B421="","",YEAR($B421)*100+MONTH($B421))</f>
        <v/>
      </c>
      <c r="P421" s="11" t="str">
        <f aca="false">IF($B421="","",IF($E421="대체",0,1))</f>
        <v/>
      </c>
    </row>
    <row r="422" customFormat="false" ht="15" hidden="false" customHeight="false" outlineLevel="0" collapsed="false">
      <c r="A422" s="36" t="str">
        <f aca="false">IF($B422="","",COUNT($B$15:$B422))</f>
        <v/>
      </c>
      <c r="B422" s="37"/>
      <c r="C422" s="38"/>
      <c r="D422" s="39"/>
      <c r="E422" s="36" t="str">
        <f aca="false">IF($D422="","",IFERROR(INDEX('통합 ④ 설정'!$A$6:$A$40,MATCH($D422,'통합 ④ 설정'!$B$6:$B$40,0)),"※없는 과목"))</f>
        <v/>
      </c>
      <c r="F422" s="36" t="str">
        <f aca="false">IF($D422="","",IFERROR(INDEX('통합 ④ 설정'!$C$6:$C$40,MATCH($D422,'통합 ④ 설정'!$B$6:$B$40,0)),""))</f>
        <v/>
      </c>
      <c r="G422" s="39"/>
      <c r="H422" s="39"/>
      <c r="I422" s="40"/>
      <c r="J422" s="41"/>
      <c r="K422" s="38"/>
      <c r="L422" s="42" t="str">
        <f aca="false">IF($B422="","",IF(AND(N($I422)=0,N($J422)=0),"금액이 없습니다",IF(AND($I422&gt;0,$J422&gt;0),"수입·지출 둘 다 적혔습니다",IF($C422="","결제수단을 고르십시오",IF(ISNA(MATCH($C422,'통합 ③ 통장·카드'!$A$5:$A$11,0)),"③ 통장·카드에 없는 결제수단입니다",IF($D422="","계정과목을 고르십시오",IF($E422="※없는 과목","④ 설정에 없는 과목입니다",IF(AND($E422="수입",$J422&gt;0),"수입 과목인데 지출에 적혔습니다",IF(AND(LEFT($E422,2)&lt;&gt;"수입",$E422&lt;&gt;"대체",$I422&gt;0),"지출 과목인데 수입에 적혔습니다",IF($K422="","증빙을 고르십시오",IF(AND($C422="바우처통장",$J422&gt;0,IFERROR(INDEX('통합 ④ 설정'!$E$6:$E$40,MATCH($D422,'통합 ④ 설정'!$B$6:$B$40,0)),"")&lt;&gt;"○"),"바우처통장 지출 — 목적 확인",IF($H422="","적요를 적으십시오",""))))))))))))</f>
        <v/>
      </c>
      <c r="M422" s="39"/>
      <c r="O422" s="11" t="str">
        <f aca="false">IF($B422="","",YEAR($B422)*100+MONTH($B422))</f>
        <v/>
      </c>
      <c r="P422" s="11" t="str">
        <f aca="false">IF($B422="","",IF($E422="대체",0,1))</f>
        <v/>
      </c>
    </row>
    <row r="423" customFormat="false" ht="15" hidden="false" customHeight="false" outlineLevel="0" collapsed="false">
      <c r="A423" s="36" t="str">
        <f aca="false">IF($B423="","",COUNT($B$15:$B423))</f>
        <v/>
      </c>
      <c r="B423" s="37"/>
      <c r="C423" s="38"/>
      <c r="D423" s="39"/>
      <c r="E423" s="36" t="str">
        <f aca="false">IF($D423="","",IFERROR(INDEX('통합 ④ 설정'!$A$6:$A$40,MATCH($D423,'통합 ④ 설정'!$B$6:$B$40,0)),"※없는 과목"))</f>
        <v/>
      </c>
      <c r="F423" s="36" t="str">
        <f aca="false">IF($D423="","",IFERROR(INDEX('통합 ④ 설정'!$C$6:$C$40,MATCH($D423,'통합 ④ 설정'!$B$6:$B$40,0)),""))</f>
        <v/>
      </c>
      <c r="G423" s="39"/>
      <c r="H423" s="39"/>
      <c r="I423" s="40"/>
      <c r="J423" s="41"/>
      <c r="K423" s="38"/>
      <c r="L423" s="42" t="str">
        <f aca="false">IF($B423="","",IF(AND(N($I423)=0,N($J423)=0),"금액이 없습니다",IF(AND($I423&gt;0,$J423&gt;0),"수입·지출 둘 다 적혔습니다",IF($C423="","결제수단을 고르십시오",IF(ISNA(MATCH($C423,'통합 ③ 통장·카드'!$A$5:$A$11,0)),"③ 통장·카드에 없는 결제수단입니다",IF($D423="","계정과목을 고르십시오",IF($E423="※없는 과목","④ 설정에 없는 과목입니다",IF(AND($E423="수입",$J423&gt;0),"수입 과목인데 지출에 적혔습니다",IF(AND(LEFT($E423,2)&lt;&gt;"수입",$E423&lt;&gt;"대체",$I423&gt;0),"지출 과목인데 수입에 적혔습니다",IF($K423="","증빙을 고르십시오",IF(AND($C423="바우처통장",$J423&gt;0,IFERROR(INDEX('통합 ④ 설정'!$E$6:$E$40,MATCH($D423,'통합 ④ 설정'!$B$6:$B$40,0)),"")&lt;&gt;"○"),"바우처통장 지출 — 목적 확인",IF($H423="","적요를 적으십시오",""))))))))))))</f>
        <v/>
      </c>
      <c r="M423" s="39"/>
      <c r="O423" s="11" t="str">
        <f aca="false">IF($B423="","",YEAR($B423)*100+MONTH($B423))</f>
        <v/>
      </c>
      <c r="P423" s="11" t="str">
        <f aca="false">IF($B423="","",IF($E423="대체",0,1))</f>
        <v/>
      </c>
    </row>
    <row r="424" customFormat="false" ht="15" hidden="false" customHeight="false" outlineLevel="0" collapsed="false">
      <c r="A424" s="36" t="str">
        <f aca="false">IF($B424="","",COUNT($B$15:$B424))</f>
        <v/>
      </c>
      <c r="B424" s="37"/>
      <c r="C424" s="38"/>
      <c r="D424" s="39"/>
      <c r="E424" s="36" t="str">
        <f aca="false">IF($D424="","",IFERROR(INDEX('통합 ④ 설정'!$A$6:$A$40,MATCH($D424,'통합 ④ 설정'!$B$6:$B$40,0)),"※없는 과목"))</f>
        <v/>
      </c>
      <c r="F424" s="36" t="str">
        <f aca="false">IF($D424="","",IFERROR(INDEX('통합 ④ 설정'!$C$6:$C$40,MATCH($D424,'통합 ④ 설정'!$B$6:$B$40,0)),""))</f>
        <v/>
      </c>
      <c r="G424" s="39"/>
      <c r="H424" s="39"/>
      <c r="I424" s="40"/>
      <c r="J424" s="41"/>
      <c r="K424" s="38"/>
      <c r="L424" s="42" t="str">
        <f aca="false">IF($B424="","",IF(AND(N($I424)=0,N($J424)=0),"금액이 없습니다",IF(AND($I424&gt;0,$J424&gt;0),"수입·지출 둘 다 적혔습니다",IF($C424="","결제수단을 고르십시오",IF(ISNA(MATCH($C424,'통합 ③ 통장·카드'!$A$5:$A$11,0)),"③ 통장·카드에 없는 결제수단입니다",IF($D424="","계정과목을 고르십시오",IF($E424="※없는 과목","④ 설정에 없는 과목입니다",IF(AND($E424="수입",$J424&gt;0),"수입 과목인데 지출에 적혔습니다",IF(AND(LEFT($E424,2)&lt;&gt;"수입",$E424&lt;&gt;"대체",$I424&gt;0),"지출 과목인데 수입에 적혔습니다",IF($K424="","증빙을 고르십시오",IF(AND($C424="바우처통장",$J424&gt;0,IFERROR(INDEX('통합 ④ 설정'!$E$6:$E$40,MATCH($D424,'통합 ④ 설정'!$B$6:$B$40,0)),"")&lt;&gt;"○"),"바우처통장 지출 — 목적 확인",IF($H424="","적요를 적으십시오",""))))))))))))</f>
        <v/>
      </c>
      <c r="M424" s="39"/>
      <c r="O424" s="11" t="str">
        <f aca="false">IF($B424="","",YEAR($B424)*100+MONTH($B424))</f>
        <v/>
      </c>
      <c r="P424" s="11" t="str">
        <f aca="false">IF($B424="","",IF($E424="대체",0,1))</f>
        <v/>
      </c>
    </row>
    <row r="425" customFormat="false" ht="15" hidden="false" customHeight="false" outlineLevel="0" collapsed="false">
      <c r="A425" s="36" t="str">
        <f aca="false">IF($B425="","",COUNT($B$15:$B425))</f>
        <v/>
      </c>
      <c r="B425" s="37"/>
      <c r="C425" s="38"/>
      <c r="D425" s="39"/>
      <c r="E425" s="36" t="str">
        <f aca="false">IF($D425="","",IFERROR(INDEX('통합 ④ 설정'!$A$6:$A$40,MATCH($D425,'통합 ④ 설정'!$B$6:$B$40,0)),"※없는 과목"))</f>
        <v/>
      </c>
      <c r="F425" s="36" t="str">
        <f aca="false">IF($D425="","",IFERROR(INDEX('통합 ④ 설정'!$C$6:$C$40,MATCH($D425,'통합 ④ 설정'!$B$6:$B$40,0)),""))</f>
        <v/>
      </c>
      <c r="G425" s="39"/>
      <c r="H425" s="39"/>
      <c r="I425" s="40"/>
      <c r="J425" s="41"/>
      <c r="K425" s="38"/>
      <c r="L425" s="42" t="str">
        <f aca="false">IF($B425="","",IF(AND(N($I425)=0,N($J425)=0),"금액이 없습니다",IF(AND($I425&gt;0,$J425&gt;0),"수입·지출 둘 다 적혔습니다",IF($C425="","결제수단을 고르십시오",IF(ISNA(MATCH($C425,'통합 ③ 통장·카드'!$A$5:$A$11,0)),"③ 통장·카드에 없는 결제수단입니다",IF($D425="","계정과목을 고르십시오",IF($E425="※없는 과목","④ 설정에 없는 과목입니다",IF(AND($E425="수입",$J425&gt;0),"수입 과목인데 지출에 적혔습니다",IF(AND(LEFT($E425,2)&lt;&gt;"수입",$E425&lt;&gt;"대체",$I425&gt;0),"지출 과목인데 수입에 적혔습니다",IF($K425="","증빙을 고르십시오",IF(AND($C425="바우처통장",$J425&gt;0,IFERROR(INDEX('통합 ④ 설정'!$E$6:$E$40,MATCH($D425,'통합 ④ 설정'!$B$6:$B$40,0)),"")&lt;&gt;"○"),"바우처통장 지출 — 목적 확인",IF($H425="","적요를 적으십시오",""))))))))))))</f>
        <v/>
      </c>
      <c r="M425" s="39"/>
      <c r="O425" s="11" t="str">
        <f aca="false">IF($B425="","",YEAR($B425)*100+MONTH($B425))</f>
        <v/>
      </c>
      <c r="P425" s="11" t="str">
        <f aca="false">IF($B425="","",IF($E425="대체",0,1))</f>
        <v/>
      </c>
    </row>
    <row r="426" customFormat="false" ht="15" hidden="false" customHeight="false" outlineLevel="0" collapsed="false">
      <c r="A426" s="36" t="str">
        <f aca="false">IF($B426="","",COUNT($B$15:$B426))</f>
        <v/>
      </c>
      <c r="B426" s="37"/>
      <c r="C426" s="38"/>
      <c r="D426" s="39"/>
      <c r="E426" s="36" t="str">
        <f aca="false">IF($D426="","",IFERROR(INDEX('통합 ④ 설정'!$A$6:$A$40,MATCH($D426,'통합 ④ 설정'!$B$6:$B$40,0)),"※없는 과목"))</f>
        <v/>
      </c>
      <c r="F426" s="36" t="str">
        <f aca="false">IF($D426="","",IFERROR(INDEX('통합 ④ 설정'!$C$6:$C$40,MATCH($D426,'통합 ④ 설정'!$B$6:$B$40,0)),""))</f>
        <v/>
      </c>
      <c r="G426" s="39"/>
      <c r="H426" s="39"/>
      <c r="I426" s="40"/>
      <c r="J426" s="41"/>
      <c r="K426" s="38"/>
      <c r="L426" s="42" t="str">
        <f aca="false">IF($B426="","",IF(AND(N($I426)=0,N($J426)=0),"금액이 없습니다",IF(AND($I426&gt;0,$J426&gt;0),"수입·지출 둘 다 적혔습니다",IF($C426="","결제수단을 고르십시오",IF(ISNA(MATCH($C426,'통합 ③ 통장·카드'!$A$5:$A$11,0)),"③ 통장·카드에 없는 결제수단입니다",IF($D426="","계정과목을 고르십시오",IF($E426="※없는 과목","④ 설정에 없는 과목입니다",IF(AND($E426="수입",$J426&gt;0),"수입 과목인데 지출에 적혔습니다",IF(AND(LEFT($E426,2)&lt;&gt;"수입",$E426&lt;&gt;"대체",$I426&gt;0),"지출 과목인데 수입에 적혔습니다",IF($K426="","증빙을 고르십시오",IF(AND($C426="바우처통장",$J426&gt;0,IFERROR(INDEX('통합 ④ 설정'!$E$6:$E$40,MATCH($D426,'통합 ④ 설정'!$B$6:$B$40,0)),"")&lt;&gt;"○"),"바우처통장 지출 — 목적 확인",IF($H426="","적요를 적으십시오",""))))))))))))</f>
        <v/>
      </c>
      <c r="M426" s="39"/>
      <c r="O426" s="11" t="str">
        <f aca="false">IF($B426="","",YEAR($B426)*100+MONTH($B426))</f>
        <v/>
      </c>
      <c r="P426" s="11" t="str">
        <f aca="false">IF($B426="","",IF($E426="대체",0,1))</f>
        <v/>
      </c>
    </row>
    <row r="427" customFormat="false" ht="15" hidden="false" customHeight="false" outlineLevel="0" collapsed="false">
      <c r="A427" s="36" t="str">
        <f aca="false">IF($B427="","",COUNT($B$15:$B427))</f>
        <v/>
      </c>
      <c r="B427" s="37"/>
      <c r="C427" s="38"/>
      <c r="D427" s="39"/>
      <c r="E427" s="36" t="str">
        <f aca="false">IF($D427="","",IFERROR(INDEX('통합 ④ 설정'!$A$6:$A$40,MATCH($D427,'통합 ④ 설정'!$B$6:$B$40,0)),"※없는 과목"))</f>
        <v/>
      </c>
      <c r="F427" s="36" t="str">
        <f aca="false">IF($D427="","",IFERROR(INDEX('통합 ④ 설정'!$C$6:$C$40,MATCH($D427,'통합 ④ 설정'!$B$6:$B$40,0)),""))</f>
        <v/>
      </c>
      <c r="G427" s="39"/>
      <c r="H427" s="39"/>
      <c r="I427" s="40"/>
      <c r="J427" s="41"/>
      <c r="K427" s="38"/>
      <c r="L427" s="42" t="str">
        <f aca="false">IF($B427="","",IF(AND(N($I427)=0,N($J427)=0),"금액이 없습니다",IF(AND($I427&gt;0,$J427&gt;0),"수입·지출 둘 다 적혔습니다",IF($C427="","결제수단을 고르십시오",IF(ISNA(MATCH($C427,'통합 ③ 통장·카드'!$A$5:$A$11,0)),"③ 통장·카드에 없는 결제수단입니다",IF($D427="","계정과목을 고르십시오",IF($E427="※없는 과목","④ 설정에 없는 과목입니다",IF(AND($E427="수입",$J427&gt;0),"수입 과목인데 지출에 적혔습니다",IF(AND(LEFT($E427,2)&lt;&gt;"수입",$E427&lt;&gt;"대체",$I427&gt;0),"지출 과목인데 수입에 적혔습니다",IF($K427="","증빙을 고르십시오",IF(AND($C427="바우처통장",$J427&gt;0,IFERROR(INDEX('통합 ④ 설정'!$E$6:$E$40,MATCH($D427,'통합 ④ 설정'!$B$6:$B$40,0)),"")&lt;&gt;"○"),"바우처통장 지출 — 목적 확인",IF($H427="","적요를 적으십시오",""))))))))))))</f>
        <v/>
      </c>
      <c r="M427" s="39"/>
      <c r="O427" s="11" t="str">
        <f aca="false">IF($B427="","",YEAR($B427)*100+MONTH($B427))</f>
        <v/>
      </c>
      <c r="P427" s="11" t="str">
        <f aca="false">IF($B427="","",IF($E427="대체",0,1))</f>
        <v/>
      </c>
    </row>
    <row r="428" customFormat="false" ht="15" hidden="false" customHeight="false" outlineLevel="0" collapsed="false">
      <c r="A428" s="36" t="str">
        <f aca="false">IF($B428="","",COUNT($B$15:$B428))</f>
        <v/>
      </c>
      <c r="B428" s="37"/>
      <c r="C428" s="38"/>
      <c r="D428" s="39"/>
      <c r="E428" s="36" t="str">
        <f aca="false">IF($D428="","",IFERROR(INDEX('통합 ④ 설정'!$A$6:$A$40,MATCH($D428,'통합 ④ 설정'!$B$6:$B$40,0)),"※없는 과목"))</f>
        <v/>
      </c>
      <c r="F428" s="36" t="str">
        <f aca="false">IF($D428="","",IFERROR(INDEX('통합 ④ 설정'!$C$6:$C$40,MATCH($D428,'통합 ④ 설정'!$B$6:$B$40,0)),""))</f>
        <v/>
      </c>
      <c r="G428" s="39"/>
      <c r="H428" s="39"/>
      <c r="I428" s="40"/>
      <c r="J428" s="41"/>
      <c r="K428" s="38"/>
      <c r="L428" s="42" t="str">
        <f aca="false">IF($B428="","",IF(AND(N($I428)=0,N($J428)=0),"금액이 없습니다",IF(AND($I428&gt;0,$J428&gt;0),"수입·지출 둘 다 적혔습니다",IF($C428="","결제수단을 고르십시오",IF(ISNA(MATCH($C428,'통합 ③ 통장·카드'!$A$5:$A$11,0)),"③ 통장·카드에 없는 결제수단입니다",IF($D428="","계정과목을 고르십시오",IF($E428="※없는 과목","④ 설정에 없는 과목입니다",IF(AND($E428="수입",$J428&gt;0),"수입 과목인데 지출에 적혔습니다",IF(AND(LEFT($E428,2)&lt;&gt;"수입",$E428&lt;&gt;"대체",$I428&gt;0),"지출 과목인데 수입에 적혔습니다",IF($K428="","증빙을 고르십시오",IF(AND($C428="바우처통장",$J428&gt;0,IFERROR(INDEX('통합 ④ 설정'!$E$6:$E$40,MATCH($D428,'통합 ④ 설정'!$B$6:$B$40,0)),"")&lt;&gt;"○"),"바우처통장 지출 — 목적 확인",IF($H428="","적요를 적으십시오",""))))))))))))</f>
        <v/>
      </c>
      <c r="M428" s="39"/>
      <c r="O428" s="11" t="str">
        <f aca="false">IF($B428="","",YEAR($B428)*100+MONTH($B428))</f>
        <v/>
      </c>
      <c r="P428" s="11" t="str">
        <f aca="false">IF($B428="","",IF($E428="대체",0,1))</f>
        <v/>
      </c>
    </row>
    <row r="429" customFormat="false" ht="15" hidden="false" customHeight="false" outlineLevel="0" collapsed="false">
      <c r="A429" s="36" t="str">
        <f aca="false">IF($B429="","",COUNT($B$15:$B429))</f>
        <v/>
      </c>
      <c r="B429" s="37"/>
      <c r="C429" s="38"/>
      <c r="D429" s="39"/>
      <c r="E429" s="36" t="str">
        <f aca="false">IF($D429="","",IFERROR(INDEX('통합 ④ 설정'!$A$6:$A$40,MATCH($D429,'통합 ④ 설정'!$B$6:$B$40,0)),"※없는 과목"))</f>
        <v/>
      </c>
      <c r="F429" s="36" t="str">
        <f aca="false">IF($D429="","",IFERROR(INDEX('통합 ④ 설정'!$C$6:$C$40,MATCH($D429,'통합 ④ 설정'!$B$6:$B$40,0)),""))</f>
        <v/>
      </c>
      <c r="G429" s="39"/>
      <c r="H429" s="39"/>
      <c r="I429" s="40"/>
      <c r="J429" s="41"/>
      <c r="K429" s="38"/>
      <c r="L429" s="42" t="str">
        <f aca="false">IF($B429="","",IF(AND(N($I429)=0,N($J429)=0),"금액이 없습니다",IF(AND($I429&gt;0,$J429&gt;0),"수입·지출 둘 다 적혔습니다",IF($C429="","결제수단을 고르십시오",IF(ISNA(MATCH($C429,'통합 ③ 통장·카드'!$A$5:$A$11,0)),"③ 통장·카드에 없는 결제수단입니다",IF($D429="","계정과목을 고르십시오",IF($E429="※없는 과목","④ 설정에 없는 과목입니다",IF(AND($E429="수입",$J429&gt;0),"수입 과목인데 지출에 적혔습니다",IF(AND(LEFT($E429,2)&lt;&gt;"수입",$E429&lt;&gt;"대체",$I429&gt;0),"지출 과목인데 수입에 적혔습니다",IF($K429="","증빙을 고르십시오",IF(AND($C429="바우처통장",$J429&gt;0,IFERROR(INDEX('통합 ④ 설정'!$E$6:$E$40,MATCH($D429,'통합 ④ 설정'!$B$6:$B$40,0)),"")&lt;&gt;"○"),"바우처통장 지출 — 목적 확인",IF($H429="","적요를 적으십시오",""))))))))))))</f>
        <v/>
      </c>
      <c r="M429" s="39"/>
      <c r="O429" s="11" t="str">
        <f aca="false">IF($B429="","",YEAR($B429)*100+MONTH($B429))</f>
        <v/>
      </c>
      <c r="P429" s="11" t="str">
        <f aca="false">IF($B429="","",IF($E429="대체",0,1))</f>
        <v/>
      </c>
    </row>
    <row r="430" customFormat="false" ht="15" hidden="false" customHeight="false" outlineLevel="0" collapsed="false">
      <c r="A430" s="36" t="str">
        <f aca="false">IF($B430="","",COUNT($B$15:$B430))</f>
        <v/>
      </c>
      <c r="B430" s="37"/>
      <c r="C430" s="38"/>
      <c r="D430" s="39"/>
      <c r="E430" s="36" t="str">
        <f aca="false">IF($D430="","",IFERROR(INDEX('통합 ④ 설정'!$A$6:$A$40,MATCH($D430,'통합 ④ 설정'!$B$6:$B$40,0)),"※없는 과목"))</f>
        <v/>
      </c>
      <c r="F430" s="36" t="str">
        <f aca="false">IF($D430="","",IFERROR(INDEX('통합 ④ 설정'!$C$6:$C$40,MATCH($D430,'통합 ④ 설정'!$B$6:$B$40,0)),""))</f>
        <v/>
      </c>
      <c r="G430" s="39"/>
      <c r="H430" s="39"/>
      <c r="I430" s="40"/>
      <c r="J430" s="41"/>
      <c r="K430" s="38"/>
      <c r="L430" s="42" t="str">
        <f aca="false">IF($B430="","",IF(AND(N($I430)=0,N($J430)=0),"금액이 없습니다",IF(AND($I430&gt;0,$J430&gt;0),"수입·지출 둘 다 적혔습니다",IF($C430="","결제수단을 고르십시오",IF(ISNA(MATCH($C430,'통합 ③ 통장·카드'!$A$5:$A$11,0)),"③ 통장·카드에 없는 결제수단입니다",IF($D430="","계정과목을 고르십시오",IF($E430="※없는 과목","④ 설정에 없는 과목입니다",IF(AND($E430="수입",$J430&gt;0),"수입 과목인데 지출에 적혔습니다",IF(AND(LEFT($E430,2)&lt;&gt;"수입",$E430&lt;&gt;"대체",$I430&gt;0),"지출 과목인데 수입에 적혔습니다",IF($K430="","증빙을 고르십시오",IF(AND($C430="바우처통장",$J430&gt;0,IFERROR(INDEX('통합 ④ 설정'!$E$6:$E$40,MATCH($D430,'통합 ④ 설정'!$B$6:$B$40,0)),"")&lt;&gt;"○"),"바우처통장 지출 — 목적 확인",IF($H430="","적요를 적으십시오",""))))))))))))</f>
        <v/>
      </c>
      <c r="M430" s="39"/>
      <c r="O430" s="11" t="str">
        <f aca="false">IF($B430="","",YEAR($B430)*100+MONTH($B430))</f>
        <v/>
      </c>
      <c r="P430" s="11" t="str">
        <f aca="false">IF($B430="","",IF($E430="대체",0,1))</f>
        <v/>
      </c>
    </row>
    <row r="431" customFormat="false" ht="15" hidden="false" customHeight="false" outlineLevel="0" collapsed="false">
      <c r="A431" s="36" t="str">
        <f aca="false">IF($B431="","",COUNT($B$15:$B431))</f>
        <v/>
      </c>
      <c r="B431" s="37"/>
      <c r="C431" s="38"/>
      <c r="D431" s="39"/>
      <c r="E431" s="36" t="str">
        <f aca="false">IF($D431="","",IFERROR(INDEX('통합 ④ 설정'!$A$6:$A$40,MATCH($D431,'통합 ④ 설정'!$B$6:$B$40,0)),"※없는 과목"))</f>
        <v/>
      </c>
      <c r="F431" s="36" t="str">
        <f aca="false">IF($D431="","",IFERROR(INDEX('통합 ④ 설정'!$C$6:$C$40,MATCH($D431,'통합 ④ 설정'!$B$6:$B$40,0)),""))</f>
        <v/>
      </c>
      <c r="G431" s="39"/>
      <c r="H431" s="39"/>
      <c r="I431" s="40"/>
      <c r="J431" s="41"/>
      <c r="K431" s="38"/>
      <c r="L431" s="42" t="str">
        <f aca="false">IF($B431="","",IF(AND(N($I431)=0,N($J431)=0),"금액이 없습니다",IF(AND($I431&gt;0,$J431&gt;0),"수입·지출 둘 다 적혔습니다",IF($C431="","결제수단을 고르십시오",IF(ISNA(MATCH($C431,'통합 ③ 통장·카드'!$A$5:$A$11,0)),"③ 통장·카드에 없는 결제수단입니다",IF($D431="","계정과목을 고르십시오",IF($E431="※없는 과목","④ 설정에 없는 과목입니다",IF(AND($E431="수입",$J431&gt;0),"수입 과목인데 지출에 적혔습니다",IF(AND(LEFT($E431,2)&lt;&gt;"수입",$E431&lt;&gt;"대체",$I431&gt;0),"지출 과목인데 수입에 적혔습니다",IF($K431="","증빙을 고르십시오",IF(AND($C431="바우처통장",$J431&gt;0,IFERROR(INDEX('통합 ④ 설정'!$E$6:$E$40,MATCH($D431,'통합 ④ 설정'!$B$6:$B$40,0)),"")&lt;&gt;"○"),"바우처통장 지출 — 목적 확인",IF($H431="","적요를 적으십시오",""))))))))))))</f>
        <v/>
      </c>
      <c r="M431" s="39"/>
      <c r="O431" s="11" t="str">
        <f aca="false">IF($B431="","",YEAR($B431)*100+MONTH($B431))</f>
        <v/>
      </c>
      <c r="P431" s="11" t="str">
        <f aca="false">IF($B431="","",IF($E431="대체",0,1))</f>
        <v/>
      </c>
    </row>
    <row r="432" customFormat="false" ht="15" hidden="false" customHeight="false" outlineLevel="0" collapsed="false">
      <c r="A432" s="36" t="str">
        <f aca="false">IF($B432="","",COUNT($B$15:$B432))</f>
        <v/>
      </c>
      <c r="B432" s="37"/>
      <c r="C432" s="38"/>
      <c r="D432" s="39"/>
      <c r="E432" s="36" t="str">
        <f aca="false">IF($D432="","",IFERROR(INDEX('통합 ④ 설정'!$A$6:$A$40,MATCH($D432,'통합 ④ 설정'!$B$6:$B$40,0)),"※없는 과목"))</f>
        <v/>
      </c>
      <c r="F432" s="36" t="str">
        <f aca="false">IF($D432="","",IFERROR(INDEX('통합 ④ 설정'!$C$6:$C$40,MATCH($D432,'통합 ④ 설정'!$B$6:$B$40,0)),""))</f>
        <v/>
      </c>
      <c r="G432" s="39"/>
      <c r="H432" s="39"/>
      <c r="I432" s="40"/>
      <c r="J432" s="41"/>
      <c r="K432" s="38"/>
      <c r="L432" s="42" t="str">
        <f aca="false">IF($B432="","",IF(AND(N($I432)=0,N($J432)=0),"금액이 없습니다",IF(AND($I432&gt;0,$J432&gt;0),"수입·지출 둘 다 적혔습니다",IF($C432="","결제수단을 고르십시오",IF(ISNA(MATCH($C432,'통합 ③ 통장·카드'!$A$5:$A$11,0)),"③ 통장·카드에 없는 결제수단입니다",IF($D432="","계정과목을 고르십시오",IF($E432="※없는 과목","④ 설정에 없는 과목입니다",IF(AND($E432="수입",$J432&gt;0),"수입 과목인데 지출에 적혔습니다",IF(AND(LEFT($E432,2)&lt;&gt;"수입",$E432&lt;&gt;"대체",$I432&gt;0),"지출 과목인데 수입에 적혔습니다",IF($K432="","증빙을 고르십시오",IF(AND($C432="바우처통장",$J432&gt;0,IFERROR(INDEX('통합 ④ 설정'!$E$6:$E$40,MATCH($D432,'통합 ④ 설정'!$B$6:$B$40,0)),"")&lt;&gt;"○"),"바우처통장 지출 — 목적 확인",IF($H432="","적요를 적으십시오",""))))))))))))</f>
        <v/>
      </c>
      <c r="M432" s="39"/>
      <c r="O432" s="11" t="str">
        <f aca="false">IF($B432="","",YEAR($B432)*100+MONTH($B432))</f>
        <v/>
      </c>
      <c r="P432" s="11" t="str">
        <f aca="false">IF($B432="","",IF($E432="대체",0,1))</f>
        <v/>
      </c>
    </row>
    <row r="433" customFormat="false" ht="15" hidden="false" customHeight="false" outlineLevel="0" collapsed="false">
      <c r="A433" s="36" t="str">
        <f aca="false">IF($B433="","",COUNT($B$15:$B433))</f>
        <v/>
      </c>
      <c r="B433" s="37"/>
      <c r="C433" s="38"/>
      <c r="D433" s="39"/>
      <c r="E433" s="36" t="str">
        <f aca="false">IF($D433="","",IFERROR(INDEX('통합 ④ 설정'!$A$6:$A$40,MATCH($D433,'통합 ④ 설정'!$B$6:$B$40,0)),"※없는 과목"))</f>
        <v/>
      </c>
      <c r="F433" s="36" t="str">
        <f aca="false">IF($D433="","",IFERROR(INDEX('통합 ④ 설정'!$C$6:$C$40,MATCH($D433,'통합 ④ 설정'!$B$6:$B$40,0)),""))</f>
        <v/>
      </c>
      <c r="G433" s="39"/>
      <c r="H433" s="39"/>
      <c r="I433" s="40"/>
      <c r="J433" s="41"/>
      <c r="K433" s="38"/>
      <c r="L433" s="42" t="str">
        <f aca="false">IF($B433="","",IF(AND(N($I433)=0,N($J433)=0),"금액이 없습니다",IF(AND($I433&gt;0,$J433&gt;0),"수입·지출 둘 다 적혔습니다",IF($C433="","결제수단을 고르십시오",IF(ISNA(MATCH($C433,'통합 ③ 통장·카드'!$A$5:$A$11,0)),"③ 통장·카드에 없는 결제수단입니다",IF($D433="","계정과목을 고르십시오",IF($E433="※없는 과목","④ 설정에 없는 과목입니다",IF(AND($E433="수입",$J433&gt;0),"수입 과목인데 지출에 적혔습니다",IF(AND(LEFT($E433,2)&lt;&gt;"수입",$E433&lt;&gt;"대체",$I433&gt;0),"지출 과목인데 수입에 적혔습니다",IF($K433="","증빙을 고르십시오",IF(AND($C433="바우처통장",$J433&gt;0,IFERROR(INDEX('통합 ④ 설정'!$E$6:$E$40,MATCH($D433,'통합 ④ 설정'!$B$6:$B$40,0)),"")&lt;&gt;"○"),"바우처통장 지출 — 목적 확인",IF($H433="","적요를 적으십시오",""))))))))))))</f>
        <v/>
      </c>
      <c r="M433" s="39"/>
      <c r="O433" s="11" t="str">
        <f aca="false">IF($B433="","",YEAR($B433)*100+MONTH($B433))</f>
        <v/>
      </c>
      <c r="P433" s="11" t="str">
        <f aca="false">IF($B433="","",IF($E433="대체",0,1))</f>
        <v/>
      </c>
    </row>
    <row r="434" customFormat="false" ht="15" hidden="false" customHeight="false" outlineLevel="0" collapsed="false">
      <c r="A434" s="36" t="str">
        <f aca="false">IF($B434="","",COUNT($B$15:$B434))</f>
        <v/>
      </c>
      <c r="B434" s="37"/>
      <c r="C434" s="38"/>
      <c r="D434" s="39"/>
      <c r="E434" s="36" t="str">
        <f aca="false">IF($D434="","",IFERROR(INDEX('통합 ④ 설정'!$A$6:$A$40,MATCH($D434,'통합 ④ 설정'!$B$6:$B$40,0)),"※없는 과목"))</f>
        <v/>
      </c>
      <c r="F434" s="36" t="str">
        <f aca="false">IF($D434="","",IFERROR(INDEX('통합 ④ 설정'!$C$6:$C$40,MATCH($D434,'통합 ④ 설정'!$B$6:$B$40,0)),""))</f>
        <v/>
      </c>
      <c r="G434" s="39"/>
      <c r="H434" s="39"/>
      <c r="I434" s="40"/>
      <c r="J434" s="41"/>
      <c r="K434" s="38"/>
      <c r="L434" s="42" t="str">
        <f aca="false">IF($B434="","",IF(AND(N($I434)=0,N($J434)=0),"금액이 없습니다",IF(AND($I434&gt;0,$J434&gt;0),"수입·지출 둘 다 적혔습니다",IF($C434="","결제수단을 고르십시오",IF(ISNA(MATCH($C434,'통합 ③ 통장·카드'!$A$5:$A$11,0)),"③ 통장·카드에 없는 결제수단입니다",IF($D434="","계정과목을 고르십시오",IF($E434="※없는 과목","④ 설정에 없는 과목입니다",IF(AND($E434="수입",$J434&gt;0),"수입 과목인데 지출에 적혔습니다",IF(AND(LEFT($E434,2)&lt;&gt;"수입",$E434&lt;&gt;"대체",$I434&gt;0),"지출 과목인데 수입에 적혔습니다",IF($K434="","증빙을 고르십시오",IF(AND($C434="바우처통장",$J434&gt;0,IFERROR(INDEX('통합 ④ 설정'!$E$6:$E$40,MATCH($D434,'통합 ④ 설정'!$B$6:$B$40,0)),"")&lt;&gt;"○"),"바우처통장 지출 — 목적 확인",IF($H434="","적요를 적으십시오",""))))))))))))</f>
        <v/>
      </c>
      <c r="M434" s="39"/>
      <c r="O434" s="11" t="str">
        <f aca="false">IF($B434="","",YEAR($B434)*100+MONTH($B434))</f>
        <v/>
      </c>
      <c r="P434" s="11" t="str">
        <f aca="false">IF($B434="","",IF($E434="대체",0,1))</f>
        <v/>
      </c>
    </row>
    <row r="435" customFormat="false" ht="15" hidden="false" customHeight="false" outlineLevel="0" collapsed="false">
      <c r="A435" s="36" t="str">
        <f aca="false">IF($B435="","",COUNT($B$15:$B435))</f>
        <v/>
      </c>
      <c r="B435" s="37"/>
      <c r="C435" s="38"/>
      <c r="D435" s="39"/>
      <c r="E435" s="36" t="str">
        <f aca="false">IF($D435="","",IFERROR(INDEX('통합 ④ 설정'!$A$6:$A$40,MATCH($D435,'통합 ④ 설정'!$B$6:$B$40,0)),"※없는 과목"))</f>
        <v/>
      </c>
      <c r="F435" s="36" t="str">
        <f aca="false">IF($D435="","",IFERROR(INDEX('통합 ④ 설정'!$C$6:$C$40,MATCH($D435,'통합 ④ 설정'!$B$6:$B$40,0)),""))</f>
        <v/>
      </c>
      <c r="G435" s="39"/>
      <c r="H435" s="39"/>
      <c r="I435" s="40"/>
      <c r="J435" s="41"/>
      <c r="K435" s="38"/>
      <c r="L435" s="42" t="str">
        <f aca="false">IF($B435="","",IF(AND(N($I435)=0,N($J435)=0),"금액이 없습니다",IF(AND($I435&gt;0,$J435&gt;0),"수입·지출 둘 다 적혔습니다",IF($C435="","결제수단을 고르십시오",IF(ISNA(MATCH($C435,'통합 ③ 통장·카드'!$A$5:$A$11,0)),"③ 통장·카드에 없는 결제수단입니다",IF($D435="","계정과목을 고르십시오",IF($E435="※없는 과목","④ 설정에 없는 과목입니다",IF(AND($E435="수입",$J435&gt;0),"수입 과목인데 지출에 적혔습니다",IF(AND(LEFT($E435,2)&lt;&gt;"수입",$E435&lt;&gt;"대체",$I435&gt;0),"지출 과목인데 수입에 적혔습니다",IF($K435="","증빙을 고르십시오",IF(AND($C435="바우처통장",$J435&gt;0,IFERROR(INDEX('통합 ④ 설정'!$E$6:$E$40,MATCH($D435,'통합 ④ 설정'!$B$6:$B$40,0)),"")&lt;&gt;"○"),"바우처통장 지출 — 목적 확인",IF($H435="","적요를 적으십시오",""))))))))))))</f>
        <v/>
      </c>
      <c r="M435" s="39"/>
      <c r="O435" s="11" t="str">
        <f aca="false">IF($B435="","",YEAR($B435)*100+MONTH($B435))</f>
        <v/>
      </c>
      <c r="P435" s="11" t="str">
        <f aca="false">IF($B435="","",IF($E435="대체",0,1))</f>
        <v/>
      </c>
    </row>
    <row r="436" customFormat="false" ht="15" hidden="false" customHeight="false" outlineLevel="0" collapsed="false">
      <c r="A436" s="36" t="str">
        <f aca="false">IF($B436="","",COUNT($B$15:$B436))</f>
        <v/>
      </c>
      <c r="B436" s="37"/>
      <c r="C436" s="38"/>
      <c r="D436" s="39"/>
      <c r="E436" s="36" t="str">
        <f aca="false">IF($D436="","",IFERROR(INDEX('통합 ④ 설정'!$A$6:$A$40,MATCH($D436,'통합 ④ 설정'!$B$6:$B$40,0)),"※없는 과목"))</f>
        <v/>
      </c>
      <c r="F436" s="36" t="str">
        <f aca="false">IF($D436="","",IFERROR(INDEX('통합 ④ 설정'!$C$6:$C$40,MATCH($D436,'통합 ④ 설정'!$B$6:$B$40,0)),""))</f>
        <v/>
      </c>
      <c r="G436" s="39"/>
      <c r="H436" s="39"/>
      <c r="I436" s="40"/>
      <c r="J436" s="41"/>
      <c r="K436" s="38"/>
      <c r="L436" s="42" t="str">
        <f aca="false">IF($B436="","",IF(AND(N($I436)=0,N($J436)=0),"금액이 없습니다",IF(AND($I436&gt;0,$J436&gt;0),"수입·지출 둘 다 적혔습니다",IF($C436="","결제수단을 고르십시오",IF(ISNA(MATCH($C436,'통합 ③ 통장·카드'!$A$5:$A$11,0)),"③ 통장·카드에 없는 결제수단입니다",IF($D436="","계정과목을 고르십시오",IF($E436="※없는 과목","④ 설정에 없는 과목입니다",IF(AND($E436="수입",$J436&gt;0),"수입 과목인데 지출에 적혔습니다",IF(AND(LEFT($E436,2)&lt;&gt;"수입",$E436&lt;&gt;"대체",$I436&gt;0),"지출 과목인데 수입에 적혔습니다",IF($K436="","증빙을 고르십시오",IF(AND($C436="바우처통장",$J436&gt;0,IFERROR(INDEX('통합 ④ 설정'!$E$6:$E$40,MATCH($D436,'통합 ④ 설정'!$B$6:$B$40,0)),"")&lt;&gt;"○"),"바우처통장 지출 — 목적 확인",IF($H436="","적요를 적으십시오",""))))))))))))</f>
        <v/>
      </c>
      <c r="M436" s="39"/>
      <c r="O436" s="11" t="str">
        <f aca="false">IF($B436="","",YEAR($B436)*100+MONTH($B436))</f>
        <v/>
      </c>
      <c r="P436" s="11" t="str">
        <f aca="false">IF($B436="","",IF($E436="대체",0,1))</f>
        <v/>
      </c>
    </row>
    <row r="437" customFormat="false" ht="15" hidden="false" customHeight="false" outlineLevel="0" collapsed="false">
      <c r="A437" s="36" t="str">
        <f aca="false">IF($B437="","",COUNT($B$15:$B437))</f>
        <v/>
      </c>
      <c r="B437" s="37"/>
      <c r="C437" s="38"/>
      <c r="D437" s="39"/>
      <c r="E437" s="36" t="str">
        <f aca="false">IF($D437="","",IFERROR(INDEX('통합 ④ 설정'!$A$6:$A$40,MATCH($D437,'통합 ④ 설정'!$B$6:$B$40,0)),"※없는 과목"))</f>
        <v/>
      </c>
      <c r="F437" s="36" t="str">
        <f aca="false">IF($D437="","",IFERROR(INDEX('통합 ④ 설정'!$C$6:$C$40,MATCH($D437,'통합 ④ 설정'!$B$6:$B$40,0)),""))</f>
        <v/>
      </c>
      <c r="G437" s="39"/>
      <c r="H437" s="39"/>
      <c r="I437" s="40"/>
      <c r="J437" s="41"/>
      <c r="K437" s="38"/>
      <c r="L437" s="42" t="str">
        <f aca="false">IF($B437="","",IF(AND(N($I437)=0,N($J437)=0),"금액이 없습니다",IF(AND($I437&gt;0,$J437&gt;0),"수입·지출 둘 다 적혔습니다",IF($C437="","결제수단을 고르십시오",IF(ISNA(MATCH($C437,'통합 ③ 통장·카드'!$A$5:$A$11,0)),"③ 통장·카드에 없는 결제수단입니다",IF($D437="","계정과목을 고르십시오",IF($E437="※없는 과목","④ 설정에 없는 과목입니다",IF(AND($E437="수입",$J437&gt;0),"수입 과목인데 지출에 적혔습니다",IF(AND(LEFT($E437,2)&lt;&gt;"수입",$E437&lt;&gt;"대체",$I437&gt;0),"지출 과목인데 수입에 적혔습니다",IF($K437="","증빙을 고르십시오",IF(AND($C437="바우처통장",$J437&gt;0,IFERROR(INDEX('통합 ④ 설정'!$E$6:$E$40,MATCH($D437,'통합 ④ 설정'!$B$6:$B$40,0)),"")&lt;&gt;"○"),"바우처통장 지출 — 목적 확인",IF($H437="","적요를 적으십시오",""))))))))))))</f>
        <v/>
      </c>
      <c r="M437" s="39"/>
      <c r="O437" s="11" t="str">
        <f aca="false">IF($B437="","",YEAR($B437)*100+MONTH($B437))</f>
        <v/>
      </c>
      <c r="P437" s="11" t="str">
        <f aca="false">IF($B437="","",IF($E437="대체",0,1))</f>
        <v/>
      </c>
    </row>
    <row r="438" customFormat="false" ht="15" hidden="false" customHeight="false" outlineLevel="0" collapsed="false">
      <c r="A438" s="36" t="str">
        <f aca="false">IF($B438="","",COUNT($B$15:$B438))</f>
        <v/>
      </c>
      <c r="B438" s="37"/>
      <c r="C438" s="38"/>
      <c r="D438" s="39"/>
      <c r="E438" s="36" t="str">
        <f aca="false">IF($D438="","",IFERROR(INDEX('통합 ④ 설정'!$A$6:$A$40,MATCH($D438,'통합 ④ 설정'!$B$6:$B$40,0)),"※없는 과목"))</f>
        <v/>
      </c>
      <c r="F438" s="36" t="str">
        <f aca="false">IF($D438="","",IFERROR(INDEX('통합 ④ 설정'!$C$6:$C$40,MATCH($D438,'통합 ④ 설정'!$B$6:$B$40,0)),""))</f>
        <v/>
      </c>
      <c r="G438" s="39"/>
      <c r="H438" s="39"/>
      <c r="I438" s="40"/>
      <c r="J438" s="41"/>
      <c r="K438" s="38"/>
      <c r="L438" s="42" t="str">
        <f aca="false">IF($B438="","",IF(AND(N($I438)=0,N($J438)=0),"금액이 없습니다",IF(AND($I438&gt;0,$J438&gt;0),"수입·지출 둘 다 적혔습니다",IF($C438="","결제수단을 고르십시오",IF(ISNA(MATCH($C438,'통합 ③ 통장·카드'!$A$5:$A$11,0)),"③ 통장·카드에 없는 결제수단입니다",IF($D438="","계정과목을 고르십시오",IF($E438="※없는 과목","④ 설정에 없는 과목입니다",IF(AND($E438="수입",$J438&gt;0),"수입 과목인데 지출에 적혔습니다",IF(AND(LEFT($E438,2)&lt;&gt;"수입",$E438&lt;&gt;"대체",$I438&gt;0),"지출 과목인데 수입에 적혔습니다",IF($K438="","증빙을 고르십시오",IF(AND($C438="바우처통장",$J438&gt;0,IFERROR(INDEX('통합 ④ 설정'!$E$6:$E$40,MATCH($D438,'통합 ④ 설정'!$B$6:$B$40,0)),"")&lt;&gt;"○"),"바우처통장 지출 — 목적 확인",IF($H438="","적요를 적으십시오",""))))))))))))</f>
        <v/>
      </c>
      <c r="M438" s="39"/>
      <c r="O438" s="11" t="str">
        <f aca="false">IF($B438="","",YEAR($B438)*100+MONTH($B438))</f>
        <v/>
      </c>
      <c r="P438" s="11" t="str">
        <f aca="false">IF($B438="","",IF($E438="대체",0,1))</f>
        <v/>
      </c>
    </row>
    <row r="439" customFormat="false" ht="15" hidden="false" customHeight="false" outlineLevel="0" collapsed="false">
      <c r="A439" s="36" t="str">
        <f aca="false">IF($B439="","",COUNT($B$15:$B439))</f>
        <v/>
      </c>
      <c r="B439" s="37"/>
      <c r="C439" s="38"/>
      <c r="D439" s="39"/>
      <c r="E439" s="36" t="str">
        <f aca="false">IF($D439="","",IFERROR(INDEX('통합 ④ 설정'!$A$6:$A$40,MATCH($D439,'통합 ④ 설정'!$B$6:$B$40,0)),"※없는 과목"))</f>
        <v/>
      </c>
      <c r="F439" s="36" t="str">
        <f aca="false">IF($D439="","",IFERROR(INDEX('통합 ④ 설정'!$C$6:$C$40,MATCH($D439,'통합 ④ 설정'!$B$6:$B$40,0)),""))</f>
        <v/>
      </c>
      <c r="G439" s="39"/>
      <c r="H439" s="39"/>
      <c r="I439" s="40"/>
      <c r="J439" s="41"/>
      <c r="K439" s="38"/>
      <c r="L439" s="42" t="str">
        <f aca="false">IF($B439="","",IF(AND(N($I439)=0,N($J439)=0),"금액이 없습니다",IF(AND($I439&gt;0,$J439&gt;0),"수입·지출 둘 다 적혔습니다",IF($C439="","결제수단을 고르십시오",IF(ISNA(MATCH($C439,'통합 ③ 통장·카드'!$A$5:$A$11,0)),"③ 통장·카드에 없는 결제수단입니다",IF($D439="","계정과목을 고르십시오",IF($E439="※없는 과목","④ 설정에 없는 과목입니다",IF(AND($E439="수입",$J439&gt;0),"수입 과목인데 지출에 적혔습니다",IF(AND(LEFT($E439,2)&lt;&gt;"수입",$E439&lt;&gt;"대체",$I439&gt;0),"지출 과목인데 수입에 적혔습니다",IF($K439="","증빙을 고르십시오",IF(AND($C439="바우처통장",$J439&gt;0,IFERROR(INDEX('통합 ④ 설정'!$E$6:$E$40,MATCH($D439,'통합 ④ 설정'!$B$6:$B$40,0)),"")&lt;&gt;"○"),"바우처통장 지출 — 목적 확인",IF($H439="","적요를 적으십시오",""))))))))))))</f>
        <v/>
      </c>
      <c r="M439" s="39"/>
      <c r="O439" s="11" t="str">
        <f aca="false">IF($B439="","",YEAR($B439)*100+MONTH($B439))</f>
        <v/>
      </c>
      <c r="P439" s="11" t="str">
        <f aca="false">IF($B439="","",IF($E439="대체",0,1))</f>
        <v/>
      </c>
    </row>
    <row r="440" customFormat="false" ht="15" hidden="false" customHeight="false" outlineLevel="0" collapsed="false">
      <c r="A440" s="36" t="str">
        <f aca="false">IF($B440="","",COUNT($B$15:$B440))</f>
        <v/>
      </c>
      <c r="B440" s="37"/>
      <c r="C440" s="38"/>
      <c r="D440" s="39"/>
      <c r="E440" s="36" t="str">
        <f aca="false">IF($D440="","",IFERROR(INDEX('통합 ④ 설정'!$A$6:$A$40,MATCH($D440,'통합 ④ 설정'!$B$6:$B$40,0)),"※없는 과목"))</f>
        <v/>
      </c>
      <c r="F440" s="36" t="str">
        <f aca="false">IF($D440="","",IFERROR(INDEX('통합 ④ 설정'!$C$6:$C$40,MATCH($D440,'통합 ④ 설정'!$B$6:$B$40,0)),""))</f>
        <v/>
      </c>
      <c r="G440" s="39"/>
      <c r="H440" s="39"/>
      <c r="I440" s="40"/>
      <c r="J440" s="41"/>
      <c r="K440" s="38"/>
      <c r="L440" s="42" t="str">
        <f aca="false">IF($B440="","",IF(AND(N($I440)=0,N($J440)=0),"금액이 없습니다",IF(AND($I440&gt;0,$J440&gt;0),"수입·지출 둘 다 적혔습니다",IF($C440="","결제수단을 고르십시오",IF(ISNA(MATCH($C440,'통합 ③ 통장·카드'!$A$5:$A$11,0)),"③ 통장·카드에 없는 결제수단입니다",IF($D440="","계정과목을 고르십시오",IF($E440="※없는 과목","④ 설정에 없는 과목입니다",IF(AND($E440="수입",$J440&gt;0),"수입 과목인데 지출에 적혔습니다",IF(AND(LEFT($E440,2)&lt;&gt;"수입",$E440&lt;&gt;"대체",$I440&gt;0),"지출 과목인데 수입에 적혔습니다",IF($K440="","증빙을 고르십시오",IF(AND($C440="바우처통장",$J440&gt;0,IFERROR(INDEX('통합 ④ 설정'!$E$6:$E$40,MATCH($D440,'통합 ④ 설정'!$B$6:$B$40,0)),"")&lt;&gt;"○"),"바우처통장 지출 — 목적 확인",IF($H440="","적요를 적으십시오",""))))))))))))</f>
        <v/>
      </c>
      <c r="M440" s="39"/>
      <c r="O440" s="11" t="str">
        <f aca="false">IF($B440="","",YEAR($B440)*100+MONTH($B440))</f>
        <v/>
      </c>
      <c r="P440" s="11" t="str">
        <f aca="false">IF($B440="","",IF($E440="대체",0,1))</f>
        <v/>
      </c>
    </row>
    <row r="441" customFormat="false" ht="15" hidden="false" customHeight="false" outlineLevel="0" collapsed="false">
      <c r="A441" s="36" t="str">
        <f aca="false">IF($B441="","",COUNT($B$15:$B441))</f>
        <v/>
      </c>
      <c r="B441" s="37"/>
      <c r="C441" s="38"/>
      <c r="D441" s="39"/>
      <c r="E441" s="36" t="str">
        <f aca="false">IF($D441="","",IFERROR(INDEX('통합 ④ 설정'!$A$6:$A$40,MATCH($D441,'통합 ④ 설정'!$B$6:$B$40,0)),"※없는 과목"))</f>
        <v/>
      </c>
      <c r="F441" s="36" t="str">
        <f aca="false">IF($D441="","",IFERROR(INDEX('통합 ④ 설정'!$C$6:$C$40,MATCH($D441,'통합 ④ 설정'!$B$6:$B$40,0)),""))</f>
        <v/>
      </c>
      <c r="G441" s="39"/>
      <c r="H441" s="39"/>
      <c r="I441" s="40"/>
      <c r="J441" s="41"/>
      <c r="K441" s="38"/>
      <c r="L441" s="42" t="str">
        <f aca="false">IF($B441="","",IF(AND(N($I441)=0,N($J441)=0),"금액이 없습니다",IF(AND($I441&gt;0,$J441&gt;0),"수입·지출 둘 다 적혔습니다",IF($C441="","결제수단을 고르십시오",IF(ISNA(MATCH($C441,'통합 ③ 통장·카드'!$A$5:$A$11,0)),"③ 통장·카드에 없는 결제수단입니다",IF($D441="","계정과목을 고르십시오",IF($E441="※없는 과목","④ 설정에 없는 과목입니다",IF(AND($E441="수입",$J441&gt;0),"수입 과목인데 지출에 적혔습니다",IF(AND(LEFT($E441,2)&lt;&gt;"수입",$E441&lt;&gt;"대체",$I441&gt;0),"지출 과목인데 수입에 적혔습니다",IF($K441="","증빙을 고르십시오",IF(AND($C441="바우처통장",$J441&gt;0,IFERROR(INDEX('통합 ④ 설정'!$E$6:$E$40,MATCH($D441,'통합 ④ 설정'!$B$6:$B$40,0)),"")&lt;&gt;"○"),"바우처통장 지출 — 목적 확인",IF($H441="","적요를 적으십시오",""))))))))))))</f>
        <v/>
      </c>
      <c r="M441" s="39"/>
      <c r="O441" s="11" t="str">
        <f aca="false">IF($B441="","",YEAR($B441)*100+MONTH($B441))</f>
        <v/>
      </c>
      <c r="P441" s="11" t="str">
        <f aca="false">IF($B441="","",IF($E441="대체",0,1))</f>
        <v/>
      </c>
    </row>
    <row r="442" customFormat="false" ht="15" hidden="false" customHeight="false" outlineLevel="0" collapsed="false">
      <c r="A442" s="36" t="str">
        <f aca="false">IF($B442="","",COUNT($B$15:$B442))</f>
        <v/>
      </c>
      <c r="B442" s="37"/>
      <c r="C442" s="38"/>
      <c r="D442" s="39"/>
      <c r="E442" s="36" t="str">
        <f aca="false">IF($D442="","",IFERROR(INDEX('통합 ④ 설정'!$A$6:$A$40,MATCH($D442,'통합 ④ 설정'!$B$6:$B$40,0)),"※없는 과목"))</f>
        <v/>
      </c>
      <c r="F442" s="36" t="str">
        <f aca="false">IF($D442="","",IFERROR(INDEX('통합 ④ 설정'!$C$6:$C$40,MATCH($D442,'통합 ④ 설정'!$B$6:$B$40,0)),""))</f>
        <v/>
      </c>
      <c r="G442" s="39"/>
      <c r="H442" s="39"/>
      <c r="I442" s="40"/>
      <c r="J442" s="41"/>
      <c r="K442" s="38"/>
      <c r="L442" s="42" t="str">
        <f aca="false">IF($B442="","",IF(AND(N($I442)=0,N($J442)=0),"금액이 없습니다",IF(AND($I442&gt;0,$J442&gt;0),"수입·지출 둘 다 적혔습니다",IF($C442="","결제수단을 고르십시오",IF(ISNA(MATCH($C442,'통합 ③ 통장·카드'!$A$5:$A$11,0)),"③ 통장·카드에 없는 결제수단입니다",IF($D442="","계정과목을 고르십시오",IF($E442="※없는 과목","④ 설정에 없는 과목입니다",IF(AND($E442="수입",$J442&gt;0),"수입 과목인데 지출에 적혔습니다",IF(AND(LEFT($E442,2)&lt;&gt;"수입",$E442&lt;&gt;"대체",$I442&gt;0),"지출 과목인데 수입에 적혔습니다",IF($K442="","증빙을 고르십시오",IF(AND($C442="바우처통장",$J442&gt;0,IFERROR(INDEX('통합 ④ 설정'!$E$6:$E$40,MATCH($D442,'통합 ④ 설정'!$B$6:$B$40,0)),"")&lt;&gt;"○"),"바우처통장 지출 — 목적 확인",IF($H442="","적요를 적으십시오",""))))))))))))</f>
        <v/>
      </c>
      <c r="M442" s="39"/>
      <c r="O442" s="11" t="str">
        <f aca="false">IF($B442="","",YEAR($B442)*100+MONTH($B442))</f>
        <v/>
      </c>
      <c r="P442" s="11" t="str">
        <f aca="false">IF($B442="","",IF($E442="대체",0,1))</f>
        <v/>
      </c>
    </row>
    <row r="443" customFormat="false" ht="15" hidden="false" customHeight="false" outlineLevel="0" collapsed="false">
      <c r="A443" s="36" t="str">
        <f aca="false">IF($B443="","",COUNT($B$15:$B443))</f>
        <v/>
      </c>
      <c r="B443" s="37"/>
      <c r="C443" s="38"/>
      <c r="D443" s="39"/>
      <c r="E443" s="36" t="str">
        <f aca="false">IF($D443="","",IFERROR(INDEX('통합 ④ 설정'!$A$6:$A$40,MATCH($D443,'통합 ④ 설정'!$B$6:$B$40,0)),"※없는 과목"))</f>
        <v/>
      </c>
      <c r="F443" s="36" t="str">
        <f aca="false">IF($D443="","",IFERROR(INDEX('통합 ④ 설정'!$C$6:$C$40,MATCH($D443,'통합 ④ 설정'!$B$6:$B$40,0)),""))</f>
        <v/>
      </c>
      <c r="G443" s="39"/>
      <c r="H443" s="39"/>
      <c r="I443" s="40"/>
      <c r="J443" s="41"/>
      <c r="K443" s="38"/>
      <c r="L443" s="42" t="str">
        <f aca="false">IF($B443="","",IF(AND(N($I443)=0,N($J443)=0),"금액이 없습니다",IF(AND($I443&gt;0,$J443&gt;0),"수입·지출 둘 다 적혔습니다",IF($C443="","결제수단을 고르십시오",IF(ISNA(MATCH($C443,'통합 ③ 통장·카드'!$A$5:$A$11,0)),"③ 통장·카드에 없는 결제수단입니다",IF($D443="","계정과목을 고르십시오",IF($E443="※없는 과목","④ 설정에 없는 과목입니다",IF(AND($E443="수입",$J443&gt;0),"수입 과목인데 지출에 적혔습니다",IF(AND(LEFT($E443,2)&lt;&gt;"수입",$E443&lt;&gt;"대체",$I443&gt;0),"지출 과목인데 수입에 적혔습니다",IF($K443="","증빙을 고르십시오",IF(AND($C443="바우처통장",$J443&gt;0,IFERROR(INDEX('통합 ④ 설정'!$E$6:$E$40,MATCH($D443,'통합 ④ 설정'!$B$6:$B$40,0)),"")&lt;&gt;"○"),"바우처통장 지출 — 목적 확인",IF($H443="","적요를 적으십시오",""))))))))))))</f>
        <v/>
      </c>
      <c r="M443" s="39"/>
      <c r="O443" s="11" t="str">
        <f aca="false">IF($B443="","",YEAR($B443)*100+MONTH($B443))</f>
        <v/>
      </c>
      <c r="P443" s="11" t="str">
        <f aca="false">IF($B443="","",IF($E443="대체",0,1))</f>
        <v/>
      </c>
    </row>
    <row r="444" customFormat="false" ht="15" hidden="false" customHeight="false" outlineLevel="0" collapsed="false">
      <c r="A444" s="36" t="str">
        <f aca="false">IF($B444="","",COUNT($B$15:$B444))</f>
        <v/>
      </c>
      <c r="B444" s="37"/>
      <c r="C444" s="38"/>
      <c r="D444" s="39"/>
      <c r="E444" s="36" t="str">
        <f aca="false">IF($D444="","",IFERROR(INDEX('통합 ④ 설정'!$A$6:$A$40,MATCH($D444,'통합 ④ 설정'!$B$6:$B$40,0)),"※없는 과목"))</f>
        <v/>
      </c>
      <c r="F444" s="36" t="str">
        <f aca="false">IF($D444="","",IFERROR(INDEX('통합 ④ 설정'!$C$6:$C$40,MATCH($D444,'통합 ④ 설정'!$B$6:$B$40,0)),""))</f>
        <v/>
      </c>
      <c r="G444" s="39"/>
      <c r="H444" s="39"/>
      <c r="I444" s="40"/>
      <c r="J444" s="41"/>
      <c r="K444" s="38"/>
      <c r="L444" s="42" t="str">
        <f aca="false">IF($B444="","",IF(AND(N($I444)=0,N($J444)=0),"금액이 없습니다",IF(AND($I444&gt;0,$J444&gt;0),"수입·지출 둘 다 적혔습니다",IF($C444="","결제수단을 고르십시오",IF(ISNA(MATCH($C444,'통합 ③ 통장·카드'!$A$5:$A$11,0)),"③ 통장·카드에 없는 결제수단입니다",IF($D444="","계정과목을 고르십시오",IF($E444="※없는 과목","④ 설정에 없는 과목입니다",IF(AND($E444="수입",$J444&gt;0),"수입 과목인데 지출에 적혔습니다",IF(AND(LEFT($E444,2)&lt;&gt;"수입",$E444&lt;&gt;"대체",$I444&gt;0),"지출 과목인데 수입에 적혔습니다",IF($K444="","증빙을 고르십시오",IF(AND($C444="바우처통장",$J444&gt;0,IFERROR(INDEX('통합 ④ 설정'!$E$6:$E$40,MATCH($D444,'통합 ④ 설정'!$B$6:$B$40,0)),"")&lt;&gt;"○"),"바우처통장 지출 — 목적 확인",IF($H444="","적요를 적으십시오",""))))))))))))</f>
        <v/>
      </c>
      <c r="M444" s="39"/>
      <c r="O444" s="11" t="str">
        <f aca="false">IF($B444="","",YEAR($B444)*100+MONTH($B444))</f>
        <v/>
      </c>
      <c r="P444" s="11" t="str">
        <f aca="false">IF($B444="","",IF($E444="대체",0,1))</f>
        <v/>
      </c>
    </row>
    <row r="445" customFormat="false" ht="15" hidden="false" customHeight="false" outlineLevel="0" collapsed="false">
      <c r="A445" s="36" t="str">
        <f aca="false">IF($B445="","",COUNT($B$15:$B445))</f>
        <v/>
      </c>
      <c r="B445" s="37"/>
      <c r="C445" s="38"/>
      <c r="D445" s="39"/>
      <c r="E445" s="36" t="str">
        <f aca="false">IF($D445="","",IFERROR(INDEX('통합 ④ 설정'!$A$6:$A$40,MATCH($D445,'통합 ④ 설정'!$B$6:$B$40,0)),"※없는 과목"))</f>
        <v/>
      </c>
      <c r="F445" s="36" t="str">
        <f aca="false">IF($D445="","",IFERROR(INDEX('통합 ④ 설정'!$C$6:$C$40,MATCH($D445,'통합 ④ 설정'!$B$6:$B$40,0)),""))</f>
        <v/>
      </c>
      <c r="G445" s="39"/>
      <c r="H445" s="39"/>
      <c r="I445" s="40"/>
      <c r="J445" s="41"/>
      <c r="K445" s="38"/>
      <c r="L445" s="42" t="str">
        <f aca="false">IF($B445="","",IF(AND(N($I445)=0,N($J445)=0),"금액이 없습니다",IF(AND($I445&gt;0,$J445&gt;0),"수입·지출 둘 다 적혔습니다",IF($C445="","결제수단을 고르십시오",IF(ISNA(MATCH($C445,'통합 ③ 통장·카드'!$A$5:$A$11,0)),"③ 통장·카드에 없는 결제수단입니다",IF($D445="","계정과목을 고르십시오",IF($E445="※없는 과목","④ 설정에 없는 과목입니다",IF(AND($E445="수입",$J445&gt;0),"수입 과목인데 지출에 적혔습니다",IF(AND(LEFT($E445,2)&lt;&gt;"수입",$E445&lt;&gt;"대체",$I445&gt;0),"지출 과목인데 수입에 적혔습니다",IF($K445="","증빙을 고르십시오",IF(AND($C445="바우처통장",$J445&gt;0,IFERROR(INDEX('통합 ④ 설정'!$E$6:$E$40,MATCH($D445,'통합 ④ 설정'!$B$6:$B$40,0)),"")&lt;&gt;"○"),"바우처통장 지출 — 목적 확인",IF($H445="","적요를 적으십시오",""))))))))))))</f>
        <v/>
      </c>
      <c r="M445" s="39"/>
      <c r="O445" s="11" t="str">
        <f aca="false">IF($B445="","",YEAR($B445)*100+MONTH($B445))</f>
        <v/>
      </c>
      <c r="P445" s="11" t="str">
        <f aca="false">IF($B445="","",IF($E445="대체",0,1))</f>
        <v/>
      </c>
    </row>
    <row r="446" customFormat="false" ht="15" hidden="false" customHeight="false" outlineLevel="0" collapsed="false">
      <c r="A446" s="36" t="str">
        <f aca="false">IF($B446="","",COUNT($B$15:$B446))</f>
        <v/>
      </c>
      <c r="B446" s="37"/>
      <c r="C446" s="38"/>
      <c r="D446" s="39"/>
      <c r="E446" s="36" t="str">
        <f aca="false">IF($D446="","",IFERROR(INDEX('통합 ④ 설정'!$A$6:$A$40,MATCH($D446,'통합 ④ 설정'!$B$6:$B$40,0)),"※없는 과목"))</f>
        <v/>
      </c>
      <c r="F446" s="36" t="str">
        <f aca="false">IF($D446="","",IFERROR(INDEX('통합 ④ 설정'!$C$6:$C$40,MATCH($D446,'통합 ④ 설정'!$B$6:$B$40,0)),""))</f>
        <v/>
      </c>
      <c r="G446" s="39"/>
      <c r="H446" s="39"/>
      <c r="I446" s="40"/>
      <c r="J446" s="41"/>
      <c r="K446" s="38"/>
      <c r="L446" s="42" t="str">
        <f aca="false">IF($B446="","",IF(AND(N($I446)=0,N($J446)=0),"금액이 없습니다",IF(AND($I446&gt;0,$J446&gt;0),"수입·지출 둘 다 적혔습니다",IF($C446="","결제수단을 고르십시오",IF(ISNA(MATCH($C446,'통합 ③ 통장·카드'!$A$5:$A$11,0)),"③ 통장·카드에 없는 결제수단입니다",IF($D446="","계정과목을 고르십시오",IF($E446="※없는 과목","④ 설정에 없는 과목입니다",IF(AND($E446="수입",$J446&gt;0),"수입 과목인데 지출에 적혔습니다",IF(AND(LEFT($E446,2)&lt;&gt;"수입",$E446&lt;&gt;"대체",$I446&gt;0),"지출 과목인데 수입에 적혔습니다",IF($K446="","증빙을 고르십시오",IF(AND($C446="바우처통장",$J446&gt;0,IFERROR(INDEX('통합 ④ 설정'!$E$6:$E$40,MATCH($D446,'통합 ④ 설정'!$B$6:$B$40,0)),"")&lt;&gt;"○"),"바우처통장 지출 — 목적 확인",IF($H446="","적요를 적으십시오",""))))))))))))</f>
        <v/>
      </c>
      <c r="M446" s="39"/>
      <c r="O446" s="11" t="str">
        <f aca="false">IF($B446="","",YEAR($B446)*100+MONTH($B446))</f>
        <v/>
      </c>
      <c r="P446" s="11" t="str">
        <f aca="false">IF($B446="","",IF($E446="대체",0,1))</f>
        <v/>
      </c>
    </row>
    <row r="447" customFormat="false" ht="15" hidden="false" customHeight="false" outlineLevel="0" collapsed="false">
      <c r="A447" s="36" t="str">
        <f aca="false">IF($B447="","",COUNT($B$15:$B447))</f>
        <v/>
      </c>
      <c r="B447" s="37"/>
      <c r="C447" s="38"/>
      <c r="D447" s="39"/>
      <c r="E447" s="36" t="str">
        <f aca="false">IF($D447="","",IFERROR(INDEX('통합 ④ 설정'!$A$6:$A$40,MATCH($D447,'통합 ④ 설정'!$B$6:$B$40,0)),"※없는 과목"))</f>
        <v/>
      </c>
      <c r="F447" s="36" t="str">
        <f aca="false">IF($D447="","",IFERROR(INDEX('통합 ④ 설정'!$C$6:$C$40,MATCH($D447,'통합 ④ 설정'!$B$6:$B$40,0)),""))</f>
        <v/>
      </c>
      <c r="G447" s="39"/>
      <c r="H447" s="39"/>
      <c r="I447" s="40"/>
      <c r="J447" s="41"/>
      <c r="K447" s="38"/>
      <c r="L447" s="42" t="str">
        <f aca="false">IF($B447="","",IF(AND(N($I447)=0,N($J447)=0),"금액이 없습니다",IF(AND($I447&gt;0,$J447&gt;0),"수입·지출 둘 다 적혔습니다",IF($C447="","결제수단을 고르십시오",IF(ISNA(MATCH($C447,'통합 ③ 통장·카드'!$A$5:$A$11,0)),"③ 통장·카드에 없는 결제수단입니다",IF($D447="","계정과목을 고르십시오",IF($E447="※없는 과목","④ 설정에 없는 과목입니다",IF(AND($E447="수입",$J447&gt;0),"수입 과목인데 지출에 적혔습니다",IF(AND(LEFT($E447,2)&lt;&gt;"수입",$E447&lt;&gt;"대체",$I447&gt;0),"지출 과목인데 수입에 적혔습니다",IF($K447="","증빙을 고르십시오",IF(AND($C447="바우처통장",$J447&gt;0,IFERROR(INDEX('통합 ④ 설정'!$E$6:$E$40,MATCH($D447,'통합 ④ 설정'!$B$6:$B$40,0)),"")&lt;&gt;"○"),"바우처통장 지출 — 목적 확인",IF($H447="","적요를 적으십시오",""))))))))))))</f>
        <v/>
      </c>
      <c r="M447" s="39"/>
      <c r="O447" s="11" t="str">
        <f aca="false">IF($B447="","",YEAR($B447)*100+MONTH($B447))</f>
        <v/>
      </c>
      <c r="P447" s="11" t="str">
        <f aca="false">IF($B447="","",IF($E447="대체",0,1))</f>
        <v/>
      </c>
    </row>
    <row r="448" customFormat="false" ht="15" hidden="false" customHeight="false" outlineLevel="0" collapsed="false">
      <c r="A448" s="36" t="str">
        <f aca="false">IF($B448="","",COUNT($B$15:$B448))</f>
        <v/>
      </c>
      <c r="B448" s="37"/>
      <c r="C448" s="38"/>
      <c r="D448" s="39"/>
      <c r="E448" s="36" t="str">
        <f aca="false">IF($D448="","",IFERROR(INDEX('통합 ④ 설정'!$A$6:$A$40,MATCH($D448,'통합 ④ 설정'!$B$6:$B$40,0)),"※없는 과목"))</f>
        <v/>
      </c>
      <c r="F448" s="36" t="str">
        <f aca="false">IF($D448="","",IFERROR(INDEX('통합 ④ 설정'!$C$6:$C$40,MATCH($D448,'통합 ④ 설정'!$B$6:$B$40,0)),""))</f>
        <v/>
      </c>
      <c r="G448" s="39"/>
      <c r="H448" s="39"/>
      <c r="I448" s="40"/>
      <c r="J448" s="41"/>
      <c r="K448" s="38"/>
      <c r="L448" s="42" t="str">
        <f aca="false">IF($B448="","",IF(AND(N($I448)=0,N($J448)=0),"금액이 없습니다",IF(AND($I448&gt;0,$J448&gt;0),"수입·지출 둘 다 적혔습니다",IF($C448="","결제수단을 고르십시오",IF(ISNA(MATCH($C448,'통합 ③ 통장·카드'!$A$5:$A$11,0)),"③ 통장·카드에 없는 결제수단입니다",IF($D448="","계정과목을 고르십시오",IF($E448="※없는 과목","④ 설정에 없는 과목입니다",IF(AND($E448="수입",$J448&gt;0),"수입 과목인데 지출에 적혔습니다",IF(AND(LEFT($E448,2)&lt;&gt;"수입",$E448&lt;&gt;"대체",$I448&gt;0),"지출 과목인데 수입에 적혔습니다",IF($K448="","증빙을 고르십시오",IF(AND($C448="바우처통장",$J448&gt;0,IFERROR(INDEX('통합 ④ 설정'!$E$6:$E$40,MATCH($D448,'통합 ④ 설정'!$B$6:$B$40,0)),"")&lt;&gt;"○"),"바우처통장 지출 — 목적 확인",IF($H448="","적요를 적으십시오",""))))))))))))</f>
        <v/>
      </c>
      <c r="M448" s="39"/>
      <c r="O448" s="11" t="str">
        <f aca="false">IF($B448="","",YEAR($B448)*100+MONTH($B448))</f>
        <v/>
      </c>
      <c r="P448" s="11" t="str">
        <f aca="false">IF($B448="","",IF($E448="대체",0,1))</f>
        <v/>
      </c>
    </row>
    <row r="449" customFormat="false" ht="15" hidden="false" customHeight="false" outlineLevel="0" collapsed="false">
      <c r="A449" s="36" t="str">
        <f aca="false">IF($B449="","",COUNT($B$15:$B449))</f>
        <v/>
      </c>
      <c r="B449" s="37"/>
      <c r="C449" s="38"/>
      <c r="D449" s="39"/>
      <c r="E449" s="36" t="str">
        <f aca="false">IF($D449="","",IFERROR(INDEX('통합 ④ 설정'!$A$6:$A$40,MATCH($D449,'통합 ④ 설정'!$B$6:$B$40,0)),"※없는 과목"))</f>
        <v/>
      </c>
      <c r="F449" s="36" t="str">
        <f aca="false">IF($D449="","",IFERROR(INDEX('통합 ④ 설정'!$C$6:$C$40,MATCH($D449,'통합 ④ 설정'!$B$6:$B$40,0)),""))</f>
        <v/>
      </c>
      <c r="G449" s="39"/>
      <c r="H449" s="39"/>
      <c r="I449" s="40"/>
      <c r="J449" s="41"/>
      <c r="K449" s="38"/>
      <c r="L449" s="42" t="str">
        <f aca="false">IF($B449="","",IF(AND(N($I449)=0,N($J449)=0),"금액이 없습니다",IF(AND($I449&gt;0,$J449&gt;0),"수입·지출 둘 다 적혔습니다",IF($C449="","결제수단을 고르십시오",IF(ISNA(MATCH($C449,'통합 ③ 통장·카드'!$A$5:$A$11,0)),"③ 통장·카드에 없는 결제수단입니다",IF($D449="","계정과목을 고르십시오",IF($E449="※없는 과목","④ 설정에 없는 과목입니다",IF(AND($E449="수입",$J449&gt;0),"수입 과목인데 지출에 적혔습니다",IF(AND(LEFT($E449,2)&lt;&gt;"수입",$E449&lt;&gt;"대체",$I449&gt;0),"지출 과목인데 수입에 적혔습니다",IF($K449="","증빙을 고르십시오",IF(AND($C449="바우처통장",$J449&gt;0,IFERROR(INDEX('통합 ④ 설정'!$E$6:$E$40,MATCH($D449,'통합 ④ 설정'!$B$6:$B$40,0)),"")&lt;&gt;"○"),"바우처통장 지출 — 목적 확인",IF($H449="","적요를 적으십시오",""))))))))))))</f>
        <v/>
      </c>
      <c r="M449" s="39"/>
      <c r="O449" s="11" t="str">
        <f aca="false">IF($B449="","",YEAR($B449)*100+MONTH($B449))</f>
        <v/>
      </c>
      <c r="P449" s="11" t="str">
        <f aca="false">IF($B449="","",IF($E449="대체",0,1))</f>
        <v/>
      </c>
    </row>
    <row r="450" customFormat="false" ht="15" hidden="false" customHeight="false" outlineLevel="0" collapsed="false">
      <c r="A450" s="36" t="str">
        <f aca="false">IF($B450="","",COUNT($B$15:$B450))</f>
        <v/>
      </c>
      <c r="B450" s="37"/>
      <c r="C450" s="38"/>
      <c r="D450" s="39"/>
      <c r="E450" s="36" t="str">
        <f aca="false">IF($D450="","",IFERROR(INDEX('통합 ④ 설정'!$A$6:$A$40,MATCH($D450,'통합 ④ 설정'!$B$6:$B$40,0)),"※없는 과목"))</f>
        <v/>
      </c>
      <c r="F450" s="36" t="str">
        <f aca="false">IF($D450="","",IFERROR(INDEX('통합 ④ 설정'!$C$6:$C$40,MATCH($D450,'통합 ④ 설정'!$B$6:$B$40,0)),""))</f>
        <v/>
      </c>
      <c r="G450" s="39"/>
      <c r="H450" s="39"/>
      <c r="I450" s="40"/>
      <c r="J450" s="41"/>
      <c r="K450" s="38"/>
      <c r="L450" s="42" t="str">
        <f aca="false">IF($B450="","",IF(AND(N($I450)=0,N($J450)=0),"금액이 없습니다",IF(AND($I450&gt;0,$J450&gt;0),"수입·지출 둘 다 적혔습니다",IF($C450="","결제수단을 고르십시오",IF(ISNA(MATCH($C450,'통합 ③ 통장·카드'!$A$5:$A$11,0)),"③ 통장·카드에 없는 결제수단입니다",IF($D450="","계정과목을 고르십시오",IF($E450="※없는 과목","④ 설정에 없는 과목입니다",IF(AND($E450="수입",$J450&gt;0),"수입 과목인데 지출에 적혔습니다",IF(AND(LEFT($E450,2)&lt;&gt;"수입",$E450&lt;&gt;"대체",$I450&gt;0),"지출 과목인데 수입에 적혔습니다",IF($K450="","증빙을 고르십시오",IF(AND($C450="바우처통장",$J450&gt;0,IFERROR(INDEX('통합 ④ 설정'!$E$6:$E$40,MATCH($D450,'통합 ④ 설정'!$B$6:$B$40,0)),"")&lt;&gt;"○"),"바우처통장 지출 — 목적 확인",IF($H450="","적요를 적으십시오",""))))))))))))</f>
        <v/>
      </c>
      <c r="M450" s="39"/>
      <c r="O450" s="11" t="str">
        <f aca="false">IF($B450="","",YEAR($B450)*100+MONTH($B450))</f>
        <v/>
      </c>
      <c r="P450" s="11" t="str">
        <f aca="false">IF($B450="","",IF($E450="대체",0,1))</f>
        <v/>
      </c>
    </row>
    <row r="451" customFormat="false" ht="15" hidden="false" customHeight="false" outlineLevel="0" collapsed="false">
      <c r="A451" s="36" t="str">
        <f aca="false">IF($B451="","",COUNT($B$15:$B451))</f>
        <v/>
      </c>
      <c r="B451" s="37"/>
      <c r="C451" s="38"/>
      <c r="D451" s="39"/>
      <c r="E451" s="36" t="str">
        <f aca="false">IF($D451="","",IFERROR(INDEX('통합 ④ 설정'!$A$6:$A$40,MATCH($D451,'통합 ④ 설정'!$B$6:$B$40,0)),"※없는 과목"))</f>
        <v/>
      </c>
      <c r="F451" s="36" t="str">
        <f aca="false">IF($D451="","",IFERROR(INDEX('통합 ④ 설정'!$C$6:$C$40,MATCH($D451,'통합 ④ 설정'!$B$6:$B$40,0)),""))</f>
        <v/>
      </c>
      <c r="G451" s="39"/>
      <c r="H451" s="39"/>
      <c r="I451" s="40"/>
      <c r="J451" s="41"/>
      <c r="K451" s="38"/>
      <c r="L451" s="42" t="str">
        <f aca="false">IF($B451="","",IF(AND(N($I451)=0,N($J451)=0),"금액이 없습니다",IF(AND($I451&gt;0,$J451&gt;0),"수입·지출 둘 다 적혔습니다",IF($C451="","결제수단을 고르십시오",IF(ISNA(MATCH($C451,'통합 ③ 통장·카드'!$A$5:$A$11,0)),"③ 통장·카드에 없는 결제수단입니다",IF($D451="","계정과목을 고르십시오",IF($E451="※없는 과목","④ 설정에 없는 과목입니다",IF(AND($E451="수입",$J451&gt;0),"수입 과목인데 지출에 적혔습니다",IF(AND(LEFT($E451,2)&lt;&gt;"수입",$E451&lt;&gt;"대체",$I451&gt;0),"지출 과목인데 수입에 적혔습니다",IF($K451="","증빙을 고르십시오",IF(AND($C451="바우처통장",$J451&gt;0,IFERROR(INDEX('통합 ④ 설정'!$E$6:$E$40,MATCH($D451,'통합 ④ 설정'!$B$6:$B$40,0)),"")&lt;&gt;"○"),"바우처통장 지출 — 목적 확인",IF($H451="","적요를 적으십시오",""))))))))))))</f>
        <v/>
      </c>
      <c r="M451" s="39"/>
      <c r="O451" s="11" t="str">
        <f aca="false">IF($B451="","",YEAR($B451)*100+MONTH($B451))</f>
        <v/>
      </c>
      <c r="P451" s="11" t="str">
        <f aca="false">IF($B451="","",IF($E451="대체",0,1))</f>
        <v/>
      </c>
    </row>
    <row r="452" customFormat="false" ht="15" hidden="false" customHeight="false" outlineLevel="0" collapsed="false">
      <c r="A452" s="36" t="str">
        <f aca="false">IF($B452="","",COUNT($B$15:$B452))</f>
        <v/>
      </c>
      <c r="B452" s="37"/>
      <c r="C452" s="38"/>
      <c r="D452" s="39"/>
      <c r="E452" s="36" t="str">
        <f aca="false">IF($D452="","",IFERROR(INDEX('통합 ④ 설정'!$A$6:$A$40,MATCH($D452,'통합 ④ 설정'!$B$6:$B$40,0)),"※없는 과목"))</f>
        <v/>
      </c>
      <c r="F452" s="36" t="str">
        <f aca="false">IF($D452="","",IFERROR(INDEX('통합 ④ 설정'!$C$6:$C$40,MATCH($D452,'통합 ④ 설정'!$B$6:$B$40,0)),""))</f>
        <v/>
      </c>
      <c r="G452" s="39"/>
      <c r="H452" s="39"/>
      <c r="I452" s="40"/>
      <c r="J452" s="41"/>
      <c r="K452" s="38"/>
      <c r="L452" s="42" t="str">
        <f aca="false">IF($B452="","",IF(AND(N($I452)=0,N($J452)=0),"금액이 없습니다",IF(AND($I452&gt;0,$J452&gt;0),"수입·지출 둘 다 적혔습니다",IF($C452="","결제수단을 고르십시오",IF(ISNA(MATCH($C452,'통합 ③ 통장·카드'!$A$5:$A$11,0)),"③ 통장·카드에 없는 결제수단입니다",IF($D452="","계정과목을 고르십시오",IF($E452="※없는 과목","④ 설정에 없는 과목입니다",IF(AND($E452="수입",$J452&gt;0),"수입 과목인데 지출에 적혔습니다",IF(AND(LEFT($E452,2)&lt;&gt;"수입",$E452&lt;&gt;"대체",$I452&gt;0),"지출 과목인데 수입에 적혔습니다",IF($K452="","증빙을 고르십시오",IF(AND($C452="바우처통장",$J452&gt;0,IFERROR(INDEX('통합 ④ 설정'!$E$6:$E$40,MATCH($D452,'통합 ④ 설정'!$B$6:$B$40,0)),"")&lt;&gt;"○"),"바우처통장 지출 — 목적 확인",IF($H452="","적요를 적으십시오",""))))))))))))</f>
        <v/>
      </c>
      <c r="M452" s="39"/>
      <c r="O452" s="11" t="str">
        <f aca="false">IF($B452="","",YEAR($B452)*100+MONTH($B452))</f>
        <v/>
      </c>
      <c r="P452" s="11" t="str">
        <f aca="false">IF($B452="","",IF($E452="대체",0,1))</f>
        <v/>
      </c>
    </row>
    <row r="453" customFormat="false" ht="15" hidden="false" customHeight="false" outlineLevel="0" collapsed="false">
      <c r="A453" s="36" t="str">
        <f aca="false">IF($B453="","",COUNT($B$15:$B453))</f>
        <v/>
      </c>
      <c r="B453" s="37"/>
      <c r="C453" s="38"/>
      <c r="D453" s="39"/>
      <c r="E453" s="36" t="str">
        <f aca="false">IF($D453="","",IFERROR(INDEX('통합 ④ 설정'!$A$6:$A$40,MATCH($D453,'통합 ④ 설정'!$B$6:$B$40,0)),"※없는 과목"))</f>
        <v/>
      </c>
      <c r="F453" s="36" t="str">
        <f aca="false">IF($D453="","",IFERROR(INDEX('통합 ④ 설정'!$C$6:$C$40,MATCH($D453,'통합 ④ 설정'!$B$6:$B$40,0)),""))</f>
        <v/>
      </c>
      <c r="G453" s="39"/>
      <c r="H453" s="39"/>
      <c r="I453" s="40"/>
      <c r="J453" s="41"/>
      <c r="K453" s="38"/>
      <c r="L453" s="42" t="str">
        <f aca="false">IF($B453="","",IF(AND(N($I453)=0,N($J453)=0),"금액이 없습니다",IF(AND($I453&gt;0,$J453&gt;0),"수입·지출 둘 다 적혔습니다",IF($C453="","결제수단을 고르십시오",IF(ISNA(MATCH($C453,'통합 ③ 통장·카드'!$A$5:$A$11,0)),"③ 통장·카드에 없는 결제수단입니다",IF($D453="","계정과목을 고르십시오",IF($E453="※없는 과목","④ 설정에 없는 과목입니다",IF(AND($E453="수입",$J453&gt;0),"수입 과목인데 지출에 적혔습니다",IF(AND(LEFT($E453,2)&lt;&gt;"수입",$E453&lt;&gt;"대체",$I453&gt;0),"지출 과목인데 수입에 적혔습니다",IF($K453="","증빙을 고르십시오",IF(AND($C453="바우처통장",$J453&gt;0,IFERROR(INDEX('통합 ④ 설정'!$E$6:$E$40,MATCH($D453,'통합 ④ 설정'!$B$6:$B$40,0)),"")&lt;&gt;"○"),"바우처통장 지출 — 목적 확인",IF($H453="","적요를 적으십시오",""))))))))))))</f>
        <v/>
      </c>
      <c r="M453" s="39"/>
      <c r="O453" s="11" t="str">
        <f aca="false">IF($B453="","",YEAR($B453)*100+MONTH($B453))</f>
        <v/>
      </c>
      <c r="P453" s="11" t="str">
        <f aca="false">IF($B453="","",IF($E453="대체",0,1))</f>
        <v/>
      </c>
    </row>
    <row r="454" customFormat="false" ht="15" hidden="false" customHeight="false" outlineLevel="0" collapsed="false">
      <c r="A454" s="36" t="str">
        <f aca="false">IF($B454="","",COUNT($B$15:$B454))</f>
        <v/>
      </c>
      <c r="B454" s="37"/>
      <c r="C454" s="38"/>
      <c r="D454" s="39"/>
      <c r="E454" s="36" t="str">
        <f aca="false">IF($D454="","",IFERROR(INDEX('통합 ④ 설정'!$A$6:$A$40,MATCH($D454,'통합 ④ 설정'!$B$6:$B$40,0)),"※없는 과목"))</f>
        <v/>
      </c>
      <c r="F454" s="36" t="str">
        <f aca="false">IF($D454="","",IFERROR(INDEX('통합 ④ 설정'!$C$6:$C$40,MATCH($D454,'통합 ④ 설정'!$B$6:$B$40,0)),""))</f>
        <v/>
      </c>
      <c r="G454" s="39"/>
      <c r="H454" s="39"/>
      <c r="I454" s="40"/>
      <c r="J454" s="41"/>
      <c r="K454" s="38"/>
      <c r="L454" s="42" t="str">
        <f aca="false">IF($B454="","",IF(AND(N($I454)=0,N($J454)=0),"금액이 없습니다",IF(AND($I454&gt;0,$J454&gt;0),"수입·지출 둘 다 적혔습니다",IF($C454="","결제수단을 고르십시오",IF(ISNA(MATCH($C454,'통합 ③ 통장·카드'!$A$5:$A$11,0)),"③ 통장·카드에 없는 결제수단입니다",IF($D454="","계정과목을 고르십시오",IF($E454="※없는 과목","④ 설정에 없는 과목입니다",IF(AND($E454="수입",$J454&gt;0),"수입 과목인데 지출에 적혔습니다",IF(AND(LEFT($E454,2)&lt;&gt;"수입",$E454&lt;&gt;"대체",$I454&gt;0),"지출 과목인데 수입에 적혔습니다",IF($K454="","증빙을 고르십시오",IF(AND($C454="바우처통장",$J454&gt;0,IFERROR(INDEX('통합 ④ 설정'!$E$6:$E$40,MATCH($D454,'통합 ④ 설정'!$B$6:$B$40,0)),"")&lt;&gt;"○"),"바우처통장 지출 — 목적 확인",IF($H454="","적요를 적으십시오",""))))))))))))</f>
        <v/>
      </c>
      <c r="M454" s="39"/>
      <c r="O454" s="11" t="str">
        <f aca="false">IF($B454="","",YEAR($B454)*100+MONTH($B454))</f>
        <v/>
      </c>
      <c r="P454" s="11" t="str">
        <f aca="false">IF($B454="","",IF($E454="대체",0,1))</f>
        <v/>
      </c>
    </row>
    <row r="455" customFormat="false" ht="15" hidden="false" customHeight="false" outlineLevel="0" collapsed="false">
      <c r="A455" s="36" t="str">
        <f aca="false">IF($B455="","",COUNT($B$15:$B455))</f>
        <v/>
      </c>
      <c r="B455" s="37"/>
      <c r="C455" s="38"/>
      <c r="D455" s="39"/>
      <c r="E455" s="36" t="str">
        <f aca="false">IF($D455="","",IFERROR(INDEX('통합 ④ 설정'!$A$6:$A$40,MATCH($D455,'통합 ④ 설정'!$B$6:$B$40,0)),"※없는 과목"))</f>
        <v/>
      </c>
      <c r="F455" s="36" t="str">
        <f aca="false">IF($D455="","",IFERROR(INDEX('통합 ④ 설정'!$C$6:$C$40,MATCH($D455,'통합 ④ 설정'!$B$6:$B$40,0)),""))</f>
        <v/>
      </c>
      <c r="G455" s="39"/>
      <c r="H455" s="39"/>
      <c r="I455" s="40"/>
      <c r="J455" s="41"/>
      <c r="K455" s="38"/>
      <c r="L455" s="42" t="str">
        <f aca="false">IF($B455="","",IF(AND(N($I455)=0,N($J455)=0),"금액이 없습니다",IF(AND($I455&gt;0,$J455&gt;0),"수입·지출 둘 다 적혔습니다",IF($C455="","결제수단을 고르십시오",IF(ISNA(MATCH($C455,'통합 ③ 통장·카드'!$A$5:$A$11,0)),"③ 통장·카드에 없는 결제수단입니다",IF($D455="","계정과목을 고르십시오",IF($E455="※없는 과목","④ 설정에 없는 과목입니다",IF(AND($E455="수입",$J455&gt;0),"수입 과목인데 지출에 적혔습니다",IF(AND(LEFT($E455,2)&lt;&gt;"수입",$E455&lt;&gt;"대체",$I455&gt;0),"지출 과목인데 수입에 적혔습니다",IF($K455="","증빙을 고르십시오",IF(AND($C455="바우처통장",$J455&gt;0,IFERROR(INDEX('통합 ④ 설정'!$E$6:$E$40,MATCH($D455,'통합 ④ 설정'!$B$6:$B$40,0)),"")&lt;&gt;"○"),"바우처통장 지출 — 목적 확인",IF($H455="","적요를 적으십시오",""))))))))))))</f>
        <v/>
      </c>
      <c r="M455" s="39"/>
      <c r="O455" s="11" t="str">
        <f aca="false">IF($B455="","",YEAR($B455)*100+MONTH($B455))</f>
        <v/>
      </c>
      <c r="P455" s="11" t="str">
        <f aca="false">IF($B455="","",IF($E455="대체",0,1))</f>
        <v/>
      </c>
    </row>
    <row r="456" customFormat="false" ht="15" hidden="false" customHeight="false" outlineLevel="0" collapsed="false">
      <c r="A456" s="36" t="str">
        <f aca="false">IF($B456="","",COUNT($B$15:$B456))</f>
        <v/>
      </c>
      <c r="B456" s="37"/>
      <c r="C456" s="38"/>
      <c r="D456" s="39"/>
      <c r="E456" s="36" t="str">
        <f aca="false">IF($D456="","",IFERROR(INDEX('통합 ④ 설정'!$A$6:$A$40,MATCH($D456,'통합 ④ 설정'!$B$6:$B$40,0)),"※없는 과목"))</f>
        <v/>
      </c>
      <c r="F456" s="36" t="str">
        <f aca="false">IF($D456="","",IFERROR(INDEX('통합 ④ 설정'!$C$6:$C$40,MATCH($D456,'통합 ④ 설정'!$B$6:$B$40,0)),""))</f>
        <v/>
      </c>
      <c r="G456" s="39"/>
      <c r="H456" s="39"/>
      <c r="I456" s="40"/>
      <c r="J456" s="41"/>
      <c r="K456" s="38"/>
      <c r="L456" s="42" t="str">
        <f aca="false">IF($B456="","",IF(AND(N($I456)=0,N($J456)=0),"금액이 없습니다",IF(AND($I456&gt;0,$J456&gt;0),"수입·지출 둘 다 적혔습니다",IF($C456="","결제수단을 고르십시오",IF(ISNA(MATCH($C456,'통합 ③ 통장·카드'!$A$5:$A$11,0)),"③ 통장·카드에 없는 결제수단입니다",IF($D456="","계정과목을 고르십시오",IF($E456="※없는 과목","④ 설정에 없는 과목입니다",IF(AND($E456="수입",$J456&gt;0),"수입 과목인데 지출에 적혔습니다",IF(AND(LEFT($E456,2)&lt;&gt;"수입",$E456&lt;&gt;"대체",$I456&gt;0),"지출 과목인데 수입에 적혔습니다",IF($K456="","증빙을 고르십시오",IF(AND($C456="바우처통장",$J456&gt;0,IFERROR(INDEX('통합 ④ 설정'!$E$6:$E$40,MATCH($D456,'통합 ④ 설정'!$B$6:$B$40,0)),"")&lt;&gt;"○"),"바우처통장 지출 — 목적 확인",IF($H456="","적요를 적으십시오",""))))))))))))</f>
        <v/>
      </c>
      <c r="M456" s="39"/>
      <c r="O456" s="11" t="str">
        <f aca="false">IF($B456="","",YEAR($B456)*100+MONTH($B456))</f>
        <v/>
      </c>
      <c r="P456" s="11" t="str">
        <f aca="false">IF($B456="","",IF($E456="대체",0,1))</f>
        <v/>
      </c>
    </row>
    <row r="457" customFormat="false" ht="15" hidden="false" customHeight="false" outlineLevel="0" collapsed="false">
      <c r="A457" s="36" t="str">
        <f aca="false">IF($B457="","",COUNT($B$15:$B457))</f>
        <v/>
      </c>
      <c r="B457" s="37"/>
      <c r="C457" s="38"/>
      <c r="D457" s="39"/>
      <c r="E457" s="36" t="str">
        <f aca="false">IF($D457="","",IFERROR(INDEX('통합 ④ 설정'!$A$6:$A$40,MATCH($D457,'통합 ④ 설정'!$B$6:$B$40,0)),"※없는 과목"))</f>
        <v/>
      </c>
      <c r="F457" s="36" t="str">
        <f aca="false">IF($D457="","",IFERROR(INDEX('통합 ④ 설정'!$C$6:$C$40,MATCH($D457,'통합 ④ 설정'!$B$6:$B$40,0)),""))</f>
        <v/>
      </c>
      <c r="G457" s="39"/>
      <c r="H457" s="39"/>
      <c r="I457" s="40"/>
      <c r="J457" s="41"/>
      <c r="K457" s="38"/>
      <c r="L457" s="42" t="str">
        <f aca="false">IF($B457="","",IF(AND(N($I457)=0,N($J457)=0),"금액이 없습니다",IF(AND($I457&gt;0,$J457&gt;0),"수입·지출 둘 다 적혔습니다",IF($C457="","결제수단을 고르십시오",IF(ISNA(MATCH($C457,'통합 ③ 통장·카드'!$A$5:$A$11,0)),"③ 통장·카드에 없는 결제수단입니다",IF($D457="","계정과목을 고르십시오",IF($E457="※없는 과목","④ 설정에 없는 과목입니다",IF(AND($E457="수입",$J457&gt;0),"수입 과목인데 지출에 적혔습니다",IF(AND(LEFT($E457,2)&lt;&gt;"수입",$E457&lt;&gt;"대체",$I457&gt;0),"지출 과목인데 수입에 적혔습니다",IF($K457="","증빙을 고르십시오",IF(AND($C457="바우처통장",$J457&gt;0,IFERROR(INDEX('통합 ④ 설정'!$E$6:$E$40,MATCH($D457,'통합 ④ 설정'!$B$6:$B$40,0)),"")&lt;&gt;"○"),"바우처통장 지출 — 목적 확인",IF($H457="","적요를 적으십시오",""))))))))))))</f>
        <v/>
      </c>
      <c r="M457" s="39"/>
      <c r="O457" s="11" t="str">
        <f aca="false">IF($B457="","",YEAR($B457)*100+MONTH($B457))</f>
        <v/>
      </c>
      <c r="P457" s="11" t="str">
        <f aca="false">IF($B457="","",IF($E457="대체",0,1))</f>
        <v/>
      </c>
    </row>
    <row r="458" customFormat="false" ht="15" hidden="false" customHeight="false" outlineLevel="0" collapsed="false">
      <c r="A458" s="36" t="str">
        <f aca="false">IF($B458="","",COUNT($B$15:$B458))</f>
        <v/>
      </c>
      <c r="B458" s="37"/>
      <c r="C458" s="38"/>
      <c r="D458" s="39"/>
      <c r="E458" s="36" t="str">
        <f aca="false">IF($D458="","",IFERROR(INDEX('통합 ④ 설정'!$A$6:$A$40,MATCH($D458,'통합 ④ 설정'!$B$6:$B$40,0)),"※없는 과목"))</f>
        <v/>
      </c>
      <c r="F458" s="36" t="str">
        <f aca="false">IF($D458="","",IFERROR(INDEX('통합 ④ 설정'!$C$6:$C$40,MATCH($D458,'통합 ④ 설정'!$B$6:$B$40,0)),""))</f>
        <v/>
      </c>
      <c r="G458" s="39"/>
      <c r="H458" s="39"/>
      <c r="I458" s="40"/>
      <c r="J458" s="41"/>
      <c r="K458" s="38"/>
      <c r="L458" s="42" t="str">
        <f aca="false">IF($B458="","",IF(AND(N($I458)=0,N($J458)=0),"금액이 없습니다",IF(AND($I458&gt;0,$J458&gt;0),"수입·지출 둘 다 적혔습니다",IF($C458="","결제수단을 고르십시오",IF(ISNA(MATCH($C458,'통합 ③ 통장·카드'!$A$5:$A$11,0)),"③ 통장·카드에 없는 결제수단입니다",IF($D458="","계정과목을 고르십시오",IF($E458="※없는 과목","④ 설정에 없는 과목입니다",IF(AND($E458="수입",$J458&gt;0),"수입 과목인데 지출에 적혔습니다",IF(AND(LEFT($E458,2)&lt;&gt;"수입",$E458&lt;&gt;"대체",$I458&gt;0),"지출 과목인데 수입에 적혔습니다",IF($K458="","증빙을 고르십시오",IF(AND($C458="바우처통장",$J458&gt;0,IFERROR(INDEX('통합 ④ 설정'!$E$6:$E$40,MATCH($D458,'통합 ④ 설정'!$B$6:$B$40,0)),"")&lt;&gt;"○"),"바우처통장 지출 — 목적 확인",IF($H458="","적요를 적으십시오",""))))))))))))</f>
        <v/>
      </c>
      <c r="M458" s="39"/>
      <c r="O458" s="11" t="str">
        <f aca="false">IF($B458="","",YEAR($B458)*100+MONTH($B458))</f>
        <v/>
      </c>
      <c r="P458" s="11" t="str">
        <f aca="false">IF($B458="","",IF($E458="대체",0,1))</f>
        <v/>
      </c>
    </row>
    <row r="459" customFormat="false" ht="15" hidden="false" customHeight="false" outlineLevel="0" collapsed="false">
      <c r="A459" s="36" t="str">
        <f aca="false">IF($B459="","",COUNT($B$15:$B459))</f>
        <v/>
      </c>
      <c r="B459" s="37"/>
      <c r="C459" s="38"/>
      <c r="D459" s="39"/>
      <c r="E459" s="36" t="str">
        <f aca="false">IF($D459="","",IFERROR(INDEX('통합 ④ 설정'!$A$6:$A$40,MATCH($D459,'통합 ④ 설정'!$B$6:$B$40,0)),"※없는 과목"))</f>
        <v/>
      </c>
      <c r="F459" s="36" t="str">
        <f aca="false">IF($D459="","",IFERROR(INDEX('통합 ④ 설정'!$C$6:$C$40,MATCH($D459,'통합 ④ 설정'!$B$6:$B$40,0)),""))</f>
        <v/>
      </c>
      <c r="G459" s="39"/>
      <c r="H459" s="39"/>
      <c r="I459" s="40"/>
      <c r="J459" s="41"/>
      <c r="K459" s="38"/>
      <c r="L459" s="42" t="str">
        <f aca="false">IF($B459="","",IF(AND(N($I459)=0,N($J459)=0),"금액이 없습니다",IF(AND($I459&gt;0,$J459&gt;0),"수입·지출 둘 다 적혔습니다",IF($C459="","결제수단을 고르십시오",IF(ISNA(MATCH($C459,'통합 ③ 통장·카드'!$A$5:$A$11,0)),"③ 통장·카드에 없는 결제수단입니다",IF($D459="","계정과목을 고르십시오",IF($E459="※없는 과목","④ 설정에 없는 과목입니다",IF(AND($E459="수입",$J459&gt;0),"수입 과목인데 지출에 적혔습니다",IF(AND(LEFT($E459,2)&lt;&gt;"수입",$E459&lt;&gt;"대체",$I459&gt;0),"지출 과목인데 수입에 적혔습니다",IF($K459="","증빙을 고르십시오",IF(AND($C459="바우처통장",$J459&gt;0,IFERROR(INDEX('통합 ④ 설정'!$E$6:$E$40,MATCH($D459,'통합 ④ 설정'!$B$6:$B$40,0)),"")&lt;&gt;"○"),"바우처통장 지출 — 목적 확인",IF($H459="","적요를 적으십시오",""))))))))))))</f>
        <v/>
      </c>
      <c r="M459" s="39"/>
      <c r="O459" s="11" t="str">
        <f aca="false">IF($B459="","",YEAR($B459)*100+MONTH($B459))</f>
        <v/>
      </c>
      <c r="P459" s="11" t="str">
        <f aca="false">IF($B459="","",IF($E459="대체",0,1))</f>
        <v/>
      </c>
    </row>
    <row r="460" customFormat="false" ht="15" hidden="false" customHeight="false" outlineLevel="0" collapsed="false">
      <c r="A460" s="36" t="str">
        <f aca="false">IF($B460="","",COUNT($B$15:$B460))</f>
        <v/>
      </c>
      <c r="B460" s="37"/>
      <c r="C460" s="38"/>
      <c r="D460" s="39"/>
      <c r="E460" s="36" t="str">
        <f aca="false">IF($D460="","",IFERROR(INDEX('통합 ④ 설정'!$A$6:$A$40,MATCH($D460,'통합 ④ 설정'!$B$6:$B$40,0)),"※없는 과목"))</f>
        <v/>
      </c>
      <c r="F460" s="36" t="str">
        <f aca="false">IF($D460="","",IFERROR(INDEX('통합 ④ 설정'!$C$6:$C$40,MATCH($D460,'통합 ④ 설정'!$B$6:$B$40,0)),""))</f>
        <v/>
      </c>
      <c r="G460" s="39"/>
      <c r="H460" s="39"/>
      <c r="I460" s="40"/>
      <c r="J460" s="41"/>
      <c r="K460" s="38"/>
      <c r="L460" s="42" t="str">
        <f aca="false">IF($B460="","",IF(AND(N($I460)=0,N($J460)=0),"금액이 없습니다",IF(AND($I460&gt;0,$J460&gt;0),"수입·지출 둘 다 적혔습니다",IF($C460="","결제수단을 고르십시오",IF(ISNA(MATCH($C460,'통합 ③ 통장·카드'!$A$5:$A$11,0)),"③ 통장·카드에 없는 결제수단입니다",IF($D460="","계정과목을 고르십시오",IF($E460="※없는 과목","④ 설정에 없는 과목입니다",IF(AND($E460="수입",$J460&gt;0),"수입 과목인데 지출에 적혔습니다",IF(AND(LEFT($E460,2)&lt;&gt;"수입",$E460&lt;&gt;"대체",$I460&gt;0),"지출 과목인데 수입에 적혔습니다",IF($K460="","증빙을 고르십시오",IF(AND($C460="바우처통장",$J460&gt;0,IFERROR(INDEX('통합 ④ 설정'!$E$6:$E$40,MATCH($D460,'통합 ④ 설정'!$B$6:$B$40,0)),"")&lt;&gt;"○"),"바우처통장 지출 — 목적 확인",IF($H460="","적요를 적으십시오",""))))))))))))</f>
        <v/>
      </c>
      <c r="M460" s="39"/>
      <c r="O460" s="11" t="str">
        <f aca="false">IF($B460="","",YEAR($B460)*100+MONTH($B460))</f>
        <v/>
      </c>
      <c r="P460" s="11" t="str">
        <f aca="false">IF($B460="","",IF($E460="대체",0,1))</f>
        <v/>
      </c>
    </row>
    <row r="461" customFormat="false" ht="15" hidden="false" customHeight="false" outlineLevel="0" collapsed="false">
      <c r="A461" s="36" t="str">
        <f aca="false">IF($B461="","",COUNT($B$15:$B461))</f>
        <v/>
      </c>
      <c r="B461" s="37"/>
      <c r="C461" s="38"/>
      <c r="D461" s="39"/>
      <c r="E461" s="36" t="str">
        <f aca="false">IF($D461="","",IFERROR(INDEX('통합 ④ 설정'!$A$6:$A$40,MATCH($D461,'통합 ④ 설정'!$B$6:$B$40,0)),"※없는 과목"))</f>
        <v/>
      </c>
      <c r="F461" s="36" t="str">
        <f aca="false">IF($D461="","",IFERROR(INDEX('통합 ④ 설정'!$C$6:$C$40,MATCH($D461,'통합 ④ 설정'!$B$6:$B$40,0)),""))</f>
        <v/>
      </c>
      <c r="G461" s="39"/>
      <c r="H461" s="39"/>
      <c r="I461" s="40"/>
      <c r="J461" s="41"/>
      <c r="K461" s="38"/>
      <c r="L461" s="42" t="str">
        <f aca="false">IF($B461="","",IF(AND(N($I461)=0,N($J461)=0),"금액이 없습니다",IF(AND($I461&gt;0,$J461&gt;0),"수입·지출 둘 다 적혔습니다",IF($C461="","결제수단을 고르십시오",IF(ISNA(MATCH($C461,'통합 ③ 통장·카드'!$A$5:$A$11,0)),"③ 통장·카드에 없는 결제수단입니다",IF($D461="","계정과목을 고르십시오",IF($E461="※없는 과목","④ 설정에 없는 과목입니다",IF(AND($E461="수입",$J461&gt;0),"수입 과목인데 지출에 적혔습니다",IF(AND(LEFT($E461,2)&lt;&gt;"수입",$E461&lt;&gt;"대체",$I461&gt;0),"지출 과목인데 수입에 적혔습니다",IF($K461="","증빙을 고르십시오",IF(AND($C461="바우처통장",$J461&gt;0,IFERROR(INDEX('통합 ④ 설정'!$E$6:$E$40,MATCH($D461,'통합 ④ 설정'!$B$6:$B$40,0)),"")&lt;&gt;"○"),"바우처통장 지출 — 목적 확인",IF($H461="","적요를 적으십시오",""))))))))))))</f>
        <v/>
      </c>
      <c r="M461" s="39"/>
      <c r="O461" s="11" t="str">
        <f aca="false">IF($B461="","",YEAR($B461)*100+MONTH($B461))</f>
        <v/>
      </c>
      <c r="P461" s="11" t="str">
        <f aca="false">IF($B461="","",IF($E461="대체",0,1))</f>
        <v/>
      </c>
    </row>
    <row r="462" customFormat="false" ht="15" hidden="false" customHeight="false" outlineLevel="0" collapsed="false">
      <c r="A462" s="36" t="str">
        <f aca="false">IF($B462="","",COUNT($B$15:$B462))</f>
        <v/>
      </c>
      <c r="B462" s="37"/>
      <c r="C462" s="38"/>
      <c r="D462" s="39"/>
      <c r="E462" s="36" t="str">
        <f aca="false">IF($D462="","",IFERROR(INDEX('통합 ④ 설정'!$A$6:$A$40,MATCH($D462,'통합 ④ 설정'!$B$6:$B$40,0)),"※없는 과목"))</f>
        <v/>
      </c>
      <c r="F462" s="36" t="str">
        <f aca="false">IF($D462="","",IFERROR(INDEX('통합 ④ 설정'!$C$6:$C$40,MATCH($D462,'통합 ④ 설정'!$B$6:$B$40,0)),""))</f>
        <v/>
      </c>
      <c r="G462" s="39"/>
      <c r="H462" s="39"/>
      <c r="I462" s="40"/>
      <c r="J462" s="41"/>
      <c r="K462" s="38"/>
      <c r="L462" s="42" t="str">
        <f aca="false">IF($B462="","",IF(AND(N($I462)=0,N($J462)=0),"금액이 없습니다",IF(AND($I462&gt;0,$J462&gt;0),"수입·지출 둘 다 적혔습니다",IF($C462="","결제수단을 고르십시오",IF(ISNA(MATCH($C462,'통합 ③ 통장·카드'!$A$5:$A$11,0)),"③ 통장·카드에 없는 결제수단입니다",IF($D462="","계정과목을 고르십시오",IF($E462="※없는 과목","④ 설정에 없는 과목입니다",IF(AND($E462="수입",$J462&gt;0),"수입 과목인데 지출에 적혔습니다",IF(AND(LEFT($E462,2)&lt;&gt;"수입",$E462&lt;&gt;"대체",$I462&gt;0),"지출 과목인데 수입에 적혔습니다",IF($K462="","증빙을 고르십시오",IF(AND($C462="바우처통장",$J462&gt;0,IFERROR(INDEX('통합 ④ 설정'!$E$6:$E$40,MATCH($D462,'통합 ④ 설정'!$B$6:$B$40,0)),"")&lt;&gt;"○"),"바우처통장 지출 — 목적 확인",IF($H462="","적요를 적으십시오",""))))))))))))</f>
        <v/>
      </c>
      <c r="M462" s="39"/>
      <c r="O462" s="11" t="str">
        <f aca="false">IF($B462="","",YEAR($B462)*100+MONTH($B462))</f>
        <v/>
      </c>
      <c r="P462" s="11" t="str">
        <f aca="false">IF($B462="","",IF($E462="대체",0,1))</f>
        <v/>
      </c>
    </row>
    <row r="463" customFormat="false" ht="15" hidden="false" customHeight="false" outlineLevel="0" collapsed="false">
      <c r="A463" s="36" t="str">
        <f aca="false">IF($B463="","",COUNT($B$15:$B463))</f>
        <v/>
      </c>
      <c r="B463" s="37"/>
      <c r="C463" s="38"/>
      <c r="D463" s="39"/>
      <c r="E463" s="36" t="str">
        <f aca="false">IF($D463="","",IFERROR(INDEX('통합 ④ 설정'!$A$6:$A$40,MATCH($D463,'통합 ④ 설정'!$B$6:$B$40,0)),"※없는 과목"))</f>
        <v/>
      </c>
      <c r="F463" s="36" t="str">
        <f aca="false">IF($D463="","",IFERROR(INDEX('통합 ④ 설정'!$C$6:$C$40,MATCH($D463,'통합 ④ 설정'!$B$6:$B$40,0)),""))</f>
        <v/>
      </c>
      <c r="G463" s="39"/>
      <c r="H463" s="39"/>
      <c r="I463" s="40"/>
      <c r="J463" s="41"/>
      <c r="K463" s="38"/>
      <c r="L463" s="42" t="str">
        <f aca="false">IF($B463="","",IF(AND(N($I463)=0,N($J463)=0),"금액이 없습니다",IF(AND($I463&gt;0,$J463&gt;0),"수입·지출 둘 다 적혔습니다",IF($C463="","결제수단을 고르십시오",IF(ISNA(MATCH($C463,'통합 ③ 통장·카드'!$A$5:$A$11,0)),"③ 통장·카드에 없는 결제수단입니다",IF($D463="","계정과목을 고르십시오",IF($E463="※없는 과목","④ 설정에 없는 과목입니다",IF(AND($E463="수입",$J463&gt;0),"수입 과목인데 지출에 적혔습니다",IF(AND(LEFT($E463,2)&lt;&gt;"수입",$E463&lt;&gt;"대체",$I463&gt;0),"지출 과목인데 수입에 적혔습니다",IF($K463="","증빙을 고르십시오",IF(AND($C463="바우처통장",$J463&gt;0,IFERROR(INDEX('통합 ④ 설정'!$E$6:$E$40,MATCH($D463,'통합 ④ 설정'!$B$6:$B$40,0)),"")&lt;&gt;"○"),"바우처통장 지출 — 목적 확인",IF($H463="","적요를 적으십시오",""))))))))))))</f>
        <v/>
      </c>
      <c r="M463" s="39"/>
      <c r="O463" s="11" t="str">
        <f aca="false">IF($B463="","",YEAR($B463)*100+MONTH($B463))</f>
        <v/>
      </c>
      <c r="P463" s="11" t="str">
        <f aca="false">IF($B463="","",IF($E463="대체",0,1))</f>
        <v/>
      </c>
    </row>
    <row r="464" customFormat="false" ht="15" hidden="false" customHeight="false" outlineLevel="0" collapsed="false">
      <c r="A464" s="36" t="str">
        <f aca="false">IF($B464="","",COUNT($B$15:$B464))</f>
        <v/>
      </c>
      <c r="B464" s="37"/>
      <c r="C464" s="38"/>
      <c r="D464" s="39"/>
      <c r="E464" s="36" t="str">
        <f aca="false">IF($D464="","",IFERROR(INDEX('통합 ④ 설정'!$A$6:$A$40,MATCH($D464,'통합 ④ 설정'!$B$6:$B$40,0)),"※없는 과목"))</f>
        <v/>
      </c>
      <c r="F464" s="36" t="str">
        <f aca="false">IF($D464="","",IFERROR(INDEX('통합 ④ 설정'!$C$6:$C$40,MATCH($D464,'통합 ④ 설정'!$B$6:$B$40,0)),""))</f>
        <v/>
      </c>
      <c r="G464" s="39"/>
      <c r="H464" s="39"/>
      <c r="I464" s="40"/>
      <c r="J464" s="41"/>
      <c r="K464" s="38"/>
      <c r="L464" s="42" t="str">
        <f aca="false">IF($B464="","",IF(AND(N($I464)=0,N($J464)=0),"금액이 없습니다",IF(AND($I464&gt;0,$J464&gt;0),"수입·지출 둘 다 적혔습니다",IF($C464="","결제수단을 고르십시오",IF(ISNA(MATCH($C464,'통합 ③ 통장·카드'!$A$5:$A$11,0)),"③ 통장·카드에 없는 결제수단입니다",IF($D464="","계정과목을 고르십시오",IF($E464="※없는 과목","④ 설정에 없는 과목입니다",IF(AND($E464="수입",$J464&gt;0),"수입 과목인데 지출에 적혔습니다",IF(AND(LEFT($E464,2)&lt;&gt;"수입",$E464&lt;&gt;"대체",$I464&gt;0),"지출 과목인데 수입에 적혔습니다",IF($K464="","증빙을 고르십시오",IF(AND($C464="바우처통장",$J464&gt;0,IFERROR(INDEX('통합 ④ 설정'!$E$6:$E$40,MATCH($D464,'통합 ④ 설정'!$B$6:$B$40,0)),"")&lt;&gt;"○"),"바우처통장 지출 — 목적 확인",IF($H464="","적요를 적으십시오",""))))))))))))</f>
        <v/>
      </c>
      <c r="M464" s="39"/>
      <c r="O464" s="11" t="str">
        <f aca="false">IF($B464="","",YEAR($B464)*100+MONTH($B464))</f>
        <v/>
      </c>
      <c r="P464" s="11" t="str">
        <f aca="false">IF($B464="","",IF($E464="대체",0,1))</f>
        <v/>
      </c>
    </row>
    <row r="465" customFormat="false" ht="15" hidden="false" customHeight="false" outlineLevel="0" collapsed="false">
      <c r="A465" s="36" t="str">
        <f aca="false">IF($B465="","",COUNT($B$15:$B465))</f>
        <v/>
      </c>
      <c r="B465" s="37"/>
      <c r="C465" s="38"/>
      <c r="D465" s="39"/>
      <c r="E465" s="36" t="str">
        <f aca="false">IF($D465="","",IFERROR(INDEX('통합 ④ 설정'!$A$6:$A$40,MATCH($D465,'통합 ④ 설정'!$B$6:$B$40,0)),"※없는 과목"))</f>
        <v/>
      </c>
      <c r="F465" s="36" t="str">
        <f aca="false">IF($D465="","",IFERROR(INDEX('통합 ④ 설정'!$C$6:$C$40,MATCH($D465,'통합 ④ 설정'!$B$6:$B$40,0)),""))</f>
        <v/>
      </c>
      <c r="G465" s="39"/>
      <c r="H465" s="39"/>
      <c r="I465" s="40"/>
      <c r="J465" s="41"/>
      <c r="K465" s="38"/>
      <c r="L465" s="42" t="str">
        <f aca="false">IF($B465="","",IF(AND(N($I465)=0,N($J465)=0),"금액이 없습니다",IF(AND($I465&gt;0,$J465&gt;0),"수입·지출 둘 다 적혔습니다",IF($C465="","결제수단을 고르십시오",IF(ISNA(MATCH($C465,'통합 ③ 통장·카드'!$A$5:$A$11,0)),"③ 통장·카드에 없는 결제수단입니다",IF($D465="","계정과목을 고르십시오",IF($E465="※없는 과목","④ 설정에 없는 과목입니다",IF(AND($E465="수입",$J465&gt;0),"수입 과목인데 지출에 적혔습니다",IF(AND(LEFT($E465,2)&lt;&gt;"수입",$E465&lt;&gt;"대체",$I465&gt;0),"지출 과목인데 수입에 적혔습니다",IF($K465="","증빙을 고르십시오",IF(AND($C465="바우처통장",$J465&gt;0,IFERROR(INDEX('통합 ④ 설정'!$E$6:$E$40,MATCH($D465,'통합 ④ 설정'!$B$6:$B$40,0)),"")&lt;&gt;"○"),"바우처통장 지출 — 목적 확인",IF($H465="","적요를 적으십시오",""))))))))))))</f>
        <v/>
      </c>
      <c r="M465" s="39"/>
      <c r="O465" s="11" t="str">
        <f aca="false">IF($B465="","",YEAR($B465)*100+MONTH($B465))</f>
        <v/>
      </c>
      <c r="P465" s="11" t="str">
        <f aca="false">IF($B465="","",IF($E465="대체",0,1))</f>
        <v/>
      </c>
    </row>
    <row r="466" customFormat="false" ht="15" hidden="false" customHeight="false" outlineLevel="0" collapsed="false">
      <c r="A466" s="36" t="str">
        <f aca="false">IF($B466="","",COUNT($B$15:$B466))</f>
        <v/>
      </c>
      <c r="B466" s="37"/>
      <c r="C466" s="38"/>
      <c r="D466" s="39"/>
      <c r="E466" s="36" t="str">
        <f aca="false">IF($D466="","",IFERROR(INDEX('통합 ④ 설정'!$A$6:$A$40,MATCH($D466,'통합 ④ 설정'!$B$6:$B$40,0)),"※없는 과목"))</f>
        <v/>
      </c>
      <c r="F466" s="36" t="str">
        <f aca="false">IF($D466="","",IFERROR(INDEX('통합 ④ 설정'!$C$6:$C$40,MATCH($D466,'통합 ④ 설정'!$B$6:$B$40,0)),""))</f>
        <v/>
      </c>
      <c r="G466" s="39"/>
      <c r="H466" s="39"/>
      <c r="I466" s="40"/>
      <c r="J466" s="41"/>
      <c r="K466" s="38"/>
      <c r="L466" s="42" t="str">
        <f aca="false">IF($B466="","",IF(AND(N($I466)=0,N($J466)=0),"금액이 없습니다",IF(AND($I466&gt;0,$J466&gt;0),"수입·지출 둘 다 적혔습니다",IF($C466="","결제수단을 고르십시오",IF(ISNA(MATCH($C466,'통합 ③ 통장·카드'!$A$5:$A$11,0)),"③ 통장·카드에 없는 결제수단입니다",IF($D466="","계정과목을 고르십시오",IF($E466="※없는 과목","④ 설정에 없는 과목입니다",IF(AND($E466="수입",$J466&gt;0),"수입 과목인데 지출에 적혔습니다",IF(AND(LEFT($E466,2)&lt;&gt;"수입",$E466&lt;&gt;"대체",$I466&gt;0),"지출 과목인데 수입에 적혔습니다",IF($K466="","증빙을 고르십시오",IF(AND($C466="바우처통장",$J466&gt;0,IFERROR(INDEX('통합 ④ 설정'!$E$6:$E$40,MATCH($D466,'통합 ④ 설정'!$B$6:$B$40,0)),"")&lt;&gt;"○"),"바우처통장 지출 — 목적 확인",IF($H466="","적요를 적으십시오",""))))))))))))</f>
        <v/>
      </c>
      <c r="M466" s="39"/>
      <c r="O466" s="11" t="str">
        <f aca="false">IF($B466="","",YEAR($B466)*100+MONTH($B466))</f>
        <v/>
      </c>
      <c r="P466" s="11" t="str">
        <f aca="false">IF($B466="","",IF($E466="대체",0,1))</f>
        <v/>
      </c>
    </row>
    <row r="467" customFormat="false" ht="15" hidden="false" customHeight="false" outlineLevel="0" collapsed="false">
      <c r="A467" s="36" t="str">
        <f aca="false">IF($B467="","",COUNT($B$15:$B467))</f>
        <v/>
      </c>
      <c r="B467" s="37"/>
      <c r="C467" s="38"/>
      <c r="D467" s="39"/>
      <c r="E467" s="36" t="str">
        <f aca="false">IF($D467="","",IFERROR(INDEX('통합 ④ 설정'!$A$6:$A$40,MATCH($D467,'통합 ④ 설정'!$B$6:$B$40,0)),"※없는 과목"))</f>
        <v/>
      </c>
      <c r="F467" s="36" t="str">
        <f aca="false">IF($D467="","",IFERROR(INDEX('통합 ④ 설정'!$C$6:$C$40,MATCH($D467,'통합 ④ 설정'!$B$6:$B$40,0)),""))</f>
        <v/>
      </c>
      <c r="G467" s="39"/>
      <c r="H467" s="39"/>
      <c r="I467" s="40"/>
      <c r="J467" s="41"/>
      <c r="K467" s="38"/>
      <c r="L467" s="42" t="str">
        <f aca="false">IF($B467="","",IF(AND(N($I467)=0,N($J467)=0),"금액이 없습니다",IF(AND($I467&gt;0,$J467&gt;0),"수입·지출 둘 다 적혔습니다",IF($C467="","결제수단을 고르십시오",IF(ISNA(MATCH($C467,'통합 ③ 통장·카드'!$A$5:$A$11,0)),"③ 통장·카드에 없는 결제수단입니다",IF($D467="","계정과목을 고르십시오",IF($E467="※없는 과목","④ 설정에 없는 과목입니다",IF(AND($E467="수입",$J467&gt;0),"수입 과목인데 지출에 적혔습니다",IF(AND(LEFT($E467,2)&lt;&gt;"수입",$E467&lt;&gt;"대체",$I467&gt;0),"지출 과목인데 수입에 적혔습니다",IF($K467="","증빙을 고르십시오",IF(AND($C467="바우처통장",$J467&gt;0,IFERROR(INDEX('통합 ④ 설정'!$E$6:$E$40,MATCH($D467,'통합 ④ 설정'!$B$6:$B$40,0)),"")&lt;&gt;"○"),"바우처통장 지출 — 목적 확인",IF($H467="","적요를 적으십시오",""))))))))))))</f>
        <v/>
      </c>
      <c r="M467" s="39"/>
      <c r="O467" s="11" t="str">
        <f aca="false">IF($B467="","",YEAR($B467)*100+MONTH($B467))</f>
        <v/>
      </c>
      <c r="P467" s="11" t="str">
        <f aca="false">IF($B467="","",IF($E467="대체",0,1))</f>
        <v/>
      </c>
    </row>
    <row r="468" customFormat="false" ht="15" hidden="false" customHeight="false" outlineLevel="0" collapsed="false">
      <c r="A468" s="36" t="str">
        <f aca="false">IF($B468="","",COUNT($B$15:$B468))</f>
        <v/>
      </c>
      <c r="B468" s="37"/>
      <c r="C468" s="38"/>
      <c r="D468" s="39"/>
      <c r="E468" s="36" t="str">
        <f aca="false">IF($D468="","",IFERROR(INDEX('통합 ④ 설정'!$A$6:$A$40,MATCH($D468,'통합 ④ 설정'!$B$6:$B$40,0)),"※없는 과목"))</f>
        <v/>
      </c>
      <c r="F468" s="36" t="str">
        <f aca="false">IF($D468="","",IFERROR(INDEX('통합 ④ 설정'!$C$6:$C$40,MATCH($D468,'통합 ④ 설정'!$B$6:$B$40,0)),""))</f>
        <v/>
      </c>
      <c r="G468" s="39"/>
      <c r="H468" s="39"/>
      <c r="I468" s="40"/>
      <c r="J468" s="41"/>
      <c r="K468" s="38"/>
      <c r="L468" s="42" t="str">
        <f aca="false">IF($B468="","",IF(AND(N($I468)=0,N($J468)=0),"금액이 없습니다",IF(AND($I468&gt;0,$J468&gt;0),"수입·지출 둘 다 적혔습니다",IF($C468="","결제수단을 고르십시오",IF(ISNA(MATCH($C468,'통합 ③ 통장·카드'!$A$5:$A$11,0)),"③ 통장·카드에 없는 결제수단입니다",IF($D468="","계정과목을 고르십시오",IF($E468="※없는 과목","④ 설정에 없는 과목입니다",IF(AND($E468="수입",$J468&gt;0),"수입 과목인데 지출에 적혔습니다",IF(AND(LEFT($E468,2)&lt;&gt;"수입",$E468&lt;&gt;"대체",$I468&gt;0),"지출 과목인데 수입에 적혔습니다",IF($K468="","증빙을 고르십시오",IF(AND($C468="바우처통장",$J468&gt;0,IFERROR(INDEX('통합 ④ 설정'!$E$6:$E$40,MATCH($D468,'통합 ④ 설정'!$B$6:$B$40,0)),"")&lt;&gt;"○"),"바우처통장 지출 — 목적 확인",IF($H468="","적요를 적으십시오",""))))))))))))</f>
        <v/>
      </c>
      <c r="M468" s="39"/>
      <c r="O468" s="11" t="str">
        <f aca="false">IF($B468="","",YEAR($B468)*100+MONTH($B468))</f>
        <v/>
      </c>
      <c r="P468" s="11" t="str">
        <f aca="false">IF($B468="","",IF($E468="대체",0,1))</f>
        <v/>
      </c>
    </row>
    <row r="469" customFormat="false" ht="15" hidden="false" customHeight="false" outlineLevel="0" collapsed="false">
      <c r="A469" s="36" t="str">
        <f aca="false">IF($B469="","",COUNT($B$15:$B469))</f>
        <v/>
      </c>
      <c r="B469" s="37"/>
      <c r="C469" s="38"/>
      <c r="D469" s="39"/>
      <c r="E469" s="36" t="str">
        <f aca="false">IF($D469="","",IFERROR(INDEX('통합 ④ 설정'!$A$6:$A$40,MATCH($D469,'통합 ④ 설정'!$B$6:$B$40,0)),"※없는 과목"))</f>
        <v/>
      </c>
      <c r="F469" s="36" t="str">
        <f aca="false">IF($D469="","",IFERROR(INDEX('통합 ④ 설정'!$C$6:$C$40,MATCH($D469,'통합 ④ 설정'!$B$6:$B$40,0)),""))</f>
        <v/>
      </c>
      <c r="G469" s="39"/>
      <c r="H469" s="39"/>
      <c r="I469" s="40"/>
      <c r="J469" s="41"/>
      <c r="K469" s="38"/>
      <c r="L469" s="42" t="str">
        <f aca="false">IF($B469="","",IF(AND(N($I469)=0,N($J469)=0),"금액이 없습니다",IF(AND($I469&gt;0,$J469&gt;0),"수입·지출 둘 다 적혔습니다",IF($C469="","결제수단을 고르십시오",IF(ISNA(MATCH($C469,'통합 ③ 통장·카드'!$A$5:$A$11,0)),"③ 통장·카드에 없는 결제수단입니다",IF($D469="","계정과목을 고르십시오",IF($E469="※없는 과목","④ 설정에 없는 과목입니다",IF(AND($E469="수입",$J469&gt;0),"수입 과목인데 지출에 적혔습니다",IF(AND(LEFT($E469,2)&lt;&gt;"수입",$E469&lt;&gt;"대체",$I469&gt;0),"지출 과목인데 수입에 적혔습니다",IF($K469="","증빙을 고르십시오",IF(AND($C469="바우처통장",$J469&gt;0,IFERROR(INDEX('통합 ④ 설정'!$E$6:$E$40,MATCH($D469,'통합 ④ 설정'!$B$6:$B$40,0)),"")&lt;&gt;"○"),"바우처통장 지출 — 목적 확인",IF($H469="","적요를 적으십시오",""))))))))))))</f>
        <v/>
      </c>
      <c r="M469" s="39"/>
      <c r="O469" s="11" t="str">
        <f aca="false">IF($B469="","",YEAR($B469)*100+MONTH($B469))</f>
        <v/>
      </c>
      <c r="P469" s="11" t="str">
        <f aca="false">IF($B469="","",IF($E469="대체",0,1))</f>
        <v/>
      </c>
    </row>
    <row r="470" customFormat="false" ht="15" hidden="false" customHeight="false" outlineLevel="0" collapsed="false">
      <c r="A470" s="36" t="str">
        <f aca="false">IF($B470="","",COUNT($B$15:$B470))</f>
        <v/>
      </c>
      <c r="B470" s="37"/>
      <c r="C470" s="38"/>
      <c r="D470" s="39"/>
      <c r="E470" s="36" t="str">
        <f aca="false">IF($D470="","",IFERROR(INDEX('통합 ④ 설정'!$A$6:$A$40,MATCH($D470,'통합 ④ 설정'!$B$6:$B$40,0)),"※없는 과목"))</f>
        <v/>
      </c>
      <c r="F470" s="36" t="str">
        <f aca="false">IF($D470="","",IFERROR(INDEX('통합 ④ 설정'!$C$6:$C$40,MATCH($D470,'통합 ④ 설정'!$B$6:$B$40,0)),""))</f>
        <v/>
      </c>
      <c r="G470" s="39"/>
      <c r="H470" s="39"/>
      <c r="I470" s="40"/>
      <c r="J470" s="41"/>
      <c r="K470" s="38"/>
      <c r="L470" s="42" t="str">
        <f aca="false">IF($B470="","",IF(AND(N($I470)=0,N($J470)=0),"금액이 없습니다",IF(AND($I470&gt;0,$J470&gt;0),"수입·지출 둘 다 적혔습니다",IF($C470="","결제수단을 고르십시오",IF(ISNA(MATCH($C470,'통합 ③ 통장·카드'!$A$5:$A$11,0)),"③ 통장·카드에 없는 결제수단입니다",IF($D470="","계정과목을 고르십시오",IF($E470="※없는 과목","④ 설정에 없는 과목입니다",IF(AND($E470="수입",$J470&gt;0),"수입 과목인데 지출에 적혔습니다",IF(AND(LEFT($E470,2)&lt;&gt;"수입",$E470&lt;&gt;"대체",$I470&gt;0),"지출 과목인데 수입에 적혔습니다",IF($K470="","증빙을 고르십시오",IF(AND($C470="바우처통장",$J470&gt;0,IFERROR(INDEX('통합 ④ 설정'!$E$6:$E$40,MATCH($D470,'통합 ④ 설정'!$B$6:$B$40,0)),"")&lt;&gt;"○"),"바우처통장 지출 — 목적 확인",IF($H470="","적요를 적으십시오",""))))))))))))</f>
        <v/>
      </c>
      <c r="M470" s="39"/>
      <c r="O470" s="11" t="str">
        <f aca="false">IF($B470="","",YEAR($B470)*100+MONTH($B470))</f>
        <v/>
      </c>
      <c r="P470" s="11" t="str">
        <f aca="false">IF($B470="","",IF($E470="대체",0,1))</f>
        <v/>
      </c>
    </row>
    <row r="471" customFormat="false" ht="15" hidden="false" customHeight="false" outlineLevel="0" collapsed="false">
      <c r="A471" s="36" t="str">
        <f aca="false">IF($B471="","",COUNT($B$15:$B471))</f>
        <v/>
      </c>
      <c r="B471" s="37"/>
      <c r="C471" s="38"/>
      <c r="D471" s="39"/>
      <c r="E471" s="36" t="str">
        <f aca="false">IF($D471="","",IFERROR(INDEX('통합 ④ 설정'!$A$6:$A$40,MATCH($D471,'통합 ④ 설정'!$B$6:$B$40,0)),"※없는 과목"))</f>
        <v/>
      </c>
      <c r="F471" s="36" t="str">
        <f aca="false">IF($D471="","",IFERROR(INDEX('통합 ④ 설정'!$C$6:$C$40,MATCH($D471,'통합 ④ 설정'!$B$6:$B$40,0)),""))</f>
        <v/>
      </c>
      <c r="G471" s="39"/>
      <c r="H471" s="39"/>
      <c r="I471" s="40"/>
      <c r="J471" s="41"/>
      <c r="K471" s="38"/>
      <c r="L471" s="42" t="str">
        <f aca="false">IF($B471="","",IF(AND(N($I471)=0,N($J471)=0),"금액이 없습니다",IF(AND($I471&gt;0,$J471&gt;0),"수입·지출 둘 다 적혔습니다",IF($C471="","결제수단을 고르십시오",IF(ISNA(MATCH($C471,'통합 ③ 통장·카드'!$A$5:$A$11,0)),"③ 통장·카드에 없는 결제수단입니다",IF($D471="","계정과목을 고르십시오",IF($E471="※없는 과목","④ 설정에 없는 과목입니다",IF(AND($E471="수입",$J471&gt;0),"수입 과목인데 지출에 적혔습니다",IF(AND(LEFT($E471,2)&lt;&gt;"수입",$E471&lt;&gt;"대체",$I471&gt;0),"지출 과목인데 수입에 적혔습니다",IF($K471="","증빙을 고르십시오",IF(AND($C471="바우처통장",$J471&gt;0,IFERROR(INDEX('통합 ④ 설정'!$E$6:$E$40,MATCH($D471,'통합 ④ 설정'!$B$6:$B$40,0)),"")&lt;&gt;"○"),"바우처통장 지출 — 목적 확인",IF($H471="","적요를 적으십시오",""))))))))))))</f>
        <v/>
      </c>
      <c r="M471" s="39"/>
      <c r="O471" s="11" t="str">
        <f aca="false">IF($B471="","",YEAR($B471)*100+MONTH($B471))</f>
        <v/>
      </c>
      <c r="P471" s="11" t="str">
        <f aca="false">IF($B471="","",IF($E471="대체",0,1))</f>
        <v/>
      </c>
    </row>
    <row r="472" customFormat="false" ht="15" hidden="false" customHeight="false" outlineLevel="0" collapsed="false">
      <c r="A472" s="36" t="str">
        <f aca="false">IF($B472="","",COUNT($B$15:$B472))</f>
        <v/>
      </c>
      <c r="B472" s="37"/>
      <c r="C472" s="38"/>
      <c r="D472" s="39"/>
      <c r="E472" s="36" t="str">
        <f aca="false">IF($D472="","",IFERROR(INDEX('통합 ④ 설정'!$A$6:$A$40,MATCH($D472,'통합 ④ 설정'!$B$6:$B$40,0)),"※없는 과목"))</f>
        <v/>
      </c>
      <c r="F472" s="36" t="str">
        <f aca="false">IF($D472="","",IFERROR(INDEX('통합 ④ 설정'!$C$6:$C$40,MATCH($D472,'통합 ④ 설정'!$B$6:$B$40,0)),""))</f>
        <v/>
      </c>
      <c r="G472" s="39"/>
      <c r="H472" s="39"/>
      <c r="I472" s="40"/>
      <c r="J472" s="41"/>
      <c r="K472" s="38"/>
      <c r="L472" s="42" t="str">
        <f aca="false">IF($B472="","",IF(AND(N($I472)=0,N($J472)=0),"금액이 없습니다",IF(AND($I472&gt;0,$J472&gt;0),"수입·지출 둘 다 적혔습니다",IF($C472="","결제수단을 고르십시오",IF(ISNA(MATCH($C472,'통합 ③ 통장·카드'!$A$5:$A$11,0)),"③ 통장·카드에 없는 결제수단입니다",IF($D472="","계정과목을 고르십시오",IF($E472="※없는 과목","④ 설정에 없는 과목입니다",IF(AND($E472="수입",$J472&gt;0),"수입 과목인데 지출에 적혔습니다",IF(AND(LEFT($E472,2)&lt;&gt;"수입",$E472&lt;&gt;"대체",$I472&gt;0),"지출 과목인데 수입에 적혔습니다",IF($K472="","증빙을 고르십시오",IF(AND($C472="바우처통장",$J472&gt;0,IFERROR(INDEX('통합 ④ 설정'!$E$6:$E$40,MATCH($D472,'통합 ④ 설정'!$B$6:$B$40,0)),"")&lt;&gt;"○"),"바우처통장 지출 — 목적 확인",IF($H472="","적요를 적으십시오",""))))))))))))</f>
        <v/>
      </c>
      <c r="M472" s="39"/>
      <c r="O472" s="11" t="str">
        <f aca="false">IF($B472="","",YEAR($B472)*100+MONTH($B472))</f>
        <v/>
      </c>
      <c r="P472" s="11" t="str">
        <f aca="false">IF($B472="","",IF($E472="대체",0,1))</f>
        <v/>
      </c>
    </row>
    <row r="473" customFormat="false" ht="15" hidden="false" customHeight="false" outlineLevel="0" collapsed="false">
      <c r="A473" s="36" t="str">
        <f aca="false">IF($B473="","",COUNT($B$15:$B473))</f>
        <v/>
      </c>
      <c r="B473" s="37"/>
      <c r="C473" s="38"/>
      <c r="D473" s="39"/>
      <c r="E473" s="36" t="str">
        <f aca="false">IF($D473="","",IFERROR(INDEX('통합 ④ 설정'!$A$6:$A$40,MATCH($D473,'통합 ④ 설정'!$B$6:$B$40,0)),"※없는 과목"))</f>
        <v/>
      </c>
      <c r="F473" s="36" t="str">
        <f aca="false">IF($D473="","",IFERROR(INDEX('통합 ④ 설정'!$C$6:$C$40,MATCH($D473,'통합 ④ 설정'!$B$6:$B$40,0)),""))</f>
        <v/>
      </c>
      <c r="G473" s="39"/>
      <c r="H473" s="39"/>
      <c r="I473" s="40"/>
      <c r="J473" s="41"/>
      <c r="K473" s="38"/>
      <c r="L473" s="42" t="str">
        <f aca="false">IF($B473="","",IF(AND(N($I473)=0,N($J473)=0),"금액이 없습니다",IF(AND($I473&gt;0,$J473&gt;0),"수입·지출 둘 다 적혔습니다",IF($C473="","결제수단을 고르십시오",IF(ISNA(MATCH($C473,'통합 ③ 통장·카드'!$A$5:$A$11,0)),"③ 통장·카드에 없는 결제수단입니다",IF($D473="","계정과목을 고르십시오",IF($E473="※없는 과목","④ 설정에 없는 과목입니다",IF(AND($E473="수입",$J473&gt;0),"수입 과목인데 지출에 적혔습니다",IF(AND(LEFT($E473,2)&lt;&gt;"수입",$E473&lt;&gt;"대체",$I473&gt;0),"지출 과목인데 수입에 적혔습니다",IF($K473="","증빙을 고르십시오",IF(AND($C473="바우처통장",$J473&gt;0,IFERROR(INDEX('통합 ④ 설정'!$E$6:$E$40,MATCH($D473,'통합 ④ 설정'!$B$6:$B$40,0)),"")&lt;&gt;"○"),"바우처통장 지출 — 목적 확인",IF($H473="","적요를 적으십시오",""))))))))))))</f>
        <v/>
      </c>
      <c r="M473" s="39"/>
      <c r="O473" s="11" t="str">
        <f aca="false">IF($B473="","",YEAR($B473)*100+MONTH($B473))</f>
        <v/>
      </c>
      <c r="P473" s="11" t="str">
        <f aca="false">IF($B473="","",IF($E473="대체",0,1))</f>
        <v/>
      </c>
    </row>
    <row r="474" customFormat="false" ht="15" hidden="false" customHeight="false" outlineLevel="0" collapsed="false">
      <c r="A474" s="36" t="str">
        <f aca="false">IF($B474="","",COUNT($B$15:$B474))</f>
        <v/>
      </c>
      <c r="B474" s="37"/>
      <c r="C474" s="38"/>
      <c r="D474" s="39"/>
      <c r="E474" s="36" t="str">
        <f aca="false">IF($D474="","",IFERROR(INDEX('통합 ④ 설정'!$A$6:$A$40,MATCH($D474,'통합 ④ 설정'!$B$6:$B$40,0)),"※없는 과목"))</f>
        <v/>
      </c>
      <c r="F474" s="36" t="str">
        <f aca="false">IF($D474="","",IFERROR(INDEX('통합 ④ 설정'!$C$6:$C$40,MATCH($D474,'통합 ④ 설정'!$B$6:$B$40,0)),""))</f>
        <v/>
      </c>
      <c r="G474" s="39"/>
      <c r="H474" s="39"/>
      <c r="I474" s="40"/>
      <c r="J474" s="41"/>
      <c r="K474" s="38"/>
      <c r="L474" s="42" t="str">
        <f aca="false">IF($B474="","",IF(AND(N($I474)=0,N($J474)=0),"금액이 없습니다",IF(AND($I474&gt;0,$J474&gt;0),"수입·지출 둘 다 적혔습니다",IF($C474="","결제수단을 고르십시오",IF(ISNA(MATCH($C474,'통합 ③ 통장·카드'!$A$5:$A$11,0)),"③ 통장·카드에 없는 결제수단입니다",IF($D474="","계정과목을 고르십시오",IF($E474="※없는 과목","④ 설정에 없는 과목입니다",IF(AND($E474="수입",$J474&gt;0),"수입 과목인데 지출에 적혔습니다",IF(AND(LEFT($E474,2)&lt;&gt;"수입",$E474&lt;&gt;"대체",$I474&gt;0),"지출 과목인데 수입에 적혔습니다",IF($K474="","증빙을 고르십시오",IF(AND($C474="바우처통장",$J474&gt;0,IFERROR(INDEX('통합 ④ 설정'!$E$6:$E$40,MATCH($D474,'통합 ④ 설정'!$B$6:$B$40,0)),"")&lt;&gt;"○"),"바우처통장 지출 — 목적 확인",IF($H474="","적요를 적으십시오",""))))))))))))</f>
        <v/>
      </c>
      <c r="M474" s="39"/>
      <c r="O474" s="11" t="str">
        <f aca="false">IF($B474="","",YEAR($B474)*100+MONTH($B474))</f>
        <v/>
      </c>
      <c r="P474" s="11" t="str">
        <f aca="false">IF($B474="","",IF($E474="대체",0,1))</f>
        <v/>
      </c>
    </row>
    <row r="475" customFormat="false" ht="15" hidden="false" customHeight="false" outlineLevel="0" collapsed="false">
      <c r="A475" s="36" t="str">
        <f aca="false">IF($B475="","",COUNT($B$15:$B475))</f>
        <v/>
      </c>
      <c r="B475" s="37"/>
      <c r="C475" s="38"/>
      <c r="D475" s="39"/>
      <c r="E475" s="36" t="str">
        <f aca="false">IF($D475="","",IFERROR(INDEX('통합 ④ 설정'!$A$6:$A$40,MATCH($D475,'통합 ④ 설정'!$B$6:$B$40,0)),"※없는 과목"))</f>
        <v/>
      </c>
      <c r="F475" s="36" t="str">
        <f aca="false">IF($D475="","",IFERROR(INDEX('통합 ④ 설정'!$C$6:$C$40,MATCH($D475,'통합 ④ 설정'!$B$6:$B$40,0)),""))</f>
        <v/>
      </c>
      <c r="G475" s="39"/>
      <c r="H475" s="39"/>
      <c r="I475" s="40"/>
      <c r="J475" s="41"/>
      <c r="K475" s="38"/>
      <c r="L475" s="42" t="str">
        <f aca="false">IF($B475="","",IF(AND(N($I475)=0,N($J475)=0),"금액이 없습니다",IF(AND($I475&gt;0,$J475&gt;0),"수입·지출 둘 다 적혔습니다",IF($C475="","결제수단을 고르십시오",IF(ISNA(MATCH($C475,'통합 ③ 통장·카드'!$A$5:$A$11,0)),"③ 통장·카드에 없는 결제수단입니다",IF($D475="","계정과목을 고르십시오",IF($E475="※없는 과목","④ 설정에 없는 과목입니다",IF(AND($E475="수입",$J475&gt;0),"수입 과목인데 지출에 적혔습니다",IF(AND(LEFT($E475,2)&lt;&gt;"수입",$E475&lt;&gt;"대체",$I475&gt;0),"지출 과목인데 수입에 적혔습니다",IF($K475="","증빙을 고르십시오",IF(AND($C475="바우처통장",$J475&gt;0,IFERROR(INDEX('통합 ④ 설정'!$E$6:$E$40,MATCH($D475,'통합 ④ 설정'!$B$6:$B$40,0)),"")&lt;&gt;"○"),"바우처통장 지출 — 목적 확인",IF($H475="","적요를 적으십시오",""))))))))))))</f>
        <v/>
      </c>
      <c r="M475" s="39"/>
      <c r="O475" s="11" t="str">
        <f aca="false">IF($B475="","",YEAR($B475)*100+MONTH($B475))</f>
        <v/>
      </c>
      <c r="P475" s="11" t="str">
        <f aca="false">IF($B475="","",IF($E475="대체",0,1))</f>
        <v/>
      </c>
    </row>
    <row r="476" customFormat="false" ht="15" hidden="false" customHeight="false" outlineLevel="0" collapsed="false">
      <c r="A476" s="36" t="str">
        <f aca="false">IF($B476="","",COUNT($B$15:$B476))</f>
        <v/>
      </c>
      <c r="B476" s="37"/>
      <c r="C476" s="38"/>
      <c r="D476" s="39"/>
      <c r="E476" s="36" t="str">
        <f aca="false">IF($D476="","",IFERROR(INDEX('통합 ④ 설정'!$A$6:$A$40,MATCH($D476,'통합 ④ 설정'!$B$6:$B$40,0)),"※없는 과목"))</f>
        <v/>
      </c>
      <c r="F476" s="36" t="str">
        <f aca="false">IF($D476="","",IFERROR(INDEX('통합 ④ 설정'!$C$6:$C$40,MATCH($D476,'통합 ④ 설정'!$B$6:$B$40,0)),""))</f>
        <v/>
      </c>
      <c r="G476" s="39"/>
      <c r="H476" s="39"/>
      <c r="I476" s="40"/>
      <c r="J476" s="41"/>
      <c r="K476" s="38"/>
      <c r="L476" s="42" t="str">
        <f aca="false">IF($B476="","",IF(AND(N($I476)=0,N($J476)=0),"금액이 없습니다",IF(AND($I476&gt;0,$J476&gt;0),"수입·지출 둘 다 적혔습니다",IF($C476="","결제수단을 고르십시오",IF(ISNA(MATCH($C476,'통합 ③ 통장·카드'!$A$5:$A$11,0)),"③ 통장·카드에 없는 결제수단입니다",IF($D476="","계정과목을 고르십시오",IF($E476="※없는 과목","④ 설정에 없는 과목입니다",IF(AND($E476="수입",$J476&gt;0),"수입 과목인데 지출에 적혔습니다",IF(AND(LEFT($E476,2)&lt;&gt;"수입",$E476&lt;&gt;"대체",$I476&gt;0),"지출 과목인데 수입에 적혔습니다",IF($K476="","증빙을 고르십시오",IF(AND($C476="바우처통장",$J476&gt;0,IFERROR(INDEX('통합 ④ 설정'!$E$6:$E$40,MATCH($D476,'통합 ④ 설정'!$B$6:$B$40,0)),"")&lt;&gt;"○"),"바우처통장 지출 — 목적 확인",IF($H476="","적요를 적으십시오",""))))))))))))</f>
        <v/>
      </c>
      <c r="M476" s="39"/>
      <c r="O476" s="11" t="str">
        <f aca="false">IF($B476="","",YEAR($B476)*100+MONTH($B476))</f>
        <v/>
      </c>
      <c r="P476" s="11" t="str">
        <f aca="false">IF($B476="","",IF($E476="대체",0,1))</f>
        <v/>
      </c>
    </row>
    <row r="477" customFormat="false" ht="15" hidden="false" customHeight="false" outlineLevel="0" collapsed="false">
      <c r="A477" s="36" t="str">
        <f aca="false">IF($B477="","",COUNT($B$15:$B477))</f>
        <v/>
      </c>
      <c r="B477" s="37"/>
      <c r="C477" s="38"/>
      <c r="D477" s="39"/>
      <c r="E477" s="36" t="str">
        <f aca="false">IF($D477="","",IFERROR(INDEX('통합 ④ 설정'!$A$6:$A$40,MATCH($D477,'통합 ④ 설정'!$B$6:$B$40,0)),"※없는 과목"))</f>
        <v/>
      </c>
      <c r="F477" s="36" t="str">
        <f aca="false">IF($D477="","",IFERROR(INDEX('통합 ④ 설정'!$C$6:$C$40,MATCH($D477,'통합 ④ 설정'!$B$6:$B$40,0)),""))</f>
        <v/>
      </c>
      <c r="G477" s="39"/>
      <c r="H477" s="39"/>
      <c r="I477" s="40"/>
      <c r="J477" s="41"/>
      <c r="K477" s="38"/>
      <c r="L477" s="42" t="str">
        <f aca="false">IF($B477="","",IF(AND(N($I477)=0,N($J477)=0),"금액이 없습니다",IF(AND($I477&gt;0,$J477&gt;0),"수입·지출 둘 다 적혔습니다",IF($C477="","결제수단을 고르십시오",IF(ISNA(MATCH($C477,'통합 ③ 통장·카드'!$A$5:$A$11,0)),"③ 통장·카드에 없는 결제수단입니다",IF($D477="","계정과목을 고르십시오",IF($E477="※없는 과목","④ 설정에 없는 과목입니다",IF(AND($E477="수입",$J477&gt;0),"수입 과목인데 지출에 적혔습니다",IF(AND(LEFT($E477,2)&lt;&gt;"수입",$E477&lt;&gt;"대체",$I477&gt;0),"지출 과목인데 수입에 적혔습니다",IF($K477="","증빙을 고르십시오",IF(AND($C477="바우처통장",$J477&gt;0,IFERROR(INDEX('통합 ④ 설정'!$E$6:$E$40,MATCH($D477,'통합 ④ 설정'!$B$6:$B$40,0)),"")&lt;&gt;"○"),"바우처통장 지출 — 목적 확인",IF($H477="","적요를 적으십시오",""))))))))))))</f>
        <v/>
      </c>
      <c r="M477" s="39"/>
      <c r="O477" s="11" t="str">
        <f aca="false">IF($B477="","",YEAR($B477)*100+MONTH($B477))</f>
        <v/>
      </c>
      <c r="P477" s="11" t="str">
        <f aca="false">IF($B477="","",IF($E477="대체",0,1))</f>
        <v/>
      </c>
    </row>
    <row r="478" customFormat="false" ht="15" hidden="false" customHeight="false" outlineLevel="0" collapsed="false">
      <c r="A478" s="36" t="str">
        <f aca="false">IF($B478="","",COUNT($B$15:$B478))</f>
        <v/>
      </c>
      <c r="B478" s="37"/>
      <c r="C478" s="38"/>
      <c r="D478" s="39"/>
      <c r="E478" s="36" t="str">
        <f aca="false">IF($D478="","",IFERROR(INDEX('통합 ④ 설정'!$A$6:$A$40,MATCH($D478,'통합 ④ 설정'!$B$6:$B$40,0)),"※없는 과목"))</f>
        <v/>
      </c>
      <c r="F478" s="36" t="str">
        <f aca="false">IF($D478="","",IFERROR(INDEX('통합 ④ 설정'!$C$6:$C$40,MATCH($D478,'통합 ④ 설정'!$B$6:$B$40,0)),""))</f>
        <v/>
      </c>
      <c r="G478" s="39"/>
      <c r="H478" s="39"/>
      <c r="I478" s="40"/>
      <c r="J478" s="41"/>
      <c r="K478" s="38"/>
      <c r="L478" s="42" t="str">
        <f aca="false">IF($B478="","",IF(AND(N($I478)=0,N($J478)=0),"금액이 없습니다",IF(AND($I478&gt;0,$J478&gt;0),"수입·지출 둘 다 적혔습니다",IF($C478="","결제수단을 고르십시오",IF(ISNA(MATCH($C478,'통합 ③ 통장·카드'!$A$5:$A$11,0)),"③ 통장·카드에 없는 결제수단입니다",IF($D478="","계정과목을 고르십시오",IF($E478="※없는 과목","④ 설정에 없는 과목입니다",IF(AND($E478="수입",$J478&gt;0),"수입 과목인데 지출에 적혔습니다",IF(AND(LEFT($E478,2)&lt;&gt;"수입",$E478&lt;&gt;"대체",$I478&gt;0),"지출 과목인데 수입에 적혔습니다",IF($K478="","증빙을 고르십시오",IF(AND($C478="바우처통장",$J478&gt;0,IFERROR(INDEX('통합 ④ 설정'!$E$6:$E$40,MATCH($D478,'통합 ④ 설정'!$B$6:$B$40,0)),"")&lt;&gt;"○"),"바우처통장 지출 — 목적 확인",IF($H478="","적요를 적으십시오",""))))))))))))</f>
        <v/>
      </c>
      <c r="M478" s="39"/>
      <c r="O478" s="11" t="str">
        <f aca="false">IF($B478="","",YEAR($B478)*100+MONTH($B478))</f>
        <v/>
      </c>
      <c r="P478" s="11" t="str">
        <f aca="false">IF($B478="","",IF($E478="대체",0,1))</f>
        <v/>
      </c>
    </row>
    <row r="479" customFormat="false" ht="15" hidden="false" customHeight="false" outlineLevel="0" collapsed="false">
      <c r="A479" s="36" t="str">
        <f aca="false">IF($B479="","",COUNT($B$15:$B479))</f>
        <v/>
      </c>
      <c r="B479" s="37"/>
      <c r="C479" s="38"/>
      <c r="D479" s="39"/>
      <c r="E479" s="36" t="str">
        <f aca="false">IF($D479="","",IFERROR(INDEX('통합 ④ 설정'!$A$6:$A$40,MATCH($D479,'통합 ④ 설정'!$B$6:$B$40,0)),"※없는 과목"))</f>
        <v/>
      </c>
      <c r="F479" s="36" t="str">
        <f aca="false">IF($D479="","",IFERROR(INDEX('통합 ④ 설정'!$C$6:$C$40,MATCH($D479,'통합 ④ 설정'!$B$6:$B$40,0)),""))</f>
        <v/>
      </c>
      <c r="G479" s="39"/>
      <c r="H479" s="39"/>
      <c r="I479" s="40"/>
      <c r="J479" s="41"/>
      <c r="K479" s="38"/>
      <c r="L479" s="42" t="str">
        <f aca="false">IF($B479="","",IF(AND(N($I479)=0,N($J479)=0),"금액이 없습니다",IF(AND($I479&gt;0,$J479&gt;0),"수입·지출 둘 다 적혔습니다",IF($C479="","결제수단을 고르십시오",IF(ISNA(MATCH($C479,'통합 ③ 통장·카드'!$A$5:$A$11,0)),"③ 통장·카드에 없는 결제수단입니다",IF($D479="","계정과목을 고르십시오",IF($E479="※없는 과목","④ 설정에 없는 과목입니다",IF(AND($E479="수입",$J479&gt;0),"수입 과목인데 지출에 적혔습니다",IF(AND(LEFT($E479,2)&lt;&gt;"수입",$E479&lt;&gt;"대체",$I479&gt;0),"지출 과목인데 수입에 적혔습니다",IF($K479="","증빙을 고르십시오",IF(AND($C479="바우처통장",$J479&gt;0,IFERROR(INDEX('통합 ④ 설정'!$E$6:$E$40,MATCH($D479,'통합 ④ 설정'!$B$6:$B$40,0)),"")&lt;&gt;"○"),"바우처통장 지출 — 목적 확인",IF($H479="","적요를 적으십시오",""))))))))))))</f>
        <v/>
      </c>
      <c r="M479" s="39"/>
      <c r="O479" s="11" t="str">
        <f aca="false">IF($B479="","",YEAR($B479)*100+MONTH($B479))</f>
        <v/>
      </c>
      <c r="P479" s="11" t="str">
        <f aca="false">IF($B479="","",IF($E479="대체",0,1))</f>
        <v/>
      </c>
    </row>
    <row r="480" customFormat="false" ht="15" hidden="false" customHeight="false" outlineLevel="0" collapsed="false">
      <c r="A480" s="36" t="str">
        <f aca="false">IF($B480="","",COUNT($B$15:$B480))</f>
        <v/>
      </c>
      <c r="B480" s="37"/>
      <c r="C480" s="38"/>
      <c r="D480" s="39"/>
      <c r="E480" s="36" t="str">
        <f aca="false">IF($D480="","",IFERROR(INDEX('통합 ④ 설정'!$A$6:$A$40,MATCH($D480,'통합 ④ 설정'!$B$6:$B$40,0)),"※없는 과목"))</f>
        <v/>
      </c>
      <c r="F480" s="36" t="str">
        <f aca="false">IF($D480="","",IFERROR(INDEX('통합 ④ 설정'!$C$6:$C$40,MATCH($D480,'통합 ④ 설정'!$B$6:$B$40,0)),""))</f>
        <v/>
      </c>
      <c r="G480" s="39"/>
      <c r="H480" s="39"/>
      <c r="I480" s="40"/>
      <c r="J480" s="41"/>
      <c r="K480" s="38"/>
      <c r="L480" s="42" t="str">
        <f aca="false">IF($B480="","",IF(AND(N($I480)=0,N($J480)=0),"금액이 없습니다",IF(AND($I480&gt;0,$J480&gt;0),"수입·지출 둘 다 적혔습니다",IF($C480="","결제수단을 고르십시오",IF(ISNA(MATCH($C480,'통합 ③ 통장·카드'!$A$5:$A$11,0)),"③ 통장·카드에 없는 결제수단입니다",IF($D480="","계정과목을 고르십시오",IF($E480="※없는 과목","④ 설정에 없는 과목입니다",IF(AND($E480="수입",$J480&gt;0),"수입 과목인데 지출에 적혔습니다",IF(AND(LEFT($E480,2)&lt;&gt;"수입",$E480&lt;&gt;"대체",$I480&gt;0),"지출 과목인데 수입에 적혔습니다",IF($K480="","증빙을 고르십시오",IF(AND($C480="바우처통장",$J480&gt;0,IFERROR(INDEX('통합 ④ 설정'!$E$6:$E$40,MATCH($D480,'통합 ④ 설정'!$B$6:$B$40,0)),"")&lt;&gt;"○"),"바우처통장 지출 — 목적 확인",IF($H480="","적요를 적으십시오",""))))))))))))</f>
        <v/>
      </c>
      <c r="M480" s="39"/>
      <c r="O480" s="11" t="str">
        <f aca="false">IF($B480="","",YEAR($B480)*100+MONTH($B480))</f>
        <v/>
      </c>
      <c r="P480" s="11" t="str">
        <f aca="false">IF($B480="","",IF($E480="대체",0,1))</f>
        <v/>
      </c>
    </row>
    <row r="481" customFormat="false" ht="15" hidden="false" customHeight="false" outlineLevel="0" collapsed="false">
      <c r="A481" s="36" t="str">
        <f aca="false">IF($B481="","",COUNT($B$15:$B481))</f>
        <v/>
      </c>
      <c r="B481" s="37"/>
      <c r="C481" s="38"/>
      <c r="D481" s="39"/>
      <c r="E481" s="36" t="str">
        <f aca="false">IF($D481="","",IFERROR(INDEX('통합 ④ 설정'!$A$6:$A$40,MATCH($D481,'통합 ④ 설정'!$B$6:$B$40,0)),"※없는 과목"))</f>
        <v/>
      </c>
      <c r="F481" s="36" t="str">
        <f aca="false">IF($D481="","",IFERROR(INDEX('통합 ④ 설정'!$C$6:$C$40,MATCH($D481,'통합 ④ 설정'!$B$6:$B$40,0)),""))</f>
        <v/>
      </c>
      <c r="G481" s="39"/>
      <c r="H481" s="39"/>
      <c r="I481" s="40"/>
      <c r="J481" s="41"/>
      <c r="K481" s="38"/>
      <c r="L481" s="42" t="str">
        <f aca="false">IF($B481="","",IF(AND(N($I481)=0,N($J481)=0),"금액이 없습니다",IF(AND($I481&gt;0,$J481&gt;0),"수입·지출 둘 다 적혔습니다",IF($C481="","결제수단을 고르십시오",IF(ISNA(MATCH($C481,'통합 ③ 통장·카드'!$A$5:$A$11,0)),"③ 통장·카드에 없는 결제수단입니다",IF($D481="","계정과목을 고르십시오",IF($E481="※없는 과목","④ 설정에 없는 과목입니다",IF(AND($E481="수입",$J481&gt;0),"수입 과목인데 지출에 적혔습니다",IF(AND(LEFT($E481,2)&lt;&gt;"수입",$E481&lt;&gt;"대체",$I481&gt;0),"지출 과목인데 수입에 적혔습니다",IF($K481="","증빙을 고르십시오",IF(AND($C481="바우처통장",$J481&gt;0,IFERROR(INDEX('통합 ④ 설정'!$E$6:$E$40,MATCH($D481,'통합 ④ 설정'!$B$6:$B$40,0)),"")&lt;&gt;"○"),"바우처통장 지출 — 목적 확인",IF($H481="","적요를 적으십시오",""))))))))))))</f>
        <v/>
      </c>
      <c r="M481" s="39"/>
      <c r="O481" s="11" t="str">
        <f aca="false">IF($B481="","",YEAR($B481)*100+MONTH($B481))</f>
        <v/>
      </c>
      <c r="P481" s="11" t="str">
        <f aca="false">IF($B481="","",IF($E481="대체",0,1))</f>
        <v/>
      </c>
    </row>
    <row r="482" customFormat="false" ht="15" hidden="false" customHeight="false" outlineLevel="0" collapsed="false">
      <c r="A482" s="36" t="str">
        <f aca="false">IF($B482="","",COUNT($B$15:$B482))</f>
        <v/>
      </c>
      <c r="B482" s="37"/>
      <c r="C482" s="38"/>
      <c r="D482" s="39"/>
      <c r="E482" s="36" t="str">
        <f aca="false">IF($D482="","",IFERROR(INDEX('통합 ④ 설정'!$A$6:$A$40,MATCH($D482,'통합 ④ 설정'!$B$6:$B$40,0)),"※없는 과목"))</f>
        <v/>
      </c>
      <c r="F482" s="36" t="str">
        <f aca="false">IF($D482="","",IFERROR(INDEX('통합 ④ 설정'!$C$6:$C$40,MATCH($D482,'통합 ④ 설정'!$B$6:$B$40,0)),""))</f>
        <v/>
      </c>
      <c r="G482" s="39"/>
      <c r="H482" s="39"/>
      <c r="I482" s="40"/>
      <c r="J482" s="41"/>
      <c r="K482" s="38"/>
      <c r="L482" s="42" t="str">
        <f aca="false">IF($B482="","",IF(AND(N($I482)=0,N($J482)=0),"금액이 없습니다",IF(AND($I482&gt;0,$J482&gt;0),"수입·지출 둘 다 적혔습니다",IF($C482="","결제수단을 고르십시오",IF(ISNA(MATCH($C482,'통합 ③ 통장·카드'!$A$5:$A$11,0)),"③ 통장·카드에 없는 결제수단입니다",IF($D482="","계정과목을 고르십시오",IF($E482="※없는 과목","④ 설정에 없는 과목입니다",IF(AND($E482="수입",$J482&gt;0),"수입 과목인데 지출에 적혔습니다",IF(AND(LEFT($E482,2)&lt;&gt;"수입",$E482&lt;&gt;"대체",$I482&gt;0),"지출 과목인데 수입에 적혔습니다",IF($K482="","증빙을 고르십시오",IF(AND($C482="바우처통장",$J482&gt;0,IFERROR(INDEX('통합 ④ 설정'!$E$6:$E$40,MATCH($D482,'통합 ④ 설정'!$B$6:$B$40,0)),"")&lt;&gt;"○"),"바우처통장 지출 — 목적 확인",IF($H482="","적요를 적으십시오",""))))))))))))</f>
        <v/>
      </c>
      <c r="M482" s="39"/>
      <c r="O482" s="11" t="str">
        <f aca="false">IF($B482="","",YEAR($B482)*100+MONTH($B482))</f>
        <v/>
      </c>
      <c r="P482" s="11" t="str">
        <f aca="false">IF($B482="","",IF($E482="대체",0,1))</f>
        <v/>
      </c>
    </row>
    <row r="483" customFormat="false" ht="15" hidden="false" customHeight="false" outlineLevel="0" collapsed="false">
      <c r="A483" s="36" t="str">
        <f aca="false">IF($B483="","",COUNT($B$15:$B483))</f>
        <v/>
      </c>
      <c r="B483" s="37"/>
      <c r="C483" s="38"/>
      <c r="D483" s="39"/>
      <c r="E483" s="36" t="str">
        <f aca="false">IF($D483="","",IFERROR(INDEX('통합 ④ 설정'!$A$6:$A$40,MATCH($D483,'통합 ④ 설정'!$B$6:$B$40,0)),"※없는 과목"))</f>
        <v/>
      </c>
      <c r="F483" s="36" t="str">
        <f aca="false">IF($D483="","",IFERROR(INDEX('통합 ④ 설정'!$C$6:$C$40,MATCH($D483,'통합 ④ 설정'!$B$6:$B$40,0)),""))</f>
        <v/>
      </c>
      <c r="G483" s="39"/>
      <c r="H483" s="39"/>
      <c r="I483" s="40"/>
      <c r="J483" s="41"/>
      <c r="K483" s="38"/>
      <c r="L483" s="42" t="str">
        <f aca="false">IF($B483="","",IF(AND(N($I483)=0,N($J483)=0),"금액이 없습니다",IF(AND($I483&gt;0,$J483&gt;0),"수입·지출 둘 다 적혔습니다",IF($C483="","결제수단을 고르십시오",IF(ISNA(MATCH($C483,'통합 ③ 통장·카드'!$A$5:$A$11,0)),"③ 통장·카드에 없는 결제수단입니다",IF($D483="","계정과목을 고르십시오",IF($E483="※없는 과목","④ 설정에 없는 과목입니다",IF(AND($E483="수입",$J483&gt;0),"수입 과목인데 지출에 적혔습니다",IF(AND(LEFT($E483,2)&lt;&gt;"수입",$E483&lt;&gt;"대체",$I483&gt;0),"지출 과목인데 수입에 적혔습니다",IF($K483="","증빙을 고르십시오",IF(AND($C483="바우처통장",$J483&gt;0,IFERROR(INDEX('통합 ④ 설정'!$E$6:$E$40,MATCH($D483,'통합 ④ 설정'!$B$6:$B$40,0)),"")&lt;&gt;"○"),"바우처통장 지출 — 목적 확인",IF($H483="","적요를 적으십시오",""))))))))))))</f>
        <v/>
      </c>
      <c r="M483" s="39"/>
      <c r="O483" s="11" t="str">
        <f aca="false">IF($B483="","",YEAR($B483)*100+MONTH($B483))</f>
        <v/>
      </c>
      <c r="P483" s="11" t="str">
        <f aca="false">IF($B483="","",IF($E483="대체",0,1))</f>
        <v/>
      </c>
    </row>
    <row r="484" customFormat="false" ht="15" hidden="false" customHeight="false" outlineLevel="0" collapsed="false">
      <c r="A484" s="36" t="str">
        <f aca="false">IF($B484="","",COUNT($B$15:$B484))</f>
        <v/>
      </c>
      <c r="B484" s="37"/>
      <c r="C484" s="38"/>
      <c r="D484" s="39"/>
      <c r="E484" s="36" t="str">
        <f aca="false">IF($D484="","",IFERROR(INDEX('통합 ④ 설정'!$A$6:$A$40,MATCH($D484,'통합 ④ 설정'!$B$6:$B$40,0)),"※없는 과목"))</f>
        <v/>
      </c>
      <c r="F484" s="36" t="str">
        <f aca="false">IF($D484="","",IFERROR(INDEX('통합 ④ 설정'!$C$6:$C$40,MATCH($D484,'통합 ④ 설정'!$B$6:$B$40,0)),""))</f>
        <v/>
      </c>
      <c r="G484" s="39"/>
      <c r="H484" s="39"/>
      <c r="I484" s="40"/>
      <c r="J484" s="41"/>
      <c r="K484" s="38"/>
      <c r="L484" s="42" t="str">
        <f aca="false">IF($B484="","",IF(AND(N($I484)=0,N($J484)=0),"금액이 없습니다",IF(AND($I484&gt;0,$J484&gt;0),"수입·지출 둘 다 적혔습니다",IF($C484="","결제수단을 고르십시오",IF(ISNA(MATCH($C484,'통합 ③ 통장·카드'!$A$5:$A$11,0)),"③ 통장·카드에 없는 결제수단입니다",IF($D484="","계정과목을 고르십시오",IF($E484="※없는 과목","④ 설정에 없는 과목입니다",IF(AND($E484="수입",$J484&gt;0),"수입 과목인데 지출에 적혔습니다",IF(AND(LEFT($E484,2)&lt;&gt;"수입",$E484&lt;&gt;"대체",$I484&gt;0),"지출 과목인데 수입에 적혔습니다",IF($K484="","증빙을 고르십시오",IF(AND($C484="바우처통장",$J484&gt;0,IFERROR(INDEX('통합 ④ 설정'!$E$6:$E$40,MATCH($D484,'통합 ④ 설정'!$B$6:$B$40,0)),"")&lt;&gt;"○"),"바우처통장 지출 — 목적 확인",IF($H484="","적요를 적으십시오",""))))))))))))</f>
        <v/>
      </c>
      <c r="M484" s="39"/>
      <c r="O484" s="11" t="str">
        <f aca="false">IF($B484="","",YEAR($B484)*100+MONTH($B484))</f>
        <v/>
      </c>
      <c r="P484" s="11" t="str">
        <f aca="false">IF($B484="","",IF($E484="대체",0,1))</f>
        <v/>
      </c>
    </row>
    <row r="485" customFormat="false" ht="15" hidden="false" customHeight="false" outlineLevel="0" collapsed="false">
      <c r="A485" s="36" t="str">
        <f aca="false">IF($B485="","",COUNT($B$15:$B485))</f>
        <v/>
      </c>
      <c r="B485" s="37"/>
      <c r="C485" s="38"/>
      <c r="D485" s="39"/>
      <c r="E485" s="36" t="str">
        <f aca="false">IF($D485="","",IFERROR(INDEX('통합 ④ 설정'!$A$6:$A$40,MATCH($D485,'통합 ④ 설정'!$B$6:$B$40,0)),"※없는 과목"))</f>
        <v/>
      </c>
      <c r="F485" s="36" t="str">
        <f aca="false">IF($D485="","",IFERROR(INDEX('통합 ④ 설정'!$C$6:$C$40,MATCH($D485,'통합 ④ 설정'!$B$6:$B$40,0)),""))</f>
        <v/>
      </c>
      <c r="G485" s="39"/>
      <c r="H485" s="39"/>
      <c r="I485" s="40"/>
      <c r="J485" s="41"/>
      <c r="K485" s="38"/>
      <c r="L485" s="42" t="str">
        <f aca="false">IF($B485="","",IF(AND(N($I485)=0,N($J485)=0),"금액이 없습니다",IF(AND($I485&gt;0,$J485&gt;0),"수입·지출 둘 다 적혔습니다",IF($C485="","결제수단을 고르십시오",IF(ISNA(MATCH($C485,'통합 ③ 통장·카드'!$A$5:$A$11,0)),"③ 통장·카드에 없는 결제수단입니다",IF($D485="","계정과목을 고르십시오",IF($E485="※없는 과목","④ 설정에 없는 과목입니다",IF(AND($E485="수입",$J485&gt;0),"수입 과목인데 지출에 적혔습니다",IF(AND(LEFT($E485,2)&lt;&gt;"수입",$E485&lt;&gt;"대체",$I485&gt;0),"지출 과목인데 수입에 적혔습니다",IF($K485="","증빙을 고르십시오",IF(AND($C485="바우처통장",$J485&gt;0,IFERROR(INDEX('통합 ④ 설정'!$E$6:$E$40,MATCH($D485,'통합 ④ 설정'!$B$6:$B$40,0)),"")&lt;&gt;"○"),"바우처통장 지출 — 목적 확인",IF($H485="","적요를 적으십시오",""))))))))))))</f>
        <v/>
      </c>
      <c r="M485" s="39"/>
      <c r="O485" s="11" t="str">
        <f aca="false">IF($B485="","",YEAR($B485)*100+MONTH($B485))</f>
        <v/>
      </c>
      <c r="P485" s="11" t="str">
        <f aca="false">IF($B485="","",IF($E485="대체",0,1))</f>
        <v/>
      </c>
    </row>
    <row r="486" customFormat="false" ht="15" hidden="false" customHeight="false" outlineLevel="0" collapsed="false">
      <c r="A486" s="36" t="str">
        <f aca="false">IF($B486="","",COUNT($B$15:$B486))</f>
        <v/>
      </c>
      <c r="B486" s="37"/>
      <c r="C486" s="38"/>
      <c r="D486" s="39"/>
      <c r="E486" s="36" t="str">
        <f aca="false">IF($D486="","",IFERROR(INDEX('통합 ④ 설정'!$A$6:$A$40,MATCH($D486,'통합 ④ 설정'!$B$6:$B$40,0)),"※없는 과목"))</f>
        <v/>
      </c>
      <c r="F486" s="36" t="str">
        <f aca="false">IF($D486="","",IFERROR(INDEX('통합 ④ 설정'!$C$6:$C$40,MATCH($D486,'통합 ④ 설정'!$B$6:$B$40,0)),""))</f>
        <v/>
      </c>
      <c r="G486" s="39"/>
      <c r="H486" s="39"/>
      <c r="I486" s="40"/>
      <c r="J486" s="41"/>
      <c r="K486" s="38"/>
      <c r="L486" s="42" t="str">
        <f aca="false">IF($B486="","",IF(AND(N($I486)=0,N($J486)=0),"금액이 없습니다",IF(AND($I486&gt;0,$J486&gt;0),"수입·지출 둘 다 적혔습니다",IF($C486="","결제수단을 고르십시오",IF(ISNA(MATCH($C486,'통합 ③ 통장·카드'!$A$5:$A$11,0)),"③ 통장·카드에 없는 결제수단입니다",IF($D486="","계정과목을 고르십시오",IF($E486="※없는 과목","④ 설정에 없는 과목입니다",IF(AND($E486="수입",$J486&gt;0),"수입 과목인데 지출에 적혔습니다",IF(AND(LEFT($E486,2)&lt;&gt;"수입",$E486&lt;&gt;"대체",$I486&gt;0),"지출 과목인데 수입에 적혔습니다",IF($K486="","증빙을 고르십시오",IF(AND($C486="바우처통장",$J486&gt;0,IFERROR(INDEX('통합 ④ 설정'!$E$6:$E$40,MATCH($D486,'통합 ④ 설정'!$B$6:$B$40,0)),"")&lt;&gt;"○"),"바우처통장 지출 — 목적 확인",IF($H486="","적요를 적으십시오",""))))))))))))</f>
        <v/>
      </c>
      <c r="M486" s="39"/>
      <c r="O486" s="11" t="str">
        <f aca="false">IF($B486="","",YEAR($B486)*100+MONTH($B486))</f>
        <v/>
      </c>
      <c r="P486" s="11" t="str">
        <f aca="false">IF($B486="","",IF($E486="대체",0,1))</f>
        <v/>
      </c>
    </row>
    <row r="487" customFormat="false" ht="15" hidden="false" customHeight="false" outlineLevel="0" collapsed="false">
      <c r="A487" s="36" t="str">
        <f aca="false">IF($B487="","",COUNT($B$15:$B487))</f>
        <v/>
      </c>
      <c r="B487" s="37"/>
      <c r="C487" s="38"/>
      <c r="D487" s="39"/>
      <c r="E487" s="36" t="str">
        <f aca="false">IF($D487="","",IFERROR(INDEX('통합 ④ 설정'!$A$6:$A$40,MATCH($D487,'통합 ④ 설정'!$B$6:$B$40,0)),"※없는 과목"))</f>
        <v/>
      </c>
      <c r="F487" s="36" t="str">
        <f aca="false">IF($D487="","",IFERROR(INDEX('통합 ④ 설정'!$C$6:$C$40,MATCH($D487,'통합 ④ 설정'!$B$6:$B$40,0)),""))</f>
        <v/>
      </c>
      <c r="G487" s="39"/>
      <c r="H487" s="39"/>
      <c r="I487" s="40"/>
      <c r="J487" s="41"/>
      <c r="K487" s="38"/>
      <c r="L487" s="42" t="str">
        <f aca="false">IF($B487="","",IF(AND(N($I487)=0,N($J487)=0),"금액이 없습니다",IF(AND($I487&gt;0,$J487&gt;0),"수입·지출 둘 다 적혔습니다",IF($C487="","결제수단을 고르십시오",IF(ISNA(MATCH($C487,'통합 ③ 통장·카드'!$A$5:$A$11,0)),"③ 통장·카드에 없는 결제수단입니다",IF($D487="","계정과목을 고르십시오",IF($E487="※없는 과목","④ 설정에 없는 과목입니다",IF(AND($E487="수입",$J487&gt;0),"수입 과목인데 지출에 적혔습니다",IF(AND(LEFT($E487,2)&lt;&gt;"수입",$E487&lt;&gt;"대체",$I487&gt;0),"지출 과목인데 수입에 적혔습니다",IF($K487="","증빙을 고르십시오",IF(AND($C487="바우처통장",$J487&gt;0,IFERROR(INDEX('통합 ④ 설정'!$E$6:$E$40,MATCH($D487,'통합 ④ 설정'!$B$6:$B$40,0)),"")&lt;&gt;"○"),"바우처통장 지출 — 목적 확인",IF($H487="","적요를 적으십시오",""))))))))))))</f>
        <v/>
      </c>
      <c r="M487" s="39"/>
      <c r="O487" s="11" t="str">
        <f aca="false">IF($B487="","",YEAR($B487)*100+MONTH($B487))</f>
        <v/>
      </c>
      <c r="P487" s="11" t="str">
        <f aca="false">IF($B487="","",IF($E487="대체",0,1))</f>
        <v/>
      </c>
    </row>
    <row r="488" customFormat="false" ht="15" hidden="false" customHeight="false" outlineLevel="0" collapsed="false">
      <c r="A488" s="36" t="str">
        <f aca="false">IF($B488="","",COUNT($B$15:$B488))</f>
        <v/>
      </c>
      <c r="B488" s="37"/>
      <c r="C488" s="38"/>
      <c r="D488" s="39"/>
      <c r="E488" s="36" t="str">
        <f aca="false">IF($D488="","",IFERROR(INDEX('통합 ④ 설정'!$A$6:$A$40,MATCH($D488,'통합 ④ 설정'!$B$6:$B$40,0)),"※없는 과목"))</f>
        <v/>
      </c>
      <c r="F488" s="36" t="str">
        <f aca="false">IF($D488="","",IFERROR(INDEX('통합 ④ 설정'!$C$6:$C$40,MATCH($D488,'통합 ④ 설정'!$B$6:$B$40,0)),""))</f>
        <v/>
      </c>
      <c r="G488" s="39"/>
      <c r="H488" s="39"/>
      <c r="I488" s="40"/>
      <c r="J488" s="41"/>
      <c r="K488" s="38"/>
      <c r="L488" s="42" t="str">
        <f aca="false">IF($B488="","",IF(AND(N($I488)=0,N($J488)=0),"금액이 없습니다",IF(AND($I488&gt;0,$J488&gt;0),"수입·지출 둘 다 적혔습니다",IF($C488="","결제수단을 고르십시오",IF(ISNA(MATCH($C488,'통합 ③ 통장·카드'!$A$5:$A$11,0)),"③ 통장·카드에 없는 결제수단입니다",IF($D488="","계정과목을 고르십시오",IF($E488="※없는 과목","④ 설정에 없는 과목입니다",IF(AND($E488="수입",$J488&gt;0),"수입 과목인데 지출에 적혔습니다",IF(AND(LEFT($E488,2)&lt;&gt;"수입",$E488&lt;&gt;"대체",$I488&gt;0),"지출 과목인데 수입에 적혔습니다",IF($K488="","증빙을 고르십시오",IF(AND($C488="바우처통장",$J488&gt;0,IFERROR(INDEX('통합 ④ 설정'!$E$6:$E$40,MATCH($D488,'통합 ④ 설정'!$B$6:$B$40,0)),"")&lt;&gt;"○"),"바우처통장 지출 — 목적 확인",IF($H488="","적요를 적으십시오",""))))))))))))</f>
        <v/>
      </c>
      <c r="M488" s="39"/>
      <c r="O488" s="11" t="str">
        <f aca="false">IF($B488="","",YEAR($B488)*100+MONTH($B488))</f>
        <v/>
      </c>
      <c r="P488" s="11" t="str">
        <f aca="false">IF($B488="","",IF($E488="대체",0,1))</f>
        <v/>
      </c>
    </row>
    <row r="489" customFormat="false" ht="15" hidden="false" customHeight="false" outlineLevel="0" collapsed="false">
      <c r="A489" s="36" t="str">
        <f aca="false">IF($B489="","",COUNT($B$15:$B489))</f>
        <v/>
      </c>
      <c r="B489" s="37"/>
      <c r="C489" s="38"/>
      <c r="D489" s="39"/>
      <c r="E489" s="36" t="str">
        <f aca="false">IF($D489="","",IFERROR(INDEX('통합 ④ 설정'!$A$6:$A$40,MATCH($D489,'통합 ④ 설정'!$B$6:$B$40,0)),"※없는 과목"))</f>
        <v/>
      </c>
      <c r="F489" s="36" t="str">
        <f aca="false">IF($D489="","",IFERROR(INDEX('통합 ④ 설정'!$C$6:$C$40,MATCH($D489,'통합 ④ 설정'!$B$6:$B$40,0)),""))</f>
        <v/>
      </c>
      <c r="G489" s="39"/>
      <c r="H489" s="39"/>
      <c r="I489" s="40"/>
      <c r="J489" s="41"/>
      <c r="K489" s="38"/>
      <c r="L489" s="42" t="str">
        <f aca="false">IF($B489="","",IF(AND(N($I489)=0,N($J489)=0),"금액이 없습니다",IF(AND($I489&gt;0,$J489&gt;0),"수입·지출 둘 다 적혔습니다",IF($C489="","결제수단을 고르십시오",IF(ISNA(MATCH($C489,'통합 ③ 통장·카드'!$A$5:$A$11,0)),"③ 통장·카드에 없는 결제수단입니다",IF($D489="","계정과목을 고르십시오",IF($E489="※없는 과목","④ 설정에 없는 과목입니다",IF(AND($E489="수입",$J489&gt;0),"수입 과목인데 지출에 적혔습니다",IF(AND(LEFT($E489,2)&lt;&gt;"수입",$E489&lt;&gt;"대체",$I489&gt;0),"지출 과목인데 수입에 적혔습니다",IF($K489="","증빙을 고르십시오",IF(AND($C489="바우처통장",$J489&gt;0,IFERROR(INDEX('통합 ④ 설정'!$E$6:$E$40,MATCH($D489,'통합 ④ 설정'!$B$6:$B$40,0)),"")&lt;&gt;"○"),"바우처통장 지출 — 목적 확인",IF($H489="","적요를 적으십시오",""))))))))))))</f>
        <v/>
      </c>
      <c r="M489" s="39"/>
      <c r="O489" s="11" t="str">
        <f aca="false">IF($B489="","",YEAR($B489)*100+MONTH($B489))</f>
        <v/>
      </c>
      <c r="P489" s="11" t="str">
        <f aca="false">IF($B489="","",IF($E489="대체",0,1))</f>
        <v/>
      </c>
    </row>
    <row r="490" customFormat="false" ht="15" hidden="false" customHeight="false" outlineLevel="0" collapsed="false">
      <c r="A490" s="36" t="str">
        <f aca="false">IF($B490="","",COUNT($B$15:$B490))</f>
        <v/>
      </c>
      <c r="B490" s="37"/>
      <c r="C490" s="38"/>
      <c r="D490" s="39"/>
      <c r="E490" s="36" t="str">
        <f aca="false">IF($D490="","",IFERROR(INDEX('통합 ④ 설정'!$A$6:$A$40,MATCH($D490,'통합 ④ 설정'!$B$6:$B$40,0)),"※없는 과목"))</f>
        <v/>
      </c>
      <c r="F490" s="36" t="str">
        <f aca="false">IF($D490="","",IFERROR(INDEX('통합 ④ 설정'!$C$6:$C$40,MATCH($D490,'통합 ④ 설정'!$B$6:$B$40,0)),""))</f>
        <v/>
      </c>
      <c r="G490" s="39"/>
      <c r="H490" s="39"/>
      <c r="I490" s="40"/>
      <c r="J490" s="41"/>
      <c r="K490" s="38"/>
      <c r="L490" s="42" t="str">
        <f aca="false">IF($B490="","",IF(AND(N($I490)=0,N($J490)=0),"금액이 없습니다",IF(AND($I490&gt;0,$J490&gt;0),"수입·지출 둘 다 적혔습니다",IF($C490="","결제수단을 고르십시오",IF(ISNA(MATCH($C490,'통합 ③ 통장·카드'!$A$5:$A$11,0)),"③ 통장·카드에 없는 결제수단입니다",IF($D490="","계정과목을 고르십시오",IF($E490="※없는 과목","④ 설정에 없는 과목입니다",IF(AND($E490="수입",$J490&gt;0),"수입 과목인데 지출에 적혔습니다",IF(AND(LEFT($E490,2)&lt;&gt;"수입",$E490&lt;&gt;"대체",$I490&gt;0),"지출 과목인데 수입에 적혔습니다",IF($K490="","증빙을 고르십시오",IF(AND($C490="바우처통장",$J490&gt;0,IFERROR(INDEX('통합 ④ 설정'!$E$6:$E$40,MATCH($D490,'통합 ④ 설정'!$B$6:$B$40,0)),"")&lt;&gt;"○"),"바우처통장 지출 — 목적 확인",IF($H490="","적요를 적으십시오",""))))))))))))</f>
        <v/>
      </c>
      <c r="M490" s="39"/>
      <c r="O490" s="11" t="str">
        <f aca="false">IF($B490="","",YEAR($B490)*100+MONTH($B490))</f>
        <v/>
      </c>
      <c r="P490" s="11" t="str">
        <f aca="false">IF($B490="","",IF($E490="대체",0,1))</f>
        <v/>
      </c>
    </row>
    <row r="491" customFormat="false" ht="15" hidden="false" customHeight="false" outlineLevel="0" collapsed="false">
      <c r="A491" s="36" t="str">
        <f aca="false">IF($B491="","",COUNT($B$15:$B491))</f>
        <v/>
      </c>
      <c r="B491" s="37"/>
      <c r="C491" s="38"/>
      <c r="D491" s="39"/>
      <c r="E491" s="36" t="str">
        <f aca="false">IF($D491="","",IFERROR(INDEX('통합 ④ 설정'!$A$6:$A$40,MATCH($D491,'통합 ④ 설정'!$B$6:$B$40,0)),"※없는 과목"))</f>
        <v/>
      </c>
      <c r="F491" s="36" t="str">
        <f aca="false">IF($D491="","",IFERROR(INDEX('통합 ④ 설정'!$C$6:$C$40,MATCH($D491,'통합 ④ 설정'!$B$6:$B$40,0)),""))</f>
        <v/>
      </c>
      <c r="G491" s="39"/>
      <c r="H491" s="39"/>
      <c r="I491" s="40"/>
      <c r="J491" s="41"/>
      <c r="K491" s="38"/>
      <c r="L491" s="42" t="str">
        <f aca="false">IF($B491="","",IF(AND(N($I491)=0,N($J491)=0),"금액이 없습니다",IF(AND($I491&gt;0,$J491&gt;0),"수입·지출 둘 다 적혔습니다",IF($C491="","결제수단을 고르십시오",IF(ISNA(MATCH($C491,'통합 ③ 통장·카드'!$A$5:$A$11,0)),"③ 통장·카드에 없는 결제수단입니다",IF($D491="","계정과목을 고르십시오",IF($E491="※없는 과목","④ 설정에 없는 과목입니다",IF(AND($E491="수입",$J491&gt;0),"수입 과목인데 지출에 적혔습니다",IF(AND(LEFT($E491,2)&lt;&gt;"수입",$E491&lt;&gt;"대체",$I491&gt;0),"지출 과목인데 수입에 적혔습니다",IF($K491="","증빙을 고르십시오",IF(AND($C491="바우처통장",$J491&gt;0,IFERROR(INDEX('통합 ④ 설정'!$E$6:$E$40,MATCH($D491,'통합 ④ 설정'!$B$6:$B$40,0)),"")&lt;&gt;"○"),"바우처통장 지출 — 목적 확인",IF($H491="","적요를 적으십시오",""))))))))))))</f>
        <v/>
      </c>
      <c r="M491" s="39"/>
      <c r="O491" s="11" t="str">
        <f aca="false">IF($B491="","",YEAR($B491)*100+MONTH($B491))</f>
        <v/>
      </c>
      <c r="P491" s="11" t="str">
        <f aca="false">IF($B491="","",IF($E491="대체",0,1))</f>
        <v/>
      </c>
    </row>
    <row r="492" customFormat="false" ht="15" hidden="false" customHeight="false" outlineLevel="0" collapsed="false">
      <c r="A492" s="36" t="str">
        <f aca="false">IF($B492="","",COUNT($B$15:$B492))</f>
        <v/>
      </c>
      <c r="B492" s="37"/>
      <c r="C492" s="38"/>
      <c r="D492" s="39"/>
      <c r="E492" s="36" t="str">
        <f aca="false">IF($D492="","",IFERROR(INDEX('통합 ④ 설정'!$A$6:$A$40,MATCH($D492,'통합 ④ 설정'!$B$6:$B$40,0)),"※없는 과목"))</f>
        <v/>
      </c>
      <c r="F492" s="36" t="str">
        <f aca="false">IF($D492="","",IFERROR(INDEX('통합 ④ 설정'!$C$6:$C$40,MATCH($D492,'통합 ④ 설정'!$B$6:$B$40,0)),""))</f>
        <v/>
      </c>
      <c r="G492" s="39"/>
      <c r="H492" s="39"/>
      <c r="I492" s="40"/>
      <c r="J492" s="41"/>
      <c r="K492" s="38"/>
      <c r="L492" s="42" t="str">
        <f aca="false">IF($B492="","",IF(AND(N($I492)=0,N($J492)=0),"금액이 없습니다",IF(AND($I492&gt;0,$J492&gt;0),"수입·지출 둘 다 적혔습니다",IF($C492="","결제수단을 고르십시오",IF(ISNA(MATCH($C492,'통합 ③ 통장·카드'!$A$5:$A$11,0)),"③ 통장·카드에 없는 결제수단입니다",IF($D492="","계정과목을 고르십시오",IF($E492="※없는 과목","④ 설정에 없는 과목입니다",IF(AND($E492="수입",$J492&gt;0),"수입 과목인데 지출에 적혔습니다",IF(AND(LEFT($E492,2)&lt;&gt;"수입",$E492&lt;&gt;"대체",$I492&gt;0),"지출 과목인데 수입에 적혔습니다",IF($K492="","증빙을 고르십시오",IF(AND($C492="바우처통장",$J492&gt;0,IFERROR(INDEX('통합 ④ 설정'!$E$6:$E$40,MATCH($D492,'통합 ④ 설정'!$B$6:$B$40,0)),"")&lt;&gt;"○"),"바우처통장 지출 — 목적 확인",IF($H492="","적요를 적으십시오",""))))))))))))</f>
        <v/>
      </c>
      <c r="M492" s="39"/>
      <c r="O492" s="11" t="str">
        <f aca="false">IF($B492="","",YEAR($B492)*100+MONTH($B492))</f>
        <v/>
      </c>
      <c r="P492" s="11" t="str">
        <f aca="false">IF($B492="","",IF($E492="대체",0,1))</f>
        <v/>
      </c>
    </row>
    <row r="493" customFormat="false" ht="15" hidden="false" customHeight="false" outlineLevel="0" collapsed="false">
      <c r="A493" s="36" t="str">
        <f aca="false">IF($B493="","",COUNT($B$15:$B493))</f>
        <v/>
      </c>
      <c r="B493" s="37"/>
      <c r="C493" s="38"/>
      <c r="D493" s="39"/>
      <c r="E493" s="36" t="str">
        <f aca="false">IF($D493="","",IFERROR(INDEX('통합 ④ 설정'!$A$6:$A$40,MATCH($D493,'통합 ④ 설정'!$B$6:$B$40,0)),"※없는 과목"))</f>
        <v/>
      </c>
      <c r="F493" s="36" t="str">
        <f aca="false">IF($D493="","",IFERROR(INDEX('통합 ④ 설정'!$C$6:$C$40,MATCH($D493,'통합 ④ 설정'!$B$6:$B$40,0)),""))</f>
        <v/>
      </c>
      <c r="G493" s="39"/>
      <c r="H493" s="39"/>
      <c r="I493" s="40"/>
      <c r="J493" s="41"/>
      <c r="K493" s="38"/>
      <c r="L493" s="42" t="str">
        <f aca="false">IF($B493="","",IF(AND(N($I493)=0,N($J493)=0),"금액이 없습니다",IF(AND($I493&gt;0,$J493&gt;0),"수입·지출 둘 다 적혔습니다",IF($C493="","결제수단을 고르십시오",IF(ISNA(MATCH($C493,'통합 ③ 통장·카드'!$A$5:$A$11,0)),"③ 통장·카드에 없는 결제수단입니다",IF($D493="","계정과목을 고르십시오",IF($E493="※없는 과목","④ 설정에 없는 과목입니다",IF(AND($E493="수입",$J493&gt;0),"수입 과목인데 지출에 적혔습니다",IF(AND(LEFT($E493,2)&lt;&gt;"수입",$E493&lt;&gt;"대체",$I493&gt;0),"지출 과목인데 수입에 적혔습니다",IF($K493="","증빙을 고르십시오",IF(AND($C493="바우처통장",$J493&gt;0,IFERROR(INDEX('통합 ④ 설정'!$E$6:$E$40,MATCH($D493,'통합 ④ 설정'!$B$6:$B$40,0)),"")&lt;&gt;"○"),"바우처통장 지출 — 목적 확인",IF($H493="","적요를 적으십시오",""))))))))))))</f>
        <v/>
      </c>
      <c r="M493" s="39"/>
      <c r="O493" s="11" t="str">
        <f aca="false">IF($B493="","",YEAR($B493)*100+MONTH($B493))</f>
        <v/>
      </c>
      <c r="P493" s="11" t="str">
        <f aca="false">IF($B493="","",IF($E493="대체",0,1))</f>
        <v/>
      </c>
    </row>
    <row r="494" customFormat="false" ht="15" hidden="false" customHeight="false" outlineLevel="0" collapsed="false">
      <c r="A494" s="36" t="str">
        <f aca="false">IF($B494="","",COUNT($B$15:$B494))</f>
        <v/>
      </c>
      <c r="B494" s="37"/>
      <c r="C494" s="38"/>
      <c r="D494" s="39"/>
      <c r="E494" s="36" t="str">
        <f aca="false">IF($D494="","",IFERROR(INDEX('통합 ④ 설정'!$A$6:$A$40,MATCH($D494,'통합 ④ 설정'!$B$6:$B$40,0)),"※없는 과목"))</f>
        <v/>
      </c>
      <c r="F494" s="36" t="str">
        <f aca="false">IF($D494="","",IFERROR(INDEX('통합 ④ 설정'!$C$6:$C$40,MATCH($D494,'통합 ④ 설정'!$B$6:$B$40,0)),""))</f>
        <v/>
      </c>
      <c r="G494" s="39"/>
      <c r="H494" s="39"/>
      <c r="I494" s="40"/>
      <c r="J494" s="41"/>
      <c r="K494" s="38"/>
      <c r="L494" s="42" t="str">
        <f aca="false">IF($B494="","",IF(AND(N($I494)=0,N($J494)=0),"금액이 없습니다",IF(AND($I494&gt;0,$J494&gt;0),"수입·지출 둘 다 적혔습니다",IF($C494="","결제수단을 고르십시오",IF(ISNA(MATCH($C494,'통합 ③ 통장·카드'!$A$5:$A$11,0)),"③ 통장·카드에 없는 결제수단입니다",IF($D494="","계정과목을 고르십시오",IF($E494="※없는 과목","④ 설정에 없는 과목입니다",IF(AND($E494="수입",$J494&gt;0),"수입 과목인데 지출에 적혔습니다",IF(AND(LEFT($E494,2)&lt;&gt;"수입",$E494&lt;&gt;"대체",$I494&gt;0),"지출 과목인데 수입에 적혔습니다",IF($K494="","증빙을 고르십시오",IF(AND($C494="바우처통장",$J494&gt;0,IFERROR(INDEX('통합 ④ 설정'!$E$6:$E$40,MATCH($D494,'통합 ④ 설정'!$B$6:$B$40,0)),"")&lt;&gt;"○"),"바우처통장 지출 — 목적 확인",IF($H494="","적요를 적으십시오",""))))))))))))</f>
        <v/>
      </c>
      <c r="M494" s="39"/>
      <c r="O494" s="11" t="str">
        <f aca="false">IF($B494="","",YEAR($B494)*100+MONTH($B494))</f>
        <v/>
      </c>
      <c r="P494" s="11" t="str">
        <f aca="false">IF($B494="","",IF($E494="대체",0,1))</f>
        <v/>
      </c>
    </row>
    <row r="495" customFormat="false" ht="15" hidden="false" customHeight="false" outlineLevel="0" collapsed="false">
      <c r="A495" s="36" t="str">
        <f aca="false">IF($B495="","",COUNT($B$15:$B495))</f>
        <v/>
      </c>
      <c r="B495" s="37"/>
      <c r="C495" s="38"/>
      <c r="D495" s="39"/>
      <c r="E495" s="36" t="str">
        <f aca="false">IF($D495="","",IFERROR(INDEX('통합 ④ 설정'!$A$6:$A$40,MATCH($D495,'통합 ④ 설정'!$B$6:$B$40,0)),"※없는 과목"))</f>
        <v/>
      </c>
      <c r="F495" s="36" t="str">
        <f aca="false">IF($D495="","",IFERROR(INDEX('통합 ④ 설정'!$C$6:$C$40,MATCH($D495,'통합 ④ 설정'!$B$6:$B$40,0)),""))</f>
        <v/>
      </c>
      <c r="G495" s="39"/>
      <c r="H495" s="39"/>
      <c r="I495" s="40"/>
      <c r="J495" s="41"/>
      <c r="K495" s="38"/>
      <c r="L495" s="42" t="str">
        <f aca="false">IF($B495="","",IF(AND(N($I495)=0,N($J495)=0),"금액이 없습니다",IF(AND($I495&gt;0,$J495&gt;0),"수입·지출 둘 다 적혔습니다",IF($C495="","결제수단을 고르십시오",IF(ISNA(MATCH($C495,'통합 ③ 통장·카드'!$A$5:$A$11,0)),"③ 통장·카드에 없는 결제수단입니다",IF($D495="","계정과목을 고르십시오",IF($E495="※없는 과목","④ 설정에 없는 과목입니다",IF(AND($E495="수입",$J495&gt;0),"수입 과목인데 지출에 적혔습니다",IF(AND(LEFT($E495,2)&lt;&gt;"수입",$E495&lt;&gt;"대체",$I495&gt;0),"지출 과목인데 수입에 적혔습니다",IF($K495="","증빙을 고르십시오",IF(AND($C495="바우처통장",$J495&gt;0,IFERROR(INDEX('통합 ④ 설정'!$E$6:$E$40,MATCH($D495,'통합 ④ 설정'!$B$6:$B$40,0)),"")&lt;&gt;"○"),"바우처통장 지출 — 목적 확인",IF($H495="","적요를 적으십시오",""))))))))))))</f>
        <v/>
      </c>
      <c r="M495" s="39"/>
      <c r="O495" s="11" t="str">
        <f aca="false">IF($B495="","",YEAR($B495)*100+MONTH($B495))</f>
        <v/>
      </c>
      <c r="P495" s="11" t="str">
        <f aca="false">IF($B495="","",IF($E495="대체",0,1))</f>
        <v/>
      </c>
    </row>
    <row r="496" customFormat="false" ht="15" hidden="false" customHeight="false" outlineLevel="0" collapsed="false">
      <c r="A496" s="36" t="str">
        <f aca="false">IF($B496="","",COUNT($B$15:$B496))</f>
        <v/>
      </c>
      <c r="B496" s="37"/>
      <c r="C496" s="38"/>
      <c r="D496" s="39"/>
      <c r="E496" s="36" t="str">
        <f aca="false">IF($D496="","",IFERROR(INDEX('통합 ④ 설정'!$A$6:$A$40,MATCH($D496,'통합 ④ 설정'!$B$6:$B$40,0)),"※없는 과목"))</f>
        <v/>
      </c>
      <c r="F496" s="36" t="str">
        <f aca="false">IF($D496="","",IFERROR(INDEX('통합 ④ 설정'!$C$6:$C$40,MATCH($D496,'통합 ④ 설정'!$B$6:$B$40,0)),""))</f>
        <v/>
      </c>
      <c r="G496" s="39"/>
      <c r="H496" s="39"/>
      <c r="I496" s="40"/>
      <c r="J496" s="41"/>
      <c r="K496" s="38"/>
      <c r="L496" s="42" t="str">
        <f aca="false">IF($B496="","",IF(AND(N($I496)=0,N($J496)=0),"금액이 없습니다",IF(AND($I496&gt;0,$J496&gt;0),"수입·지출 둘 다 적혔습니다",IF($C496="","결제수단을 고르십시오",IF(ISNA(MATCH($C496,'통합 ③ 통장·카드'!$A$5:$A$11,0)),"③ 통장·카드에 없는 결제수단입니다",IF($D496="","계정과목을 고르십시오",IF($E496="※없는 과목","④ 설정에 없는 과목입니다",IF(AND($E496="수입",$J496&gt;0),"수입 과목인데 지출에 적혔습니다",IF(AND(LEFT($E496,2)&lt;&gt;"수입",$E496&lt;&gt;"대체",$I496&gt;0),"지출 과목인데 수입에 적혔습니다",IF($K496="","증빙을 고르십시오",IF(AND($C496="바우처통장",$J496&gt;0,IFERROR(INDEX('통합 ④ 설정'!$E$6:$E$40,MATCH($D496,'통합 ④ 설정'!$B$6:$B$40,0)),"")&lt;&gt;"○"),"바우처통장 지출 — 목적 확인",IF($H496="","적요를 적으십시오",""))))))))))))</f>
        <v/>
      </c>
      <c r="M496" s="39"/>
      <c r="O496" s="11" t="str">
        <f aca="false">IF($B496="","",YEAR($B496)*100+MONTH($B496))</f>
        <v/>
      </c>
      <c r="P496" s="11" t="str">
        <f aca="false">IF($B496="","",IF($E496="대체",0,1))</f>
        <v/>
      </c>
    </row>
    <row r="497" customFormat="false" ht="15" hidden="false" customHeight="false" outlineLevel="0" collapsed="false">
      <c r="A497" s="36" t="str">
        <f aca="false">IF($B497="","",COUNT($B$15:$B497))</f>
        <v/>
      </c>
      <c r="B497" s="37"/>
      <c r="C497" s="38"/>
      <c r="D497" s="39"/>
      <c r="E497" s="36" t="str">
        <f aca="false">IF($D497="","",IFERROR(INDEX('통합 ④ 설정'!$A$6:$A$40,MATCH($D497,'통합 ④ 설정'!$B$6:$B$40,0)),"※없는 과목"))</f>
        <v/>
      </c>
      <c r="F497" s="36" t="str">
        <f aca="false">IF($D497="","",IFERROR(INDEX('통합 ④ 설정'!$C$6:$C$40,MATCH($D497,'통합 ④ 설정'!$B$6:$B$40,0)),""))</f>
        <v/>
      </c>
      <c r="G497" s="39"/>
      <c r="H497" s="39"/>
      <c r="I497" s="40"/>
      <c r="J497" s="41"/>
      <c r="K497" s="38"/>
      <c r="L497" s="42" t="str">
        <f aca="false">IF($B497="","",IF(AND(N($I497)=0,N($J497)=0),"금액이 없습니다",IF(AND($I497&gt;0,$J497&gt;0),"수입·지출 둘 다 적혔습니다",IF($C497="","결제수단을 고르십시오",IF(ISNA(MATCH($C497,'통합 ③ 통장·카드'!$A$5:$A$11,0)),"③ 통장·카드에 없는 결제수단입니다",IF($D497="","계정과목을 고르십시오",IF($E497="※없는 과목","④ 설정에 없는 과목입니다",IF(AND($E497="수입",$J497&gt;0),"수입 과목인데 지출에 적혔습니다",IF(AND(LEFT($E497,2)&lt;&gt;"수입",$E497&lt;&gt;"대체",$I497&gt;0),"지출 과목인데 수입에 적혔습니다",IF($K497="","증빙을 고르십시오",IF(AND($C497="바우처통장",$J497&gt;0,IFERROR(INDEX('통합 ④ 설정'!$E$6:$E$40,MATCH($D497,'통합 ④ 설정'!$B$6:$B$40,0)),"")&lt;&gt;"○"),"바우처통장 지출 — 목적 확인",IF($H497="","적요를 적으십시오",""))))))))))))</f>
        <v/>
      </c>
      <c r="M497" s="39"/>
      <c r="O497" s="11" t="str">
        <f aca="false">IF($B497="","",YEAR($B497)*100+MONTH($B497))</f>
        <v/>
      </c>
      <c r="P497" s="11" t="str">
        <f aca="false">IF($B497="","",IF($E497="대체",0,1))</f>
        <v/>
      </c>
    </row>
    <row r="498" customFormat="false" ht="15" hidden="false" customHeight="false" outlineLevel="0" collapsed="false">
      <c r="A498" s="36" t="str">
        <f aca="false">IF($B498="","",COUNT($B$15:$B498))</f>
        <v/>
      </c>
      <c r="B498" s="37"/>
      <c r="C498" s="38"/>
      <c r="D498" s="39"/>
      <c r="E498" s="36" t="str">
        <f aca="false">IF($D498="","",IFERROR(INDEX('통합 ④ 설정'!$A$6:$A$40,MATCH($D498,'통합 ④ 설정'!$B$6:$B$40,0)),"※없는 과목"))</f>
        <v/>
      </c>
      <c r="F498" s="36" t="str">
        <f aca="false">IF($D498="","",IFERROR(INDEX('통합 ④ 설정'!$C$6:$C$40,MATCH($D498,'통합 ④ 설정'!$B$6:$B$40,0)),""))</f>
        <v/>
      </c>
      <c r="G498" s="39"/>
      <c r="H498" s="39"/>
      <c r="I498" s="40"/>
      <c r="J498" s="41"/>
      <c r="K498" s="38"/>
      <c r="L498" s="42" t="str">
        <f aca="false">IF($B498="","",IF(AND(N($I498)=0,N($J498)=0),"금액이 없습니다",IF(AND($I498&gt;0,$J498&gt;0),"수입·지출 둘 다 적혔습니다",IF($C498="","결제수단을 고르십시오",IF(ISNA(MATCH($C498,'통합 ③ 통장·카드'!$A$5:$A$11,0)),"③ 통장·카드에 없는 결제수단입니다",IF($D498="","계정과목을 고르십시오",IF($E498="※없는 과목","④ 설정에 없는 과목입니다",IF(AND($E498="수입",$J498&gt;0),"수입 과목인데 지출에 적혔습니다",IF(AND(LEFT($E498,2)&lt;&gt;"수입",$E498&lt;&gt;"대체",$I498&gt;0),"지출 과목인데 수입에 적혔습니다",IF($K498="","증빙을 고르십시오",IF(AND($C498="바우처통장",$J498&gt;0,IFERROR(INDEX('통합 ④ 설정'!$E$6:$E$40,MATCH($D498,'통합 ④ 설정'!$B$6:$B$40,0)),"")&lt;&gt;"○"),"바우처통장 지출 — 목적 확인",IF($H498="","적요를 적으십시오",""))))))))))))</f>
        <v/>
      </c>
      <c r="M498" s="39"/>
      <c r="O498" s="11" t="str">
        <f aca="false">IF($B498="","",YEAR($B498)*100+MONTH($B498))</f>
        <v/>
      </c>
      <c r="P498" s="11" t="str">
        <f aca="false">IF($B498="","",IF($E498="대체",0,1))</f>
        <v/>
      </c>
    </row>
    <row r="499" customFormat="false" ht="15" hidden="false" customHeight="false" outlineLevel="0" collapsed="false">
      <c r="A499" s="36" t="str">
        <f aca="false">IF($B499="","",COUNT($B$15:$B499))</f>
        <v/>
      </c>
      <c r="B499" s="37"/>
      <c r="C499" s="38"/>
      <c r="D499" s="39"/>
      <c r="E499" s="36" t="str">
        <f aca="false">IF($D499="","",IFERROR(INDEX('통합 ④ 설정'!$A$6:$A$40,MATCH($D499,'통합 ④ 설정'!$B$6:$B$40,0)),"※없는 과목"))</f>
        <v/>
      </c>
      <c r="F499" s="36" t="str">
        <f aca="false">IF($D499="","",IFERROR(INDEX('통합 ④ 설정'!$C$6:$C$40,MATCH($D499,'통합 ④ 설정'!$B$6:$B$40,0)),""))</f>
        <v/>
      </c>
      <c r="G499" s="39"/>
      <c r="H499" s="39"/>
      <c r="I499" s="40"/>
      <c r="J499" s="41"/>
      <c r="K499" s="38"/>
      <c r="L499" s="42" t="str">
        <f aca="false">IF($B499="","",IF(AND(N($I499)=0,N($J499)=0),"금액이 없습니다",IF(AND($I499&gt;0,$J499&gt;0),"수입·지출 둘 다 적혔습니다",IF($C499="","결제수단을 고르십시오",IF(ISNA(MATCH($C499,'통합 ③ 통장·카드'!$A$5:$A$11,0)),"③ 통장·카드에 없는 결제수단입니다",IF($D499="","계정과목을 고르십시오",IF($E499="※없는 과목","④ 설정에 없는 과목입니다",IF(AND($E499="수입",$J499&gt;0),"수입 과목인데 지출에 적혔습니다",IF(AND(LEFT($E499,2)&lt;&gt;"수입",$E499&lt;&gt;"대체",$I499&gt;0),"지출 과목인데 수입에 적혔습니다",IF($K499="","증빙을 고르십시오",IF(AND($C499="바우처통장",$J499&gt;0,IFERROR(INDEX('통합 ④ 설정'!$E$6:$E$40,MATCH($D499,'통합 ④ 설정'!$B$6:$B$40,0)),"")&lt;&gt;"○"),"바우처통장 지출 — 목적 확인",IF($H499="","적요를 적으십시오",""))))))))))))</f>
        <v/>
      </c>
      <c r="M499" s="39"/>
      <c r="O499" s="11" t="str">
        <f aca="false">IF($B499="","",YEAR($B499)*100+MONTH($B499))</f>
        <v/>
      </c>
      <c r="P499" s="11" t="str">
        <f aca="false">IF($B499="","",IF($E499="대체",0,1))</f>
        <v/>
      </c>
    </row>
    <row r="500" customFormat="false" ht="15" hidden="false" customHeight="false" outlineLevel="0" collapsed="false">
      <c r="A500" s="36" t="str">
        <f aca="false">IF($B500="","",COUNT($B$15:$B500))</f>
        <v/>
      </c>
      <c r="B500" s="37"/>
      <c r="C500" s="38"/>
      <c r="D500" s="39"/>
      <c r="E500" s="36" t="str">
        <f aca="false">IF($D500="","",IFERROR(INDEX('통합 ④ 설정'!$A$6:$A$40,MATCH($D500,'통합 ④ 설정'!$B$6:$B$40,0)),"※없는 과목"))</f>
        <v/>
      </c>
      <c r="F500" s="36" t="str">
        <f aca="false">IF($D500="","",IFERROR(INDEX('통합 ④ 설정'!$C$6:$C$40,MATCH($D500,'통합 ④ 설정'!$B$6:$B$40,0)),""))</f>
        <v/>
      </c>
      <c r="G500" s="39"/>
      <c r="H500" s="39"/>
      <c r="I500" s="40"/>
      <c r="J500" s="41"/>
      <c r="K500" s="38"/>
      <c r="L500" s="42" t="str">
        <f aca="false">IF($B500="","",IF(AND(N($I500)=0,N($J500)=0),"금액이 없습니다",IF(AND($I500&gt;0,$J500&gt;0),"수입·지출 둘 다 적혔습니다",IF($C500="","결제수단을 고르십시오",IF(ISNA(MATCH($C500,'통합 ③ 통장·카드'!$A$5:$A$11,0)),"③ 통장·카드에 없는 결제수단입니다",IF($D500="","계정과목을 고르십시오",IF($E500="※없는 과목","④ 설정에 없는 과목입니다",IF(AND($E500="수입",$J500&gt;0),"수입 과목인데 지출에 적혔습니다",IF(AND(LEFT($E500,2)&lt;&gt;"수입",$E500&lt;&gt;"대체",$I500&gt;0),"지출 과목인데 수입에 적혔습니다",IF($K500="","증빙을 고르십시오",IF(AND($C500="바우처통장",$J500&gt;0,IFERROR(INDEX('통합 ④ 설정'!$E$6:$E$40,MATCH($D500,'통합 ④ 설정'!$B$6:$B$40,0)),"")&lt;&gt;"○"),"바우처통장 지출 — 목적 확인",IF($H500="","적요를 적으십시오",""))))))))))))</f>
        <v/>
      </c>
      <c r="M500" s="39"/>
      <c r="O500" s="11" t="str">
        <f aca="false">IF($B500="","",YEAR($B500)*100+MONTH($B500))</f>
        <v/>
      </c>
      <c r="P500" s="11" t="str">
        <f aca="false">IF($B500="","",IF($E500="대체",0,1))</f>
        <v/>
      </c>
    </row>
    <row r="501" customFormat="false" ht="15" hidden="false" customHeight="false" outlineLevel="0" collapsed="false">
      <c r="A501" s="36" t="str">
        <f aca="false">IF($B501="","",COUNT($B$15:$B501))</f>
        <v/>
      </c>
      <c r="B501" s="37"/>
      <c r="C501" s="38"/>
      <c r="D501" s="39"/>
      <c r="E501" s="36" t="str">
        <f aca="false">IF($D501="","",IFERROR(INDEX('통합 ④ 설정'!$A$6:$A$40,MATCH($D501,'통합 ④ 설정'!$B$6:$B$40,0)),"※없는 과목"))</f>
        <v/>
      </c>
      <c r="F501" s="36" t="str">
        <f aca="false">IF($D501="","",IFERROR(INDEX('통합 ④ 설정'!$C$6:$C$40,MATCH($D501,'통합 ④ 설정'!$B$6:$B$40,0)),""))</f>
        <v/>
      </c>
      <c r="G501" s="39"/>
      <c r="H501" s="39"/>
      <c r="I501" s="40"/>
      <c r="J501" s="41"/>
      <c r="K501" s="38"/>
      <c r="L501" s="42" t="str">
        <f aca="false">IF($B501="","",IF(AND(N($I501)=0,N($J501)=0),"금액이 없습니다",IF(AND($I501&gt;0,$J501&gt;0),"수입·지출 둘 다 적혔습니다",IF($C501="","결제수단을 고르십시오",IF(ISNA(MATCH($C501,'통합 ③ 통장·카드'!$A$5:$A$11,0)),"③ 통장·카드에 없는 결제수단입니다",IF($D501="","계정과목을 고르십시오",IF($E501="※없는 과목","④ 설정에 없는 과목입니다",IF(AND($E501="수입",$J501&gt;0),"수입 과목인데 지출에 적혔습니다",IF(AND(LEFT($E501,2)&lt;&gt;"수입",$E501&lt;&gt;"대체",$I501&gt;0),"지출 과목인데 수입에 적혔습니다",IF($K501="","증빙을 고르십시오",IF(AND($C501="바우처통장",$J501&gt;0,IFERROR(INDEX('통합 ④ 설정'!$E$6:$E$40,MATCH($D501,'통합 ④ 설정'!$B$6:$B$40,0)),"")&lt;&gt;"○"),"바우처통장 지출 — 목적 확인",IF($H501="","적요를 적으십시오",""))))))))))))</f>
        <v/>
      </c>
      <c r="M501" s="39"/>
      <c r="O501" s="11" t="str">
        <f aca="false">IF($B501="","",YEAR($B501)*100+MONTH($B501))</f>
        <v/>
      </c>
      <c r="P501" s="11" t="str">
        <f aca="false">IF($B501="","",IF($E501="대체",0,1))</f>
        <v/>
      </c>
    </row>
    <row r="502" customFormat="false" ht="15" hidden="false" customHeight="false" outlineLevel="0" collapsed="false">
      <c r="A502" s="36" t="str">
        <f aca="false">IF($B502="","",COUNT($B$15:$B502))</f>
        <v/>
      </c>
      <c r="B502" s="37"/>
      <c r="C502" s="38"/>
      <c r="D502" s="39"/>
      <c r="E502" s="36" t="str">
        <f aca="false">IF($D502="","",IFERROR(INDEX('통합 ④ 설정'!$A$6:$A$40,MATCH($D502,'통합 ④ 설정'!$B$6:$B$40,0)),"※없는 과목"))</f>
        <v/>
      </c>
      <c r="F502" s="36" t="str">
        <f aca="false">IF($D502="","",IFERROR(INDEX('통합 ④ 설정'!$C$6:$C$40,MATCH($D502,'통합 ④ 설정'!$B$6:$B$40,0)),""))</f>
        <v/>
      </c>
      <c r="G502" s="39"/>
      <c r="H502" s="39"/>
      <c r="I502" s="40"/>
      <c r="J502" s="41"/>
      <c r="K502" s="38"/>
      <c r="L502" s="42" t="str">
        <f aca="false">IF($B502="","",IF(AND(N($I502)=0,N($J502)=0),"금액이 없습니다",IF(AND($I502&gt;0,$J502&gt;0),"수입·지출 둘 다 적혔습니다",IF($C502="","결제수단을 고르십시오",IF(ISNA(MATCH($C502,'통합 ③ 통장·카드'!$A$5:$A$11,0)),"③ 통장·카드에 없는 결제수단입니다",IF($D502="","계정과목을 고르십시오",IF($E502="※없는 과목","④ 설정에 없는 과목입니다",IF(AND($E502="수입",$J502&gt;0),"수입 과목인데 지출에 적혔습니다",IF(AND(LEFT($E502,2)&lt;&gt;"수입",$E502&lt;&gt;"대체",$I502&gt;0),"지출 과목인데 수입에 적혔습니다",IF($K502="","증빙을 고르십시오",IF(AND($C502="바우처통장",$J502&gt;0,IFERROR(INDEX('통합 ④ 설정'!$E$6:$E$40,MATCH($D502,'통합 ④ 설정'!$B$6:$B$40,0)),"")&lt;&gt;"○"),"바우처통장 지출 — 목적 확인",IF($H502="","적요를 적으십시오",""))))))))))))</f>
        <v/>
      </c>
      <c r="M502" s="39"/>
      <c r="O502" s="11" t="str">
        <f aca="false">IF($B502="","",YEAR($B502)*100+MONTH($B502))</f>
        <v/>
      </c>
      <c r="P502" s="11" t="str">
        <f aca="false">IF($B502="","",IF($E502="대체",0,1))</f>
        <v/>
      </c>
    </row>
    <row r="503" customFormat="false" ht="15" hidden="false" customHeight="false" outlineLevel="0" collapsed="false">
      <c r="A503" s="36" t="str">
        <f aca="false">IF($B503="","",COUNT($B$15:$B503))</f>
        <v/>
      </c>
      <c r="B503" s="37"/>
      <c r="C503" s="38"/>
      <c r="D503" s="39"/>
      <c r="E503" s="36" t="str">
        <f aca="false">IF($D503="","",IFERROR(INDEX('통합 ④ 설정'!$A$6:$A$40,MATCH($D503,'통합 ④ 설정'!$B$6:$B$40,0)),"※없는 과목"))</f>
        <v/>
      </c>
      <c r="F503" s="36" t="str">
        <f aca="false">IF($D503="","",IFERROR(INDEX('통합 ④ 설정'!$C$6:$C$40,MATCH($D503,'통합 ④ 설정'!$B$6:$B$40,0)),""))</f>
        <v/>
      </c>
      <c r="G503" s="39"/>
      <c r="H503" s="39"/>
      <c r="I503" s="40"/>
      <c r="J503" s="41"/>
      <c r="K503" s="38"/>
      <c r="L503" s="42" t="str">
        <f aca="false">IF($B503="","",IF(AND(N($I503)=0,N($J503)=0),"금액이 없습니다",IF(AND($I503&gt;0,$J503&gt;0),"수입·지출 둘 다 적혔습니다",IF($C503="","결제수단을 고르십시오",IF(ISNA(MATCH($C503,'통합 ③ 통장·카드'!$A$5:$A$11,0)),"③ 통장·카드에 없는 결제수단입니다",IF($D503="","계정과목을 고르십시오",IF($E503="※없는 과목","④ 설정에 없는 과목입니다",IF(AND($E503="수입",$J503&gt;0),"수입 과목인데 지출에 적혔습니다",IF(AND(LEFT($E503,2)&lt;&gt;"수입",$E503&lt;&gt;"대체",$I503&gt;0),"지출 과목인데 수입에 적혔습니다",IF($K503="","증빙을 고르십시오",IF(AND($C503="바우처통장",$J503&gt;0,IFERROR(INDEX('통합 ④ 설정'!$E$6:$E$40,MATCH($D503,'통합 ④ 설정'!$B$6:$B$40,0)),"")&lt;&gt;"○"),"바우처통장 지출 — 목적 확인",IF($H503="","적요를 적으십시오",""))))))))))))</f>
        <v/>
      </c>
      <c r="M503" s="39"/>
      <c r="O503" s="11" t="str">
        <f aca="false">IF($B503="","",YEAR($B503)*100+MONTH($B503))</f>
        <v/>
      </c>
      <c r="P503" s="11" t="str">
        <f aca="false">IF($B503="","",IF($E503="대체",0,1))</f>
        <v/>
      </c>
    </row>
    <row r="504" customFormat="false" ht="15" hidden="false" customHeight="false" outlineLevel="0" collapsed="false">
      <c r="A504" s="36" t="str">
        <f aca="false">IF($B504="","",COUNT($B$15:$B504))</f>
        <v/>
      </c>
      <c r="B504" s="37"/>
      <c r="C504" s="38"/>
      <c r="D504" s="39"/>
      <c r="E504" s="36" t="str">
        <f aca="false">IF($D504="","",IFERROR(INDEX('통합 ④ 설정'!$A$6:$A$40,MATCH($D504,'통합 ④ 설정'!$B$6:$B$40,0)),"※없는 과목"))</f>
        <v/>
      </c>
      <c r="F504" s="36" t="str">
        <f aca="false">IF($D504="","",IFERROR(INDEX('통합 ④ 설정'!$C$6:$C$40,MATCH($D504,'통합 ④ 설정'!$B$6:$B$40,0)),""))</f>
        <v/>
      </c>
      <c r="G504" s="39"/>
      <c r="H504" s="39"/>
      <c r="I504" s="40"/>
      <c r="J504" s="41"/>
      <c r="K504" s="38"/>
      <c r="L504" s="42" t="str">
        <f aca="false">IF($B504="","",IF(AND(N($I504)=0,N($J504)=0),"금액이 없습니다",IF(AND($I504&gt;0,$J504&gt;0),"수입·지출 둘 다 적혔습니다",IF($C504="","결제수단을 고르십시오",IF(ISNA(MATCH($C504,'통합 ③ 통장·카드'!$A$5:$A$11,0)),"③ 통장·카드에 없는 결제수단입니다",IF($D504="","계정과목을 고르십시오",IF($E504="※없는 과목","④ 설정에 없는 과목입니다",IF(AND($E504="수입",$J504&gt;0),"수입 과목인데 지출에 적혔습니다",IF(AND(LEFT($E504,2)&lt;&gt;"수입",$E504&lt;&gt;"대체",$I504&gt;0),"지출 과목인데 수입에 적혔습니다",IF($K504="","증빙을 고르십시오",IF(AND($C504="바우처통장",$J504&gt;0,IFERROR(INDEX('통합 ④ 설정'!$E$6:$E$40,MATCH($D504,'통합 ④ 설정'!$B$6:$B$40,0)),"")&lt;&gt;"○"),"바우처통장 지출 — 목적 확인",IF($H504="","적요를 적으십시오",""))))))))))))</f>
        <v/>
      </c>
      <c r="M504" s="39"/>
      <c r="O504" s="11" t="str">
        <f aca="false">IF($B504="","",YEAR($B504)*100+MONTH($B504))</f>
        <v/>
      </c>
      <c r="P504" s="11" t="str">
        <f aca="false">IF($B504="","",IF($E504="대체",0,1))</f>
        <v/>
      </c>
    </row>
    <row r="505" customFormat="false" ht="15" hidden="false" customHeight="false" outlineLevel="0" collapsed="false">
      <c r="A505" s="36" t="str">
        <f aca="false">IF($B505="","",COUNT($B$15:$B505))</f>
        <v/>
      </c>
      <c r="B505" s="37"/>
      <c r="C505" s="38"/>
      <c r="D505" s="39"/>
      <c r="E505" s="36" t="str">
        <f aca="false">IF($D505="","",IFERROR(INDEX('통합 ④ 설정'!$A$6:$A$40,MATCH($D505,'통합 ④ 설정'!$B$6:$B$40,0)),"※없는 과목"))</f>
        <v/>
      </c>
      <c r="F505" s="36" t="str">
        <f aca="false">IF($D505="","",IFERROR(INDEX('통합 ④ 설정'!$C$6:$C$40,MATCH($D505,'통합 ④ 설정'!$B$6:$B$40,0)),""))</f>
        <v/>
      </c>
      <c r="G505" s="39"/>
      <c r="H505" s="39"/>
      <c r="I505" s="40"/>
      <c r="J505" s="41"/>
      <c r="K505" s="38"/>
      <c r="L505" s="42" t="str">
        <f aca="false">IF($B505="","",IF(AND(N($I505)=0,N($J505)=0),"금액이 없습니다",IF(AND($I505&gt;0,$J505&gt;0),"수입·지출 둘 다 적혔습니다",IF($C505="","결제수단을 고르십시오",IF(ISNA(MATCH($C505,'통합 ③ 통장·카드'!$A$5:$A$11,0)),"③ 통장·카드에 없는 결제수단입니다",IF($D505="","계정과목을 고르십시오",IF($E505="※없는 과목","④ 설정에 없는 과목입니다",IF(AND($E505="수입",$J505&gt;0),"수입 과목인데 지출에 적혔습니다",IF(AND(LEFT($E505,2)&lt;&gt;"수입",$E505&lt;&gt;"대체",$I505&gt;0),"지출 과목인데 수입에 적혔습니다",IF($K505="","증빙을 고르십시오",IF(AND($C505="바우처통장",$J505&gt;0,IFERROR(INDEX('통합 ④ 설정'!$E$6:$E$40,MATCH($D505,'통합 ④ 설정'!$B$6:$B$40,0)),"")&lt;&gt;"○"),"바우처통장 지출 — 목적 확인",IF($H505="","적요를 적으십시오",""))))))))))))</f>
        <v/>
      </c>
      <c r="M505" s="39"/>
      <c r="O505" s="11" t="str">
        <f aca="false">IF($B505="","",YEAR($B505)*100+MONTH($B505))</f>
        <v/>
      </c>
      <c r="P505" s="11" t="str">
        <f aca="false">IF($B505="","",IF($E505="대체",0,1))</f>
        <v/>
      </c>
    </row>
    <row r="506" customFormat="false" ht="15" hidden="false" customHeight="false" outlineLevel="0" collapsed="false">
      <c r="A506" s="36" t="str">
        <f aca="false">IF($B506="","",COUNT($B$15:$B506))</f>
        <v/>
      </c>
      <c r="B506" s="37"/>
      <c r="C506" s="38"/>
      <c r="D506" s="39"/>
      <c r="E506" s="36" t="str">
        <f aca="false">IF($D506="","",IFERROR(INDEX('통합 ④ 설정'!$A$6:$A$40,MATCH($D506,'통합 ④ 설정'!$B$6:$B$40,0)),"※없는 과목"))</f>
        <v/>
      </c>
      <c r="F506" s="36" t="str">
        <f aca="false">IF($D506="","",IFERROR(INDEX('통합 ④ 설정'!$C$6:$C$40,MATCH($D506,'통합 ④ 설정'!$B$6:$B$40,0)),""))</f>
        <v/>
      </c>
      <c r="G506" s="39"/>
      <c r="H506" s="39"/>
      <c r="I506" s="40"/>
      <c r="J506" s="41"/>
      <c r="K506" s="38"/>
      <c r="L506" s="42" t="str">
        <f aca="false">IF($B506="","",IF(AND(N($I506)=0,N($J506)=0),"금액이 없습니다",IF(AND($I506&gt;0,$J506&gt;0),"수입·지출 둘 다 적혔습니다",IF($C506="","결제수단을 고르십시오",IF(ISNA(MATCH($C506,'통합 ③ 통장·카드'!$A$5:$A$11,0)),"③ 통장·카드에 없는 결제수단입니다",IF($D506="","계정과목을 고르십시오",IF($E506="※없는 과목","④ 설정에 없는 과목입니다",IF(AND($E506="수입",$J506&gt;0),"수입 과목인데 지출에 적혔습니다",IF(AND(LEFT($E506,2)&lt;&gt;"수입",$E506&lt;&gt;"대체",$I506&gt;0),"지출 과목인데 수입에 적혔습니다",IF($K506="","증빙을 고르십시오",IF(AND($C506="바우처통장",$J506&gt;0,IFERROR(INDEX('통합 ④ 설정'!$E$6:$E$40,MATCH($D506,'통합 ④ 설정'!$B$6:$B$40,0)),"")&lt;&gt;"○"),"바우처통장 지출 — 목적 확인",IF($H506="","적요를 적으십시오",""))))))))))))</f>
        <v/>
      </c>
      <c r="M506" s="39"/>
      <c r="O506" s="11" t="str">
        <f aca="false">IF($B506="","",YEAR($B506)*100+MONTH($B506))</f>
        <v/>
      </c>
      <c r="P506" s="11" t="str">
        <f aca="false">IF($B506="","",IF($E506="대체",0,1))</f>
        <v/>
      </c>
    </row>
    <row r="507" customFormat="false" ht="15" hidden="false" customHeight="false" outlineLevel="0" collapsed="false">
      <c r="A507" s="36" t="str">
        <f aca="false">IF($B507="","",COUNT($B$15:$B507))</f>
        <v/>
      </c>
      <c r="B507" s="37"/>
      <c r="C507" s="38"/>
      <c r="D507" s="39"/>
      <c r="E507" s="36" t="str">
        <f aca="false">IF($D507="","",IFERROR(INDEX('통합 ④ 설정'!$A$6:$A$40,MATCH($D507,'통합 ④ 설정'!$B$6:$B$40,0)),"※없는 과목"))</f>
        <v/>
      </c>
      <c r="F507" s="36" t="str">
        <f aca="false">IF($D507="","",IFERROR(INDEX('통합 ④ 설정'!$C$6:$C$40,MATCH($D507,'통합 ④ 설정'!$B$6:$B$40,0)),""))</f>
        <v/>
      </c>
      <c r="G507" s="39"/>
      <c r="H507" s="39"/>
      <c r="I507" s="40"/>
      <c r="J507" s="41"/>
      <c r="K507" s="38"/>
      <c r="L507" s="42" t="str">
        <f aca="false">IF($B507="","",IF(AND(N($I507)=0,N($J507)=0),"금액이 없습니다",IF(AND($I507&gt;0,$J507&gt;0),"수입·지출 둘 다 적혔습니다",IF($C507="","결제수단을 고르십시오",IF(ISNA(MATCH($C507,'통합 ③ 통장·카드'!$A$5:$A$11,0)),"③ 통장·카드에 없는 결제수단입니다",IF($D507="","계정과목을 고르십시오",IF($E507="※없는 과목","④ 설정에 없는 과목입니다",IF(AND($E507="수입",$J507&gt;0),"수입 과목인데 지출에 적혔습니다",IF(AND(LEFT($E507,2)&lt;&gt;"수입",$E507&lt;&gt;"대체",$I507&gt;0),"지출 과목인데 수입에 적혔습니다",IF($K507="","증빙을 고르십시오",IF(AND($C507="바우처통장",$J507&gt;0,IFERROR(INDEX('통합 ④ 설정'!$E$6:$E$40,MATCH($D507,'통합 ④ 설정'!$B$6:$B$40,0)),"")&lt;&gt;"○"),"바우처통장 지출 — 목적 확인",IF($H507="","적요를 적으십시오",""))))))))))))</f>
        <v/>
      </c>
      <c r="M507" s="39"/>
      <c r="O507" s="11" t="str">
        <f aca="false">IF($B507="","",YEAR($B507)*100+MONTH($B507))</f>
        <v/>
      </c>
      <c r="P507" s="11" t="str">
        <f aca="false">IF($B507="","",IF($E507="대체",0,1))</f>
        <v/>
      </c>
    </row>
    <row r="508" customFormat="false" ht="15" hidden="false" customHeight="false" outlineLevel="0" collapsed="false">
      <c r="A508" s="36" t="str">
        <f aca="false">IF($B508="","",COUNT($B$15:$B508))</f>
        <v/>
      </c>
      <c r="B508" s="37"/>
      <c r="C508" s="38"/>
      <c r="D508" s="39"/>
      <c r="E508" s="36" t="str">
        <f aca="false">IF($D508="","",IFERROR(INDEX('통합 ④ 설정'!$A$6:$A$40,MATCH($D508,'통합 ④ 설정'!$B$6:$B$40,0)),"※없는 과목"))</f>
        <v/>
      </c>
      <c r="F508" s="36" t="str">
        <f aca="false">IF($D508="","",IFERROR(INDEX('통합 ④ 설정'!$C$6:$C$40,MATCH($D508,'통합 ④ 설정'!$B$6:$B$40,0)),""))</f>
        <v/>
      </c>
      <c r="G508" s="39"/>
      <c r="H508" s="39"/>
      <c r="I508" s="40"/>
      <c r="J508" s="41"/>
      <c r="K508" s="38"/>
      <c r="L508" s="42" t="str">
        <f aca="false">IF($B508="","",IF(AND(N($I508)=0,N($J508)=0),"금액이 없습니다",IF(AND($I508&gt;0,$J508&gt;0),"수입·지출 둘 다 적혔습니다",IF($C508="","결제수단을 고르십시오",IF(ISNA(MATCH($C508,'통합 ③ 통장·카드'!$A$5:$A$11,0)),"③ 통장·카드에 없는 결제수단입니다",IF($D508="","계정과목을 고르십시오",IF($E508="※없는 과목","④ 설정에 없는 과목입니다",IF(AND($E508="수입",$J508&gt;0),"수입 과목인데 지출에 적혔습니다",IF(AND(LEFT($E508,2)&lt;&gt;"수입",$E508&lt;&gt;"대체",$I508&gt;0),"지출 과목인데 수입에 적혔습니다",IF($K508="","증빙을 고르십시오",IF(AND($C508="바우처통장",$J508&gt;0,IFERROR(INDEX('통합 ④ 설정'!$E$6:$E$40,MATCH($D508,'통합 ④ 설정'!$B$6:$B$40,0)),"")&lt;&gt;"○"),"바우처통장 지출 — 목적 확인",IF($H508="","적요를 적으십시오",""))))))))))))</f>
        <v/>
      </c>
      <c r="M508" s="39"/>
      <c r="O508" s="11" t="str">
        <f aca="false">IF($B508="","",YEAR($B508)*100+MONTH($B508))</f>
        <v/>
      </c>
      <c r="P508" s="11" t="str">
        <f aca="false">IF($B508="","",IF($E508="대체",0,1))</f>
        <v/>
      </c>
    </row>
    <row r="509" customFormat="false" ht="15" hidden="false" customHeight="false" outlineLevel="0" collapsed="false">
      <c r="A509" s="36" t="str">
        <f aca="false">IF($B509="","",COUNT($B$15:$B509))</f>
        <v/>
      </c>
      <c r="B509" s="37"/>
      <c r="C509" s="38"/>
      <c r="D509" s="39"/>
      <c r="E509" s="36" t="str">
        <f aca="false">IF($D509="","",IFERROR(INDEX('통합 ④ 설정'!$A$6:$A$40,MATCH($D509,'통합 ④ 설정'!$B$6:$B$40,0)),"※없는 과목"))</f>
        <v/>
      </c>
      <c r="F509" s="36" t="str">
        <f aca="false">IF($D509="","",IFERROR(INDEX('통합 ④ 설정'!$C$6:$C$40,MATCH($D509,'통합 ④ 설정'!$B$6:$B$40,0)),""))</f>
        <v/>
      </c>
      <c r="G509" s="39"/>
      <c r="H509" s="39"/>
      <c r="I509" s="40"/>
      <c r="J509" s="41"/>
      <c r="K509" s="38"/>
      <c r="L509" s="42" t="str">
        <f aca="false">IF($B509="","",IF(AND(N($I509)=0,N($J509)=0),"금액이 없습니다",IF(AND($I509&gt;0,$J509&gt;0),"수입·지출 둘 다 적혔습니다",IF($C509="","결제수단을 고르십시오",IF(ISNA(MATCH($C509,'통합 ③ 통장·카드'!$A$5:$A$11,0)),"③ 통장·카드에 없는 결제수단입니다",IF($D509="","계정과목을 고르십시오",IF($E509="※없는 과목","④ 설정에 없는 과목입니다",IF(AND($E509="수입",$J509&gt;0),"수입 과목인데 지출에 적혔습니다",IF(AND(LEFT($E509,2)&lt;&gt;"수입",$E509&lt;&gt;"대체",$I509&gt;0),"지출 과목인데 수입에 적혔습니다",IF($K509="","증빙을 고르십시오",IF(AND($C509="바우처통장",$J509&gt;0,IFERROR(INDEX('통합 ④ 설정'!$E$6:$E$40,MATCH($D509,'통합 ④ 설정'!$B$6:$B$40,0)),"")&lt;&gt;"○"),"바우처통장 지출 — 목적 확인",IF($H509="","적요를 적으십시오",""))))))))))))</f>
        <v/>
      </c>
      <c r="M509" s="39"/>
      <c r="O509" s="11" t="str">
        <f aca="false">IF($B509="","",YEAR($B509)*100+MONTH($B509))</f>
        <v/>
      </c>
      <c r="P509" s="11" t="str">
        <f aca="false">IF($B509="","",IF($E509="대체",0,1))</f>
        <v/>
      </c>
    </row>
    <row r="510" customFormat="false" ht="15" hidden="false" customHeight="false" outlineLevel="0" collapsed="false">
      <c r="A510" s="36" t="str">
        <f aca="false">IF($B510="","",COUNT($B$15:$B510))</f>
        <v/>
      </c>
      <c r="B510" s="37"/>
      <c r="C510" s="38"/>
      <c r="D510" s="39"/>
      <c r="E510" s="36" t="str">
        <f aca="false">IF($D510="","",IFERROR(INDEX('통합 ④ 설정'!$A$6:$A$40,MATCH($D510,'통합 ④ 설정'!$B$6:$B$40,0)),"※없는 과목"))</f>
        <v/>
      </c>
      <c r="F510" s="36" t="str">
        <f aca="false">IF($D510="","",IFERROR(INDEX('통합 ④ 설정'!$C$6:$C$40,MATCH($D510,'통합 ④ 설정'!$B$6:$B$40,0)),""))</f>
        <v/>
      </c>
      <c r="G510" s="39"/>
      <c r="H510" s="39"/>
      <c r="I510" s="40"/>
      <c r="J510" s="41"/>
      <c r="K510" s="38"/>
      <c r="L510" s="42" t="str">
        <f aca="false">IF($B510="","",IF(AND(N($I510)=0,N($J510)=0),"금액이 없습니다",IF(AND($I510&gt;0,$J510&gt;0),"수입·지출 둘 다 적혔습니다",IF($C510="","결제수단을 고르십시오",IF(ISNA(MATCH($C510,'통합 ③ 통장·카드'!$A$5:$A$11,0)),"③ 통장·카드에 없는 결제수단입니다",IF($D510="","계정과목을 고르십시오",IF($E510="※없는 과목","④ 설정에 없는 과목입니다",IF(AND($E510="수입",$J510&gt;0),"수입 과목인데 지출에 적혔습니다",IF(AND(LEFT($E510,2)&lt;&gt;"수입",$E510&lt;&gt;"대체",$I510&gt;0),"지출 과목인데 수입에 적혔습니다",IF($K510="","증빙을 고르십시오",IF(AND($C510="바우처통장",$J510&gt;0,IFERROR(INDEX('통합 ④ 설정'!$E$6:$E$40,MATCH($D510,'통합 ④ 설정'!$B$6:$B$40,0)),"")&lt;&gt;"○"),"바우처통장 지출 — 목적 확인",IF($H510="","적요를 적으십시오",""))))))))))))</f>
        <v/>
      </c>
      <c r="M510" s="39"/>
      <c r="O510" s="11" t="str">
        <f aca="false">IF($B510="","",YEAR($B510)*100+MONTH($B510))</f>
        <v/>
      </c>
      <c r="P510" s="11" t="str">
        <f aca="false">IF($B510="","",IF($E510="대체",0,1))</f>
        <v/>
      </c>
    </row>
    <row r="511" customFormat="false" ht="15" hidden="false" customHeight="false" outlineLevel="0" collapsed="false">
      <c r="A511" s="36" t="str">
        <f aca="false">IF($B511="","",COUNT($B$15:$B511))</f>
        <v/>
      </c>
      <c r="B511" s="37"/>
      <c r="C511" s="38"/>
      <c r="D511" s="39"/>
      <c r="E511" s="36" t="str">
        <f aca="false">IF($D511="","",IFERROR(INDEX('통합 ④ 설정'!$A$6:$A$40,MATCH($D511,'통합 ④ 설정'!$B$6:$B$40,0)),"※없는 과목"))</f>
        <v/>
      </c>
      <c r="F511" s="36" t="str">
        <f aca="false">IF($D511="","",IFERROR(INDEX('통합 ④ 설정'!$C$6:$C$40,MATCH($D511,'통합 ④ 설정'!$B$6:$B$40,0)),""))</f>
        <v/>
      </c>
      <c r="G511" s="39"/>
      <c r="H511" s="39"/>
      <c r="I511" s="40"/>
      <c r="J511" s="41"/>
      <c r="K511" s="38"/>
      <c r="L511" s="42" t="str">
        <f aca="false">IF($B511="","",IF(AND(N($I511)=0,N($J511)=0),"금액이 없습니다",IF(AND($I511&gt;0,$J511&gt;0),"수입·지출 둘 다 적혔습니다",IF($C511="","결제수단을 고르십시오",IF(ISNA(MATCH($C511,'통합 ③ 통장·카드'!$A$5:$A$11,0)),"③ 통장·카드에 없는 결제수단입니다",IF($D511="","계정과목을 고르십시오",IF($E511="※없는 과목","④ 설정에 없는 과목입니다",IF(AND($E511="수입",$J511&gt;0),"수입 과목인데 지출에 적혔습니다",IF(AND(LEFT($E511,2)&lt;&gt;"수입",$E511&lt;&gt;"대체",$I511&gt;0),"지출 과목인데 수입에 적혔습니다",IF($K511="","증빙을 고르십시오",IF(AND($C511="바우처통장",$J511&gt;0,IFERROR(INDEX('통합 ④ 설정'!$E$6:$E$40,MATCH($D511,'통합 ④ 설정'!$B$6:$B$40,0)),"")&lt;&gt;"○"),"바우처통장 지출 — 목적 확인",IF($H511="","적요를 적으십시오",""))))))))))))</f>
        <v/>
      </c>
      <c r="M511" s="39"/>
      <c r="O511" s="11" t="str">
        <f aca="false">IF($B511="","",YEAR($B511)*100+MONTH($B511))</f>
        <v/>
      </c>
      <c r="P511" s="11" t="str">
        <f aca="false">IF($B511="","",IF($E511="대체",0,1))</f>
        <v/>
      </c>
    </row>
    <row r="512" customFormat="false" ht="15" hidden="false" customHeight="false" outlineLevel="0" collapsed="false">
      <c r="A512" s="36" t="str">
        <f aca="false">IF($B512="","",COUNT($B$15:$B512))</f>
        <v/>
      </c>
      <c r="B512" s="37"/>
      <c r="C512" s="38"/>
      <c r="D512" s="39"/>
      <c r="E512" s="36" t="str">
        <f aca="false">IF($D512="","",IFERROR(INDEX('통합 ④ 설정'!$A$6:$A$40,MATCH($D512,'통합 ④ 설정'!$B$6:$B$40,0)),"※없는 과목"))</f>
        <v/>
      </c>
      <c r="F512" s="36" t="str">
        <f aca="false">IF($D512="","",IFERROR(INDEX('통합 ④ 설정'!$C$6:$C$40,MATCH($D512,'통합 ④ 설정'!$B$6:$B$40,0)),""))</f>
        <v/>
      </c>
      <c r="G512" s="39"/>
      <c r="H512" s="39"/>
      <c r="I512" s="40"/>
      <c r="J512" s="41"/>
      <c r="K512" s="38"/>
      <c r="L512" s="42" t="str">
        <f aca="false">IF($B512="","",IF(AND(N($I512)=0,N($J512)=0),"금액이 없습니다",IF(AND($I512&gt;0,$J512&gt;0),"수입·지출 둘 다 적혔습니다",IF($C512="","결제수단을 고르십시오",IF(ISNA(MATCH($C512,'통합 ③ 통장·카드'!$A$5:$A$11,0)),"③ 통장·카드에 없는 결제수단입니다",IF($D512="","계정과목을 고르십시오",IF($E512="※없는 과목","④ 설정에 없는 과목입니다",IF(AND($E512="수입",$J512&gt;0),"수입 과목인데 지출에 적혔습니다",IF(AND(LEFT($E512,2)&lt;&gt;"수입",$E512&lt;&gt;"대체",$I512&gt;0),"지출 과목인데 수입에 적혔습니다",IF($K512="","증빙을 고르십시오",IF(AND($C512="바우처통장",$J512&gt;0,IFERROR(INDEX('통합 ④ 설정'!$E$6:$E$40,MATCH($D512,'통합 ④ 설정'!$B$6:$B$40,0)),"")&lt;&gt;"○"),"바우처통장 지출 — 목적 확인",IF($H512="","적요를 적으십시오",""))))))))))))</f>
        <v/>
      </c>
      <c r="M512" s="39"/>
      <c r="O512" s="11" t="str">
        <f aca="false">IF($B512="","",YEAR($B512)*100+MONTH($B512))</f>
        <v/>
      </c>
      <c r="P512" s="11" t="str">
        <f aca="false">IF($B512="","",IF($E512="대체",0,1))</f>
        <v/>
      </c>
    </row>
    <row r="513" customFormat="false" ht="15" hidden="false" customHeight="false" outlineLevel="0" collapsed="false">
      <c r="A513" s="36" t="str">
        <f aca="false">IF($B513="","",COUNT($B$15:$B513))</f>
        <v/>
      </c>
      <c r="B513" s="37"/>
      <c r="C513" s="38"/>
      <c r="D513" s="39"/>
      <c r="E513" s="36" t="str">
        <f aca="false">IF($D513="","",IFERROR(INDEX('통합 ④ 설정'!$A$6:$A$40,MATCH($D513,'통합 ④ 설정'!$B$6:$B$40,0)),"※없는 과목"))</f>
        <v/>
      </c>
      <c r="F513" s="36" t="str">
        <f aca="false">IF($D513="","",IFERROR(INDEX('통합 ④ 설정'!$C$6:$C$40,MATCH($D513,'통합 ④ 설정'!$B$6:$B$40,0)),""))</f>
        <v/>
      </c>
      <c r="G513" s="39"/>
      <c r="H513" s="39"/>
      <c r="I513" s="40"/>
      <c r="J513" s="41"/>
      <c r="K513" s="38"/>
      <c r="L513" s="42" t="str">
        <f aca="false">IF($B513="","",IF(AND(N($I513)=0,N($J513)=0),"금액이 없습니다",IF(AND($I513&gt;0,$J513&gt;0),"수입·지출 둘 다 적혔습니다",IF($C513="","결제수단을 고르십시오",IF(ISNA(MATCH($C513,'통합 ③ 통장·카드'!$A$5:$A$11,0)),"③ 통장·카드에 없는 결제수단입니다",IF($D513="","계정과목을 고르십시오",IF($E513="※없는 과목","④ 설정에 없는 과목입니다",IF(AND($E513="수입",$J513&gt;0),"수입 과목인데 지출에 적혔습니다",IF(AND(LEFT($E513,2)&lt;&gt;"수입",$E513&lt;&gt;"대체",$I513&gt;0),"지출 과목인데 수입에 적혔습니다",IF($K513="","증빙을 고르십시오",IF(AND($C513="바우처통장",$J513&gt;0,IFERROR(INDEX('통합 ④ 설정'!$E$6:$E$40,MATCH($D513,'통합 ④ 설정'!$B$6:$B$40,0)),"")&lt;&gt;"○"),"바우처통장 지출 — 목적 확인",IF($H513="","적요를 적으십시오",""))))))))))))</f>
        <v/>
      </c>
      <c r="M513" s="39"/>
      <c r="O513" s="11" t="str">
        <f aca="false">IF($B513="","",YEAR($B513)*100+MONTH($B513))</f>
        <v/>
      </c>
      <c r="P513" s="11" t="str">
        <f aca="false">IF($B513="","",IF($E513="대체",0,1))</f>
        <v/>
      </c>
    </row>
    <row r="514" customFormat="false" ht="15" hidden="false" customHeight="false" outlineLevel="0" collapsed="false">
      <c r="A514" s="36" t="str">
        <f aca="false">IF($B514="","",COUNT($B$15:$B514))</f>
        <v/>
      </c>
      <c r="B514" s="37"/>
      <c r="C514" s="38"/>
      <c r="D514" s="39"/>
      <c r="E514" s="36" t="str">
        <f aca="false">IF($D514="","",IFERROR(INDEX('통합 ④ 설정'!$A$6:$A$40,MATCH($D514,'통합 ④ 설정'!$B$6:$B$40,0)),"※없는 과목"))</f>
        <v/>
      </c>
      <c r="F514" s="36" t="str">
        <f aca="false">IF($D514="","",IFERROR(INDEX('통합 ④ 설정'!$C$6:$C$40,MATCH($D514,'통합 ④ 설정'!$B$6:$B$40,0)),""))</f>
        <v/>
      </c>
      <c r="G514" s="39"/>
      <c r="H514" s="39"/>
      <c r="I514" s="40"/>
      <c r="J514" s="41"/>
      <c r="K514" s="38"/>
      <c r="L514" s="42" t="str">
        <f aca="false">IF($B514="","",IF(AND(N($I514)=0,N($J514)=0),"금액이 없습니다",IF(AND($I514&gt;0,$J514&gt;0),"수입·지출 둘 다 적혔습니다",IF($C514="","결제수단을 고르십시오",IF(ISNA(MATCH($C514,'통합 ③ 통장·카드'!$A$5:$A$11,0)),"③ 통장·카드에 없는 결제수단입니다",IF($D514="","계정과목을 고르십시오",IF($E514="※없는 과목","④ 설정에 없는 과목입니다",IF(AND($E514="수입",$J514&gt;0),"수입 과목인데 지출에 적혔습니다",IF(AND(LEFT($E514,2)&lt;&gt;"수입",$E514&lt;&gt;"대체",$I514&gt;0),"지출 과목인데 수입에 적혔습니다",IF($K514="","증빙을 고르십시오",IF(AND($C514="바우처통장",$J514&gt;0,IFERROR(INDEX('통합 ④ 설정'!$E$6:$E$40,MATCH($D514,'통합 ④ 설정'!$B$6:$B$40,0)),"")&lt;&gt;"○"),"바우처통장 지출 — 목적 확인",IF($H514="","적요를 적으십시오",""))))))))))))</f>
        <v/>
      </c>
      <c r="M514" s="39"/>
      <c r="O514" s="11" t="str">
        <f aca="false">IF($B514="","",YEAR($B514)*100+MONTH($B514))</f>
        <v/>
      </c>
      <c r="P514" s="11" t="str">
        <f aca="false">IF($B514="","",IF($E514="대체",0,1))</f>
        <v/>
      </c>
    </row>
    <row r="515" customFormat="false" ht="15" hidden="false" customHeight="false" outlineLevel="0" collapsed="false">
      <c r="A515" s="36" t="str">
        <f aca="false">IF($B515="","",COUNT($B$15:$B515))</f>
        <v/>
      </c>
      <c r="B515" s="37"/>
      <c r="C515" s="38"/>
      <c r="D515" s="39"/>
      <c r="E515" s="36" t="str">
        <f aca="false">IF($D515="","",IFERROR(INDEX('통합 ④ 설정'!$A$6:$A$40,MATCH($D515,'통합 ④ 설정'!$B$6:$B$40,0)),"※없는 과목"))</f>
        <v/>
      </c>
      <c r="F515" s="36" t="str">
        <f aca="false">IF($D515="","",IFERROR(INDEX('통합 ④ 설정'!$C$6:$C$40,MATCH($D515,'통합 ④ 설정'!$B$6:$B$40,0)),""))</f>
        <v/>
      </c>
      <c r="G515" s="39"/>
      <c r="H515" s="39"/>
      <c r="I515" s="40"/>
      <c r="J515" s="41"/>
      <c r="K515" s="38"/>
      <c r="L515" s="42" t="str">
        <f aca="false">IF($B515="","",IF(AND(N($I515)=0,N($J515)=0),"금액이 없습니다",IF(AND($I515&gt;0,$J515&gt;0),"수입·지출 둘 다 적혔습니다",IF($C515="","결제수단을 고르십시오",IF(ISNA(MATCH($C515,'통합 ③ 통장·카드'!$A$5:$A$11,0)),"③ 통장·카드에 없는 결제수단입니다",IF($D515="","계정과목을 고르십시오",IF($E515="※없는 과목","④ 설정에 없는 과목입니다",IF(AND($E515="수입",$J515&gt;0),"수입 과목인데 지출에 적혔습니다",IF(AND(LEFT($E515,2)&lt;&gt;"수입",$E515&lt;&gt;"대체",$I515&gt;0),"지출 과목인데 수입에 적혔습니다",IF($K515="","증빙을 고르십시오",IF(AND($C515="바우처통장",$J515&gt;0,IFERROR(INDEX('통합 ④ 설정'!$E$6:$E$40,MATCH($D515,'통합 ④ 설정'!$B$6:$B$40,0)),"")&lt;&gt;"○"),"바우처통장 지출 — 목적 확인",IF($H515="","적요를 적으십시오",""))))))))))))</f>
        <v/>
      </c>
      <c r="M515" s="39"/>
      <c r="O515" s="11" t="str">
        <f aca="false">IF($B515="","",YEAR($B515)*100+MONTH($B515))</f>
        <v/>
      </c>
      <c r="P515" s="11" t="str">
        <f aca="false">IF($B515="","",IF($E515="대체",0,1))</f>
        <v/>
      </c>
    </row>
    <row r="516" customFormat="false" ht="15" hidden="false" customHeight="false" outlineLevel="0" collapsed="false">
      <c r="A516" s="36" t="str">
        <f aca="false">IF($B516="","",COUNT($B$15:$B516))</f>
        <v/>
      </c>
      <c r="B516" s="37"/>
      <c r="C516" s="38"/>
      <c r="D516" s="39"/>
      <c r="E516" s="36" t="str">
        <f aca="false">IF($D516="","",IFERROR(INDEX('통합 ④ 설정'!$A$6:$A$40,MATCH($D516,'통합 ④ 설정'!$B$6:$B$40,0)),"※없는 과목"))</f>
        <v/>
      </c>
      <c r="F516" s="36" t="str">
        <f aca="false">IF($D516="","",IFERROR(INDEX('통합 ④ 설정'!$C$6:$C$40,MATCH($D516,'통합 ④ 설정'!$B$6:$B$40,0)),""))</f>
        <v/>
      </c>
      <c r="G516" s="39"/>
      <c r="H516" s="39"/>
      <c r="I516" s="40"/>
      <c r="J516" s="41"/>
      <c r="K516" s="38"/>
      <c r="L516" s="42" t="str">
        <f aca="false">IF($B516="","",IF(AND(N($I516)=0,N($J516)=0),"금액이 없습니다",IF(AND($I516&gt;0,$J516&gt;0),"수입·지출 둘 다 적혔습니다",IF($C516="","결제수단을 고르십시오",IF(ISNA(MATCH($C516,'통합 ③ 통장·카드'!$A$5:$A$11,0)),"③ 통장·카드에 없는 결제수단입니다",IF($D516="","계정과목을 고르십시오",IF($E516="※없는 과목","④ 설정에 없는 과목입니다",IF(AND($E516="수입",$J516&gt;0),"수입 과목인데 지출에 적혔습니다",IF(AND(LEFT($E516,2)&lt;&gt;"수입",$E516&lt;&gt;"대체",$I516&gt;0),"지출 과목인데 수입에 적혔습니다",IF($K516="","증빙을 고르십시오",IF(AND($C516="바우처통장",$J516&gt;0,IFERROR(INDEX('통합 ④ 설정'!$E$6:$E$40,MATCH($D516,'통합 ④ 설정'!$B$6:$B$40,0)),"")&lt;&gt;"○"),"바우처통장 지출 — 목적 확인",IF($H516="","적요를 적으십시오",""))))))))))))</f>
        <v/>
      </c>
      <c r="M516" s="39"/>
      <c r="O516" s="11" t="str">
        <f aca="false">IF($B516="","",YEAR($B516)*100+MONTH($B516))</f>
        <v/>
      </c>
      <c r="P516" s="11" t="str">
        <f aca="false">IF($B516="","",IF($E516="대체",0,1))</f>
        <v/>
      </c>
    </row>
    <row r="517" customFormat="false" ht="15" hidden="false" customHeight="false" outlineLevel="0" collapsed="false">
      <c r="A517" s="36" t="str">
        <f aca="false">IF($B517="","",COUNT($B$15:$B517))</f>
        <v/>
      </c>
      <c r="B517" s="37"/>
      <c r="C517" s="38"/>
      <c r="D517" s="39"/>
      <c r="E517" s="36" t="str">
        <f aca="false">IF($D517="","",IFERROR(INDEX('통합 ④ 설정'!$A$6:$A$40,MATCH($D517,'통합 ④ 설정'!$B$6:$B$40,0)),"※없는 과목"))</f>
        <v/>
      </c>
      <c r="F517" s="36" t="str">
        <f aca="false">IF($D517="","",IFERROR(INDEX('통합 ④ 설정'!$C$6:$C$40,MATCH($D517,'통합 ④ 설정'!$B$6:$B$40,0)),""))</f>
        <v/>
      </c>
      <c r="G517" s="39"/>
      <c r="H517" s="39"/>
      <c r="I517" s="40"/>
      <c r="J517" s="41"/>
      <c r="K517" s="38"/>
      <c r="L517" s="42" t="str">
        <f aca="false">IF($B517="","",IF(AND(N($I517)=0,N($J517)=0),"금액이 없습니다",IF(AND($I517&gt;0,$J517&gt;0),"수입·지출 둘 다 적혔습니다",IF($C517="","결제수단을 고르십시오",IF(ISNA(MATCH($C517,'통합 ③ 통장·카드'!$A$5:$A$11,0)),"③ 통장·카드에 없는 결제수단입니다",IF($D517="","계정과목을 고르십시오",IF($E517="※없는 과목","④ 설정에 없는 과목입니다",IF(AND($E517="수입",$J517&gt;0),"수입 과목인데 지출에 적혔습니다",IF(AND(LEFT($E517,2)&lt;&gt;"수입",$E517&lt;&gt;"대체",$I517&gt;0),"지출 과목인데 수입에 적혔습니다",IF($K517="","증빙을 고르십시오",IF(AND($C517="바우처통장",$J517&gt;0,IFERROR(INDEX('통합 ④ 설정'!$E$6:$E$40,MATCH($D517,'통합 ④ 설정'!$B$6:$B$40,0)),"")&lt;&gt;"○"),"바우처통장 지출 — 목적 확인",IF($H517="","적요를 적으십시오",""))))))))))))</f>
        <v/>
      </c>
      <c r="M517" s="39"/>
      <c r="O517" s="11" t="str">
        <f aca="false">IF($B517="","",YEAR($B517)*100+MONTH($B517))</f>
        <v/>
      </c>
      <c r="P517" s="11" t="str">
        <f aca="false">IF($B517="","",IF($E517="대체",0,1))</f>
        <v/>
      </c>
    </row>
    <row r="518" customFormat="false" ht="15" hidden="false" customHeight="false" outlineLevel="0" collapsed="false">
      <c r="A518" s="36" t="str">
        <f aca="false">IF($B518="","",COUNT($B$15:$B518))</f>
        <v/>
      </c>
      <c r="B518" s="37"/>
      <c r="C518" s="38"/>
      <c r="D518" s="39"/>
      <c r="E518" s="36" t="str">
        <f aca="false">IF($D518="","",IFERROR(INDEX('통합 ④ 설정'!$A$6:$A$40,MATCH($D518,'통합 ④ 설정'!$B$6:$B$40,0)),"※없는 과목"))</f>
        <v/>
      </c>
      <c r="F518" s="36" t="str">
        <f aca="false">IF($D518="","",IFERROR(INDEX('통합 ④ 설정'!$C$6:$C$40,MATCH($D518,'통합 ④ 설정'!$B$6:$B$40,0)),""))</f>
        <v/>
      </c>
      <c r="G518" s="39"/>
      <c r="H518" s="39"/>
      <c r="I518" s="40"/>
      <c r="J518" s="41"/>
      <c r="K518" s="38"/>
      <c r="L518" s="42" t="str">
        <f aca="false">IF($B518="","",IF(AND(N($I518)=0,N($J518)=0),"금액이 없습니다",IF(AND($I518&gt;0,$J518&gt;0),"수입·지출 둘 다 적혔습니다",IF($C518="","결제수단을 고르십시오",IF(ISNA(MATCH($C518,'통합 ③ 통장·카드'!$A$5:$A$11,0)),"③ 통장·카드에 없는 결제수단입니다",IF($D518="","계정과목을 고르십시오",IF($E518="※없는 과목","④ 설정에 없는 과목입니다",IF(AND($E518="수입",$J518&gt;0),"수입 과목인데 지출에 적혔습니다",IF(AND(LEFT($E518,2)&lt;&gt;"수입",$E518&lt;&gt;"대체",$I518&gt;0),"지출 과목인데 수입에 적혔습니다",IF($K518="","증빙을 고르십시오",IF(AND($C518="바우처통장",$J518&gt;0,IFERROR(INDEX('통합 ④ 설정'!$E$6:$E$40,MATCH($D518,'통합 ④ 설정'!$B$6:$B$40,0)),"")&lt;&gt;"○"),"바우처통장 지출 — 목적 확인",IF($H518="","적요를 적으십시오",""))))))))))))</f>
        <v/>
      </c>
      <c r="M518" s="39"/>
      <c r="O518" s="11" t="str">
        <f aca="false">IF($B518="","",YEAR($B518)*100+MONTH($B518))</f>
        <v/>
      </c>
      <c r="P518" s="11" t="str">
        <f aca="false">IF($B518="","",IF($E518="대체",0,1))</f>
        <v/>
      </c>
    </row>
    <row r="519" customFormat="false" ht="15" hidden="false" customHeight="false" outlineLevel="0" collapsed="false">
      <c r="A519" s="36" t="str">
        <f aca="false">IF($B519="","",COUNT($B$15:$B519))</f>
        <v/>
      </c>
      <c r="B519" s="37"/>
      <c r="C519" s="38"/>
      <c r="D519" s="39"/>
      <c r="E519" s="36" t="str">
        <f aca="false">IF($D519="","",IFERROR(INDEX('통합 ④ 설정'!$A$6:$A$40,MATCH($D519,'통합 ④ 설정'!$B$6:$B$40,0)),"※없는 과목"))</f>
        <v/>
      </c>
      <c r="F519" s="36" t="str">
        <f aca="false">IF($D519="","",IFERROR(INDEX('통합 ④ 설정'!$C$6:$C$40,MATCH($D519,'통합 ④ 설정'!$B$6:$B$40,0)),""))</f>
        <v/>
      </c>
      <c r="G519" s="39"/>
      <c r="H519" s="39"/>
      <c r="I519" s="40"/>
      <c r="J519" s="41"/>
      <c r="K519" s="38"/>
      <c r="L519" s="42" t="str">
        <f aca="false">IF($B519="","",IF(AND(N($I519)=0,N($J519)=0),"금액이 없습니다",IF(AND($I519&gt;0,$J519&gt;0),"수입·지출 둘 다 적혔습니다",IF($C519="","결제수단을 고르십시오",IF(ISNA(MATCH($C519,'통합 ③ 통장·카드'!$A$5:$A$11,0)),"③ 통장·카드에 없는 결제수단입니다",IF($D519="","계정과목을 고르십시오",IF($E519="※없는 과목","④ 설정에 없는 과목입니다",IF(AND($E519="수입",$J519&gt;0),"수입 과목인데 지출에 적혔습니다",IF(AND(LEFT($E519,2)&lt;&gt;"수입",$E519&lt;&gt;"대체",$I519&gt;0),"지출 과목인데 수입에 적혔습니다",IF($K519="","증빙을 고르십시오",IF(AND($C519="바우처통장",$J519&gt;0,IFERROR(INDEX('통합 ④ 설정'!$E$6:$E$40,MATCH($D519,'통합 ④ 설정'!$B$6:$B$40,0)),"")&lt;&gt;"○"),"바우처통장 지출 — 목적 확인",IF($H519="","적요를 적으십시오",""))))))))))))</f>
        <v/>
      </c>
      <c r="M519" s="39"/>
      <c r="O519" s="11" t="str">
        <f aca="false">IF($B519="","",YEAR($B519)*100+MONTH($B519))</f>
        <v/>
      </c>
      <c r="P519" s="11" t="str">
        <f aca="false">IF($B519="","",IF($E519="대체",0,1))</f>
        <v/>
      </c>
    </row>
    <row r="520" customFormat="false" ht="15" hidden="false" customHeight="false" outlineLevel="0" collapsed="false">
      <c r="A520" s="36" t="str">
        <f aca="false">IF($B520="","",COUNT($B$15:$B520))</f>
        <v/>
      </c>
      <c r="B520" s="37"/>
      <c r="C520" s="38"/>
      <c r="D520" s="39"/>
      <c r="E520" s="36" t="str">
        <f aca="false">IF($D520="","",IFERROR(INDEX('통합 ④ 설정'!$A$6:$A$40,MATCH($D520,'통합 ④ 설정'!$B$6:$B$40,0)),"※없는 과목"))</f>
        <v/>
      </c>
      <c r="F520" s="36" t="str">
        <f aca="false">IF($D520="","",IFERROR(INDEX('통합 ④ 설정'!$C$6:$C$40,MATCH($D520,'통합 ④ 설정'!$B$6:$B$40,0)),""))</f>
        <v/>
      </c>
      <c r="G520" s="39"/>
      <c r="H520" s="39"/>
      <c r="I520" s="40"/>
      <c r="J520" s="41"/>
      <c r="K520" s="38"/>
      <c r="L520" s="42" t="str">
        <f aca="false">IF($B520="","",IF(AND(N($I520)=0,N($J520)=0),"금액이 없습니다",IF(AND($I520&gt;0,$J520&gt;0),"수입·지출 둘 다 적혔습니다",IF($C520="","결제수단을 고르십시오",IF(ISNA(MATCH($C520,'통합 ③ 통장·카드'!$A$5:$A$11,0)),"③ 통장·카드에 없는 결제수단입니다",IF($D520="","계정과목을 고르십시오",IF($E520="※없는 과목","④ 설정에 없는 과목입니다",IF(AND($E520="수입",$J520&gt;0),"수입 과목인데 지출에 적혔습니다",IF(AND(LEFT($E520,2)&lt;&gt;"수입",$E520&lt;&gt;"대체",$I520&gt;0),"지출 과목인데 수입에 적혔습니다",IF($K520="","증빙을 고르십시오",IF(AND($C520="바우처통장",$J520&gt;0,IFERROR(INDEX('통합 ④ 설정'!$E$6:$E$40,MATCH($D520,'통합 ④ 설정'!$B$6:$B$40,0)),"")&lt;&gt;"○"),"바우처통장 지출 — 목적 확인",IF($H520="","적요를 적으십시오",""))))))))))))</f>
        <v/>
      </c>
      <c r="M520" s="39"/>
      <c r="O520" s="11" t="str">
        <f aca="false">IF($B520="","",YEAR($B520)*100+MONTH($B520))</f>
        <v/>
      </c>
      <c r="P520" s="11" t="str">
        <f aca="false">IF($B520="","",IF($E520="대체",0,1))</f>
        <v/>
      </c>
    </row>
    <row r="521" customFormat="false" ht="15" hidden="false" customHeight="false" outlineLevel="0" collapsed="false">
      <c r="A521" s="36" t="str">
        <f aca="false">IF($B521="","",COUNT($B$15:$B521))</f>
        <v/>
      </c>
      <c r="B521" s="37"/>
      <c r="C521" s="38"/>
      <c r="D521" s="39"/>
      <c r="E521" s="36" t="str">
        <f aca="false">IF($D521="","",IFERROR(INDEX('통합 ④ 설정'!$A$6:$A$40,MATCH($D521,'통합 ④ 설정'!$B$6:$B$40,0)),"※없는 과목"))</f>
        <v/>
      </c>
      <c r="F521" s="36" t="str">
        <f aca="false">IF($D521="","",IFERROR(INDEX('통합 ④ 설정'!$C$6:$C$40,MATCH($D521,'통합 ④ 설정'!$B$6:$B$40,0)),""))</f>
        <v/>
      </c>
      <c r="G521" s="39"/>
      <c r="H521" s="39"/>
      <c r="I521" s="40"/>
      <c r="J521" s="41"/>
      <c r="K521" s="38"/>
      <c r="L521" s="42" t="str">
        <f aca="false">IF($B521="","",IF(AND(N($I521)=0,N($J521)=0),"금액이 없습니다",IF(AND($I521&gt;0,$J521&gt;0),"수입·지출 둘 다 적혔습니다",IF($C521="","결제수단을 고르십시오",IF(ISNA(MATCH($C521,'통합 ③ 통장·카드'!$A$5:$A$11,0)),"③ 통장·카드에 없는 결제수단입니다",IF($D521="","계정과목을 고르십시오",IF($E521="※없는 과목","④ 설정에 없는 과목입니다",IF(AND($E521="수입",$J521&gt;0),"수입 과목인데 지출에 적혔습니다",IF(AND(LEFT($E521,2)&lt;&gt;"수입",$E521&lt;&gt;"대체",$I521&gt;0),"지출 과목인데 수입에 적혔습니다",IF($K521="","증빙을 고르십시오",IF(AND($C521="바우처통장",$J521&gt;0,IFERROR(INDEX('통합 ④ 설정'!$E$6:$E$40,MATCH($D521,'통합 ④ 설정'!$B$6:$B$40,0)),"")&lt;&gt;"○"),"바우처통장 지출 — 목적 확인",IF($H521="","적요를 적으십시오",""))))))))))))</f>
        <v/>
      </c>
      <c r="M521" s="39"/>
      <c r="O521" s="11" t="str">
        <f aca="false">IF($B521="","",YEAR($B521)*100+MONTH($B521))</f>
        <v/>
      </c>
      <c r="P521" s="11" t="str">
        <f aca="false">IF($B521="","",IF($E521="대체",0,1))</f>
        <v/>
      </c>
    </row>
    <row r="522" customFormat="false" ht="15" hidden="false" customHeight="false" outlineLevel="0" collapsed="false">
      <c r="A522" s="36" t="str">
        <f aca="false">IF($B522="","",COUNT($B$15:$B522))</f>
        <v/>
      </c>
      <c r="B522" s="37"/>
      <c r="C522" s="38"/>
      <c r="D522" s="39"/>
      <c r="E522" s="36" t="str">
        <f aca="false">IF($D522="","",IFERROR(INDEX('통합 ④ 설정'!$A$6:$A$40,MATCH($D522,'통합 ④ 설정'!$B$6:$B$40,0)),"※없는 과목"))</f>
        <v/>
      </c>
      <c r="F522" s="36" t="str">
        <f aca="false">IF($D522="","",IFERROR(INDEX('통합 ④ 설정'!$C$6:$C$40,MATCH($D522,'통합 ④ 설정'!$B$6:$B$40,0)),""))</f>
        <v/>
      </c>
      <c r="G522" s="39"/>
      <c r="H522" s="39"/>
      <c r="I522" s="40"/>
      <c r="J522" s="41"/>
      <c r="K522" s="38"/>
      <c r="L522" s="42" t="str">
        <f aca="false">IF($B522="","",IF(AND(N($I522)=0,N($J522)=0),"금액이 없습니다",IF(AND($I522&gt;0,$J522&gt;0),"수입·지출 둘 다 적혔습니다",IF($C522="","결제수단을 고르십시오",IF(ISNA(MATCH($C522,'통합 ③ 통장·카드'!$A$5:$A$11,0)),"③ 통장·카드에 없는 결제수단입니다",IF($D522="","계정과목을 고르십시오",IF($E522="※없는 과목","④ 설정에 없는 과목입니다",IF(AND($E522="수입",$J522&gt;0),"수입 과목인데 지출에 적혔습니다",IF(AND(LEFT($E522,2)&lt;&gt;"수입",$E522&lt;&gt;"대체",$I522&gt;0),"지출 과목인데 수입에 적혔습니다",IF($K522="","증빙을 고르십시오",IF(AND($C522="바우처통장",$J522&gt;0,IFERROR(INDEX('통합 ④ 설정'!$E$6:$E$40,MATCH($D522,'통합 ④ 설정'!$B$6:$B$40,0)),"")&lt;&gt;"○"),"바우처통장 지출 — 목적 확인",IF($H522="","적요를 적으십시오",""))))))))))))</f>
        <v/>
      </c>
      <c r="M522" s="39"/>
      <c r="O522" s="11" t="str">
        <f aca="false">IF($B522="","",YEAR($B522)*100+MONTH($B522))</f>
        <v/>
      </c>
      <c r="P522" s="11" t="str">
        <f aca="false">IF($B522="","",IF($E522="대체",0,1))</f>
        <v/>
      </c>
    </row>
    <row r="523" customFormat="false" ht="15" hidden="false" customHeight="false" outlineLevel="0" collapsed="false">
      <c r="A523" s="36" t="str">
        <f aca="false">IF($B523="","",COUNT($B$15:$B523))</f>
        <v/>
      </c>
      <c r="B523" s="37"/>
      <c r="C523" s="38"/>
      <c r="D523" s="39"/>
      <c r="E523" s="36" t="str">
        <f aca="false">IF($D523="","",IFERROR(INDEX('통합 ④ 설정'!$A$6:$A$40,MATCH($D523,'통합 ④ 설정'!$B$6:$B$40,0)),"※없는 과목"))</f>
        <v/>
      </c>
      <c r="F523" s="36" t="str">
        <f aca="false">IF($D523="","",IFERROR(INDEX('통합 ④ 설정'!$C$6:$C$40,MATCH($D523,'통합 ④ 설정'!$B$6:$B$40,0)),""))</f>
        <v/>
      </c>
      <c r="G523" s="39"/>
      <c r="H523" s="39"/>
      <c r="I523" s="40"/>
      <c r="J523" s="41"/>
      <c r="K523" s="38"/>
      <c r="L523" s="42" t="str">
        <f aca="false">IF($B523="","",IF(AND(N($I523)=0,N($J523)=0),"금액이 없습니다",IF(AND($I523&gt;0,$J523&gt;0),"수입·지출 둘 다 적혔습니다",IF($C523="","결제수단을 고르십시오",IF(ISNA(MATCH($C523,'통합 ③ 통장·카드'!$A$5:$A$11,0)),"③ 통장·카드에 없는 결제수단입니다",IF($D523="","계정과목을 고르십시오",IF($E523="※없는 과목","④ 설정에 없는 과목입니다",IF(AND($E523="수입",$J523&gt;0),"수입 과목인데 지출에 적혔습니다",IF(AND(LEFT($E523,2)&lt;&gt;"수입",$E523&lt;&gt;"대체",$I523&gt;0),"지출 과목인데 수입에 적혔습니다",IF($K523="","증빙을 고르십시오",IF(AND($C523="바우처통장",$J523&gt;0,IFERROR(INDEX('통합 ④ 설정'!$E$6:$E$40,MATCH($D523,'통합 ④ 설정'!$B$6:$B$40,0)),"")&lt;&gt;"○"),"바우처통장 지출 — 목적 확인",IF($H523="","적요를 적으십시오",""))))))))))))</f>
        <v/>
      </c>
      <c r="M523" s="39"/>
      <c r="O523" s="11" t="str">
        <f aca="false">IF($B523="","",YEAR($B523)*100+MONTH($B523))</f>
        <v/>
      </c>
      <c r="P523" s="11" t="str">
        <f aca="false">IF($B523="","",IF($E523="대체",0,1))</f>
        <v/>
      </c>
    </row>
    <row r="524" customFormat="false" ht="15" hidden="false" customHeight="false" outlineLevel="0" collapsed="false">
      <c r="A524" s="36" t="str">
        <f aca="false">IF($B524="","",COUNT($B$15:$B524))</f>
        <v/>
      </c>
      <c r="B524" s="37"/>
      <c r="C524" s="38"/>
      <c r="D524" s="39"/>
      <c r="E524" s="36" t="str">
        <f aca="false">IF($D524="","",IFERROR(INDEX('통합 ④ 설정'!$A$6:$A$40,MATCH($D524,'통합 ④ 설정'!$B$6:$B$40,0)),"※없는 과목"))</f>
        <v/>
      </c>
      <c r="F524" s="36" t="str">
        <f aca="false">IF($D524="","",IFERROR(INDEX('통합 ④ 설정'!$C$6:$C$40,MATCH($D524,'통합 ④ 설정'!$B$6:$B$40,0)),""))</f>
        <v/>
      </c>
      <c r="G524" s="39"/>
      <c r="H524" s="39"/>
      <c r="I524" s="40"/>
      <c r="J524" s="41"/>
      <c r="K524" s="38"/>
      <c r="L524" s="42" t="str">
        <f aca="false">IF($B524="","",IF(AND(N($I524)=0,N($J524)=0),"금액이 없습니다",IF(AND($I524&gt;0,$J524&gt;0),"수입·지출 둘 다 적혔습니다",IF($C524="","결제수단을 고르십시오",IF(ISNA(MATCH($C524,'통합 ③ 통장·카드'!$A$5:$A$11,0)),"③ 통장·카드에 없는 결제수단입니다",IF($D524="","계정과목을 고르십시오",IF($E524="※없는 과목","④ 설정에 없는 과목입니다",IF(AND($E524="수입",$J524&gt;0),"수입 과목인데 지출에 적혔습니다",IF(AND(LEFT($E524,2)&lt;&gt;"수입",$E524&lt;&gt;"대체",$I524&gt;0),"지출 과목인데 수입에 적혔습니다",IF($K524="","증빙을 고르십시오",IF(AND($C524="바우처통장",$J524&gt;0,IFERROR(INDEX('통합 ④ 설정'!$E$6:$E$40,MATCH($D524,'통합 ④ 설정'!$B$6:$B$40,0)),"")&lt;&gt;"○"),"바우처통장 지출 — 목적 확인",IF($H524="","적요를 적으십시오",""))))))))))))</f>
        <v/>
      </c>
      <c r="M524" s="39"/>
      <c r="O524" s="11" t="str">
        <f aca="false">IF($B524="","",YEAR($B524)*100+MONTH($B524))</f>
        <v/>
      </c>
      <c r="P524" s="11" t="str">
        <f aca="false">IF($B524="","",IF($E524="대체",0,1))</f>
        <v/>
      </c>
    </row>
    <row r="525" customFormat="false" ht="15" hidden="false" customHeight="false" outlineLevel="0" collapsed="false">
      <c r="A525" s="36" t="str">
        <f aca="false">IF($B525="","",COUNT($B$15:$B525))</f>
        <v/>
      </c>
      <c r="B525" s="37"/>
      <c r="C525" s="38"/>
      <c r="D525" s="39"/>
      <c r="E525" s="36" t="str">
        <f aca="false">IF($D525="","",IFERROR(INDEX('통합 ④ 설정'!$A$6:$A$40,MATCH($D525,'통합 ④ 설정'!$B$6:$B$40,0)),"※없는 과목"))</f>
        <v/>
      </c>
      <c r="F525" s="36" t="str">
        <f aca="false">IF($D525="","",IFERROR(INDEX('통합 ④ 설정'!$C$6:$C$40,MATCH($D525,'통합 ④ 설정'!$B$6:$B$40,0)),""))</f>
        <v/>
      </c>
      <c r="G525" s="39"/>
      <c r="H525" s="39"/>
      <c r="I525" s="40"/>
      <c r="J525" s="41"/>
      <c r="K525" s="38"/>
      <c r="L525" s="42" t="str">
        <f aca="false">IF($B525="","",IF(AND(N($I525)=0,N($J525)=0),"금액이 없습니다",IF(AND($I525&gt;0,$J525&gt;0),"수입·지출 둘 다 적혔습니다",IF($C525="","결제수단을 고르십시오",IF(ISNA(MATCH($C525,'통합 ③ 통장·카드'!$A$5:$A$11,0)),"③ 통장·카드에 없는 결제수단입니다",IF($D525="","계정과목을 고르십시오",IF($E525="※없는 과목","④ 설정에 없는 과목입니다",IF(AND($E525="수입",$J525&gt;0),"수입 과목인데 지출에 적혔습니다",IF(AND(LEFT($E525,2)&lt;&gt;"수입",$E525&lt;&gt;"대체",$I525&gt;0),"지출 과목인데 수입에 적혔습니다",IF($K525="","증빙을 고르십시오",IF(AND($C525="바우처통장",$J525&gt;0,IFERROR(INDEX('통합 ④ 설정'!$E$6:$E$40,MATCH($D525,'통합 ④ 설정'!$B$6:$B$40,0)),"")&lt;&gt;"○"),"바우처통장 지출 — 목적 확인",IF($H525="","적요를 적으십시오",""))))))))))))</f>
        <v/>
      </c>
      <c r="M525" s="39"/>
      <c r="O525" s="11" t="str">
        <f aca="false">IF($B525="","",YEAR($B525)*100+MONTH($B525))</f>
        <v/>
      </c>
      <c r="P525" s="11" t="str">
        <f aca="false">IF($B525="","",IF($E525="대체",0,1))</f>
        <v/>
      </c>
    </row>
    <row r="526" customFormat="false" ht="15" hidden="false" customHeight="false" outlineLevel="0" collapsed="false">
      <c r="A526" s="36" t="str">
        <f aca="false">IF($B526="","",COUNT($B$15:$B526))</f>
        <v/>
      </c>
      <c r="B526" s="37"/>
      <c r="C526" s="38"/>
      <c r="D526" s="39"/>
      <c r="E526" s="36" t="str">
        <f aca="false">IF($D526="","",IFERROR(INDEX('통합 ④ 설정'!$A$6:$A$40,MATCH($D526,'통합 ④ 설정'!$B$6:$B$40,0)),"※없는 과목"))</f>
        <v/>
      </c>
      <c r="F526" s="36" t="str">
        <f aca="false">IF($D526="","",IFERROR(INDEX('통합 ④ 설정'!$C$6:$C$40,MATCH($D526,'통합 ④ 설정'!$B$6:$B$40,0)),""))</f>
        <v/>
      </c>
      <c r="G526" s="39"/>
      <c r="H526" s="39"/>
      <c r="I526" s="40"/>
      <c r="J526" s="41"/>
      <c r="K526" s="38"/>
      <c r="L526" s="42" t="str">
        <f aca="false">IF($B526="","",IF(AND(N($I526)=0,N($J526)=0),"금액이 없습니다",IF(AND($I526&gt;0,$J526&gt;0),"수입·지출 둘 다 적혔습니다",IF($C526="","결제수단을 고르십시오",IF(ISNA(MATCH($C526,'통합 ③ 통장·카드'!$A$5:$A$11,0)),"③ 통장·카드에 없는 결제수단입니다",IF($D526="","계정과목을 고르십시오",IF($E526="※없는 과목","④ 설정에 없는 과목입니다",IF(AND($E526="수입",$J526&gt;0),"수입 과목인데 지출에 적혔습니다",IF(AND(LEFT($E526,2)&lt;&gt;"수입",$E526&lt;&gt;"대체",$I526&gt;0),"지출 과목인데 수입에 적혔습니다",IF($K526="","증빙을 고르십시오",IF(AND($C526="바우처통장",$J526&gt;0,IFERROR(INDEX('통합 ④ 설정'!$E$6:$E$40,MATCH($D526,'통합 ④ 설정'!$B$6:$B$40,0)),"")&lt;&gt;"○"),"바우처통장 지출 — 목적 확인",IF($H526="","적요를 적으십시오",""))))))))))))</f>
        <v/>
      </c>
      <c r="M526" s="39"/>
      <c r="O526" s="11" t="str">
        <f aca="false">IF($B526="","",YEAR($B526)*100+MONTH($B526))</f>
        <v/>
      </c>
      <c r="P526" s="11" t="str">
        <f aca="false">IF($B526="","",IF($E526="대체",0,1))</f>
        <v/>
      </c>
    </row>
    <row r="527" customFormat="false" ht="15" hidden="false" customHeight="false" outlineLevel="0" collapsed="false">
      <c r="A527" s="36" t="str">
        <f aca="false">IF($B527="","",COUNT($B$15:$B527))</f>
        <v/>
      </c>
      <c r="B527" s="37"/>
      <c r="C527" s="38"/>
      <c r="D527" s="39"/>
      <c r="E527" s="36" t="str">
        <f aca="false">IF($D527="","",IFERROR(INDEX('통합 ④ 설정'!$A$6:$A$40,MATCH($D527,'통합 ④ 설정'!$B$6:$B$40,0)),"※없는 과목"))</f>
        <v/>
      </c>
      <c r="F527" s="36" t="str">
        <f aca="false">IF($D527="","",IFERROR(INDEX('통합 ④ 설정'!$C$6:$C$40,MATCH($D527,'통합 ④ 설정'!$B$6:$B$40,0)),""))</f>
        <v/>
      </c>
      <c r="G527" s="39"/>
      <c r="H527" s="39"/>
      <c r="I527" s="40"/>
      <c r="J527" s="41"/>
      <c r="K527" s="38"/>
      <c r="L527" s="42" t="str">
        <f aca="false">IF($B527="","",IF(AND(N($I527)=0,N($J527)=0),"금액이 없습니다",IF(AND($I527&gt;0,$J527&gt;0),"수입·지출 둘 다 적혔습니다",IF($C527="","결제수단을 고르십시오",IF(ISNA(MATCH($C527,'통합 ③ 통장·카드'!$A$5:$A$11,0)),"③ 통장·카드에 없는 결제수단입니다",IF($D527="","계정과목을 고르십시오",IF($E527="※없는 과목","④ 설정에 없는 과목입니다",IF(AND($E527="수입",$J527&gt;0),"수입 과목인데 지출에 적혔습니다",IF(AND(LEFT($E527,2)&lt;&gt;"수입",$E527&lt;&gt;"대체",$I527&gt;0),"지출 과목인데 수입에 적혔습니다",IF($K527="","증빙을 고르십시오",IF(AND($C527="바우처통장",$J527&gt;0,IFERROR(INDEX('통합 ④ 설정'!$E$6:$E$40,MATCH($D527,'통합 ④ 설정'!$B$6:$B$40,0)),"")&lt;&gt;"○"),"바우처통장 지출 — 목적 확인",IF($H527="","적요를 적으십시오",""))))))))))))</f>
        <v/>
      </c>
      <c r="M527" s="39"/>
      <c r="O527" s="11" t="str">
        <f aca="false">IF($B527="","",YEAR($B527)*100+MONTH($B527))</f>
        <v/>
      </c>
      <c r="P527" s="11" t="str">
        <f aca="false">IF($B527="","",IF($E527="대체",0,1))</f>
        <v/>
      </c>
    </row>
    <row r="528" customFormat="false" ht="15" hidden="false" customHeight="false" outlineLevel="0" collapsed="false">
      <c r="A528" s="36" t="str">
        <f aca="false">IF($B528="","",COUNT($B$15:$B528))</f>
        <v/>
      </c>
      <c r="B528" s="37"/>
      <c r="C528" s="38"/>
      <c r="D528" s="39"/>
      <c r="E528" s="36" t="str">
        <f aca="false">IF($D528="","",IFERROR(INDEX('통합 ④ 설정'!$A$6:$A$40,MATCH($D528,'통합 ④ 설정'!$B$6:$B$40,0)),"※없는 과목"))</f>
        <v/>
      </c>
      <c r="F528" s="36" t="str">
        <f aca="false">IF($D528="","",IFERROR(INDEX('통합 ④ 설정'!$C$6:$C$40,MATCH($D528,'통합 ④ 설정'!$B$6:$B$40,0)),""))</f>
        <v/>
      </c>
      <c r="G528" s="39"/>
      <c r="H528" s="39"/>
      <c r="I528" s="40"/>
      <c r="J528" s="41"/>
      <c r="K528" s="38"/>
      <c r="L528" s="42" t="str">
        <f aca="false">IF($B528="","",IF(AND(N($I528)=0,N($J528)=0),"금액이 없습니다",IF(AND($I528&gt;0,$J528&gt;0),"수입·지출 둘 다 적혔습니다",IF($C528="","결제수단을 고르십시오",IF(ISNA(MATCH($C528,'통합 ③ 통장·카드'!$A$5:$A$11,0)),"③ 통장·카드에 없는 결제수단입니다",IF($D528="","계정과목을 고르십시오",IF($E528="※없는 과목","④ 설정에 없는 과목입니다",IF(AND($E528="수입",$J528&gt;0),"수입 과목인데 지출에 적혔습니다",IF(AND(LEFT($E528,2)&lt;&gt;"수입",$E528&lt;&gt;"대체",$I528&gt;0),"지출 과목인데 수입에 적혔습니다",IF($K528="","증빙을 고르십시오",IF(AND($C528="바우처통장",$J528&gt;0,IFERROR(INDEX('통합 ④ 설정'!$E$6:$E$40,MATCH($D528,'통합 ④ 설정'!$B$6:$B$40,0)),"")&lt;&gt;"○"),"바우처통장 지출 — 목적 확인",IF($H528="","적요를 적으십시오",""))))))))))))</f>
        <v/>
      </c>
      <c r="M528" s="39"/>
      <c r="O528" s="11" t="str">
        <f aca="false">IF($B528="","",YEAR($B528)*100+MONTH($B528))</f>
        <v/>
      </c>
      <c r="P528" s="11" t="str">
        <f aca="false">IF($B528="","",IF($E528="대체",0,1))</f>
        <v/>
      </c>
    </row>
    <row r="529" customFormat="false" ht="15" hidden="false" customHeight="false" outlineLevel="0" collapsed="false">
      <c r="A529" s="36" t="str">
        <f aca="false">IF($B529="","",COUNT($B$15:$B529))</f>
        <v/>
      </c>
      <c r="B529" s="37"/>
      <c r="C529" s="38"/>
      <c r="D529" s="39"/>
      <c r="E529" s="36" t="str">
        <f aca="false">IF($D529="","",IFERROR(INDEX('통합 ④ 설정'!$A$6:$A$40,MATCH($D529,'통합 ④ 설정'!$B$6:$B$40,0)),"※없는 과목"))</f>
        <v/>
      </c>
      <c r="F529" s="36" t="str">
        <f aca="false">IF($D529="","",IFERROR(INDEX('통합 ④ 설정'!$C$6:$C$40,MATCH($D529,'통합 ④ 설정'!$B$6:$B$40,0)),""))</f>
        <v/>
      </c>
      <c r="G529" s="39"/>
      <c r="H529" s="39"/>
      <c r="I529" s="40"/>
      <c r="J529" s="41"/>
      <c r="K529" s="38"/>
      <c r="L529" s="42" t="str">
        <f aca="false">IF($B529="","",IF(AND(N($I529)=0,N($J529)=0),"금액이 없습니다",IF(AND($I529&gt;0,$J529&gt;0),"수입·지출 둘 다 적혔습니다",IF($C529="","결제수단을 고르십시오",IF(ISNA(MATCH($C529,'통합 ③ 통장·카드'!$A$5:$A$11,0)),"③ 통장·카드에 없는 결제수단입니다",IF($D529="","계정과목을 고르십시오",IF($E529="※없는 과목","④ 설정에 없는 과목입니다",IF(AND($E529="수입",$J529&gt;0),"수입 과목인데 지출에 적혔습니다",IF(AND(LEFT($E529,2)&lt;&gt;"수입",$E529&lt;&gt;"대체",$I529&gt;0),"지출 과목인데 수입에 적혔습니다",IF($K529="","증빙을 고르십시오",IF(AND($C529="바우처통장",$J529&gt;0,IFERROR(INDEX('통합 ④ 설정'!$E$6:$E$40,MATCH($D529,'통합 ④ 설정'!$B$6:$B$40,0)),"")&lt;&gt;"○"),"바우처통장 지출 — 목적 확인",IF($H529="","적요를 적으십시오",""))))))))))))</f>
        <v/>
      </c>
      <c r="M529" s="39"/>
      <c r="O529" s="11" t="str">
        <f aca="false">IF($B529="","",YEAR($B529)*100+MONTH($B529))</f>
        <v/>
      </c>
      <c r="P529" s="11" t="str">
        <f aca="false">IF($B529="","",IF($E529="대체",0,1))</f>
        <v/>
      </c>
    </row>
    <row r="530" customFormat="false" ht="15" hidden="false" customHeight="false" outlineLevel="0" collapsed="false">
      <c r="A530" s="36" t="str">
        <f aca="false">IF($B530="","",COUNT($B$15:$B530))</f>
        <v/>
      </c>
      <c r="B530" s="37"/>
      <c r="C530" s="38"/>
      <c r="D530" s="39"/>
      <c r="E530" s="36" t="str">
        <f aca="false">IF($D530="","",IFERROR(INDEX('통합 ④ 설정'!$A$6:$A$40,MATCH($D530,'통합 ④ 설정'!$B$6:$B$40,0)),"※없는 과목"))</f>
        <v/>
      </c>
      <c r="F530" s="36" t="str">
        <f aca="false">IF($D530="","",IFERROR(INDEX('통합 ④ 설정'!$C$6:$C$40,MATCH($D530,'통합 ④ 설정'!$B$6:$B$40,0)),""))</f>
        <v/>
      </c>
      <c r="G530" s="39"/>
      <c r="H530" s="39"/>
      <c r="I530" s="40"/>
      <c r="J530" s="41"/>
      <c r="K530" s="38"/>
      <c r="L530" s="42" t="str">
        <f aca="false">IF($B530="","",IF(AND(N($I530)=0,N($J530)=0),"금액이 없습니다",IF(AND($I530&gt;0,$J530&gt;0),"수입·지출 둘 다 적혔습니다",IF($C530="","결제수단을 고르십시오",IF(ISNA(MATCH($C530,'통합 ③ 통장·카드'!$A$5:$A$11,0)),"③ 통장·카드에 없는 결제수단입니다",IF($D530="","계정과목을 고르십시오",IF($E530="※없는 과목","④ 설정에 없는 과목입니다",IF(AND($E530="수입",$J530&gt;0),"수입 과목인데 지출에 적혔습니다",IF(AND(LEFT($E530,2)&lt;&gt;"수입",$E530&lt;&gt;"대체",$I530&gt;0),"지출 과목인데 수입에 적혔습니다",IF($K530="","증빙을 고르십시오",IF(AND($C530="바우처통장",$J530&gt;0,IFERROR(INDEX('통합 ④ 설정'!$E$6:$E$40,MATCH($D530,'통합 ④ 설정'!$B$6:$B$40,0)),"")&lt;&gt;"○"),"바우처통장 지출 — 목적 확인",IF($H530="","적요를 적으십시오",""))))))))))))</f>
        <v/>
      </c>
      <c r="M530" s="39"/>
      <c r="O530" s="11" t="str">
        <f aca="false">IF($B530="","",YEAR($B530)*100+MONTH($B530))</f>
        <v/>
      </c>
      <c r="P530" s="11" t="str">
        <f aca="false">IF($B530="","",IF($E530="대체",0,1))</f>
        <v/>
      </c>
    </row>
    <row r="531" customFormat="false" ht="15" hidden="false" customHeight="false" outlineLevel="0" collapsed="false">
      <c r="A531" s="36" t="str">
        <f aca="false">IF($B531="","",COUNT($B$15:$B531))</f>
        <v/>
      </c>
      <c r="B531" s="37"/>
      <c r="C531" s="38"/>
      <c r="D531" s="39"/>
      <c r="E531" s="36" t="str">
        <f aca="false">IF($D531="","",IFERROR(INDEX('통합 ④ 설정'!$A$6:$A$40,MATCH($D531,'통합 ④ 설정'!$B$6:$B$40,0)),"※없는 과목"))</f>
        <v/>
      </c>
      <c r="F531" s="36" t="str">
        <f aca="false">IF($D531="","",IFERROR(INDEX('통합 ④ 설정'!$C$6:$C$40,MATCH($D531,'통합 ④ 설정'!$B$6:$B$40,0)),""))</f>
        <v/>
      </c>
      <c r="G531" s="39"/>
      <c r="H531" s="39"/>
      <c r="I531" s="40"/>
      <c r="J531" s="41"/>
      <c r="K531" s="38"/>
      <c r="L531" s="42" t="str">
        <f aca="false">IF($B531="","",IF(AND(N($I531)=0,N($J531)=0),"금액이 없습니다",IF(AND($I531&gt;0,$J531&gt;0),"수입·지출 둘 다 적혔습니다",IF($C531="","결제수단을 고르십시오",IF(ISNA(MATCH($C531,'통합 ③ 통장·카드'!$A$5:$A$11,0)),"③ 통장·카드에 없는 결제수단입니다",IF($D531="","계정과목을 고르십시오",IF($E531="※없는 과목","④ 설정에 없는 과목입니다",IF(AND($E531="수입",$J531&gt;0),"수입 과목인데 지출에 적혔습니다",IF(AND(LEFT($E531,2)&lt;&gt;"수입",$E531&lt;&gt;"대체",$I531&gt;0),"지출 과목인데 수입에 적혔습니다",IF($K531="","증빙을 고르십시오",IF(AND($C531="바우처통장",$J531&gt;0,IFERROR(INDEX('통합 ④ 설정'!$E$6:$E$40,MATCH($D531,'통합 ④ 설정'!$B$6:$B$40,0)),"")&lt;&gt;"○"),"바우처통장 지출 — 목적 확인",IF($H531="","적요를 적으십시오",""))))))))))))</f>
        <v/>
      </c>
      <c r="M531" s="39"/>
      <c r="O531" s="11" t="str">
        <f aca="false">IF($B531="","",YEAR($B531)*100+MONTH($B531))</f>
        <v/>
      </c>
      <c r="P531" s="11" t="str">
        <f aca="false">IF($B531="","",IF($E531="대체",0,1))</f>
        <v/>
      </c>
    </row>
    <row r="532" customFormat="false" ht="15" hidden="false" customHeight="false" outlineLevel="0" collapsed="false">
      <c r="A532" s="36" t="str">
        <f aca="false">IF($B532="","",COUNT($B$15:$B532))</f>
        <v/>
      </c>
      <c r="B532" s="37"/>
      <c r="C532" s="38"/>
      <c r="D532" s="39"/>
      <c r="E532" s="36" t="str">
        <f aca="false">IF($D532="","",IFERROR(INDEX('통합 ④ 설정'!$A$6:$A$40,MATCH($D532,'통합 ④ 설정'!$B$6:$B$40,0)),"※없는 과목"))</f>
        <v/>
      </c>
      <c r="F532" s="36" t="str">
        <f aca="false">IF($D532="","",IFERROR(INDEX('통합 ④ 설정'!$C$6:$C$40,MATCH($D532,'통합 ④ 설정'!$B$6:$B$40,0)),""))</f>
        <v/>
      </c>
      <c r="G532" s="39"/>
      <c r="H532" s="39"/>
      <c r="I532" s="40"/>
      <c r="J532" s="41"/>
      <c r="K532" s="38"/>
      <c r="L532" s="42" t="str">
        <f aca="false">IF($B532="","",IF(AND(N($I532)=0,N($J532)=0),"금액이 없습니다",IF(AND($I532&gt;0,$J532&gt;0),"수입·지출 둘 다 적혔습니다",IF($C532="","결제수단을 고르십시오",IF(ISNA(MATCH($C532,'통합 ③ 통장·카드'!$A$5:$A$11,0)),"③ 통장·카드에 없는 결제수단입니다",IF($D532="","계정과목을 고르십시오",IF($E532="※없는 과목","④ 설정에 없는 과목입니다",IF(AND($E532="수입",$J532&gt;0),"수입 과목인데 지출에 적혔습니다",IF(AND(LEFT($E532,2)&lt;&gt;"수입",$E532&lt;&gt;"대체",$I532&gt;0),"지출 과목인데 수입에 적혔습니다",IF($K532="","증빙을 고르십시오",IF(AND($C532="바우처통장",$J532&gt;0,IFERROR(INDEX('통합 ④ 설정'!$E$6:$E$40,MATCH($D532,'통합 ④ 설정'!$B$6:$B$40,0)),"")&lt;&gt;"○"),"바우처통장 지출 — 목적 확인",IF($H532="","적요를 적으십시오",""))))))))))))</f>
        <v/>
      </c>
      <c r="M532" s="39"/>
      <c r="O532" s="11" t="str">
        <f aca="false">IF($B532="","",YEAR($B532)*100+MONTH($B532))</f>
        <v/>
      </c>
      <c r="P532" s="11" t="str">
        <f aca="false">IF($B532="","",IF($E532="대체",0,1))</f>
        <v/>
      </c>
    </row>
    <row r="533" customFormat="false" ht="15" hidden="false" customHeight="false" outlineLevel="0" collapsed="false">
      <c r="A533" s="36" t="str">
        <f aca="false">IF($B533="","",COUNT($B$15:$B533))</f>
        <v/>
      </c>
      <c r="B533" s="37"/>
      <c r="C533" s="38"/>
      <c r="D533" s="39"/>
      <c r="E533" s="36" t="str">
        <f aca="false">IF($D533="","",IFERROR(INDEX('통합 ④ 설정'!$A$6:$A$40,MATCH($D533,'통합 ④ 설정'!$B$6:$B$40,0)),"※없는 과목"))</f>
        <v/>
      </c>
      <c r="F533" s="36" t="str">
        <f aca="false">IF($D533="","",IFERROR(INDEX('통합 ④ 설정'!$C$6:$C$40,MATCH($D533,'통합 ④ 설정'!$B$6:$B$40,0)),""))</f>
        <v/>
      </c>
      <c r="G533" s="39"/>
      <c r="H533" s="39"/>
      <c r="I533" s="40"/>
      <c r="J533" s="41"/>
      <c r="K533" s="38"/>
      <c r="L533" s="42" t="str">
        <f aca="false">IF($B533="","",IF(AND(N($I533)=0,N($J533)=0),"금액이 없습니다",IF(AND($I533&gt;0,$J533&gt;0),"수입·지출 둘 다 적혔습니다",IF($C533="","결제수단을 고르십시오",IF(ISNA(MATCH($C533,'통합 ③ 통장·카드'!$A$5:$A$11,0)),"③ 통장·카드에 없는 결제수단입니다",IF($D533="","계정과목을 고르십시오",IF($E533="※없는 과목","④ 설정에 없는 과목입니다",IF(AND($E533="수입",$J533&gt;0),"수입 과목인데 지출에 적혔습니다",IF(AND(LEFT($E533,2)&lt;&gt;"수입",$E533&lt;&gt;"대체",$I533&gt;0),"지출 과목인데 수입에 적혔습니다",IF($K533="","증빙을 고르십시오",IF(AND($C533="바우처통장",$J533&gt;0,IFERROR(INDEX('통합 ④ 설정'!$E$6:$E$40,MATCH($D533,'통합 ④ 설정'!$B$6:$B$40,0)),"")&lt;&gt;"○"),"바우처통장 지출 — 목적 확인",IF($H533="","적요를 적으십시오",""))))))))))))</f>
        <v/>
      </c>
      <c r="M533" s="39"/>
      <c r="O533" s="11" t="str">
        <f aca="false">IF($B533="","",YEAR($B533)*100+MONTH($B533))</f>
        <v/>
      </c>
      <c r="P533" s="11" t="str">
        <f aca="false">IF($B533="","",IF($E533="대체",0,1))</f>
        <v/>
      </c>
    </row>
    <row r="534" customFormat="false" ht="15" hidden="false" customHeight="false" outlineLevel="0" collapsed="false">
      <c r="A534" s="36" t="str">
        <f aca="false">IF($B534="","",COUNT($B$15:$B534))</f>
        <v/>
      </c>
      <c r="B534" s="37"/>
      <c r="C534" s="38"/>
      <c r="D534" s="39"/>
      <c r="E534" s="36" t="str">
        <f aca="false">IF($D534="","",IFERROR(INDEX('통합 ④ 설정'!$A$6:$A$40,MATCH($D534,'통합 ④ 설정'!$B$6:$B$40,0)),"※없는 과목"))</f>
        <v/>
      </c>
      <c r="F534" s="36" t="str">
        <f aca="false">IF($D534="","",IFERROR(INDEX('통합 ④ 설정'!$C$6:$C$40,MATCH($D534,'통합 ④ 설정'!$B$6:$B$40,0)),""))</f>
        <v/>
      </c>
      <c r="G534" s="39"/>
      <c r="H534" s="39"/>
      <c r="I534" s="40"/>
      <c r="J534" s="41"/>
      <c r="K534" s="38"/>
      <c r="L534" s="42" t="str">
        <f aca="false">IF($B534="","",IF(AND(N($I534)=0,N($J534)=0),"금액이 없습니다",IF(AND($I534&gt;0,$J534&gt;0),"수입·지출 둘 다 적혔습니다",IF($C534="","결제수단을 고르십시오",IF(ISNA(MATCH($C534,'통합 ③ 통장·카드'!$A$5:$A$11,0)),"③ 통장·카드에 없는 결제수단입니다",IF($D534="","계정과목을 고르십시오",IF($E534="※없는 과목","④ 설정에 없는 과목입니다",IF(AND($E534="수입",$J534&gt;0),"수입 과목인데 지출에 적혔습니다",IF(AND(LEFT($E534,2)&lt;&gt;"수입",$E534&lt;&gt;"대체",$I534&gt;0),"지출 과목인데 수입에 적혔습니다",IF($K534="","증빙을 고르십시오",IF(AND($C534="바우처통장",$J534&gt;0,IFERROR(INDEX('통합 ④ 설정'!$E$6:$E$40,MATCH($D534,'통합 ④ 설정'!$B$6:$B$40,0)),"")&lt;&gt;"○"),"바우처통장 지출 — 목적 확인",IF($H534="","적요를 적으십시오",""))))))))))))</f>
        <v/>
      </c>
      <c r="M534" s="39"/>
      <c r="O534" s="11" t="str">
        <f aca="false">IF($B534="","",YEAR($B534)*100+MONTH($B534))</f>
        <v/>
      </c>
      <c r="P534" s="11" t="str">
        <f aca="false">IF($B534="","",IF($E534="대체",0,1))</f>
        <v/>
      </c>
    </row>
    <row r="535" customFormat="false" ht="15" hidden="false" customHeight="false" outlineLevel="0" collapsed="false">
      <c r="A535" s="36" t="str">
        <f aca="false">IF($B535="","",COUNT($B$15:$B535))</f>
        <v/>
      </c>
      <c r="B535" s="37"/>
      <c r="C535" s="38"/>
      <c r="D535" s="39"/>
      <c r="E535" s="36" t="str">
        <f aca="false">IF($D535="","",IFERROR(INDEX('통합 ④ 설정'!$A$6:$A$40,MATCH($D535,'통합 ④ 설정'!$B$6:$B$40,0)),"※없는 과목"))</f>
        <v/>
      </c>
      <c r="F535" s="36" t="str">
        <f aca="false">IF($D535="","",IFERROR(INDEX('통합 ④ 설정'!$C$6:$C$40,MATCH($D535,'통합 ④ 설정'!$B$6:$B$40,0)),""))</f>
        <v/>
      </c>
      <c r="G535" s="39"/>
      <c r="H535" s="39"/>
      <c r="I535" s="40"/>
      <c r="J535" s="41"/>
      <c r="K535" s="38"/>
      <c r="L535" s="42" t="str">
        <f aca="false">IF($B535="","",IF(AND(N($I535)=0,N($J535)=0),"금액이 없습니다",IF(AND($I535&gt;0,$J535&gt;0),"수입·지출 둘 다 적혔습니다",IF($C535="","결제수단을 고르십시오",IF(ISNA(MATCH($C535,'통합 ③ 통장·카드'!$A$5:$A$11,0)),"③ 통장·카드에 없는 결제수단입니다",IF($D535="","계정과목을 고르십시오",IF($E535="※없는 과목","④ 설정에 없는 과목입니다",IF(AND($E535="수입",$J535&gt;0),"수입 과목인데 지출에 적혔습니다",IF(AND(LEFT($E535,2)&lt;&gt;"수입",$E535&lt;&gt;"대체",$I535&gt;0),"지출 과목인데 수입에 적혔습니다",IF($K535="","증빙을 고르십시오",IF(AND($C535="바우처통장",$J535&gt;0,IFERROR(INDEX('통합 ④ 설정'!$E$6:$E$40,MATCH($D535,'통합 ④ 설정'!$B$6:$B$40,0)),"")&lt;&gt;"○"),"바우처통장 지출 — 목적 확인",IF($H535="","적요를 적으십시오",""))))))))))))</f>
        <v/>
      </c>
      <c r="M535" s="39"/>
      <c r="O535" s="11" t="str">
        <f aca="false">IF($B535="","",YEAR($B535)*100+MONTH($B535))</f>
        <v/>
      </c>
      <c r="P535" s="11" t="str">
        <f aca="false">IF($B535="","",IF($E535="대체",0,1))</f>
        <v/>
      </c>
    </row>
    <row r="536" customFormat="false" ht="15" hidden="false" customHeight="false" outlineLevel="0" collapsed="false">
      <c r="A536" s="36" t="str">
        <f aca="false">IF($B536="","",COUNT($B$15:$B536))</f>
        <v/>
      </c>
      <c r="B536" s="37"/>
      <c r="C536" s="38"/>
      <c r="D536" s="39"/>
      <c r="E536" s="36" t="str">
        <f aca="false">IF($D536="","",IFERROR(INDEX('통합 ④ 설정'!$A$6:$A$40,MATCH($D536,'통합 ④ 설정'!$B$6:$B$40,0)),"※없는 과목"))</f>
        <v/>
      </c>
      <c r="F536" s="36" t="str">
        <f aca="false">IF($D536="","",IFERROR(INDEX('통합 ④ 설정'!$C$6:$C$40,MATCH($D536,'통합 ④ 설정'!$B$6:$B$40,0)),""))</f>
        <v/>
      </c>
      <c r="G536" s="39"/>
      <c r="H536" s="39"/>
      <c r="I536" s="40"/>
      <c r="J536" s="41"/>
      <c r="K536" s="38"/>
      <c r="L536" s="42" t="str">
        <f aca="false">IF($B536="","",IF(AND(N($I536)=0,N($J536)=0),"금액이 없습니다",IF(AND($I536&gt;0,$J536&gt;0),"수입·지출 둘 다 적혔습니다",IF($C536="","결제수단을 고르십시오",IF(ISNA(MATCH($C536,'통합 ③ 통장·카드'!$A$5:$A$11,0)),"③ 통장·카드에 없는 결제수단입니다",IF($D536="","계정과목을 고르십시오",IF($E536="※없는 과목","④ 설정에 없는 과목입니다",IF(AND($E536="수입",$J536&gt;0),"수입 과목인데 지출에 적혔습니다",IF(AND(LEFT($E536,2)&lt;&gt;"수입",$E536&lt;&gt;"대체",$I536&gt;0),"지출 과목인데 수입에 적혔습니다",IF($K536="","증빙을 고르십시오",IF(AND($C536="바우처통장",$J536&gt;0,IFERROR(INDEX('통합 ④ 설정'!$E$6:$E$40,MATCH($D536,'통합 ④ 설정'!$B$6:$B$40,0)),"")&lt;&gt;"○"),"바우처통장 지출 — 목적 확인",IF($H536="","적요를 적으십시오",""))))))))))))</f>
        <v/>
      </c>
      <c r="M536" s="39"/>
      <c r="O536" s="11" t="str">
        <f aca="false">IF($B536="","",YEAR($B536)*100+MONTH($B536))</f>
        <v/>
      </c>
      <c r="P536" s="11" t="str">
        <f aca="false">IF($B536="","",IF($E536="대체",0,1))</f>
        <v/>
      </c>
    </row>
    <row r="537" customFormat="false" ht="15" hidden="false" customHeight="false" outlineLevel="0" collapsed="false">
      <c r="A537" s="36" t="str">
        <f aca="false">IF($B537="","",COUNT($B$15:$B537))</f>
        <v/>
      </c>
      <c r="B537" s="37"/>
      <c r="C537" s="38"/>
      <c r="D537" s="39"/>
      <c r="E537" s="36" t="str">
        <f aca="false">IF($D537="","",IFERROR(INDEX('통합 ④ 설정'!$A$6:$A$40,MATCH($D537,'통합 ④ 설정'!$B$6:$B$40,0)),"※없는 과목"))</f>
        <v/>
      </c>
      <c r="F537" s="36" t="str">
        <f aca="false">IF($D537="","",IFERROR(INDEX('통합 ④ 설정'!$C$6:$C$40,MATCH($D537,'통합 ④ 설정'!$B$6:$B$40,0)),""))</f>
        <v/>
      </c>
      <c r="G537" s="39"/>
      <c r="H537" s="39"/>
      <c r="I537" s="40"/>
      <c r="J537" s="41"/>
      <c r="K537" s="38"/>
      <c r="L537" s="42" t="str">
        <f aca="false">IF($B537="","",IF(AND(N($I537)=0,N($J537)=0),"금액이 없습니다",IF(AND($I537&gt;0,$J537&gt;0),"수입·지출 둘 다 적혔습니다",IF($C537="","결제수단을 고르십시오",IF(ISNA(MATCH($C537,'통합 ③ 통장·카드'!$A$5:$A$11,0)),"③ 통장·카드에 없는 결제수단입니다",IF($D537="","계정과목을 고르십시오",IF($E537="※없는 과목","④ 설정에 없는 과목입니다",IF(AND($E537="수입",$J537&gt;0),"수입 과목인데 지출에 적혔습니다",IF(AND(LEFT($E537,2)&lt;&gt;"수입",$E537&lt;&gt;"대체",$I537&gt;0),"지출 과목인데 수입에 적혔습니다",IF($K537="","증빙을 고르십시오",IF(AND($C537="바우처통장",$J537&gt;0,IFERROR(INDEX('통합 ④ 설정'!$E$6:$E$40,MATCH($D537,'통합 ④ 설정'!$B$6:$B$40,0)),"")&lt;&gt;"○"),"바우처통장 지출 — 목적 확인",IF($H537="","적요를 적으십시오",""))))))))))))</f>
        <v/>
      </c>
      <c r="M537" s="39"/>
      <c r="O537" s="11" t="str">
        <f aca="false">IF($B537="","",YEAR($B537)*100+MONTH($B537))</f>
        <v/>
      </c>
      <c r="P537" s="11" t="str">
        <f aca="false">IF($B537="","",IF($E537="대체",0,1))</f>
        <v/>
      </c>
    </row>
    <row r="538" customFormat="false" ht="15" hidden="false" customHeight="false" outlineLevel="0" collapsed="false">
      <c r="A538" s="36" t="str">
        <f aca="false">IF($B538="","",COUNT($B$15:$B538))</f>
        <v/>
      </c>
      <c r="B538" s="37"/>
      <c r="C538" s="38"/>
      <c r="D538" s="39"/>
      <c r="E538" s="36" t="str">
        <f aca="false">IF($D538="","",IFERROR(INDEX('통합 ④ 설정'!$A$6:$A$40,MATCH($D538,'통합 ④ 설정'!$B$6:$B$40,0)),"※없는 과목"))</f>
        <v/>
      </c>
      <c r="F538" s="36" t="str">
        <f aca="false">IF($D538="","",IFERROR(INDEX('통합 ④ 설정'!$C$6:$C$40,MATCH($D538,'통합 ④ 설정'!$B$6:$B$40,0)),""))</f>
        <v/>
      </c>
      <c r="G538" s="39"/>
      <c r="H538" s="39"/>
      <c r="I538" s="40"/>
      <c r="J538" s="41"/>
      <c r="K538" s="38"/>
      <c r="L538" s="42" t="str">
        <f aca="false">IF($B538="","",IF(AND(N($I538)=0,N($J538)=0),"금액이 없습니다",IF(AND($I538&gt;0,$J538&gt;0),"수입·지출 둘 다 적혔습니다",IF($C538="","결제수단을 고르십시오",IF(ISNA(MATCH($C538,'통합 ③ 통장·카드'!$A$5:$A$11,0)),"③ 통장·카드에 없는 결제수단입니다",IF($D538="","계정과목을 고르십시오",IF($E538="※없는 과목","④ 설정에 없는 과목입니다",IF(AND($E538="수입",$J538&gt;0),"수입 과목인데 지출에 적혔습니다",IF(AND(LEFT($E538,2)&lt;&gt;"수입",$E538&lt;&gt;"대체",$I538&gt;0),"지출 과목인데 수입에 적혔습니다",IF($K538="","증빙을 고르십시오",IF(AND($C538="바우처통장",$J538&gt;0,IFERROR(INDEX('통합 ④ 설정'!$E$6:$E$40,MATCH($D538,'통합 ④ 설정'!$B$6:$B$40,0)),"")&lt;&gt;"○"),"바우처통장 지출 — 목적 확인",IF($H538="","적요를 적으십시오",""))))))))))))</f>
        <v/>
      </c>
      <c r="M538" s="39"/>
      <c r="O538" s="11" t="str">
        <f aca="false">IF($B538="","",YEAR($B538)*100+MONTH($B538))</f>
        <v/>
      </c>
      <c r="P538" s="11" t="str">
        <f aca="false">IF($B538="","",IF($E538="대체",0,1))</f>
        <v/>
      </c>
    </row>
    <row r="539" customFormat="false" ht="15" hidden="false" customHeight="false" outlineLevel="0" collapsed="false">
      <c r="A539" s="36" t="str">
        <f aca="false">IF($B539="","",COUNT($B$15:$B539))</f>
        <v/>
      </c>
      <c r="B539" s="37"/>
      <c r="C539" s="38"/>
      <c r="D539" s="39"/>
      <c r="E539" s="36" t="str">
        <f aca="false">IF($D539="","",IFERROR(INDEX('통합 ④ 설정'!$A$6:$A$40,MATCH($D539,'통합 ④ 설정'!$B$6:$B$40,0)),"※없는 과목"))</f>
        <v/>
      </c>
      <c r="F539" s="36" t="str">
        <f aca="false">IF($D539="","",IFERROR(INDEX('통합 ④ 설정'!$C$6:$C$40,MATCH($D539,'통합 ④ 설정'!$B$6:$B$40,0)),""))</f>
        <v/>
      </c>
      <c r="G539" s="39"/>
      <c r="H539" s="39"/>
      <c r="I539" s="40"/>
      <c r="J539" s="41"/>
      <c r="K539" s="38"/>
      <c r="L539" s="42" t="str">
        <f aca="false">IF($B539="","",IF(AND(N($I539)=0,N($J539)=0),"금액이 없습니다",IF(AND($I539&gt;0,$J539&gt;0),"수입·지출 둘 다 적혔습니다",IF($C539="","결제수단을 고르십시오",IF(ISNA(MATCH($C539,'통합 ③ 통장·카드'!$A$5:$A$11,0)),"③ 통장·카드에 없는 결제수단입니다",IF($D539="","계정과목을 고르십시오",IF($E539="※없는 과목","④ 설정에 없는 과목입니다",IF(AND($E539="수입",$J539&gt;0),"수입 과목인데 지출에 적혔습니다",IF(AND(LEFT($E539,2)&lt;&gt;"수입",$E539&lt;&gt;"대체",$I539&gt;0),"지출 과목인데 수입에 적혔습니다",IF($K539="","증빙을 고르십시오",IF(AND($C539="바우처통장",$J539&gt;0,IFERROR(INDEX('통합 ④ 설정'!$E$6:$E$40,MATCH($D539,'통합 ④ 설정'!$B$6:$B$40,0)),"")&lt;&gt;"○"),"바우처통장 지출 — 목적 확인",IF($H539="","적요를 적으십시오",""))))))))))))</f>
        <v/>
      </c>
      <c r="M539" s="39"/>
      <c r="O539" s="11" t="str">
        <f aca="false">IF($B539="","",YEAR($B539)*100+MONTH($B539))</f>
        <v/>
      </c>
      <c r="P539" s="11" t="str">
        <f aca="false">IF($B539="","",IF($E539="대체",0,1))</f>
        <v/>
      </c>
    </row>
    <row r="540" customFormat="false" ht="15" hidden="false" customHeight="false" outlineLevel="0" collapsed="false">
      <c r="A540" s="36" t="str">
        <f aca="false">IF($B540="","",COUNT($B$15:$B540))</f>
        <v/>
      </c>
      <c r="B540" s="37"/>
      <c r="C540" s="38"/>
      <c r="D540" s="39"/>
      <c r="E540" s="36" t="str">
        <f aca="false">IF($D540="","",IFERROR(INDEX('통합 ④ 설정'!$A$6:$A$40,MATCH($D540,'통합 ④ 설정'!$B$6:$B$40,0)),"※없는 과목"))</f>
        <v/>
      </c>
      <c r="F540" s="36" t="str">
        <f aca="false">IF($D540="","",IFERROR(INDEX('통합 ④ 설정'!$C$6:$C$40,MATCH($D540,'통합 ④ 설정'!$B$6:$B$40,0)),""))</f>
        <v/>
      </c>
      <c r="G540" s="39"/>
      <c r="H540" s="39"/>
      <c r="I540" s="40"/>
      <c r="J540" s="41"/>
      <c r="K540" s="38"/>
      <c r="L540" s="42" t="str">
        <f aca="false">IF($B540="","",IF(AND(N($I540)=0,N($J540)=0),"금액이 없습니다",IF(AND($I540&gt;0,$J540&gt;0),"수입·지출 둘 다 적혔습니다",IF($C540="","결제수단을 고르십시오",IF(ISNA(MATCH($C540,'통합 ③ 통장·카드'!$A$5:$A$11,0)),"③ 통장·카드에 없는 결제수단입니다",IF($D540="","계정과목을 고르십시오",IF($E540="※없는 과목","④ 설정에 없는 과목입니다",IF(AND($E540="수입",$J540&gt;0),"수입 과목인데 지출에 적혔습니다",IF(AND(LEFT($E540,2)&lt;&gt;"수입",$E540&lt;&gt;"대체",$I540&gt;0),"지출 과목인데 수입에 적혔습니다",IF($K540="","증빙을 고르십시오",IF(AND($C540="바우처통장",$J540&gt;0,IFERROR(INDEX('통합 ④ 설정'!$E$6:$E$40,MATCH($D540,'통합 ④ 설정'!$B$6:$B$40,0)),"")&lt;&gt;"○"),"바우처통장 지출 — 목적 확인",IF($H540="","적요를 적으십시오",""))))))))))))</f>
        <v/>
      </c>
      <c r="M540" s="39"/>
      <c r="O540" s="11" t="str">
        <f aca="false">IF($B540="","",YEAR($B540)*100+MONTH($B540))</f>
        <v/>
      </c>
      <c r="P540" s="11" t="str">
        <f aca="false">IF($B540="","",IF($E540="대체",0,1))</f>
        <v/>
      </c>
    </row>
    <row r="541" customFormat="false" ht="15" hidden="false" customHeight="false" outlineLevel="0" collapsed="false">
      <c r="A541" s="36" t="str">
        <f aca="false">IF($B541="","",COUNT($B$15:$B541))</f>
        <v/>
      </c>
      <c r="B541" s="37"/>
      <c r="C541" s="38"/>
      <c r="D541" s="39"/>
      <c r="E541" s="36" t="str">
        <f aca="false">IF($D541="","",IFERROR(INDEX('통합 ④ 설정'!$A$6:$A$40,MATCH($D541,'통합 ④ 설정'!$B$6:$B$40,0)),"※없는 과목"))</f>
        <v/>
      </c>
      <c r="F541" s="36" t="str">
        <f aca="false">IF($D541="","",IFERROR(INDEX('통합 ④ 설정'!$C$6:$C$40,MATCH($D541,'통합 ④ 설정'!$B$6:$B$40,0)),""))</f>
        <v/>
      </c>
      <c r="G541" s="39"/>
      <c r="H541" s="39"/>
      <c r="I541" s="40"/>
      <c r="J541" s="41"/>
      <c r="K541" s="38"/>
      <c r="L541" s="42" t="str">
        <f aca="false">IF($B541="","",IF(AND(N($I541)=0,N($J541)=0),"금액이 없습니다",IF(AND($I541&gt;0,$J541&gt;0),"수입·지출 둘 다 적혔습니다",IF($C541="","결제수단을 고르십시오",IF(ISNA(MATCH($C541,'통합 ③ 통장·카드'!$A$5:$A$11,0)),"③ 통장·카드에 없는 결제수단입니다",IF($D541="","계정과목을 고르십시오",IF($E541="※없는 과목","④ 설정에 없는 과목입니다",IF(AND($E541="수입",$J541&gt;0),"수입 과목인데 지출에 적혔습니다",IF(AND(LEFT($E541,2)&lt;&gt;"수입",$E541&lt;&gt;"대체",$I541&gt;0),"지출 과목인데 수입에 적혔습니다",IF($K541="","증빙을 고르십시오",IF(AND($C541="바우처통장",$J541&gt;0,IFERROR(INDEX('통합 ④ 설정'!$E$6:$E$40,MATCH($D541,'통합 ④ 설정'!$B$6:$B$40,0)),"")&lt;&gt;"○"),"바우처통장 지출 — 목적 확인",IF($H541="","적요를 적으십시오",""))))))))))))</f>
        <v/>
      </c>
      <c r="M541" s="39"/>
      <c r="O541" s="11" t="str">
        <f aca="false">IF($B541="","",YEAR($B541)*100+MONTH($B541))</f>
        <v/>
      </c>
      <c r="P541" s="11" t="str">
        <f aca="false">IF($B541="","",IF($E541="대체",0,1))</f>
        <v/>
      </c>
    </row>
    <row r="542" customFormat="false" ht="15" hidden="false" customHeight="false" outlineLevel="0" collapsed="false">
      <c r="A542" s="36" t="str">
        <f aca="false">IF($B542="","",COUNT($B$15:$B542))</f>
        <v/>
      </c>
      <c r="B542" s="37"/>
      <c r="C542" s="38"/>
      <c r="D542" s="39"/>
      <c r="E542" s="36" t="str">
        <f aca="false">IF($D542="","",IFERROR(INDEX('통합 ④ 설정'!$A$6:$A$40,MATCH($D542,'통합 ④ 설정'!$B$6:$B$40,0)),"※없는 과목"))</f>
        <v/>
      </c>
      <c r="F542" s="36" t="str">
        <f aca="false">IF($D542="","",IFERROR(INDEX('통합 ④ 설정'!$C$6:$C$40,MATCH($D542,'통합 ④ 설정'!$B$6:$B$40,0)),""))</f>
        <v/>
      </c>
      <c r="G542" s="39"/>
      <c r="H542" s="39"/>
      <c r="I542" s="40"/>
      <c r="J542" s="41"/>
      <c r="K542" s="38"/>
      <c r="L542" s="42" t="str">
        <f aca="false">IF($B542="","",IF(AND(N($I542)=0,N($J542)=0),"금액이 없습니다",IF(AND($I542&gt;0,$J542&gt;0),"수입·지출 둘 다 적혔습니다",IF($C542="","결제수단을 고르십시오",IF(ISNA(MATCH($C542,'통합 ③ 통장·카드'!$A$5:$A$11,0)),"③ 통장·카드에 없는 결제수단입니다",IF($D542="","계정과목을 고르십시오",IF($E542="※없는 과목","④ 설정에 없는 과목입니다",IF(AND($E542="수입",$J542&gt;0),"수입 과목인데 지출에 적혔습니다",IF(AND(LEFT($E542,2)&lt;&gt;"수입",$E542&lt;&gt;"대체",$I542&gt;0),"지출 과목인데 수입에 적혔습니다",IF($K542="","증빙을 고르십시오",IF(AND($C542="바우처통장",$J542&gt;0,IFERROR(INDEX('통합 ④ 설정'!$E$6:$E$40,MATCH($D542,'통합 ④ 설정'!$B$6:$B$40,0)),"")&lt;&gt;"○"),"바우처통장 지출 — 목적 확인",IF($H542="","적요를 적으십시오",""))))))))))))</f>
        <v/>
      </c>
      <c r="M542" s="39"/>
      <c r="O542" s="11" t="str">
        <f aca="false">IF($B542="","",YEAR($B542)*100+MONTH($B542))</f>
        <v/>
      </c>
      <c r="P542" s="11" t="str">
        <f aca="false">IF($B542="","",IF($E542="대체",0,1))</f>
        <v/>
      </c>
    </row>
    <row r="543" customFormat="false" ht="15" hidden="false" customHeight="false" outlineLevel="0" collapsed="false">
      <c r="A543" s="36" t="str">
        <f aca="false">IF($B543="","",COUNT($B$15:$B543))</f>
        <v/>
      </c>
      <c r="B543" s="37"/>
      <c r="C543" s="38"/>
      <c r="D543" s="39"/>
      <c r="E543" s="36" t="str">
        <f aca="false">IF($D543="","",IFERROR(INDEX('통합 ④ 설정'!$A$6:$A$40,MATCH($D543,'통합 ④ 설정'!$B$6:$B$40,0)),"※없는 과목"))</f>
        <v/>
      </c>
      <c r="F543" s="36" t="str">
        <f aca="false">IF($D543="","",IFERROR(INDEX('통합 ④ 설정'!$C$6:$C$40,MATCH($D543,'통합 ④ 설정'!$B$6:$B$40,0)),""))</f>
        <v/>
      </c>
      <c r="G543" s="39"/>
      <c r="H543" s="39"/>
      <c r="I543" s="40"/>
      <c r="J543" s="41"/>
      <c r="K543" s="38"/>
      <c r="L543" s="42" t="str">
        <f aca="false">IF($B543="","",IF(AND(N($I543)=0,N($J543)=0),"금액이 없습니다",IF(AND($I543&gt;0,$J543&gt;0),"수입·지출 둘 다 적혔습니다",IF($C543="","결제수단을 고르십시오",IF(ISNA(MATCH($C543,'통합 ③ 통장·카드'!$A$5:$A$11,0)),"③ 통장·카드에 없는 결제수단입니다",IF($D543="","계정과목을 고르십시오",IF($E543="※없는 과목","④ 설정에 없는 과목입니다",IF(AND($E543="수입",$J543&gt;0),"수입 과목인데 지출에 적혔습니다",IF(AND(LEFT($E543,2)&lt;&gt;"수입",$E543&lt;&gt;"대체",$I543&gt;0),"지출 과목인데 수입에 적혔습니다",IF($K543="","증빙을 고르십시오",IF(AND($C543="바우처통장",$J543&gt;0,IFERROR(INDEX('통합 ④ 설정'!$E$6:$E$40,MATCH($D543,'통합 ④ 설정'!$B$6:$B$40,0)),"")&lt;&gt;"○"),"바우처통장 지출 — 목적 확인",IF($H543="","적요를 적으십시오",""))))))))))))</f>
        <v/>
      </c>
      <c r="M543" s="39"/>
      <c r="O543" s="11" t="str">
        <f aca="false">IF($B543="","",YEAR($B543)*100+MONTH($B543))</f>
        <v/>
      </c>
      <c r="P543" s="11" t="str">
        <f aca="false">IF($B543="","",IF($E543="대체",0,1))</f>
        <v/>
      </c>
    </row>
    <row r="544" customFormat="false" ht="15" hidden="false" customHeight="false" outlineLevel="0" collapsed="false">
      <c r="A544" s="36" t="str">
        <f aca="false">IF($B544="","",COUNT($B$15:$B544))</f>
        <v/>
      </c>
      <c r="B544" s="37"/>
      <c r="C544" s="38"/>
      <c r="D544" s="39"/>
      <c r="E544" s="36" t="str">
        <f aca="false">IF($D544="","",IFERROR(INDEX('통합 ④ 설정'!$A$6:$A$40,MATCH($D544,'통합 ④ 설정'!$B$6:$B$40,0)),"※없는 과목"))</f>
        <v/>
      </c>
      <c r="F544" s="36" t="str">
        <f aca="false">IF($D544="","",IFERROR(INDEX('통합 ④ 설정'!$C$6:$C$40,MATCH($D544,'통합 ④ 설정'!$B$6:$B$40,0)),""))</f>
        <v/>
      </c>
      <c r="G544" s="39"/>
      <c r="H544" s="39"/>
      <c r="I544" s="40"/>
      <c r="J544" s="41"/>
      <c r="K544" s="38"/>
      <c r="L544" s="42" t="str">
        <f aca="false">IF($B544="","",IF(AND(N($I544)=0,N($J544)=0),"금액이 없습니다",IF(AND($I544&gt;0,$J544&gt;0),"수입·지출 둘 다 적혔습니다",IF($C544="","결제수단을 고르십시오",IF(ISNA(MATCH($C544,'통합 ③ 통장·카드'!$A$5:$A$11,0)),"③ 통장·카드에 없는 결제수단입니다",IF($D544="","계정과목을 고르십시오",IF($E544="※없는 과목","④ 설정에 없는 과목입니다",IF(AND($E544="수입",$J544&gt;0),"수입 과목인데 지출에 적혔습니다",IF(AND(LEFT($E544,2)&lt;&gt;"수입",$E544&lt;&gt;"대체",$I544&gt;0),"지출 과목인데 수입에 적혔습니다",IF($K544="","증빙을 고르십시오",IF(AND($C544="바우처통장",$J544&gt;0,IFERROR(INDEX('통합 ④ 설정'!$E$6:$E$40,MATCH($D544,'통합 ④ 설정'!$B$6:$B$40,0)),"")&lt;&gt;"○"),"바우처통장 지출 — 목적 확인",IF($H544="","적요를 적으십시오",""))))))))))))</f>
        <v/>
      </c>
      <c r="M544" s="39"/>
      <c r="O544" s="11" t="str">
        <f aca="false">IF($B544="","",YEAR($B544)*100+MONTH($B544))</f>
        <v/>
      </c>
      <c r="P544" s="11" t="str">
        <f aca="false">IF($B544="","",IF($E544="대체",0,1))</f>
        <v/>
      </c>
    </row>
    <row r="545" customFormat="false" ht="15" hidden="false" customHeight="false" outlineLevel="0" collapsed="false">
      <c r="A545" s="36" t="str">
        <f aca="false">IF($B545="","",COUNT($B$15:$B545))</f>
        <v/>
      </c>
      <c r="B545" s="37"/>
      <c r="C545" s="38"/>
      <c r="D545" s="39"/>
      <c r="E545" s="36" t="str">
        <f aca="false">IF($D545="","",IFERROR(INDEX('통합 ④ 설정'!$A$6:$A$40,MATCH($D545,'통합 ④ 설정'!$B$6:$B$40,0)),"※없는 과목"))</f>
        <v/>
      </c>
      <c r="F545" s="36" t="str">
        <f aca="false">IF($D545="","",IFERROR(INDEX('통합 ④ 설정'!$C$6:$C$40,MATCH($D545,'통합 ④ 설정'!$B$6:$B$40,0)),""))</f>
        <v/>
      </c>
      <c r="G545" s="39"/>
      <c r="H545" s="39"/>
      <c r="I545" s="40"/>
      <c r="J545" s="41"/>
      <c r="K545" s="38"/>
      <c r="L545" s="42" t="str">
        <f aca="false">IF($B545="","",IF(AND(N($I545)=0,N($J545)=0),"금액이 없습니다",IF(AND($I545&gt;0,$J545&gt;0),"수입·지출 둘 다 적혔습니다",IF($C545="","결제수단을 고르십시오",IF(ISNA(MATCH($C545,'통합 ③ 통장·카드'!$A$5:$A$11,0)),"③ 통장·카드에 없는 결제수단입니다",IF($D545="","계정과목을 고르십시오",IF($E545="※없는 과목","④ 설정에 없는 과목입니다",IF(AND($E545="수입",$J545&gt;0),"수입 과목인데 지출에 적혔습니다",IF(AND(LEFT($E545,2)&lt;&gt;"수입",$E545&lt;&gt;"대체",$I545&gt;0),"지출 과목인데 수입에 적혔습니다",IF($K545="","증빙을 고르십시오",IF(AND($C545="바우처통장",$J545&gt;0,IFERROR(INDEX('통합 ④ 설정'!$E$6:$E$40,MATCH($D545,'통합 ④ 설정'!$B$6:$B$40,0)),"")&lt;&gt;"○"),"바우처통장 지출 — 목적 확인",IF($H545="","적요를 적으십시오",""))))))))))))</f>
        <v/>
      </c>
      <c r="M545" s="39"/>
      <c r="O545" s="11" t="str">
        <f aca="false">IF($B545="","",YEAR($B545)*100+MONTH($B545))</f>
        <v/>
      </c>
      <c r="P545" s="11" t="str">
        <f aca="false">IF($B545="","",IF($E545="대체",0,1))</f>
        <v/>
      </c>
    </row>
    <row r="546" customFormat="false" ht="15" hidden="false" customHeight="false" outlineLevel="0" collapsed="false">
      <c r="A546" s="36" t="str">
        <f aca="false">IF($B546="","",COUNT($B$15:$B546))</f>
        <v/>
      </c>
      <c r="B546" s="37"/>
      <c r="C546" s="38"/>
      <c r="D546" s="39"/>
      <c r="E546" s="36" t="str">
        <f aca="false">IF($D546="","",IFERROR(INDEX('통합 ④ 설정'!$A$6:$A$40,MATCH($D546,'통합 ④ 설정'!$B$6:$B$40,0)),"※없는 과목"))</f>
        <v/>
      </c>
      <c r="F546" s="36" t="str">
        <f aca="false">IF($D546="","",IFERROR(INDEX('통합 ④ 설정'!$C$6:$C$40,MATCH($D546,'통합 ④ 설정'!$B$6:$B$40,0)),""))</f>
        <v/>
      </c>
      <c r="G546" s="39"/>
      <c r="H546" s="39"/>
      <c r="I546" s="40"/>
      <c r="J546" s="41"/>
      <c r="K546" s="38"/>
      <c r="L546" s="42" t="str">
        <f aca="false">IF($B546="","",IF(AND(N($I546)=0,N($J546)=0),"금액이 없습니다",IF(AND($I546&gt;0,$J546&gt;0),"수입·지출 둘 다 적혔습니다",IF($C546="","결제수단을 고르십시오",IF(ISNA(MATCH($C546,'통합 ③ 통장·카드'!$A$5:$A$11,0)),"③ 통장·카드에 없는 결제수단입니다",IF($D546="","계정과목을 고르십시오",IF($E546="※없는 과목","④ 설정에 없는 과목입니다",IF(AND($E546="수입",$J546&gt;0),"수입 과목인데 지출에 적혔습니다",IF(AND(LEFT($E546,2)&lt;&gt;"수입",$E546&lt;&gt;"대체",$I546&gt;0),"지출 과목인데 수입에 적혔습니다",IF($K546="","증빙을 고르십시오",IF(AND($C546="바우처통장",$J546&gt;0,IFERROR(INDEX('통합 ④ 설정'!$E$6:$E$40,MATCH($D546,'통합 ④ 설정'!$B$6:$B$40,0)),"")&lt;&gt;"○"),"바우처통장 지출 — 목적 확인",IF($H546="","적요를 적으십시오",""))))))))))))</f>
        <v/>
      </c>
      <c r="M546" s="39"/>
      <c r="O546" s="11" t="str">
        <f aca="false">IF($B546="","",YEAR($B546)*100+MONTH($B546))</f>
        <v/>
      </c>
      <c r="P546" s="11" t="str">
        <f aca="false">IF($B546="","",IF($E546="대체",0,1))</f>
        <v/>
      </c>
    </row>
    <row r="547" customFormat="false" ht="15" hidden="false" customHeight="false" outlineLevel="0" collapsed="false">
      <c r="A547" s="36" t="str">
        <f aca="false">IF($B547="","",COUNT($B$15:$B547))</f>
        <v/>
      </c>
      <c r="B547" s="37"/>
      <c r="C547" s="38"/>
      <c r="D547" s="39"/>
      <c r="E547" s="36" t="str">
        <f aca="false">IF($D547="","",IFERROR(INDEX('통합 ④ 설정'!$A$6:$A$40,MATCH($D547,'통합 ④ 설정'!$B$6:$B$40,0)),"※없는 과목"))</f>
        <v/>
      </c>
      <c r="F547" s="36" t="str">
        <f aca="false">IF($D547="","",IFERROR(INDEX('통합 ④ 설정'!$C$6:$C$40,MATCH($D547,'통합 ④ 설정'!$B$6:$B$40,0)),""))</f>
        <v/>
      </c>
      <c r="G547" s="39"/>
      <c r="H547" s="39"/>
      <c r="I547" s="40"/>
      <c r="J547" s="41"/>
      <c r="K547" s="38"/>
      <c r="L547" s="42" t="str">
        <f aca="false">IF($B547="","",IF(AND(N($I547)=0,N($J547)=0),"금액이 없습니다",IF(AND($I547&gt;0,$J547&gt;0),"수입·지출 둘 다 적혔습니다",IF($C547="","결제수단을 고르십시오",IF(ISNA(MATCH($C547,'통합 ③ 통장·카드'!$A$5:$A$11,0)),"③ 통장·카드에 없는 결제수단입니다",IF($D547="","계정과목을 고르십시오",IF($E547="※없는 과목","④ 설정에 없는 과목입니다",IF(AND($E547="수입",$J547&gt;0),"수입 과목인데 지출에 적혔습니다",IF(AND(LEFT($E547,2)&lt;&gt;"수입",$E547&lt;&gt;"대체",$I547&gt;0),"지출 과목인데 수입에 적혔습니다",IF($K547="","증빙을 고르십시오",IF(AND($C547="바우처통장",$J547&gt;0,IFERROR(INDEX('통합 ④ 설정'!$E$6:$E$40,MATCH($D547,'통합 ④ 설정'!$B$6:$B$40,0)),"")&lt;&gt;"○"),"바우처통장 지출 — 목적 확인",IF($H547="","적요를 적으십시오",""))))))))))))</f>
        <v/>
      </c>
      <c r="M547" s="39"/>
      <c r="O547" s="11" t="str">
        <f aca="false">IF($B547="","",YEAR($B547)*100+MONTH($B547))</f>
        <v/>
      </c>
      <c r="P547" s="11" t="str">
        <f aca="false">IF($B547="","",IF($E547="대체",0,1))</f>
        <v/>
      </c>
    </row>
    <row r="548" customFormat="false" ht="15" hidden="false" customHeight="false" outlineLevel="0" collapsed="false">
      <c r="A548" s="36" t="str">
        <f aca="false">IF($B548="","",COUNT($B$15:$B548))</f>
        <v/>
      </c>
      <c r="B548" s="37"/>
      <c r="C548" s="38"/>
      <c r="D548" s="39"/>
      <c r="E548" s="36" t="str">
        <f aca="false">IF($D548="","",IFERROR(INDEX('통합 ④ 설정'!$A$6:$A$40,MATCH($D548,'통합 ④ 설정'!$B$6:$B$40,0)),"※없는 과목"))</f>
        <v/>
      </c>
      <c r="F548" s="36" t="str">
        <f aca="false">IF($D548="","",IFERROR(INDEX('통합 ④ 설정'!$C$6:$C$40,MATCH($D548,'통합 ④ 설정'!$B$6:$B$40,0)),""))</f>
        <v/>
      </c>
      <c r="G548" s="39"/>
      <c r="H548" s="39"/>
      <c r="I548" s="40"/>
      <c r="J548" s="41"/>
      <c r="K548" s="38"/>
      <c r="L548" s="42" t="str">
        <f aca="false">IF($B548="","",IF(AND(N($I548)=0,N($J548)=0),"금액이 없습니다",IF(AND($I548&gt;0,$J548&gt;0),"수입·지출 둘 다 적혔습니다",IF($C548="","결제수단을 고르십시오",IF(ISNA(MATCH($C548,'통합 ③ 통장·카드'!$A$5:$A$11,0)),"③ 통장·카드에 없는 결제수단입니다",IF($D548="","계정과목을 고르십시오",IF($E548="※없는 과목","④ 설정에 없는 과목입니다",IF(AND($E548="수입",$J548&gt;0),"수입 과목인데 지출에 적혔습니다",IF(AND(LEFT($E548,2)&lt;&gt;"수입",$E548&lt;&gt;"대체",$I548&gt;0),"지출 과목인데 수입에 적혔습니다",IF($K548="","증빙을 고르십시오",IF(AND($C548="바우처통장",$J548&gt;0,IFERROR(INDEX('통합 ④ 설정'!$E$6:$E$40,MATCH($D548,'통합 ④ 설정'!$B$6:$B$40,0)),"")&lt;&gt;"○"),"바우처통장 지출 — 목적 확인",IF($H548="","적요를 적으십시오",""))))))))))))</f>
        <v/>
      </c>
      <c r="M548" s="39"/>
      <c r="O548" s="11" t="str">
        <f aca="false">IF($B548="","",YEAR($B548)*100+MONTH($B548))</f>
        <v/>
      </c>
      <c r="P548" s="11" t="str">
        <f aca="false">IF($B548="","",IF($E548="대체",0,1))</f>
        <v/>
      </c>
    </row>
    <row r="549" customFormat="false" ht="15" hidden="false" customHeight="false" outlineLevel="0" collapsed="false">
      <c r="A549" s="36" t="str">
        <f aca="false">IF($B549="","",COUNT($B$15:$B549))</f>
        <v/>
      </c>
      <c r="B549" s="37"/>
      <c r="C549" s="38"/>
      <c r="D549" s="39"/>
      <c r="E549" s="36" t="str">
        <f aca="false">IF($D549="","",IFERROR(INDEX('통합 ④ 설정'!$A$6:$A$40,MATCH($D549,'통합 ④ 설정'!$B$6:$B$40,0)),"※없는 과목"))</f>
        <v/>
      </c>
      <c r="F549" s="36" t="str">
        <f aca="false">IF($D549="","",IFERROR(INDEX('통합 ④ 설정'!$C$6:$C$40,MATCH($D549,'통합 ④ 설정'!$B$6:$B$40,0)),""))</f>
        <v/>
      </c>
      <c r="G549" s="39"/>
      <c r="H549" s="39"/>
      <c r="I549" s="40"/>
      <c r="J549" s="41"/>
      <c r="K549" s="38"/>
      <c r="L549" s="42" t="str">
        <f aca="false">IF($B549="","",IF(AND(N($I549)=0,N($J549)=0),"금액이 없습니다",IF(AND($I549&gt;0,$J549&gt;0),"수입·지출 둘 다 적혔습니다",IF($C549="","결제수단을 고르십시오",IF(ISNA(MATCH($C549,'통합 ③ 통장·카드'!$A$5:$A$11,0)),"③ 통장·카드에 없는 결제수단입니다",IF($D549="","계정과목을 고르십시오",IF($E549="※없는 과목","④ 설정에 없는 과목입니다",IF(AND($E549="수입",$J549&gt;0),"수입 과목인데 지출에 적혔습니다",IF(AND(LEFT($E549,2)&lt;&gt;"수입",$E549&lt;&gt;"대체",$I549&gt;0),"지출 과목인데 수입에 적혔습니다",IF($K549="","증빙을 고르십시오",IF(AND($C549="바우처통장",$J549&gt;0,IFERROR(INDEX('통합 ④ 설정'!$E$6:$E$40,MATCH($D549,'통합 ④ 설정'!$B$6:$B$40,0)),"")&lt;&gt;"○"),"바우처통장 지출 — 목적 확인",IF($H549="","적요를 적으십시오",""))))))))))))</f>
        <v/>
      </c>
      <c r="M549" s="39"/>
      <c r="O549" s="11" t="str">
        <f aca="false">IF($B549="","",YEAR($B549)*100+MONTH($B549))</f>
        <v/>
      </c>
      <c r="P549" s="11" t="str">
        <f aca="false">IF($B549="","",IF($E549="대체",0,1))</f>
        <v/>
      </c>
    </row>
    <row r="550" customFormat="false" ht="15" hidden="false" customHeight="false" outlineLevel="0" collapsed="false">
      <c r="A550" s="36" t="str">
        <f aca="false">IF($B550="","",COUNT($B$15:$B550))</f>
        <v/>
      </c>
      <c r="B550" s="37"/>
      <c r="C550" s="38"/>
      <c r="D550" s="39"/>
      <c r="E550" s="36" t="str">
        <f aca="false">IF($D550="","",IFERROR(INDEX('통합 ④ 설정'!$A$6:$A$40,MATCH($D550,'통합 ④ 설정'!$B$6:$B$40,0)),"※없는 과목"))</f>
        <v/>
      </c>
      <c r="F550" s="36" t="str">
        <f aca="false">IF($D550="","",IFERROR(INDEX('통합 ④ 설정'!$C$6:$C$40,MATCH($D550,'통합 ④ 설정'!$B$6:$B$40,0)),""))</f>
        <v/>
      </c>
      <c r="G550" s="39"/>
      <c r="H550" s="39"/>
      <c r="I550" s="40"/>
      <c r="J550" s="41"/>
      <c r="K550" s="38"/>
      <c r="L550" s="42" t="str">
        <f aca="false">IF($B550="","",IF(AND(N($I550)=0,N($J550)=0),"금액이 없습니다",IF(AND($I550&gt;0,$J550&gt;0),"수입·지출 둘 다 적혔습니다",IF($C550="","결제수단을 고르십시오",IF(ISNA(MATCH($C550,'통합 ③ 통장·카드'!$A$5:$A$11,0)),"③ 통장·카드에 없는 결제수단입니다",IF($D550="","계정과목을 고르십시오",IF($E550="※없는 과목","④ 설정에 없는 과목입니다",IF(AND($E550="수입",$J550&gt;0),"수입 과목인데 지출에 적혔습니다",IF(AND(LEFT($E550,2)&lt;&gt;"수입",$E550&lt;&gt;"대체",$I550&gt;0),"지출 과목인데 수입에 적혔습니다",IF($K550="","증빙을 고르십시오",IF(AND($C550="바우처통장",$J550&gt;0,IFERROR(INDEX('통합 ④ 설정'!$E$6:$E$40,MATCH($D550,'통합 ④ 설정'!$B$6:$B$40,0)),"")&lt;&gt;"○"),"바우처통장 지출 — 목적 확인",IF($H550="","적요를 적으십시오",""))))))))))))</f>
        <v/>
      </c>
      <c r="M550" s="39"/>
      <c r="O550" s="11" t="str">
        <f aca="false">IF($B550="","",YEAR($B550)*100+MONTH($B550))</f>
        <v/>
      </c>
      <c r="P550" s="11" t="str">
        <f aca="false">IF($B550="","",IF($E550="대체",0,1))</f>
        <v/>
      </c>
    </row>
    <row r="551" customFormat="false" ht="15" hidden="false" customHeight="false" outlineLevel="0" collapsed="false">
      <c r="A551" s="36" t="str">
        <f aca="false">IF($B551="","",COUNT($B$15:$B551))</f>
        <v/>
      </c>
      <c r="B551" s="37"/>
      <c r="C551" s="38"/>
      <c r="D551" s="39"/>
      <c r="E551" s="36" t="str">
        <f aca="false">IF($D551="","",IFERROR(INDEX('통합 ④ 설정'!$A$6:$A$40,MATCH($D551,'통합 ④ 설정'!$B$6:$B$40,0)),"※없는 과목"))</f>
        <v/>
      </c>
      <c r="F551" s="36" t="str">
        <f aca="false">IF($D551="","",IFERROR(INDEX('통합 ④ 설정'!$C$6:$C$40,MATCH($D551,'통합 ④ 설정'!$B$6:$B$40,0)),""))</f>
        <v/>
      </c>
      <c r="G551" s="39"/>
      <c r="H551" s="39"/>
      <c r="I551" s="40"/>
      <c r="J551" s="41"/>
      <c r="K551" s="38"/>
      <c r="L551" s="42" t="str">
        <f aca="false">IF($B551="","",IF(AND(N($I551)=0,N($J551)=0),"금액이 없습니다",IF(AND($I551&gt;0,$J551&gt;0),"수입·지출 둘 다 적혔습니다",IF($C551="","결제수단을 고르십시오",IF(ISNA(MATCH($C551,'통합 ③ 통장·카드'!$A$5:$A$11,0)),"③ 통장·카드에 없는 결제수단입니다",IF($D551="","계정과목을 고르십시오",IF($E551="※없는 과목","④ 설정에 없는 과목입니다",IF(AND($E551="수입",$J551&gt;0),"수입 과목인데 지출에 적혔습니다",IF(AND(LEFT($E551,2)&lt;&gt;"수입",$E551&lt;&gt;"대체",$I551&gt;0),"지출 과목인데 수입에 적혔습니다",IF($K551="","증빙을 고르십시오",IF(AND($C551="바우처통장",$J551&gt;0,IFERROR(INDEX('통합 ④ 설정'!$E$6:$E$40,MATCH($D551,'통합 ④ 설정'!$B$6:$B$40,0)),"")&lt;&gt;"○"),"바우처통장 지출 — 목적 확인",IF($H551="","적요를 적으십시오",""))))))))))))</f>
        <v/>
      </c>
      <c r="M551" s="39"/>
      <c r="O551" s="11" t="str">
        <f aca="false">IF($B551="","",YEAR($B551)*100+MONTH($B551))</f>
        <v/>
      </c>
      <c r="P551" s="11" t="str">
        <f aca="false">IF($B551="","",IF($E551="대체",0,1))</f>
        <v/>
      </c>
    </row>
    <row r="552" customFormat="false" ht="15" hidden="false" customHeight="false" outlineLevel="0" collapsed="false">
      <c r="A552" s="36" t="str">
        <f aca="false">IF($B552="","",COUNT($B$15:$B552))</f>
        <v/>
      </c>
      <c r="B552" s="37"/>
      <c r="C552" s="38"/>
      <c r="D552" s="39"/>
      <c r="E552" s="36" t="str">
        <f aca="false">IF($D552="","",IFERROR(INDEX('통합 ④ 설정'!$A$6:$A$40,MATCH($D552,'통합 ④ 설정'!$B$6:$B$40,0)),"※없는 과목"))</f>
        <v/>
      </c>
      <c r="F552" s="36" t="str">
        <f aca="false">IF($D552="","",IFERROR(INDEX('통합 ④ 설정'!$C$6:$C$40,MATCH($D552,'통합 ④ 설정'!$B$6:$B$40,0)),""))</f>
        <v/>
      </c>
      <c r="G552" s="39"/>
      <c r="H552" s="39"/>
      <c r="I552" s="40"/>
      <c r="J552" s="41"/>
      <c r="K552" s="38"/>
      <c r="L552" s="42" t="str">
        <f aca="false">IF($B552="","",IF(AND(N($I552)=0,N($J552)=0),"금액이 없습니다",IF(AND($I552&gt;0,$J552&gt;0),"수입·지출 둘 다 적혔습니다",IF($C552="","결제수단을 고르십시오",IF(ISNA(MATCH($C552,'통합 ③ 통장·카드'!$A$5:$A$11,0)),"③ 통장·카드에 없는 결제수단입니다",IF($D552="","계정과목을 고르십시오",IF($E552="※없는 과목","④ 설정에 없는 과목입니다",IF(AND($E552="수입",$J552&gt;0),"수입 과목인데 지출에 적혔습니다",IF(AND(LEFT($E552,2)&lt;&gt;"수입",$E552&lt;&gt;"대체",$I552&gt;0),"지출 과목인데 수입에 적혔습니다",IF($K552="","증빙을 고르십시오",IF(AND($C552="바우처통장",$J552&gt;0,IFERROR(INDEX('통합 ④ 설정'!$E$6:$E$40,MATCH($D552,'통합 ④ 설정'!$B$6:$B$40,0)),"")&lt;&gt;"○"),"바우처통장 지출 — 목적 확인",IF($H552="","적요를 적으십시오",""))))))))))))</f>
        <v/>
      </c>
      <c r="M552" s="39"/>
      <c r="O552" s="11" t="str">
        <f aca="false">IF($B552="","",YEAR($B552)*100+MONTH($B552))</f>
        <v/>
      </c>
      <c r="P552" s="11" t="str">
        <f aca="false">IF($B552="","",IF($E552="대체",0,1))</f>
        <v/>
      </c>
    </row>
    <row r="553" customFormat="false" ht="15" hidden="false" customHeight="false" outlineLevel="0" collapsed="false">
      <c r="A553" s="36" t="str">
        <f aca="false">IF($B553="","",COUNT($B$15:$B553))</f>
        <v/>
      </c>
      <c r="B553" s="37"/>
      <c r="C553" s="38"/>
      <c r="D553" s="39"/>
      <c r="E553" s="36" t="str">
        <f aca="false">IF($D553="","",IFERROR(INDEX('통합 ④ 설정'!$A$6:$A$40,MATCH($D553,'통합 ④ 설정'!$B$6:$B$40,0)),"※없는 과목"))</f>
        <v/>
      </c>
      <c r="F553" s="36" t="str">
        <f aca="false">IF($D553="","",IFERROR(INDEX('통합 ④ 설정'!$C$6:$C$40,MATCH($D553,'통합 ④ 설정'!$B$6:$B$40,0)),""))</f>
        <v/>
      </c>
      <c r="G553" s="39"/>
      <c r="H553" s="39"/>
      <c r="I553" s="40"/>
      <c r="J553" s="41"/>
      <c r="K553" s="38"/>
      <c r="L553" s="42" t="str">
        <f aca="false">IF($B553="","",IF(AND(N($I553)=0,N($J553)=0),"금액이 없습니다",IF(AND($I553&gt;0,$J553&gt;0),"수입·지출 둘 다 적혔습니다",IF($C553="","결제수단을 고르십시오",IF(ISNA(MATCH($C553,'통합 ③ 통장·카드'!$A$5:$A$11,0)),"③ 통장·카드에 없는 결제수단입니다",IF($D553="","계정과목을 고르십시오",IF($E553="※없는 과목","④ 설정에 없는 과목입니다",IF(AND($E553="수입",$J553&gt;0),"수입 과목인데 지출에 적혔습니다",IF(AND(LEFT($E553,2)&lt;&gt;"수입",$E553&lt;&gt;"대체",$I553&gt;0),"지출 과목인데 수입에 적혔습니다",IF($K553="","증빙을 고르십시오",IF(AND($C553="바우처통장",$J553&gt;0,IFERROR(INDEX('통합 ④ 설정'!$E$6:$E$40,MATCH($D553,'통합 ④ 설정'!$B$6:$B$40,0)),"")&lt;&gt;"○"),"바우처통장 지출 — 목적 확인",IF($H553="","적요를 적으십시오",""))))))))))))</f>
        <v/>
      </c>
      <c r="M553" s="39"/>
      <c r="O553" s="11" t="str">
        <f aca="false">IF($B553="","",YEAR($B553)*100+MONTH($B553))</f>
        <v/>
      </c>
      <c r="P553" s="11" t="str">
        <f aca="false">IF($B553="","",IF($E553="대체",0,1))</f>
        <v/>
      </c>
    </row>
    <row r="554" customFormat="false" ht="15" hidden="false" customHeight="false" outlineLevel="0" collapsed="false">
      <c r="A554" s="36" t="str">
        <f aca="false">IF($B554="","",COUNT($B$15:$B554))</f>
        <v/>
      </c>
      <c r="B554" s="37"/>
      <c r="C554" s="38"/>
      <c r="D554" s="39"/>
      <c r="E554" s="36" t="str">
        <f aca="false">IF($D554="","",IFERROR(INDEX('통합 ④ 설정'!$A$6:$A$40,MATCH($D554,'통합 ④ 설정'!$B$6:$B$40,0)),"※없는 과목"))</f>
        <v/>
      </c>
      <c r="F554" s="36" t="str">
        <f aca="false">IF($D554="","",IFERROR(INDEX('통합 ④ 설정'!$C$6:$C$40,MATCH($D554,'통합 ④ 설정'!$B$6:$B$40,0)),""))</f>
        <v/>
      </c>
      <c r="G554" s="39"/>
      <c r="H554" s="39"/>
      <c r="I554" s="40"/>
      <c r="J554" s="41"/>
      <c r="K554" s="38"/>
      <c r="L554" s="42" t="str">
        <f aca="false">IF($B554="","",IF(AND(N($I554)=0,N($J554)=0),"금액이 없습니다",IF(AND($I554&gt;0,$J554&gt;0),"수입·지출 둘 다 적혔습니다",IF($C554="","결제수단을 고르십시오",IF(ISNA(MATCH($C554,'통합 ③ 통장·카드'!$A$5:$A$11,0)),"③ 통장·카드에 없는 결제수단입니다",IF($D554="","계정과목을 고르십시오",IF($E554="※없는 과목","④ 설정에 없는 과목입니다",IF(AND($E554="수입",$J554&gt;0),"수입 과목인데 지출에 적혔습니다",IF(AND(LEFT($E554,2)&lt;&gt;"수입",$E554&lt;&gt;"대체",$I554&gt;0),"지출 과목인데 수입에 적혔습니다",IF($K554="","증빙을 고르십시오",IF(AND($C554="바우처통장",$J554&gt;0,IFERROR(INDEX('통합 ④ 설정'!$E$6:$E$40,MATCH($D554,'통합 ④ 설정'!$B$6:$B$40,0)),"")&lt;&gt;"○"),"바우처통장 지출 — 목적 확인",IF($H554="","적요를 적으십시오",""))))))))))))</f>
        <v/>
      </c>
      <c r="M554" s="39"/>
      <c r="O554" s="11" t="str">
        <f aca="false">IF($B554="","",YEAR($B554)*100+MONTH($B554))</f>
        <v/>
      </c>
      <c r="P554" s="11" t="str">
        <f aca="false">IF($B554="","",IF($E554="대체",0,1))</f>
        <v/>
      </c>
    </row>
    <row r="555" customFormat="false" ht="15" hidden="false" customHeight="false" outlineLevel="0" collapsed="false">
      <c r="A555" s="36" t="str">
        <f aca="false">IF($B555="","",COUNT($B$15:$B555))</f>
        <v/>
      </c>
      <c r="B555" s="37"/>
      <c r="C555" s="38"/>
      <c r="D555" s="39"/>
      <c r="E555" s="36" t="str">
        <f aca="false">IF($D555="","",IFERROR(INDEX('통합 ④ 설정'!$A$6:$A$40,MATCH($D555,'통합 ④ 설정'!$B$6:$B$40,0)),"※없는 과목"))</f>
        <v/>
      </c>
      <c r="F555" s="36" t="str">
        <f aca="false">IF($D555="","",IFERROR(INDEX('통합 ④ 설정'!$C$6:$C$40,MATCH($D555,'통합 ④ 설정'!$B$6:$B$40,0)),""))</f>
        <v/>
      </c>
      <c r="G555" s="39"/>
      <c r="H555" s="39"/>
      <c r="I555" s="40"/>
      <c r="J555" s="41"/>
      <c r="K555" s="38"/>
      <c r="L555" s="42" t="str">
        <f aca="false">IF($B555="","",IF(AND(N($I555)=0,N($J555)=0),"금액이 없습니다",IF(AND($I555&gt;0,$J555&gt;0),"수입·지출 둘 다 적혔습니다",IF($C555="","결제수단을 고르십시오",IF(ISNA(MATCH($C555,'통합 ③ 통장·카드'!$A$5:$A$11,0)),"③ 통장·카드에 없는 결제수단입니다",IF($D555="","계정과목을 고르십시오",IF($E555="※없는 과목","④ 설정에 없는 과목입니다",IF(AND($E555="수입",$J555&gt;0),"수입 과목인데 지출에 적혔습니다",IF(AND(LEFT($E555,2)&lt;&gt;"수입",$E555&lt;&gt;"대체",$I555&gt;0),"지출 과목인데 수입에 적혔습니다",IF($K555="","증빙을 고르십시오",IF(AND($C555="바우처통장",$J555&gt;0,IFERROR(INDEX('통합 ④ 설정'!$E$6:$E$40,MATCH($D555,'통합 ④ 설정'!$B$6:$B$40,0)),"")&lt;&gt;"○"),"바우처통장 지출 — 목적 확인",IF($H555="","적요를 적으십시오",""))))))))))))</f>
        <v/>
      </c>
      <c r="M555" s="39"/>
      <c r="O555" s="11" t="str">
        <f aca="false">IF($B555="","",YEAR($B555)*100+MONTH($B555))</f>
        <v/>
      </c>
      <c r="P555" s="11" t="str">
        <f aca="false">IF($B555="","",IF($E555="대체",0,1))</f>
        <v/>
      </c>
    </row>
    <row r="556" customFormat="false" ht="15" hidden="false" customHeight="false" outlineLevel="0" collapsed="false">
      <c r="A556" s="36" t="str">
        <f aca="false">IF($B556="","",COUNT($B$15:$B556))</f>
        <v/>
      </c>
      <c r="B556" s="37"/>
      <c r="C556" s="38"/>
      <c r="D556" s="39"/>
      <c r="E556" s="36" t="str">
        <f aca="false">IF($D556="","",IFERROR(INDEX('통합 ④ 설정'!$A$6:$A$40,MATCH($D556,'통합 ④ 설정'!$B$6:$B$40,0)),"※없는 과목"))</f>
        <v/>
      </c>
      <c r="F556" s="36" t="str">
        <f aca="false">IF($D556="","",IFERROR(INDEX('통합 ④ 설정'!$C$6:$C$40,MATCH($D556,'통합 ④ 설정'!$B$6:$B$40,0)),""))</f>
        <v/>
      </c>
      <c r="G556" s="39"/>
      <c r="H556" s="39"/>
      <c r="I556" s="40"/>
      <c r="J556" s="41"/>
      <c r="K556" s="38"/>
      <c r="L556" s="42" t="str">
        <f aca="false">IF($B556="","",IF(AND(N($I556)=0,N($J556)=0),"금액이 없습니다",IF(AND($I556&gt;0,$J556&gt;0),"수입·지출 둘 다 적혔습니다",IF($C556="","결제수단을 고르십시오",IF(ISNA(MATCH($C556,'통합 ③ 통장·카드'!$A$5:$A$11,0)),"③ 통장·카드에 없는 결제수단입니다",IF($D556="","계정과목을 고르십시오",IF($E556="※없는 과목","④ 설정에 없는 과목입니다",IF(AND($E556="수입",$J556&gt;0),"수입 과목인데 지출에 적혔습니다",IF(AND(LEFT($E556,2)&lt;&gt;"수입",$E556&lt;&gt;"대체",$I556&gt;0),"지출 과목인데 수입에 적혔습니다",IF($K556="","증빙을 고르십시오",IF(AND($C556="바우처통장",$J556&gt;0,IFERROR(INDEX('통합 ④ 설정'!$E$6:$E$40,MATCH($D556,'통합 ④ 설정'!$B$6:$B$40,0)),"")&lt;&gt;"○"),"바우처통장 지출 — 목적 확인",IF($H556="","적요를 적으십시오",""))))))))))))</f>
        <v/>
      </c>
      <c r="M556" s="39"/>
      <c r="O556" s="11" t="str">
        <f aca="false">IF($B556="","",YEAR($B556)*100+MONTH($B556))</f>
        <v/>
      </c>
      <c r="P556" s="11" t="str">
        <f aca="false">IF($B556="","",IF($E556="대체",0,1))</f>
        <v/>
      </c>
    </row>
    <row r="557" customFormat="false" ht="15" hidden="false" customHeight="false" outlineLevel="0" collapsed="false">
      <c r="A557" s="36" t="str">
        <f aca="false">IF($B557="","",COUNT($B$15:$B557))</f>
        <v/>
      </c>
      <c r="B557" s="37"/>
      <c r="C557" s="38"/>
      <c r="D557" s="39"/>
      <c r="E557" s="36" t="str">
        <f aca="false">IF($D557="","",IFERROR(INDEX('통합 ④ 설정'!$A$6:$A$40,MATCH($D557,'통합 ④ 설정'!$B$6:$B$40,0)),"※없는 과목"))</f>
        <v/>
      </c>
      <c r="F557" s="36" t="str">
        <f aca="false">IF($D557="","",IFERROR(INDEX('통합 ④ 설정'!$C$6:$C$40,MATCH($D557,'통합 ④ 설정'!$B$6:$B$40,0)),""))</f>
        <v/>
      </c>
      <c r="G557" s="39"/>
      <c r="H557" s="39"/>
      <c r="I557" s="40"/>
      <c r="J557" s="41"/>
      <c r="K557" s="38"/>
      <c r="L557" s="42" t="str">
        <f aca="false">IF($B557="","",IF(AND(N($I557)=0,N($J557)=0),"금액이 없습니다",IF(AND($I557&gt;0,$J557&gt;0),"수입·지출 둘 다 적혔습니다",IF($C557="","결제수단을 고르십시오",IF(ISNA(MATCH($C557,'통합 ③ 통장·카드'!$A$5:$A$11,0)),"③ 통장·카드에 없는 결제수단입니다",IF($D557="","계정과목을 고르십시오",IF($E557="※없는 과목","④ 설정에 없는 과목입니다",IF(AND($E557="수입",$J557&gt;0),"수입 과목인데 지출에 적혔습니다",IF(AND(LEFT($E557,2)&lt;&gt;"수입",$E557&lt;&gt;"대체",$I557&gt;0),"지출 과목인데 수입에 적혔습니다",IF($K557="","증빙을 고르십시오",IF(AND($C557="바우처통장",$J557&gt;0,IFERROR(INDEX('통합 ④ 설정'!$E$6:$E$40,MATCH($D557,'통합 ④ 설정'!$B$6:$B$40,0)),"")&lt;&gt;"○"),"바우처통장 지출 — 목적 확인",IF($H557="","적요를 적으십시오",""))))))))))))</f>
        <v/>
      </c>
      <c r="M557" s="39"/>
      <c r="O557" s="11" t="str">
        <f aca="false">IF($B557="","",YEAR($B557)*100+MONTH($B557))</f>
        <v/>
      </c>
      <c r="P557" s="11" t="str">
        <f aca="false">IF($B557="","",IF($E557="대체",0,1))</f>
        <v/>
      </c>
    </row>
    <row r="558" customFormat="false" ht="15" hidden="false" customHeight="false" outlineLevel="0" collapsed="false">
      <c r="A558" s="36" t="str">
        <f aca="false">IF($B558="","",COUNT($B$15:$B558))</f>
        <v/>
      </c>
      <c r="B558" s="37"/>
      <c r="C558" s="38"/>
      <c r="D558" s="39"/>
      <c r="E558" s="36" t="str">
        <f aca="false">IF($D558="","",IFERROR(INDEX('통합 ④ 설정'!$A$6:$A$40,MATCH($D558,'통합 ④ 설정'!$B$6:$B$40,0)),"※없는 과목"))</f>
        <v/>
      </c>
      <c r="F558" s="36" t="str">
        <f aca="false">IF($D558="","",IFERROR(INDEX('통합 ④ 설정'!$C$6:$C$40,MATCH($D558,'통합 ④ 설정'!$B$6:$B$40,0)),""))</f>
        <v/>
      </c>
      <c r="G558" s="39"/>
      <c r="H558" s="39"/>
      <c r="I558" s="40"/>
      <c r="J558" s="41"/>
      <c r="K558" s="38"/>
      <c r="L558" s="42" t="str">
        <f aca="false">IF($B558="","",IF(AND(N($I558)=0,N($J558)=0),"금액이 없습니다",IF(AND($I558&gt;0,$J558&gt;0),"수입·지출 둘 다 적혔습니다",IF($C558="","결제수단을 고르십시오",IF(ISNA(MATCH($C558,'통합 ③ 통장·카드'!$A$5:$A$11,0)),"③ 통장·카드에 없는 결제수단입니다",IF($D558="","계정과목을 고르십시오",IF($E558="※없는 과목","④ 설정에 없는 과목입니다",IF(AND($E558="수입",$J558&gt;0),"수입 과목인데 지출에 적혔습니다",IF(AND(LEFT($E558,2)&lt;&gt;"수입",$E558&lt;&gt;"대체",$I558&gt;0),"지출 과목인데 수입에 적혔습니다",IF($K558="","증빙을 고르십시오",IF(AND($C558="바우처통장",$J558&gt;0,IFERROR(INDEX('통합 ④ 설정'!$E$6:$E$40,MATCH($D558,'통합 ④ 설정'!$B$6:$B$40,0)),"")&lt;&gt;"○"),"바우처통장 지출 — 목적 확인",IF($H558="","적요를 적으십시오",""))))))))))))</f>
        <v/>
      </c>
      <c r="M558" s="39"/>
      <c r="O558" s="11" t="str">
        <f aca="false">IF($B558="","",YEAR($B558)*100+MONTH($B558))</f>
        <v/>
      </c>
      <c r="P558" s="11" t="str">
        <f aca="false">IF($B558="","",IF($E558="대체",0,1))</f>
        <v/>
      </c>
    </row>
    <row r="559" customFormat="false" ht="15" hidden="false" customHeight="false" outlineLevel="0" collapsed="false">
      <c r="A559" s="36" t="str">
        <f aca="false">IF($B559="","",COUNT($B$15:$B559))</f>
        <v/>
      </c>
      <c r="B559" s="37"/>
      <c r="C559" s="38"/>
      <c r="D559" s="39"/>
      <c r="E559" s="36" t="str">
        <f aca="false">IF($D559="","",IFERROR(INDEX('통합 ④ 설정'!$A$6:$A$40,MATCH($D559,'통합 ④ 설정'!$B$6:$B$40,0)),"※없는 과목"))</f>
        <v/>
      </c>
      <c r="F559" s="36" t="str">
        <f aca="false">IF($D559="","",IFERROR(INDEX('통합 ④ 설정'!$C$6:$C$40,MATCH($D559,'통합 ④ 설정'!$B$6:$B$40,0)),""))</f>
        <v/>
      </c>
      <c r="G559" s="39"/>
      <c r="H559" s="39"/>
      <c r="I559" s="40"/>
      <c r="J559" s="41"/>
      <c r="K559" s="38"/>
      <c r="L559" s="42" t="str">
        <f aca="false">IF($B559="","",IF(AND(N($I559)=0,N($J559)=0),"금액이 없습니다",IF(AND($I559&gt;0,$J559&gt;0),"수입·지출 둘 다 적혔습니다",IF($C559="","결제수단을 고르십시오",IF(ISNA(MATCH($C559,'통합 ③ 통장·카드'!$A$5:$A$11,0)),"③ 통장·카드에 없는 결제수단입니다",IF($D559="","계정과목을 고르십시오",IF($E559="※없는 과목","④ 설정에 없는 과목입니다",IF(AND($E559="수입",$J559&gt;0),"수입 과목인데 지출에 적혔습니다",IF(AND(LEFT($E559,2)&lt;&gt;"수입",$E559&lt;&gt;"대체",$I559&gt;0),"지출 과목인데 수입에 적혔습니다",IF($K559="","증빙을 고르십시오",IF(AND($C559="바우처통장",$J559&gt;0,IFERROR(INDEX('통합 ④ 설정'!$E$6:$E$40,MATCH($D559,'통합 ④ 설정'!$B$6:$B$40,0)),"")&lt;&gt;"○"),"바우처통장 지출 — 목적 확인",IF($H559="","적요를 적으십시오",""))))))))))))</f>
        <v/>
      </c>
      <c r="M559" s="39"/>
      <c r="O559" s="11" t="str">
        <f aca="false">IF($B559="","",YEAR($B559)*100+MONTH($B559))</f>
        <v/>
      </c>
      <c r="P559" s="11" t="str">
        <f aca="false">IF($B559="","",IF($E559="대체",0,1))</f>
        <v/>
      </c>
    </row>
    <row r="560" customFormat="false" ht="15" hidden="false" customHeight="false" outlineLevel="0" collapsed="false">
      <c r="A560" s="36" t="str">
        <f aca="false">IF($B560="","",COUNT($B$15:$B560))</f>
        <v/>
      </c>
      <c r="B560" s="37"/>
      <c r="C560" s="38"/>
      <c r="D560" s="39"/>
      <c r="E560" s="36" t="str">
        <f aca="false">IF($D560="","",IFERROR(INDEX('통합 ④ 설정'!$A$6:$A$40,MATCH($D560,'통합 ④ 설정'!$B$6:$B$40,0)),"※없는 과목"))</f>
        <v/>
      </c>
      <c r="F560" s="36" t="str">
        <f aca="false">IF($D560="","",IFERROR(INDEX('통합 ④ 설정'!$C$6:$C$40,MATCH($D560,'통합 ④ 설정'!$B$6:$B$40,0)),""))</f>
        <v/>
      </c>
      <c r="G560" s="39"/>
      <c r="H560" s="39"/>
      <c r="I560" s="40"/>
      <c r="J560" s="41"/>
      <c r="K560" s="38"/>
      <c r="L560" s="42" t="str">
        <f aca="false">IF($B560="","",IF(AND(N($I560)=0,N($J560)=0),"금액이 없습니다",IF(AND($I560&gt;0,$J560&gt;0),"수입·지출 둘 다 적혔습니다",IF($C560="","결제수단을 고르십시오",IF(ISNA(MATCH($C560,'통합 ③ 통장·카드'!$A$5:$A$11,0)),"③ 통장·카드에 없는 결제수단입니다",IF($D560="","계정과목을 고르십시오",IF($E560="※없는 과목","④ 설정에 없는 과목입니다",IF(AND($E560="수입",$J560&gt;0),"수입 과목인데 지출에 적혔습니다",IF(AND(LEFT($E560,2)&lt;&gt;"수입",$E560&lt;&gt;"대체",$I560&gt;0),"지출 과목인데 수입에 적혔습니다",IF($K560="","증빙을 고르십시오",IF(AND($C560="바우처통장",$J560&gt;0,IFERROR(INDEX('통합 ④ 설정'!$E$6:$E$40,MATCH($D560,'통합 ④ 설정'!$B$6:$B$40,0)),"")&lt;&gt;"○"),"바우처통장 지출 — 목적 확인",IF($H560="","적요를 적으십시오",""))))))))))))</f>
        <v/>
      </c>
      <c r="M560" s="39"/>
      <c r="O560" s="11" t="str">
        <f aca="false">IF($B560="","",YEAR($B560)*100+MONTH($B560))</f>
        <v/>
      </c>
      <c r="P560" s="11" t="str">
        <f aca="false">IF($B560="","",IF($E560="대체",0,1))</f>
        <v/>
      </c>
    </row>
    <row r="561" customFormat="false" ht="15" hidden="false" customHeight="false" outlineLevel="0" collapsed="false">
      <c r="A561" s="36" t="str">
        <f aca="false">IF($B561="","",COUNT($B$15:$B561))</f>
        <v/>
      </c>
      <c r="B561" s="37"/>
      <c r="C561" s="38"/>
      <c r="D561" s="39"/>
      <c r="E561" s="36" t="str">
        <f aca="false">IF($D561="","",IFERROR(INDEX('통합 ④ 설정'!$A$6:$A$40,MATCH($D561,'통합 ④ 설정'!$B$6:$B$40,0)),"※없는 과목"))</f>
        <v/>
      </c>
      <c r="F561" s="36" t="str">
        <f aca="false">IF($D561="","",IFERROR(INDEX('통합 ④ 설정'!$C$6:$C$40,MATCH($D561,'통합 ④ 설정'!$B$6:$B$40,0)),""))</f>
        <v/>
      </c>
      <c r="G561" s="39"/>
      <c r="H561" s="39"/>
      <c r="I561" s="40"/>
      <c r="J561" s="41"/>
      <c r="K561" s="38"/>
      <c r="L561" s="42" t="str">
        <f aca="false">IF($B561="","",IF(AND(N($I561)=0,N($J561)=0),"금액이 없습니다",IF(AND($I561&gt;0,$J561&gt;0),"수입·지출 둘 다 적혔습니다",IF($C561="","결제수단을 고르십시오",IF(ISNA(MATCH($C561,'통합 ③ 통장·카드'!$A$5:$A$11,0)),"③ 통장·카드에 없는 결제수단입니다",IF($D561="","계정과목을 고르십시오",IF($E561="※없는 과목","④ 설정에 없는 과목입니다",IF(AND($E561="수입",$J561&gt;0),"수입 과목인데 지출에 적혔습니다",IF(AND(LEFT($E561,2)&lt;&gt;"수입",$E561&lt;&gt;"대체",$I561&gt;0),"지출 과목인데 수입에 적혔습니다",IF($K561="","증빙을 고르십시오",IF(AND($C561="바우처통장",$J561&gt;0,IFERROR(INDEX('통합 ④ 설정'!$E$6:$E$40,MATCH($D561,'통합 ④ 설정'!$B$6:$B$40,0)),"")&lt;&gt;"○"),"바우처통장 지출 — 목적 확인",IF($H561="","적요를 적으십시오",""))))))))))))</f>
        <v/>
      </c>
      <c r="M561" s="39"/>
      <c r="O561" s="11" t="str">
        <f aca="false">IF($B561="","",YEAR($B561)*100+MONTH($B561))</f>
        <v/>
      </c>
      <c r="P561" s="11" t="str">
        <f aca="false">IF($B561="","",IF($E561="대체",0,1))</f>
        <v/>
      </c>
    </row>
    <row r="562" customFormat="false" ht="15" hidden="false" customHeight="false" outlineLevel="0" collapsed="false">
      <c r="A562" s="36" t="str">
        <f aca="false">IF($B562="","",COUNT($B$15:$B562))</f>
        <v/>
      </c>
      <c r="B562" s="37"/>
      <c r="C562" s="38"/>
      <c r="D562" s="39"/>
      <c r="E562" s="36" t="str">
        <f aca="false">IF($D562="","",IFERROR(INDEX('통합 ④ 설정'!$A$6:$A$40,MATCH($D562,'통합 ④ 설정'!$B$6:$B$40,0)),"※없는 과목"))</f>
        <v/>
      </c>
      <c r="F562" s="36" t="str">
        <f aca="false">IF($D562="","",IFERROR(INDEX('통합 ④ 설정'!$C$6:$C$40,MATCH($D562,'통합 ④ 설정'!$B$6:$B$40,0)),""))</f>
        <v/>
      </c>
      <c r="G562" s="39"/>
      <c r="H562" s="39"/>
      <c r="I562" s="40"/>
      <c r="J562" s="41"/>
      <c r="K562" s="38"/>
      <c r="L562" s="42" t="str">
        <f aca="false">IF($B562="","",IF(AND(N($I562)=0,N($J562)=0),"금액이 없습니다",IF(AND($I562&gt;0,$J562&gt;0),"수입·지출 둘 다 적혔습니다",IF($C562="","결제수단을 고르십시오",IF(ISNA(MATCH($C562,'통합 ③ 통장·카드'!$A$5:$A$11,0)),"③ 통장·카드에 없는 결제수단입니다",IF($D562="","계정과목을 고르십시오",IF($E562="※없는 과목","④ 설정에 없는 과목입니다",IF(AND($E562="수입",$J562&gt;0),"수입 과목인데 지출에 적혔습니다",IF(AND(LEFT($E562,2)&lt;&gt;"수입",$E562&lt;&gt;"대체",$I562&gt;0),"지출 과목인데 수입에 적혔습니다",IF($K562="","증빙을 고르십시오",IF(AND($C562="바우처통장",$J562&gt;0,IFERROR(INDEX('통합 ④ 설정'!$E$6:$E$40,MATCH($D562,'통합 ④ 설정'!$B$6:$B$40,0)),"")&lt;&gt;"○"),"바우처통장 지출 — 목적 확인",IF($H562="","적요를 적으십시오",""))))))))))))</f>
        <v/>
      </c>
      <c r="M562" s="39"/>
      <c r="O562" s="11" t="str">
        <f aca="false">IF($B562="","",YEAR($B562)*100+MONTH($B562))</f>
        <v/>
      </c>
      <c r="P562" s="11" t="str">
        <f aca="false">IF($B562="","",IF($E562="대체",0,1))</f>
        <v/>
      </c>
    </row>
    <row r="563" customFormat="false" ht="15" hidden="false" customHeight="false" outlineLevel="0" collapsed="false">
      <c r="A563" s="36" t="str">
        <f aca="false">IF($B563="","",COUNT($B$15:$B563))</f>
        <v/>
      </c>
      <c r="B563" s="37"/>
      <c r="C563" s="38"/>
      <c r="D563" s="39"/>
      <c r="E563" s="36" t="str">
        <f aca="false">IF($D563="","",IFERROR(INDEX('통합 ④ 설정'!$A$6:$A$40,MATCH($D563,'통합 ④ 설정'!$B$6:$B$40,0)),"※없는 과목"))</f>
        <v/>
      </c>
      <c r="F563" s="36" t="str">
        <f aca="false">IF($D563="","",IFERROR(INDEX('통합 ④ 설정'!$C$6:$C$40,MATCH($D563,'통합 ④ 설정'!$B$6:$B$40,0)),""))</f>
        <v/>
      </c>
      <c r="G563" s="39"/>
      <c r="H563" s="39"/>
      <c r="I563" s="40"/>
      <c r="J563" s="41"/>
      <c r="K563" s="38"/>
      <c r="L563" s="42" t="str">
        <f aca="false">IF($B563="","",IF(AND(N($I563)=0,N($J563)=0),"금액이 없습니다",IF(AND($I563&gt;0,$J563&gt;0),"수입·지출 둘 다 적혔습니다",IF($C563="","결제수단을 고르십시오",IF(ISNA(MATCH($C563,'통합 ③ 통장·카드'!$A$5:$A$11,0)),"③ 통장·카드에 없는 결제수단입니다",IF($D563="","계정과목을 고르십시오",IF($E563="※없는 과목","④ 설정에 없는 과목입니다",IF(AND($E563="수입",$J563&gt;0),"수입 과목인데 지출에 적혔습니다",IF(AND(LEFT($E563,2)&lt;&gt;"수입",$E563&lt;&gt;"대체",$I563&gt;0),"지출 과목인데 수입에 적혔습니다",IF($K563="","증빙을 고르십시오",IF(AND($C563="바우처통장",$J563&gt;0,IFERROR(INDEX('통합 ④ 설정'!$E$6:$E$40,MATCH($D563,'통합 ④ 설정'!$B$6:$B$40,0)),"")&lt;&gt;"○"),"바우처통장 지출 — 목적 확인",IF($H563="","적요를 적으십시오",""))))))))))))</f>
        <v/>
      </c>
      <c r="M563" s="39"/>
      <c r="O563" s="11" t="str">
        <f aca="false">IF($B563="","",YEAR($B563)*100+MONTH($B563))</f>
        <v/>
      </c>
      <c r="P563" s="11" t="str">
        <f aca="false">IF($B563="","",IF($E563="대체",0,1))</f>
        <v/>
      </c>
    </row>
    <row r="564" customFormat="false" ht="15" hidden="false" customHeight="false" outlineLevel="0" collapsed="false">
      <c r="A564" s="36" t="str">
        <f aca="false">IF($B564="","",COUNT($B$15:$B564))</f>
        <v/>
      </c>
      <c r="B564" s="37"/>
      <c r="C564" s="38"/>
      <c r="D564" s="39"/>
      <c r="E564" s="36" t="str">
        <f aca="false">IF($D564="","",IFERROR(INDEX('통합 ④ 설정'!$A$6:$A$40,MATCH($D564,'통합 ④ 설정'!$B$6:$B$40,0)),"※없는 과목"))</f>
        <v/>
      </c>
      <c r="F564" s="36" t="str">
        <f aca="false">IF($D564="","",IFERROR(INDEX('통합 ④ 설정'!$C$6:$C$40,MATCH($D564,'통합 ④ 설정'!$B$6:$B$40,0)),""))</f>
        <v/>
      </c>
      <c r="G564" s="39"/>
      <c r="H564" s="39"/>
      <c r="I564" s="40"/>
      <c r="J564" s="41"/>
      <c r="K564" s="38"/>
      <c r="L564" s="42" t="str">
        <f aca="false">IF($B564="","",IF(AND(N($I564)=0,N($J564)=0),"금액이 없습니다",IF(AND($I564&gt;0,$J564&gt;0),"수입·지출 둘 다 적혔습니다",IF($C564="","결제수단을 고르십시오",IF(ISNA(MATCH($C564,'통합 ③ 통장·카드'!$A$5:$A$11,0)),"③ 통장·카드에 없는 결제수단입니다",IF($D564="","계정과목을 고르십시오",IF($E564="※없는 과목","④ 설정에 없는 과목입니다",IF(AND($E564="수입",$J564&gt;0),"수입 과목인데 지출에 적혔습니다",IF(AND(LEFT($E564,2)&lt;&gt;"수입",$E564&lt;&gt;"대체",$I564&gt;0),"지출 과목인데 수입에 적혔습니다",IF($K564="","증빙을 고르십시오",IF(AND($C564="바우처통장",$J564&gt;0,IFERROR(INDEX('통합 ④ 설정'!$E$6:$E$40,MATCH($D564,'통합 ④ 설정'!$B$6:$B$40,0)),"")&lt;&gt;"○"),"바우처통장 지출 — 목적 확인",IF($H564="","적요를 적으십시오",""))))))))))))</f>
        <v/>
      </c>
      <c r="M564" s="39"/>
      <c r="O564" s="11" t="str">
        <f aca="false">IF($B564="","",YEAR($B564)*100+MONTH($B564))</f>
        <v/>
      </c>
      <c r="P564" s="11" t="str">
        <f aca="false">IF($B564="","",IF($E564="대체",0,1))</f>
        <v/>
      </c>
    </row>
    <row r="565" customFormat="false" ht="15" hidden="false" customHeight="false" outlineLevel="0" collapsed="false">
      <c r="A565" s="36" t="str">
        <f aca="false">IF($B565="","",COUNT($B$15:$B565))</f>
        <v/>
      </c>
      <c r="B565" s="37"/>
      <c r="C565" s="38"/>
      <c r="D565" s="39"/>
      <c r="E565" s="36" t="str">
        <f aca="false">IF($D565="","",IFERROR(INDEX('통합 ④ 설정'!$A$6:$A$40,MATCH($D565,'통합 ④ 설정'!$B$6:$B$40,0)),"※없는 과목"))</f>
        <v/>
      </c>
      <c r="F565" s="36" t="str">
        <f aca="false">IF($D565="","",IFERROR(INDEX('통합 ④ 설정'!$C$6:$C$40,MATCH($D565,'통합 ④ 설정'!$B$6:$B$40,0)),""))</f>
        <v/>
      </c>
      <c r="G565" s="39"/>
      <c r="H565" s="39"/>
      <c r="I565" s="40"/>
      <c r="J565" s="41"/>
      <c r="K565" s="38"/>
      <c r="L565" s="42" t="str">
        <f aca="false">IF($B565="","",IF(AND(N($I565)=0,N($J565)=0),"금액이 없습니다",IF(AND($I565&gt;0,$J565&gt;0),"수입·지출 둘 다 적혔습니다",IF($C565="","결제수단을 고르십시오",IF(ISNA(MATCH($C565,'통합 ③ 통장·카드'!$A$5:$A$11,0)),"③ 통장·카드에 없는 결제수단입니다",IF($D565="","계정과목을 고르십시오",IF($E565="※없는 과목","④ 설정에 없는 과목입니다",IF(AND($E565="수입",$J565&gt;0),"수입 과목인데 지출에 적혔습니다",IF(AND(LEFT($E565,2)&lt;&gt;"수입",$E565&lt;&gt;"대체",$I565&gt;0),"지출 과목인데 수입에 적혔습니다",IF($K565="","증빙을 고르십시오",IF(AND($C565="바우처통장",$J565&gt;0,IFERROR(INDEX('통합 ④ 설정'!$E$6:$E$40,MATCH($D565,'통합 ④ 설정'!$B$6:$B$40,0)),"")&lt;&gt;"○"),"바우처통장 지출 — 목적 확인",IF($H565="","적요를 적으십시오",""))))))))))))</f>
        <v/>
      </c>
      <c r="M565" s="39"/>
      <c r="O565" s="11" t="str">
        <f aca="false">IF($B565="","",YEAR($B565)*100+MONTH($B565))</f>
        <v/>
      </c>
      <c r="P565" s="11" t="str">
        <f aca="false">IF($B565="","",IF($E565="대체",0,1))</f>
        <v/>
      </c>
    </row>
    <row r="566" customFormat="false" ht="15" hidden="false" customHeight="false" outlineLevel="0" collapsed="false">
      <c r="A566" s="36" t="str">
        <f aca="false">IF($B566="","",COUNT($B$15:$B566))</f>
        <v/>
      </c>
      <c r="B566" s="37"/>
      <c r="C566" s="38"/>
      <c r="D566" s="39"/>
      <c r="E566" s="36" t="str">
        <f aca="false">IF($D566="","",IFERROR(INDEX('통합 ④ 설정'!$A$6:$A$40,MATCH($D566,'통합 ④ 설정'!$B$6:$B$40,0)),"※없는 과목"))</f>
        <v/>
      </c>
      <c r="F566" s="36" t="str">
        <f aca="false">IF($D566="","",IFERROR(INDEX('통합 ④ 설정'!$C$6:$C$40,MATCH($D566,'통합 ④ 설정'!$B$6:$B$40,0)),""))</f>
        <v/>
      </c>
      <c r="G566" s="39"/>
      <c r="H566" s="39"/>
      <c r="I566" s="40"/>
      <c r="J566" s="41"/>
      <c r="K566" s="38"/>
      <c r="L566" s="42" t="str">
        <f aca="false">IF($B566="","",IF(AND(N($I566)=0,N($J566)=0),"금액이 없습니다",IF(AND($I566&gt;0,$J566&gt;0),"수입·지출 둘 다 적혔습니다",IF($C566="","결제수단을 고르십시오",IF(ISNA(MATCH($C566,'통합 ③ 통장·카드'!$A$5:$A$11,0)),"③ 통장·카드에 없는 결제수단입니다",IF($D566="","계정과목을 고르십시오",IF($E566="※없는 과목","④ 설정에 없는 과목입니다",IF(AND($E566="수입",$J566&gt;0),"수입 과목인데 지출에 적혔습니다",IF(AND(LEFT($E566,2)&lt;&gt;"수입",$E566&lt;&gt;"대체",$I566&gt;0),"지출 과목인데 수입에 적혔습니다",IF($K566="","증빙을 고르십시오",IF(AND($C566="바우처통장",$J566&gt;0,IFERROR(INDEX('통합 ④ 설정'!$E$6:$E$40,MATCH($D566,'통합 ④ 설정'!$B$6:$B$40,0)),"")&lt;&gt;"○"),"바우처통장 지출 — 목적 확인",IF($H566="","적요를 적으십시오",""))))))))))))</f>
        <v/>
      </c>
      <c r="M566" s="39"/>
      <c r="O566" s="11" t="str">
        <f aca="false">IF($B566="","",YEAR($B566)*100+MONTH($B566))</f>
        <v/>
      </c>
      <c r="P566" s="11" t="str">
        <f aca="false">IF($B566="","",IF($E566="대체",0,1))</f>
        <v/>
      </c>
    </row>
    <row r="567" customFormat="false" ht="15" hidden="false" customHeight="false" outlineLevel="0" collapsed="false">
      <c r="A567" s="36" t="str">
        <f aca="false">IF($B567="","",COUNT($B$15:$B567))</f>
        <v/>
      </c>
      <c r="B567" s="37"/>
      <c r="C567" s="38"/>
      <c r="D567" s="39"/>
      <c r="E567" s="36" t="str">
        <f aca="false">IF($D567="","",IFERROR(INDEX('통합 ④ 설정'!$A$6:$A$40,MATCH($D567,'통합 ④ 설정'!$B$6:$B$40,0)),"※없는 과목"))</f>
        <v/>
      </c>
      <c r="F567" s="36" t="str">
        <f aca="false">IF($D567="","",IFERROR(INDEX('통합 ④ 설정'!$C$6:$C$40,MATCH($D567,'통합 ④ 설정'!$B$6:$B$40,0)),""))</f>
        <v/>
      </c>
      <c r="G567" s="39"/>
      <c r="H567" s="39"/>
      <c r="I567" s="40"/>
      <c r="J567" s="41"/>
      <c r="K567" s="38"/>
      <c r="L567" s="42" t="str">
        <f aca="false">IF($B567="","",IF(AND(N($I567)=0,N($J567)=0),"금액이 없습니다",IF(AND($I567&gt;0,$J567&gt;0),"수입·지출 둘 다 적혔습니다",IF($C567="","결제수단을 고르십시오",IF(ISNA(MATCH($C567,'통합 ③ 통장·카드'!$A$5:$A$11,0)),"③ 통장·카드에 없는 결제수단입니다",IF($D567="","계정과목을 고르십시오",IF($E567="※없는 과목","④ 설정에 없는 과목입니다",IF(AND($E567="수입",$J567&gt;0),"수입 과목인데 지출에 적혔습니다",IF(AND(LEFT($E567,2)&lt;&gt;"수입",$E567&lt;&gt;"대체",$I567&gt;0),"지출 과목인데 수입에 적혔습니다",IF($K567="","증빙을 고르십시오",IF(AND($C567="바우처통장",$J567&gt;0,IFERROR(INDEX('통합 ④ 설정'!$E$6:$E$40,MATCH($D567,'통합 ④ 설정'!$B$6:$B$40,0)),"")&lt;&gt;"○"),"바우처통장 지출 — 목적 확인",IF($H567="","적요를 적으십시오",""))))))))))))</f>
        <v/>
      </c>
      <c r="M567" s="39"/>
      <c r="O567" s="11" t="str">
        <f aca="false">IF($B567="","",YEAR($B567)*100+MONTH($B567))</f>
        <v/>
      </c>
      <c r="P567" s="11" t="str">
        <f aca="false">IF($B567="","",IF($E567="대체",0,1))</f>
        <v/>
      </c>
    </row>
    <row r="568" customFormat="false" ht="15" hidden="false" customHeight="false" outlineLevel="0" collapsed="false">
      <c r="A568" s="36" t="str">
        <f aca="false">IF($B568="","",COUNT($B$15:$B568))</f>
        <v/>
      </c>
      <c r="B568" s="37"/>
      <c r="C568" s="38"/>
      <c r="D568" s="39"/>
      <c r="E568" s="36" t="str">
        <f aca="false">IF($D568="","",IFERROR(INDEX('통합 ④ 설정'!$A$6:$A$40,MATCH($D568,'통합 ④ 설정'!$B$6:$B$40,0)),"※없는 과목"))</f>
        <v/>
      </c>
      <c r="F568" s="36" t="str">
        <f aca="false">IF($D568="","",IFERROR(INDEX('통합 ④ 설정'!$C$6:$C$40,MATCH($D568,'통합 ④ 설정'!$B$6:$B$40,0)),""))</f>
        <v/>
      </c>
      <c r="G568" s="39"/>
      <c r="H568" s="39"/>
      <c r="I568" s="40"/>
      <c r="J568" s="41"/>
      <c r="K568" s="38"/>
      <c r="L568" s="42" t="str">
        <f aca="false">IF($B568="","",IF(AND(N($I568)=0,N($J568)=0),"금액이 없습니다",IF(AND($I568&gt;0,$J568&gt;0),"수입·지출 둘 다 적혔습니다",IF($C568="","결제수단을 고르십시오",IF(ISNA(MATCH($C568,'통합 ③ 통장·카드'!$A$5:$A$11,0)),"③ 통장·카드에 없는 결제수단입니다",IF($D568="","계정과목을 고르십시오",IF($E568="※없는 과목","④ 설정에 없는 과목입니다",IF(AND($E568="수입",$J568&gt;0),"수입 과목인데 지출에 적혔습니다",IF(AND(LEFT($E568,2)&lt;&gt;"수입",$E568&lt;&gt;"대체",$I568&gt;0),"지출 과목인데 수입에 적혔습니다",IF($K568="","증빙을 고르십시오",IF(AND($C568="바우처통장",$J568&gt;0,IFERROR(INDEX('통합 ④ 설정'!$E$6:$E$40,MATCH($D568,'통합 ④ 설정'!$B$6:$B$40,0)),"")&lt;&gt;"○"),"바우처통장 지출 — 목적 확인",IF($H568="","적요를 적으십시오",""))))))))))))</f>
        <v/>
      </c>
      <c r="M568" s="39"/>
      <c r="O568" s="11" t="str">
        <f aca="false">IF($B568="","",YEAR($B568)*100+MONTH($B568))</f>
        <v/>
      </c>
      <c r="P568" s="11" t="str">
        <f aca="false">IF($B568="","",IF($E568="대체",0,1))</f>
        <v/>
      </c>
    </row>
    <row r="569" customFormat="false" ht="15" hidden="false" customHeight="false" outlineLevel="0" collapsed="false">
      <c r="A569" s="36" t="str">
        <f aca="false">IF($B569="","",COUNT($B$15:$B569))</f>
        <v/>
      </c>
      <c r="B569" s="37"/>
      <c r="C569" s="38"/>
      <c r="D569" s="39"/>
      <c r="E569" s="36" t="str">
        <f aca="false">IF($D569="","",IFERROR(INDEX('통합 ④ 설정'!$A$6:$A$40,MATCH($D569,'통합 ④ 설정'!$B$6:$B$40,0)),"※없는 과목"))</f>
        <v/>
      </c>
      <c r="F569" s="36" t="str">
        <f aca="false">IF($D569="","",IFERROR(INDEX('통합 ④ 설정'!$C$6:$C$40,MATCH($D569,'통합 ④ 설정'!$B$6:$B$40,0)),""))</f>
        <v/>
      </c>
      <c r="G569" s="39"/>
      <c r="H569" s="39"/>
      <c r="I569" s="40"/>
      <c r="J569" s="41"/>
      <c r="K569" s="38"/>
      <c r="L569" s="42" t="str">
        <f aca="false">IF($B569="","",IF(AND(N($I569)=0,N($J569)=0),"금액이 없습니다",IF(AND($I569&gt;0,$J569&gt;0),"수입·지출 둘 다 적혔습니다",IF($C569="","결제수단을 고르십시오",IF(ISNA(MATCH($C569,'통합 ③ 통장·카드'!$A$5:$A$11,0)),"③ 통장·카드에 없는 결제수단입니다",IF($D569="","계정과목을 고르십시오",IF($E569="※없는 과목","④ 설정에 없는 과목입니다",IF(AND($E569="수입",$J569&gt;0),"수입 과목인데 지출에 적혔습니다",IF(AND(LEFT($E569,2)&lt;&gt;"수입",$E569&lt;&gt;"대체",$I569&gt;0),"지출 과목인데 수입에 적혔습니다",IF($K569="","증빙을 고르십시오",IF(AND($C569="바우처통장",$J569&gt;0,IFERROR(INDEX('통합 ④ 설정'!$E$6:$E$40,MATCH($D569,'통합 ④ 설정'!$B$6:$B$40,0)),"")&lt;&gt;"○"),"바우처통장 지출 — 목적 확인",IF($H569="","적요를 적으십시오",""))))))))))))</f>
        <v/>
      </c>
      <c r="M569" s="39"/>
      <c r="O569" s="11" t="str">
        <f aca="false">IF($B569="","",YEAR($B569)*100+MONTH($B569))</f>
        <v/>
      </c>
      <c r="P569" s="11" t="str">
        <f aca="false">IF($B569="","",IF($E569="대체",0,1))</f>
        <v/>
      </c>
    </row>
    <row r="570" customFormat="false" ht="15" hidden="false" customHeight="false" outlineLevel="0" collapsed="false">
      <c r="A570" s="36" t="str">
        <f aca="false">IF($B570="","",COUNT($B$15:$B570))</f>
        <v/>
      </c>
      <c r="B570" s="37"/>
      <c r="C570" s="38"/>
      <c r="D570" s="39"/>
      <c r="E570" s="36" t="str">
        <f aca="false">IF($D570="","",IFERROR(INDEX('통합 ④ 설정'!$A$6:$A$40,MATCH($D570,'통합 ④ 설정'!$B$6:$B$40,0)),"※없는 과목"))</f>
        <v/>
      </c>
      <c r="F570" s="36" t="str">
        <f aca="false">IF($D570="","",IFERROR(INDEX('통합 ④ 설정'!$C$6:$C$40,MATCH($D570,'통합 ④ 설정'!$B$6:$B$40,0)),""))</f>
        <v/>
      </c>
      <c r="G570" s="39"/>
      <c r="H570" s="39"/>
      <c r="I570" s="40"/>
      <c r="J570" s="41"/>
      <c r="K570" s="38"/>
      <c r="L570" s="42" t="str">
        <f aca="false">IF($B570="","",IF(AND(N($I570)=0,N($J570)=0),"금액이 없습니다",IF(AND($I570&gt;0,$J570&gt;0),"수입·지출 둘 다 적혔습니다",IF($C570="","결제수단을 고르십시오",IF(ISNA(MATCH($C570,'통합 ③ 통장·카드'!$A$5:$A$11,0)),"③ 통장·카드에 없는 결제수단입니다",IF($D570="","계정과목을 고르십시오",IF($E570="※없는 과목","④ 설정에 없는 과목입니다",IF(AND($E570="수입",$J570&gt;0),"수입 과목인데 지출에 적혔습니다",IF(AND(LEFT($E570,2)&lt;&gt;"수입",$E570&lt;&gt;"대체",$I570&gt;0),"지출 과목인데 수입에 적혔습니다",IF($K570="","증빙을 고르십시오",IF(AND($C570="바우처통장",$J570&gt;0,IFERROR(INDEX('통합 ④ 설정'!$E$6:$E$40,MATCH($D570,'통합 ④ 설정'!$B$6:$B$40,0)),"")&lt;&gt;"○"),"바우처통장 지출 — 목적 확인",IF($H570="","적요를 적으십시오",""))))))))))))</f>
        <v/>
      </c>
      <c r="M570" s="39"/>
      <c r="O570" s="11" t="str">
        <f aca="false">IF($B570="","",YEAR($B570)*100+MONTH($B570))</f>
        <v/>
      </c>
      <c r="P570" s="11" t="str">
        <f aca="false">IF($B570="","",IF($E570="대체",0,1))</f>
        <v/>
      </c>
    </row>
    <row r="571" customFormat="false" ht="15" hidden="false" customHeight="false" outlineLevel="0" collapsed="false">
      <c r="A571" s="36" t="str">
        <f aca="false">IF($B571="","",COUNT($B$15:$B571))</f>
        <v/>
      </c>
      <c r="B571" s="37"/>
      <c r="C571" s="38"/>
      <c r="D571" s="39"/>
      <c r="E571" s="36" t="str">
        <f aca="false">IF($D571="","",IFERROR(INDEX('통합 ④ 설정'!$A$6:$A$40,MATCH($D571,'통합 ④ 설정'!$B$6:$B$40,0)),"※없는 과목"))</f>
        <v/>
      </c>
      <c r="F571" s="36" t="str">
        <f aca="false">IF($D571="","",IFERROR(INDEX('통합 ④ 설정'!$C$6:$C$40,MATCH($D571,'통합 ④ 설정'!$B$6:$B$40,0)),""))</f>
        <v/>
      </c>
      <c r="G571" s="39"/>
      <c r="H571" s="39"/>
      <c r="I571" s="40"/>
      <c r="J571" s="41"/>
      <c r="K571" s="38"/>
      <c r="L571" s="42" t="str">
        <f aca="false">IF($B571="","",IF(AND(N($I571)=0,N($J571)=0),"금액이 없습니다",IF(AND($I571&gt;0,$J571&gt;0),"수입·지출 둘 다 적혔습니다",IF($C571="","결제수단을 고르십시오",IF(ISNA(MATCH($C571,'통합 ③ 통장·카드'!$A$5:$A$11,0)),"③ 통장·카드에 없는 결제수단입니다",IF($D571="","계정과목을 고르십시오",IF($E571="※없는 과목","④ 설정에 없는 과목입니다",IF(AND($E571="수입",$J571&gt;0),"수입 과목인데 지출에 적혔습니다",IF(AND(LEFT($E571,2)&lt;&gt;"수입",$E571&lt;&gt;"대체",$I571&gt;0),"지출 과목인데 수입에 적혔습니다",IF($K571="","증빙을 고르십시오",IF(AND($C571="바우처통장",$J571&gt;0,IFERROR(INDEX('통합 ④ 설정'!$E$6:$E$40,MATCH($D571,'통합 ④ 설정'!$B$6:$B$40,0)),"")&lt;&gt;"○"),"바우처통장 지출 — 목적 확인",IF($H571="","적요를 적으십시오",""))))))))))))</f>
        <v/>
      </c>
      <c r="M571" s="39"/>
      <c r="O571" s="11" t="str">
        <f aca="false">IF($B571="","",YEAR($B571)*100+MONTH($B571))</f>
        <v/>
      </c>
      <c r="P571" s="11" t="str">
        <f aca="false">IF($B571="","",IF($E571="대체",0,1))</f>
        <v/>
      </c>
    </row>
    <row r="572" customFormat="false" ht="15" hidden="false" customHeight="false" outlineLevel="0" collapsed="false">
      <c r="A572" s="36" t="str">
        <f aca="false">IF($B572="","",COUNT($B$15:$B572))</f>
        <v/>
      </c>
      <c r="B572" s="37"/>
      <c r="C572" s="38"/>
      <c r="D572" s="39"/>
      <c r="E572" s="36" t="str">
        <f aca="false">IF($D572="","",IFERROR(INDEX('통합 ④ 설정'!$A$6:$A$40,MATCH($D572,'통합 ④ 설정'!$B$6:$B$40,0)),"※없는 과목"))</f>
        <v/>
      </c>
      <c r="F572" s="36" t="str">
        <f aca="false">IF($D572="","",IFERROR(INDEX('통합 ④ 설정'!$C$6:$C$40,MATCH($D572,'통합 ④ 설정'!$B$6:$B$40,0)),""))</f>
        <v/>
      </c>
      <c r="G572" s="39"/>
      <c r="H572" s="39"/>
      <c r="I572" s="40"/>
      <c r="J572" s="41"/>
      <c r="K572" s="38"/>
      <c r="L572" s="42" t="str">
        <f aca="false">IF($B572="","",IF(AND(N($I572)=0,N($J572)=0),"금액이 없습니다",IF(AND($I572&gt;0,$J572&gt;0),"수입·지출 둘 다 적혔습니다",IF($C572="","결제수단을 고르십시오",IF(ISNA(MATCH($C572,'통합 ③ 통장·카드'!$A$5:$A$11,0)),"③ 통장·카드에 없는 결제수단입니다",IF($D572="","계정과목을 고르십시오",IF($E572="※없는 과목","④ 설정에 없는 과목입니다",IF(AND($E572="수입",$J572&gt;0),"수입 과목인데 지출에 적혔습니다",IF(AND(LEFT($E572,2)&lt;&gt;"수입",$E572&lt;&gt;"대체",$I572&gt;0),"지출 과목인데 수입에 적혔습니다",IF($K572="","증빙을 고르십시오",IF(AND($C572="바우처통장",$J572&gt;0,IFERROR(INDEX('통합 ④ 설정'!$E$6:$E$40,MATCH($D572,'통합 ④ 설정'!$B$6:$B$40,0)),"")&lt;&gt;"○"),"바우처통장 지출 — 목적 확인",IF($H572="","적요를 적으십시오",""))))))))))))</f>
        <v/>
      </c>
      <c r="M572" s="39"/>
      <c r="O572" s="11" t="str">
        <f aca="false">IF($B572="","",YEAR($B572)*100+MONTH($B572))</f>
        <v/>
      </c>
      <c r="P572" s="11" t="str">
        <f aca="false">IF($B572="","",IF($E572="대체",0,1))</f>
        <v/>
      </c>
    </row>
    <row r="573" customFormat="false" ht="15" hidden="false" customHeight="false" outlineLevel="0" collapsed="false">
      <c r="A573" s="36" t="str">
        <f aca="false">IF($B573="","",COUNT($B$15:$B573))</f>
        <v/>
      </c>
      <c r="B573" s="37"/>
      <c r="C573" s="38"/>
      <c r="D573" s="39"/>
      <c r="E573" s="36" t="str">
        <f aca="false">IF($D573="","",IFERROR(INDEX('통합 ④ 설정'!$A$6:$A$40,MATCH($D573,'통합 ④ 설정'!$B$6:$B$40,0)),"※없는 과목"))</f>
        <v/>
      </c>
      <c r="F573" s="36" t="str">
        <f aca="false">IF($D573="","",IFERROR(INDEX('통합 ④ 설정'!$C$6:$C$40,MATCH($D573,'통합 ④ 설정'!$B$6:$B$40,0)),""))</f>
        <v/>
      </c>
      <c r="G573" s="39"/>
      <c r="H573" s="39"/>
      <c r="I573" s="40"/>
      <c r="J573" s="41"/>
      <c r="K573" s="38"/>
      <c r="L573" s="42" t="str">
        <f aca="false">IF($B573="","",IF(AND(N($I573)=0,N($J573)=0),"금액이 없습니다",IF(AND($I573&gt;0,$J573&gt;0),"수입·지출 둘 다 적혔습니다",IF($C573="","결제수단을 고르십시오",IF(ISNA(MATCH($C573,'통합 ③ 통장·카드'!$A$5:$A$11,0)),"③ 통장·카드에 없는 결제수단입니다",IF($D573="","계정과목을 고르십시오",IF($E573="※없는 과목","④ 설정에 없는 과목입니다",IF(AND($E573="수입",$J573&gt;0),"수입 과목인데 지출에 적혔습니다",IF(AND(LEFT($E573,2)&lt;&gt;"수입",$E573&lt;&gt;"대체",$I573&gt;0),"지출 과목인데 수입에 적혔습니다",IF($K573="","증빙을 고르십시오",IF(AND($C573="바우처통장",$J573&gt;0,IFERROR(INDEX('통합 ④ 설정'!$E$6:$E$40,MATCH($D573,'통합 ④ 설정'!$B$6:$B$40,0)),"")&lt;&gt;"○"),"바우처통장 지출 — 목적 확인",IF($H573="","적요를 적으십시오",""))))))))))))</f>
        <v/>
      </c>
      <c r="M573" s="39"/>
      <c r="O573" s="11" t="str">
        <f aca="false">IF($B573="","",YEAR($B573)*100+MONTH($B573))</f>
        <v/>
      </c>
      <c r="P573" s="11" t="str">
        <f aca="false">IF($B573="","",IF($E573="대체",0,1))</f>
        <v/>
      </c>
    </row>
    <row r="574" customFormat="false" ht="15" hidden="false" customHeight="false" outlineLevel="0" collapsed="false">
      <c r="A574" s="36" t="str">
        <f aca="false">IF($B574="","",COUNT($B$15:$B574))</f>
        <v/>
      </c>
      <c r="B574" s="37"/>
      <c r="C574" s="38"/>
      <c r="D574" s="39"/>
      <c r="E574" s="36" t="str">
        <f aca="false">IF($D574="","",IFERROR(INDEX('통합 ④ 설정'!$A$6:$A$40,MATCH($D574,'통합 ④ 설정'!$B$6:$B$40,0)),"※없는 과목"))</f>
        <v/>
      </c>
      <c r="F574" s="36" t="str">
        <f aca="false">IF($D574="","",IFERROR(INDEX('통합 ④ 설정'!$C$6:$C$40,MATCH($D574,'통합 ④ 설정'!$B$6:$B$40,0)),""))</f>
        <v/>
      </c>
      <c r="G574" s="39"/>
      <c r="H574" s="39"/>
      <c r="I574" s="40"/>
      <c r="J574" s="41"/>
      <c r="K574" s="38"/>
      <c r="L574" s="42" t="str">
        <f aca="false">IF($B574="","",IF(AND(N($I574)=0,N($J574)=0),"금액이 없습니다",IF(AND($I574&gt;0,$J574&gt;0),"수입·지출 둘 다 적혔습니다",IF($C574="","결제수단을 고르십시오",IF(ISNA(MATCH($C574,'통합 ③ 통장·카드'!$A$5:$A$11,0)),"③ 통장·카드에 없는 결제수단입니다",IF($D574="","계정과목을 고르십시오",IF($E574="※없는 과목","④ 설정에 없는 과목입니다",IF(AND($E574="수입",$J574&gt;0),"수입 과목인데 지출에 적혔습니다",IF(AND(LEFT($E574,2)&lt;&gt;"수입",$E574&lt;&gt;"대체",$I574&gt;0),"지출 과목인데 수입에 적혔습니다",IF($K574="","증빙을 고르십시오",IF(AND($C574="바우처통장",$J574&gt;0,IFERROR(INDEX('통합 ④ 설정'!$E$6:$E$40,MATCH($D574,'통합 ④ 설정'!$B$6:$B$40,0)),"")&lt;&gt;"○"),"바우처통장 지출 — 목적 확인",IF($H574="","적요를 적으십시오",""))))))))))))</f>
        <v/>
      </c>
      <c r="M574" s="39"/>
      <c r="O574" s="11" t="str">
        <f aca="false">IF($B574="","",YEAR($B574)*100+MONTH($B574))</f>
        <v/>
      </c>
      <c r="P574" s="11" t="str">
        <f aca="false">IF($B574="","",IF($E574="대체",0,1))</f>
        <v/>
      </c>
    </row>
    <row r="575" customFormat="false" ht="15" hidden="false" customHeight="false" outlineLevel="0" collapsed="false">
      <c r="A575" s="36" t="str">
        <f aca="false">IF($B575="","",COUNT($B$15:$B575))</f>
        <v/>
      </c>
      <c r="B575" s="37"/>
      <c r="C575" s="38"/>
      <c r="D575" s="39"/>
      <c r="E575" s="36" t="str">
        <f aca="false">IF($D575="","",IFERROR(INDEX('통합 ④ 설정'!$A$6:$A$40,MATCH($D575,'통합 ④ 설정'!$B$6:$B$40,0)),"※없는 과목"))</f>
        <v/>
      </c>
      <c r="F575" s="36" t="str">
        <f aca="false">IF($D575="","",IFERROR(INDEX('통합 ④ 설정'!$C$6:$C$40,MATCH($D575,'통합 ④ 설정'!$B$6:$B$40,0)),""))</f>
        <v/>
      </c>
      <c r="G575" s="39"/>
      <c r="H575" s="39"/>
      <c r="I575" s="40"/>
      <c r="J575" s="41"/>
      <c r="K575" s="38"/>
      <c r="L575" s="42" t="str">
        <f aca="false">IF($B575="","",IF(AND(N($I575)=0,N($J575)=0),"금액이 없습니다",IF(AND($I575&gt;0,$J575&gt;0),"수입·지출 둘 다 적혔습니다",IF($C575="","결제수단을 고르십시오",IF(ISNA(MATCH($C575,'통합 ③ 통장·카드'!$A$5:$A$11,0)),"③ 통장·카드에 없는 결제수단입니다",IF($D575="","계정과목을 고르십시오",IF($E575="※없는 과목","④ 설정에 없는 과목입니다",IF(AND($E575="수입",$J575&gt;0),"수입 과목인데 지출에 적혔습니다",IF(AND(LEFT($E575,2)&lt;&gt;"수입",$E575&lt;&gt;"대체",$I575&gt;0),"지출 과목인데 수입에 적혔습니다",IF($K575="","증빙을 고르십시오",IF(AND($C575="바우처통장",$J575&gt;0,IFERROR(INDEX('통합 ④ 설정'!$E$6:$E$40,MATCH($D575,'통합 ④ 설정'!$B$6:$B$40,0)),"")&lt;&gt;"○"),"바우처통장 지출 — 목적 확인",IF($H575="","적요를 적으십시오",""))))))))))))</f>
        <v/>
      </c>
      <c r="M575" s="39"/>
      <c r="O575" s="11" t="str">
        <f aca="false">IF($B575="","",YEAR($B575)*100+MONTH($B575))</f>
        <v/>
      </c>
      <c r="P575" s="11" t="str">
        <f aca="false">IF($B575="","",IF($E575="대체",0,1))</f>
        <v/>
      </c>
    </row>
    <row r="576" customFormat="false" ht="15" hidden="false" customHeight="false" outlineLevel="0" collapsed="false">
      <c r="A576" s="36" t="str">
        <f aca="false">IF($B576="","",COUNT($B$15:$B576))</f>
        <v/>
      </c>
      <c r="B576" s="37"/>
      <c r="C576" s="38"/>
      <c r="D576" s="39"/>
      <c r="E576" s="36" t="str">
        <f aca="false">IF($D576="","",IFERROR(INDEX('통합 ④ 설정'!$A$6:$A$40,MATCH($D576,'통합 ④ 설정'!$B$6:$B$40,0)),"※없는 과목"))</f>
        <v/>
      </c>
      <c r="F576" s="36" t="str">
        <f aca="false">IF($D576="","",IFERROR(INDEX('통합 ④ 설정'!$C$6:$C$40,MATCH($D576,'통합 ④ 설정'!$B$6:$B$40,0)),""))</f>
        <v/>
      </c>
      <c r="G576" s="39"/>
      <c r="H576" s="39"/>
      <c r="I576" s="40"/>
      <c r="J576" s="41"/>
      <c r="K576" s="38"/>
      <c r="L576" s="42" t="str">
        <f aca="false">IF($B576="","",IF(AND(N($I576)=0,N($J576)=0),"금액이 없습니다",IF(AND($I576&gt;0,$J576&gt;0),"수입·지출 둘 다 적혔습니다",IF($C576="","결제수단을 고르십시오",IF(ISNA(MATCH($C576,'통합 ③ 통장·카드'!$A$5:$A$11,0)),"③ 통장·카드에 없는 결제수단입니다",IF($D576="","계정과목을 고르십시오",IF($E576="※없는 과목","④ 설정에 없는 과목입니다",IF(AND($E576="수입",$J576&gt;0),"수입 과목인데 지출에 적혔습니다",IF(AND(LEFT($E576,2)&lt;&gt;"수입",$E576&lt;&gt;"대체",$I576&gt;0),"지출 과목인데 수입에 적혔습니다",IF($K576="","증빙을 고르십시오",IF(AND($C576="바우처통장",$J576&gt;0,IFERROR(INDEX('통합 ④ 설정'!$E$6:$E$40,MATCH($D576,'통합 ④ 설정'!$B$6:$B$40,0)),"")&lt;&gt;"○"),"바우처통장 지출 — 목적 확인",IF($H576="","적요를 적으십시오",""))))))))))))</f>
        <v/>
      </c>
      <c r="M576" s="39"/>
      <c r="O576" s="11" t="str">
        <f aca="false">IF($B576="","",YEAR($B576)*100+MONTH($B576))</f>
        <v/>
      </c>
      <c r="P576" s="11" t="str">
        <f aca="false">IF($B576="","",IF($E576="대체",0,1))</f>
        <v/>
      </c>
    </row>
    <row r="577" customFormat="false" ht="15" hidden="false" customHeight="false" outlineLevel="0" collapsed="false">
      <c r="A577" s="36" t="str">
        <f aca="false">IF($B577="","",COUNT($B$15:$B577))</f>
        <v/>
      </c>
      <c r="B577" s="37"/>
      <c r="C577" s="38"/>
      <c r="D577" s="39"/>
      <c r="E577" s="36" t="str">
        <f aca="false">IF($D577="","",IFERROR(INDEX('통합 ④ 설정'!$A$6:$A$40,MATCH($D577,'통합 ④ 설정'!$B$6:$B$40,0)),"※없는 과목"))</f>
        <v/>
      </c>
      <c r="F577" s="36" t="str">
        <f aca="false">IF($D577="","",IFERROR(INDEX('통합 ④ 설정'!$C$6:$C$40,MATCH($D577,'통합 ④ 설정'!$B$6:$B$40,0)),""))</f>
        <v/>
      </c>
      <c r="G577" s="39"/>
      <c r="H577" s="39"/>
      <c r="I577" s="40"/>
      <c r="J577" s="41"/>
      <c r="K577" s="38"/>
      <c r="L577" s="42" t="str">
        <f aca="false">IF($B577="","",IF(AND(N($I577)=0,N($J577)=0),"금액이 없습니다",IF(AND($I577&gt;0,$J577&gt;0),"수입·지출 둘 다 적혔습니다",IF($C577="","결제수단을 고르십시오",IF(ISNA(MATCH($C577,'통합 ③ 통장·카드'!$A$5:$A$11,0)),"③ 통장·카드에 없는 결제수단입니다",IF($D577="","계정과목을 고르십시오",IF($E577="※없는 과목","④ 설정에 없는 과목입니다",IF(AND($E577="수입",$J577&gt;0),"수입 과목인데 지출에 적혔습니다",IF(AND(LEFT($E577,2)&lt;&gt;"수입",$E577&lt;&gt;"대체",$I577&gt;0),"지출 과목인데 수입에 적혔습니다",IF($K577="","증빙을 고르십시오",IF(AND($C577="바우처통장",$J577&gt;0,IFERROR(INDEX('통합 ④ 설정'!$E$6:$E$40,MATCH($D577,'통합 ④ 설정'!$B$6:$B$40,0)),"")&lt;&gt;"○"),"바우처통장 지출 — 목적 확인",IF($H577="","적요를 적으십시오",""))))))))))))</f>
        <v/>
      </c>
      <c r="M577" s="39"/>
      <c r="O577" s="11" t="str">
        <f aca="false">IF($B577="","",YEAR($B577)*100+MONTH($B577))</f>
        <v/>
      </c>
      <c r="P577" s="11" t="str">
        <f aca="false">IF($B577="","",IF($E577="대체",0,1))</f>
        <v/>
      </c>
    </row>
    <row r="578" customFormat="false" ht="15" hidden="false" customHeight="false" outlineLevel="0" collapsed="false">
      <c r="A578" s="36" t="str">
        <f aca="false">IF($B578="","",COUNT($B$15:$B578))</f>
        <v/>
      </c>
      <c r="B578" s="37"/>
      <c r="C578" s="38"/>
      <c r="D578" s="39"/>
      <c r="E578" s="36" t="str">
        <f aca="false">IF($D578="","",IFERROR(INDEX('통합 ④ 설정'!$A$6:$A$40,MATCH($D578,'통합 ④ 설정'!$B$6:$B$40,0)),"※없는 과목"))</f>
        <v/>
      </c>
      <c r="F578" s="36" t="str">
        <f aca="false">IF($D578="","",IFERROR(INDEX('통합 ④ 설정'!$C$6:$C$40,MATCH($D578,'통합 ④ 설정'!$B$6:$B$40,0)),""))</f>
        <v/>
      </c>
      <c r="G578" s="39"/>
      <c r="H578" s="39"/>
      <c r="I578" s="40"/>
      <c r="J578" s="41"/>
      <c r="K578" s="38"/>
      <c r="L578" s="42" t="str">
        <f aca="false">IF($B578="","",IF(AND(N($I578)=0,N($J578)=0),"금액이 없습니다",IF(AND($I578&gt;0,$J578&gt;0),"수입·지출 둘 다 적혔습니다",IF($C578="","결제수단을 고르십시오",IF(ISNA(MATCH($C578,'통합 ③ 통장·카드'!$A$5:$A$11,0)),"③ 통장·카드에 없는 결제수단입니다",IF($D578="","계정과목을 고르십시오",IF($E578="※없는 과목","④ 설정에 없는 과목입니다",IF(AND($E578="수입",$J578&gt;0),"수입 과목인데 지출에 적혔습니다",IF(AND(LEFT($E578,2)&lt;&gt;"수입",$E578&lt;&gt;"대체",$I578&gt;0),"지출 과목인데 수입에 적혔습니다",IF($K578="","증빙을 고르십시오",IF(AND($C578="바우처통장",$J578&gt;0,IFERROR(INDEX('통합 ④ 설정'!$E$6:$E$40,MATCH($D578,'통합 ④ 설정'!$B$6:$B$40,0)),"")&lt;&gt;"○"),"바우처통장 지출 — 목적 확인",IF($H578="","적요를 적으십시오",""))))))))))))</f>
        <v/>
      </c>
      <c r="M578" s="39"/>
      <c r="O578" s="11" t="str">
        <f aca="false">IF($B578="","",YEAR($B578)*100+MONTH($B578))</f>
        <v/>
      </c>
      <c r="P578" s="11" t="str">
        <f aca="false">IF($B578="","",IF($E578="대체",0,1))</f>
        <v/>
      </c>
    </row>
    <row r="579" customFormat="false" ht="15" hidden="false" customHeight="false" outlineLevel="0" collapsed="false">
      <c r="A579" s="36" t="str">
        <f aca="false">IF($B579="","",COUNT($B$15:$B579))</f>
        <v/>
      </c>
      <c r="B579" s="37"/>
      <c r="C579" s="38"/>
      <c r="D579" s="39"/>
      <c r="E579" s="36" t="str">
        <f aca="false">IF($D579="","",IFERROR(INDEX('통합 ④ 설정'!$A$6:$A$40,MATCH($D579,'통합 ④ 설정'!$B$6:$B$40,0)),"※없는 과목"))</f>
        <v/>
      </c>
      <c r="F579" s="36" t="str">
        <f aca="false">IF($D579="","",IFERROR(INDEX('통합 ④ 설정'!$C$6:$C$40,MATCH($D579,'통합 ④ 설정'!$B$6:$B$40,0)),""))</f>
        <v/>
      </c>
      <c r="G579" s="39"/>
      <c r="H579" s="39"/>
      <c r="I579" s="40"/>
      <c r="J579" s="41"/>
      <c r="K579" s="38"/>
      <c r="L579" s="42" t="str">
        <f aca="false">IF($B579="","",IF(AND(N($I579)=0,N($J579)=0),"금액이 없습니다",IF(AND($I579&gt;0,$J579&gt;0),"수입·지출 둘 다 적혔습니다",IF($C579="","결제수단을 고르십시오",IF(ISNA(MATCH($C579,'통합 ③ 통장·카드'!$A$5:$A$11,0)),"③ 통장·카드에 없는 결제수단입니다",IF($D579="","계정과목을 고르십시오",IF($E579="※없는 과목","④ 설정에 없는 과목입니다",IF(AND($E579="수입",$J579&gt;0),"수입 과목인데 지출에 적혔습니다",IF(AND(LEFT($E579,2)&lt;&gt;"수입",$E579&lt;&gt;"대체",$I579&gt;0),"지출 과목인데 수입에 적혔습니다",IF($K579="","증빙을 고르십시오",IF(AND($C579="바우처통장",$J579&gt;0,IFERROR(INDEX('통합 ④ 설정'!$E$6:$E$40,MATCH($D579,'통합 ④ 설정'!$B$6:$B$40,0)),"")&lt;&gt;"○"),"바우처통장 지출 — 목적 확인",IF($H579="","적요를 적으십시오",""))))))))))))</f>
        <v/>
      </c>
      <c r="M579" s="39"/>
      <c r="O579" s="11" t="str">
        <f aca="false">IF($B579="","",YEAR($B579)*100+MONTH($B579))</f>
        <v/>
      </c>
      <c r="P579" s="11" t="str">
        <f aca="false">IF($B579="","",IF($E579="대체",0,1))</f>
        <v/>
      </c>
    </row>
    <row r="580" customFormat="false" ht="15" hidden="false" customHeight="false" outlineLevel="0" collapsed="false">
      <c r="A580" s="36" t="str">
        <f aca="false">IF($B580="","",COUNT($B$15:$B580))</f>
        <v/>
      </c>
      <c r="B580" s="37"/>
      <c r="C580" s="38"/>
      <c r="D580" s="39"/>
      <c r="E580" s="36" t="str">
        <f aca="false">IF($D580="","",IFERROR(INDEX('통합 ④ 설정'!$A$6:$A$40,MATCH($D580,'통합 ④ 설정'!$B$6:$B$40,0)),"※없는 과목"))</f>
        <v/>
      </c>
      <c r="F580" s="36" t="str">
        <f aca="false">IF($D580="","",IFERROR(INDEX('통합 ④ 설정'!$C$6:$C$40,MATCH($D580,'통합 ④ 설정'!$B$6:$B$40,0)),""))</f>
        <v/>
      </c>
      <c r="G580" s="39"/>
      <c r="H580" s="39"/>
      <c r="I580" s="40"/>
      <c r="J580" s="41"/>
      <c r="K580" s="38"/>
      <c r="L580" s="42" t="str">
        <f aca="false">IF($B580="","",IF(AND(N($I580)=0,N($J580)=0),"금액이 없습니다",IF(AND($I580&gt;0,$J580&gt;0),"수입·지출 둘 다 적혔습니다",IF($C580="","결제수단을 고르십시오",IF(ISNA(MATCH($C580,'통합 ③ 통장·카드'!$A$5:$A$11,0)),"③ 통장·카드에 없는 결제수단입니다",IF($D580="","계정과목을 고르십시오",IF($E580="※없는 과목","④ 설정에 없는 과목입니다",IF(AND($E580="수입",$J580&gt;0),"수입 과목인데 지출에 적혔습니다",IF(AND(LEFT($E580,2)&lt;&gt;"수입",$E580&lt;&gt;"대체",$I580&gt;0),"지출 과목인데 수입에 적혔습니다",IF($K580="","증빙을 고르십시오",IF(AND($C580="바우처통장",$J580&gt;0,IFERROR(INDEX('통합 ④ 설정'!$E$6:$E$40,MATCH($D580,'통합 ④ 설정'!$B$6:$B$40,0)),"")&lt;&gt;"○"),"바우처통장 지출 — 목적 확인",IF($H580="","적요를 적으십시오",""))))))))))))</f>
        <v/>
      </c>
      <c r="M580" s="39"/>
      <c r="O580" s="11" t="str">
        <f aca="false">IF($B580="","",YEAR($B580)*100+MONTH($B580))</f>
        <v/>
      </c>
      <c r="P580" s="11" t="str">
        <f aca="false">IF($B580="","",IF($E580="대체",0,1))</f>
        <v/>
      </c>
    </row>
    <row r="581" customFormat="false" ht="15" hidden="false" customHeight="false" outlineLevel="0" collapsed="false">
      <c r="A581" s="36" t="str">
        <f aca="false">IF($B581="","",COUNT($B$15:$B581))</f>
        <v/>
      </c>
      <c r="B581" s="37"/>
      <c r="C581" s="38"/>
      <c r="D581" s="39"/>
      <c r="E581" s="36" t="str">
        <f aca="false">IF($D581="","",IFERROR(INDEX('통합 ④ 설정'!$A$6:$A$40,MATCH($D581,'통합 ④ 설정'!$B$6:$B$40,0)),"※없는 과목"))</f>
        <v/>
      </c>
      <c r="F581" s="36" t="str">
        <f aca="false">IF($D581="","",IFERROR(INDEX('통합 ④ 설정'!$C$6:$C$40,MATCH($D581,'통합 ④ 설정'!$B$6:$B$40,0)),""))</f>
        <v/>
      </c>
      <c r="G581" s="39"/>
      <c r="H581" s="39"/>
      <c r="I581" s="40"/>
      <c r="J581" s="41"/>
      <c r="K581" s="38"/>
      <c r="L581" s="42" t="str">
        <f aca="false">IF($B581="","",IF(AND(N($I581)=0,N($J581)=0),"금액이 없습니다",IF(AND($I581&gt;0,$J581&gt;0),"수입·지출 둘 다 적혔습니다",IF($C581="","결제수단을 고르십시오",IF(ISNA(MATCH($C581,'통합 ③ 통장·카드'!$A$5:$A$11,0)),"③ 통장·카드에 없는 결제수단입니다",IF($D581="","계정과목을 고르십시오",IF($E581="※없는 과목","④ 설정에 없는 과목입니다",IF(AND($E581="수입",$J581&gt;0),"수입 과목인데 지출에 적혔습니다",IF(AND(LEFT($E581,2)&lt;&gt;"수입",$E581&lt;&gt;"대체",$I581&gt;0),"지출 과목인데 수입에 적혔습니다",IF($K581="","증빙을 고르십시오",IF(AND($C581="바우처통장",$J581&gt;0,IFERROR(INDEX('통합 ④ 설정'!$E$6:$E$40,MATCH($D581,'통합 ④ 설정'!$B$6:$B$40,0)),"")&lt;&gt;"○"),"바우처통장 지출 — 목적 확인",IF($H581="","적요를 적으십시오",""))))))))))))</f>
        <v/>
      </c>
      <c r="M581" s="39"/>
      <c r="O581" s="11" t="str">
        <f aca="false">IF($B581="","",YEAR($B581)*100+MONTH($B581))</f>
        <v/>
      </c>
      <c r="P581" s="11" t="str">
        <f aca="false">IF($B581="","",IF($E581="대체",0,1))</f>
        <v/>
      </c>
    </row>
    <row r="582" customFormat="false" ht="15" hidden="false" customHeight="false" outlineLevel="0" collapsed="false">
      <c r="A582" s="36" t="str">
        <f aca="false">IF($B582="","",COUNT($B$15:$B582))</f>
        <v/>
      </c>
      <c r="B582" s="37"/>
      <c r="C582" s="38"/>
      <c r="D582" s="39"/>
      <c r="E582" s="36" t="str">
        <f aca="false">IF($D582="","",IFERROR(INDEX('통합 ④ 설정'!$A$6:$A$40,MATCH($D582,'통합 ④ 설정'!$B$6:$B$40,0)),"※없는 과목"))</f>
        <v/>
      </c>
      <c r="F582" s="36" t="str">
        <f aca="false">IF($D582="","",IFERROR(INDEX('통합 ④ 설정'!$C$6:$C$40,MATCH($D582,'통합 ④ 설정'!$B$6:$B$40,0)),""))</f>
        <v/>
      </c>
      <c r="G582" s="39"/>
      <c r="H582" s="39"/>
      <c r="I582" s="40"/>
      <c r="J582" s="41"/>
      <c r="K582" s="38"/>
      <c r="L582" s="42" t="str">
        <f aca="false">IF($B582="","",IF(AND(N($I582)=0,N($J582)=0),"금액이 없습니다",IF(AND($I582&gt;0,$J582&gt;0),"수입·지출 둘 다 적혔습니다",IF($C582="","결제수단을 고르십시오",IF(ISNA(MATCH($C582,'통합 ③ 통장·카드'!$A$5:$A$11,0)),"③ 통장·카드에 없는 결제수단입니다",IF($D582="","계정과목을 고르십시오",IF($E582="※없는 과목","④ 설정에 없는 과목입니다",IF(AND($E582="수입",$J582&gt;0),"수입 과목인데 지출에 적혔습니다",IF(AND(LEFT($E582,2)&lt;&gt;"수입",$E582&lt;&gt;"대체",$I582&gt;0),"지출 과목인데 수입에 적혔습니다",IF($K582="","증빙을 고르십시오",IF(AND($C582="바우처통장",$J582&gt;0,IFERROR(INDEX('통합 ④ 설정'!$E$6:$E$40,MATCH($D582,'통합 ④ 설정'!$B$6:$B$40,0)),"")&lt;&gt;"○"),"바우처통장 지출 — 목적 확인",IF($H582="","적요를 적으십시오",""))))))))))))</f>
        <v/>
      </c>
      <c r="M582" s="39"/>
      <c r="O582" s="11" t="str">
        <f aca="false">IF($B582="","",YEAR($B582)*100+MONTH($B582))</f>
        <v/>
      </c>
      <c r="P582" s="11" t="str">
        <f aca="false">IF($B582="","",IF($E582="대체",0,1))</f>
        <v/>
      </c>
    </row>
    <row r="583" customFormat="false" ht="15" hidden="false" customHeight="false" outlineLevel="0" collapsed="false">
      <c r="A583" s="36" t="str">
        <f aca="false">IF($B583="","",COUNT($B$15:$B583))</f>
        <v/>
      </c>
      <c r="B583" s="37"/>
      <c r="C583" s="38"/>
      <c r="D583" s="39"/>
      <c r="E583" s="36" t="str">
        <f aca="false">IF($D583="","",IFERROR(INDEX('통합 ④ 설정'!$A$6:$A$40,MATCH($D583,'통합 ④ 설정'!$B$6:$B$40,0)),"※없는 과목"))</f>
        <v/>
      </c>
      <c r="F583" s="36" t="str">
        <f aca="false">IF($D583="","",IFERROR(INDEX('통합 ④ 설정'!$C$6:$C$40,MATCH($D583,'통합 ④ 설정'!$B$6:$B$40,0)),""))</f>
        <v/>
      </c>
      <c r="G583" s="39"/>
      <c r="H583" s="39"/>
      <c r="I583" s="40"/>
      <c r="J583" s="41"/>
      <c r="K583" s="38"/>
      <c r="L583" s="42" t="str">
        <f aca="false">IF($B583="","",IF(AND(N($I583)=0,N($J583)=0),"금액이 없습니다",IF(AND($I583&gt;0,$J583&gt;0),"수입·지출 둘 다 적혔습니다",IF($C583="","결제수단을 고르십시오",IF(ISNA(MATCH($C583,'통합 ③ 통장·카드'!$A$5:$A$11,0)),"③ 통장·카드에 없는 결제수단입니다",IF($D583="","계정과목을 고르십시오",IF($E583="※없는 과목","④ 설정에 없는 과목입니다",IF(AND($E583="수입",$J583&gt;0),"수입 과목인데 지출에 적혔습니다",IF(AND(LEFT($E583,2)&lt;&gt;"수입",$E583&lt;&gt;"대체",$I583&gt;0),"지출 과목인데 수입에 적혔습니다",IF($K583="","증빙을 고르십시오",IF(AND($C583="바우처통장",$J583&gt;0,IFERROR(INDEX('통합 ④ 설정'!$E$6:$E$40,MATCH($D583,'통합 ④ 설정'!$B$6:$B$40,0)),"")&lt;&gt;"○"),"바우처통장 지출 — 목적 확인",IF($H583="","적요를 적으십시오",""))))))))))))</f>
        <v/>
      </c>
      <c r="M583" s="39"/>
      <c r="O583" s="11" t="str">
        <f aca="false">IF($B583="","",YEAR($B583)*100+MONTH($B583))</f>
        <v/>
      </c>
      <c r="P583" s="11" t="str">
        <f aca="false">IF($B583="","",IF($E583="대체",0,1))</f>
        <v/>
      </c>
    </row>
    <row r="584" customFormat="false" ht="15" hidden="false" customHeight="false" outlineLevel="0" collapsed="false">
      <c r="A584" s="36" t="str">
        <f aca="false">IF($B584="","",COUNT($B$15:$B584))</f>
        <v/>
      </c>
      <c r="B584" s="37"/>
      <c r="C584" s="38"/>
      <c r="D584" s="39"/>
      <c r="E584" s="36" t="str">
        <f aca="false">IF($D584="","",IFERROR(INDEX('통합 ④ 설정'!$A$6:$A$40,MATCH($D584,'통합 ④ 설정'!$B$6:$B$40,0)),"※없는 과목"))</f>
        <v/>
      </c>
      <c r="F584" s="36" t="str">
        <f aca="false">IF($D584="","",IFERROR(INDEX('통합 ④ 설정'!$C$6:$C$40,MATCH($D584,'통합 ④ 설정'!$B$6:$B$40,0)),""))</f>
        <v/>
      </c>
      <c r="G584" s="39"/>
      <c r="H584" s="39"/>
      <c r="I584" s="40"/>
      <c r="J584" s="41"/>
      <c r="K584" s="38"/>
      <c r="L584" s="42" t="str">
        <f aca="false">IF($B584="","",IF(AND(N($I584)=0,N($J584)=0),"금액이 없습니다",IF(AND($I584&gt;0,$J584&gt;0),"수입·지출 둘 다 적혔습니다",IF($C584="","결제수단을 고르십시오",IF(ISNA(MATCH($C584,'통합 ③ 통장·카드'!$A$5:$A$11,0)),"③ 통장·카드에 없는 결제수단입니다",IF($D584="","계정과목을 고르십시오",IF($E584="※없는 과목","④ 설정에 없는 과목입니다",IF(AND($E584="수입",$J584&gt;0),"수입 과목인데 지출에 적혔습니다",IF(AND(LEFT($E584,2)&lt;&gt;"수입",$E584&lt;&gt;"대체",$I584&gt;0),"지출 과목인데 수입에 적혔습니다",IF($K584="","증빙을 고르십시오",IF(AND($C584="바우처통장",$J584&gt;0,IFERROR(INDEX('통합 ④ 설정'!$E$6:$E$40,MATCH($D584,'통합 ④ 설정'!$B$6:$B$40,0)),"")&lt;&gt;"○"),"바우처통장 지출 — 목적 확인",IF($H584="","적요를 적으십시오",""))))))))))))</f>
        <v/>
      </c>
      <c r="M584" s="39"/>
      <c r="O584" s="11" t="str">
        <f aca="false">IF($B584="","",YEAR($B584)*100+MONTH($B584))</f>
        <v/>
      </c>
      <c r="P584" s="11" t="str">
        <f aca="false">IF($B584="","",IF($E584="대체",0,1))</f>
        <v/>
      </c>
    </row>
    <row r="585" customFormat="false" ht="15" hidden="false" customHeight="false" outlineLevel="0" collapsed="false">
      <c r="A585" s="36" t="str">
        <f aca="false">IF($B585="","",COUNT($B$15:$B585))</f>
        <v/>
      </c>
      <c r="B585" s="37"/>
      <c r="C585" s="38"/>
      <c r="D585" s="39"/>
      <c r="E585" s="36" t="str">
        <f aca="false">IF($D585="","",IFERROR(INDEX('통합 ④ 설정'!$A$6:$A$40,MATCH($D585,'통합 ④ 설정'!$B$6:$B$40,0)),"※없는 과목"))</f>
        <v/>
      </c>
      <c r="F585" s="36" t="str">
        <f aca="false">IF($D585="","",IFERROR(INDEX('통합 ④ 설정'!$C$6:$C$40,MATCH($D585,'통합 ④ 설정'!$B$6:$B$40,0)),""))</f>
        <v/>
      </c>
      <c r="G585" s="39"/>
      <c r="H585" s="39"/>
      <c r="I585" s="40"/>
      <c r="J585" s="41"/>
      <c r="K585" s="38"/>
      <c r="L585" s="42" t="str">
        <f aca="false">IF($B585="","",IF(AND(N($I585)=0,N($J585)=0),"금액이 없습니다",IF(AND($I585&gt;0,$J585&gt;0),"수입·지출 둘 다 적혔습니다",IF($C585="","결제수단을 고르십시오",IF(ISNA(MATCH($C585,'통합 ③ 통장·카드'!$A$5:$A$11,0)),"③ 통장·카드에 없는 결제수단입니다",IF($D585="","계정과목을 고르십시오",IF($E585="※없는 과목","④ 설정에 없는 과목입니다",IF(AND($E585="수입",$J585&gt;0),"수입 과목인데 지출에 적혔습니다",IF(AND(LEFT($E585,2)&lt;&gt;"수입",$E585&lt;&gt;"대체",$I585&gt;0),"지출 과목인데 수입에 적혔습니다",IF($K585="","증빙을 고르십시오",IF(AND($C585="바우처통장",$J585&gt;0,IFERROR(INDEX('통합 ④ 설정'!$E$6:$E$40,MATCH($D585,'통합 ④ 설정'!$B$6:$B$40,0)),"")&lt;&gt;"○"),"바우처통장 지출 — 목적 확인",IF($H585="","적요를 적으십시오",""))))))))))))</f>
        <v/>
      </c>
      <c r="M585" s="39"/>
      <c r="O585" s="11" t="str">
        <f aca="false">IF($B585="","",YEAR($B585)*100+MONTH($B585))</f>
        <v/>
      </c>
      <c r="P585" s="11" t="str">
        <f aca="false">IF($B585="","",IF($E585="대체",0,1))</f>
        <v/>
      </c>
    </row>
    <row r="586" customFormat="false" ht="15" hidden="false" customHeight="false" outlineLevel="0" collapsed="false">
      <c r="A586" s="36" t="str">
        <f aca="false">IF($B586="","",COUNT($B$15:$B586))</f>
        <v/>
      </c>
      <c r="B586" s="37"/>
      <c r="C586" s="38"/>
      <c r="D586" s="39"/>
      <c r="E586" s="36" t="str">
        <f aca="false">IF($D586="","",IFERROR(INDEX('통합 ④ 설정'!$A$6:$A$40,MATCH($D586,'통합 ④ 설정'!$B$6:$B$40,0)),"※없는 과목"))</f>
        <v/>
      </c>
      <c r="F586" s="36" t="str">
        <f aca="false">IF($D586="","",IFERROR(INDEX('통합 ④ 설정'!$C$6:$C$40,MATCH($D586,'통합 ④ 설정'!$B$6:$B$40,0)),""))</f>
        <v/>
      </c>
      <c r="G586" s="39"/>
      <c r="H586" s="39"/>
      <c r="I586" s="40"/>
      <c r="J586" s="41"/>
      <c r="K586" s="38"/>
      <c r="L586" s="42" t="str">
        <f aca="false">IF($B586="","",IF(AND(N($I586)=0,N($J586)=0),"금액이 없습니다",IF(AND($I586&gt;0,$J586&gt;0),"수입·지출 둘 다 적혔습니다",IF($C586="","결제수단을 고르십시오",IF(ISNA(MATCH($C586,'통합 ③ 통장·카드'!$A$5:$A$11,0)),"③ 통장·카드에 없는 결제수단입니다",IF($D586="","계정과목을 고르십시오",IF($E586="※없는 과목","④ 설정에 없는 과목입니다",IF(AND($E586="수입",$J586&gt;0),"수입 과목인데 지출에 적혔습니다",IF(AND(LEFT($E586,2)&lt;&gt;"수입",$E586&lt;&gt;"대체",$I586&gt;0),"지출 과목인데 수입에 적혔습니다",IF($K586="","증빙을 고르십시오",IF(AND($C586="바우처통장",$J586&gt;0,IFERROR(INDEX('통합 ④ 설정'!$E$6:$E$40,MATCH($D586,'통합 ④ 설정'!$B$6:$B$40,0)),"")&lt;&gt;"○"),"바우처통장 지출 — 목적 확인",IF($H586="","적요를 적으십시오",""))))))))))))</f>
        <v/>
      </c>
      <c r="M586" s="39"/>
      <c r="O586" s="11" t="str">
        <f aca="false">IF($B586="","",YEAR($B586)*100+MONTH($B586))</f>
        <v/>
      </c>
      <c r="P586" s="11" t="str">
        <f aca="false">IF($B586="","",IF($E586="대체",0,1))</f>
        <v/>
      </c>
    </row>
    <row r="587" customFormat="false" ht="15" hidden="false" customHeight="false" outlineLevel="0" collapsed="false">
      <c r="A587" s="36" t="str">
        <f aca="false">IF($B587="","",COUNT($B$15:$B587))</f>
        <v/>
      </c>
      <c r="B587" s="37"/>
      <c r="C587" s="38"/>
      <c r="D587" s="39"/>
      <c r="E587" s="36" t="str">
        <f aca="false">IF($D587="","",IFERROR(INDEX('통합 ④ 설정'!$A$6:$A$40,MATCH($D587,'통합 ④ 설정'!$B$6:$B$40,0)),"※없는 과목"))</f>
        <v/>
      </c>
      <c r="F587" s="36" t="str">
        <f aca="false">IF($D587="","",IFERROR(INDEX('통합 ④ 설정'!$C$6:$C$40,MATCH($D587,'통합 ④ 설정'!$B$6:$B$40,0)),""))</f>
        <v/>
      </c>
      <c r="G587" s="39"/>
      <c r="H587" s="39"/>
      <c r="I587" s="40"/>
      <c r="J587" s="41"/>
      <c r="K587" s="38"/>
      <c r="L587" s="42" t="str">
        <f aca="false">IF($B587="","",IF(AND(N($I587)=0,N($J587)=0),"금액이 없습니다",IF(AND($I587&gt;0,$J587&gt;0),"수입·지출 둘 다 적혔습니다",IF($C587="","결제수단을 고르십시오",IF(ISNA(MATCH($C587,'통합 ③ 통장·카드'!$A$5:$A$11,0)),"③ 통장·카드에 없는 결제수단입니다",IF($D587="","계정과목을 고르십시오",IF($E587="※없는 과목","④ 설정에 없는 과목입니다",IF(AND($E587="수입",$J587&gt;0),"수입 과목인데 지출에 적혔습니다",IF(AND(LEFT($E587,2)&lt;&gt;"수입",$E587&lt;&gt;"대체",$I587&gt;0),"지출 과목인데 수입에 적혔습니다",IF($K587="","증빙을 고르십시오",IF(AND($C587="바우처통장",$J587&gt;0,IFERROR(INDEX('통합 ④ 설정'!$E$6:$E$40,MATCH($D587,'통합 ④ 설정'!$B$6:$B$40,0)),"")&lt;&gt;"○"),"바우처통장 지출 — 목적 확인",IF($H587="","적요를 적으십시오",""))))))))))))</f>
        <v/>
      </c>
      <c r="M587" s="39"/>
      <c r="O587" s="11" t="str">
        <f aca="false">IF($B587="","",YEAR($B587)*100+MONTH($B587))</f>
        <v/>
      </c>
      <c r="P587" s="11" t="str">
        <f aca="false">IF($B587="","",IF($E587="대체",0,1))</f>
        <v/>
      </c>
    </row>
    <row r="588" customFormat="false" ht="15" hidden="false" customHeight="false" outlineLevel="0" collapsed="false">
      <c r="A588" s="36" t="str">
        <f aca="false">IF($B588="","",COUNT($B$15:$B588))</f>
        <v/>
      </c>
      <c r="B588" s="37"/>
      <c r="C588" s="38"/>
      <c r="D588" s="39"/>
      <c r="E588" s="36" t="str">
        <f aca="false">IF($D588="","",IFERROR(INDEX('통합 ④ 설정'!$A$6:$A$40,MATCH($D588,'통합 ④ 설정'!$B$6:$B$40,0)),"※없는 과목"))</f>
        <v/>
      </c>
      <c r="F588" s="36" t="str">
        <f aca="false">IF($D588="","",IFERROR(INDEX('통합 ④ 설정'!$C$6:$C$40,MATCH($D588,'통합 ④ 설정'!$B$6:$B$40,0)),""))</f>
        <v/>
      </c>
      <c r="G588" s="39"/>
      <c r="H588" s="39"/>
      <c r="I588" s="40"/>
      <c r="J588" s="41"/>
      <c r="K588" s="38"/>
      <c r="L588" s="42" t="str">
        <f aca="false">IF($B588="","",IF(AND(N($I588)=0,N($J588)=0),"금액이 없습니다",IF(AND($I588&gt;0,$J588&gt;0),"수입·지출 둘 다 적혔습니다",IF($C588="","결제수단을 고르십시오",IF(ISNA(MATCH($C588,'통합 ③ 통장·카드'!$A$5:$A$11,0)),"③ 통장·카드에 없는 결제수단입니다",IF($D588="","계정과목을 고르십시오",IF($E588="※없는 과목","④ 설정에 없는 과목입니다",IF(AND($E588="수입",$J588&gt;0),"수입 과목인데 지출에 적혔습니다",IF(AND(LEFT($E588,2)&lt;&gt;"수입",$E588&lt;&gt;"대체",$I588&gt;0),"지출 과목인데 수입에 적혔습니다",IF($K588="","증빙을 고르십시오",IF(AND($C588="바우처통장",$J588&gt;0,IFERROR(INDEX('통합 ④ 설정'!$E$6:$E$40,MATCH($D588,'통합 ④ 설정'!$B$6:$B$40,0)),"")&lt;&gt;"○"),"바우처통장 지출 — 목적 확인",IF($H588="","적요를 적으십시오",""))))))))))))</f>
        <v/>
      </c>
      <c r="M588" s="39"/>
      <c r="O588" s="11" t="str">
        <f aca="false">IF($B588="","",YEAR($B588)*100+MONTH($B588))</f>
        <v/>
      </c>
      <c r="P588" s="11" t="str">
        <f aca="false">IF($B588="","",IF($E588="대체",0,1))</f>
        <v/>
      </c>
    </row>
    <row r="589" customFormat="false" ht="15" hidden="false" customHeight="false" outlineLevel="0" collapsed="false">
      <c r="A589" s="36" t="str">
        <f aca="false">IF($B589="","",COUNT($B$15:$B589))</f>
        <v/>
      </c>
      <c r="B589" s="37"/>
      <c r="C589" s="38"/>
      <c r="D589" s="39"/>
      <c r="E589" s="36" t="str">
        <f aca="false">IF($D589="","",IFERROR(INDEX('통합 ④ 설정'!$A$6:$A$40,MATCH($D589,'통합 ④ 설정'!$B$6:$B$40,0)),"※없는 과목"))</f>
        <v/>
      </c>
      <c r="F589" s="36" t="str">
        <f aca="false">IF($D589="","",IFERROR(INDEX('통합 ④ 설정'!$C$6:$C$40,MATCH($D589,'통합 ④ 설정'!$B$6:$B$40,0)),""))</f>
        <v/>
      </c>
      <c r="G589" s="39"/>
      <c r="H589" s="39"/>
      <c r="I589" s="40"/>
      <c r="J589" s="41"/>
      <c r="K589" s="38"/>
      <c r="L589" s="42" t="str">
        <f aca="false">IF($B589="","",IF(AND(N($I589)=0,N($J589)=0),"금액이 없습니다",IF(AND($I589&gt;0,$J589&gt;0),"수입·지출 둘 다 적혔습니다",IF($C589="","결제수단을 고르십시오",IF(ISNA(MATCH($C589,'통합 ③ 통장·카드'!$A$5:$A$11,0)),"③ 통장·카드에 없는 결제수단입니다",IF($D589="","계정과목을 고르십시오",IF($E589="※없는 과목","④ 설정에 없는 과목입니다",IF(AND($E589="수입",$J589&gt;0),"수입 과목인데 지출에 적혔습니다",IF(AND(LEFT($E589,2)&lt;&gt;"수입",$E589&lt;&gt;"대체",$I589&gt;0),"지출 과목인데 수입에 적혔습니다",IF($K589="","증빙을 고르십시오",IF(AND($C589="바우처통장",$J589&gt;0,IFERROR(INDEX('통합 ④ 설정'!$E$6:$E$40,MATCH($D589,'통합 ④ 설정'!$B$6:$B$40,0)),"")&lt;&gt;"○"),"바우처통장 지출 — 목적 확인",IF($H589="","적요를 적으십시오",""))))))))))))</f>
        <v/>
      </c>
      <c r="M589" s="39"/>
      <c r="O589" s="11" t="str">
        <f aca="false">IF($B589="","",YEAR($B589)*100+MONTH($B589))</f>
        <v/>
      </c>
      <c r="P589" s="11" t="str">
        <f aca="false">IF($B589="","",IF($E589="대체",0,1))</f>
        <v/>
      </c>
    </row>
    <row r="590" customFormat="false" ht="15" hidden="false" customHeight="false" outlineLevel="0" collapsed="false">
      <c r="A590" s="36" t="str">
        <f aca="false">IF($B590="","",COUNT($B$15:$B590))</f>
        <v/>
      </c>
      <c r="B590" s="37"/>
      <c r="C590" s="38"/>
      <c r="D590" s="39"/>
      <c r="E590" s="36" t="str">
        <f aca="false">IF($D590="","",IFERROR(INDEX('통합 ④ 설정'!$A$6:$A$40,MATCH($D590,'통합 ④ 설정'!$B$6:$B$40,0)),"※없는 과목"))</f>
        <v/>
      </c>
      <c r="F590" s="36" t="str">
        <f aca="false">IF($D590="","",IFERROR(INDEX('통합 ④ 설정'!$C$6:$C$40,MATCH($D590,'통합 ④ 설정'!$B$6:$B$40,0)),""))</f>
        <v/>
      </c>
      <c r="G590" s="39"/>
      <c r="H590" s="39"/>
      <c r="I590" s="40"/>
      <c r="J590" s="41"/>
      <c r="K590" s="38"/>
      <c r="L590" s="42" t="str">
        <f aca="false">IF($B590="","",IF(AND(N($I590)=0,N($J590)=0),"금액이 없습니다",IF(AND($I590&gt;0,$J590&gt;0),"수입·지출 둘 다 적혔습니다",IF($C590="","결제수단을 고르십시오",IF(ISNA(MATCH($C590,'통합 ③ 통장·카드'!$A$5:$A$11,0)),"③ 통장·카드에 없는 결제수단입니다",IF($D590="","계정과목을 고르십시오",IF($E590="※없는 과목","④ 설정에 없는 과목입니다",IF(AND($E590="수입",$J590&gt;0),"수입 과목인데 지출에 적혔습니다",IF(AND(LEFT($E590,2)&lt;&gt;"수입",$E590&lt;&gt;"대체",$I590&gt;0),"지출 과목인데 수입에 적혔습니다",IF($K590="","증빙을 고르십시오",IF(AND($C590="바우처통장",$J590&gt;0,IFERROR(INDEX('통합 ④ 설정'!$E$6:$E$40,MATCH($D590,'통합 ④ 설정'!$B$6:$B$40,0)),"")&lt;&gt;"○"),"바우처통장 지출 — 목적 확인",IF($H590="","적요를 적으십시오",""))))))))))))</f>
        <v/>
      </c>
      <c r="M590" s="39"/>
      <c r="O590" s="11" t="str">
        <f aca="false">IF($B590="","",YEAR($B590)*100+MONTH($B590))</f>
        <v/>
      </c>
      <c r="P590" s="11" t="str">
        <f aca="false">IF($B590="","",IF($E590="대체",0,1))</f>
        <v/>
      </c>
    </row>
    <row r="591" customFormat="false" ht="15" hidden="false" customHeight="false" outlineLevel="0" collapsed="false">
      <c r="A591" s="36" t="str">
        <f aca="false">IF($B591="","",COUNT($B$15:$B591))</f>
        <v/>
      </c>
      <c r="B591" s="37"/>
      <c r="C591" s="38"/>
      <c r="D591" s="39"/>
      <c r="E591" s="36" t="str">
        <f aca="false">IF($D591="","",IFERROR(INDEX('통합 ④ 설정'!$A$6:$A$40,MATCH($D591,'통합 ④ 설정'!$B$6:$B$40,0)),"※없는 과목"))</f>
        <v/>
      </c>
      <c r="F591" s="36" t="str">
        <f aca="false">IF($D591="","",IFERROR(INDEX('통합 ④ 설정'!$C$6:$C$40,MATCH($D591,'통합 ④ 설정'!$B$6:$B$40,0)),""))</f>
        <v/>
      </c>
      <c r="G591" s="39"/>
      <c r="H591" s="39"/>
      <c r="I591" s="40"/>
      <c r="J591" s="41"/>
      <c r="K591" s="38"/>
      <c r="L591" s="42" t="str">
        <f aca="false">IF($B591="","",IF(AND(N($I591)=0,N($J591)=0),"금액이 없습니다",IF(AND($I591&gt;0,$J591&gt;0),"수입·지출 둘 다 적혔습니다",IF($C591="","결제수단을 고르십시오",IF(ISNA(MATCH($C591,'통합 ③ 통장·카드'!$A$5:$A$11,0)),"③ 통장·카드에 없는 결제수단입니다",IF($D591="","계정과목을 고르십시오",IF($E591="※없는 과목","④ 설정에 없는 과목입니다",IF(AND($E591="수입",$J591&gt;0),"수입 과목인데 지출에 적혔습니다",IF(AND(LEFT($E591,2)&lt;&gt;"수입",$E591&lt;&gt;"대체",$I591&gt;0),"지출 과목인데 수입에 적혔습니다",IF($K591="","증빙을 고르십시오",IF(AND($C591="바우처통장",$J591&gt;0,IFERROR(INDEX('통합 ④ 설정'!$E$6:$E$40,MATCH($D591,'통합 ④ 설정'!$B$6:$B$40,0)),"")&lt;&gt;"○"),"바우처통장 지출 — 목적 확인",IF($H591="","적요를 적으십시오",""))))))))))))</f>
        <v/>
      </c>
      <c r="M591" s="39"/>
      <c r="O591" s="11" t="str">
        <f aca="false">IF($B591="","",YEAR($B591)*100+MONTH($B591))</f>
        <v/>
      </c>
      <c r="P591" s="11" t="str">
        <f aca="false">IF($B591="","",IF($E591="대체",0,1))</f>
        <v/>
      </c>
    </row>
    <row r="592" customFormat="false" ht="15" hidden="false" customHeight="false" outlineLevel="0" collapsed="false">
      <c r="A592" s="36" t="str">
        <f aca="false">IF($B592="","",COUNT($B$15:$B592))</f>
        <v/>
      </c>
      <c r="B592" s="37"/>
      <c r="C592" s="38"/>
      <c r="D592" s="39"/>
      <c r="E592" s="36" t="str">
        <f aca="false">IF($D592="","",IFERROR(INDEX('통합 ④ 설정'!$A$6:$A$40,MATCH($D592,'통합 ④ 설정'!$B$6:$B$40,0)),"※없는 과목"))</f>
        <v/>
      </c>
      <c r="F592" s="36" t="str">
        <f aca="false">IF($D592="","",IFERROR(INDEX('통합 ④ 설정'!$C$6:$C$40,MATCH($D592,'통합 ④ 설정'!$B$6:$B$40,0)),""))</f>
        <v/>
      </c>
      <c r="G592" s="39"/>
      <c r="H592" s="39"/>
      <c r="I592" s="40"/>
      <c r="J592" s="41"/>
      <c r="K592" s="38"/>
      <c r="L592" s="42" t="str">
        <f aca="false">IF($B592="","",IF(AND(N($I592)=0,N($J592)=0),"금액이 없습니다",IF(AND($I592&gt;0,$J592&gt;0),"수입·지출 둘 다 적혔습니다",IF($C592="","결제수단을 고르십시오",IF(ISNA(MATCH($C592,'통합 ③ 통장·카드'!$A$5:$A$11,0)),"③ 통장·카드에 없는 결제수단입니다",IF($D592="","계정과목을 고르십시오",IF($E592="※없는 과목","④ 설정에 없는 과목입니다",IF(AND($E592="수입",$J592&gt;0),"수입 과목인데 지출에 적혔습니다",IF(AND(LEFT($E592,2)&lt;&gt;"수입",$E592&lt;&gt;"대체",$I592&gt;0),"지출 과목인데 수입에 적혔습니다",IF($K592="","증빙을 고르십시오",IF(AND($C592="바우처통장",$J592&gt;0,IFERROR(INDEX('통합 ④ 설정'!$E$6:$E$40,MATCH($D592,'통합 ④ 설정'!$B$6:$B$40,0)),"")&lt;&gt;"○"),"바우처통장 지출 — 목적 확인",IF($H592="","적요를 적으십시오",""))))))))))))</f>
        <v/>
      </c>
      <c r="M592" s="39"/>
      <c r="O592" s="11" t="str">
        <f aca="false">IF($B592="","",YEAR($B592)*100+MONTH($B592))</f>
        <v/>
      </c>
      <c r="P592" s="11" t="str">
        <f aca="false">IF($B592="","",IF($E592="대체",0,1))</f>
        <v/>
      </c>
    </row>
    <row r="593" customFormat="false" ht="15" hidden="false" customHeight="false" outlineLevel="0" collapsed="false">
      <c r="A593" s="36" t="str">
        <f aca="false">IF($B593="","",COUNT($B$15:$B593))</f>
        <v/>
      </c>
      <c r="B593" s="37"/>
      <c r="C593" s="38"/>
      <c r="D593" s="39"/>
      <c r="E593" s="36" t="str">
        <f aca="false">IF($D593="","",IFERROR(INDEX('통합 ④ 설정'!$A$6:$A$40,MATCH($D593,'통합 ④ 설정'!$B$6:$B$40,0)),"※없는 과목"))</f>
        <v/>
      </c>
      <c r="F593" s="36" t="str">
        <f aca="false">IF($D593="","",IFERROR(INDEX('통합 ④ 설정'!$C$6:$C$40,MATCH($D593,'통합 ④ 설정'!$B$6:$B$40,0)),""))</f>
        <v/>
      </c>
      <c r="G593" s="39"/>
      <c r="H593" s="39"/>
      <c r="I593" s="40"/>
      <c r="J593" s="41"/>
      <c r="K593" s="38"/>
      <c r="L593" s="42" t="str">
        <f aca="false">IF($B593="","",IF(AND(N($I593)=0,N($J593)=0),"금액이 없습니다",IF(AND($I593&gt;0,$J593&gt;0),"수입·지출 둘 다 적혔습니다",IF($C593="","결제수단을 고르십시오",IF(ISNA(MATCH($C593,'통합 ③ 통장·카드'!$A$5:$A$11,0)),"③ 통장·카드에 없는 결제수단입니다",IF($D593="","계정과목을 고르십시오",IF($E593="※없는 과목","④ 설정에 없는 과목입니다",IF(AND($E593="수입",$J593&gt;0),"수입 과목인데 지출에 적혔습니다",IF(AND(LEFT($E593,2)&lt;&gt;"수입",$E593&lt;&gt;"대체",$I593&gt;0),"지출 과목인데 수입에 적혔습니다",IF($K593="","증빙을 고르십시오",IF(AND($C593="바우처통장",$J593&gt;0,IFERROR(INDEX('통합 ④ 설정'!$E$6:$E$40,MATCH($D593,'통합 ④ 설정'!$B$6:$B$40,0)),"")&lt;&gt;"○"),"바우처통장 지출 — 목적 확인",IF($H593="","적요를 적으십시오",""))))))))))))</f>
        <v/>
      </c>
      <c r="M593" s="39"/>
      <c r="O593" s="11" t="str">
        <f aca="false">IF($B593="","",YEAR($B593)*100+MONTH($B593))</f>
        <v/>
      </c>
      <c r="P593" s="11" t="str">
        <f aca="false">IF($B593="","",IF($E593="대체",0,1))</f>
        <v/>
      </c>
    </row>
    <row r="594" customFormat="false" ht="15" hidden="false" customHeight="false" outlineLevel="0" collapsed="false">
      <c r="A594" s="36" t="str">
        <f aca="false">IF($B594="","",COUNT($B$15:$B594))</f>
        <v/>
      </c>
      <c r="B594" s="37"/>
      <c r="C594" s="38"/>
      <c r="D594" s="39"/>
      <c r="E594" s="36" t="str">
        <f aca="false">IF($D594="","",IFERROR(INDEX('통합 ④ 설정'!$A$6:$A$40,MATCH($D594,'통합 ④ 설정'!$B$6:$B$40,0)),"※없는 과목"))</f>
        <v/>
      </c>
      <c r="F594" s="36" t="str">
        <f aca="false">IF($D594="","",IFERROR(INDEX('통합 ④ 설정'!$C$6:$C$40,MATCH($D594,'통합 ④ 설정'!$B$6:$B$40,0)),""))</f>
        <v/>
      </c>
      <c r="G594" s="39"/>
      <c r="H594" s="39"/>
      <c r="I594" s="40"/>
      <c r="J594" s="41"/>
      <c r="K594" s="38"/>
      <c r="L594" s="42" t="str">
        <f aca="false">IF($B594="","",IF(AND(N($I594)=0,N($J594)=0),"금액이 없습니다",IF(AND($I594&gt;0,$J594&gt;0),"수입·지출 둘 다 적혔습니다",IF($C594="","결제수단을 고르십시오",IF(ISNA(MATCH($C594,'통합 ③ 통장·카드'!$A$5:$A$11,0)),"③ 통장·카드에 없는 결제수단입니다",IF($D594="","계정과목을 고르십시오",IF($E594="※없는 과목","④ 설정에 없는 과목입니다",IF(AND($E594="수입",$J594&gt;0),"수입 과목인데 지출에 적혔습니다",IF(AND(LEFT($E594,2)&lt;&gt;"수입",$E594&lt;&gt;"대체",$I594&gt;0),"지출 과목인데 수입에 적혔습니다",IF($K594="","증빙을 고르십시오",IF(AND($C594="바우처통장",$J594&gt;0,IFERROR(INDEX('통합 ④ 설정'!$E$6:$E$40,MATCH($D594,'통합 ④ 설정'!$B$6:$B$40,0)),"")&lt;&gt;"○"),"바우처통장 지출 — 목적 확인",IF($H594="","적요를 적으십시오",""))))))))))))</f>
        <v/>
      </c>
      <c r="M594" s="39"/>
      <c r="O594" s="11" t="str">
        <f aca="false">IF($B594="","",YEAR($B594)*100+MONTH($B594))</f>
        <v/>
      </c>
      <c r="P594" s="11" t="str">
        <f aca="false">IF($B594="","",IF($E594="대체",0,1))</f>
        <v/>
      </c>
    </row>
    <row r="595" customFormat="false" ht="15" hidden="false" customHeight="false" outlineLevel="0" collapsed="false">
      <c r="A595" s="36" t="str">
        <f aca="false">IF($B595="","",COUNT($B$15:$B595))</f>
        <v/>
      </c>
      <c r="B595" s="37"/>
      <c r="C595" s="38"/>
      <c r="D595" s="39"/>
      <c r="E595" s="36" t="str">
        <f aca="false">IF($D595="","",IFERROR(INDEX('통합 ④ 설정'!$A$6:$A$40,MATCH($D595,'통합 ④ 설정'!$B$6:$B$40,0)),"※없는 과목"))</f>
        <v/>
      </c>
      <c r="F595" s="36" t="str">
        <f aca="false">IF($D595="","",IFERROR(INDEX('통합 ④ 설정'!$C$6:$C$40,MATCH($D595,'통합 ④ 설정'!$B$6:$B$40,0)),""))</f>
        <v/>
      </c>
      <c r="G595" s="39"/>
      <c r="H595" s="39"/>
      <c r="I595" s="40"/>
      <c r="J595" s="41"/>
      <c r="K595" s="38"/>
      <c r="L595" s="42" t="str">
        <f aca="false">IF($B595="","",IF(AND(N($I595)=0,N($J595)=0),"금액이 없습니다",IF(AND($I595&gt;0,$J595&gt;0),"수입·지출 둘 다 적혔습니다",IF($C595="","결제수단을 고르십시오",IF(ISNA(MATCH($C595,'통합 ③ 통장·카드'!$A$5:$A$11,0)),"③ 통장·카드에 없는 결제수단입니다",IF($D595="","계정과목을 고르십시오",IF($E595="※없는 과목","④ 설정에 없는 과목입니다",IF(AND($E595="수입",$J595&gt;0),"수입 과목인데 지출에 적혔습니다",IF(AND(LEFT($E595,2)&lt;&gt;"수입",$E595&lt;&gt;"대체",$I595&gt;0),"지출 과목인데 수입에 적혔습니다",IF($K595="","증빙을 고르십시오",IF(AND($C595="바우처통장",$J595&gt;0,IFERROR(INDEX('통합 ④ 설정'!$E$6:$E$40,MATCH($D595,'통합 ④ 설정'!$B$6:$B$40,0)),"")&lt;&gt;"○"),"바우처통장 지출 — 목적 확인",IF($H595="","적요를 적으십시오",""))))))))))))</f>
        <v/>
      </c>
      <c r="M595" s="39"/>
      <c r="O595" s="11" t="str">
        <f aca="false">IF($B595="","",YEAR($B595)*100+MONTH($B595))</f>
        <v/>
      </c>
      <c r="P595" s="11" t="str">
        <f aca="false">IF($B595="","",IF($E595="대체",0,1))</f>
        <v/>
      </c>
    </row>
    <row r="596" customFormat="false" ht="15" hidden="false" customHeight="false" outlineLevel="0" collapsed="false">
      <c r="A596" s="36" t="str">
        <f aca="false">IF($B596="","",COUNT($B$15:$B596))</f>
        <v/>
      </c>
      <c r="B596" s="37"/>
      <c r="C596" s="38"/>
      <c r="D596" s="39"/>
      <c r="E596" s="36" t="str">
        <f aca="false">IF($D596="","",IFERROR(INDEX('통합 ④ 설정'!$A$6:$A$40,MATCH($D596,'통합 ④ 설정'!$B$6:$B$40,0)),"※없는 과목"))</f>
        <v/>
      </c>
      <c r="F596" s="36" t="str">
        <f aca="false">IF($D596="","",IFERROR(INDEX('통합 ④ 설정'!$C$6:$C$40,MATCH($D596,'통합 ④ 설정'!$B$6:$B$40,0)),""))</f>
        <v/>
      </c>
      <c r="G596" s="39"/>
      <c r="H596" s="39"/>
      <c r="I596" s="40"/>
      <c r="J596" s="41"/>
      <c r="K596" s="38"/>
      <c r="L596" s="42" t="str">
        <f aca="false">IF($B596="","",IF(AND(N($I596)=0,N($J596)=0),"금액이 없습니다",IF(AND($I596&gt;0,$J596&gt;0),"수입·지출 둘 다 적혔습니다",IF($C596="","결제수단을 고르십시오",IF(ISNA(MATCH($C596,'통합 ③ 통장·카드'!$A$5:$A$11,0)),"③ 통장·카드에 없는 결제수단입니다",IF($D596="","계정과목을 고르십시오",IF($E596="※없는 과목","④ 설정에 없는 과목입니다",IF(AND($E596="수입",$J596&gt;0),"수입 과목인데 지출에 적혔습니다",IF(AND(LEFT($E596,2)&lt;&gt;"수입",$E596&lt;&gt;"대체",$I596&gt;0),"지출 과목인데 수입에 적혔습니다",IF($K596="","증빙을 고르십시오",IF(AND($C596="바우처통장",$J596&gt;0,IFERROR(INDEX('통합 ④ 설정'!$E$6:$E$40,MATCH($D596,'통합 ④ 설정'!$B$6:$B$40,0)),"")&lt;&gt;"○"),"바우처통장 지출 — 목적 확인",IF($H596="","적요를 적으십시오",""))))))))))))</f>
        <v/>
      </c>
      <c r="M596" s="39"/>
      <c r="O596" s="11" t="str">
        <f aca="false">IF($B596="","",YEAR($B596)*100+MONTH($B596))</f>
        <v/>
      </c>
      <c r="P596" s="11" t="str">
        <f aca="false">IF($B596="","",IF($E596="대체",0,1))</f>
        <v/>
      </c>
    </row>
    <row r="597" customFormat="false" ht="15" hidden="false" customHeight="false" outlineLevel="0" collapsed="false">
      <c r="A597" s="36" t="str">
        <f aca="false">IF($B597="","",COUNT($B$15:$B597))</f>
        <v/>
      </c>
      <c r="B597" s="37"/>
      <c r="C597" s="38"/>
      <c r="D597" s="39"/>
      <c r="E597" s="36" t="str">
        <f aca="false">IF($D597="","",IFERROR(INDEX('통합 ④ 설정'!$A$6:$A$40,MATCH($D597,'통합 ④ 설정'!$B$6:$B$40,0)),"※없는 과목"))</f>
        <v/>
      </c>
      <c r="F597" s="36" t="str">
        <f aca="false">IF($D597="","",IFERROR(INDEX('통합 ④ 설정'!$C$6:$C$40,MATCH($D597,'통합 ④ 설정'!$B$6:$B$40,0)),""))</f>
        <v/>
      </c>
      <c r="G597" s="39"/>
      <c r="H597" s="39"/>
      <c r="I597" s="40"/>
      <c r="J597" s="41"/>
      <c r="K597" s="38"/>
      <c r="L597" s="42" t="str">
        <f aca="false">IF($B597="","",IF(AND(N($I597)=0,N($J597)=0),"금액이 없습니다",IF(AND($I597&gt;0,$J597&gt;0),"수입·지출 둘 다 적혔습니다",IF($C597="","결제수단을 고르십시오",IF(ISNA(MATCH($C597,'통합 ③ 통장·카드'!$A$5:$A$11,0)),"③ 통장·카드에 없는 결제수단입니다",IF($D597="","계정과목을 고르십시오",IF($E597="※없는 과목","④ 설정에 없는 과목입니다",IF(AND($E597="수입",$J597&gt;0),"수입 과목인데 지출에 적혔습니다",IF(AND(LEFT($E597,2)&lt;&gt;"수입",$E597&lt;&gt;"대체",$I597&gt;0),"지출 과목인데 수입에 적혔습니다",IF($K597="","증빙을 고르십시오",IF(AND($C597="바우처통장",$J597&gt;0,IFERROR(INDEX('통합 ④ 설정'!$E$6:$E$40,MATCH($D597,'통합 ④ 설정'!$B$6:$B$40,0)),"")&lt;&gt;"○"),"바우처통장 지출 — 목적 확인",IF($H597="","적요를 적으십시오",""))))))))))))</f>
        <v/>
      </c>
      <c r="M597" s="39"/>
      <c r="O597" s="11" t="str">
        <f aca="false">IF($B597="","",YEAR($B597)*100+MONTH($B597))</f>
        <v/>
      </c>
      <c r="P597" s="11" t="str">
        <f aca="false">IF($B597="","",IF($E597="대체",0,1))</f>
        <v/>
      </c>
    </row>
    <row r="598" customFormat="false" ht="15" hidden="false" customHeight="false" outlineLevel="0" collapsed="false">
      <c r="A598" s="36" t="str">
        <f aca="false">IF($B598="","",COUNT($B$15:$B598))</f>
        <v/>
      </c>
      <c r="B598" s="37"/>
      <c r="C598" s="38"/>
      <c r="D598" s="39"/>
      <c r="E598" s="36" t="str">
        <f aca="false">IF($D598="","",IFERROR(INDEX('통합 ④ 설정'!$A$6:$A$40,MATCH($D598,'통합 ④ 설정'!$B$6:$B$40,0)),"※없는 과목"))</f>
        <v/>
      </c>
      <c r="F598" s="36" t="str">
        <f aca="false">IF($D598="","",IFERROR(INDEX('통합 ④ 설정'!$C$6:$C$40,MATCH($D598,'통합 ④ 설정'!$B$6:$B$40,0)),""))</f>
        <v/>
      </c>
      <c r="G598" s="39"/>
      <c r="H598" s="39"/>
      <c r="I598" s="40"/>
      <c r="J598" s="41"/>
      <c r="K598" s="38"/>
      <c r="L598" s="42" t="str">
        <f aca="false">IF($B598="","",IF(AND(N($I598)=0,N($J598)=0),"금액이 없습니다",IF(AND($I598&gt;0,$J598&gt;0),"수입·지출 둘 다 적혔습니다",IF($C598="","결제수단을 고르십시오",IF(ISNA(MATCH($C598,'통합 ③ 통장·카드'!$A$5:$A$11,0)),"③ 통장·카드에 없는 결제수단입니다",IF($D598="","계정과목을 고르십시오",IF($E598="※없는 과목","④ 설정에 없는 과목입니다",IF(AND($E598="수입",$J598&gt;0),"수입 과목인데 지출에 적혔습니다",IF(AND(LEFT($E598,2)&lt;&gt;"수입",$E598&lt;&gt;"대체",$I598&gt;0),"지출 과목인데 수입에 적혔습니다",IF($K598="","증빙을 고르십시오",IF(AND($C598="바우처통장",$J598&gt;0,IFERROR(INDEX('통합 ④ 설정'!$E$6:$E$40,MATCH($D598,'통합 ④ 설정'!$B$6:$B$40,0)),"")&lt;&gt;"○"),"바우처통장 지출 — 목적 확인",IF($H598="","적요를 적으십시오",""))))))))))))</f>
        <v/>
      </c>
      <c r="M598" s="39"/>
      <c r="O598" s="11" t="str">
        <f aca="false">IF($B598="","",YEAR($B598)*100+MONTH($B598))</f>
        <v/>
      </c>
      <c r="P598" s="11" t="str">
        <f aca="false">IF($B598="","",IF($E598="대체",0,1))</f>
        <v/>
      </c>
    </row>
    <row r="599" customFormat="false" ht="15" hidden="false" customHeight="false" outlineLevel="0" collapsed="false">
      <c r="A599" s="36" t="str">
        <f aca="false">IF($B599="","",COUNT($B$15:$B599))</f>
        <v/>
      </c>
      <c r="B599" s="37"/>
      <c r="C599" s="38"/>
      <c r="D599" s="39"/>
      <c r="E599" s="36" t="str">
        <f aca="false">IF($D599="","",IFERROR(INDEX('통합 ④ 설정'!$A$6:$A$40,MATCH($D599,'통합 ④ 설정'!$B$6:$B$40,0)),"※없는 과목"))</f>
        <v/>
      </c>
      <c r="F599" s="36" t="str">
        <f aca="false">IF($D599="","",IFERROR(INDEX('통합 ④ 설정'!$C$6:$C$40,MATCH($D599,'통합 ④ 설정'!$B$6:$B$40,0)),""))</f>
        <v/>
      </c>
      <c r="G599" s="39"/>
      <c r="H599" s="39"/>
      <c r="I599" s="40"/>
      <c r="J599" s="41"/>
      <c r="K599" s="38"/>
      <c r="L599" s="42" t="str">
        <f aca="false">IF($B599="","",IF(AND(N($I599)=0,N($J599)=0),"금액이 없습니다",IF(AND($I599&gt;0,$J599&gt;0),"수입·지출 둘 다 적혔습니다",IF($C599="","결제수단을 고르십시오",IF(ISNA(MATCH($C599,'통합 ③ 통장·카드'!$A$5:$A$11,0)),"③ 통장·카드에 없는 결제수단입니다",IF($D599="","계정과목을 고르십시오",IF($E599="※없는 과목","④ 설정에 없는 과목입니다",IF(AND($E599="수입",$J599&gt;0),"수입 과목인데 지출에 적혔습니다",IF(AND(LEFT($E599,2)&lt;&gt;"수입",$E599&lt;&gt;"대체",$I599&gt;0),"지출 과목인데 수입에 적혔습니다",IF($K599="","증빙을 고르십시오",IF(AND($C599="바우처통장",$J599&gt;0,IFERROR(INDEX('통합 ④ 설정'!$E$6:$E$40,MATCH($D599,'통합 ④ 설정'!$B$6:$B$40,0)),"")&lt;&gt;"○"),"바우처통장 지출 — 목적 확인",IF($H599="","적요를 적으십시오",""))))))))))))</f>
        <v/>
      </c>
      <c r="M599" s="39"/>
      <c r="O599" s="11" t="str">
        <f aca="false">IF($B599="","",YEAR($B599)*100+MONTH($B599))</f>
        <v/>
      </c>
      <c r="P599" s="11" t="str">
        <f aca="false">IF($B599="","",IF($E599="대체",0,1))</f>
        <v/>
      </c>
    </row>
    <row r="600" customFormat="false" ht="15" hidden="false" customHeight="false" outlineLevel="0" collapsed="false">
      <c r="A600" s="36" t="str">
        <f aca="false">IF($B600="","",COUNT($B$15:$B600))</f>
        <v/>
      </c>
      <c r="B600" s="37"/>
      <c r="C600" s="38"/>
      <c r="D600" s="39"/>
      <c r="E600" s="36" t="str">
        <f aca="false">IF($D600="","",IFERROR(INDEX('통합 ④ 설정'!$A$6:$A$40,MATCH($D600,'통합 ④ 설정'!$B$6:$B$40,0)),"※없는 과목"))</f>
        <v/>
      </c>
      <c r="F600" s="36" t="str">
        <f aca="false">IF($D600="","",IFERROR(INDEX('통합 ④ 설정'!$C$6:$C$40,MATCH($D600,'통합 ④ 설정'!$B$6:$B$40,0)),""))</f>
        <v/>
      </c>
      <c r="G600" s="39"/>
      <c r="H600" s="39"/>
      <c r="I600" s="40"/>
      <c r="J600" s="41"/>
      <c r="K600" s="38"/>
      <c r="L600" s="42" t="str">
        <f aca="false">IF($B600="","",IF(AND(N($I600)=0,N($J600)=0),"금액이 없습니다",IF(AND($I600&gt;0,$J600&gt;0),"수입·지출 둘 다 적혔습니다",IF($C600="","결제수단을 고르십시오",IF(ISNA(MATCH($C600,'통합 ③ 통장·카드'!$A$5:$A$11,0)),"③ 통장·카드에 없는 결제수단입니다",IF($D600="","계정과목을 고르십시오",IF($E600="※없는 과목","④ 설정에 없는 과목입니다",IF(AND($E600="수입",$J600&gt;0),"수입 과목인데 지출에 적혔습니다",IF(AND(LEFT($E600,2)&lt;&gt;"수입",$E600&lt;&gt;"대체",$I600&gt;0),"지출 과목인데 수입에 적혔습니다",IF($K600="","증빙을 고르십시오",IF(AND($C600="바우처통장",$J600&gt;0,IFERROR(INDEX('통합 ④ 설정'!$E$6:$E$40,MATCH($D600,'통합 ④ 설정'!$B$6:$B$40,0)),"")&lt;&gt;"○"),"바우처통장 지출 — 목적 확인",IF($H600="","적요를 적으십시오",""))))))))))))</f>
        <v/>
      </c>
      <c r="M600" s="39"/>
      <c r="O600" s="11" t="str">
        <f aca="false">IF($B600="","",YEAR($B600)*100+MONTH($B600))</f>
        <v/>
      </c>
      <c r="P600" s="11" t="str">
        <f aca="false">IF($B600="","",IF($E600="대체",0,1))</f>
        <v/>
      </c>
    </row>
    <row r="601" customFormat="false" ht="15" hidden="false" customHeight="false" outlineLevel="0" collapsed="false">
      <c r="A601" s="36" t="str">
        <f aca="false">IF($B601="","",COUNT($B$15:$B601))</f>
        <v/>
      </c>
      <c r="B601" s="37"/>
      <c r="C601" s="38"/>
      <c r="D601" s="39"/>
      <c r="E601" s="36" t="str">
        <f aca="false">IF($D601="","",IFERROR(INDEX('통합 ④ 설정'!$A$6:$A$40,MATCH($D601,'통합 ④ 설정'!$B$6:$B$40,0)),"※없는 과목"))</f>
        <v/>
      </c>
      <c r="F601" s="36" t="str">
        <f aca="false">IF($D601="","",IFERROR(INDEX('통합 ④ 설정'!$C$6:$C$40,MATCH($D601,'통합 ④ 설정'!$B$6:$B$40,0)),""))</f>
        <v/>
      </c>
      <c r="G601" s="39"/>
      <c r="H601" s="39"/>
      <c r="I601" s="40"/>
      <c r="J601" s="41"/>
      <c r="K601" s="38"/>
      <c r="L601" s="42" t="str">
        <f aca="false">IF($B601="","",IF(AND(N($I601)=0,N($J601)=0),"금액이 없습니다",IF(AND($I601&gt;0,$J601&gt;0),"수입·지출 둘 다 적혔습니다",IF($C601="","결제수단을 고르십시오",IF(ISNA(MATCH($C601,'통합 ③ 통장·카드'!$A$5:$A$11,0)),"③ 통장·카드에 없는 결제수단입니다",IF($D601="","계정과목을 고르십시오",IF($E601="※없는 과목","④ 설정에 없는 과목입니다",IF(AND($E601="수입",$J601&gt;0),"수입 과목인데 지출에 적혔습니다",IF(AND(LEFT($E601,2)&lt;&gt;"수입",$E601&lt;&gt;"대체",$I601&gt;0),"지출 과목인데 수입에 적혔습니다",IF($K601="","증빙을 고르십시오",IF(AND($C601="바우처통장",$J601&gt;0,IFERROR(INDEX('통합 ④ 설정'!$E$6:$E$40,MATCH($D601,'통합 ④ 설정'!$B$6:$B$40,0)),"")&lt;&gt;"○"),"바우처통장 지출 — 목적 확인",IF($H601="","적요를 적으십시오",""))))))))))))</f>
        <v/>
      </c>
      <c r="M601" s="39"/>
      <c r="O601" s="11" t="str">
        <f aca="false">IF($B601="","",YEAR($B601)*100+MONTH($B601))</f>
        <v/>
      </c>
      <c r="P601" s="11" t="str">
        <f aca="false">IF($B601="","",IF($E601="대체",0,1))</f>
        <v/>
      </c>
    </row>
    <row r="602" customFormat="false" ht="15" hidden="false" customHeight="false" outlineLevel="0" collapsed="false">
      <c r="A602" s="36" t="str">
        <f aca="false">IF($B602="","",COUNT($B$15:$B602))</f>
        <v/>
      </c>
      <c r="B602" s="37"/>
      <c r="C602" s="38"/>
      <c r="D602" s="39"/>
      <c r="E602" s="36" t="str">
        <f aca="false">IF($D602="","",IFERROR(INDEX('통합 ④ 설정'!$A$6:$A$40,MATCH($D602,'통합 ④ 설정'!$B$6:$B$40,0)),"※없는 과목"))</f>
        <v/>
      </c>
      <c r="F602" s="36" t="str">
        <f aca="false">IF($D602="","",IFERROR(INDEX('통합 ④ 설정'!$C$6:$C$40,MATCH($D602,'통합 ④ 설정'!$B$6:$B$40,0)),""))</f>
        <v/>
      </c>
      <c r="G602" s="39"/>
      <c r="H602" s="39"/>
      <c r="I602" s="40"/>
      <c r="J602" s="41"/>
      <c r="K602" s="38"/>
      <c r="L602" s="42" t="str">
        <f aca="false">IF($B602="","",IF(AND(N($I602)=0,N($J602)=0),"금액이 없습니다",IF(AND($I602&gt;0,$J602&gt;0),"수입·지출 둘 다 적혔습니다",IF($C602="","결제수단을 고르십시오",IF(ISNA(MATCH($C602,'통합 ③ 통장·카드'!$A$5:$A$11,0)),"③ 통장·카드에 없는 결제수단입니다",IF($D602="","계정과목을 고르십시오",IF($E602="※없는 과목","④ 설정에 없는 과목입니다",IF(AND($E602="수입",$J602&gt;0),"수입 과목인데 지출에 적혔습니다",IF(AND(LEFT($E602,2)&lt;&gt;"수입",$E602&lt;&gt;"대체",$I602&gt;0),"지출 과목인데 수입에 적혔습니다",IF($K602="","증빙을 고르십시오",IF(AND($C602="바우처통장",$J602&gt;0,IFERROR(INDEX('통합 ④ 설정'!$E$6:$E$40,MATCH($D602,'통합 ④ 설정'!$B$6:$B$40,0)),"")&lt;&gt;"○"),"바우처통장 지출 — 목적 확인",IF($H602="","적요를 적으십시오",""))))))))))))</f>
        <v/>
      </c>
      <c r="M602" s="39"/>
      <c r="O602" s="11" t="str">
        <f aca="false">IF($B602="","",YEAR($B602)*100+MONTH($B602))</f>
        <v/>
      </c>
      <c r="P602" s="11" t="str">
        <f aca="false">IF($B602="","",IF($E602="대체",0,1))</f>
        <v/>
      </c>
    </row>
    <row r="603" customFormat="false" ht="15" hidden="false" customHeight="false" outlineLevel="0" collapsed="false">
      <c r="A603" s="36" t="str">
        <f aca="false">IF($B603="","",COUNT($B$15:$B603))</f>
        <v/>
      </c>
      <c r="B603" s="37"/>
      <c r="C603" s="38"/>
      <c r="D603" s="39"/>
      <c r="E603" s="36" t="str">
        <f aca="false">IF($D603="","",IFERROR(INDEX('통합 ④ 설정'!$A$6:$A$40,MATCH($D603,'통합 ④ 설정'!$B$6:$B$40,0)),"※없는 과목"))</f>
        <v/>
      </c>
      <c r="F603" s="36" t="str">
        <f aca="false">IF($D603="","",IFERROR(INDEX('통합 ④ 설정'!$C$6:$C$40,MATCH($D603,'통합 ④ 설정'!$B$6:$B$40,0)),""))</f>
        <v/>
      </c>
      <c r="G603" s="39"/>
      <c r="H603" s="39"/>
      <c r="I603" s="40"/>
      <c r="J603" s="41"/>
      <c r="K603" s="38"/>
      <c r="L603" s="42" t="str">
        <f aca="false">IF($B603="","",IF(AND(N($I603)=0,N($J603)=0),"금액이 없습니다",IF(AND($I603&gt;0,$J603&gt;0),"수입·지출 둘 다 적혔습니다",IF($C603="","결제수단을 고르십시오",IF(ISNA(MATCH($C603,'통합 ③ 통장·카드'!$A$5:$A$11,0)),"③ 통장·카드에 없는 결제수단입니다",IF($D603="","계정과목을 고르십시오",IF($E603="※없는 과목","④ 설정에 없는 과목입니다",IF(AND($E603="수입",$J603&gt;0),"수입 과목인데 지출에 적혔습니다",IF(AND(LEFT($E603,2)&lt;&gt;"수입",$E603&lt;&gt;"대체",$I603&gt;0),"지출 과목인데 수입에 적혔습니다",IF($K603="","증빙을 고르십시오",IF(AND($C603="바우처통장",$J603&gt;0,IFERROR(INDEX('통합 ④ 설정'!$E$6:$E$40,MATCH($D603,'통합 ④ 설정'!$B$6:$B$40,0)),"")&lt;&gt;"○"),"바우처통장 지출 — 목적 확인",IF($H603="","적요를 적으십시오",""))))))))))))</f>
        <v/>
      </c>
      <c r="M603" s="39"/>
      <c r="O603" s="11" t="str">
        <f aca="false">IF($B603="","",YEAR($B603)*100+MONTH($B603))</f>
        <v/>
      </c>
      <c r="P603" s="11" t="str">
        <f aca="false">IF($B603="","",IF($E603="대체",0,1))</f>
        <v/>
      </c>
    </row>
    <row r="604" customFormat="false" ht="15" hidden="false" customHeight="false" outlineLevel="0" collapsed="false">
      <c r="A604" s="36" t="str">
        <f aca="false">IF($B604="","",COUNT($B$15:$B604))</f>
        <v/>
      </c>
      <c r="B604" s="37"/>
      <c r="C604" s="38"/>
      <c r="D604" s="39"/>
      <c r="E604" s="36" t="str">
        <f aca="false">IF($D604="","",IFERROR(INDEX('통합 ④ 설정'!$A$6:$A$40,MATCH($D604,'통합 ④ 설정'!$B$6:$B$40,0)),"※없는 과목"))</f>
        <v/>
      </c>
      <c r="F604" s="36" t="str">
        <f aca="false">IF($D604="","",IFERROR(INDEX('통합 ④ 설정'!$C$6:$C$40,MATCH($D604,'통합 ④ 설정'!$B$6:$B$40,0)),""))</f>
        <v/>
      </c>
      <c r="G604" s="39"/>
      <c r="H604" s="39"/>
      <c r="I604" s="40"/>
      <c r="J604" s="41"/>
      <c r="K604" s="38"/>
      <c r="L604" s="42" t="str">
        <f aca="false">IF($B604="","",IF(AND(N($I604)=0,N($J604)=0),"금액이 없습니다",IF(AND($I604&gt;0,$J604&gt;0),"수입·지출 둘 다 적혔습니다",IF($C604="","결제수단을 고르십시오",IF(ISNA(MATCH($C604,'통합 ③ 통장·카드'!$A$5:$A$11,0)),"③ 통장·카드에 없는 결제수단입니다",IF($D604="","계정과목을 고르십시오",IF($E604="※없는 과목","④ 설정에 없는 과목입니다",IF(AND($E604="수입",$J604&gt;0),"수입 과목인데 지출에 적혔습니다",IF(AND(LEFT($E604,2)&lt;&gt;"수입",$E604&lt;&gt;"대체",$I604&gt;0),"지출 과목인데 수입에 적혔습니다",IF($K604="","증빙을 고르십시오",IF(AND($C604="바우처통장",$J604&gt;0,IFERROR(INDEX('통합 ④ 설정'!$E$6:$E$40,MATCH($D604,'통합 ④ 설정'!$B$6:$B$40,0)),"")&lt;&gt;"○"),"바우처통장 지출 — 목적 확인",IF($H604="","적요를 적으십시오",""))))))))))))</f>
        <v/>
      </c>
      <c r="M604" s="39"/>
      <c r="O604" s="11" t="str">
        <f aca="false">IF($B604="","",YEAR($B604)*100+MONTH($B604))</f>
        <v/>
      </c>
      <c r="P604" s="11" t="str">
        <f aca="false">IF($B604="","",IF($E604="대체",0,1))</f>
        <v/>
      </c>
    </row>
    <row r="605" customFormat="false" ht="15" hidden="false" customHeight="false" outlineLevel="0" collapsed="false">
      <c r="A605" s="36" t="str">
        <f aca="false">IF($B605="","",COUNT($B$15:$B605))</f>
        <v/>
      </c>
      <c r="B605" s="37"/>
      <c r="C605" s="38"/>
      <c r="D605" s="39"/>
      <c r="E605" s="36" t="str">
        <f aca="false">IF($D605="","",IFERROR(INDEX('통합 ④ 설정'!$A$6:$A$40,MATCH($D605,'통합 ④ 설정'!$B$6:$B$40,0)),"※없는 과목"))</f>
        <v/>
      </c>
      <c r="F605" s="36" t="str">
        <f aca="false">IF($D605="","",IFERROR(INDEX('통합 ④ 설정'!$C$6:$C$40,MATCH($D605,'통합 ④ 설정'!$B$6:$B$40,0)),""))</f>
        <v/>
      </c>
      <c r="G605" s="39"/>
      <c r="H605" s="39"/>
      <c r="I605" s="40"/>
      <c r="J605" s="41"/>
      <c r="K605" s="38"/>
      <c r="L605" s="42" t="str">
        <f aca="false">IF($B605="","",IF(AND(N($I605)=0,N($J605)=0),"금액이 없습니다",IF(AND($I605&gt;0,$J605&gt;0),"수입·지출 둘 다 적혔습니다",IF($C605="","결제수단을 고르십시오",IF(ISNA(MATCH($C605,'통합 ③ 통장·카드'!$A$5:$A$11,0)),"③ 통장·카드에 없는 결제수단입니다",IF($D605="","계정과목을 고르십시오",IF($E605="※없는 과목","④ 설정에 없는 과목입니다",IF(AND($E605="수입",$J605&gt;0),"수입 과목인데 지출에 적혔습니다",IF(AND(LEFT($E605,2)&lt;&gt;"수입",$E605&lt;&gt;"대체",$I605&gt;0),"지출 과목인데 수입에 적혔습니다",IF($K605="","증빙을 고르십시오",IF(AND($C605="바우처통장",$J605&gt;0,IFERROR(INDEX('통합 ④ 설정'!$E$6:$E$40,MATCH($D605,'통합 ④ 설정'!$B$6:$B$40,0)),"")&lt;&gt;"○"),"바우처통장 지출 — 목적 확인",IF($H605="","적요를 적으십시오",""))))))))))))</f>
        <v/>
      </c>
      <c r="M605" s="39"/>
      <c r="O605" s="11" t="str">
        <f aca="false">IF($B605="","",YEAR($B605)*100+MONTH($B605))</f>
        <v/>
      </c>
      <c r="P605" s="11" t="str">
        <f aca="false">IF($B605="","",IF($E605="대체",0,1))</f>
        <v/>
      </c>
    </row>
    <row r="606" customFormat="false" ht="15" hidden="false" customHeight="false" outlineLevel="0" collapsed="false">
      <c r="A606" s="36" t="str">
        <f aca="false">IF($B606="","",COUNT($B$15:$B606))</f>
        <v/>
      </c>
      <c r="B606" s="37"/>
      <c r="C606" s="38"/>
      <c r="D606" s="39"/>
      <c r="E606" s="36" t="str">
        <f aca="false">IF($D606="","",IFERROR(INDEX('통합 ④ 설정'!$A$6:$A$40,MATCH($D606,'통합 ④ 설정'!$B$6:$B$40,0)),"※없는 과목"))</f>
        <v/>
      </c>
      <c r="F606" s="36" t="str">
        <f aca="false">IF($D606="","",IFERROR(INDEX('통합 ④ 설정'!$C$6:$C$40,MATCH($D606,'통합 ④ 설정'!$B$6:$B$40,0)),""))</f>
        <v/>
      </c>
      <c r="G606" s="39"/>
      <c r="H606" s="39"/>
      <c r="I606" s="40"/>
      <c r="J606" s="41"/>
      <c r="K606" s="38"/>
      <c r="L606" s="42" t="str">
        <f aca="false">IF($B606="","",IF(AND(N($I606)=0,N($J606)=0),"금액이 없습니다",IF(AND($I606&gt;0,$J606&gt;0),"수입·지출 둘 다 적혔습니다",IF($C606="","결제수단을 고르십시오",IF(ISNA(MATCH($C606,'통합 ③ 통장·카드'!$A$5:$A$11,0)),"③ 통장·카드에 없는 결제수단입니다",IF($D606="","계정과목을 고르십시오",IF($E606="※없는 과목","④ 설정에 없는 과목입니다",IF(AND($E606="수입",$J606&gt;0),"수입 과목인데 지출에 적혔습니다",IF(AND(LEFT($E606,2)&lt;&gt;"수입",$E606&lt;&gt;"대체",$I606&gt;0),"지출 과목인데 수입에 적혔습니다",IF($K606="","증빙을 고르십시오",IF(AND($C606="바우처통장",$J606&gt;0,IFERROR(INDEX('통합 ④ 설정'!$E$6:$E$40,MATCH($D606,'통합 ④ 설정'!$B$6:$B$40,0)),"")&lt;&gt;"○"),"바우처통장 지출 — 목적 확인",IF($H606="","적요를 적으십시오",""))))))))))))</f>
        <v/>
      </c>
      <c r="M606" s="39"/>
      <c r="O606" s="11" t="str">
        <f aca="false">IF($B606="","",YEAR($B606)*100+MONTH($B606))</f>
        <v/>
      </c>
      <c r="P606" s="11" t="str">
        <f aca="false">IF($B606="","",IF($E606="대체",0,1))</f>
        <v/>
      </c>
    </row>
    <row r="607" customFormat="false" ht="15" hidden="false" customHeight="false" outlineLevel="0" collapsed="false">
      <c r="A607" s="36" t="str">
        <f aca="false">IF($B607="","",COUNT($B$15:$B607))</f>
        <v/>
      </c>
      <c r="B607" s="37"/>
      <c r="C607" s="38"/>
      <c r="D607" s="39"/>
      <c r="E607" s="36" t="str">
        <f aca="false">IF($D607="","",IFERROR(INDEX('통합 ④ 설정'!$A$6:$A$40,MATCH($D607,'통합 ④ 설정'!$B$6:$B$40,0)),"※없는 과목"))</f>
        <v/>
      </c>
      <c r="F607" s="36" t="str">
        <f aca="false">IF($D607="","",IFERROR(INDEX('통합 ④ 설정'!$C$6:$C$40,MATCH($D607,'통합 ④ 설정'!$B$6:$B$40,0)),""))</f>
        <v/>
      </c>
      <c r="G607" s="39"/>
      <c r="H607" s="39"/>
      <c r="I607" s="40"/>
      <c r="J607" s="41"/>
      <c r="K607" s="38"/>
      <c r="L607" s="42" t="str">
        <f aca="false">IF($B607="","",IF(AND(N($I607)=0,N($J607)=0),"금액이 없습니다",IF(AND($I607&gt;0,$J607&gt;0),"수입·지출 둘 다 적혔습니다",IF($C607="","결제수단을 고르십시오",IF(ISNA(MATCH($C607,'통합 ③ 통장·카드'!$A$5:$A$11,0)),"③ 통장·카드에 없는 결제수단입니다",IF($D607="","계정과목을 고르십시오",IF($E607="※없는 과목","④ 설정에 없는 과목입니다",IF(AND($E607="수입",$J607&gt;0),"수입 과목인데 지출에 적혔습니다",IF(AND(LEFT($E607,2)&lt;&gt;"수입",$E607&lt;&gt;"대체",$I607&gt;0),"지출 과목인데 수입에 적혔습니다",IF($K607="","증빙을 고르십시오",IF(AND($C607="바우처통장",$J607&gt;0,IFERROR(INDEX('통합 ④ 설정'!$E$6:$E$40,MATCH($D607,'통합 ④ 설정'!$B$6:$B$40,0)),"")&lt;&gt;"○"),"바우처통장 지출 — 목적 확인",IF($H607="","적요를 적으십시오",""))))))))))))</f>
        <v/>
      </c>
      <c r="M607" s="39"/>
      <c r="O607" s="11" t="str">
        <f aca="false">IF($B607="","",YEAR($B607)*100+MONTH($B607))</f>
        <v/>
      </c>
      <c r="P607" s="11" t="str">
        <f aca="false">IF($B607="","",IF($E607="대체",0,1))</f>
        <v/>
      </c>
    </row>
    <row r="608" customFormat="false" ht="15" hidden="false" customHeight="false" outlineLevel="0" collapsed="false">
      <c r="A608" s="36" t="str">
        <f aca="false">IF($B608="","",COUNT($B$15:$B608))</f>
        <v/>
      </c>
      <c r="B608" s="37"/>
      <c r="C608" s="38"/>
      <c r="D608" s="39"/>
      <c r="E608" s="36" t="str">
        <f aca="false">IF($D608="","",IFERROR(INDEX('통합 ④ 설정'!$A$6:$A$40,MATCH($D608,'통합 ④ 설정'!$B$6:$B$40,0)),"※없는 과목"))</f>
        <v/>
      </c>
      <c r="F608" s="36" t="str">
        <f aca="false">IF($D608="","",IFERROR(INDEX('통합 ④ 설정'!$C$6:$C$40,MATCH($D608,'통합 ④ 설정'!$B$6:$B$40,0)),""))</f>
        <v/>
      </c>
      <c r="G608" s="39"/>
      <c r="H608" s="39"/>
      <c r="I608" s="40"/>
      <c r="J608" s="41"/>
      <c r="K608" s="38"/>
      <c r="L608" s="42" t="str">
        <f aca="false">IF($B608="","",IF(AND(N($I608)=0,N($J608)=0),"금액이 없습니다",IF(AND($I608&gt;0,$J608&gt;0),"수입·지출 둘 다 적혔습니다",IF($C608="","결제수단을 고르십시오",IF(ISNA(MATCH($C608,'통합 ③ 통장·카드'!$A$5:$A$11,0)),"③ 통장·카드에 없는 결제수단입니다",IF($D608="","계정과목을 고르십시오",IF($E608="※없는 과목","④ 설정에 없는 과목입니다",IF(AND($E608="수입",$J608&gt;0),"수입 과목인데 지출에 적혔습니다",IF(AND(LEFT($E608,2)&lt;&gt;"수입",$E608&lt;&gt;"대체",$I608&gt;0),"지출 과목인데 수입에 적혔습니다",IF($K608="","증빙을 고르십시오",IF(AND($C608="바우처통장",$J608&gt;0,IFERROR(INDEX('통합 ④ 설정'!$E$6:$E$40,MATCH($D608,'통합 ④ 설정'!$B$6:$B$40,0)),"")&lt;&gt;"○"),"바우처통장 지출 — 목적 확인",IF($H608="","적요를 적으십시오",""))))))))))))</f>
        <v/>
      </c>
      <c r="M608" s="39"/>
      <c r="O608" s="11" t="str">
        <f aca="false">IF($B608="","",YEAR($B608)*100+MONTH($B608))</f>
        <v/>
      </c>
      <c r="P608" s="11" t="str">
        <f aca="false">IF($B608="","",IF($E608="대체",0,1))</f>
        <v/>
      </c>
    </row>
    <row r="609" customFormat="false" ht="15" hidden="false" customHeight="false" outlineLevel="0" collapsed="false">
      <c r="A609" s="36" t="str">
        <f aca="false">IF($B609="","",COUNT($B$15:$B609))</f>
        <v/>
      </c>
      <c r="B609" s="37"/>
      <c r="C609" s="38"/>
      <c r="D609" s="39"/>
      <c r="E609" s="36" t="str">
        <f aca="false">IF($D609="","",IFERROR(INDEX('통합 ④ 설정'!$A$6:$A$40,MATCH($D609,'통합 ④ 설정'!$B$6:$B$40,0)),"※없는 과목"))</f>
        <v/>
      </c>
      <c r="F609" s="36" t="str">
        <f aca="false">IF($D609="","",IFERROR(INDEX('통합 ④ 설정'!$C$6:$C$40,MATCH($D609,'통합 ④ 설정'!$B$6:$B$40,0)),""))</f>
        <v/>
      </c>
      <c r="G609" s="39"/>
      <c r="H609" s="39"/>
      <c r="I609" s="40"/>
      <c r="J609" s="41"/>
      <c r="K609" s="38"/>
      <c r="L609" s="42" t="str">
        <f aca="false">IF($B609="","",IF(AND(N($I609)=0,N($J609)=0),"금액이 없습니다",IF(AND($I609&gt;0,$J609&gt;0),"수입·지출 둘 다 적혔습니다",IF($C609="","결제수단을 고르십시오",IF(ISNA(MATCH($C609,'통합 ③ 통장·카드'!$A$5:$A$11,0)),"③ 통장·카드에 없는 결제수단입니다",IF($D609="","계정과목을 고르십시오",IF($E609="※없는 과목","④ 설정에 없는 과목입니다",IF(AND($E609="수입",$J609&gt;0),"수입 과목인데 지출에 적혔습니다",IF(AND(LEFT($E609,2)&lt;&gt;"수입",$E609&lt;&gt;"대체",$I609&gt;0),"지출 과목인데 수입에 적혔습니다",IF($K609="","증빙을 고르십시오",IF(AND($C609="바우처통장",$J609&gt;0,IFERROR(INDEX('통합 ④ 설정'!$E$6:$E$40,MATCH($D609,'통합 ④ 설정'!$B$6:$B$40,0)),"")&lt;&gt;"○"),"바우처통장 지출 — 목적 확인",IF($H609="","적요를 적으십시오",""))))))))))))</f>
        <v/>
      </c>
      <c r="M609" s="39"/>
      <c r="O609" s="11" t="str">
        <f aca="false">IF($B609="","",YEAR($B609)*100+MONTH($B609))</f>
        <v/>
      </c>
      <c r="P609" s="11" t="str">
        <f aca="false">IF($B609="","",IF($E609="대체",0,1))</f>
        <v/>
      </c>
    </row>
    <row r="610" customFormat="false" ht="15" hidden="false" customHeight="false" outlineLevel="0" collapsed="false">
      <c r="A610" s="36" t="str">
        <f aca="false">IF($B610="","",COUNT($B$15:$B610))</f>
        <v/>
      </c>
      <c r="B610" s="37"/>
      <c r="C610" s="38"/>
      <c r="D610" s="39"/>
      <c r="E610" s="36" t="str">
        <f aca="false">IF($D610="","",IFERROR(INDEX('통합 ④ 설정'!$A$6:$A$40,MATCH($D610,'통합 ④ 설정'!$B$6:$B$40,0)),"※없는 과목"))</f>
        <v/>
      </c>
      <c r="F610" s="36" t="str">
        <f aca="false">IF($D610="","",IFERROR(INDEX('통합 ④ 설정'!$C$6:$C$40,MATCH($D610,'통합 ④ 설정'!$B$6:$B$40,0)),""))</f>
        <v/>
      </c>
      <c r="G610" s="39"/>
      <c r="H610" s="39"/>
      <c r="I610" s="40"/>
      <c r="J610" s="41"/>
      <c r="K610" s="38"/>
      <c r="L610" s="42" t="str">
        <f aca="false">IF($B610="","",IF(AND(N($I610)=0,N($J610)=0),"금액이 없습니다",IF(AND($I610&gt;0,$J610&gt;0),"수입·지출 둘 다 적혔습니다",IF($C610="","결제수단을 고르십시오",IF(ISNA(MATCH($C610,'통합 ③ 통장·카드'!$A$5:$A$11,0)),"③ 통장·카드에 없는 결제수단입니다",IF($D610="","계정과목을 고르십시오",IF($E610="※없는 과목","④ 설정에 없는 과목입니다",IF(AND($E610="수입",$J610&gt;0),"수입 과목인데 지출에 적혔습니다",IF(AND(LEFT($E610,2)&lt;&gt;"수입",$E610&lt;&gt;"대체",$I610&gt;0),"지출 과목인데 수입에 적혔습니다",IF($K610="","증빙을 고르십시오",IF(AND($C610="바우처통장",$J610&gt;0,IFERROR(INDEX('통합 ④ 설정'!$E$6:$E$40,MATCH($D610,'통합 ④ 설정'!$B$6:$B$40,0)),"")&lt;&gt;"○"),"바우처통장 지출 — 목적 확인",IF($H610="","적요를 적으십시오",""))))))))))))</f>
        <v/>
      </c>
      <c r="M610" s="39"/>
      <c r="O610" s="11" t="str">
        <f aca="false">IF($B610="","",YEAR($B610)*100+MONTH($B610))</f>
        <v/>
      </c>
      <c r="P610" s="11" t="str">
        <f aca="false">IF($B610="","",IF($E610="대체",0,1))</f>
        <v/>
      </c>
    </row>
    <row r="611" customFormat="false" ht="15" hidden="false" customHeight="false" outlineLevel="0" collapsed="false">
      <c r="A611" s="36" t="str">
        <f aca="false">IF($B611="","",COUNT($B$15:$B611))</f>
        <v/>
      </c>
      <c r="B611" s="37"/>
      <c r="C611" s="38"/>
      <c r="D611" s="39"/>
      <c r="E611" s="36" t="str">
        <f aca="false">IF($D611="","",IFERROR(INDEX('통합 ④ 설정'!$A$6:$A$40,MATCH($D611,'통합 ④ 설정'!$B$6:$B$40,0)),"※없는 과목"))</f>
        <v/>
      </c>
      <c r="F611" s="36" t="str">
        <f aca="false">IF($D611="","",IFERROR(INDEX('통합 ④ 설정'!$C$6:$C$40,MATCH($D611,'통합 ④ 설정'!$B$6:$B$40,0)),""))</f>
        <v/>
      </c>
      <c r="G611" s="39"/>
      <c r="H611" s="39"/>
      <c r="I611" s="40"/>
      <c r="J611" s="41"/>
      <c r="K611" s="38"/>
      <c r="L611" s="42" t="str">
        <f aca="false">IF($B611="","",IF(AND(N($I611)=0,N($J611)=0),"금액이 없습니다",IF(AND($I611&gt;0,$J611&gt;0),"수입·지출 둘 다 적혔습니다",IF($C611="","결제수단을 고르십시오",IF(ISNA(MATCH($C611,'통합 ③ 통장·카드'!$A$5:$A$11,0)),"③ 통장·카드에 없는 결제수단입니다",IF($D611="","계정과목을 고르십시오",IF($E611="※없는 과목","④ 설정에 없는 과목입니다",IF(AND($E611="수입",$J611&gt;0),"수입 과목인데 지출에 적혔습니다",IF(AND(LEFT($E611,2)&lt;&gt;"수입",$E611&lt;&gt;"대체",$I611&gt;0),"지출 과목인데 수입에 적혔습니다",IF($K611="","증빙을 고르십시오",IF(AND($C611="바우처통장",$J611&gt;0,IFERROR(INDEX('통합 ④ 설정'!$E$6:$E$40,MATCH($D611,'통합 ④ 설정'!$B$6:$B$40,0)),"")&lt;&gt;"○"),"바우처통장 지출 — 목적 확인",IF($H611="","적요를 적으십시오",""))))))))))))</f>
        <v/>
      </c>
      <c r="M611" s="39"/>
      <c r="O611" s="11" t="str">
        <f aca="false">IF($B611="","",YEAR($B611)*100+MONTH($B611))</f>
        <v/>
      </c>
      <c r="P611" s="11" t="str">
        <f aca="false">IF($B611="","",IF($E611="대체",0,1))</f>
        <v/>
      </c>
    </row>
    <row r="612" customFormat="false" ht="15" hidden="false" customHeight="false" outlineLevel="0" collapsed="false">
      <c r="A612" s="36" t="str">
        <f aca="false">IF($B612="","",COUNT($B$15:$B612))</f>
        <v/>
      </c>
      <c r="B612" s="37"/>
      <c r="C612" s="38"/>
      <c r="D612" s="39"/>
      <c r="E612" s="36" t="str">
        <f aca="false">IF($D612="","",IFERROR(INDEX('통합 ④ 설정'!$A$6:$A$40,MATCH($D612,'통합 ④ 설정'!$B$6:$B$40,0)),"※없는 과목"))</f>
        <v/>
      </c>
      <c r="F612" s="36" t="str">
        <f aca="false">IF($D612="","",IFERROR(INDEX('통합 ④ 설정'!$C$6:$C$40,MATCH($D612,'통합 ④ 설정'!$B$6:$B$40,0)),""))</f>
        <v/>
      </c>
      <c r="G612" s="39"/>
      <c r="H612" s="39"/>
      <c r="I612" s="40"/>
      <c r="J612" s="41"/>
      <c r="K612" s="38"/>
      <c r="L612" s="42" t="str">
        <f aca="false">IF($B612="","",IF(AND(N($I612)=0,N($J612)=0),"금액이 없습니다",IF(AND($I612&gt;0,$J612&gt;0),"수입·지출 둘 다 적혔습니다",IF($C612="","결제수단을 고르십시오",IF(ISNA(MATCH($C612,'통합 ③ 통장·카드'!$A$5:$A$11,0)),"③ 통장·카드에 없는 결제수단입니다",IF($D612="","계정과목을 고르십시오",IF($E612="※없는 과목","④ 설정에 없는 과목입니다",IF(AND($E612="수입",$J612&gt;0),"수입 과목인데 지출에 적혔습니다",IF(AND(LEFT($E612,2)&lt;&gt;"수입",$E612&lt;&gt;"대체",$I612&gt;0),"지출 과목인데 수입에 적혔습니다",IF($K612="","증빙을 고르십시오",IF(AND($C612="바우처통장",$J612&gt;0,IFERROR(INDEX('통합 ④ 설정'!$E$6:$E$40,MATCH($D612,'통합 ④ 설정'!$B$6:$B$40,0)),"")&lt;&gt;"○"),"바우처통장 지출 — 목적 확인",IF($H612="","적요를 적으십시오",""))))))))))))</f>
        <v/>
      </c>
      <c r="M612" s="39"/>
      <c r="O612" s="11" t="str">
        <f aca="false">IF($B612="","",YEAR($B612)*100+MONTH($B612))</f>
        <v/>
      </c>
      <c r="P612" s="11" t="str">
        <f aca="false">IF($B612="","",IF($E612="대체",0,1))</f>
        <v/>
      </c>
    </row>
    <row r="613" customFormat="false" ht="15" hidden="false" customHeight="false" outlineLevel="0" collapsed="false">
      <c r="A613" s="36" t="str">
        <f aca="false">IF($B613="","",COUNT($B$15:$B613))</f>
        <v/>
      </c>
      <c r="B613" s="37"/>
      <c r="C613" s="38"/>
      <c r="D613" s="39"/>
      <c r="E613" s="36" t="str">
        <f aca="false">IF($D613="","",IFERROR(INDEX('통합 ④ 설정'!$A$6:$A$40,MATCH($D613,'통합 ④ 설정'!$B$6:$B$40,0)),"※없는 과목"))</f>
        <v/>
      </c>
      <c r="F613" s="36" t="str">
        <f aca="false">IF($D613="","",IFERROR(INDEX('통합 ④ 설정'!$C$6:$C$40,MATCH($D613,'통합 ④ 설정'!$B$6:$B$40,0)),""))</f>
        <v/>
      </c>
      <c r="G613" s="39"/>
      <c r="H613" s="39"/>
      <c r="I613" s="40"/>
      <c r="J613" s="41"/>
      <c r="K613" s="38"/>
      <c r="L613" s="42" t="str">
        <f aca="false">IF($B613="","",IF(AND(N($I613)=0,N($J613)=0),"금액이 없습니다",IF(AND($I613&gt;0,$J613&gt;0),"수입·지출 둘 다 적혔습니다",IF($C613="","결제수단을 고르십시오",IF(ISNA(MATCH($C613,'통합 ③ 통장·카드'!$A$5:$A$11,0)),"③ 통장·카드에 없는 결제수단입니다",IF($D613="","계정과목을 고르십시오",IF($E613="※없는 과목","④ 설정에 없는 과목입니다",IF(AND($E613="수입",$J613&gt;0),"수입 과목인데 지출에 적혔습니다",IF(AND(LEFT($E613,2)&lt;&gt;"수입",$E613&lt;&gt;"대체",$I613&gt;0),"지출 과목인데 수입에 적혔습니다",IF($K613="","증빙을 고르십시오",IF(AND($C613="바우처통장",$J613&gt;0,IFERROR(INDEX('통합 ④ 설정'!$E$6:$E$40,MATCH($D613,'통합 ④ 설정'!$B$6:$B$40,0)),"")&lt;&gt;"○"),"바우처통장 지출 — 목적 확인",IF($H613="","적요를 적으십시오",""))))))))))))</f>
        <v/>
      </c>
      <c r="M613" s="39"/>
      <c r="O613" s="11" t="str">
        <f aca="false">IF($B613="","",YEAR($B613)*100+MONTH($B613))</f>
        <v/>
      </c>
      <c r="P613" s="11" t="str">
        <f aca="false">IF($B613="","",IF($E613="대체",0,1))</f>
        <v/>
      </c>
    </row>
    <row r="614" customFormat="false" ht="15" hidden="false" customHeight="false" outlineLevel="0" collapsed="false">
      <c r="A614" s="36" t="str">
        <f aca="false">IF($B614="","",COUNT($B$15:$B614))</f>
        <v/>
      </c>
      <c r="B614" s="37"/>
      <c r="C614" s="38"/>
      <c r="D614" s="39"/>
      <c r="E614" s="36" t="str">
        <f aca="false">IF($D614="","",IFERROR(INDEX('통합 ④ 설정'!$A$6:$A$40,MATCH($D614,'통합 ④ 설정'!$B$6:$B$40,0)),"※없는 과목"))</f>
        <v/>
      </c>
      <c r="F614" s="36" t="str">
        <f aca="false">IF($D614="","",IFERROR(INDEX('통합 ④ 설정'!$C$6:$C$40,MATCH($D614,'통합 ④ 설정'!$B$6:$B$40,0)),""))</f>
        <v/>
      </c>
      <c r="G614" s="39"/>
      <c r="H614" s="39"/>
      <c r="I614" s="40"/>
      <c r="J614" s="41"/>
      <c r="K614" s="38"/>
      <c r="L614" s="42" t="str">
        <f aca="false">IF($B614="","",IF(AND(N($I614)=0,N($J614)=0),"금액이 없습니다",IF(AND($I614&gt;0,$J614&gt;0),"수입·지출 둘 다 적혔습니다",IF($C614="","결제수단을 고르십시오",IF(ISNA(MATCH($C614,'통합 ③ 통장·카드'!$A$5:$A$11,0)),"③ 통장·카드에 없는 결제수단입니다",IF($D614="","계정과목을 고르십시오",IF($E614="※없는 과목","④ 설정에 없는 과목입니다",IF(AND($E614="수입",$J614&gt;0),"수입 과목인데 지출에 적혔습니다",IF(AND(LEFT($E614,2)&lt;&gt;"수입",$E614&lt;&gt;"대체",$I614&gt;0),"지출 과목인데 수입에 적혔습니다",IF($K614="","증빙을 고르십시오",IF(AND($C614="바우처통장",$J614&gt;0,IFERROR(INDEX('통합 ④ 설정'!$E$6:$E$40,MATCH($D614,'통합 ④ 설정'!$B$6:$B$40,0)),"")&lt;&gt;"○"),"바우처통장 지출 — 목적 확인",IF($H614="","적요를 적으십시오",""))))))))))))</f>
        <v/>
      </c>
      <c r="M614" s="39"/>
      <c r="O614" s="11" t="str">
        <f aca="false">IF($B614="","",YEAR($B614)*100+MONTH($B614))</f>
        <v/>
      </c>
      <c r="P614" s="11" t="str">
        <f aca="false">IF($B614="","",IF($E614="대체",0,1))</f>
        <v/>
      </c>
    </row>
    <row r="615" customFormat="false" ht="15" hidden="false" customHeight="false" outlineLevel="0" collapsed="false">
      <c r="A615" s="36" t="str">
        <f aca="false">IF($B615="","",COUNT($B$15:$B615))</f>
        <v/>
      </c>
      <c r="B615" s="37"/>
      <c r="C615" s="38"/>
      <c r="D615" s="39"/>
      <c r="E615" s="36" t="str">
        <f aca="false">IF($D615="","",IFERROR(INDEX('통합 ④ 설정'!$A$6:$A$40,MATCH($D615,'통합 ④ 설정'!$B$6:$B$40,0)),"※없는 과목"))</f>
        <v/>
      </c>
      <c r="F615" s="36" t="str">
        <f aca="false">IF($D615="","",IFERROR(INDEX('통합 ④ 설정'!$C$6:$C$40,MATCH($D615,'통합 ④ 설정'!$B$6:$B$40,0)),""))</f>
        <v/>
      </c>
      <c r="G615" s="39"/>
      <c r="H615" s="39"/>
      <c r="I615" s="40"/>
      <c r="J615" s="41"/>
      <c r="K615" s="38"/>
      <c r="L615" s="42" t="str">
        <f aca="false">IF($B615="","",IF(AND(N($I615)=0,N($J615)=0),"금액이 없습니다",IF(AND($I615&gt;0,$J615&gt;0),"수입·지출 둘 다 적혔습니다",IF($C615="","결제수단을 고르십시오",IF(ISNA(MATCH($C615,'통합 ③ 통장·카드'!$A$5:$A$11,0)),"③ 통장·카드에 없는 결제수단입니다",IF($D615="","계정과목을 고르십시오",IF($E615="※없는 과목","④ 설정에 없는 과목입니다",IF(AND($E615="수입",$J615&gt;0),"수입 과목인데 지출에 적혔습니다",IF(AND(LEFT($E615,2)&lt;&gt;"수입",$E615&lt;&gt;"대체",$I615&gt;0),"지출 과목인데 수입에 적혔습니다",IF($K615="","증빙을 고르십시오",IF(AND($C615="바우처통장",$J615&gt;0,IFERROR(INDEX('통합 ④ 설정'!$E$6:$E$40,MATCH($D615,'통합 ④ 설정'!$B$6:$B$40,0)),"")&lt;&gt;"○"),"바우처통장 지출 — 목적 확인",IF($H615="","적요를 적으십시오",""))))))))))))</f>
        <v/>
      </c>
      <c r="M615" s="39"/>
      <c r="O615" s="11" t="str">
        <f aca="false">IF($B615="","",YEAR($B615)*100+MONTH($B615))</f>
        <v/>
      </c>
      <c r="P615" s="11" t="str">
        <f aca="false">IF($B615="","",IF($E615="대체",0,1))</f>
        <v/>
      </c>
    </row>
    <row r="616" customFormat="false" ht="15" hidden="false" customHeight="false" outlineLevel="0" collapsed="false">
      <c r="A616" s="36" t="str">
        <f aca="false">IF($B616="","",COUNT($B$15:$B616))</f>
        <v/>
      </c>
      <c r="B616" s="37"/>
      <c r="C616" s="38"/>
      <c r="D616" s="39"/>
      <c r="E616" s="36" t="str">
        <f aca="false">IF($D616="","",IFERROR(INDEX('통합 ④ 설정'!$A$6:$A$40,MATCH($D616,'통합 ④ 설정'!$B$6:$B$40,0)),"※없는 과목"))</f>
        <v/>
      </c>
      <c r="F616" s="36" t="str">
        <f aca="false">IF($D616="","",IFERROR(INDEX('통합 ④ 설정'!$C$6:$C$40,MATCH($D616,'통합 ④ 설정'!$B$6:$B$40,0)),""))</f>
        <v/>
      </c>
      <c r="G616" s="39"/>
      <c r="H616" s="39"/>
      <c r="I616" s="40"/>
      <c r="J616" s="41"/>
      <c r="K616" s="38"/>
      <c r="L616" s="42" t="str">
        <f aca="false">IF($B616="","",IF(AND(N($I616)=0,N($J616)=0),"금액이 없습니다",IF(AND($I616&gt;0,$J616&gt;0),"수입·지출 둘 다 적혔습니다",IF($C616="","결제수단을 고르십시오",IF(ISNA(MATCH($C616,'통합 ③ 통장·카드'!$A$5:$A$11,0)),"③ 통장·카드에 없는 결제수단입니다",IF($D616="","계정과목을 고르십시오",IF($E616="※없는 과목","④ 설정에 없는 과목입니다",IF(AND($E616="수입",$J616&gt;0),"수입 과목인데 지출에 적혔습니다",IF(AND(LEFT($E616,2)&lt;&gt;"수입",$E616&lt;&gt;"대체",$I616&gt;0),"지출 과목인데 수입에 적혔습니다",IF($K616="","증빙을 고르십시오",IF(AND($C616="바우처통장",$J616&gt;0,IFERROR(INDEX('통합 ④ 설정'!$E$6:$E$40,MATCH($D616,'통합 ④ 설정'!$B$6:$B$40,0)),"")&lt;&gt;"○"),"바우처통장 지출 — 목적 확인",IF($H616="","적요를 적으십시오",""))))))))))))</f>
        <v/>
      </c>
      <c r="M616" s="39"/>
      <c r="O616" s="11" t="str">
        <f aca="false">IF($B616="","",YEAR($B616)*100+MONTH($B616))</f>
        <v/>
      </c>
      <c r="P616" s="11" t="str">
        <f aca="false">IF($B616="","",IF($E616="대체",0,1))</f>
        <v/>
      </c>
    </row>
    <row r="617" customFormat="false" ht="15" hidden="false" customHeight="false" outlineLevel="0" collapsed="false">
      <c r="A617" s="36" t="str">
        <f aca="false">IF($B617="","",COUNT($B$15:$B617))</f>
        <v/>
      </c>
      <c r="B617" s="37"/>
      <c r="C617" s="38"/>
      <c r="D617" s="39"/>
      <c r="E617" s="36" t="str">
        <f aca="false">IF($D617="","",IFERROR(INDEX('통합 ④ 설정'!$A$6:$A$40,MATCH($D617,'통합 ④ 설정'!$B$6:$B$40,0)),"※없는 과목"))</f>
        <v/>
      </c>
      <c r="F617" s="36" t="str">
        <f aca="false">IF($D617="","",IFERROR(INDEX('통합 ④ 설정'!$C$6:$C$40,MATCH($D617,'통합 ④ 설정'!$B$6:$B$40,0)),""))</f>
        <v/>
      </c>
      <c r="G617" s="39"/>
      <c r="H617" s="39"/>
      <c r="I617" s="40"/>
      <c r="J617" s="41"/>
      <c r="K617" s="38"/>
      <c r="L617" s="42" t="str">
        <f aca="false">IF($B617="","",IF(AND(N($I617)=0,N($J617)=0),"금액이 없습니다",IF(AND($I617&gt;0,$J617&gt;0),"수입·지출 둘 다 적혔습니다",IF($C617="","결제수단을 고르십시오",IF(ISNA(MATCH($C617,'통합 ③ 통장·카드'!$A$5:$A$11,0)),"③ 통장·카드에 없는 결제수단입니다",IF($D617="","계정과목을 고르십시오",IF($E617="※없는 과목","④ 설정에 없는 과목입니다",IF(AND($E617="수입",$J617&gt;0),"수입 과목인데 지출에 적혔습니다",IF(AND(LEFT($E617,2)&lt;&gt;"수입",$E617&lt;&gt;"대체",$I617&gt;0),"지출 과목인데 수입에 적혔습니다",IF($K617="","증빙을 고르십시오",IF(AND($C617="바우처통장",$J617&gt;0,IFERROR(INDEX('통합 ④ 설정'!$E$6:$E$40,MATCH($D617,'통합 ④ 설정'!$B$6:$B$40,0)),"")&lt;&gt;"○"),"바우처통장 지출 — 목적 확인",IF($H617="","적요를 적으십시오",""))))))))))))</f>
        <v/>
      </c>
      <c r="M617" s="39"/>
      <c r="O617" s="11" t="str">
        <f aca="false">IF($B617="","",YEAR($B617)*100+MONTH($B617))</f>
        <v/>
      </c>
      <c r="P617" s="11" t="str">
        <f aca="false">IF($B617="","",IF($E617="대체",0,1))</f>
        <v/>
      </c>
    </row>
    <row r="618" customFormat="false" ht="15" hidden="false" customHeight="false" outlineLevel="0" collapsed="false">
      <c r="A618" s="36" t="str">
        <f aca="false">IF($B618="","",COUNT($B$15:$B618))</f>
        <v/>
      </c>
      <c r="B618" s="37"/>
      <c r="C618" s="38"/>
      <c r="D618" s="39"/>
      <c r="E618" s="36" t="str">
        <f aca="false">IF($D618="","",IFERROR(INDEX('통합 ④ 설정'!$A$6:$A$40,MATCH($D618,'통합 ④ 설정'!$B$6:$B$40,0)),"※없는 과목"))</f>
        <v/>
      </c>
      <c r="F618" s="36" t="str">
        <f aca="false">IF($D618="","",IFERROR(INDEX('통합 ④ 설정'!$C$6:$C$40,MATCH($D618,'통합 ④ 설정'!$B$6:$B$40,0)),""))</f>
        <v/>
      </c>
      <c r="G618" s="39"/>
      <c r="H618" s="39"/>
      <c r="I618" s="40"/>
      <c r="J618" s="41"/>
      <c r="K618" s="38"/>
      <c r="L618" s="42" t="str">
        <f aca="false">IF($B618="","",IF(AND(N($I618)=0,N($J618)=0),"금액이 없습니다",IF(AND($I618&gt;0,$J618&gt;0),"수입·지출 둘 다 적혔습니다",IF($C618="","결제수단을 고르십시오",IF(ISNA(MATCH($C618,'통합 ③ 통장·카드'!$A$5:$A$11,0)),"③ 통장·카드에 없는 결제수단입니다",IF($D618="","계정과목을 고르십시오",IF($E618="※없는 과목","④ 설정에 없는 과목입니다",IF(AND($E618="수입",$J618&gt;0),"수입 과목인데 지출에 적혔습니다",IF(AND(LEFT($E618,2)&lt;&gt;"수입",$E618&lt;&gt;"대체",$I618&gt;0),"지출 과목인데 수입에 적혔습니다",IF($K618="","증빙을 고르십시오",IF(AND($C618="바우처통장",$J618&gt;0,IFERROR(INDEX('통합 ④ 설정'!$E$6:$E$40,MATCH($D618,'통합 ④ 설정'!$B$6:$B$40,0)),"")&lt;&gt;"○"),"바우처통장 지출 — 목적 확인",IF($H618="","적요를 적으십시오",""))))))))))))</f>
        <v/>
      </c>
      <c r="M618" s="39"/>
      <c r="O618" s="11" t="str">
        <f aca="false">IF($B618="","",YEAR($B618)*100+MONTH($B618))</f>
        <v/>
      </c>
      <c r="P618" s="11" t="str">
        <f aca="false">IF($B618="","",IF($E618="대체",0,1))</f>
        <v/>
      </c>
    </row>
    <row r="619" customFormat="false" ht="15" hidden="false" customHeight="false" outlineLevel="0" collapsed="false">
      <c r="A619" s="36" t="str">
        <f aca="false">IF($B619="","",COUNT($B$15:$B619))</f>
        <v/>
      </c>
      <c r="B619" s="37"/>
      <c r="C619" s="38"/>
      <c r="D619" s="39"/>
      <c r="E619" s="36" t="str">
        <f aca="false">IF($D619="","",IFERROR(INDEX('통합 ④ 설정'!$A$6:$A$40,MATCH($D619,'통합 ④ 설정'!$B$6:$B$40,0)),"※없는 과목"))</f>
        <v/>
      </c>
      <c r="F619" s="36" t="str">
        <f aca="false">IF($D619="","",IFERROR(INDEX('통합 ④ 설정'!$C$6:$C$40,MATCH($D619,'통합 ④ 설정'!$B$6:$B$40,0)),""))</f>
        <v/>
      </c>
      <c r="G619" s="39"/>
      <c r="H619" s="39"/>
      <c r="I619" s="40"/>
      <c r="J619" s="41"/>
      <c r="K619" s="38"/>
      <c r="L619" s="42" t="str">
        <f aca="false">IF($B619="","",IF(AND(N($I619)=0,N($J619)=0),"금액이 없습니다",IF(AND($I619&gt;0,$J619&gt;0),"수입·지출 둘 다 적혔습니다",IF($C619="","결제수단을 고르십시오",IF(ISNA(MATCH($C619,'통합 ③ 통장·카드'!$A$5:$A$11,0)),"③ 통장·카드에 없는 결제수단입니다",IF($D619="","계정과목을 고르십시오",IF($E619="※없는 과목","④ 설정에 없는 과목입니다",IF(AND($E619="수입",$J619&gt;0),"수입 과목인데 지출에 적혔습니다",IF(AND(LEFT($E619,2)&lt;&gt;"수입",$E619&lt;&gt;"대체",$I619&gt;0),"지출 과목인데 수입에 적혔습니다",IF($K619="","증빙을 고르십시오",IF(AND($C619="바우처통장",$J619&gt;0,IFERROR(INDEX('통합 ④ 설정'!$E$6:$E$40,MATCH($D619,'통합 ④ 설정'!$B$6:$B$40,0)),"")&lt;&gt;"○"),"바우처통장 지출 — 목적 확인",IF($H619="","적요를 적으십시오",""))))))))))))</f>
        <v/>
      </c>
      <c r="M619" s="39"/>
      <c r="O619" s="11" t="str">
        <f aca="false">IF($B619="","",YEAR($B619)*100+MONTH($B619))</f>
        <v/>
      </c>
      <c r="P619" s="11" t="str">
        <f aca="false">IF($B619="","",IF($E619="대체",0,1))</f>
        <v/>
      </c>
    </row>
    <row r="620" customFormat="false" ht="15" hidden="false" customHeight="false" outlineLevel="0" collapsed="false">
      <c r="A620" s="36" t="str">
        <f aca="false">IF($B620="","",COUNT($B$15:$B620))</f>
        <v/>
      </c>
      <c r="B620" s="37"/>
      <c r="C620" s="38"/>
      <c r="D620" s="39"/>
      <c r="E620" s="36" t="str">
        <f aca="false">IF($D620="","",IFERROR(INDEX('통합 ④ 설정'!$A$6:$A$40,MATCH($D620,'통합 ④ 설정'!$B$6:$B$40,0)),"※없는 과목"))</f>
        <v/>
      </c>
      <c r="F620" s="36" t="str">
        <f aca="false">IF($D620="","",IFERROR(INDEX('통합 ④ 설정'!$C$6:$C$40,MATCH($D620,'통합 ④ 설정'!$B$6:$B$40,0)),""))</f>
        <v/>
      </c>
      <c r="G620" s="39"/>
      <c r="H620" s="39"/>
      <c r="I620" s="40"/>
      <c r="J620" s="41"/>
      <c r="K620" s="38"/>
      <c r="L620" s="42" t="str">
        <f aca="false">IF($B620="","",IF(AND(N($I620)=0,N($J620)=0),"금액이 없습니다",IF(AND($I620&gt;0,$J620&gt;0),"수입·지출 둘 다 적혔습니다",IF($C620="","결제수단을 고르십시오",IF(ISNA(MATCH($C620,'통합 ③ 통장·카드'!$A$5:$A$11,0)),"③ 통장·카드에 없는 결제수단입니다",IF($D620="","계정과목을 고르십시오",IF($E620="※없는 과목","④ 설정에 없는 과목입니다",IF(AND($E620="수입",$J620&gt;0),"수입 과목인데 지출에 적혔습니다",IF(AND(LEFT($E620,2)&lt;&gt;"수입",$E620&lt;&gt;"대체",$I620&gt;0),"지출 과목인데 수입에 적혔습니다",IF($K620="","증빙을 고르십시오",IF(AND($C620="바우처통장",$J620&gt;0,IFERROR(INDEX('통합 ④ 설정'!$E$6:$E$40,MATCH($D620,'통합 ④ 설정'!$B$6:$B$40,0)),"")&lt;&gt;"○"),"바우처통장 지출 — 목적 확인",IF($H620="","적요를 적으십시오",""))))))))))))</f>
        <v/>
      </c>
      <c r="M620" s="39"/>
      <c r="O620" s="11" t="str">
        <f aca="false">IF($B620="","",YEAR($B620)*100+MONTH($B620))</f>
        <v/>
      </c>
      <c r="P620" s="11" t="str">
        <f aca="false">IF($B620="","",IF($E620="대체",0,1))</f>
        <v/>
      </c>
    </row>
    <row r="621" customFormat="false" ht="15" hidden="false" customHeight="false" outlineLevel="0" collapsed="false">
      <c r="A621" s="36" t="str">
        <f aca="false">IF($B621="","",COUNT($B$15:$B621))</f>
        <v/>
      </c>
      <c r="B621" s="37"/>
      <c r="C621" s="38"/>
      <c r="D621" s="39"/>
      <c r="E621" s="36" t="str">
        <f aca="false">IF($D621="","",IFERROR(INDEX('통합 ④ 설정'!$A$6:$A$40,MATCH($D621,'통합 ④ 설정'!$B$6:$B$40,0)),"※없는 과목"))</f>
        <v/>
      </c>
      <c r="F621" s="36" t="str">
        <f aca="false">IF($D621="","",IFERROR(INDEX('통합 ④ 설정'!$C$6:$C$40,MATCH($D621,'통합 ④ 설정'!$B$6:$B$40,0)),""))</f>
        <v/>
      </c>
      <c r="G621" s="39"/>
      <c r="H621" s="39"/>
      <c r="I621" s="40"/>
      <c r="J621" s="41"/>
      <c r="K621" s="38"/>
      <c r="L621" s="42" t="str">
        <f aca="false">IF($B621="","",IF(AND(N($I621)=0,N($J621)=0),"금액이 없습니다",IF(AND($I621&gt;0,$J621&gt;0),"수입·지출 둘 다 적혔습니다",IF($C621="","결제수단을 고르십시오",IF(ISNA(MATCH($C621,'통합 ③ 통장·카드'!$A$5:$A$11,0)),"③ 통장·카드에 없는 결제수단입니다",IF($D621="","계정과목을 고르십시오",IF($E621="※없는 과목","④ 설정에 없는 과목입니다",IF(AND($E621="수입",$J621&gt;0),"수입 과목인데 지출에 적혔습니다",IF(AND(LEFT($E621,2)&lt;&gt;"수입",$E621&lt;&gt;"대체",$I621&gt;0),"지출 과목인데 수입에 적혔습니다",IF($K621="","증빙을 고르십시오",IF(AND($C621="바우처통장",$J621&gt;0,IFERROR(INDEX('통합 ④ 설정'!$E$6:$E$40,MATCH($D621,'통합 ④ 설정'!$B$6:$B$40,0)),"")&lt;&gt;"○"),"바우처통장 지출 — 목적 확인",IF($H621="","적요를 적으십시오",""))))))))))))</f>
        <v/>
      </c>
      <c r="M621" s="39"/>
      <c r="O621" s="11" t="str">
        <f aca="false">IF($B621="","",YEAR($B621)*100+MONTH($B621))</f>
        <v/>
      </c>
      <c r="P621" s="11" t="str">
        <f aca="false">IF($B621="","",IF($E621="대체",0,1))</f>
        <v/>
      </c>
    </row>
    <row r="622" customFormat="false" ht="15" hidden="false" customHeight="false" outlineLevel="0" collapsed="false">
      <c r="A622" s="36" t="str">
        <f aca="false">IF($B622="","",COUNT($B$15:$B622))</f>
        <v/>
      </c>
      <c r="B622" s="37"/>
      <c r="C622" s="38"/>
      <c r="D622" s="39"/>
      <c r="E622" s="36" t="str">
        <f aca="false">IF($D622="","",IFERROR(INDEX('통합 ④ 설정'!$A$6:$A$40,MATCH($D622,'통합 ④ 설정'!$B$6:$B$40,0)),"※없는 과목"))</f>
        <v/>
      </c>
      <c r="F622" s="36" t="str">
        <f aca="false">IF($D622="","",IFERROR(INDEX('통합 ④ 설정'!$C$6:$C$40,MATCH($D622,'통합 ④ 설정'!$B$6:$B$40,0)),""))</f>
        <v/>
      </c>
      <c r="G622" s="39"/>
      <c r="H622" s="39"/>
      <c r="I622" s="40"/>
      <c r="J622" s="41"/>
      <c r="K622" s="38"/>
      <c r="L622" s="42" t="str">
        <f aca="false">IF($B622="","",IF(AND(N($I622)=0,N($J622)=0),"금액이 없습니다",IF(AND($I622&gt;0,$J622&gt;0),"수입·지출 둘 다 적혔습니다",IF($C622="","결제수단을 고르십시오",IF(ISNA(MATCH($C622,'통합 ③ 통장·카드'!$A$5:$A$11,0)),"③ 통장·카드에 없는 결제수단입니다",IF($D622="","계정과목을 고르십시오",IF($E622="※없는 과목","④ 설정에 없는 과목입니다",IF(AND($E622="수입",$J622&gt;0),"수입 과목인데 지출에 적혔습니다",IF(AND(LEFT($E622,2)&lt;&gt;"수입",$E622&lt;&gt;"대체",$I622&gt;0),"지출 과목인데 수입에 적혔습니다",IF($K622="","증빙을 고르십시오",IF(AND($C622="바우처통장",$J622&gt;0,IFERROR(INDEX('통합 ④ 설정'!$E$6:$E$40,MATCH($D622,'통합 ④ 설정'!$B$6:$B$40,0)),"")&lt;&gt;"○"),"바우처통장 지출 — 목적 확인",IF($H622="","적요를 적으십시오",""))))))))))))</f>
        <v/>
      </c>
      <c r="M622" s="39"/>
      <c r="O622" s="11" t="str">
        <f aca="false">IF($B622="","",YEAR($B622)*100+MONTH($B622))</f>
        <v/>
      </c>
      <c r="P622" s="11" t="str">
        <f aca="false">IF($B622="","",IF($E622="대체",0,1))</f>
        <v/>
      </c>
    </row>
    <row r="623" customFormat="false" ht="15" hidden="false" customHeight="false" outlineLevel="0" collapsed="false">
      <c r="A623" s="36" t="str">
        <f aca="false">IF($B623="","",COUNT($B$15:$B623))</f>
        <v/>
      </c>
      <c r="B623" s="37"/>
      <c r="C623" s="38"/>
      <c r="D623" s="39"/>
      <c r="E623" s="36" t="str">
        <f aca="false">IF($D623="","",IFERROR(INDEX('통합 ④ 설정'!$A$6:$A$40,MATCH($D623,'통합 ④ 설정'!$B$6:$B$40,0)),"※없는 과목"))</f>
        <v/>
      </c>
      <c r="F623" s="36" t="str">
        <f aca="false">IF($D623="","",IFERROR(INDEX('통합 ④ 설정'!$C$6:$C$40,MATCH($D623,'통합 ④ 설정'!$B$6:$B$40,0)),""))</f>
        <v/>
      </c>
      <c r="G623" s="39"/>
      <c r="H623" s="39"/>
      <c r="I623" s="40"/>
      <c r="J623" s="41"/>
      <c r="K623" s="38"/>
      <c r="L623" s="42" t="str">
        <f aca="false">IF($B623="","",IF(AND(N($I623)=0,N($J623)=0),"금액이 없습니다",IF(AND($I623&gt;0,$J623&gt;0),"수입·지출 둘 다 적혔습니다",IF($C623="","결제수단을 고르십시오",IF(ISNA(MATCH($C623,'통합 ③ 통장·카드'!$A$5:$A$11,0)),"③ 통장·카드에 없는 결제수단입니다",IF($D623="","계정과목을 고르십시오",IF($E623="※없는 과목","④ 설정에 없는 과목입니다",IF(AND($E623="수입",$J623&gt;0),"수입 과목인데 지출에 적혔습니다",IF(AND(LEFT($E623,2)&lt;&gt;"수입",$E623&lt;&gt;"대체",$I623&gt;0),"지출 과목인데 수입에 적혔습니다",IF($K623="","증빙을 고르십시오",IF(AND($C623="바우처통장",$J623&gt;0,IFERROR(INDEX('통합 ④ 설정'!$E$6:$E$40,MATCH($D623,'통합 ④ 설정'!$B$6:$B$40,0)),"")&lt;&gt;"○"),"바우처통장 지출 — 목적 확인",IF($H623="","적요를 적으십시오",""))))))))))))</f>
        <v/>
      </c>
      <c r="M623" s="39"/>
      <c r="O623" s="11" t="str">
        <f aca="false">IF($B623="","",YEAR($B623)*100+MONTH($B623))</f>
        <v/>
      </c>
      <c r="P623" s="11" t="str">
        <f aca="false">IF($B623="","",IF($E623="대체",0,1))</f>
        <v/>
      </c>
    </row>
    <row r="624" customFormat="false" ht="15" hidden="false" customHeight="false" outlineLevel="0" collapsed="false">
      <c r="A624" s="36" t="str">
        <f aca="false">IF($B624="","",COUNT($B$15:$B624))</f>
        <v/>
      </c>
      <c r="B624" s="37"/>
      <c r="C624" s="38"/>
      <c r="D624" s="39"/>
      <c r="E624" s="36" t="str">
        <f aca="false">IF($D624="","",IFERROR(INDEX('통합 ④ 설정'!$A$6:$A$40,MATCH($D624,'통합 ④ 설정'!$B$6:$B$40,0)),"※없는 과목"))</f>
        <v/>
      </c>
      <c r="F624" s="36" t="str">
        <f aca="false">IF($D624="","",IFERROR(INDEX('통합 ④ 설정'!$C$6:$C$40,MATCH($D624,'통합 ④ 설정'!$B$6:$B$40,0)),""))</f>
        <v/>
      </c>
      <c r="G624" s="39"/>
      <c r="H624" s="39"/>
      <c r="I624" s="40"/>
      <c r="J624" s="41"/>
      <c r="K624" s="38"/>
      <c r="L624" s="42" t="str">
        <f aca="false">IF($B624="","",IF(AND(N($I624)=0,N($J624)=0),"금액이 없습니다",IF(AND($I624&gt;0,$J624&gt;0),"수입·지출 둘 다 적혔습니다",IF($C624="","결제수단을 고르십시오",IF(ISNA(MATCH($C624,'통합 ③ 통장·카드'!$A$5:$A$11,0)),"③ 통장·카드에 없는 결제수단입니다",IF($D624="","계정과목을 고르십시오",IF($E624="※없는 과목","④ 설정에 없는 과목입니다",IF(AND($E624="수입",$J624&gt;0),"수입 과목인데 지출에 적혔습니다",IF(AND(LEFT($E624,2)&lt;&gt;"수입",$E624&lt;&gt;"대체",$I624&gt;0),"지출 과목인데 수입에 적혔습니다",IF($K624="","증빙을 고르십시오",IF(AND($C624="바우처통장",$J624&gt;0,IFERROR(INDEX('통합 ④ 설정'!$E$6:$E$40,MATCH($D624,'통합 ④ 설정'!$B$6:$B$40,0)),"")&lt;&gt;"○"),"바우처통장 지출 — 목적 확인",IF($H624="","적요를 적으십시오",""))))))))))))</f>
        <v/>
      </c>
      <c r="M624" s="39"/>
      <c r="O624" s="11" t="str">
        <f aca="false">IF($B624="","",YEAR($B624)*100+MONTH($B624))</f>
        <v/>
      </c>
      <c r="P624" s="11" t="str">
        <f aca="false">IF($B624="","",IF($E624="대체",0,1))</f>
        <v/>
      </c>
    </row>
    <row r="625" customFormat="false" ht="15" hidden="false" customHeight="false" outlineLevel="0" collapsed="false">
      <c r="A625" s="36" t="str">
        <f aca="false">IF($B625="","",COUNT($B$15:$B625))</f>
        <v/>
      </c>
      <c r="B625" s="37"/>
      <c r="C625" s="38"/>
      <c r="D625" s="39"/>
      <c r="E625" s="36" t="str">
        <f aca="false">IF($D625="","",IFERROR(INDEX('통합 ④ 설정'!$A$6:$A$40,MATCH($D625,'통합 ④ 설정'!$B$6:$B$40,0)),"※없는 과목"))</f>
        <v/>
      </c>
      <c r="F625" s="36" t="str">
        <f aca="false">IF($D625="","",IFERROR(INDEX('통합 ④ 설정'!$C$6:$C$40,MATCH($D625,'통합 ④ 설정'!$B$6:$B$40,0)),""))</f>
        <v/>
      </c>
      <c r="G625" s="39"/>
      <c r="H625" s="39"/>
      <c r="I625" s="40"/>
      <c r="J625" s="41"/>
      <c r="K625" s="38"/>
      <c r="L625" s="42" t="str">
        <f aca="false">IF($B625="","",IF(AND(N($I625)=0,N($J625)=0),"금액이 없습니다",IF(AND($I625&gt;0,$J625&gt;0),"수입·지출 둘 다 적혔습니다",IF($C625="","결제수단을 고르십시오",IF(ISNA(MATCH($C625,'통합 ③ 통장·카드'!$A$5:$A$11,0)),"③ 통장·카드에 없는 결제수단입니다",IF($D625="","계정과목을 고르십시오",IF($E625="※없는 과목","④ 설정에 없는 과목입니다",IF(AND($E625="수입",$J625&gt;0),"수입 과목인데 지출에 적혔습니다",IF(AND(LEFT($E625,2)&lt;&gt;"수입",$E625&lt;&gt;"대체",$I625&gt;0),"지출 과목인데 수입에 적혔습니다",IF($K625="","증빙을 고르십시오",IF(AND($C625="바우처통장",$J625&gt;0,IFERROR(INDEX('통합 ④ 설정'!$E$6:$E$40,MATCH($D625,'통합 ④ 설정'!$B$6:$B$40,0)),"")&lt;&gt;"○"),"바우처통장 지출 — 목적 확인",IF($H625="","적요를 적으십시오",""))))))))))))</f>
        <v/>
      </c>
      <c r="M625" s="39"/>
      <c r="O625" s="11" t="str">
        <f aca="false">IF($B625="","",YEAR($B625)*100+MONTH($B625))</f>
        <v/>
      </c>
      <c r="P625" s="11" t="str">
        <f aca="false">IF($B625="","",IF($E625="대체",0,1))</f>
        <v/>
      </c>
    </row>
    <row r="626" customFormat="false" ht="15" hidden="false" customHeight="false" outlineLevel="0" collapsed="false">
      <c r="A626" s="36" t="str">
        <f aca="false">IF($B626="","",COUNT($B$15:$B626))</f>
        <v/>
      </c>
      <c r="B626" s="37"/>
      <c r="C626" s="38"/>
      <c r="D626" s="39"/>
      <c r="E626" s="36" t="str">
        <f aca="false">IF($D626="","",IFERROR(INDEX('통합 ④ 설정'!$A$6:$A$40,MATCH($D626,'통합 ④ 설정'!$B$6:$B$40,0)),"※없는 과목"))</f>
        <v/>
      </c>
      <c r="F626" s="36" t="str">
        <f aca="false">IF($D626="","",IFERROR(INDEX('통합 ④ 설정'!$C$6:$C$40,MATCH($D626,'통합 ④ 설정'!$B$6:$B$40,0)),""))</f>
        <v/>
      </c>
      <c r="G626" s="39"/>
      <c r="H626" s="39"/>
      <c r="I626" s="40"/>
      <c r="J626" s="41"/>
      <c r="K626" s="38"/>
      <c r="L626" s="42" t="str">
        <f aca="false">IF($B626="","",IF(AND(N($I626)=0,N($J626)=0),"금액이 없습니다",IF(AND($I626&gt;0,$J626&gt;0),"수입·지출 둘 다 적혔습니다",IF($C626="","결제수단을 고르십시오",IF(ISNA(MATCH($C626,'통합 ③ 통장·카드'!$A$5:$A$11,0)),"③ 통장·카드에 없는 결제수단입니다",IF($D626="","계정과목을 고르십시오",IF($E626="※없는 과목","④ 설정에 없는 과목입니다",IF(AND($E626="수입",$J626&gt;0),"수입 과목인데 지출에 적혔습니다",IF(AND(LEFT($E626,2)&lt;&gt;"수입",$E626&lt;&gt;"대체",$I626&gt;0),"지출 과목인데 수입에 적혔습니다",IF($K626="","증빙을 고르십시오",IF(AND($C626="바우처통장",$J626&gt;0,IFERROR(INDEX('통합 ④ 설정'!$E$6:$E$40,MATCH($D626,'통합 ④ 설정'!$B$6:$B$40,0)),"")&lt;&gt;"○"),"바우처통장 지출 — 목적 확인",IF($H626="","적요를 적으십시오",""))))))))))))</f>
        <v/>
      </c>
      <c r="M626" s="39"/>
      <c r="O626" s="11" t="str">
        <f aca="false">IF($B626="","",YEAR($B626)*100+MONTH($B626))</f>
        <v/>
      </c>
      <c r="P626" s="11" t="str">
        <f aca="false">IF($B626="","",IF($E626="대체",0,1))</f>
        <v/>
      </c>
    </row>
    <row r="627" customFormat="false" ht="15" hidden="false" customHeight="false" outlineLevel="0" collapsed="false">
      <c r="A627" s="36" t="str">
        <f aca="false">IF($B627="","",COUNT($B$15:$B627))</f>
        <v/>
      </c>
      <c r="B627" s="37"/>
      <c r="C627" s="38"/>
      <c r="D627" s="39"/>
      <c r="E627" s="36" t="str">
        <f aca="false">IF($D627="","",IFERROR(INDEX('통합 ④ 설정'!$A$6:$A$40,MATCH($D627,'통합 ④ 설정'!$B$6:$B$40,0)),"※없는 과목"))</f>
        <v/>
      </c>
      <c r="F627" s="36" t="str">
        <f aca="false">IF($D627="","",IFERROR(INDEX('통합 ④ 설정'!$C$6:$C$40,MATCH($D627,'통합 ④ 설정'!$B$6:$B$40,0)),""))</f>
        <v/>
      </c>
      <c r="G627" s="39"/>
      <c r="H627" s="39"/>
      <c r="I627" s="40"/>
      <c r="J627" s="41"/>
      <c r="K627" s="38"/>
      <c r="L627" s="42" t="str">
        <f aca="false">IF($B627="","",IF(AND(N($I627)=0,N($J627)=0),"금액이 없습니다",IF(AND($I627&gt;0,$J627&gt;0),"수입·지출 둘 다 적혔습니다",IF($C627="","결제수단을 고르십시오",IF(ISNA(MATCH($C627,'통합 ③ 통장·카드'!$A$5:$A$11,0)),"③ 통장·카드에 없는 결제수단입니다",IF($D627="","계정과목을 고르십시오",IF($E627="※없는 과목","④ 설정에 없는 과목입니다",IF(AND($E627="수입",$J627&gt;0),"수입 과목인데 지출에 적혔습니다",IF(AND(LEFT($E627,2)&lt;&gt;"수입",$E627&lt;&gt;"대체",$I627&gt;0),"지출 과목인데 수입에 적혔습니다",IF($K627="","증빙을 고르십시오",IF(AND($C627="바우처통장",$J627&gt;0,IFERROR(INDEX('통합 ④ 설정'!$E$6:$E$40,MATCH($D627,'통합 ④ 설정'!$B$6:$B$40,0)),"")&lt;&gt;"○"),"바우처통장 지출 — 목적 확인",IF($H627="","적요를 적으십시오",""))))))))))))</f>
        <v/>
      </c>
      <c r="M627" s="39"/>
      <c r="O627" s="11" t="str">
        <f aca="false">IF($B627="","",YEAR($B627)*100+MONTH($B627))</f>
        <v/>
      </c>
      <c r="P627" s="11" t="str">
        <f aca="false">IF($B627="","",IF($E627="대체",0,1))</f>
        <v/>
      </c>
    </row>
    <row r="628" customFormat="false" ht="15" hidden="false" customHeight="false" outlineLevel="0" collapsed="false">
      <c r="A628" s="36" t="str">
        <f aca="false">IF($B628="","",COUNT($B$15:$B628))</f>
        <v/>
      </c>
      <c r="B628" s="37"/>
      <c r="C628" s="38"/>
      <c r="D628" s="39"/>
      <c r="E628" s="36" t="str">
        <f aca="false">IF($D628="","",IFERROR(INDEX('통합 ④ 설정'!$A$6:$A$40,MATCH($D628,'통합 ④ 설정'!$B$6:$B$40,0)),"※없는 과목"))</f>
        <v/>
      </c>
      <c r="F628" s="36" t="str">
        <f aca="false">IF($D628="","",IFERROR(INDEX('통합 ④ 설정'!$C$6:$C$40,MATCH($D628,'통합 ④ 설정'!$B$6:$B$40,0)),""))</f>
        <v/>
      </c>
      <c r="G628" s="39"/>
      <c r="H628" s="39"/>
      <c r="I628" s="40"/>
      <c r="J628" s="41"/>
      <c r="K628" s="38"/>
      <c r="L628" s="42" t="str">
        <f aca="false">IF($B628="","",IF(AND(N($I628)=0,N($J628)=0),"금액이 없습니다",IF(AND($I628&gt;0,$J628&gt;0),"수입·지출 둘 다 적혔습니다",IF($C628="","결제수단을 고르십시오",IF(ISNA(MATCH($C628,'통합 ③ 통장·카드'!$A$5:$A$11,0)),"③ 통장·카드에 없는 결제수단입니다",IF($D628="","계정과목을 고르십시오",IF($E628="※없는 과목","④ 설정에 없는 과목입니다",IF(AND($E628="수입",$J628&gt;0),"수입 과목인데 지출에 적혔습니다",IF(AND(LEFT($E628,2)&lt;&gt;"수입",$E628&lt;&gt;"대체",$I628&gt;0),"지출 과목인데 수입에 적혔습니다",IF($K628="","증빙을 고르십시오",IF(AND($C628="바우처통장",$J628&gt;0,IFERROR(INDEX('통합 ④ 설정'!$E$6:$E$40,MATCH($D628,'통합 ④ 설정'!$B$6:$B$40,0)),"")&lt;&gt;"○"),"바우처통장 지출 — 목적 확인",IF($H628="","적요를 적으십시오",""))))))))))))</f>
        <v/>
      </c>
      <c r="M628" s="39"/>
      <c r="O628" s="11" t="str">
        <f aca="false">IF($B628="","",YEAR($B628)*100+MONTH($B628))</f>
        <v/>
      </c>
      <c r="P628" s="11" t="str">
        <f aca="false">IF($B628="","",IF($E628="대체",0,1))</f>
        <v/>
      </c>
    </row>
    <row r="629" customFormat="false" ht="15" hidden="false" customHeight="false" outlineLevel="0" collapsed="false">
      <c r="A629" s="36" t="str">
        <f aca="false">IF($B629="","",COUNT($B$15:$B629))</f>
        <v/>
      </c>
      <c r="B629" s="37"/>
      <c r="C629" s="38"/>
      <c r="D629" s="39"/>
      <c r="E629" s="36" t="str">
        <f aca="false">IF($D629="","",IFERROR(INDEX('통합 ④ 설정'!$A$6:$A$40,MATCH($D629,'통합 ④ 설정'!$B$6:$B$40,0)),"※없는 과목"))</f>
        <v/>
      </c>
      <c r="F629" s="36" t="str">
        <f aca="false">IF($D629="","",IFERROR(INDEX('통합 ④ 설정'!$C$6:$C$40,MATCH($D629,'통합 ④ 설정'!$B$6:$B$40,0)),""))</f>
        <v/>
      </c>
      <c r="G629" s="39"/>
      <c r="H629" s="39"/>
      <c r="I629" s="40"/>
      <c r="J629" s="41"/>
      <c r="K629" s="38"/>
      <c r="L629" s="42" t="str">
        <f aca="false">IF($B629="","",IF(AND(N($I629)=0,N($J629)=0),"금액이 없습니다",IF(AND($I629&gt;0,$J629&gt;0),"수입·지출 둘 다 적혔습니다",IF($C629="","결제수단을 고르십시오",IF(ISNA(MATCH($C629,'통합 ③ 통장·카드'!$A$5:$A$11,0)),"③ 통장·카드에 없는 결제수단입니다",IF($D629="","계정과목을 고르십시오",IF($E629="※없는 과목","④ 설정에 없는 과목입니다",IF(AND($E629="수입",$J629&gt;0),"수입 과목인데 지출에 적혔습니다",IF(AND(LEFT($E629,2)&lt;&gt;"수입",$E629&lt;&gt;"대체",$I629&gt;0),"지출 과목인데 수입에 적혔습니다",IF($K629="","증빙을 고르십시오",IF(AND($C629="바우처통장",$J629&gt;0,IFERROR(INDEX('통합 ④ 설정'!$E$6:$E$40,MATCH($D629,'통합 ④ 설정'!$B$6:$B$40,0)),"")&lt;&gt;"○"),"바우처통장 지출 — 목적 확인",IF($H629="","적요를 적으십시오",""))))))))))))</f>
        <v/>
      </c>
      <c r="M629" s="39"/>
      <c r="O629" s="11" t="str">
        <f aca="false">IF($B629="","",YEAR($B629)*100+MONTH($B629))</f>
        <v/>
      </c>
      <c r="P629" s="11" t="str">
        <f aca="false">IF($B629="","",IF($E629="대체",0,1))</f>
        <v/>
      </c>
    </row>
    <row r="630" customFormat="false" ht="15" hidden="false" customHeight="false" outlineLevel="0" collapsed="false">
      <c r="A630" s="36" t="str">
        <f aca="false">IF($B630="","",COUNT($B$15:$B630))</f>
        <v/>
      </c>
      <c r="B630" s="37"/>
      <c r="C630" s="38"/>
      <c r="D630" s="39"/>
      <c r="E630" s="36" t="str">
        <f aca="false">IF($D630="","",IFERROR(INDEX('통합 ④ 설정'!$A$6:$A$40,MATCH($D630,'통합 ④ 설정'!$B$6:$B$40,0)),"※없는 과목"))</f>
        <v/>
      </c>
      <c r="F630" s="36" t="str">
        <f aca="false">IF($D630="","",IFERROR(INDEX('통합 ④ 설정'!$C$6:$C$40,MATCH($D630,'통합 ④ 설정'!$B$6:$B$40,0)),""))</f>
        <v/>
      </c>
      <c r="G630" s="39"/>
      <c r="H630" s="39"/>
      <c r="I630" s="40"/>
      <c r="J630" s="41"/>
      <c r="K630" s="38"/>
      <c r="L630" s="42" t="str">
        <f aca="false">IF($B630="","",IF(AND(N($I630)=0,N($J630)=0),"금액이 없습니다",IF(AND($I630&gt;0,$J630&gt;0),"수입·지출 둘 다 적혔습니다",IF($C630="","결제수단을 고르십시오",IF(ISNA(MATCH($C630,'통합 ③ 통장·카드'!$A$5:$A$11,0)),"③ 통장·카드에 없는 결제수단입니다",IF($D630="","계정과목을 고르십시오",IF($E630="※없는 과목","④ 설정에 없는 과목입니다",IF(AND($E630="수입",$J630&gt;0),"수입 과목인데 지출에 적혔습니다",IF(AND(LEFT($E630,2)&lt;&gt;"수입",$E630&lt;&gt;"대체",$I630&gt;0),"지출 과목인데 수입에 적혔습니다",IF($K630="","증빙을 고르십시오",IF(AND($C630="바우처통장",$J630&gt;0,IFERROR(INDEX('통합 ④ 설정'!$E$6:$E$40,MATCH($D630,'통합 ④ 설정'!$B$6:$B$40,0)),"")&lt;&gt;"○"),"바우처통장 지출 — 목적 확인",IF($H630="","적요를 적으십시오",""))))))))))))</f>
        <v/>
      </c>
      <c r="M630" s="39"/>
      <c r="O630" s="11" t="str">
        <f aca="false">IF($B630="","",YEAR($B630)*100+MONTH($B630))</f>
        <v/>
      </c>
      <c r="P630" s="11" t="str">
        <f aca="false">IF($B630="","",IF($E630="대체",0,1))</f>
        <v/>
      </c>
    </row>
    <row r="631" customFormat="false" ht="15" hidden="false" customHeight="false" outlineLevel="0" collapsed="false">
      <c r="A631" s="36" t="str">
        <f aca="false">IF($B631="","",COUNT($B$15:$B631))</f>
        <v/>
      </c>
      <c r="B631" s="37"/>
      <c r="C631" s="38"/>
      <c r="D631" s="39"/>
      <c r="E631" s="36" t="str">
        <f aca="false">IF($D631="","",IFERROR(INDEX('통합 ④ 설정'!$A$6:$A$40,MATCH($D631,'통합 ④ 설정'!$B$6:$B$40,0)),"※없는 과목"))</f>
        <v/>
      </c>
      <c r="F631" s="36" t="str">
        <f aca="false">IF($D631="","",IFERROR(INDEX('통합 ④ 설정'!$C$6:$C$40,MATCH($D631,'통합 ④ 설정'!$B$6:$B$40,0)),""))</f>
        <v/>
      </c>
      <c r="G631" s="39"/>
      <c r="H631" s="39"/>
      <c r="I631" s="40"/>
      <c r="J631" s="41"/>
      <c r="K631" s="38"/>
      <c r="L631" s="42" t="str">
        <f aca="false">IF($B631="","",IF(AND(N($I631)=0,N($J631)=0),"금액이 없습니다",IF(AND($I631&gt;0,$J631&gt;0),"수입·지출 둘 다 적혔습니다",IF($C631="","결제수단을 고르십시오",IF(ISNA(MATCH($C631,'통합 ③ 통장·카드'!$A$5:$A$11,0)),"③ 통장·카드에 없는 결제수단입니다",IF($D631="","계정과목을 고르십시오",IF($E631="※없는 과목","④ 설정에 없는 과목입니다",IF(AND($E631="수입",$J631&gt;0),"수입 과목인데 지출에 적혔습니다",IF(AND(LEFT($E631,2)&lt;&gt;"수입",$E631&lt;&gt;"대체",$I631&gt;0),"지출 과목인데 수입에 적혔습니다",IF($K631="","증빙을 고르십시오",IF(AND($C631="바우처통장",$J631&gt;0,IFERROR(INDEX('통합 ④ 설정'!$E$6:$E$40,MATCH($D631,'통합 ④ 설정'!$B$6:$B$40,0)),"")&lt;&gt;"○"),"바우처통장 지출 — 목적 확인",IF($H631="","적요를 적으십시오",""))))))))))))</f>
        <v/>
      </c>
      <c r="M631" s="39"/>
      <c r="O631" s="11" t="str">
        <f aca="false">IF($B631="","",YEAR($B631)*100+MONTH($B631))</f>
        <v/>
      </c>
      <c r="P631" s="11" t="str">
        <f aca="false">IF($B631="","",IF($E631="대체",0,1))</f>
        <v/>
      </c>
    </row>
    <row r="632" customFormat="false" ht="15" hidden="false" customHeight="false" outlineLevel="0" collapsed="false">
      <c r="A632" s="36" t="str">
        <f aca="false">IF($B632="","",COUNT($B$15:$B632))</f>
        <v/>
      </c>
      <c r="B632" s="37"/>
      <c r="C632" s="38"/>
      <c r="D632" s="39"/>
      <c r="E632" s="36" t="str">
        <f aca="false">IF($D632="","",IFERROR(INDEX('통합 ④ 설정'!$A$6:$A$40,MATCH($D632,'통합 ④ 설정'!$B$6:$B$40,0)),"※없는 과목"))</f>
        <v/>
      </c>
      <c r="F632" s="36" t="str">
        <f aca="false">IF($D632="","",IFERROR(INDEX('통합 ④ 설정'!$C$6:$C$40,MATCH($D632,'통합 ④ 설정'!$B$6:$B$40,0)),""))</f>
        <v/>
      </c>
      <c r="G632" s="39"/>
      <c r="H632" s="39"/>
      <c r="I632" s="40"/>
      <c r="J632" s="41"/>
      <c r="K632" s="38"/>
      <c r="L632" s="42" t="str">
        <f aca="false">IF($B632="","",IF(AND(N($I632)=0,N($J632)=0),"금액이 없습니다",IF(AND($I632&gt;0,$J632&gt;0),"수입·지출 둘 다 적혔습니다",IF($C632="","결제수단을 고르십시오",IF(ISNA(MATCH($C632,'통합 ③ 통장·카드'!$A$5:$A$11,0)),"③ 통장·카드에 없는 결제수단입니다",IF($D632="","계정과목을 고르십시오",IF($E632="※없는 과목","④ 설정에 없는 과목입니다",IF(AND($E632="수입",$J632&gt;0),"수입 과목인데 지출에 적혔습니다",IF(AND(LEFT($E632,2)&lt;&gt;"수입",$E632&lt;&gt;"대체",$I632&gt;0),"지출 과목인데 수입에 적혔습니다",IF($K632="","증빙을 고르십시오",IF(AND($C632="바우처통장",$J632&gt;0,IFERROR(INDEX('통합 ④ 설정'!$E$6:$E$40,MATCH($D632,'통합 ④ 설정'!$B$6:$B$40,0)),"")&lt;&gt;"○"),"바우처통장 지출 — 목적 확인",IF($H632="","적요를 적으십시오",""))))))))))))</f>
        <v/>
      </c>
      <c r="M632" s="39"/>
      <c r="O632" s="11" t="str">
        <f aca="false">IF($B632="","",YEAR($B632)*100+MONTH($B632))</f>
        <v/>
      </c>
      <c r="P632" s="11" t="str">
        <f aca="false">IF($B632="","",IF($E632="대체",0,1))</f>
        <v/>
      </c>
    </row>
    <row r="633" customFormat="false" ht="15" hidden="false" customHeight="false" outlineLevel="0" collapsed="false">
      <c r="A633" s="36" t="str">
        <f aca="false">IF($B633="","",COUNT($B$15:$B633))</f>
        <v/>
      </c>
      <c r="B633" s="37"/>
      <c r="C633" s="38"/>
      <c r="D633" s="39"/>
      <c r="E633" s="36" t="str">
        <f aca="false">IF($D633="","",IFERROR(INDEX('통합 ④ 설정'!$A$6:$A$40,MATCH($D633,'통합 ④ 설정'!$B$6:$B$40,0)),"※없는 과목"))</f>
        <v/>
      </c>
      <c r="F633" s="36" t="str">
        <f aca="false">IF($D633="","",IFERROR(INDEX('통합 ④ 설정'!$C$6:$C$40,MATCH($D633,'통합 ④ 설정'!$B$6:$B$40,0)),""))</f>
        <v/>
      </c>
      <c r="G633" s="39"/>
      <c r="H633" s="39"/>
      <c r="I633" s="40"/>
      <c r="J633" s="41"/>
      <c r="K633" s="38"/>
      <c r="L633" s="42" t="str">
        <f aca="false">IF($B633="","",IF(AND(N($I633)=0,N($J633)=0),"금액이 없습니다",IF(AND($I633&gt;0,$J633&gt;0),"수입·지출 둘 다 적혔습니다",IF($C633="","결제수단을 고르십시오",IF(ISNA(MATCH($C633,'통합 ③ 통장·카드'!$A$5:$A$11,0)),"③ 통장·카드에 없는 결제수단입니다",IF($D633="","계정과목을 고르십시오",IF($E633="※없는 과목","④ 설정에 없는 과목입니다",IF(AND($E633="수입",$J633&gt;0),"수입 과목인데 지출에 적혔습니다",IF(AND(LEFT($E633,2)&lt;&gt;"수입",$E633&lt;&gt;"대체",$I633&gt;0),"지출 과목인데 수입에 적혔습니다",IF($K633="","증빙을 고르십시오",IF(AND($C633="바우처통장",$J633&gt;0,IFERROR(INDEX('통합 ④ 설정'!$E$6:$E$40,MATCH($D633,'통합 ④ 설정'!$B$6:$B$40,0)),"")&lt;&gt;"○"),"바우처통장 지출 — 목적 확인",IF($H633="","적요를 적으십시오",""))))))))))))</f>
        <v/>
      </c>
      <c r="M633" s="39"/>
      <c r="O633" s="11" t="str">
        <f aca="false">IF($B633="","",YEAR($B633)*100+MONTH($B633))</f>
        <v/>
      </c>
      <c r="P633" s="11" t="str">
        <f aca="false">IF($B633="","",IF($E633="대체",0,1))</f>
        <v/>
      </c>
    </row>
    <row r="634" customFormat="false" ht="15" hidden="false" customHeight="false" outlineLevel="0" collapsed="false">
      <c r="A634" s="36" t="str">
        <f aca="false">IF($B634="","",COUNT($B$15:$B634))</f>
        <v/>
      </c>
      <c r="B634" s="37"/>
      <c r="C634" s="38"/>
      <c r="D634" s="39"/>
      <c r="E634" s="36" t="str">
        <f aca="false">IF($D634="","",IFERROR(INDEX('통합 ④ 설정'!$A$6:$A$40,MATCH($D634,'통합 ④ 설정'!$B$6:$B$40,0)),"※없는 과목"))</f>
        <v/>
      </c>
      <c r="F634" s="36" t="str">
        <f aca="false">IF($D634="","",IFERROR(INDEX('통합 ④ 설정'!$C$6:$C$40,MATCH($D634,'통합 ④ 설정'!$B$6:$B$40,0)),""))</f>
        <v/>
      </c>
      <c r="G634" s="39"/>
      <c r="H634" s="39"/>
      <c r="I634" s="40"/>
      <c r="J634" s="41"/>
      <c r="K634" s="38"/>
      <c r="L634" s="42" t="str">
        <f aca="false">IF($B634="","",IF(AND(N($I634)=0,N($J634)=0),"금액이 없습니다",IF(AND($I634&gt;0,$J634&gt;0),"수입·지출 둘 다 적혔습니다",IF($C634="","결제수단을 고르십시오",IF(ISNA(MATCH($C634,'통합 ③ 통장·카드'!$A$5:$A$11,0)),"③ 통장·카드에 없는 결제수단입니다",IF($D634="","계정과목을 고르십시오",IF($E634="※없는 과목","④ 설정에 없는 과목입니다",IF(AND($E634="수입",$J634&gt;0),"수입 과목인데 지출에 적혔습니다",IF(AND(LEFT($E634,2)&lt;&gt;"수입",$E634&lt;&gt;"대체",$I634&gt;0),"지출 과목인데 수입에 적혔습니다",IF($K634="","증빙을 고르십시오",IF(AND($C634="바우처통장",$J634&gt;0,IFERROR(INDEX('통합 ④ 설정'!$E$6:$E$40,MATCH($D634,'통합 ④ 설정'!$B$6:$B$40,0)),"")&lt;&gt;"○"),"바우처통장 지출 — 목적 확인",IF($H634="","적요를 적으십시오",""))))))))))))</f>
        <v/>
      </c>
      <c r="M634" s="39"/>
      <c r="O634" s="11" t="str">
        <f aca="false">IF($B634="","",YEAR($B634)*100+MONTH($B634))</f>
        <v/>
      </c>
      <c r="P634" s="11" t="str">
        <f aca="false">IF($B634="","",IF($E634="대체",0,1))</f>
        <v/>
      </c>
    </row>
    <row r="635" customFormat="false" ht="15" hidden="false" customHeight="false" outlineLevel="0" collapsed="false">
      <c r="A635" s="36" t="str">
        <f aca="false">IF($B635="","",COUNT($B$15:$B635))</f>
        <v/>
      </c>
      <c r="B635" s="37"/>
      <c r="C635" s="38"/>
      <c r="D635" s="39"/>
      <c r="E635" s="36" t="str">
        <f aca="false">IF($D635="","",IFERROR(INDEX('통합 ④ 설정'!$A$6:$A$40,MATCH($D635,'통합 ④ 설정'!$B$6:$B$40,0)),"※없는 과목"))</f>
        <v/>
      </c>
      <c r="F635" s="36" t="str">
        <f aca="false">IF($D635="","",IFERROR(INDEX('통합 ④ 설정'!$C$6:$C$40,MATCH($D635,'통합 ④ 설정'!$B$6:$B$40,0)),""))</f>
        <v/>
      </c>
      <c r="G635" s="39"/>
      <c r="H635" s="39"/>
      <c r="I635" s="40"/>
      <c r="J635" s="41"/>
      <c r="K635" s="38"/>
      <c r="L635" s="42" t="str">
        <f aca="false">IF($B635="","",IF(AND(N($I635)=0,N($J635)=0),"금액이 없습니다",IF(AND($I635&gt;0,$J635&gt;0),"수입·지출 둘 다 적혔습니다",IF($C635="","결제수단을 고르십시오",IF(ISNA(MATCH($C635,'통합 ③ 통장·카드'!$A$5:$A$11,0)),"③ 통장·카드에 없는 결제수단입니다",IF($D635="","계정과목을 고르십시오",IF($E635="※없는 과목","④ 설정에 없는 과목입니다",IF(AND($E635="수입",$J635&gt;0),"수입 과목인데 지출에 적혔습니다",IF(AND(LEFT($E635,2)&lt;&gt;"수입",$E635&lt;&gt;"대체",$I635&gt;0),"지출 과목인데 수입에 적혔습니다",IF($K635="","증빙을 고르십시오",IF(AND($C635="바우처통장",$J635&gt;0,IFERROR(INDEX('통합 ④ 설정'!$E$6:$E$40,MATCH($D635,'통합 ④ 설정'!$B$6:$B$40,0)),"")&lt;&gt;"○"),"바우처통장 지출 — 목적 확인",IF($H635="","적요를 적으십시오",""))))))))))))</f>
        <v/>
      </c>
      <c r="M635" s="39"/>
      <c r="O635" s="11" t="str">
        <f aca="false">IF($B635="","",YEAR($B635)*100+MONTH($B635))</f>
        <v/>
      </c>
      <c r="P635" s="11" t="str">
        <f aca="false">IF($B635="","",IF($E635="대체",0,1))</f>
        <v/>
      </c>
    </row>
    <row r="636" customFormat="false" ht="15" hidden="false" customHeight="false" outlineLevel="0" collapsed="false">
      <c r="A636" s="36" t="str">
        <f aca="false">IF($B636="","",COUNT($B$15:$B636))</f>
        <v/>
      </c>
      <c r="B636" s="37"/>
      <c r="C636" s="38"/>
      <c r="D636" s="39"/>
      <c r="E636" s="36" t="str">
        <f aca="false">IF($D636="","",IFERROR(INDEX('통합 ④ 설정'!$A$6:$A$40,MATCH($D636,'통합 ④ 설정'!$B$6:$B$40,0)),"※없는 과목"))</f>
        <v/>
      </c>
      <c r="F636" s="36" t="str">
        <f aca="false">IF($D636="","",IFERROR(INDEX('통합 ④ 설정'!$C$6:$C$40,MATCH($D636,'통합 ④ 설정'!$B$6:$B$40,0)),""))</f>
        <v/>
      </c>
      <c r="G636" s="39"/>
      <c r="H636" s="39"/>
      <c r="I636" s="40"/>
      <c r="J636" s="41"/>
      <c r="K636" s="38"/>
      <c r="L636" s="42" t="str">
        <f aca="false">IF($B636="","",IF(AND(N($I636)=0,N($J636)=0),"금액이 없습니다",IF(AND($I636&gt;0,$J636&gt;0),"수입·지출 둘 다 적혔습니다",IF($C636="","결제수단을 고르십시오",IF(ISNA(MATCH($C636,'통합 ③ 통장·카드'!$A$5:$A$11,0)),"③ 통장·카드에 없는 결제수단입니다",IF($D636="","계정과목을 고르십시오",IF($E636="※없는 과목","④ 설정에 없는 과목입니다",IF(AND($E636="수입",$J636&gt;0),"수입 과목인데 지출에 적혔습니다",IF(AND(LEFT($E636,2)&lt;&gt;"수입",$E636&lt;&gt;"대체",$I636&gt;0),"지출 과목인데 수입에 적혔습니다",IF($K636="","증빙을 고르십시오",IF(AND($C636="바우처통장",$J636&gt;0,IFERROR(INDEX('통합 ④ 설정'!$E$6:$E$40,MATCH($D636,'통합 ④ 설정'!$B$6:$B$40,0)),"")&lt;&gt;"○"),"바우처통장 지출 — 목적 확인",IF($H636="","적요를 적으십시오",""))))))))))))</f>
        <v/>
      </c>
      <c r="M636" s="39"/>
      <c r="O636" s="11" t="str">
        <f aca="false">IF($B636="","",YEAR($B636)*100+MONTH($B636))</f>
        <v/>
      </c>
      <c r="P636" s="11" t="str">
        <f aca="false">IF($B636="","",IF($E636="대체",0,1))</f>
        <v/>
      </c>
    </row>
    <row r="637" customFormat="false" ht="15" hidden="false" customHeight="false" outlineLevel="0" collapsed="false">
      <c r="A637" s="36" t="str">
        <f aca="false">IF($B637="","",COUNT($B$15:$B637))</f>
        <v/>
      </c>
      <c r="B637" s="37"/>
      <c r="C637" s="38"/>
      <c r="D637" s="39"/>
      <c r="E637" s="36" t="str">
        <f aca="false">IF($D637="","",IFERROR(INDEX('통합 ④ 설정'!$A$6:$A$40,MATCH($D637,'통합 ④ 설정'!$B$6:$B$40,0)),"※없는 과목"))</f>
        <v/>
      </c>
      <c r="F637" s="36" t="str">
        <f aca="false">IF($D637="","",IFERROR(INDEX('통합 ④ 설정'!$C$6:$C$40,MATCH($D637,'통합 ④ 설정'!$B$6:$B$40,0)),""))</f>
        <v/>
      </c>
      <c r="G637" s="39"/>
      <c r="H637" s="39"/>
      <c r="I637" s="40"/>
      <c r="J637" s="41"/>
      <c r="K637" s="38"/>
      <c r="L637" s="42" t="str">
        <f aca="false">IF($B637="","",IF(AND(N($I637)=0,N($J637)=0),"금액이 없습니다",IF(AND($I637&gt;0,$J637&gt;0),"수입·지출 둘 다 적혔습니다",IF($C637="","결제수단을 고르십시오",IF(ISNA(MATCH($C637,'통합 ③ 통장·카드'!$A$5:$A$11,0)),"③ 통장·카드에 없는 결제수단입니다",IF($D637="","계정과목을 고르십시오",IF($E637="※없는 과목","④ 설정에 없는 과목입니다",IF(AND($E637="수입",$J637&gt;0),"수입 과목인데 지출에 적혔습니다",IF(AND(LEFT($E637,2)&lt;&gt;"수입",$E637&lt;&gt;"대체",$I637&gt;0),"지출 과목인데 수입에 적혔습니다",IF($K637="","증빙을 고르십시오",IF(AND($C637="바우처통장",$J637&gt;0,IFERROR(INDEX('통합 ④ 설정'!$E$6:$E$40,MATCH($D637,'통합 ④ 설정'!$B$6:$B$40,0)),"")&lt;&gt;"○"),"바우처통장 지출 — 목적 확인",IF($H637="","적요를 적으십시오",""))))))))))))</f>
        <v/>
      </c>
      <c r="M637" s="39"/>
      <c r="O637" s="11" t="str">
        <f aca="false">IF($B637="","",YEAR($B637)*100+MONTH($B637))</f>
        <v/>
      </c>
      <c r="P637" s="11" t="str">
        <f aca="false">IF($B637="","",IF($E637="대체",0,1))</f>
        <v/>
      </c>
    </row>
    <row r="638" customFormat="false" ht="15" hidden="false" customHeight="false" outlineLevel="0" collapsed="false">
      <c r="A638" s="36" t="str">
        <f aca="false">IF($B638="","",COUNT($B$15:$B638))</f>
        <v/>
      </c>
      <c r="B638" s="37"/>
      <c r="C638" s="38"/>
      <c r="D638" s="39"/>
      <c r="E638" s="36" t="str">
        <f aca="false">IF($D638="","",IFERROR(INDEX('통합 ④ 설정'!$A$6:$A$40,MATCH($D638,'통합 ④ 설정'!$B$6:$B$40,0)),"※없는 과목"))</f>
        <v/>
      </c>
      <c r="F638" s="36" t="str">
        <f aca="false">IF($D638="","",IFERROR(INDEX('통합 ④ 설정'!$C$6:$C$40,MATCH($D638,'통합 ④ 설정'!$B$6:$B$40,0)),""))</f>
        <v/>
      </c>
      <c r="G638" s="39"/>
      <c r="H638" s="39"/>
      <c r="I638" s="40"/>
      <c r="J638" s="41"/>
      <c r="K638" s="38"/>
      <c r="L638" s="42" t="str">
        <f aca="false">IF($B638="","",IF(AND(N($I638)=0,N($J638)=0),"금액이 없습니다",IF(AND($I638&gt;0,$J638&gt;0),"수입·지출 둘 다 적혔습니다",IF($C638="","결제수단을 고르십시오",IF(ISNA(MATCH($C638,'통합 ③ 통장·카드'!$A$5:$A$11,0)),"③ 통장·카드에 없는 결제수단입니다",IF($D638="","계정과목을 고르십시오",IF($E638="※없는 과목","④ 설정에 없는 과목입니다",IF(AND($E638="수입",$J638&gt;0),"수입 과목인데 지출에 적혔습니다",IF(AND(LEFT($E638,2)&lt;&gt;"수입",$E638&lt;&gt;"대체",$I638&gt;0),"지출 과목인데 수입에 적혔습니다",IF($K638="","증빙을 고르십시오",IF(AND($C638="바우처통장",$J638&gt;0,IFERROR(INDEX('통합 ④ 설정'!$E$6:$E$40,MATCH($D638,'통합 ④ 설정'!$B$6:$B$40,0)),"")&lt;&gt;"○"),"바우처통장 지출 — 목적 확인",IF($H638="","적요를 적으십시오",""))))))))))))</f>
        <v/>
      </c>
      <c r="M638" s="39"/>
      <c r="O638" s="11" t="str">
        <f aca="false">IF($B638="","",YEAR($B638)*100+MONTH($B638))</f>
        <v/>
      </c>
      <c r="P638" s="11" t="str">
        <f aca="false">IF($B638="","",IF($E638="대체",0,1))</f>
        <v/>
      </c>
    </row>
    <row r="639" customFormat="false" ht="15" hidden="false" customHeight="false" outlineLevel="0" collapsed="false">
      <c r="A639" s="36" t="str">
        <f aca="false">IF($B639="","",COUNT($B$15:$B639))</f>
        <v/>
      </c>
      <c r="B639" s="37"/>
      <c r="C639" s="38"/>
      <c r="D639" s="39"/>
      <c r="E639" s="36" t="str">
        <f aca="false">IF($D639="","",IFERROR(INDEX('통합 ④ 설정'!$A$6:$A$40,MATCH($D639,'통합 ④ 설정'!$B$6:$B$40,0)),"※없는 과목"))</f>
        <v/>
      </c>
      <c r="F639" s="36" t="str">
        <f aca="false">IF($D639="","",IFERROR(INDEX('통합 ④ 설정'!$C$6:$C$40,MATCH($D639,'통합 ④ 설정'!$B$6:$B$40,0)),""))</f>
        <v/>
      </c>
      <c r="G639" s="39"/>
      <c r="H639" s="39"/>
      <c r="I639" s="40"/>
      <c r="J639" s="41"/>
      <c r="K639" s="38"/>
      <c r="L639" s="42" t="str">
        <f aca="false">IF($B639="","",IF(AND(N($I639)=0,N($J639)=0),"금액이 없습니다",IF(AND($I639&gt;0,$J639&gt;0),"수입·지출 둘 다 적혔습니다",IF($C639="","결제수단을 고르십시오",IF(ISNA(MATCH($C639,'통합 ③ 통장·카드'!$A$5:$A$11,0)),"③ 통장·카드에 없는 결제수단입니다",IF($D639="","계정과목을 고르십시오",IF($E639="※없는 과목","④ 설정에 없는 과목입니다",IF(AND($E639="수입",$J639&gt;0),"수입 과목인데 지출에 적혔습니다",IF(AND(LEFT($E639,2)&lt;&gt;"수입",$E639&lt;&gt;"대체",$I639&gt;0),"지출 과목인데 수입에 적혔습니다",IF($K639="","증빙을 고르십시오",IF(AND($C639="바우처통장",$J639&gt;0,IFERROR(INDEX('통합 ④ 설정'!$E$6:$E$40,MATCH($D639,'통합 ④ 설정'!$B$6:$B$40,0)),"")&lt;&gt;"○"),"바우처통장 지출 — 목적 확인",IF($H639="","적요를 적으십시오",""))))))))))))</f>
        <v/>
      </c>
      <c r="M639" s="39"/>
      <c r="O639" s="11" t="str">
        <f aca="false">IF($B639="","",YEAR($B639)*100+MONTH($B639))</f>
        <v/>
      </c>
      <c r="P639" s="11" t="str">
        <f aca="false">IF($B639="","",IF($E639="대체",0,1))</f>
        <v/>
      </c>
    </row>
    <row r="640" customFormat="false" ht="15" hidden="false" customHeight="false" outlineLevel="0" collapsed="false">
      <c r="A640" s="36" t="str">
        <f aca="false">IF($B640="","",COUNT($B$15:$B640))</f>
        <v/>
      </c>
      <c r="B640" s="37"/>
      <c r="C640" s="38"/>
      <c r="D640" s="39"/>
      <c r="E640" s="36" t="str">
        <f aca="false">IF($D640="","",IFERROR(INDEX('통합 ④ 설정'!$A$6:$A$40,MATCH($D640,'통합 ④ 설정'!$B$6:$B$40,0)),"※없는 과목"))</f>
        <v/>
      </c>
      <c r="F640" s="36" t="str">
        <f aca="false">IF($D640="","",IFERROR(INDEX('통합 ④ 설정'!$C$6:$C$40,MATCH($D640,'통합 ④ 설정'!$B$6:$B$40,0)),""))</f>
        <v/>
      </c>
      <c r="G640" s="39"/>
      <c r="H640" s="39"/>
      <c r="I640" s="40"/>
      <c r="J640" s="41"/>
      <c r="K640" s="38"/>
      <c r="L640" s="42" t="str">
        <f aca="false">IF($B640="","",IF(AND(N($I640)=0,N($J640)=0),"금액이 없습니다",IF(AND($I640&gt;0,$J640&gt;0),"수입·지출 둘 다 적혔습니다",IF($C640="","결제수단을 고르십시오",IF(ISNA(MATCH($C640,'통합 ③ 통장·카드'!$A$5:$A$11,0)),"③ 통장·카드에 없는 결제수단입니다",IF($D640="","계정과목을 고르십시오",IF($E640="※없는 과목","④ 설정에 없는 과목입니다",IF(AND($E640="수입",$J640&gt;0),"수입 과목인데 지출에 적혔습니다",IF(AND(LEFT($E640,2)&lt;&gt;"수입",$E640&lt;&gt;"대체",$I640&gt;0),"지출 과목인데 수입에 적혔습니다",IF($K640="","증빙을 고르십시오",IF(AND($C640="바우처통장",$J640&gt;0,IFERROR(INDEX('통합 ④ 설정'!$E$6:$E$40,MATCH($D640,'통합 ④ 설정'!$B$6:$B$40,0)),"")&lt;&gt;"○"),"바우처통장 지출 — 목적 확인",IF($H640="","적요를 적으십시오",""))))))))))))</f>
        <v/>
      </c>
      <c r="M640" s="39"/>
      <c r="O640" s="11" t="str">
        <f aca="false">IF($B640="","",YEAR($B640)*100+MONTH($B640))</f>
        <v/>
      </c>
      <c r="P640" s="11" t="str">
        <f aca="false">IF($B640="","",IF($E640="대체",0,1))</f>
        <v/>
      </c>
    </row>
    <row r="641" customFormat="false" ht="15" hidden="false" customHeight="false" outlineLevel="0" collapsed="false">
      <c r="A641" s="36" t="str">
        <f aca="false">IF($B641="","",COUNT($B$15:$B641))</f>
        <v/>
      </c>
      <c r="B641" s="37"/>
      <c r="C641" s="38"/>
      <c r="D641" s="39"/>
      <c r="E641" s="36" t="str">
        <f aca="false">IF($D641="","",IFERROR(INDEX('통합 ④ 설정'!$A$6:$A$40,MATCH($D641,'통합 ④ 설정'!$B$6:$B$40,0)),"※없는 과목"))</f>
        <v/>
      </c>
      <c r="F641" s="36" t="str">
        <f aca="false">IF($D641="","",IFERROR(INDEX('통합 ④ 설정'!$C$6:$C$40,MATCH($D641,'통합 ④ 설정'!$B$6:$B$40,0)),""))</f>
        <v/>
      </c>
      <c r="G641" s="39"/>
      <c r="H641" s="39"/>
      <c r="I641" s="40"/>
      <c r="J641" s="41"/>
      <c r="K641" s="38"/>
      <c r="L641" s="42" t="str">
        <f aca="false">IF($B641="","",IF(AND(N($I641)=0,N($J641)=0),"금액이 없습니다",IF(AND($I641&gt;0,$J641&gt;0),"수입·지출 둘 다 적혔습니다",IF($C641="","결제수단을 고르십시오",IF(ISNA(MATCH($C641,'통합 ③ 통장·카드'!$A$5:$A$11,0)),"③ 통장·카드에 없는 결제수단입니다",IF($D641="","계정과목을 고르십시오",IF($E641="※없는 과목","④ 설정에 없는 과목입니다",IF(AND($E641="수입",$J641&gt;0),"수입 과목인데 지출에 적혔습니다",IF(AND(LEFT($E641,2)&lt;&gt;"수입",$E641&lt;&gt;"대체",$I641&gt;0),"지출 과목인데 수입에 적혔습니다",IF($K641="","증빙을 고르십시오",IF(AND($C641="바우처통장",$J641&gt;0,IFERROR(INDEX('통합 ④ 설정'!$E$6:$E$40,MATCH($D641,'통합 ④ 설정'!$B$6:$B$40,0)),"")&lt;&gt;"○"),"바우처통장 지출 — 목적 확인",IF($H641="","적요를 적으십시오",""))))))))))))</f>
        <v/>
      </c>
      <c r="M641" s="39"/>
      <c r="O641" s="11" t="str">
        <f aca="false">IF($B641="","",YEAR($B641)*100+MONTH($B641))</f>
        <v/>
      </c>
      <c r="P641" s="11" t="str">
        <f aca="false">IF($B641="","",IF($E641="대체",0,1))</f>
        <v/>
      </c>
    </row>
    <row r="642" customFormat="false" ht="15" hidden="false" customHeight="false" outlineLevel="0" collapsed="false">
      <c r="A642" s="36" t="str">
        <f aca="false">IF($B642="","",COUNT($B$15:$B642))</f>
        <v/>
      </c>
      <c r="B642" s="37"/>
      <c r="C642" s="38"/>
      <c r="D642" s="39"/>
      <c r="E642" s="36" t="str">
        <f aca="false">IF($D642="","",IFERROR(INDEX('통합 ④ 설정'!$A$6:$A$40,MATCH($D642,'통합 ④ 설정'!$B$6:$B$40,0)),"※없는 과목"))</f>
        <v/>
      </c>
      <c r="F642" s="36" t="str">
        <f aca="false">IF($D642="","",IFERROR(INDEX('통합 ④ 설정'!$C$6:$C$40,MATCH($D642,'통합 ④ 설정'!$B$6:$B$40,0)),""))</f>
        <v/>
      </c>
      <c r="G642" s="39"/>
      <c r="H642" s="39"/>
      <c r="I642" s="40"/>
      <c r="J642" s="41"/>
      <c r="K642" s="38"/>
      <c r="L642" s="42" t="str">
        <f aca="false">IF($B642="","",IF(AND(N($I642)=0,N($J642)=0),"금액이 없습니다",IF(AND($I642&gt;0,$J642&gt;0),"수입·지출 둘 다 적혔습니다",IF($C642="","결제수단을 고르십시오",IF(ISNA(MATCH($C642,'통합 ③ 통장·카드'!$A$5:$A$11,0)),"③ 통장·카드에 없는 결제수단입니다",IF($D642="","계정과목을 고르십시오",IF($E642="※없는 과목","④ 설정에 없는 과목입니다",IF(AND($E642="수입",$J642&gt;0),"수입 과목인데 지출에 적혔습니다",IF(AND(LEFT($E642,2)&lt;&gt;"수입",$E642&lt;&gt;"대체",$I642&gt;0),"지출 과목인데 수입에 적혔습니다",IF($K642="","증빙을 고르십시오",IF(AND($C642="바우처통장",$J642&gt;0,IFERROR(INDEX('통합 ④ 설정'!$E$6:$E$40,MATCH($D642,'통합 ④ 설정'!$B$6:$B$40,0)),"")&lt;&gt;"○"),"바우처통장 지출 — 목적 확인",IF($H642="","적요를 적으십시오",""))))))))))))</f>
        <v/>
      </c>
      <c r="M642" s="39"/>
      <c r="O642" s="11" t="str">
        <f aca="false">IF($B642="","",YEAR($B642)*100+MONTH($B642))</f>
        <v/>
      </c>
      <c r="P642" s="11" t="str">
        <f aca="false">IF($B642="","",IF($E642="대체",0,1))</f>
        <v/>
      </c>
    </row>
    <row r="643" customFormat="false" ht="15" hidden="false" customHeight="false" outlineLevel="0" collapsed="false">
      <c r="A643" s="36" t="str">
        <f aca="false">IF($B643="","",COUNT($B$15:$B643))</f>
        <v/>
      </c>
      <c r="B643" s="37"/>
      <c r="C643" s="38"/>
      <c r="D643" s="39"/>
      <c r="E643" s="36" t="str">
        <f aca="false">IF($D643="","",IFERROR(INDEX('통합 ④ 설정'!$A$6:$A$40,MATCH($D643,'통합 ④ 설정'!$B$6:$B$40,0)),"※없는 과목"))</f>
        <v/>
      </c>
      <c r="F643" s="36" t="str">
        <f aca="false">IF($D643="","",IFERROR(INDEX('통합 ④ 설정'!$C$6:$C$40,MATCH($D643,'통합 ④ 설정'!$B$6:$B$40,0)),""))</f>
        <v/>
      </c>
      <c r="G643" s="39"/>
      <c r="H643" s="39"/>
      <c r="I643" s="40"/>
      <c r="J643" s="41"/>
      <c r="K643" s="38"/>
      <c r="L643" s="42" t="str">
        <f aca="false">IF($B643="","",IF(AND(N($I643)=0,N($J643)=0),"금액이 없습니다",IF(AND($I643&gt;0,$J643&gt;0),"수입·지출 둘 다 적혔습니다",IF($C643="","결제수단을 고르십시오",IF(ISNA(MATCH($C643,'통합 ③ 통장·카드'!$A$5:$A$11,0)),"③ 통장·카드에 없는 결제수단입니다",IF($D643="","계정과목을 고르십시오",IF($E643="※없는 과목","④ 설정에 없는 과목입니다",IF(AND($E643="수입",$J643&gt;0),"수입 과목인데 지출에 적혔습니다",IF(AND(LEFT($E643,2)&lt;&gt;"수입",$E643&lt;&gt;"대체",$I643&gt;0),"지출 과목인데 수입에 적혔습니다",IF($K643="","증빙을 고르십시오",IF(AND($C643="바우처통장",$J643&gt;0,IFERROR(INDEX('통합 ④ 설정'!$E$6:$E$40,MATCH($D643,'통합 ④ 설정'!$B$6:$B$40,0)),"")&lt;&gt;"○"),"바우처통장 지출 — 목적 확인",IF($H643="","적요를 적으십시오",""))))))))))))</f>
        <v/>
      </c>
      <c r="M643" s="39"/>
      <c r="O643" s="11" t="str">
        <f aca="false">IF($B643="","",YEAR($B643)*100+MONTH($B643))</f>
        <v/>
      </c>
      <c r="P643" s="11" t="str">
        <f aca="false">IF($B643="","",IF($E643="대체",0,1))</f>
        <v/>
      </c>
    </row>
    <row r="644" customFormat="false" ht="15" hidden="false" customHeight="false" outlineLevel="0" collapsed="false">
      <c r="A644" s="36" t="str">
        <f aca="false">IF($B644="","",COUNT($B$15:$B644))</f>
        <v/>
      </c>
      <c r="B644" s="37"/>
      <c r="C644" s="38"/>
      <c r="D644" s="39"/>
      <c r="E644" s="36" t="str">
        <f aca="false">IF($D644="","",IFERROR(INDEX('통합 ④ 설정'!$A$6:$A$40,MATCH($D644,'통합 ④ 설정'!$B$6:$B$40,0)),"※없는 과목"))</f>
        <v/>
      </c>
      <c r="F644" s="36" t="str">
        <f aca="false">IF($D644="","",IFERROR(INDEX('통합 ④ 설정'!$C$6:$C$40,MATCH($D644,'통합 ④ 설정'!$B$6:$B$40,0)),""))</f>
        <v/>
      </c>
      <c r="G644" s="39"/>
      <c r="H644" s="39"/>
      <c r="I644" s="40"/>
      <c r="J644" s="41"/>
      <c r="K644" s="38"/>
      <c r="L644" s="42" t="str">
        <f aca="false">IF($B644="","",IF(AND(N($I644)=0,N($J644)=0),"금액이 없습니다",IF(AND($I644&gt;0,$J644&gt;0),"수입·지출 둘 다 적혔습니다",IF($C644="","결제수단을 고르십시오",IF(ISNA(MATCH($C644,'통합 ③ 통장·카드'!$A$5:$A$11,0)),"③ 통장·카드에 없는 결제수단입니다",IF($D644="","계정과목을 고르십시오",IF($E644="※없는 과목","④ 설정에 없는 과목입니다",IF(AND($E644="수입",$J644&gt;0),"수입 과목인데 지출에 적혔습니다",IF(AND(LEFT($E644,2)&lt;&gt;"수입",$E644&lt;&gt;"대체",$I644&gt;0),"지출 과목인데 수입에 적혔습니다",IF($K644="","증빙을 고르십시오",IF(AND($C644="바우처통장",$J644&gt;0,IFERROR(INDEX('통합 ④ 설정'!$E$6:$E$40,MATCH($D644,'통합 ④ 설정'!$B$6:$B$40,0)),"")&lt;&gt;"○"),"바우처통장 지출 — 목적 확인",IF($H644="","적요를 적으십시오",""))))))))))))</f>
        <v/>
      </c>
      <c r="M644" s="39"/>
      <c r="O644" s="11" t="str">
        <f aca="false">IF($B644="","",YEAR($B644)*100+MONTH($B644))</f>
        <v/>
      </c>
      <c r="P644" s="11" t="str">
        <f aca="false">IF($B644="","",IF($E644="대체",0,1))</f>
        <v/>
      </c>
    </row>
    <row r="645" customFormat="false" ht="15" hidden="false" customHeight="false" outlineLevel="0" collapsed="false">
      <c r="A645" s="36" t="str">
        <f aca="false">IF($B645="","",COUNT($B$15:$B645))</f>
        <v/>
      </c>
      <c r="B645" s="37"/>
      <c r="C645" s="38"/>
      <c r="D645" s="39"/>
      <c r="E645" s="36" t="str">
        <f aca="false">IF($D645="","",IFERROR(INDEX('통합 ④ 설정'!$A$6:$A$40,MATCH($D645,'통합 ④ 설정'!$B$6:$B$40,0)),"※없는 과목"))</f>
        <v/>
      </c>
      <c r="F645" s="36" t="str">
        <f aca="false">IF($D645="","",IFERROR(INDEX('통합 ④ 설정'!$C$6:$C$40,MATCH($D645,'통합 ④ 설정'!$B$6:$B$40,0)),""))</f>
        <v/>
      </c>
      <c r="G645" s="39"/>
      <c r="H645" s="39"/>
      <c r="I645" s="40"/>
      <c r="J645" s="41"/>
      <c r="K645" s="38"/>
      <c r="L645" s="42" t="str">
        <f aca="false">IF($B645="","",IF(AND(N($I645)=0,N($J645)=0),"금액이 없습니다",IF(AND($I645&gt;0,$J645&gt;0),"수입·지출 둘 다 적혔습니다",IF($C645="","결제수단을 고르십시오",IF(ISNA(MATCH($C645,'통합 ③ 통장·카드'!$A$5:$A$11,0)),"③ 통장·카드에 없는 결제수단입니다",IF($D645="","계정과목을 고르십시오",IF($E645="※없는 과목","④ 설정에 없는 과목입니다",IF(AND($E645="수입",$J645&gt;0),"수입 과목인데 지출에 적혔습니다",IF(AND(LEFT($E645,2)&lt;&gt;"수입",$E645&lt;&gt;"대체",$I645&gt;0),"지출 과목인데 수입에 적혔습니다",IF($K645="","증빙을 고르십시오",IF(AND($C645="바우처통장",$J645&gt;0,IFERROR(INDEX('통합 ④ 설정'!$E$6:$E$40,MATCH($D645,'통합 ④ 설정'!$B$6:$B$40,0)),"")&lt;&gt;"○"),"바우처통장 지출 — 목적 확인",IF($H645="","적요를 적으십시오",""))))))))))))</f>
        <v/>
      </c>
      <c r="M645" s="39"/>
      <c r="O645" s="11" t="str">
        <f aca="false">IF($B645="","",YEAR($B645)*100+MONTH($B645))</f>
        <v/>
      </c>
      <c r="P645" s="11" t="str">
        <f aca="false">IF($B645="","",IF($E645="대체",0,1))</f>
        <v/>
      </c>
    </row>
    <row r="646" customFormat="false" ht="15" hidden="false" customHeight="false" outlineLevel="0" collapsed="false">
      <c r="A646" s="36" t="str">
        <f aca="false">IF($B646="","",COUNT($B$15:$B646))</f>
        <v/>
      </c>
      <c r="B646" s="37"/>
      <c r="C646" s="38"/>
      <c r="D646" s="39"/>
      <c r="E646" s="36" t="str">
        <f aca="false">IF($D646="","",IFERROR(INDEX('통합 ④ 설정'!$A$6:$A$40,MATCH($D646,'통합 ④ 설정'!$B$6:$B$40,0)),"※없는 과목"))</f>
        <v/>
      </c>
      <c r="F646" s="36" t="str">
        <f aca="false">IF($D646="","",IFERROR(INDEX('통합 ④ 설정'!$C$6:$C$40,MATCH($D646,'통합 ④ 설정'!$B$6:$B$40,0)),""))</f>
        <v/>
      </c>
      <c r="G646" s="39"/>
      <c r="H646" s="39"/>
      <c r="I646" s="40"/>
      <c r="J646" s="41"/>
      <c r="K646" s="38"/>
      <c r="L646" s="42" t="str">
        <f aca="false">IF($B646="","",IF(AND(N($I646)=0,N($J646)=0),"금액이 없습니다",IF(AND($I646&gt;0,$J646&gt;0),"수입·지출 둘 다 적혔습니다",IF($C646="","결제수단을 고르십시오",IF(ISNA(MATCH($C646,'통합 ③ 통장·카드'!$A$5:$A$11,0)),"③ 통장·카드에 없는 결제수단입니다",IF($D646="","계정과목을 고르십시오",IF($E646="※없는 과목","④ 설정에 없는 과목입니다",IF(AND($E646="수입",$J646&gt;0),"수입 과목인데 지출에 적혔습니다",IF(AND(LEFT($E646,2)&lt;&gt;"수입",$E646&lt;&gt;"대체",$I646&gt;0),"지출 과목인데 수입에 적혔습니다",IF($K646="","증빙을 고르십시오",IF(AND($C646="바우처통장",$J646&gt;0,IFERROR(INDEX('통합 ④ 설정'!$E$6:$E$40,MATCH($D646,'통합 ④ 설정'!$B$6:$B$40,0)),"")&lt;&gt;"○"),"바우처통장 지출 — 목적 확인",IF($H646="","적요를 적으십시오",""))))))))))))</f>
        <v/>
      </c>
      <c r="M646" s="39"/>
      <c r="O646" s="11" t="str">
        <f aca="false">IF($B646="","",YEAR($B646)*100+MONTH($B646))</f>
        <v/>
      </c>
      <c r="P646" s="11" t="str">
        <f aca="false">IF($B646="","",IF($E646="대체",0,1))</f>
        <v/>
      </c>
    </row>
    <row r="647" customFormat="false" ht="15" hidden="false" customHeight="false" outlineLevel="0" collapsed="false">
      <c r="A647" s="36" t="str">
        <f aca="false">IF($B647="","",COUNT($B$15:$B647))</f>
        <v/>
      </c>
      <c r="B647" s="37"/>
      <c r="C647" s="38"/>
      <c r="D647" s="39"/>
      <c r="E647" s="36" t="str">
        <f aca="false">IF($D647="","",IFERROR(INDEX('통합 ④ 설정'!$A$6:$A$40,MATCH($D647,'통합 ④ 설정'!$B$6:$B$40,0)),"※없는 과목"))</f>
        <v/>
      </c>
      <c r="F647" s="36" t="str">
        <f aca="false">IF($D647="","",IFERROR(INDEX('통합 ④ 설정'!$C$6:$C$40,MATCH($D647,'통합 ④ 설정'!$B$6:$B$40,0)),""))</f>
        <v/>
      </c>
      <c r="G647" s="39"/>
      <c r="H647" s="39"/>
      <c r="I647" s="40"/>
      <c r="J647" s="41"/>
      <c r="K647" s="38"/>
      <c r="L647" s="42" t="str">
        <f aca="false">IF($B647="","",IF(AND(N($I647)=0,N($J647)=0),"금액이 없습니다",IF(AND($I647&gt;0,$J647&gt;0),"수입·지출 둘 다 적혔습니다",IF($C647="","결제수단을 고르십시오",IF(ISNA(MATCH($C647,'통합 ③ 통장·카드'!$A$5:$A$11,0)),"③ 통장·카드에 없는 결제수단입니다",IF($D647="","계정과목을 고르십시오",IF($E647="※없는 과목","④ 설정에 없는 과목입니다",IF(AND($E647="수입",$J647&gt;0),"수입 과목인데 지출에 적혔습니다",IF(AND(LEFT($E647,2)&lt;&gt;"수입",$E647&lt;&gt;"대체",$I647&gt;0),"지출 과목인데 수입에 적혔습니다",IF($K647="","증빙을 고르십시오",IF(AND($C647="바우처통장",$J647&gt;0,IFERROR(INDEX('통합 ④ 설정'!$E$6:$E$40,MATCH($D647,'통합 ④ 설정'!$B$6:$B$40,0)),"")&lt;&gt;"○"),"바우처통장 지출 — 목적 확인",IF($H647="","적요를 적으십시오",""))))))))))))</f>
        <v/>
      </c>
      <c r="M647" s="39"/>
      <c r="O647" s="11" t="str">
        <f aca="false">IF($B647="","",YEAR($B647)*100+MONTH($B647))</f>
        <v/>
      </c>
      <c r="P647" s="11" t="str">
        <f aca="false">IF($B647="","",IF($E647="대체",0,1))</f>
        <v/>
      </c>
    </row>
    <row r="648" customFormat="false" ht="15" hidden="false" customHeight="false" outlineLevel="0" collapsed="false">
      <c r="A648" s="36" t="str">
        <f aca="false">IF($B648="","",COUNT($B$15:$B648))</f>
        <v/>
      </c>
      <c r="B648" s="37"/>
      <c r="C648" s="38"/>
      <c r="D648" s="39"/>
      <c r="E648" s="36" t="str">
        <f aca="false">IF($D648="","",IFERROR(INDEX('통합 ④ 설정'!$A$6:$A$40,MATCH($D648,'통합 ④ 설정'!$B$6:$B$40,0)),"※없는 과목"))</f>
        <v/>
      </c>
      <c r="F648" s="36" t="str">
        <f aca="false">IF($D648="","",IFERROR(INDEX('통합 ④ 설정'!$C$6:$C$40,MATCH($D648,'통합 ④ 설정'!$B$6:$B$40,0)),""))</f>
        <v/>
      </c>
      <c r="G648" s="39"/>
      <c r="H648" s="39"/>
      <c r="I648" s="40"/>
      <c r="J648" s="41"/>
      <c r="K648" s="38"/>
      <c r="L648" s="42" t="str">
        <f aca="false">IF($B648="","",IF(AND(N($I648)=0,N($J648)=0),"금액이 없습니다",IF(AND($I648&gt;0,$J648&gt;0),"수입·지출 둘 다 적혔습니다",IF($C648="","결제수단을 고르십시오",IF(ISNA(MATCH($C648,'통합 ③ 통장·카드'!$A$5:$A$11,0)),"③ 통장·카드에 없는 결제수단입니다",IF($D648="","계정과목을 고르십시오",IF($E648="※없는 과목","④ 설정에 없는 과목입니다",IF(AND($E648="수입",$J648&gt;0),"수입 과목인데 지출에 적혔습니다",IF(AND(LEFT($E648,2)&lt;&gt;"수입",$E648&lt;&gt;"대체",$I648&gt;0),"지출 과목인데 수입에 적혔습니다",IF($K648="","증빙을 고르십시오",IF(AND($C648="바우처통장",$J648&gt;0,IFERROR(INDEX('통합 ④ 설정'!$E$6:$E$40,MATCH($D648,'통합 ④ 설정'!$B$6:$B$40,0)),"")&lt;&gt;"○"),"바우처통장 지출 — 목적 확인",IF($H648="","적요를 적으십시오",""))))))))))))</f>
        <v/>
      </c>
      <c r="M648" s="39"/>
      <c r="O648" s="11" t="str">
        <f aca="false">IF($B648="","",YEAR($B648)*100+MONTH($B648))</f>
        <v/>
      </c>
      <c r="P648" s="11" t="str">
        <f aca="false">IF($B648="","",IF($E648="대체",0,1))</f>
        <v/>
      </c>
    </row>
    <row r="649" customFormat="false" ht="15" hidden="false" customHeight="false" outlineLevel="0" collapsed="false">
      <c r="A649" s="36" t="str">
        <f aca="false">IF($B649="","",COUNT($B$15:$B649))</f>
        <v/>
      </c>
      <c r="B649" s="37"/>
      <c r="C649" s="38"/>
      <c r="D649" s="39"/>
      <c r="E649" s="36" t="str">
        <f aca="false">IF($D649="","",IFERROR(INDEX('통합 ④ 설정'!$A$6:$A$40,MATCH($D649,'통합 ④ 설정'!$B$6:$B$40,0)),"※없는 과목"))</f>
        <v/>
      </c>
      <c r="F649" s="36" t="str">
        <f aca="false">IF($D649="","",IFERROR(INDEX('통합 ④ 설정'!$C$6:$C$40,MATCH($D649,'통합 ④ 설정'!$B$6:$B$40,0)),""))</f>
        <v/>
      </c>
      <c r="G649" s="39"/>
      <c r="H649" s="39"/>
      <c r="I649" s="40"/>
      <c r="J649" s="41"/>
      <c r="K649" s="38"/>
      <c r="L649" s="42" t="str">
        <f aca="false">IF($B649="","",IF(AND(N($I649)=0,N($J649)=0),"금액이 없습니다",IF(AND($I649&gt;0,$J649&gt;0),"수입·지출 둘 다 적혔습니다",IF($C649="","결제수단을 고르십시오",IF(ISNA(MATCH($C649,'통합 ③ 통장·카드'!$A$5:$A$11,0)),"③ 통장·카드에 없는 결제수단입니다",IF($D649="","계정과목을 고르십시오",IF($E649="※없는 과목","④ 설정에 없는 과목입니다",IF(AND($E649="수입",$J649&gt;0),"수입 과목인데 지출에 적혔습니다",IF(AND(LEFT($E649,2)&lt;&gt;"수입",$E649&lt;&gt;"대체",$I649&gt;0),"지출 과목인데 수입에 적혔습니다",IF($K649="","증빙을 고르십시오",IF(AND($C649="바우처통장",$J649&gt;0,IFERROR(INDEX('통합 ④ 설정'!$E$6:$E$40,MATCH($D649,'통합 ④ 설정'!$B$6:$B$40,0)),"")&lt;&gt;"○"),"바우처통장 지출 — 목적 확인",IF($H649="","적요를 적으십시오",""))))))))))))</f>
        <v/>
      </c>
      <c r="M649" s="39"/>
      <c r="O649" s="11" t="str">
        <f aca="false">IF($B649="","",YEAR($B649)*100+MONTH($B649))</f>
        <v/>
      </c>
      <c r="P649" s="11" t="str">
        <f aca="false">IF($B649="","",IF($E649="대체",0,1))</f>
        <v/>
      </c>
    </row>
    <row r="650" customFormat="false" ht="15" hidden="false" customHeight="false" outlineLevel="0" collapsed="false">
      <c r="A650" s="36" t="str">
        <f aca="false">IF($B650="","",COUNT($B$15:$B650))</f>
        <v/>
      </c>
      <c r="B650" s="37"/>
      <c r="C650" s="38"/>
      <c r="D650" s="39"/>
      <c r="E650" s="36" t="str">
        <f aca="false">IF($D650="","",IFERROR(INDEX('통합 ④ 설정'!$A$6:$A$40,MATCH($D650,'통합 ④ 설정'!$B$6:$B$40,0)),"※없는 과목"))</f>
        <v/>
      </c>
      <c r="F650" s="36" t="str">
        <f aca="false">IF($D650="","",IFERROR(INDEX('통합 ④ 설정'!$C$6:$C$40,MATCH($D650,'통합 ④ 설정'!$B$6:$B$40,0)),""))</f>
        <v/>
      </c>
      <c r="G650" s="39"/>
      <c r="H650" s="39"/>
      <c r="I650" s="40"/>
      <c r="J650" s="41"/>
      <c r="K650" s="38"/>
      <c r="L650" s="42" t="str">
        <f aca="false">IF($B650="","",IF(AND(N($I650)=0,N($J650)=0),"금액이 없습니다",IF(AND($I650&gt;0,$J650&gt;0),"수입·지출 둘 다 적혔습니다",IF($C650="","결제수단을 고르십시오",IF(ISNA(MATCH($C650,'통합 ③ 통장·카드'!$A$5:$A$11,0)),"③ 통장·카드에 없는 결제수단입니다",IF($D650="","계정과목을 고르십시오",IF($E650="※없는 과목","④ 설정에 없는 과목입니다",IF(AND($E650="수입",$J650&gt;0),"수입 과목인데 지출에 적혔습니다",IF(AND(LEFT($E650,2)&lt;&gt;"수입",$E650&lt;&gt;"대체",$I650&gt;0),"지출 과목인데 수입에 적혔습니다",IF($K650="","증빙을 고르십시오",IF(AND($C650="바우처통장",$J650&gt;0,IFERROR(INDEX('통합 ④ 설정'!$E$6:$E$40,MATCH($D650,'통합 ④ 설정'!$B$6:$B$40,0)),"")&lt;&gt;"○"),"바우처통장 지출 — 목적 확인",IF($H650="","적요를 적으십시오",""))))))))))))</f>
        <v/>
      </c>
      <c r="M650" s="39"/>
      <c r="O650" s="11" t="str">
        <f aca="false">IF($B650="","",YEAR($B650)*100+MONTH($B650))</f>
        <v/>
      </c>
      <c r="P650" s="11" t="str">
        <f aca="false">IF($B650="","",IF($E650="대체",0,1))</f>
        <v/>
      </c>
    </row>
    <row r="651" customFormat="false" ht="15" hidden="false" customHeight="false" outlineLevel="0" collapsed="false">
      <c r="A651" s="36" t="str">
        <f aca="false">IF($B651="","",COUNT($B$15:$B651))</f>
        <v/>
      </c>
      <c r="B651" s="37"/>
      <c r="C651" s="38"/>
      <c r="D651" s="39"/>
      <c r="E651" s="36" t="str">
        <f aca="false">IF($D651="","",IFERROR(INDEX('통합 ④ 설정'!$A$6:$A$40,MATCH($D651,'통합 ④ 설정'!$B$6:$B$40,0)),"※없는 과목"))</f>
        <v/>
      </c>
      <c r="F651" s="36" t="str">
        <f aca="false">IF($D651="","",IFERROR(INDEX('통합 ④ 설정'!$C$6:$C$40,MATCH($D651,'통합 ④ 설정'!$B$6:$B$40,0)),""))</f>
        <v/>
      </c>
      <c r="G651" s="39"/>
      <c r="H651" s="39"/>
      <c r="I651" s="40"/>
      <c r="J651" s="41"/>
      <c r="K651" s="38"/>
      <c r="L651" s="42" t="str">
        <f aca="false">IF($B651="","",IF(AND(N($I651)=0,N($J651)=0),"금액이 없습니다",IF(AND($I651&gt;0,$J651&gt;0),"수입·지출 둘 다 적혔습니다",IF($C651="","결제수단을 고르십시오",IF(ISNA(MATCH($C651,'통합 ③ 통장·카드'!$A$5:$A$11,0)),"③ 통장·카드에 없는 결제수단입니다",IF($D651="","계정과목을 고르십시오",IF($E651="※없는 과목","④ 설정에 없는 과목입니다",IF(AND($E651="수입",$J651&gt;0),"수입 과목인데 지출에 적혔습니다",IF(AND(LEFT($E651,2)&lt;&gt;"수입",$E651&lt;&gt;"대체",$I651&gt;0),"지출 과목인데 수입에 적혔습니다",IF($K651="","증빙을 고르십시오",IF(AND($C651="바우처통장",$J651&gt;0,IFERROR(INDEX('통합 ④ 설정'!$E$6:$E$40,MATCH($D651,'통합 ④ 설정'!$B$6:$B$40,0)),"")&lt;&gt;"○"),"바우처통장 지출 — 목적 확인",IF($H651="","적요를 적으십시오",""))))))))))))</f>
        <v/>
      </c>
      <c r="M651" s="39"/>
      <c r="O651" s="11" t="str">
        <f aca="false">IF($B651="","",YEAR($B651)*100+MONTH($B651))</f>
        <v/>
      </c>
      <c r="P651" s="11" t="str">
        <f aca="false">IF($B651="","",IF($E651="대체",0,1))</f>
        <v/>
      </c>
    </row>
    <row r="652" customFormat="false" ht="15" hidden="false" customHeight="false" outlineLevel="0" collapsed="false">
      <c r="A652" s="36" t="str">
        <f aca="false">IF($B652="","",COUNT($B$15:$B652))</f>
        <v/>
      </c>
      <c r="B652" s="37"/>
      <c r="C652" s="38"/>
      <c r="D652" s="39"/>
      <c r="E652" s="36" t="str">
        <f aca="false">IF($D652="","",IFERROR(INDEX('통합 ④ 설정'!$A$6:$A$40,MATCH($D652,'통합 ④ 설정'!$B$6:$B$40,0)),"※없는 과목"))</f>
        <v/>
      </c>
      <c r="F652" s="36" t="str">
        <f aca="false">IF($D652="","",IFERROR(INDEX('통합 ④ 설정'!$C$6:$C$40,MATCH($D652,'통합 ④ 설정'!$B$6:$B$40,0)),""))</f>
        <v/>
      </c>
      <c r="G652" s="39"/>
      <c r="H652" s="39"/>
      <c r="I652" s="40"/>
      <c r="J652" s="41"/>
      <c r="K652" s="38"/>
      <c r="L652" s="42" t="str">
        <f aca="false">IF($B652="","",IF(AND(N($I652)=0,N($J652)=0),"금액이 없습니다",IF(AND($I652&gt;0,$J652&gt;0),"수입·지출 둘 다 적혔습니다",IF($C652="","결제수단을 고르십시오",IF(ISNA(MATCH($C652,'통합 ③ 통장·카드'!$A$5:$A$11,0)),"③ 통장·카드에 없는 결제수단입니다",IF($D652="","계정과목을 고르십시오",IF($E652="※없는 과목","④ 설정에 없는 과목입니다",IF(AND($E652="수입",$J652&gt;0),"수입 과목인데 지출에 적혔습니다",IF(AND(LEFT($E652,2)&lt;&gt;"수입",$E652&lt;&gt;"대체",$I652&gt;0),"지출 과목인데 수입에 적혔습니다",IF($K652="","증빙을 고르십시오",IF(AND($C652="바우처통장",$J652&gt;0,IFERROR(INDEX('통합 ④ 설정'!$E$6:$E$40,MATCH($D652,'통합 ④ 설정'!$B$6:$B$40,0)),"")&lt;&gt;"○"),"바우처통장 지출 — 목적 확인",IF($H652="","적요를 적으십시오",""))))))))))))</f>
        <v/>
      </c>
      <c r="M652" s="39"/>
      <c r="O652" s="11" t="str">
        <f aca="false">IF($B652="","",YEAR($B652)*100+MONTH($B652))</f>
        <v/>
      </c>
      <c r="P652" s="11" t="str">
        <f aca="false">IF($B652="","",IF($E652="대체",0,1))</f>
        <v/>
      </c>
    </row>
    <row r="653" customFormat="false" ht="15" hidden="false" customHeight="false" outlineLevel="0" collapsed="false">
      <c r="A653" s="36" t="str">
        <f aca="false">IF($B653="","",COUNT($B$15:$B653))</f>
        <v/>
      </c>
      <c r="B653" s="37"/>
      <c r="C653" s="38"/>
      <c r="D653" s="39"/>
      <c r="E653" s="36" t="str">
        <f aca="false">IF($D653="","",IFERROR(INDEX('통합 ④ 설정'!$A$6:$A$40,MATCH($D653,'통합 ④ 설정'!$B$6:$B$40,0)),"※없는 과목"))</f>
        <v/>
      </c>
      <c r="F653" s="36" t="str">
        <f aca="false">IF($D653="","",IFERROR(INDEX('통합 ④ 설정'!$C$6:$C$40,MATCH($D653,'통합 ④ 설정'!$B$6:$B$40,0)),""))</f>
        <v/>
      </c>
      <c r="G653" s="39"/>
      <c r="H653" s="39"/>
      <c r="I653" s="40"/>
      <c r="J653" s="41"/>
      <c r="K653" s="38"/>
      <c r="L653" s="42" t="str">
        <f aca="false">IF($B653="","",IF(AND(N($I653)=0,N($J653)=0),"금액이 없습니다",IF(AND($I653&gt;0,$J653&gt;0),"수입·지출 둘 다 적혔습니다",IF($C653="","결제수단을 고르십시오",IF(ISNA(MATCH($C653,'통합 ③ 통장·카드'!$A$5:$A$11,0)),"③ 통장·카드에 없는 결제수단입니다",IF($D653="","계정과목을 고르십시오",IF($E653="※없는 과목","④ 설정에 없는 과목입니다",IF(AND($E653="수입",$J653&gt;0),"수입 과목인데 지출에 적혔습니다",IF(AND(LEFT($E653,2)&lt;&gt;"수입",$E653&lt;&gt;"대체",$I653&gt;0),"지출 과목인데 수입에 적혔습니다",IF($K653="","증빙을 고르십시오",IF(AND($C653="바우처통장",$J653&gt;0,IFERROR(INDEX('통합 ④ 설정'!$E$6:$E$40,MATCH($D653,'통합 ④ 설정'!$B$6:$B$40,0)),"")&lt;&gt;"○"),"바우처통장 지출 — 목적 확인",IF($H653="","적요를 적으십시오",""))))))))))))</f>
        <v/>
      </c>
      <c r="M653" s="39"/>
      <c r="O653" s="11" t="str">
        <f aca="false">IF($B653="","",YEAR($B653)*100+MONTH($B653))</f>
        <v/>
      </c>
      <c r="P653" s="11" t="str">
        <f aca="false">IF($B653="","",IF($E653="대체",0,1))</f>
        <v/>
      </c>
    </row>
    <row r="654" customFormat="false" ht="15" hidden="false" customHeight="false" outlineLevel="0" collapsed="false">
      <c r="A654" s="36" t="str">
        <f aca="false">IF($B654="","",COUNT($B$15:$B654))</f>
        <v/>
      </c>
      <c r="B654" s="37"/>
      <c r="C654" s="38"/>
      <c r="D654" s="39"/>
      <c r="E654" s="36" t="str">
        <f aca="false">IF($D654="","",IFERROR(INDEX('통합 ④ 설정'!$A$6:$A$40,MATCH($D654,'통합 ④ 설정'!$B$6:$B$40,0)),"※없는 과목"))</f>
        <v/>
      </c>
      <c r="F654" s="36" t="str">
        <f aca="false">IF($D654="","",IFERROR(INDEX('통합 ④ 설정'!$C$6:$C$40,MATCH($D654,'통합 ④ 설정'!$B$6:$B$40,0)),""))</f>
        <v/>
      </c>
      <c r="G654" s="39"/>
      <c r="H654" s="39"/>
      <c r="I654" s="40"/>
      <c r="J654" s="41"/>
      <c r="K654" s="38"/>
      <c r="L654" s="42" t="str">
        <f aca="false">IF($B654="","",IF(AND(N($I654)=0,N($J654)=0),"금액이 없습니다",IF(AND($I654&gt;0,$J654&gt;0),"수입·지출 둘 다 적혔습니다",IF($C654="","결제수단을 고르십시오",IF(ISNA(MATCH($C654,'통합 ③ 통장·카드'!$A$5:$A$11,0)),"③ 통장·카드에 없는 결제수단입니다",IF($D654="","계정과목을 고르십시오",IF($E654="※없는 과목","④ 설정에 없는 과목입니다",IF(AND($E654="수입",$J654&gt;0),"수입 과목인데 지출에 적혔습니다",IF(AND(LEFT($E654,2)&lt;&gt;"수입",$E654&lt;&gt;"대체",$I654&gt;0),"지출 과목인데 수입에 적혔습니다",IF($K654="","증빙을 고르십시오",IF(AND($C654="바우처통장",$J654&gt;0,IFERROR(INDEX('통합 ④ 설정'!$E$6:$E$40,MATCH($D654,'통합 ④ 설정'!$B$6:$B$40,0)),"")&lt;&gt;"○"),"바우처통장 지출 — 목적 확인",IF($H654="","적요를 적으십시오",""))))))))))))</f>
        <v/>
      </c>
      <c r="M654" s="39"/>
      <c r="O654" s="11" t="str">
        <f aca="false">IF($B654="","",YEAR($B654)*100+MONTH($B654))</f>
        <v/>
      </c>
      <c r="P654" s="11" t="str">
        <f aca="false">IF($B654="","",IF($E654="대체",0,1))</f>
        <v/>
      </c>
    </row>
    <row r="655" customFormat="false" ht="15" hidden="false" customHeight="false" outlineLevel="0" collapsed="false">
      <c r="A655" s="36" t="str">
        <f aca="false">IF($B655="","",COUNT($B$15:$B655))</f>
        <v/>
      </c>
      <c r="B655" s="37"/>
      <c r="C655" s="38"/>
      <c r="D655" s="39"/>
      <c r="E655" s="36" t="str">
        <f aca="false">IF($D655="","",IFERROR(INDEX('통합 ④ 설정'!$A$6:$A$40,MATCH($D655,'통합 ④ 설정'!$B$6:$B$40,0)),"※없는 과목"))</f>
        <v/>
      </c>
      <c r="F655" s="36" t="str">
        <f aca="false">IF($D655="","",IFERROR(INDEX('통합 ④ 설정'!$C$6:$C$40,MATCH($D655,'통합 ④ 설정'!$B$6:$B$40,0)),""))</f>
        <v/>
      </c>
      <c r="G655" s="39"/>
      <c r="H655" s="39"/>
      <c r="I655" s="40"/>
      <c r="J655" s="41"/>
      <c r="K655" s="38"/>
      <c r="L655" s="42" t="str">
        <f aca="false">IF($B655="","",IF(AND(N($I655)=0,N($J655)=0),"금액이 없습니다",IF(AND($I655&gt;0,$J655&gt;0),"수입·지출 둘 다 적혔습니다",IF($C655="","결제수단을 고르십시오",IF(ISNA(MATCH($C655,'통합 ③ 통장·카드'!$A$5:$A$11,0)),"③ 통장·카드에 없는 결제수단입니다",IF($D655="","계정과목을 고르십시오",IF($E655="※없는 과목","④ 설정에 없는 과목입니다",IF(AND($E655="수입",$J655&gt;0),"수입 과목인데 지출에 적혔습니다",IF(AND(LEFT($E655,2)&lt;&gt;"수입",$E655&lt;&gt;"대체",$I655&gt;0),"지출 과목인데 수입에 적혔습니다",IF($K655="","증빙을 고르십시오",IF(AND($C655="바우처통장",$J655&gt;0,IFERROR(INDEX('통합 ④ 설정'!$E$6:$E$40,MATCH($D655,'통합 ④ 설정'!$B$6:$B$40,0)),"")&lt;&gt;"○"),"바우처통장 지출 — 목적 확인",IF($H655="","적요를 적으십시오",""))))))))))))</f>
        <v/>
      </c>
      <c r="M655" s="39"/>
      <c r="O655" s="11" t="str">
        <f aca="false">IF($B655="","",YEAR($B655)*100+MONTH($B655))</f>
        <v/>
      </c>
      <c r="P655" s="11" t="str">
        <f aca="false">IF($B655="","",IF($E655="대체",0,1))</f>
        <v/>
      </c>
    </row>
    <row r="656" customFormat="false" ht="15" hidden="false" customHeight="false" outlineLevel="0" collapsed="false">
      <c r="A656" s="36" t="str">
        <f aca="false">IF($B656="","",COUNT($B$15:$B656))</f>
        <v/>
      </c>
      <c r="B656" s="37"/>
      <c r="C656" s="38"/>
      <c r="D656" s="39"/>
      <c r="E656" s="36" t="str">
        <f aca="false">IF($D656="","",IFERROR(INDEX('통합 ④ 설정'!$A$6:$A$40,MATCH($D656,'통합 ④ 설정'!$B$6:$B$40,0)),"※없는 과목"))</f>
        <v/>
      </c>
      <c r="F656" s="36" t="str">
        <f aca="false">IF($D656="","",IFERROR(INDEX('통합 ④ 설정'!$C$6:$C$40,MATCH($D656,'통합 ④ 설정'!$B$6:$B$40,0)),""))</f>
        <v/>
      </c>
      <c r="G656" s="39"/>
      <c r="H656" s="39"/>
      <c r="I656" s="40"/>
      <c r="J656" s="41"/>
      <c r="K656" s="38"/>
      <c r="L656" s="42" t="str">
        <f aca="false">IF($B656="","",IF(AND(N($I656)=0,N($J656)=0),"금액이 없습니다",IF(AND($I656&gt;0,$J656&gt;0),"수입·지출 둘 다 적혔습니다",IF($C656="","결제수단을 고르십시오",IF(ISNA(MATCH($C656,'통합 ③ 통장·카드'!$A$5:$A$11,0)),"③ 통장·카드에 없는 결제수단입니다",IF($D656="","계정과목을 고르십시오",IF($E656="※없는 과목","④ 설정에 없는 과목입니다",IF(AND($E656="수입",$J656&gt;0),"수입 과목인데 지출에 적혔습니다",IF(AND(LEFT($E656,2)&lt;&gt;"수입",$E656&lt;&gt;"대체",$I656&gt;0),"지출 과목인데 수입에 적혔습니다",IF($K656="","증빙을 고르십시오",IF(AND($C656="바우처통장",$J656&gt;0,IFERROR(INDEX('통합 ④ 설정'!$E$6:$E$40,MATCH($D656,'통합 ④ 설정'!$B$6:$B$40,0)),"")&lt;&gt;"○"),"바우처통장 지출 — 목적 확인",IF($H656="","적요를 적으십시오",""))))))))))))</f>
        <v/>
      </c>
      <c r="M656" s="39"/>
      <c r="O656" s="11" t="str">
        <f aca="false">IF($B656="","",YEAR($B656)*100+MONTH($B656))</f>
        <v/>
      </c>
      <c r="P656" s="11" t="str">
        <f aca="false">IF($B656="","",IF($E656="대체",0,1))</f>
        <v/>
      </c>
    </row>
    <row r="657" customFormat="false" ht="15" hidden="false" customHeight="false" outlineLevel="0" collapsed="false">
      <c r="A657" s="36" t="str">
        <f aca="false">IF($B657="","",COUNT($B$15:$B657))</f>
        <v/>
      </c>
      <c r="B657" s="37"/>
      <c r="C657" s="38"/>
      <c r="D657" s="39"/>
      <c r="E657" s="36" t="str">
        <f aca="false">IF($D657="","",IFERROR(INDEX('통합 ④ 설정'!$A$6:$A$40,MATCH($D657,'통합 ④ 설정'!$B$6:$B$40,0)),"※없는 과목"))</f>
        <v/>
      </c>
      <c r="F657" s="36" t="str">
        <f aca="false">IF($D657="","",IFERROR(INDEX('통합 ④ 설정'!$C$6:$C$40,MATCH($D657,'통합 ④ 설정'!$B$6:$B$40,0)),""))</f>
        <v/>
      </c>
      <c r="G657" s="39"/>
      <c r="H657" s="39"/>
      <c r="I657" s="40"/>
      <c r="J657" s="41"/>
      <c r="K657" s="38"/>
      <c r="L657" s="42" t="str">
        <f aca="false">IF($B657="","",IF(AND(N($I657)=0,N($J657)=0),"금액이 없습니다",IF(AND($I657&gt;0,$J657&gt;0),"수입·지출 둘 다 적혔습니다",IF($C657="","결제수단을 고르십시오",IF(ISNA(MATCH($C657,'통합 ③ 통장·카드'!$A$5:$A$11,0)),"③ 통장·카드에 없는 결제수단입니다",IF($D657="","계정과목을 고르십시오",IF($E657="※없는 과목","④ 설정에 없는 과목입니다",IF(AND($E657="수입",$J657&gt;0),"수입 과목인데 지출에 적혔습니다",IF(AND(LEFT($E657,2)&lt;&gt;"수입",$E657&lt;&gt;"대체",$I657&gt;0),"지출 과목인데 수입에 적혔습니다",IF($K657="","증빙을 고르십시오",IF(AND($C657="바우처통장",$J657&gt;0,IFERROR(INDEX('통합 ④ 설정'!$E$6:$E$40,MATCH($D657,'통합 ④ 설정'!$B$6:$B$40,0)),"")&lt;&gt;"○"),"바우처통장 지출 — 목적 확인",IF($H657="","적요를 적으십시오",""))))))))))))</f>
        <v/>
      </c>
      <c r="M657" s="39"/>
      <c r="O657" s="11" t="str">
        <f aca="false">IF($B657="","",YEAR($B657)*100+MONTH($B657))</f>
        <v/>
      </c>
      <c r="P657" s="11" t="str">
        <f aca="false">IF($B657="","",IF($E657="대체",0,1))</f>
        <v/>
      </c>
    </row>
    <row r="658" customFormat="false" ht="15" hidden="false" customHeight="false" outlineLevel="0" collapsed="false">
      <c r="A658" s="36" t="str">
        <f aca="false">IF($B658="","",COUNT($B$15:$B658))</f>
        <v/>
      </c>
      <c r="B658" s="37"/>
      <c r="C658" s="38"/>
      <c r="D658" s="39"/>
      <c r="E658" s="36" t="str">
        <f aca="false">IF($D658="","",IFERROR(INDEX('통합 ④ 설정'!$A$6:$A$40,MATCH($D658,'통합 ④ 설정'!$B$6:$B$40,0)),"※없는 과목"))</f>
        <v/>
      </c>
      <c r="F658" s="36" t="str">
        <f aca="false">IF($D658="","",IFERROR(INDEX('통합 ④ 설정'!$C$6:$C$40,MATCH($D658,'통합 ④ 설정'!$B$6:$B$40,0)),""))</f>
        <v/>
      </c>
      <c r="G658" s="39"/>
      <c r="H658" s="39"/>
      <c r="I658" s="40"/>
      <c r="J658" s="41"/>
      <c r="K658" s="38"/>
      <c r="L658" s="42" t="str">
        <f aca="false">IF($B658="","",IF(AND(N($I658)=0,N($J658)=0),"금액이 없습니다",IF(AND($I658&gt;0,$J658&gt;0),"수입·지출 둘 다 적혔습니다",IF($C658="","결제수단을 고르십시오",IF(ISNA(MATCH($C658,'통합 ③ 통장·카드'!$A$5:$A$11,0)),"③ 통장·카드에 없는 결제수단입니다",IF($D658="","계정과목을 고르십시오",IF($E658="※없는 과목","④ 설정에 없는 과목입니다",IF(AND($E658="수입",$J658&gt;0),"수입 과목인데 지출에 적혔습니다",IF(AND(LEFT($E658,2)&lt;&gt;"수입",$E658&lt;&gt;"대체",$I658&gt;0),"지출 과목인데 수입에 적혔습니다",IF($K658="","증빙을 고르십시오",IF(AND($C658="바우처통장",$J658&gt;0,IFERROR(INDEX('통합 ④ 설정'!$E$6:$E$40,MATCH($D658,'통합 ④ 설정'!$B$6:$B$40,0)),"")&lt;&gt;"○"),"바우처통장 지출 — 목적 확인",IF($H658="","적요를 적으십시오",""))))))))))))</f>
        <v/>
      </c>
      <c r="M658" s="39"/>
      <c r="O658" s="11" t="str">
        <f aca="false">IF($B658="","",YEAR($B658)*100+MONTH($B658))</f>
        <v/>
      </c>
      <c r="P658" s="11" t="str">
        <f aca="false">IF($B658="","",IF($E658="대체",0,1))</f>
        <v/>
      </c>
    </row>
    <row r="659" customFormat="false" ht="15" hidden="false" customHeight="false" outlineLevel="0" collapsed="false">
      <c r="A659" s="36" t="str">
        <f aca="false">IF($B659="","",COUNT($B$15:$B659))</f>
        <v/>
      </c>
      <c r="B659" s="37"/>
      <c r="C659" s="38"/>
      <c r="D659" s="39"/>
      <c r="E659" s="36" t="str">
        <f aca="false">IF($D659="","",IFERROR(INDEX('통합 ④ 설정'!$A$6:$A$40,MATCH($D659,'통합 ④ 설정'!$B$6:$B$40,0)),"※없는 과목"))</f>
        <v/>
      </c>
      <c r="F659" s="36" t="str">
        <f aca="false">IF($D659="","",IFERROR(INDEX('통합 ④ 설정'!$C$6:$C$40,MATCH($D659,'통합 ④ 설정'!$B$6:$B$40,0)),""))</f>
        <v/>
      </c>
      <c r="G659" s="39"/>
      <c r="H659" s="39"/>
      <c r="I659" s="40"/>
      <c r="J659" s="41"/>
      <c r="K659" s="38"/>
      <c r="L659" s="42" t="str">
        <f aca="false">IF($B659="","",IF(AND(N($I659)=0,N($J659)=0),"금액이 없습니다",IF(AND($I659&gt;0,$J659&gt;0),"수입·지출 둘 다 적혔습니다",IF($C659="","결제수단을 고르십시오",IF(ISNA(MATCH($C659,'통합 ③ 통장·카드'!$A$5:$A$11,0)),"③ 통장·카드에 없는 결제수단입니다",IF($D659="","계정과목을 고르십시오",IF($E659="※없는 과목","④ 설정에 없는 과목입니다",IF(AND($E659="수입",$J659&gt;0),"수입 과목인데 지출에 적혔습니다",IF(AND(LEFT($E659,2)&lt;&gt;"수입",$E659&lt;&gt;"대체",$I659&gt;0),"지출 과목인데 수입에 적혔습니다",IF($K659="","증빙을 고르십시오",IF(AND($C659="바우처통장",$J659&gt;0,IFERROR(INDEX('통합 ④ 설정'!$E$6:$E$40,MATCH($D659,'통합 ④ 설정'!$B$6:$B$40,0)),"")&lt;&gt;"○"),"바우처통장 지출 — 목적 확인",IF($H659="","적요를 적으십시오",""))))))))))))</f>
        <v/>
      </c>
      <c r="M659" s="39"/>
      <c r="O659" s="11" t="str">
        <f aca="false">IF($B659="","",YEAR($B659)*100+MONTH($B659))</f>
        <v/>
      </c>
      <c r="P659" s="11" t="str">
        <f aca="false">IF($B659="","",IF($E659="대체",0,1))</f>
        <v/>
      </c>
    </row>
    <row r="660" customFormat="false" ht="15" hidden="false" customHeight="false" outlineLevel="0" collapsed="false">
      <c r="A660" s="36" t="str">
        <f aca="false">IF($B660="","",COUNT($B$15:$B660))</f>
        <v/>
      </c>
      <c r="B660" s="37"/>
      <c r="C660" s="38"/>
      <c r="D660" s="39"/>
      <c r="E660" s="36" t="str">
        <f aca="false">IF($D660="","",IFERROR(INDEX('통합 ④ 설정'!$A$6:$A$40,MATCH($D660,'통합 ④ 설정'!$B$6:$B$40,0)),"※없는 과목"))</f>
        <v/>
      </c>
      <c r="F660" s="36" t="str">
        <f aca="false">IF($D660="","",IFERROR(INDEX('통합 ④ 설정'!$C$6:$C$40,MATCH($D660,'통합 ④ 설정'!$B$6:$B$40,0)),""))</f>
        <v/>
      </c>
      <c r="G660" s="39"/>
      <c r="H660" s="39"/>
      <c r="I660" s="40"/>
      <c r="J660" s="41"/>
      <c r="K660" s="38"/>
      <c r="L660" s="42" t="str">
        <f aca="false">IF($B660="","",IF(AND(N($I660)=0,N($J660)=0),"금액이 없습니다",IF(AND($I660&gt;0,$J660&gt;0),"수입·지출 둘 다 적혔습니다",IF($C660="","결제수단을 고르십시오",IF(ISNA(MATCH($C660,'통합 ③ 통장·카드'!$A$5:$A$11,0)),"③ 통장·카드에 없는 결제수단입니다",IF($D660="","계정과목을 고르십시오",IF($E660="※없는 과목","④ 설정에 없는 과목입니다",IF(AND($E660="수입",$J660&gt;0),"수입 과목인데 지출에 적혔습니다",IF(AND(LEFT($E660,2)&lt;&gt;"수입",$E660&lt;&gt;"대체",$I660&gt;0),"지출 과목인데 수입에 적혔습니다",IF($K660="","증빙을 고르십시오",IF(AND($C660="바우처통장",$J660&gt;0,IFERROR(INDEX('통합 ④ 설정'!$E$6:$E$40,MATCH($D660,'통합 ④ 설정'!$B$6:$B$40,0)),"")&lt;&gt;"○"),"바우처통장 지출 — 목적 확인",IF($H660="","적요를 적으십시오",""))))))))))))</f>
        <v/>
      </c>
      <c r="M660" s="39"/>
      <c r="O660" s="11" t="str">
        <f aca="false">IF($B660="","",YEAR($B660)*100+MONTH($B660))</f>
        <v/>
      </c>
      <c r="P660" s="11" t="str">
        <f aca="false">IF($B660="","",IF($E660="대체",0,1))</f>
        <v/>
      </c>
    </row>
    <row r="661" customFormat="false" ht="15" hidden="false" customHeight="false" outlineLevel="0" collapsed="false">
      <c r="A661" s="36" t="str">
        <f aca="false">IF($B661="","",COUNT($B$15:$B661))</f>
        <v/>
      </c>
      <c r="B661" s="37"/>
      <c r="C661" s="38"/>
      <c r="D661" s="39"/>
      <c r="E661" s="36" t="str">
        <f aca="false">IF($D661="","",IFERROR(INDEX('통합 ④ 설정'!$A$6:$A$40,MATCH($D661,'통합 ④ 설정'!$B$6:$B$40,0)),"※없는 과목"))</f>
        <v/>
      </c>
      <c r="F661" s="36" t="str">
        <f aca="false">IF($D661="","",IFERROR(INDEX('통합 ④ 설정'!$C$6:$C$40,MATCH($D661,'통합 ④ 설정'!$B$6:$B$40,0)),""))</f>
        <v/>
      </c>
      <c r="G661" s="39"/>
      <c r="H661" s="39"/>
      <c r="I661" s="40"/>
      <c r="J661" s="41"/>
      <c r="K661" s="38"/>
      <c r="L661" s="42" t="str">
        <f aca="false">IF($B661="","",IF(AND(N($I661)=0,N($J661)=0),"금액이 없습니다",IF(AND($I661&gt;0,$J661&gt;0),"수입·지출 둘 다 적혔습니다",IF($C661="","결제수단을 고르십시오",IF(ISNA(MATCH($C661,'통합 ③ 통장·카드'!$A$5:$A$11,0)),"③ 통장·카드에 없는 결제수단입니다",IF($D661="","계정과목을 고르십시오",IF($E661="※없는 과목","④ 설정에 없는 과목입니다",IF(AND($E661="수입",$J661&gt;0),"수입 과목인데 지출에 적혔습니다",IF(AND(LEFT($E661,2)&lt;&gt;"수입",$E661&lt;&gt;"대체",$I661&gt;0),"지출 과목인데 수입에 적혔습니다",IF($K661="","증빙을 고르십시오",IF(AND($C661="바우처통장",$J661&gt;0,IFERROR(INDEX('통합 ④ 설정'!$E$6:$E$40,MATCH($D661,'통합 ④ 설정'!$B$6:$B$40,0)),"")&lt;&gt;"○"),"바우처통장 지출 — 목적 확인",IF($H661="","적요를 적으십시오",""))))))))))))</f>
        <v/>
      </c>
      <c r="M661" s="39"/>
      <c r="O661" s="11" t="str">
        <f aca="false">IF($B661="","",YEAR($B661)*100+MONTH($B661))</f>
        <v/>
      </c>
      <c r="P661" s="11" t="str">
        <f aca="false">IF($B661="","",IF($E661="대체",0,1))</f>
        <v/>
      </c>
    </row>
    <row r="662" customFormat="false" ht="15" hidden="false" customHeight="false" outlineLevel="0" collapsed="false">
      <c r="A662" s="36" t="str">
        <f aca="false">IF($B662="","",COUNT($B$15:$B662))</f>
        <v/>
      </c>
      <c r="B662" s="37"/>
      <c r="C662" s="38"/>
      <c r="D662" s="39"/>
      <c r="E662" s="36" t="str">
        <f aca="false">IF($D662="","",IFERROR(INDEX('통합 ④ 설정'!$A$6:$A$40,MATCH($D662,'통합 ④ 설정'!$B$6:$B$40,0)),"※없는 과목"))</f>
        <v/>
      </c>
      <c r="F662" s="36" t="str">
        <f aca="false">IF($D662="","",IFERROR(INDEX('통합 ④ 설정'!$C$6:$C$40,MATCH($D662,'통합 ④ 설정'!$B$6:$B$40,0)),""))</f>
        <v/>
      </c>
      <c r="G662" s="39"/>
      <c r="H662" s="39"/>
      <c r="I662" s="40"/>
      <c r="J662" s="41"/>
      <c r="K662" s="38"/>
      <c r="L662" s="42" t="str">
        <f aca="false">IF($B662="","",IF(AND(N($I662)=0,N($J662)=0),"금액이 없습니다",IF(AND($I662&gt;0,$J662&gt;0),"수입·지출 둘 다 적혔습니다",IF($C662="","결제수단을 고르십시오",IF(ISNA(MATCH($C662,'통합 ③ 통장·카드'!$A$5:$A$11,0)),"③ 통장·카드에 없는 결제수단입니다",IF($D662="","계정과목을 고르십시오",IF($E662="※없는 과목","④ 설정에 없는 과목입니다",IF(AND($E662="수입",$J662&gt;0),"수입 과목인데 지출에 적혔습니다",IF(AND(LEFT($E662,2)&lt;&gt;"수입",$E662&lt;&gt;"대체",$I662&gt;0),"지출 과목인데 수입에 적혔습니다",IF($K662="","증빙을 고르십시오",IF(AND($C662="바우처통장",$J662&gt;0,IFERROR(INDEX('통합 ④ 설정'!$E$6:$E$40,MATCH($D662,'통합 ④ 설정'!$B$6:$B$40,0)),"")&lt;&gt;"○"),"바우처통장 지출 — 목적 확인",IF($H662="","적요를 적으십시오",""))))))))))))</f>
        <v/>
      </c>
      <c r="M662" s="39"/>
      <c r="O662" s="11" t="str">
        <f aca="false">IF($B662="","",YEAR($B662)*100+MONTH($B662))</f>
        <v/>
      </c>
      <c r="P662" s="11" t="str">
        <f aca="false">IF($B662="","",IF($E662="대체",0,1))</f>
        <v/>
      </c>
    </row>
    <row r="663" customFormat="false" ht="15" hidden="false" customHeight="false" outlineLevel="0" collapsed="false">
      <c r="A663" s="36" t="str">
        <f aca="false">IF($B663="","",COUNT($B$15:$B663))</f>
        <v/>
      </c>
      <c r="B663" s="37"/>
      <c r="C663" s="38"/>
      <c r="D663" s="39"/>
      <c r="E663" s="36" t="str">
        <f aca="false">IF($D663="","",IFERROR(INDEX('통합 ④ 설정'!$A$6:$A$40,MATCH($D663,'통합 ④ 설정'!$B$6:$B$40,0)),"※없는 과목"))</f>
        <v/>
      </c>
      <c r="F663" s="36" t="str">
        <f aca="false">IF($D663="","",IFERROR(INDEX('통합 ④ 설정'!$C$6:$C$40,MATCH($D663,'통합 ④ 설정'!$B$6:$B$40,0)),""))</f>
        <v/>
      </c>
      <c r="G663" s="39"/>
      <c r="H663" s="39"/>
      <c r="I663" s="40"/>
      <c r="J663" s="41"/>
      <c r="K663" s="38"/>
      <c r="L663" s="42" t="str">
        <f aca="false">IF($B663="","",IF(AND(N($I663)=0,N($J663)=0),"금액이 없습니다",IF(AND($I663&gt;0,$J663&gt;0),"수입·지출 둘 다 적혔습니다",IF($C663="","결제수단을 고르십시오",IF(ISNA(MATCH($C663,'통합 ③ 통장·카드'!$A$5:$A$11,0)),"③ 통장·카드에 없는 결제수단입니다",IF($D663="","계정과목을 고르십시오",IF($E663="※없는 과목","④ 설정에 없는 과목입니다",IF(AND($E663="수입",$J663&gt;0),"수입 과목인데 지출에 적혔습니다",IF(AND(LEFT($E663,2)&lt;&gt;"수입",$E663&lt;&gt;"대체",$I663&gt;0),"지출 과목인데 수입에 적혔습니다",IF($K663="","증빙을 고르십시오",IF(AND($C663="바우처통장",$J663&gt;0,IFERROR(INDEX('통합 ④ 설정'!$E$6:$E$40,MATCH($D663,'통합 ④ 설정'!$B$6:$B$40,0)),"")&lt;&gt;"○"),"바우처통장 지출 — 목적 확인",IF($H663="","적요를 적으십시오",""))))))))))))</f>
        <v/>
      </c>
      <c r="M663" s="39"/>
      <c r="O663" s="11" t="str">
        <f aca="false">IF($B663="","",YEAR($B663)*100+MONTH($B663))</f>
        <v/>
      </c>
      <c r="P663" s="11" t="str">
        <f aca="false">IF($B663="","",IF($E663="대체",0,1))</f>
        <v/>
      </c>
    </row>
    <row r="664" customFormat="false" ht="15" hidden="false" customHeight="false" outlineLevel="0" collapsed="false">
      <c r="A664" s="36" t="str">
        <f aca="false">IF($B664="","",COUNT($B$15:$B664))</f>
        <v/>
      </c>
      <c r="B664" s="37"/>
      <c r="C664" s="38"/>
      <c r="D664" s="39"/>
      <c r="E664" s="36" t="str">
        <f aca="false">IF($D664="","",IFERROR(INDEX('통합 ④ 설정'!$A$6:$A$40,MATCH($D664,'통합 ④ 설정'!$B$6:$B$40,0)),"※없는 과목"))</f>
        <v/>
      </c>
      <c r="F664" s="36" t="str">
        <f aca="false">IF($D664="","",IFERROR(INDEX('통합 ④ 설정'!$C$6:$C$40,MATCH($D664,'통합 ④ 설정'!$B$6:$B$40,0)),""))</f>
        <v/>
      </c>
      <c r="G664" s="39"/>
      <c r="H664" s="39"/>
      <c r="I664" s="40"/>
      <c r="J664" s="41"/>
      <c r="K664" s="38"/>
      <c r="L664" s="42" t="str">
        <f aca="false">IF($B664="","",IF(AND(N($I664)=0,N($J664)=0),"금액이 없습니다",IF(AND($I664&gt;0,$J664&gt;0),"수입·지출 둘 다 적혔습니다",IF($C664="","결제수단을 고르십시오",IF(ISNA(MATCH($C664,'통합 ③ 통장·카드'!$A$5:$A$11,0)),"③ 통장·카드에 없는 결제수단입니다",IF($D664="","계정과목을 고르십시오",IF($E664="※없는 과목","④ 설정에 없는 과목입니다",IF(AND($E664="수입",$J664&gt;0),"수입 과목인데 지출에 적혔습니다",IF(AND(LEFT($E664,2)&lt;&gt;"수입",$E664&lt;&gt;"대체",$I664&gt;0),"지출 과목인데 수입에 적혔습니다",IF($K664="","증빙을 고르십시오",IF(AND($C664="바우처통장",$J664&gt;0,IFERROR(INDEX('통합 ④ 설정'!$E$6:$E$40,MATCH($D664,'통합 ④ 설정'!$B$6:$B$40,0)),"")&lt;&gt;"○"),"바우처통장 지출 — 목적 확인",IF($H664="","적요를 적으십시오",""))))))))))))</f>
        <v/>
      </c>
      <c r="M664" s="39"/>
      <c r="O664" s="11" t="str">
        <f aca="false">IF($B664="","",YEAR($B664)*100+MONTH($B664))</f>
        <v/>
      </c>
      <c r="P664" s="11" t="str">
        <f aca="false">IF($B664="","",IF($E664="대체",0,1))</f>
        <v/>
      </c>
    </row>
    <row r="665" customFormat="false" ht="15" hidden="false" customHeight="false" outlineLevel="0" collapsed="false">
      <c r="A665" s="36" t="str">
        <f aca="false">IF($B665="","",COUNT($B$15:$B665))</f>
        <v/>
      </c>
      <c r="B665" s="37"/>
      <c r="C665" s="38"/>
      <c r="D665" s="39"/>
      <c r="E665" s="36" t="str">
        <f aca="false">IF($D665="","",IFERROR(INDEX('통합 ④ 설정'!$A$6:$A$40,MATCH($D665,'통합 ④ 설정'!$B$6:$B$40,0)),"※없는 과목"))</f>
        <v/>
      </c>
      <c r="F665" s="36" t="str">
        <f aca="false">IF($D665="","",IFERROR(INDEX('통합 ④ 설정'!$C$6:$C$40,MATCH($D665,'통합 ④ 설정'!$B$6:$B$40,0)),""))</f>
        <v/>
      </c>
      <c r="G665" s="39"/>
      <c r="H665" s="39"/>
      <c r="I665" s="40"/>
      <c r="J665" s="41"/>
      <c r="K665" s="38"/>
      <c r="L665" s="42" t="str">
        <f aca="false">IF($B665="","",IF(AND(N($I665)=0,N($J665)=0),"금액이 없습니다",IF(AND($I665&gt;0,$J665&gt;0),"수입·지출 둘 다 적혔습니다",IF($C665="","결제수단을 고르십시오",IF(ISNA(MATCH($C665,'통합 ③ 통장·카드'!$A$5:$A$11,0)),"③ 통장·카드에 없는 결제수단입니다",IF($D665="","계정과목을 고르십시오",IF($E665="※없는 과목","④ 설정에 없는 과목입니다",IF(AND($E665="수입",$J665&gt;0),"수입 과목인데 지출에 적혔습니다",IF(AND(LEFT($E665,2)&lt;&gt;"수입",$E665&lt;&gt;"대체",$I665&gt;0),"지출 과목인데 수입에 적혔습니다",IF($K665="","증빙을 고르십시오",IF(AND($C665="바우처통장",$J665&gt;0,IFERROR(INDEX('통합 ④ 설정'!$E$6:$E$40,MATCH($D665,'통합 ④ 설정'!$B$6:$B$40,0)),"")&lt;&gt;"○"),"바우처통장 지출 — 목적 확인",IF($H665="","적요를 적으십시오",""))))))))))))</f>
        <v/>
      </c>
      <c r="M665" s="39"/>
      <c r="O665" s="11" t="str">
        <f aca="false">IF($B665="","",YEAR($B665)*100+MONTH($B665))</f>
        <v/>
      </c>
      <c r="P665" s="11" t="str">
        <f aca="false">IF($B665="","",IF($E665="대체",0,1))</f>
        <v/>
      </c>
    </row>
    <row r="666" customFormat="false" ht="15" hidden="false" customHeight="false" outlineLevel="0" collapsed="false">
      <c r="A666" s="36" t="str">
        <f aca="false">IF($B666="","",COUNT($B$15:$B666))</f>
        <v/>
      </c>
      <c r="B666" s="37"/>
      <c r="C666" s="38"/>
      <c r="D666" s="39"/>
      <c r="E666" s="36" t="str">
        <f aca="false">IF($D666="","",IFERROR(INDEX('통합 ④ 설정'!$A$6:$A$40,MATCH($D666,'통합 ④ 설정'!$B$6:$B$40,0)),"※없는 과목"))</f>
        <v/>
      </c>
      <c r="F666" s="36" t="str">
        <f aca="false">IF($D666="","",IFERROR(INDEX('통합 ④ 설정'!$C$6:$C$40,MATCH($D666,'통합 ④ 설정'!$B$6:$B$40,0)),""))</f>
        <v/>
      </c>
      <c r="G666" s="39"/>
      <c r="H666" s="39"/>
      <c r="I666" s="40"/>
      <c r="J666" s="41"/>
      <c r="K666" s="38"/>
      <c r="L666" s="42" t="str">
        <f aca="false">IF($B666="","",IF(AND(N($I666)=0,N($J666)=0),"금액이 없습니다",IF(AND($I666&gt;0,$J666&gt;0),"수입·지출 둘 다 적혔습니다",IF($C666="","결제수단을 고르십시오",IF(ISNA(MATCH($C666,'통합 ③ 통장·카드'!$A$5:$A$11,0)),"③ 통장·카드에 없는 결제수단입니다",IF($D666="","계정과목을 고르십시오",IF($E666="※없는 과목","④ 설정에 없는 과목입니다",IF(AND($E666="수입",$J666&gt;0),"수입 과목인데 지출에 적혔습니다",IF(AND(LEFT($E666,2)&lt;&gt;"수입",$E666&lt;&gt;"대체",$I666&gt;0),"지출 과목인데 수입에 적혔습니다",IF($K666="","증빙을 고르십시오",IF(AND($C666="바우처통장",$J666&gt;0,IFERROR(INDEX('통합 ④ 설정'!$E$6:$E$40,MATCH($D666,'통합 ④ 설정'!$B$6:$B$40,0)),"")&lt;&gt;"○"),"바우처통장 지출 — 목적 확인",IF($H666="","적요를 적으십시오",""))))))))))))</f>
        <v/>
      </c>
      <c r="M666" s="39"/>
      <c r="O666" s="11" t="str">
        <f aca="false">IF($B666="","",YEAR($B666)*100+MONTH($B666))</f>
        <v/>
      </c>
      <c r="P666" s="11" t="str">
        <f aca="false">IF($B666="","",IF($E666="대체",0,1))</f>
        <v/>
      </c>
    </row>
    <row r="667" customFormat="false" ht="15" hidden="false" customHeight="false" outlineLevel="0" collapsed="false">
      <c r="A667" s="36" t="str">
        <f aca="false">IF($B667="","",COUNT($B$15:$B667))</f>
        <v/>
      </c>
      <c r="B667" s="37"/>
      <c r="C667" s="38"/>
      <c r="D667" s="39"/>
      <c r="E667" s="36" t="str">
        <f aca="false">IF($D667="","",IFERROR(INDEX('통합 ④ 설정'!$A$6:$A$40,MATCH($D667,'통합 ④ 설정'!$B$6:$B$40,0)),"※없는 과목"))</f>
        <v/>
      </c>
      <c r="F667" s="36" t="str">
        <f aca="false">IF($D667="","",IFERROR(INDEX('통합 ④ 설정'!$C$6:$C$40,MATCH($D667,'통합 ④ 설정'!$B$6:$B$40,0)),""))</f>
        <v/>
      </c>
      <c r="G667" s="39"/>
      <c r="H667" s="39"/>
      <c r="I667" s="40"/>
      <c r="J667" s="41"/>
      <c r="K667" s="38"/>
      <c r="L667" s="42" t="str">
        <f aca="false">IF($B667="","",IF(AND(N($I667)=0,N($J667)=0),"금액이 없습니다",IF(AND($I667&gt;0,$J667&gt;0),"수입·지출 둘 다 적혔습니다",IF($C667="","결제수단을 고르십시오",IF(ISNA(MATCH($C667,'통합 ③ 통장·카드'!$A$5:$A$11,0)),"③ 통장·카드에 없는 결제수단입니다",IF($D667="","계정과목을 고르십시오",IF($E667="※없는 과목","④ 설정에 없는 과목입니다",IF(AND($E667="수입",$J667&gt;0),"수입 과목인데 지출에 적혔습니다",IF(AND(LEFT($E667,2)&lt;&gt;"수입",$E667&lt;&gt;"대체",$I667&gt;0),"지출 과목인데 수입에 적혔습니다",IF($K667="","증빙을 고르십시오",IF(AND($C667="바우처통장",$J667&gt;0,IFERROR(INDEX('통합 ④ 설정'!$E$6:$E$40,MATCH($D667,'통합 ④ 설정'!$B$6:$B$40,0)),"")&lt;&gt;"○"),"바우처통장 지출 — 목적 확인",IF($H667="","적요를 적으십시오",""))))))))))))</f>
        <v/>
      </c>
      <c r="M667" s="39"/>
      <c r="O667" s="11" t="str">
        <f aca="false">IF($B667="","",YEAR($B667)*100+MONTH($B667))</f>
        <v/>
      </c>
      <c r="P667" s="11" t="str">
        <f aca="false">IF($B667="","",IF($E667="대체",0,1))</f>
        <v/>
      </c>
    </row>
    <row r="668" customFormat="false" ht="15" hidden="false" customHeight="false" outlineLevel="0" collapsed="false">
      <c r="A668" s="36" t="str">
        <f aca="false">IF($B668="","",COUNT($B$15:$B668))</f>
        <v/>
      </c>
      <c r="B668" s="37"/>
      <c r="C668" s="38"/>
      <c r="D668" s="39"/>
      <c r="E668" s="36" t="str">
        <f aca="false">IF($D668="","",IFERROR(INDEX('통합 ④ 설정'!$A$6:$A$40,MATCH($D668,'통합 ④ 설정'!$B$6:$B$40,0)),"※없는 과목"))</f>
        <v/>
      </c>
      <c r="F668" s="36" t="str">
        <f aca="false">IF($D668="","",IFERROR(INDEX('통합 ④ 설정'!$C$6:$C$40,MATCH($D668,'통합 ④ 설정'!$B$6:$B$40,0)),""))</f>
        <v/>
      </c>
      <c r="G668" s="39"/>
      <c r="H668" s="39"/>
      <c r="I668" s="40"/>
      <c r="J668" s="41"/>
      <c r="K668" s="38"/>
      <c r="L668" s="42" t="str">
        <f aca="false">IF($B668="","",IF(AND(N($I668)=0,N($J668)=0),"금액이 없습니다",IF(AND($I668&gt;0,$J668&gt;0),"수입·지출 둘 다 적혔습니다",IF($C668="","결제수단을 고르십시오",IF(ISNA(MATCH($C668,'통합 ③ 통장·카드'!$A$5:$A$11,0)),"③ 통장·카드에 없는 결제수단입니다",IF($D668="","계정과목을 고르십시오",IF($E668="※없는 과목","④ 설정에 없는 과목입니다",IF(AND($E668="수입",$J668&gt;0),"수입 과목인데 지출에 적혔습니다",IF(AND(LEFT($E668,2)&lt;&gt;"수입",$E668&lt;&gt;"대체",$I668&gt;0),"지출 과목인데 수입에 적혔습니다",IF($K668="","증빙을 고르십시오",IF(AND($C668="바우처통장",$J668&gt;0,IFERROR(INDEX('통합 ④ 설정'!$E$6:$E$40,MATCH($D668,'통합 ④ 설정'!$B$6:$B$40,0)),"")&lt;&gt;"○"),"바우처통장 지출 — 목적 확인",IF($H668="","적요를 적으십시오",""))))))))))))</f>
        <v/>
      </c>
      <c r="M668" s="39"/>
      <c r="O668" s="11" t="str">
        <f aca="false">IF($B668="","",YEAR($B668)*100+MONTH($B668))</f>
        <v/>
      </c>
      <c r="P668" s="11" t="str">
        <f aca="false">IF($B668="","",IF($E668="대체",0,1))</f>
        <v/>
      </c>
    </row>
    <row r="669" customFormat="false" ht="15" hidden="false" customHeight="false" outlineLevel="0" collapsed="false">
      <c r="A669" s="36" t="str">
        <f aca="false">IF($B669="","",COUNT($B$15:$B669))</f>
        <v/>
      </c>
      <c r="B669" s="37"/>
      <c r="C669" s="38"/>
      <c r="D669" s="39"/>
      <c r="E669" s="36" t="str">
        <f aca="false">IF($D669="","",IFERROR(INDEX('통합 ④ 설정'!$A$6:$A$40,MATCH($D669,'통합 ④ 설정'!$B$6:$B$40,0)),"※없는 과목"))</f>
        <v/>
      </c>
      <c r="F669" s="36" t="str">
        <f aca="false">IF($D669="","",IFERROR(INDEX('통합 ④ 설정'!$C$6:$C$40,MATCH($D669,'통합 ④ 설정'!$B$6:$B$40,0)),""))</f>
        <v/>
      </c>
      <c r="G669" s="39"/>
      <c r="H669" s="39"/>
      <c r="I669" s="40"/>
      <c r="J669" s="41"/>
      <c r="K669" s="38"/>
      <c r="L669" s="42" t="str">
        <f aca="false">IF($B669="","",IF(AND(N($I669)=0,N($J669)=0),"금액이 없습니다",IF(AND($I669&gt;0,$J669&gt;0),"수입·지출 둘 다 적혔습니다",IF($C669="","결제수단을 고르십시오",IF(ISNA(MATCH($C669,'통합 ③ 통장·카드'!$A$5:$A$11,0)),"③ 통장·카드에 없는 결제수단입니다",IF($D669="","계정과목을 고르십시오",IF($E669="※없는 과목","④ 설정에 없는 과목입니다",IF(AND($E669="수입",$J669&gt;0),"수입 과목인데 지출에 적혔습니다",IF(AND(LEFT($E669,2)&lt;&gt;"수입",$E669&lt;&gt;"대체",$I669&gt;0),"지출 과목인데 수입에 적혔습니다",IF($K669="","증빙을 고르십시오",IF(AND($C669="바우처통장",$J669&gt;0,IFERROR(INDEX('통합 ④ 설정'!$E$6:$E$40,MATCH($D669,'통합 ④ 설정'!$B$6:$B$40,0)),"")&lt;&gt;"○"),"바우처통장 지출 — 목적 확인",IF($H669="","적요를 적으십시오",""))))))))))))</f>
        <v/>
      </c>
      <c r="M669" s="39"/>
      <c r="O669" s="11" t="str">
        <f aca="false">IF($B669="","",YEAR($B669)*100+MONTH($B669))</f>
        <v/>
      </c>
      <c r="P669" s="11" t="str">
        <f aca="false">IF($B669="","",IF($E669="대체",0,1))</f>
        <v/>
      </c>
    </row>
    <row r="670" customFormat="false" ht="15" hidden="false" customHeight="false" outlineLevel="0" collapsed="false">
      <c r="A670" s="36" t="str">
        <f aca="false">IF($B670="","",COUNT($B$15:$B670))</f>
        <v/>
      </c>
      <c r="B670" s="37"/>
      <c r="C670" s="38"/>
      <c r="D670" s="39"/>
      <c r="E670" s="36" t="str">
        <f aca="false">IF($D670="","",IFERROR(INDEX('통합 ④ 설정'!$A$6:$A$40,MATCH($D670,'통합 ④ 설정'!$B$6:$B$40,0)),"※없는 과목"))</f>
        <v/>
      </c>
      <c r="F670" s="36" t="str">
        <f aca="false">IF($D670="","",IFERROR(INDEX('통합 ④ 설정'!$C$6:$C$40,MATCH($D670,'통합 ④ 설정'!$B$6:$B$40,0)),""))</f>
        <v/>
      </c>
      <c r="G670" s="39"/>
      <c r="H670" s="39"/>
      <c r="I670" s="40"/>
      <c r="J670" s="41"/>
      <c r="K670" s="38"/>
      <c r="L670" s="42" t="str">
        <f aca="false">IF($B670="","",IF(AND(N($I670)=0,N($J670)=0),"금액이 없습니다",IF(AND($I670&gt;0,$J670&gt;0),"수입·지출 둘 다 적혔습니다",IF($C670="","결제수단을 고르십시오",IF(ISNA(MATCH($C670,'통합 ③ 통장·카드'!$A$5:$A$11,0)),"③ 통장·카드에 없는 결제수단입니다",IF($D670="","계정과목을 고르십시오",IF($E670="※없는 과목","④ 설정에 없는 과목입니다",IF(AND($E670="수입",$J670&gt;0),"수입 과목인데 지출에 적혔습니다",IF(AND(LEFT($E670,2)&lt;&gt;"수입",$E670&lt;&gt;"대체",$I670&gt;0),"지출 과목인데 수입에 적혔습니다",IF($K670="","증빙을 고르십시오",IF(AND($C670="바우처통장",$J670&gt;0,IFERROR(INDEX('통합 ④ 설정'!$E$6:$E$40,MATCH($D670,'통합 ④ 설정'!$B$6:$B$40,0)),"")&lt;&gt;"○"),"바우처통장 지출 — 목적 확인",IF($H670="","적요를 적으십시오",""))))))))))))</f>
        <v/>
      </c>
      <c r="M670" s="39"/>
      <c r="O670" s="11" t="str">
        <f aca="false">IF($B670="","",YEAR($B670)*100+MONTH($B670))</f>
        <v/>
      </c>
      <c r="P670" s="11" t="str">
        <f aca="false">IF($B670="","",IF($E670="대체",0,1))</f>
        <v/>
      </c>
    </row>
    <row r="671" customFormat="false" ht="15" hidden="false" customHeight="false" outlineLevel="0" collapsed="false">
      <c r="A671" s="36" t="str">
        <f aca="false">IF($B671="","",COUNT($B$15:$B671))</f>
        <v/>
      </c>
      <c r="B671" s="37"/>
      <c r="C671" s="38"/>
      <c r="D671" s="39"/>
      <c r="E671" s="36" t="str">
        <f aca="false">IF($D671="","",IFERROR(INDEX('통합 ④ 설정'!$A$6:$A$40,MATCH($D671,'통합 ④ 설정'!$B$6:$B$40,0)),"※없는 과목"))</f>
        <v/>
      </c>
      <c r="F671" s="36" t="str">
        <f aca="false">IF($D671="","",IFERROR(INDEX('통합 ④ 설정'!$C$6:$C$40,MATCH($D671,'통합 ④ 설정'!$B$6:$B$40,0)),""))</f>
        <v/>
      </c>
      <c r="G671" s="39"/>
      <c r="H671" s="39"/>
      <c r="I671" s="40"/>
      <c r="J671" s="41"/>
      <c r="K671" s="38"/>
      <c r="L671" s="42" t="str">
        <f aca="false">IF($B671="","",IF(AND(N($I671)=0,N($J671)=0),"금액이 없습니다",IF(AND($I671&gt;0,$J671&gt;0),"수입·지출 둘 다 적혔습니다",IF($C671="","결제수단을 고르십시오",IF(ISNA(MATCH($C671,'통합 ③ 통장·카드'!$A$5:$A$11,0)),"③ 통장·카드에 없는 결제수단입니다",IF($D671="","계정과목을 고르십시오",IF($E671="※없는 과목","④ 설정에 없는 과목입니다",IF(AND($E671="수입",$J671&gt;0),"수입 과목인데 지출에 적혔습니다",IF(AND(LEFT($E671,2)&lt;&gt;"수입",$E671&lt;&gt;"대체",$I671&gt;0),"지출 과목인데 수입에 적혔습니다",IF($K671="","증빙을 고르십시오",IF(AND($C671="바우처통장",$J671&gt;0,IFERROR(INDEX('통합 ④ 설정'!$E$6:$E$40,MATCH($D671,'통합 ④ 설정'!$B$6:$B$40,0)),"")&lt;&gt;"○"),"바우처통장 지출 — 목적 확인",IF($H671="","적요를 적으십시오",""))))))))))))</f>
        <v/>
      </c>
      <c r="M671" s="39"/>
      <c r="O671" s="11" t="str">
        <f aca="false">IF($B671="","",YEAR($B671)*100+MONTH($B671))</f>
        <v/>
      </c>
      <c r="P671" s="11" t="str">
        <f aca="false">IF($B671="","",IF($E671="대체",0,1))</f>
        <v/>
      </c>
    </row>
    <row r="672" customFormat="false" ht="15" hidden="false" customHeight="false" outlineLevel="0" collapsed="false">
      <c r="A672" s="36" t="str">
        <f aca="false">IF($B672="","",COUNT($B$15:$B672))</f>
        <v/>
      </c>
      <c r="B672" s="37"/>
      <c r="C672" s="38"/>
      <c r="D672" s="39"/>
      <c r="E672" s="36" t="str">
        <f aca="false">IF($D672="","",IFERROR(INDEX('통합 ④ 설정'!$A$6:$A$40,MATCH($D672,'통합 ④ 설정'!$B$6:$B$40,0)),"※없는 과목"))</f>
        <v/>
      </c>
      <c r="F672" s="36" t="str">
        <f aca="false">IF($D672="","",IFERROR(INDEX('통합 ④ 설정'!$C$6:$C$40,MATCH($D672,'통합 ④ 설정'!$B$6:$B$40,0)),""))</f>
        <v/>
      </c>
      <c r="G672" s="39"/>
      <c r="H672" s="39"/>
      <c r="I672" s="40"/>
      <c r="J672" s="41"/>
      <c r="K672" s="38"/>
      <c r="L672" s="42" t="str">
        <f aca="false">IF($B672="","",IF(AND(N($I672)=0,N($J672)=0),"금액이 없습니다",IF(AND($I672&gt;0,$J672&gt;0),"수입·지출 둘 다 적혔습니다",IF($C672="","결제수단을 고르십시오",IF(ISNA(MATCH($C672,'통합 ③ 통장·카드'!$A$5:$A$11,0)),"③ 통장·카드에 없는 결제수단입니다",IF($D672="","계정과목을 고르십시오",IF($E672="※없는 과목","④ 설정에 없는 과목입니다",IF(AND($E672="수입",$J672&gt;0),"수입 과목인데 지출에 적혔습니다",IF(AND(LEFT($E672,2)&lt;&gt;"수입",$E672&lt;&gt;"대체",$I672&gt;0),"지출 과목인데 수입에 적혔습니다",IF($K672="","증빙을 고르십시오",IF(AND($C672="바우처통장",$J672&gt;0,IFERROR(INDEX('통합 ④ 설정'!$E$6:$E$40,MATCH($D672,'통합 ④ 설정'!$B$6:$B$40,0)),"")&lt;&gt;"○"),"바우처통장 지출 — 목적 확인",IF($H672="","적요를 적으십시오",""))))))))))))</f>
        <v/>
      </c>
      <c r="M672" s="39"/>
      <c r="O672" s="11" t="str">
        <f aca="false">IF($B672="","",YEAR($B672)*100+MONTH($B672))</f>
        <v/>
      </c>
      <c r="P672" s="11" t="str">
        <f aca="false">IF($B672="","",IF($E672="대체",0,1))</f>
        <v/>
      </c>
    </row>
    <row r="673" customFormat="false" ht="15" hidden="false" customHeight="false" outlineLevel="0" collapsed="false">
      <c r="A673" s="36" t="str">
        <f aca="false">IF($B673="","",COUNT($B$15:$B673))</f>
        <v/>
      </c>
      <c r="B673" s="37"/>
      <c r="C673" s="38"/>
      <c r="D673" s="39"/>
      <c r="E673" s="36" t="str">
        <f aca="false">IF($D673="","",IFERROR(INDEX('통합 ④ 설정'!$A$6:$A$40,MATCH($D673,'통합 ④ 설정'!$B$6:$B$40,0)),"※없는 과목"))</f>
        <v/>
      </c>
      <c r="F673" s="36" t="str">
        <f aca="false">IF($D673="","",IFERROR(INDEX('통합 ④ 설정'!$C$6:$C$40,MATCH($D673,'통합 ④ 설정'!$B$6:$B$40,0)),""))</f>
        <v/>
      </c>
      <c r="G673" s="39"/>
      <c r="H673" s="39"/>
      <c r="I673" s="40"/>
      <c r="J673" s="41"/>
      <c r="K673" s="38"/>
      <c r="L673" s="42" t="str">
        <f aca="false">IF($B673="","",IF(AND(N($I673)=0,N($J673)=0),"금액이 없습니다",IF(AND($I673&gt;0,$J673&gt;0),"수입·지출 둘 다 적혔습니다",IF($C673="","결제수단을 고르십시오",IF(ISNA(MATCH($C673,'통합 ③ 통장·카드'!$A$5:$A$11,0)),"③ 통장·카드에 없는 결제수단입니다",IF($D673="","계정과목을 고르십시오",IF($E673="※없는 과목","④ 설정에 없는 과목입니다",IF(AND($E673="수입",$J673&gt;0),"수입 과목인데 지출에 적혔습니다",IF(AND(LEFT($E673,2)&lt;&gt;"수입",$E673&lt;&gt;"대체",$I673&gt;0),"지출 과목인데 수입에 적혔습니다",IF($K673="","증빙을 고르십시오",IF(AND($C673="바우처통장",$J673&gt;0,IFERROR(INDEX('통합 ④ 설정'!$E$6:$E$40,MATCH($D673,'통합 ④ 설정'!$B$6:$B$40,0)),"")&lt;&gt;"○"),"바우처통장 지출 — 목적 확인",IF($H673="","적요를 적으십시오",""))))))))))))</f>
        <v/>
      </c>
      <c r="M673" s="39"/>
      <c r="O673" s="11" t="str">
        <f aca="false">IF($B673="","",YEAR($B673)*100+MONTH($B673))</f>
        <v/>
      </c>
      <c r="P673" s="11" t="str">
        <f aca="false">IF($B673="","",IF($E673="대체",0,1))</f>
        <v/>
      </c>
    </row>
    <row r="674" customFormat="false" ht="15" hidden="false" customHeight="false" outlineLevel="0" collapsed="false">
      <c r="A674" s="36" t="str">
        <f aca="false">IF($B674="","",COUNT($B$15:$B674))</f>
        <v/>
      </c>
      <c r="B674" s="37"/>
      <c r="C674" s="38"/>
      <c r="D674" s="39"/>
      <c r="E674" s="36" t="str">
        <f aca="false">IF($D674="","",IFERROR(INDEX('통합 ④ 설정'!$A$6:$A$40,MATCH($D674,'통합 ④ 설정'!$B$6:$B$40,0)),"※없는 과목"))</f>
        <v/>
      </c>
      <c r="F674" s="36" t="str">
        <f aca="false">IF($D674="","",IFERROR(INDEX('통합 ④ 설정'!$C$6:$C$40,MATCH($D674,'통합 ④ 설정'!$B$6:$B$40,0)),""))</f>
        <v/>
      </c>
      <c r="G674" s="39"/>
      <c r="H674" s="39"/>
      <c r="I674" s="40"/>
      <c r="J674" s="41"/>
      <c r="K674" s="38"/>
      <c r="L674" s="42" t="str">
        <f aca="false">IF($B674="","",IF(AND(N($I674)=0,N($J674)=0),"금액이 없습니다",IF(AND($I674&gt;0,$J674&gt;0),"수입·지출 둘 다 적혔습니다",IF($C674="","결제수단을 고르십시오",IF(ISNA(MATCH($C674,'통합 ③ 통장·카드'!$A$5:$A$11,0)),"③ 통장·카드에 없는 결제수단입니다",IF($D674="","계정과목을 고르십시오",IF($E674="※없는 과목","④ 설정에 없는 과목입니다",IF(AND($E674="수입",$J674&gt;0),"수입 과목인데 지출에 적혔습니다",IF(AND(LEFT($E674,2)&lt;&gt;"수입",$E674&lt;&gt;"대체",$I674&gt;0),"지출 과목인데 수입에 적혔습니다",IF($K674="","증빙을 고르십시오",IF(AND($C674="바우처통장",$J674&gt;0,IFERROR(INDEX('통합 ④ 설정'!$E$6:$E$40,MATCH($D674,'통합 ④ 설정'!$B$6:$B$40,0)),"")&lt;&gt;"○"),"바우처통장 지출 — 목적 확인",IF($H674="","적요를 적으십시오",""))))))))))))</f>
        <v/>
      </c>
      <c r="M674" s="39"/>
      <c r="O674" s="11" t="str">
        <f aca="false">IF($B674="","",YEAR($B674)*100+MONTH($B674))</f>
        <v/>
      </c>
      <c r="P674" s="11" t="str">
        <f aca="false">IF($B674="","",IF($E674="대체",0,1))</f>
        <v/>
      </c>
    </row>
    <row r="675" customFormat="false" ht="15" hidden="false" customHeight="false" outlineLevel="0" collapsed="false">
      <c r="A675" s="36" t="str">
        <f aca="false">IF($B675="","",COUNT($B$15:$B675))</f>
        <v/>
      </c>
      <c r="B675" s="37"/>
      <c r="C675" s="38"/>
      <c r="D675" s="39"/>
      <c r="E675" s="36" t="str">
        <f aca="false">IF($D675="","",IFERROR(INDEX('통합 ④ 설정'!$A$6:$A$40,MATCH($D675,'통합 ④ 설정'!$B$6:$B$40,0)),"※없는 과목"))</f>
        <v/>
      </c>
      <c r="F675" s="36" t="str">
        <f aca="false">IF($D675="","",IFERROR(INDEX('통합 ④ 설정'!$C$6:$C$40,MATCH($D675,'통합 ④ 설정'!$B$6:$B$40,0)),""))</f>
        <v/>
      </c>
      <c r="G675" s="39"/>
      <c r="H675" s="39"/>
      <c r="I675" s="40"/>
      <c r="J675" s="41"/>
      <c r="K675" s="38"/>
      <c r="L675" s="42" t="str">
        <f aca="false">IF($B675="","",IF(AND(N($I675)=0,N($J675)=0),"금액이 없습니다",IF(AND($I675&gt;0,$J675&gt;0),"수입·지출 둘 다 적혔습니다",IF($C675="","결제수단을 고르십시오",IF(ISNA(MATCH($C675,'통합 ③ 통장·카드'!$A$5:$A$11,0)),"③ 통장·카드에 없는 결제수단입니다",IF($D675="","계정과목을 고르십시오",IF($E675="※없는 과목","④ 설정에 없는 과목입니다",IF(AND($E675="수입",$J675&gt;0),"수입 과목인데 지출에 적혔습니다",IF(AND(LEFT($E675,2)&lt;&gt;"수입",$E675&lt;&gt;"대체",$I675&gt;0),"지출 과목인데 수입에 적혔습니다",IF($K675="","증빙을 고르십시오",IF(AND($C675="바우처통장",$J675&gt;0,IFERROR(INDEX('통합 ④ 설정'!$E$6:$E$40,MATCH($D675,'통합 ④ 설정'!$B$6:$B$40,0)),"")&lt;&gt;"○"),"바우처통장 지출 — 목적 확인",IF($H675="","적요를 적으십시오",""))))))))))))</f>
        <v/>
      </c>
      <c r="M675" s="39"/>
      <c r="O675" s="11" t="str">
        <f aca="false">IF($B675="","",YEAR($B675)*100+MONTH($B675))</f>
        <v/>
      </c>
      <c r="P675" s="11" t="str">
        <f aca="false">IF($B675="","",IF($E675="대체",0,1))</f>
        <v/>
      </c>
    </row>
    <row r="676" customFormat="false" ht="15" hidden="false" customHeight="false" outlineLevel="0" collapsed="false">
      <c r="A676" s="36" t="str">
        <f aca="false">IF($B676="","",COUNT($B$15:$B676))</f>
        <v/>
      </c>
      <c r="B676" s="37"/>
      <c r="C676" s="38"/>
      <c r="D676" s="39"/>
      <c r="E676" s="36" t="str">
        <f aca="false">IF($D676="","",IFERROR(INDEX('통합 ④ 설정'!$A$6:$A$40,MATCH($D676,'통합 ④ 설정'!$B$6:$B$40,0)),"※없는 과목"))</f>
        <v/>
      </c>
      <c r="F676" s="36" t="str">
        <f aca="false">IF($D676="","",IFERROR(INDEX('통합 ④ 설정'!$C$6:$C$40,MATCH($D676,'통합 ④ 설정'!$B$6:$B$40,0)),""))</f>
        <v/>
      </c>
      <c r="G676" s="39"/>
      <c r="H676" s="39"/>
      <c r="I676" s="40"/>
      <c r="J676" s="41"/>
      <c r="K676" s="38"/>
      <c r="L676" s="42" t="str">
        <f aca="false">IF($B676="","",IF(AND(N($I676)=0,N($J676)=0),"금액이 없습니다",IF(AND($I676&gt;0,$J676&gt;0),"수입·지출 둘 다 적혔습니다",IF($C676="","결제수단을 고르십시오",IF(ISNA(MATCH($C676,'통합 ③ 통장·카드'!$A$5:$A$11,0)),"③ 통장·카드에 없는 결제수단입니다",IF($D676="","계정과목을 고르십시오",IF($E676="※없는 과목","④ 설정에 없는 과목입니다",IF(AND($E676="수입",$J676&gt;0),"수입 과목인데 지출에 적혔습니다",IF(AND(LEFT($E676,2)&lt;&gt;"수입",$E676&lt;&gt;"대체",$I676&gt;0),"지출 과목인데 수입에 적혔습니다",IF($K676="","증빙을 고르십시오",IF(AND($C676="바우처통장",$J676&gt;0,IFERROR(INDEX('통합 ④ 설정'!$E$6:$E$40,MATCH($D676,'통합 ④ 설정'!$B$6:$B$40,0)),"")&lt;&gt;"○"),"바우처통장 지출 — 목적 확인",IF($H676="","적요를 적으십시오",""))))))))))))</f>
        <v/>
      </c>
      <c r="M676" s="39"/>
      <c r="O676" s="11" t="str">
        <f aca="false">IF($B676="","",YEAR($B676)*100+MONTH($B676))</f>
        <v/>
      </c>
      <c r="P676" s="11" t="str">
        <f aca="false">IF($B676="","",IF($E676="대체",0,1))</f>
        <v/>
      </c>
    </row>
    <row r="677" customFormat="false" ht="15" hidden="false" customHeight="false" outlineLevel="0" collapsed="false">
      <c r="A677" s="36" t="str">
        <f aca="false">IF($B677="","",COUNT($B$15:$B677))</f>
        <v/>
      </c>
      <c r="B677" s="37"/>
      <c r="C677" s="38"/>
      <c r="D677" s="39"/>
      <c r="E677" s="36" t="str">
        <f aca="false">IF($D677="","",IFERROR(INDEX('통합 ④ 설정'!$A$6:$A$40,MATCH($D677,'통합 ④ 설정'!$B$6:$B$40,0)),"※없는 과목"))</f>
        <v/>
      </c>
      <c r="F677" s="36" t="str">
        <f aca="false">IF($D677="","",IFERROR(INDEX('통합 ④ 설정'!$C$6:$C$40,MATCH($D677,'통합 ④ 설정'!$B$6:$B$40,0)),""))</f>
        <v/>
      </c>
      <c r="G677" s="39"/>
      <c r="H677" s="39"/>
      <c r="I677" s="40"/>
      <c r="J677" s="41"/>
      <c r="K677" s="38"/>
      <c r="L677" s="42" t="str">
        <f aca="false">IF($B677="","",IF(AND(N($I677)=0,N($J677)=0),"금액이 없습니다",IF(AND($I677&gt;0,$J677&gt;0),"수입·지출 둘 다 적혔습니다",IF($C677="","결제수단을 고르십시오",IF(ISNA(MATCH($C677,'통합 ③ 통장·카드'!$A$5:$A$11,0)),"③ 통장·카드에 없는 결제수단입니다",IF($D677="","계정과목을 고르십시오",IF($E677="※없는 과목","④ 설정에 없는 과목입니다",IF(AND($E677="수입",$J677&gt;0),"수입 과목인데 지출에 적혔습니다",IF(AND(LEFT($E677,2)&lt;&gt;"수입",$E677&lt;&gt;"대체",$I677&gt;0),"지출 과목인데 수입에 적혔습니다",IF($K677="","증빙을 고르십시오",IF(AND($C677="바우처통장",$J677&gt;0,IFERROR(INDEX('통합 ④ 설정'!$E$6:$E$40,MATCH($D677,'통합 ④ 설정'!$B$6:$B$40,0)),"")&lt;&gt;"○"),"바우처통장 지출 — 목적 확인",IF($H677="","적요를 적으십시오",""))))))))))))</f>
        <v/>
      </c>
      <c r="M677" s="39"/>
      <c r="O677" s="11" t="str">
        <f aca="false">IF($B677="","",YEAR($B677)*100+MONTH($B677))</f>
        <v/>
      </c>
      <c r="P677" s="11" t="str">
        <f aca="false">IF($B677="","",IF($E677="대체",0,1))</f>
        <v/>
      </c>
    </row>
    <row r="678" customFormat="false" ht="15" hidden="false" customHeight="false" outlineLevel="0" collapsed="false">
      <c r="A678" s="36" t="str">
        <f aca="false">IF($B678="","",COUNT($B$15:$B678))</f>
        <v/>
      </c>
      <c r="B678" s="37"/>
      <c r="C678" s="38"/>
      <c r="D678" s="39"/>
      <c r="E678" s="36" t="str">
        <f aca="false">IF($D678="","",IFERROR(INDEX('통합 ④ 설정'!$A$6:$A$40,MATCH($D678,'통합 ④ 설정'!$B$6:$B$40,0)),"※없는 과목"))</f>
        <v/>
      </c>
      <c r="F678" s="36" t="str">
        <f aca="false">IF($D678="","",IFERROR(INDEX('통합 ④ 설정'!$C$6:$C$40,MATCH($D678,'통합 ④ 설정'!$B$6:$B$40,0)),""))</f>
        <v/>
      </c>
      <c r="G678" s="39"/>
      <c r="H678" s="39"/>
      <c r="I678" s="40"/>
      <c r="J678" s="41"/>
      <c r="K678" s="38"/>
      <c r="L678" s="42" t="str">
        <f aca="false">IF($B678="","",IF(AND(N($I678)=0,N($J678)=0),"금액이 없습니다",IF(AND($I678&gt;0,$J678&gt;0),"수입·지출 둘 다 적혔습니다",IF($C678="","결제수단을 고르십시오",IF(ISNA(MATCH($C678,'통합 ③ 통장·카드'!$A$5:$A$11,0)),"③ 통장·카드에 없는 결제수단입니다",IF($D678="","계정과목을 고르십시오",IF($E678="※없는 과목","④ 설정에 없는 과목입니다",IF(AND($E678="수입",$J678&gt;0),"수입 과목인데 지출에 적혔습니다",IF(AND(LEFT($E678,2)&lt;&gt;"수입",$E678&lt;&gt;"대체",$I678&gt;0),"지출 과목인데 수입에 적혔습니다",IF($K678="","증빙을 고르십시오",IF(AND($C678="바우처통장",$J678&gt;0,IFERROR(INDEX('통합 ④ 설정'!$E$6:$E$40,MATCH($D678,'통합 ④ 설정'!$B$6:$B$40,0)),"")&lt;&gt;"○"),"바우처통장 지출 — 목적 확인",IF($H678="","적요를 적으십시오",""))))))))))))</f>
        <v/>
      </c>
      <c r="M678" s="39"/>
      <c r="O678" s="11" t="str">
        <f aca="false">IF($B678="","",YEAR($B678)*100+MONTH($B678))</f>
        <v/>
      </c>
      <c r="P678" s="11" t="str">
        <f aca="false">IF($B678="","",IF($E678="대체",0,1))</f>
        <v/>
      </c>
    </row>
    <row r="679" customFormat="false" ht="15" hidden="false" customHeight="false" outlineLevel="0" collapsed="false">
      <c r="A679" s="36" t="str">
        <f aca="false">IF($B679="","",COUNT($B$15:$B679))</f>
        <v/>
      </c>
      <c r="B679" s="37"/>
      <c r="C679" s="38"/>
      <c r="D679" s="39"/>
      <c r="E679" s="36" t="str">
        <f aca="false">IF($D679="","",IFERROR(INDEX('통합 ④ 설정'!$A$6:$A$40,MATCH($D679,'통합 ④ 설정'!$B$6:$B$40,0)),"※없는 과목"))</f>
        <v/>
      </c>
      <c r="F679" s="36" t="str">
        <f aca="false">IF($D679="","",IFERROR(INDEX('통합 ④ 설정'!$C$6:$C$40,MATCH($D679,'통합 ④ 설정'!$B$6:$B$40,0)),""))</f>
        <v/>
      </c>
      <c r="G679" s="39"/>
      <c r="H679" s="39"/>
      <c r="I679" s="40"/>
      <c r="J679" s="41"/>
      <c r="K679" s="38"/>
      <c r="L679" s="42" t="str">
        <f aca="false">IF($B679="","",IF(AND(N($I679)=0,N($J679)=0),"금액이 없습니다",IF(AND($I679&gt;0,$J679&gt;0),"수입·지출 둘 다 적혔습니다",IF($C679="","결제수단을 고르십시오",IF(ISNA(MATCH($C679,'통합 ③ 통장·카드'!$A$5:$A$11,0)),"③ 통장·카드에 없는 결제수단입니다",IF($D679="","계정과목을 고르십시오",IF($E679="※없는 과목","④ 설정에 없는 과목입니다",IF(AND($E679="수입",$J679&gt;0),"수입 과목인데 지출에 적혔습니다",IF(AND(LEFT($E679,2)&lt;&gt;"수입",$E679&lt;&gt;"대체",$I679&gt;0),"지출 과목인데 수입에 적혔습니다",IF($K679="","증빙을 고르십시오",IF(AND($C679="바우처통장",$J679&gt;0,IFERROR(INDEX('통합 ④ 설정'!$E$6:$E$40,MATCH($D679,'통합 ④ 설정'!$B$6:$B$40,0)),"")&lt;&gt;"○"),"바우처통장 지출 — 목적 확인",IF($H679="","적요를 적으십시오",""))))))))))))</f>
        <v/>
      </c>
      <c r="M679" s="39"/>
      <c r="O679" s="11" t="str">
        <f aca="false">IF($B679="","",YEAR($B679)*100+MONTH($B679))</f>
        <v/>
      </c>
      <c r="P679" s="11" t="str">
        <f aca="false">IF($B679="","",IF($E679="대체",0,1))</f>
        <v/>
      </c>
    </row>
    <row r="680" customFormat="false" ht="15" hidden="false" customHeight="false" outlineLevel="0" collapsed="false">
      <c r="A680" s="36" t="str">
        <f aca="false">IF($B680="","",COUNT($B$15:$B680))</f>
        <v/>
      </c>
      <c r="B680" s="37"/>
      <c r="C680" s="38"/>
      <c r="D680" s="39"/>
      <c r="E680" s="36" t="str">
        <f aca="false">IF($D680="","",IFERROR(INDEX('통합 ④ 설정'!$A$6:$A$40,MATCH($D680,'통합 ④ 설정'!$B$6:$B$40,0)),"※없는 과목"))</f>
        <v/>
      </c>
      <c r="F680" s="36" t="str">
        <f aca="false">IF($D680="","",IFERROR(INDEX('통합 ④ 설정'!$C$6:$C$40,MATCH($D680,'통합 ④ 설정'!$B$6:$B$40,0)),""))</f>
        <v/>
      </c>
      <c r="G680" s="39"/>
      <c r="H680" s="39"/>
      <c r="I680" s="40"/>
      <c r="J680" s="41"/>
      <c r="K680" s="38"/>
      <c r="L680" s="42" t="str">
        <f aca="false">IF($B680="","",IF(AND(N($I680)=0,N($J680)=0),"금액이 없습니다",IF(AND($I680&gt;0,$J680&gt;0),"수입·지출 둘 다 적혔습니다",IF($C680="","결제수단을 고르십시오",IF(ISNA(MATCH($C680,'통합 ③ 통장·카드'!$A$5:$A$11,0)),"③ 통장·카드에 없는 결제수단입니다",IF($D680="","계정과목을 고르십시오",IF($E680="※없는 과목","④ 설정에 없는 과목입니다",IF(AND($E680="수입",$J680&gt;0),"수입 과목인데 지출에 적혔습니다",IF(AND(LEFT($E680,2)&lt;&gt;"수입",$E680&lt;&gt;"대체",$I680&gt;0),"지출 과목인데 수입에 적혔습니다",IF($K680="","증빙을 고르십시오",IF(AND($C680="바우처통장",$J680&gt;0,IFERROR(INDEX('통합 ④ 설정'!$E$6:$E$40,MATCH($D680,'통합 ④ 설정'!$B$6:$B$40,0)),"")&lt;&gt;"○"),"바우처통장 지출 — 목적 확인",IF($H680="","적요를 적으십시오",""))))))))))))</f>
        <v/>
      </c>
      <c r="M680" s="39"/>
      <c r="O680" s="11" t="str">
        <f aca="false">IF($B680="","",YEAR($B680)*100+MONTH($B680))</f>
        <v/>
      </c>
      <c r="P680" s="11" t="str">
        <f aca="false">IF($B680="","",IF($E680="대체",0,1))</f>
        <v/>
      </c>
    </row>
    <row r="681" customFormat="false" ht="15" hidden="false" customHeight="false" outlineLevel="0" collapsed="false">
      <c r="A681" s="36" t="str">
        <f aca="false">IF($B681="","",COUNT($B$15:$B681))</f>
        <v/>
      </c>
      <c r="B681" s="37"/>
      <c r="C681" s="38"/>
      <c r="D681" s="39"/>
      <c r="E681" s="36" t="str">
        <f aca="false">IF($D681="","",IFERROR(INDEX('통합 ④ 설정'!$A$6:$A$40,MATCH($D681,'통합 ④ 설정'!$B$6:$B$40,0)),"※없는 과목"))</f>
        <v/>
      </c>
      <c r="F681" s="36" t="str">
        <f aca="false">IF($D681="","",IFERROR(INDEX('통합 ④ 설정'!$C$6:$C$40,MATCH($D681,'통합 ④ 설정'!$B$6:$B$40,0)),""))</f>
        <v/>
      </c>
      <c r="G681" s="39"/>
      <c r="H681" s="39"/>
      <c r="I681" s="40"/>
      <c r="J681" s="41"/>
      <c r="K681" s="38"/>
      <c r="L681" s="42" t="str">
        <f aca="false">IF($B681="","",IF(AND(N($I681)=0,N($J681)=0),"금액이 없습니다",IF(AND($I681&gt;0,$J681&gt;0),"수입·지출 둘 다 적혔습니다",IF($C681="","결제수단을 고르십시오",IF(ISNA(MATCH($C681,'통합 ③ 통장·카드'!$A$5:$A$11,0)),"③ 통장·카드에 없는 결제수단입니다",IF($D681="","계정과목을 고르십시오",IF($E681="※없는 과목","④ 설정에 없는 과목입니다",IF(AND($E681="수입",$J681&gt;0),"수입 과목인데 지출에 적혔습니다",IF(AND(LEFT($E681,2)&lt;&gt;"수입",$E681&lt;&gt;"대체",$I681&gt;0),"지출 과목인데 수입에 적혔습니다",IF($K681="","증빙을 고르십시오",IF(AND($C681="바우처통장",$J681&gt;0,IFERROR(INDEX('통합 ④ 설정'!$E$6:$E$40,MATCH($D681,'통합 ④ 설정'!$B$6:$B$40,0)),"")&lt;&gt;"○"),"바우처통장 지출 — 목적 확인",IF($H681="","적요를 적으십시오",""))))))))))))</f>
        <v/>
      </c>
      <c r="M681" s="39"/>
      <c r="O681" s="11" t="str">
        <f aca="false">IF($B681="","",YEAR($B681)*100+MONTH($B681))</f>
        <v/>
      </c>
      <c r="P681" s="11" t="str">
        <f aca="false">IF($B681="","",IF($E681="대체",0,1))</f>
        <v/>
      </c>
    </row>
    <row r="682" customFormat="false" ht="15" hidden="false" customHeight="false" outlineLevel="0" collapsed="false">
      <c r="A682" s="36" t="str">
        <f aca="false">IF($B682="","",COUNT($B$15:$B682))</f>
        <v/>
      </c>
      <c r="B682" s="37"/>
      <c r="C682" s="38"/>
      <c r="D682" s="39"/>
      <c r="E682" s="36" t="str">
        <f aca="false">IF($D682="","",IFERROR(INDEX('통합 ④ 설정'!$A$6:$A$40,MATCH($D682,'통합 ④ 설정'!$B$6:$B$40,0)),"※없는 과목"))</f>
        <v/>
      </c>
      <c r="F682" s="36" t="str">
        <f aca="false">IF($D682="","",IFERROR(INDEX('통합 ④ 설정'!$C$6:$C$40,MATCH($D682,'통합 ④ 설정'!$B$6:$B$40,0)),""))</f>
        <v/>
      </c>
      <c r="G682" s="39"/>
      <c r="H682" s="39"/>
      <c r="I682" s="40"/>
      <c r="J682" s="41"/>
      <c r="K682" s="38"/>
      <c r="L682" s="42" t="str">
        <f aca="false">IF($B682="","",IF(AND(N($I682)=0,N($J682)=0),"금액이 없습니다",IF(AND($I682&gt;0,$J682&gt;0),"수입·지출 둘 다 적혔습니다",IF($C682="","결제수단을 고르십시오",IF(ISNA(MATCH($C682,'통합 ③ 통장·카드'!$A$5:$A$11,0)),"③ 통장·카드에 없는 결제수단입니다",IF($D682="","계정과목을 고르십시오",IF($E682="※없는 과목","④ 설정에 없는 과목입니다",IF(AND($E682="수입",$J682&gt;0),"수입 과목인데 지출에 적혔습니다",IF(AND(LEFT($E682,2)&lt;&gt;"수입",$E682&lt;&gt;"대체",$I682&gt;0),"지출 과목인데 수입에 적혔습니다",IF($K682="","증빙을 고르십시오",IF(AND($C682="바우처통장",$J682&gt;0,IFERROR(INDEX('통합 ④ 설정'!$E$6:$E$40,MATCH($D682,'통합 ④ 설정'!$B$6:$B$40,0)),"")&lt;&gt;"○"),"바우처통장 지출 — 목적 확인",IF($H682="","적요를 적으십시오",""))))))))))))</f>
        <v/>
      </c>
      <c r="M682" s="39"/>
      <c r="O682" s="11" t="str">
        <f aca="false">IF($B682="","",YEAR($B682)*100+MONTH($B682))</f>
        <v/>
      </c>
      <c r="P682" s="11" t="str">
        <f aca="false">IF($B682="","",IF($E682="대체",0,1))</f>
        <v/>
      </c>
    </row>
    <row r="683" customFormat="false" ht="15" hidden="false" customHeight="false" outlineLevel="0" collapsed="false">
      <c r="A683" s="36" t="str">
        <f aca="false">IF($B683="","",COUNT($B$15:$B683))</f>
        <v/>
      </c>
      <c r="B683" s="37"/>
      <c r="C683" s="38"/>
      <c r="D683" s="39"/>
      <c r="E683" s="36" t="str">
        <f aca="false">IF($D683="","",IFERROR(INDEX('통합 ④ 설정'!$A$6:$A$40,MATCH($D683,'통합 ④ 설정'!$B$6:$B$40,0)),"※없는 과목"))</f>
        <v/>
      </c>
      <c r="F683" s="36" t="str">
        <f aca="false">IF($D683="","",IFERROR(INDEX('통합 ④ 설정'!$C$6:$C$40,MATCH($D683,'통합 ④ 설정'!$B$6:$B$40,0)),""))</f>
        <v/>
      </c>
      <c r="G683" s="39"/>
      <c r="H683" s="39"/>
      <c r="I683" s="40"/>
      <c r="J683" s="41"/>
      <c r="K683" s="38"/>
      <c r="L683" s="42" t="str">
        <f aca="false">IF($B683="","",IF(AND(N($I683)=0,N($J683)=0),"금액이 없습니다",IF(AND($I683&gt;0,$J683&gt;0),"수입·지출 둘 다 적혔습니다",IF($C683="","결제수단을 고르십시오",IF(ISNA(MATCH($C683,'통합 ③ 통장·카드'!$A$5:$A$11,0)),"③ 통장·카드에 없는 결제수단입니다",IF($D683="","계정과목을 고르십시오",IF($E683="※없는 과목","④ 설정에 없는 과목입니다",IF(AND($E683="수입",$J683&gt;0),"수입 과목인데 지출에 적혔습니다",IF(AND(LEFT($E683,2)&lt;&gt;"수입",$E683&lt;&gt;"대체",$I683&gt;0),"지출 과목인데 수입에 적혔습니다",IF($K683="","증빙을 고르십시오",IF(AND($C683="바우처통장",$J683&gt;0,IFERROR(INDEX('통합 ④ 설정'!$E$6:$E$40,MATCH($D683,'통합 ④ 설정'!$B$6:$B$40,0)),"")&lt;&gt;"○"),"바우처통장 지출 — 목적 확인",IF($H683="","적요를 적으십시오",""))))))))))))</f>
        <v/>
      </c>
      <c r="M683" s="39"/>
      <c r="O683" s="11" t="str">
        <f aca="false">IF($B683="","",YEAR($B683)*100+MONTH($B683))</f>
        <v/>
      </c>
      <c r="P683" s="11" t="str">
        <f aca="false">IF($B683="","",IF($E683="대체",0,1))</f>
        <v/>
      </c>
    </row>
    <row r="684" customFormat="false" ht="15" hidden="false" customHeight="false" outlineLevel="0" collapsed="false">
      <c r="A684" s="36" t="str">
        <f aca="false">IF($B684="","",COUNT($B$15:$B684))</f>
        <v/>
      </c>
      <c r="B684" s="37"/>
      <c r="C684" s="38"/>
      <c r="D684" s="39"/>
      <c r="E684" s="36" t="str">
        <f aca="false">IF($D684="","",IFERROR(INDEX('통합 ④ 설정'!$A$6:$A$40,MATCH($D684,'통합 ④ 설정'!$B$6:$B$40,0)),"※없는 과목"))</f>
        <v/>
      </c>
      <c r="F684" s="36" t="str">
        <f aca="false">IF($D684="","",IFERROR(INDEX('통합 ④ 설정'!$C$6:$C$40,MATCH($D684,'통합 ④ 설정'!$B$6:$B$40,0)),""))</f>
        <v/>
      </c>
      <c r="G684" s="39"/>
      <c r="H684" s="39"/>
      <c r="I684" s="40"/>
      <c r="J684" s="41"/>
      <c r="K684" s="38"/>
      <c r="L684" s="42" t="str">
        <f aca="false">IF($B684="","",IF(AND(N($I684)=0,N($J684)=0),"금액이 없습니다",IF(AND($I684&gt;0,$J684&gt;0),"수입·지출 둘 다 적혔습니다",IF($C684="","결제수단을 고르십시오",IF(ISNA(MATCH($C684,'통합 ③ 통장·카드'!$A$5:$A$11,0)),"③ 통장·카드에 없는 결제수단입니다",IF($D684="","계정과목을 고르십시오",IF($E684="※없는 과목","④ 설정에 없는 과목입니다",IF(AND($E684="수입",$J684&gt;0),"수입 과목인데 지출에 적혔습니다",IF(AND(LEFT($E684,2)&lt;&gt;"수입",$E684&lt;&gt;"대체",$I684&gt;0),"지출 과목인데 수입에 적혔습니다",IF($K684="","증빙을 고르십시오",IF(AND($C684="바우처통장",$J684&gt;0,IFERROR(INDEX('통합 ④ 설정'!$E$6:$E$40,MATCH($D684,'통합 ④ 설정'!$B$6:$B$40,0)),"")&lt;&gt;"○"),"바우처통장 지출 — 목적 확인",IF($H684="","적요를 적으십시오",""))))))))))))</f>
        <v/>
      </c>
      <c r="M684" s="39"/>
      <c r="O684" s="11" t="str">
        <f aca="false">IF($B684="","",YEAR($B684)*100+MONTH($B684))</f>
        <v/>
      </c>
      <c r="P684" s="11" t="str">
        <f aca="false">IF($B684="","",IF($E684="대체",0,1))</f>
        <v/>
      </c>
    </row>
    <row r="685" customFormat="false" ht="15" hidden="false" customHeight="false" outlineLevel="0" collapsed="false">
      <c r="A685" s="36" t="str">
        <f aca="false">IF($B685="","",COUNT($B$15:$B685))</f>
        <v/>
      </c>
      <c r="B685" s="37"/>
      <c r="C685" s="38"/>
      <c r="D685" s="39"/>
      <c r="E685" s="36" t="str">
        <f aca="false">IF($D685="","",IFERROR(INDEX('통합 ④ 설정'!$A$6:$A$40,MATCH($D685,'통합 ④ 설정'!$B$6:$B$40,0)),"※없는 과목"))</f>
        <v/>
      </c>
      <c r="F685" s="36" t="str">
        <f aca="false">IF($D685="","",IFERROR(INDEX('통합 ④ 설정'!$C$6:$C$40,MATCH($D685,'통합 ④ 설정'!$B$6:$B$40,0)),""))</f>
        <v/>
      </c>
      <c r="G685" s="39"/>
      <c r="H685" s="39"/>
      <c r="I685" s="40"/>
      <c r="J685" s="41"/>
      <c r="K685" s="38"/>
      <c r="L685" s="42" t="str">
        <f aca="false">IF($B685="","",IF(AND(N($I685)=0,N($J685)=0),"금액이 없습니다",IF(AND($I685&gt;0,$J685&gt;0),"수입·지출 둘 다 적혔습니다",IF($C685="","결제수단을 고르십시오",IF(ISNA(MATCH($C685,'통합 ③ 통장·카드'!$A$5:$A$11,0)),"③ 통장·카드에 없는 결제수단입니다",IF($D685="","계정과목을 고르십시오",IF($E685="※없는 과목","④ 설정에 없는 과목입니다",IF(AND($E685="수입",$J685&gt;0),"수입 과목인데 지출에 적혔습니다",IF(AND(LEFT($E685,2)&lt;&gt;"수입",$E685&lt;&gt;"대체",$I685&gt;0),"지출 과목인데 수입에 적혔습니다",IF($K685="","증빙을 고르십시오",IF(AND($C685="바우처통장",$J685&gt;0,IFERROR(INDEX('통합 ④ 설정'!$E$6:$E$40,MATCH($D685,'통합 ④ 설정'!$B$6:$B$40,0)),"")&lt;&gt;"○"),"바우처통장 지출 — 목적 확인",IF($H685="","적요를 적으십시오",""))))))))))))</f>
        <v/>
      </c>
      <c r="M685" s="39"/>
      <c r="O685" s="11" t="str">
        <f aca="false">IF($B685="","",YEAR($B685)*100+MONTH($B685))</f>
        <v/>
      </c>
      <c r="P685" s="11" t="str">
        <f aca="false">IF($B685="","",IF($E685="대체",0,1))</f>
        <v/>
      </c>
    </row>
    <row r="686" customFormat="false" ht="15" hidden="false" customHeight="false" outlineLevel="0" collapsed="false">
      <c r="A686" s="36" t="str">
        <f aca="false">IF($B686="","",COUNT($B$15:$B686))</f>
        <v/>
      </c>
      <c r="B686" s="37"/>
      <c r="C686" s="38"/>
      <c r="D686" s="39"/>
      <c r="E686" s="36" t="str">
        <f aca="false">IF($D686="","",IFERROR(INDEX('통합 ④ 설정'!$A$6:$A$40,MATCH($D686,'통합 ④ 설정'!$B$6:$B$40,0)),"※없는 과목"))</f>
        <v/>
      </c>
      <c r="F686" s="36" t="str">
        <f aca="false">IF($D686="","",IFERROR(INDEX('통합 ④ 설정'!$C$6:$C$40,MATCH($D686,'통합 ④ 설정'!$B$6:$B$40,0)),""))</f>
        <v/>
      </c>
      <c r="G686" s="39"/>
      <c r="H686" s="39"/>
      <c r="I686" s="40"/>
      <c r="J686" s="41"/>
      <c r="K686" s="38"/>
      <c r="L686" s="42" t="str">
        <f aca="false">IF($B686="","",IF(AND(N($I686)=0,N($J686)=0),"금액이 없습니다",IF(AND($I686&gt;0,$J686&gt;0),"수입·지출 둘 다 적혔습니다",IF($C686="","결제수단을 고르십시오",IF(ISNA(MATCH($C686,'통합 ③ 통장·카드'!$A$5:$A$11,0)),"③ 통장·카드에 없는 결제수단입니다",IF($D686="","계정과목을 고르십시오",IF($E686="※없는 과목","④ 설정에 없는 과목입니다",IF(AND($E686="수입",$J686&gt;0),"수입 과목인데 지출에 적혔습니다",IF(AND(LEFT($E686,2)&lt;&gt;"수입",$E686&lt;&gt;"대체",$I686&gt;0),"지출 과목인데 수입에 적혔습니다",IF($K686="","증빙을 고르십시오",IF(AND($C686="바우처통장",$J686&gt;0,IFERROR(INDEX('통합 ④ 설정'!$E$6:$E$40,MATCH($D686,'통합 ④ 설정'!$B$6:$B$40,0)),"")&lt;&gt;"○"),"바우처통장 지출 — 목적 확인",IF($H686="","적요를 적으십시오",""))))))))))))</f>
        <v/>
      </c>
      <c r="M686" s="39"/>
      <c r="O686" s="11" t="str">
        <f aca="false">IF($B686="","",YEAR($B686)*100+MONTH($B686))</f>
        <v/>
      </c>
      <c r="P686" s="11" t="str">
        <f aca="false">IF($B686="","",IF($E686="대체",0,1))</f>
        <v/>
      </c>
    </row>
    <row r="687" customFormat="false" ht="15" hidden="false" customHeight="false" outlineLevel="0" collapsed="false">
      <c r="A687" s="36" t="str">
        <f aca="false">IF($B687="","",COUNT($B$15:$B687))</f>
        <v/>
      </c>
      <c r="B687" s="37"/>
      <c r="C687" s="38"/>
      <c r="D687" s="39"/>
      <c r="E687" s="36" t="str">
        <f aca="false">IF($D687="","",IFERROR(INDEX('통합 ④ 설정'!$A$6:$A$40,MATCH($D687,'통합 ④ 설정'!$B$6:$B$40,0)),"※없는 과목"))</f>
        <v/>
      </c>
      <c r="F687" s="36" t="str">
        <f aca="false">IF($D687="","",IFERROR(INDEX('통합 ④ 설정'!$C$6:$C$40,MATCH($D687,'통합 ④ 설정'!$B$6:$B$40,0)),""))</f>
        <v/>
      </c>
      <c r="G687" s="39"/>
      <c r="H687" s="39"/>
      <c r="I687" s="40"/>
      <c r="J687" s="41"/>
      <c r="K687" s="38"/>
      <c r="L687" s="42" t="str">
        <f aca="false">IF($B687="","",IF(AND(N($I687)=0,N($J687)=0),"금액이 없습니다",IF(AND($I687&gt;0,$J687&gt;0),"수입·지출 둘 다 적혔습니다",IF($C687="","결제수단을 고르십시오",IF(ISNA(MATCH($C687,'통합 ③ 통장·카드'!$A$5:$A$11,0)),"③ 통장·카드에 없는 결제수단입니다",IF($D687="","계정과목을 고르십시오",IF($E687="※없는 과목","④ 설정에 없는 과목입니다",IF(AND($E687="수입",$J687&gt;0),"수입 과목인데 지출에 적혔습니다",IF(AND(LEFT($E687,2)&lt;&gt;"수입",$E687&lt;&gt;"대체",$I687&gt;0),"지출 과목인데 수입에 적혔습니다",IF($K687="","증빙을 고르십시오",IF(AND($C687="바우처통장",$J687&gt;0,IFERROR(INDEX('통합 ④ 설정'!$E$6:$E$40,MATCH($D687,'통합 ④ 설정'!$B$6:$B$40,0)),"")&lt;&gt;"○"),"바우처통장 지출 — 목적 확인",IF($H687="","적요를 적으십시오",""))))))))))))</f>
        <v/>
      </c>
      <c r="M687" s="39"/>
      <c r="O687" s="11" t="str">
        <f aca="false">IF($B687="","",YEAR($B687)*100+MONTH($B687))</f>
        <v/>
      </c>
      <c r="P687" s="11" t="str">
        <f aca="false">IF($B687="","",IF($E687="대체",0,1))</f>
        <v/>
      </c>
    </row>
    <row r="688" customFormat="false" ht="15" hidden="false" customHeight="false" outlineLevel="0" collapsed="false">
      <c r="A688" s="36" t="str">
        <f aca="false">IF($B688="","",COUNT($B$15:$B688))</f>
        <v/>
      </c>
      <c r="B688" s="37"/>
      <c r="C688" s="38"/>
      <c r="D688" s="39"/>
      <c r="E688" s="36" t="str">
        <f aca="false">IF($D688="","",IFERROR(INDEX('통합 ④ 설정'!$A$6:$A$40,MATCH($D688,'통합 ④ 설정'!$B$6:$B$40,0)),"※없는 과목"))</f>
        <v/>
      </c>
      <c r="F688" s="36" t="str">
        <f aca="false">IF($D688="","",IFERROR(INDEX('통합 ④ 설정'!$C$6:$C$40,MATCH($D688,'통합 ④ 설정'!$B$6:$B$40,0)),""))</f>
        <v/>
      </c>
      <c r="G688" s="39"/>
      <c r="H688" s="39"/>
      <c r="I688" s="40"/>
      <c r="J688" s="41"/>
      <c r="K688" s="38"/>
      <c r="L688" s="42" t="str">
        <f aca="false">IF($B688="","",IF(AND(N($I688)=0,N($J688)=0),"금액이 없습니다",IF(AND($I688&gt;0,$J688&gt;0),"수입·지출 둘 다 적혔습니다",IF($C688="","결제수단을 고르십시오",IF(ISNA(MATCH($C688,'통합 ③ 통장·카드'!$A$5:$A$11,0)),"③ 통장·카드에 없는 결제수단입니다",IF($D688="","계정과목을 고르십시오",IF($E688="※없는 과목","④ 설정에 없는 과목입니다",IF(AND($E688="수입",$J688&gt;0),"수입 과목인데 지출에 적혔습니다",IF(AND(LEFT($E688,2)&lt;&gt;"수입",$E688&lt;&gt;"대체",$I688&gt;0),"지출 과목인데 수입에 적혔습니다",IF($K688="","증빙을 고르십시오",IF(AND($C688="바우처통장",$J688&gt;0,IFERROR(INDEX('통합 ④ 설정'!$E$6:$E$40,MATCH($D688,'통합 ④ 설정'!$B$6:$B$40,0)),"")&lt;&gt;"○"),"바우처통장 지출 — 목적 확인",IF($H688="","적요를 적으십시오",""))))))))))))</f>
        <v/>
      </c>
      <c r="M688" s="39"/>
      <c r="O688" s="11" t="str">
        <f aca="false">IF($B688="","",YEAR($B688)*100+MONTH($B688))</f>
        <v/>
      </c>
      <c r="P688" s="11" t="str">
        <f aca="false">IF($B688="","",IF($E688="대체",0,1))</f>
        <v/>
      </c>
    </row>
    <row r="689" customFormat="false" ht="15" hidden="false" customHeight="false" outlineLevel="0" collapsed="false">
      <c r="A689" s="36" t="str">
        <f aca="false">IF($B689="","",COUNT($B$15:$B689))</f>
        <v/>
      </c>
      <c r="B689" s="37"/>
      <c r="C689" s="38"/>
      <c r="D689" s="39"/>
      <c r="E689" s="36" t="str">
        <f aca="false">IF($D689="","",IFERROR(INDEX('통합 ④ 설정'!$A$6:$A$40,MATCH($D689,'통합 ④ 설정'!$B$6:$B$40,0)),"※없는 과목"))</f>
        <v/>
      </c>
      <c r="F689" s="36" t="str">
        <f aca="false">IF($D689="","",IFERROR(INDEX('통합 ④ 설정'!$C$6:$C$40,MATCH($D689,'통합 ④ 설정'!$B$6:$B$40,0)),""))</f>
        <v/>
      </c>
      <c r="G689" s="39"/>
      <c r="H689" s="39"/>
      <c r="I689" s="40"/>
      <c r="J689" s="41"/>
      <c r="K689" s="38"/>
      <c r="L689" s="42" t="str">
        <f aca="false">IF($B689="","",IF(AND(N($I689)=0,N($J689)=0),"금액이 없습니다",IF(AND($I689&gt;0,$J689&gt;0),"수입·지출 둘 다 적혔습니다",IF($C689="","결제수단을 고르십시오",IF(ISNA(MATCH($C689,'통합 ③ 통장·카드'!$A$5:$A$11,0)),"③ 통장·카드에 없는 결제수단입니다",IF($D689="","계정과목을 고르십시오",IF($E689="※없는 과목","④ 설정에 없는 과목입니다",IF(AND($E689="수입",$J689&gt;0),"수입 과목인데 지출에 적혔습니다",IF(AND(LEFT($E689,2)&lt;&gt;"수입",$E689&lt;&gt;"대체",$I689&gt;0),"지출 과목인데 수입에 적혔습니다",IF($K689="","증빙을 고르십시오",IF(AND($C689="바우처통장",$J689&gt;0,IFERROR(INDEX('통합 ④ 설정'!$E$6:$E$40,MATCH($D689,'통합 ④ 설정'!$B$6:$B$40,0)),"")&lt;&gt;"○"),"바우처통장 지출 — 목적 확인",IF($H689="","적요를 적으십시오",""))))))))))))</f>
        <v/>
      </c>
      <c r="M689" s="39"/>
      <c r="O689" s="11" t="str">
        <f aca="false">IF($B689="","",YEAR($B689)*100+MONTH($B689))</f>
        <v/>
      </c>
      <c r="P689" s="11" t="str">
        <f aca="false">IF($B689="","",IF($E689="대체",0,1))</f>
        <v/>
      </c>
    </row>
    <row r="690" customFormat="false" ht="15" hidden="false" customHeight="false" outlineLevel="0" collapsed="false">
      <c r="A690" s="36" t="str">
        <f aca="false">IF($B690="","",COUNT($B$15:$B690))</f>
        <v/>
      </c>
      <c r="B690" s="37"/>
      <c r="C690" s="38"/>
      <c r="D690" s="39"/>
      <c r="E690" s="36" t="str">
        <f aca="false">IF($D690="","",IFERROR(INDEX('통합 ④ 설정'!$A$6:$A$40,MATCH($D690,'통합 ④ 설정'!$B$6:$B$40,0)),"※없는 과목"))</f>
        <v/>
      </c>
      <c r="F690" s="36" t="str">
        <f aca="false">IF($D690="","",IFERROR(INDEX('통합 ④ 설정'!$C$6:$C$40,MATCH($D690,'통합 ④ 설정'!$B$6:$B$40,0)),""))</f>
        <v/>
      </c>
      <c r="G690" s="39"/>
      <c r="H690" s="39"/>
      <c r="I690" s="40"/>
      <c r="J690" s="41"/>
      <c r="K690" s="38"/>
      <c r="L690" s="42" t="str">
        <f aca="false">IF($B690="","",IF(AND(N($I690)=0,N($J690)=0),"금액이 없습니다",IF(AND($I690&gt;0,$J690&gt;0),"수입·지출 둘 다 적혔습니다",IF($C690="","결제수단을 고르십시오",IF(ISNA(MATCH($C690,'통합 ③ 통장·카드'!$A$5:$A$11,0)),"③ 통장·카드에 없는 결제수단입니다",IF($D690="","계정과목을 고르십시오",IF($E690="※없는 과목","④ 설정에 없는 과목입니다",IF(AND($E690="수입",$J690&gt;0),"수입 과목인데 지출에 적혔습니다",IF(AND(LEFT($E690,2)&lt;&gt;"수입",$E690&lt;&gt;"대체",$I690&gt;0),"지출 과목인데 수입에 적혔습니다",IF($K690="","증빙을 고르십시오",IF(AND($C690="바우처통장",$J690&gt;0,IFERROR(INDEX('통합 ④ 설정'!$E$6:$E$40,MATCH($D690,'통합 ④ 설정'!$B$6:$B$40,0)),"")&lt;&gt;"○"),"바우처통장 지출 — 목적 확인",IF($H690="","적요를 적으십시오",""))))))))))))</f>
        <v/>
      </c>
      <c r="M690" s="39"/>
      <c r="O690" s="11" t="str">
        <f aca="false">IF($B690="","",YEAR($B690)*100+MONTH($B690))</f>
        <v/>
      </c>
      <c r="P690" s="11" t="str">
        <f aca="false">IF($B690="","",IF($E690="대체",0,1))</f>
        <v/>
      </c>
    </row>
    <row r="691" customFormat="false" ht="15" hidden="false" customHeight="false" outlineLevel="0" collapsed="false">
      <c r="A691" s="36" t="str">
        <f aca="false">IF($B691="","",COUNT($B$15:$B691))</f>
        <v/>
      </c>
      <c r="B691" s="37"/>
      <c r="C691" s="38"/>
      <c r="D691" s="39"/>
      <c r="E691" s="36" t="str">
        <f aca="false">IF($D691="","",IFERROR(INDEX('통합 ④ 설정'!$A$6:$A$40,MATCH($D691,'통합 ④ 설정'!$B$6:$B$40,0)),"※없는 과목"))</f>
        <v/>
      </c>
      <c r="F691" s="36" t="str">
        <f aca="false">IF($D691="","",IFERROR(INDEX('통합 ④ 설정'!$C$6:$C$40,MATCH($D691,'통합 ④ 설정'!$B$6:$B$40,0)),""))</f>
        <v/>
      </c>
      <c r="G691" s="39"/>
      <c r="H691" s="39"/>
      <c r="I691" s="40"/>
      <c r="J691" s="41"/>
      <c r="K691" s="38"/>
      <c r="L691" s="42" t="str">
        <f aca="false">IF($B691="","",IF(AND(N($I691)=0,N($J691)=0),"금액이 없습니다",IF(AND($I691&gt;0,$J691&gt;0),"수입·지출 둘 다 적혔습니다",IF($C691="","결제수단을 고르십시오",IF(ISNA(MATCH($C691,'통합 ③ 통장·카드'!$A$5:$A$11,0)),"③ 통장·카드에 없는 결제수단입니다",IF($D691="","계정과목을 고르십시오",IF($E691="※없는 과목","④ 설정에 없는 과목입니다",IF(AND($E691="수입",$J691&gt;0),"수입 과목인데 지출에 적혔습니다",IF(AND(LEFT($E691,2)&lt;&gt;"수입",$E691&lt;&gt;"대체",$I691&gt;0),"지출 과목인데 수입에 적혔습니다",IF($K691="","증빙을 고르십시오",IF(AND($C691="바우처통장",$J691&gt;0,IFERROR(INDEX('통합 ④ 설정'!$E$6:$E$40,MATCH($D691,'통합 ④ 설정'!$B$6:$B$40,0)),"")&lt;&gt;"○"),"바우처통장 지출 — 목적 확인",IF($H691="","적요를 적으십시오",""))))))))))))</f>
        <v/>
      </c>
      <c r="M691" s="39"/>
      <c r="O691" s="11" t="str">
        <f aca="false">IF($B691="","",YEAR($B691)*100+MONTH($B691))</f>
        <v/>
      </c>
      <c r="P691" s="11" t="str">
        <f aca="false">IF($B691="","",IF($E691="대체",0,1))</f>
        <v/>
      </c>
    </row>
    <row r="692" customFormat="false" ht="15" hidden="false" customHeight="false" outlineLevel="0" collapsed="false">
      <c r="A692" s="36" t="str">
        <f aca="false">IF($B692="","",COUNT($B$15:$B692))</f>
        <v/>
      </c>
      <c r="B692" s="37"/>
      <c r="C692" s="38"/>
      <c r="D692" s="39"/>
      <c r="E692" s="36" t="str">
        <f aca="false">IF($D692="","",IFERROR(INDEX('통합 ④ 설정'!$A$6:$A$40,MATCH($D692,'통합 ④ 설정'!$B$6:$B$40,0)),"※없는 과목"))</f>
        <v/>
      </c>
      <c r="F692" s="36" t="str">
        <f aca="false">IF($D692="","",IFERROR(INDEX('통합 ④ 설정'!$C$6:$C$40,MATCH($D692,'통합 ④ 설정'!$B$6:$B$40,0)),""))</f>
        <v/>
      </c>
      <c r="G692" s="39"/>
      <c r="H692" s="39"/>
      <c r="I692" s="40"/>
      <c r="J692" s="41"/>
      <c r="K692" s="38"/>
      <c r="L692" s="42" t="str">
        <f aca="false">IF($B692="","",IF(AND(N($I692)=0,N($J692)=0),"금액이 없습니다",IF(AND($I692&gt;0,$J692&gt;0),"수입·지출 둘 다 적혔습니다",IF($C692="","결제수단을 고르십시오",IF(ISNA(MATCH($C692,'통합 ③ 통장·카드'!$A$5:$A$11,0)),"③ 통장·카드에 없는 결제수단입니다",IF($D692="","계정과목을 고르십시오",IF($E692="※없는 과목","④ 설정에 없는 과목입니다",IF(AND($E692="수입",$J692&gt;0),"수입 과목인데 지출에 적혔습니다",IF(AND(LEFT($E692,2)&lt;&gt;"수입",$E692&lt;&gt;"대체",$I692&gt;0),"지출 과목인데 수입에 적혔습니다",IF($K692="","증빙을 고르십시오",IF(AND($C692="바우처통장",$J692&gt;0,IFERROR(INDEX('통합 ④ 설정'!$E$6:$E$40,MATCH($D692,'통합 ④ 설정'!$B$6:$B$40,0)),"")&lt;&gt;"○"),"바우처통장 지출 — 목적 확인",IF($H692="","적요를 적으십시오",""))))))))))))</f>
        <v/>
      </c>
      <c r="M692" s="39"/>
      <c r="O692" s="11" t="str">
        <f aca="false">IF($B692="","",YEAR($B692)*100+MONTH($B692))</f>
        <v/>
      </c>
      <c r="P692" s="11" t="str">
        <f aca="false">IF($B692="","",IF($E692="대체",0,1))</f>
        <v/>
      </c>
    </row>
    <row r="693" customFormat="false" ht="15" hidden="false" customHeight="false" outlineLevel="0" collapsed="false">
      <c r="A693" s="36" t="str">
        <f aca="false">IF($B693="","",COUNT($B$15:$B693))</f>
        <v/>
      </c>
      <c r="B693" s="37"/>
      <c r="C693" s="38"/>
      <c r="D693" s="39"/>
      <c r="E693" s="36" t="str">
        <f aca="false">IF($D693="","",IFERROR(INDEX('통합 ④ 설정'!$A$6:$A$40,MATCH($D693,'통합 ④ 설정'!$B$6:$B$40,0)),"※없는 과목"))</f>
        <v/>
      </c>
      <c r="F693" s="36" t="str">
        <f aca="false">IF($D693="","",IFERROR(INDEX('통합 ④ 설정'!$C$6:$C$40,MATCH($D693,'통합 ④ 설정'!$B$6:$B$40,0)),""))</f>
        <v/>
      </c>
      <c r="G693" s="39"/>
      <c r="H693" s="39"/>
      <c r="I693" s="40"/>
      <c r="J693" s="41"/>
      <c r="K693" s="38"/>
      <c r="L693" s="42" t="str">
        <f aca="false">IF($B693="","",IF(AND(N($I693)=0,N($J693)=0),"금액이 없습니다",IF(AND($I693&gt;0,$J693&gt;0),"수입·지출 둘 다 적혔습니다",IF($C693="","결제수단을 고르십시오",IF(ISNA(MATCH($C693,'통합 ③ 통장·카드'!$A$5:$A$11,0)),"③ 통장·카드에 없는 결제수단입니다",IF($D693="","계정과목을 고르십시오",IF($E693="※없는 과목","④ 설정에 없는 과목입니다",IF(AND($E693="수입",$J693&gt;0),"수입 과목인데 지출에 적혔습니다",IF(AND(LEFT($E693,2)&lt;&gt;"수입",$E693&lt;&gt;"대체",$I693&gt;0),"지출 과목인데 수입에 적혔습니다",IF($K693="","증빙을 고르십시오",IF(AND($C693="바우처통장",$J693&gt;0,IFERROR(INDEX('통합 ④ 설정'!$E$6:$E$40,MATCH($D693,'통합 ④ 설정'!$B$6:$B$40,0)),"")&lt;&gt;"○"),"바우처통장 지출 — 목적 확인",IF($H693="","적요를 적으십시오",""))))))))))))</f>
        <v/>
      </c>
      <c r="M693" s="39"/>
      <c r="O693" s="11" t="str">
        <f aca="false">IF($B693="","",YEAR($B693)*100+MONTH($B693))</f>
        <v/>
      </c>
      <c r="P693" s="11" t="str">
        <f aca="false">IF($B693="","",IF($E693="대체",0,1))</f>
        <v/>
      </c>
    </row>
    <row r="694" customFormat="false" ht="15" hidden="false" customHeight="false" outlineLevel="0" collapsed="false">
      <c r="A694" s="36" t="str">
        <f aca="false">IF($B694="","",COUNT($B$15:$B694))</f>
        <v/>
      </c>
      <c r="B694" s="37"/>
      <c r="C694" s="38"/>
      <c r="D694" s="39"/>
      <c r="E694" s="36" t="str">
        <f aca="false">IF($D694="","",IFERROR(INDEX('통합 ④ 설정'!$A$6:$A$40,MATCH($D694,'통합 ④ 설정'!$B$6:$B$40,0)),"※없는 과목"))</f>
        <v/>
      </c>
      <c r="F694" s="36" t="str">
        <f aca="false">IF($D694="","",IFERROR(INDEX('통합 ④ 설정'!$C$6:$C$40,MATCH($D694,'통합 ④ 설정'!$B$6:$B$40,0)),""))</f>
        <v/>
      </c>
      <c r="G694" s="39"/>
      <c r="H694" s="39"/>
      <c r="I694" s="40"/>
      <c r="J694" s="41"/>
      <c r="K694" s="38"/>
      <c r="L694" s="42" t="str">
        <f aca="false">IF($B694="","",IF(AND(N($I694)=0,N($J694)=0),"금액이 없습니다",IF(AND($I694&gt;0,$J694&gt;0),"수입·지출 둘 다 적혔습니다",IF($C694="","결제수단을 고르십시오",IF(ISNA(MATCH($C694,'통합 ③ 통장·카드'!$A$5:$A$11,0)),"③ 통장·카드에 없는 결제수단입니다",IF($D694="","계정과목을 고르십시오",IF($E694="※없는 과목","④ 설정에 없는 과목입니다",IF(AND($E694="수입",$J694&gt;0),"수입 과목인데 지출에 적혔습니다",IF(AND(LEFT($E694,2)&lt;&gt;"수입",$E694&lt;&gt;"대체",$I694&gt;0),"지출 과목인데 수입에 적혔습니다",IF($K694="","증빙을 고르십시오",IF(AND($C694="바우처통장",$J694&gt;0,IFERROR(INDEX('통합 ④ 설정'!$E$6:$E$40,MATCH($D694,'통합 ④ 설정'!$B$6:$B$40,0)),"")&lt;&gt;"○"),"바우처통장 지출 — 목적 확인",IF($H694="","적요를 적으십시오",""))))))))))))</f>
        <v/>
      </c>
      <c r="M694" s="39"/>
      <c r="O694" s="11" t="str">
        <f aca="false">IF($B694="","",YEAR($B694)*100+MONTH($B694))</f>
        <v/>
      </c>
      <c r="P694" s="11" t="str">
        <f aca="false">IF($B694="","",IF($E694="대체",0,1))</f>
        <v/>
      </c>
    </row>
    <row r="695" customFormat="false" ht="15" hidden="false" customHeight="false" outlineLevel="0" collapsed="false">
      <c r="A695" s="36" t="str">
        <f aca="false">IF($B695="","",COUNT($B$15:$B695))</f>
        <v/>
      </c>
      <c r="B695" s="37"/>
      <c r="C695" s="38"/>
      <c r="D695" s="39"/>
      <c r="E695" s="36" t="str">
        <f aca="false">IF($D695="","",IFERROR(INDEX('통합 ④ 설정'!$A$6:$A$40,MATCH($D695,'통합 ④ 설정'!$B$6:$B$40,0)),"※없는 과목"))</f>
        <v/>
      </c>
      <c r="F695" s="36" t="str">
        <f aca="false">IF($D695="","",IFERROR(INDEX('통합 ④ 설정'!$C$6:$C$40,MATCH($D695,'통합 ④ 설정'!$B$6:$B$40,0)),""))</f>
        <v/>
      </c>
      <c r="G695" s="39"/>
      <c r="H695" s="39"/>
      <c r="I695" s="40"/>
      <c r="J695" s="41"/>
      <c r="K695" s="38"/>
      <c r="L695" s="42" t="str">
        <f aca="false">IF($B695="","",IF(AND(N($I695)=0,N($J695)=0),"금액이 없습니다",IF(AND($I695&gt;0,$J695&gt;0),"수입·지출 둘 다 적혔습니다",IF($C695="","결제수단을 고르십시오",IF(ISNA(MATCH($C695,'통합 ③ 통장·카드'!$A$5:$A$11,0)),"③ 통장·카드에 없는 결제수단입니다",IF($D695="","계정과목을 고르십시오",IF($E695="※없는 과목","④ 설정에 없는 과목입니다",IF(AND($E695="수입",$J695&gt;0),"수입 과목인데 지출에 적혔습니다",IF(AND(LEFT($E695,2)&lt;&gt;"수입",$E695&lt;&gt;"대체",$I695&gt;0),"지출 과목인데 수입에 적혔습니다",IF($K695="","증빙을 고르십시오",IF(AND($C695="바우처통장",$J695&gt;0,IFERROR(INDEX('통합 ④ 설정'!$E$6:$E$40,MATCH($D695,'통합 ④ 설정'!$B$6:$B$40,0)),"")&lt;&gt;"○"),"바우처통장 지출 — 목적 확인",IF($H695="","적요를 적으십시오",""))))))))))))</f>
        <v/>
      </c>
      <c r="M695" s="39"/>
      <c r="O695" s="11" t="str">
        <f aca="false">IF($B695="","",YEAR($B695)*100+MONTH($B695))</f>
        <v/>
      </c>
      <c r="P695" s="11" t="str">
        <f aca="false">IF($B695="","",IF($E695="대체",0,1))</f>
        <v/>
      </c>
    </row>
    <row r="696" customFormat="false" ht="15" hidden="false" customHeight="false" outlineLevel="0" collapsed="false">
      <c r="A696" s="36" t="str">
        <f aca="false">IF($B696="","",COUNT($B$15:$B696))</f>
        <v/>
      </c>
      <c r="B696" s="37"/>
      <c r="C696" s="38"/>
      <c r="D696" s="39"/>
      <c r="E696" s="36" t="str">
        <f aca="false">IF($D696="","",IFERROR(INDEX('통합 ④ 설정'!$A$6:$A$40,MATCH($D696,'통합 ④ 설정'!$B$6:$B$40,0)),"※없는 과목"))</f>
        <v/>
      </c>
      <c r="F696" s="36" t="str">
        <f aca="false">IF($D696="","",IFERROR(INDEX('통합 ④ 설정'!$C$6:$C$40,MATCH($D696,'통합 ④ 설정'!$B$6:$B$40,0)),""))</f>
        <v/>
      </c>
      <c r="G696" s="39"/>
      <c r="H696" s="39"/>
      <c r="I696" s="40"/>
      <c r="J696" s="41"/>
      <c r="K696" s="38"/>
      <c r="L696" s="42" t="str">
        <f aca="false">IF($B696="","",IF(AND(N($I696)=0,N($J696)=0),"금액이 없습니다",IF(AND($I696&gt;0,$J696&gt;0),"수입·지출 둘 다 적혔습니다",IF($C696="","결제수단을 고르십시오",IF(ISNA(MATCH($C696,'통합 ③ 통장·카드'!$A$5:$A$11,0)),"③ 통장·카드에 없는 결제수단입니다",IF($D696="","계정과목을 고르십시오",IF($E696="※없는 과목","④ 설정에 없는 과목입니다",IF(AND($E696="수입",$J696&gt;0),"수입 과목인데 지출에 적혔습니다",IF(AND(LEFT($E696,2)&lt;&gt;"수입",$E696&lt;&gt;"대체",$I696&gt;0),"지출 과목인데 수입에 적혔습니다",IF($K696="","증빙을 고르십시오",IF(AND($C696="바우처통장",$J696&gt;0,IFERROR(INDEX('통합 ④ 설정'!$E$6:$E$40,MATCH($D696,'통합 ④ 설정'!$B$6:$B$40,0)),"")&lt;&gt;"○"),"바우처통장 지출 — 목적 확인",IF($H696="","적요를 적으십시오",""))))))))))))</f>
        <v/>
      </c>
      <c r="M696" s="39"/>
      <c r="O696" s="11" t="str">
        <f aca="false">IF($B696="","",YEAR($B696)*100+MONTH($B696))</f>
        <v/>
      </c>
      <c r="P696" s="11" t="str">
        <f aca="false">IF($B696="","",IF($E696="대체",0,1))</f>
        <v/>
      </c>
    </row>
    <row r="697" customFormat="false" ht="15" hidden="false" customHeight="false" outlineLevel="0" collapsed="false">
      <c r="A697" s="36" t="str">
        <f aca="false">IF($B697="","",COUNT($B$15:$B697))</f>
        <v/>
      </c>
      <c r="B697" s="37"/>
      <c r="C697" s="38"/>
      <c r="D697" s="39"/>
      <c r="E697" s="36" t="str">
        <f aca="false">IF($D697="","",IFERROR(INDEX('통합 ④ 설정'!$A$6:$A$40,MATCH($D697,'통합 ④ 설정'!$B$6:$B$40,0)),"※없는 과목"))</f>
        <v/>
      </c>
      <c r="F697" s="36" t="str">
        <f aca="false">IF($D697="","",IFERROR(INDEX('통합 ④ 설정'!$C$6:$C$40,MATCH($D697,'통합 ④ 설정'!$B$6:$B$40,0)),""))</f>
        <v/>
      </c>
      <c r="G697" s="39"/>
      <c r="H697" s="39"/>
      <c r="I697" s="40"/>
      <c r="J697" s="41"/>
      <c r="K697" s="38"/>
      <c r="L697" s="42" t="str">
        <f aca="false">IF($B697="","",IF(AND(N($I697)=0,N($J697)=0),"금액이 없습니다",IF(AND($I697&gt;0,$J697&gt;0),"수입·지출 둘 다 적혔습니다",IF($C697="","결제수단을 고르십시오",IF(ISNA(MATCH($C697,'통합 ③ 통장·카드'!$A$5:$A$11,0)),"③ 통장·카드에 없는 결제수단입니다",IF($D697="","계정과목을 고르십시오",IF($E697="※없는 과목","④ 설정에 없는 과목입니다",IF(AND($E697="수입",$J697&gt;0),"수입 과목인데 지출에 적혔습니다",IF(AND(LEFT($E697,2)&lt;&gt;"수입",$E697&lt;&gt;"대체",$I697&gt;0),"지출 과목인데 수입에 적혔습니다",IF($K697="","증빙을 고르십시오",IF(AND($C697="바우처통장",$J697&gt;0,IFERROR(INDEX('통합 ④ 설정'!$E$6:$E$40,MATCH($D697,'통합 ④ 설정'!$B$6:$B$40,0)),"")&lt;&gt;"○"),"바우처통장 지출 — 목적 확인",IF($H697="","적요를 적으십시오",""))))))))))))</f>
        <v/>
      </c>
      <c r="M697" s="39"/>
      <c r="O697" s="11" t="str">
        <f aca="false">IF($B697="","",YEAR($B697)*100+MONTH($B697))</f>
        <v/>
      </c>
      <c r="P697" s="11" t="str">
        <f aca="false">IF($B697="","",IF($E697="대체",0,1))</f>
        <v/>
      </c>
    </row>
    <row r="698" customFormat="false" ht="15" hidden="false" customHeight="false" outlineLevel="0" collapsed="false">
      <c r="A698" s="36" t="str">
        <f aca="false">IF($B698="","",COUNT($B$15:$B698))</f>
        <v/>
      </c>
      <c r="B698" s="37"/>
      <c r="C698" s="38"/>
      <c r="D698" s="39"/>
      <c r="E698" s="36" t="str">
        <f aca="false">IF($D698="","",IFERROR(INDEX('통합 ④ 설정'!$A$6:$A$40,MATCH($D698,'통합 ④ 설정'!$B$6:$B$40,0)),"※없는 과목"))</f>
        <v/>
      </c>
      <c r="F698" s="36" t="str">
        <f aca="false">IF($D698="","",IFERROR(INDEX('통합 ④ 설정'!$C$6:$C$40,MATCH($D698,'통합 ④ 설정'!$B$6:$B$40,0)),""))</f>
        <v/>
      </c>
      <c r="G698" s="39"/>
      <c r="H698" s="39"/>
      <c r="I698" s="40"/>
      <c r="J698" s="41"/>
      <c r="K698" s="38"/>
      <c r="L698" s="42" t="str">
        <f aca="false">IF($B698="","",IF(AND(N($I698)=0,N($J698)=0),"금액이 없습니다",IF(AND($I698&gt;0,$J698&gt;0),"수입·지출 둘 다 적혔습니다",IF($C698="","결제수단을 고르십시오",IF(ISNA(MATCH($C698,'통합 ③ 통장·카드'!$A$5:$A$11,0)),"③ 통장·카드에 없는 결제수단입니다",IF($D698="","계정과목을 고르십시오",IF($E698="※없는 과목","④ 설정에 없는 과목입니다",IF(AND($E698="수입",$J698&gt;0),"수입 과목인데 지출에 적혔습니다",IF(AND(LEFT($E698,2)&lt;&gt;"수입",$E698&lt;&gt;"대체",$I698&gt;0),"지출 과목인데 수입에 적혔습니다",IF($K698="","증빙을 고르십시오",IF(AND($C698="바우처통장",$J698&gt;0,IFERROR(INDEX('통합 ④ 설정'!$E$6:$E$40,MATCH($D698,'통합 ④ 설정'!$B$6:$B$40,0)),"")&lt;&gt;"○"),"바우처통장 지출 — 목적 확인",IF($H698="","적요를 적으십시오",""))))))))))))</f>
        <v/>
      </c>
      <c r="M698" s="39"/>
      <c r="O698" s="11" t="str">
        <f aca="false">IF($B698="","",YEAR($B698)*100+MONTH($B698))</f>
        <v/>
      </c>
      <c r="P698" s="11" t="str">
        <f aca="false">IF($B698="","",IF($E698="대체",0,1))</f>
        <v/>
      </c>
    </row>
    <row r="699" customFormat="false" ht="15" hidden="false" customHeight="false" outlineLevel="0" collapsed="false">
      <c r="A699" s="36" t="str">
        <f aca="false">IF($B699="","",COUNT($B$15:$B699))</f>
        <v/>
      </c>
      <c r="B699" s="37"/>
      <c r="C699" s="38"/>
      <c r="D699" s="39"/>
      <c r="E699" s="36" t="str">
        <f aca="false">IF($D699="","",IFERROR(INDEX('통합 ④ 설정'!$A$6:$A$40,MATCH($D699,'통합 ④ 설정'!$B$6:$B$40,0)),"※없는 과목"))</f>
        <v/>
      </c>
      <c r="F699" s="36" t="str">
        <f aca="false">IF($D699="","",IFERROR(INDEX('통합 ④ 설정'!$C$6:$C$40,MATCH($D699,'통합 ④ 설정'!$B$6:$B$40,0)),""))</f>
        <v/>
      </c>
      <c r="G699" s="39"/>
      <c r="H699" s="39"/>
      <c r="I699" s="40"/>
      <c r="J699" s="41"/>
      <c r="K699" s="38"/>
      <c r="L699" s="42" t="str">
        <f aca="false">IF($B699="","",IF(AND(N($I699)=0,N($J699)=0),"금액이 없습니다",IF(AND($I699&gt;0,$J699&gt;0),"수입·지출 둘 다 적혔습니다",IF($C699="","결제수단을 고르십시오",IF(ISNA(MATCH($C699,'통합 ③ 통장·카드'!$A$5:$A$11,0)),"③ 통장·카드에 없는 결제수단입니다",IF($D699="","계정과목을 고르십시오",IF($E699="※없는 과목","④ 설정에 없는 과목입니다",IF(AND($E699="수입",$J699&gt;0),"수입 과목인데 지출에 적혔습니다",IF(AND(LEFT($E699,2)&lt;&gt;"수입",$E699&lt;&gt;"대체",$I699&gt;0),"지출 과목인데 수입에 적혔습니다",IF($K699="","증빙을 고르십시오",IF(AND($C699="바우처통장",$J699&gt;0,IFERROR(INDEX('통합 ④ 설정'!$E$6:$E$40,MATCH($D699,'통합 ④ 설정'!$B$6:$B$40,0)),"")&lt;&gt;"○"),"바우처통장 지출 — 목적 확인",IF($H699="","적요를 적으십시오",""))))))))))))</f>
        <v/>
      </c>
      <c r="M699" s="39"/>
      <c r="O699" s="11" t="str">
        <f aca="false">IF($B699="","",YEAR($B699)*100+MONTH($B699))</f>
        <v/>
      </c>
      <c r="P699" s="11" t="str">
        <f aca="false">IF($B699="","",IF($E699="대체",0,1))</f>
        <v/>
      </c>
    </row>
    <row r="700" customFormat="false" ht="15" hidden="false" customHeight="false" outlineLevel="0" collapsed="false">
      <c r="A700" s="36" t="str">
        <f aca="false">IF($B700="","",COUNT($B$15:$B700))</f>
        <v/>
      </c>
      <c r="B700" s="37"/>
      <c r="C700" s="38"/>
      <c r="D700" s="39"/>
      <c r="E700" s="36" t="str">
        <f aca="false">IF($D700="","",IFERROR(INDEX('통합 ④ 설정'!$A$6:$A$40,MATCH($D700,'통합 ④ 설정'!$B$6:$B$40,0)),"※없는 과목"))</f>
        <v/>
      </c>
      <c r="F700" s="36" t="str">
        <f aca="false">IF($D700="","",IFERROR(INDEX('통합 ④ 설정'!$C$6:$C$40,MATCH($D700,'통합 ④ 설정'!$B$6:$B$40,0)),""))</f>
        <v/>
      </c>
      <c r="G700" s="39"/>
      <c r="H700" s="39"/>
      <c r="I700" s="40"/>
      <c r="J700" s="41"/>
      <c r="K700" s="38"/>
      <c r="L700" s="42" t="str">
        <f aca="false">IF($B700="","",IF(AND(N($I700)=0,N($J700)=0),"금액이 없습니다",IF(AND($I700&gt;0,$J700&gt;0),"수입·지출 둘 다 적혔습니다",IF($C700="","결제수단을 고르십시오",IF(ISNA(MATCH($C700,'통합 ③ 통장·카드'!$A$5:$A$11,0)),"③ 통장·카드에 없는 결제수단입니다",IF($D700="","계정과목을 고르십시오",IF($E700="※없는 과목","④ 설정에 없는 과목입니다",IF(AND($E700="수입",$J700&gt;0),"수입 과목인데 지출에 적혔습니다",IF(AND(LEFT($E700,2)&lt;&gt;"수입",$E700&lt;&gt;"대체",$I700&gt;0),"지출 과목인데 수입에 적혔습니다",IF($K700="","증빙을 고르십시오",IF(AND($C700="바우처통장",$J700&gt;0,IFERROR(INDEX('통합 ④ 설정'!$E$6:$E$40,MATCH($D700,'통합 ④ 설정'!$B$6:$B$40,0)),"")&lt;&gt;"○"),"바우처통장 지출 — 목적 확인",IF($H700="","적요를 적으십시오",""))))))))))))</f>
        <v/>
      </c>
      <c r="M700" s="39"/>
      <c r="O700" s="11" t="str">
        <f aca="false">IF($B700="","",YEAR($B700)*100+MONTH($B700))</f>
        <v/>
      </c>
      <c r="P700" s="11" t="str">
        <f aca="false">IF($B700="","",IF($E700="대체",0,1))</f>
        <v/>
      </c>
    </row>
    <row r="701" customFormat="false" ht="15" hidden="false" customHeight="false" outlineLevel="0" collapsed="false">
      <c r="A701" s="36" t="str">
        <f aca="false">IF($B701="","",COUNT($B$15:$B701))</f>
        <v/>
      </c>
      <c r="B701" s="37"/>
      <c r="C701" s="38"/>
      <c r="D701" s="39"/>
      <c r="E701" s="36" t="str">
        <f aca="false">IF($D701="","",IFERROR(INDEX('통합 ④ 설정'!$A$6:$A$40,MATCH($D701,'통합 ④ 설정'!$B$6:$B$40,0)),"※없는 과목"))</f>
        <v/>
      </c>
      <c r="F701" s="36" t="str">
        <f aca="false">IF($D701="","",IFERROR(INDEX('통합 ④ 설정'!$C$6:$C$40,MATCH($D701,'통합 ④ 설정'!$B$6:$B$40,0)),""))</f>
        <v/>
      </c>
      <c r="G701" s="39"/>
      <c r="H701" s="39"/>
      <c r="I701" s="40"/>
      <c r="J701" s="41"/>
      <c r="K701" s="38"/>
      <c r="L701" s="42" t="str">
        <f aca="false">IF($B701="","",IF(AND(N($I701)=0,N($J701)=0),"금액이 없습니다",IF(AND($I701&gt;0,$J701&gt;0),"수입·지출 둘 다 적혔습니다",IF($C701="","결제수단을 고르십시오",IF(ISNA(MATCH($C701,'통합 ③ 통장·카드'!$A$5:$A$11,0)),"③ 통장·카드에 없는 결제수단입니다",IF($D701="","계정과목을 고르십시오",IF($E701="※없는 과목","④ 설정에 없는 과목입니다",IF(AND($E701="수입",$J701&gt;0),"수입 과목인데 지출에 적혔습니다",IF(AND(LEFT($E701,2)&lt;&gt;"수입",$E701&lt;&gt;"대체",$I701&gt;0),"지출 과목인데 수입에 적혔습니다",IF($K701="","증빙을 고르십시오",IF(AND($C701="바우처통장",$J701&gt;0,IFERROR(INDEX('통합 ④ 설정'!$E$6:$E$40,MATCH($D701,'통합 ④ 설정'!$B$6:$B$40,0)),"")&lt;&gt;"○"),"바우처통장 지출 — 목적 확인",IF($H701="","적요를 적으십시오",""))))))))))))</f>
        <v/>
      </c>
      <c r="M701" s="39"/>
      <c r="O701" s="11" t="str">
        <f aca="false">IF($B701="","",YEAR($B701)*100+MONTH($B701))</f>
        <v/>
      </c>
      <c r="P701" s="11" t="str">
        <f aca="false">IF($B701="","",IF($E701="대체",0,1))</f>
        <v/>
      </c>
    </row>
    <row r="702" customFormat="false" ht="15" hidden="false" customHeight="false" outlineLevel="0" collapsed="false">
      <c r="A702" s="36" t="str">
        <f aca="false">IF($B702="","",COUNT($B$15:$B702))</f>
        <v/>
      </c>
      <c r="B702" s="37"/>
      <c r="C702" s="38"/>
      <c r="D702" s="39"/>
      <c r="E702" s="36" t="str">
        <f aca="false">IF($D702="","",IFERROR(INDEX('통합 ④ 설정'!$A$6:$A$40,MATCH($D702,'통합 ④ 설정'!$B$6:$B$40,0)),"※없는 과목"))</f>
        <v/>
      </c>
      <c r="F702" s="36" t="str">
        <f aca="false">IF($D702="","",IFERROR(INDEX('통합 ④ 설정'!$C$6:$C$40,MATCH($D702,'통합 ④ 설정'!$B$6:$B$40,0)),""))</f>
        <v/>
      </c>
      <c r="G702" s="39"/>
      <c r="H702" s="39"/>
      <c r="I702" s="40"/>
      <c r="J702" s="41"/>
      <c r="K702" s="38"/>
      <c r="L702" s="42" t="str">
        <f aca="false">IF($B702="","",IF(AND(N($I702)=0,N($J702)=0),"금액이 없습니다",IF(AND($I702&gt;0,$J702&gt;0),"수입·지출 둘 다 적혔습니다",IF($C702="","결제수단을 고르십시오",IF(ISNA(MATCH($C702,'통합 ③ 통장·카드'!$A$5:$A$11,0)),"③ 통장·카드에 없는 결제수단입니다",IF($D702="","계정과목을 고르십시오",IF($E702="※없는 과목","④ 설정에 없는 과목입니다",IF(AND($E702="수입",$J702&gt;0),"수입 과목인데 지출에 적혔습니다",IF(AND(LEFT($E702,2)&lt;&gt;"수입",$E702&lt;&gt;"대체",$I702&gt;0),"지출 과목인데 수입에 적혔습니다",IF($K702="","증빙을 고르십시오",IF(AND($C702="바우처통장",$J702&gt;0,IFERROR(INDEX('통합 ④ 설정'!$E$6:$E$40,MATCH($D702,'통합 ④ 설정'!$B$6:$B$40,0)),"")&lt;&gt;"○"),"바우처통장 지출 — 목적 확인",IF($H702="","적요를 적으십시오",""))))))))))))</f>
        <v/>
      </c>
      <c r="M702" s="39"/>
      <c r="O702" s="11" t="str">
        <f aca="false">IF($B702="","",YEAR($B702)*100+MONTH($B702))</f>
        <v/>
      </c>
      <c r="P702" s="11" t="str">
        <f aca="false">IF($B702="","",IF($E702="대체",0,1))</f>
        <v/>
      </c>
    </row>
    <row r="703" customFormat="false" ht="15" hidden="false" customHeight="false" outlineLevel="0" collapsed="false">
      <c r="A703" s="36" t="str">
        <f aca="false">IF($B703="","",COUNT($B$15:$B703))</f>
        <v/>
      </c>
      <c r="B703" s="37"/>
      <c r="C703" s="38"/>
      <c r="D703" s="39"/>
      <c r="E703" s="36" t="str">
        <f aca="false">IF($D703="","",IFERROR(INDEX('통합 ④ 설정'!$A$6:$A$40,MATCH($D703,'통합 ④ 설정'!$B$6:$B$40,0)),"※없는 과목"))</f>
        <v/>
      </c>
      <c r="F703" s="36" t="str">
        <f aca="false">IF($D703="","",IFERROR(INDEX('통합 ④ 설정'!$C$6:$C$40,MATCH($D703,'통합 ④ 설정'!$B$6:$B$40,0)),""))</f>
        <v/>
      </c>
      <c r="G703" s="39"/>
      <c r="H703" s="39"/>
      <c r="I703" s="40"/>
      <c r="J703" s="41"/>
      <c r="K703" s="38"/>
      <c r="L703" s="42" t="str">
        <f aca="false">IF($B703="","",IF(AND(N($I703)=0,N($J703)=0),"금액이 없습니다",IF(AND($I703&gt;0,$J703&gt;0),"수입·지출 둘 다 적혔습니다",IF($C703="","결제수단을 고르십시오",IF(ISNA(MATCH($C703,'통합 ③ 통장·카드'!$A$5:$A$11,0)),"③ 통장·카드에 없는 결제수단입니다",IF($D703="","계정과목을 고르십시오",IF($E703="※없는 과목","④ 설정에 없는 과목입니다",IF(AND($E703="수입",$J703&gt;0),"수입 과목인데 지출에 적혔습니다",IF(AND(LEFT($E703,2)&lt;&gt;"수입",$E703&lt;&gt;"대체",$I703&gt;0),"지출 과목인데 수입에 적혔습니다",IF($K703="","증빙을 고르십시오",IF(AND($C703="바우처통장",$J703&gt;0,IFERROR(INDEX('통합 ④ 설정'!$E$6:$E$40,MATCH($D703,'통합 ④ 설정'!$B$6:$B$40,0)),"")&lt;&gt;"○"),"바우처통장 지출 — 목적 확인",IF($H703="","적요를 적으십시오",""))))))))))))</f>
        <v/>
      </c>
      <c r="M703" s="39"/>
      <c r="O703" s="11" t="str">
        <f aca="false">IF($B703="","",YEAR($B703)*100+MONTH($B703))</f>
        <v/>
      </c>
      <c r="P703" s="11" t="str">
        <f aca="false">IF($B703="","",IF($E703="대체",0,1))</f>
        <v/>
      </c>
    </row>
    <row r="704" customFormat="false" ht="15" hidden="false" customHeight="false" outlineLevel="0" collapsed="false">
      <c r="A704" s="36" t="str">
        <f aca="false">IF($B704="","",COUNT($B$15:$B704))</f>
        <v/>
      </c>
      <c r="B704" s="37"/>
      <c r="C704" s="38"/>
      <c r="D704" s="39"/>
      <c r="E704" s="36" t="str">
        <f aca="false">IF($D704="","",IFERROR(INDEX('통합 ④ 설정'!$A$6:$A$40,MATCH($D704,'통합 ④ 설정'!$B$6:$B$40,0)),"※없는 과목"))</f>
        <v/>
      </c>
      <c r="F704" s="36" t="str">
        <f aca="false">IF($D704="","",IFERROR(INDEX('통합 ④ 설정'!$C$6:$C$40,MATCH($D704,'통합 ④ 설정'!$B$6:$B$40,0)),""))</f>
        <v/>
      </c>
      <c r="G704" s="39"/>
      <c r="H704" s="39"/>
      <c r="I704" s="40"/>
      <c r="J704" s="41"/>
      <c r="K704" s="38"/>
      <c r="L704" s="42" t="str">
        <f aca="false">IF($B704="","",IF(AND(N($I704)=0,N($J704)=0),"금액이 없습니다",IF(AND($I704&gt;0,$J704&gt;0),"수입·지출 둘 다 적혔습니다",IF($C704="","결제수단을 고르십시오",IF(ISNA(MATCH($C704,'통합 ③ 통장·카드'!$A$5:$A$11,0)),"③ 통장·카드에 없는 결제수단입니다",IF($D704="","계정과목을 고르십시오",IF($E704="※없는 과목","④ 설정에 없는 과목입니다",IF(AND($E704="수입",$J704&gt;0),"수입 과목인데 지출에 적혔습니다",IF(AND(LEFT($E704,2)&lt;&gt;"수입",$E704&lt;&gt;"대체",$I704&gt;0),"지출 과목인데 수입에 적혔습니다",IF($K704="","증빙을 고르십시오",IF(AND($C704="바우처통장",$J704&gt;0,IFERROR(INDEX('통합 ④ 설정'!$E$6:$E$40,MATCH($D704,'통합 ④ 설정'!$B$6:$B$40,0)),"")&lt;&gt;"○"),"바우처통장 지출 — 목적 확인",IF($H704="","적요를 적으십시오",""))))))))))))</f>
        <v/>
      </c>
      <c r="M704" s="39"/>
      <c r="O704" s="11" t="str">
        <f aca="false">IF($B704="","",YEAR($B704)*100+MONTH($B704))</f>
        <v/>
      </c>
      <c r="P704" s="11" t="str">
        <f aca="false">IF($B704="","",IF($E704="대체",0,1))</f>
        <v/>
      </c>
    </row>
    <row r="705" customFormat="false" ht="15" hidden="false" customHeight="false" outlineLevel="0" collapsed="false">
      <c r="A705" s="36" t="str">
        <f aca="false">IF($B705="","",COUNT($B$15:$B705))</f>
        <v/>
      </c>
      <c r="B705" s="37"/>
      <c r="C705" s="38"/>
      <c r="D705" s="39"/>
      <c r="E705" s="36" t="str">
        <f aca="false">IF($D705="","",IFERROR(INDEX('통합 ④ 설정'!$A$6:$A$40,MATCH($D705,'통합 ④ 설정'!$B$6:$B$40,0)),"※없는 과목"))</f>
        <v/>
      </c>
      <c r="F705" s="36" t="str">
        <f aca="false">IF($D705="","",IFERROR(INDEX('통합 ④ 설정'!$C$6:$C$40,MATCH($D705,'통합 ④ 설정'!$B$6:$B$40,0)),""))</f>
        <v/>
      </c>
      <c r="G705" s="39"/>
      <c r="H705" s="39"/>
      <c r="I705" s="40"/>
      <c r="J705" s="41"/>
      <c r="K705" s="38"/>
      <c r="L705" s="42" t="str">
        <f aca="false">IF($B705="","",IF(AND(N($I705)=0,N($J705)=0),"금액이 없습니다",IF(AND($I705&gt;0,$J705&gt;0),"수입·지출 둘 다 적혔습니다",IF($C705="","결제수단을 고르십시오",IF(ISNA(MATCH($C705,'통합 ③ 통장·카드'!$A$5:$A$11,0)),"③ 통장·카드에 없는 결제수단입니다",IF($D705="","계정과목을 고르십시오",IF($E705="※없는 과목","④ 설정에 없는 과목입니다",IF(AND($E705="수입",$J705&gt;0),"수입 과목인데 지출에 적혔습니다",IF(AND(LEFT($E705,2)&lt;&gt;"수입",$E705&lt;&gt;"대체",$I705&gt;0),"지출 과목인데 수입에 적혔습니다",IF($K705="","증빙을 고르십시오",IF(AND($C705="바우처통장",$J705&gt;0,IFERROR(INDEX('통합 ④ 설정'!$E$6:$E$40,MATCH($D705,'통합 ④ 설정'!$B$6:$B$40,0)),"")&lt;&gt;"○"),"바우처통장 지출 — 목적 확인",IF($H705="","적요를 적으십시오",""))))))))))))</f>
        <v/>
      </c>
      <c r="M705" s="39"/>
      <c r="O705" s="11" t="str">
        <f aca="false">IF($B705="","",YEAR($B705)*100+MONTH($B705))</f>
        <v/>
      </c>
      <c r="P705" s="11" t="str">
        <f aca="false">IF($B705="","",IF($E705="대체",0,1))</f>
        <v/>
      </c>
    </row>
    <row r="706" customFormat="false" ht="15" hidden="false" customHeight="false" outlineLevel="0" collapsed="false">
      <c r="A706" s="36" t="str">
        <f aca="false">IF($B706="","",COUNT($B$15:$B706))</f>
        <v/>
      </c>
      <c r="B706" s="37"/>
      <c r="C706" s="38"/>
      <c r="D706" s="39"/>
      <c r="E706" s="36" t="str">
        <f aca="false">IF($D706="","",IFERROR(INDEX('통합 ④ 설정'!$A$6:$A$40,MATCH($D706,'통합 ④ 설정'!$B$6:$B$40,0)),"※없는 과목"))</f>
        <v/>
      </c>
      <c r="F706" s="36" t="str">
        <f aca="false">IF($D706="","",IFERROR(INDEX('통합 ④ 설정'!$C$6:$C$40,MATCH($D706,'통합 ④ 설정'!$B$6:$B$40,0)),""))</f>
        <v/>
      </c>
      <c r="G706" s="39"/>
      <c r="H706" s="39"/>
      <c r="I706" s="40"/>
      <c r="J706" s="41"/>
      <c r="K706" s="38"/>
      <c r="L706" s="42" t="str">
        <f aca="false">IF($B706="","",IF(AND(N($I706)=0,N($J706)=0),"금액이 없습니다",IF(AND($I706&gt;0,$J706&gt;0),"수입·지출 둘 다 적혔습니다",IF($C706="","결제수단을 고르십시오",IF(ISNA(MATCH($C706,'통합 ③ 통장·카드'!$A$5:$A$11,0)),"③ 통장·카드에 없는 결제수단입니다",IF($D706="","계정과목을 고르십시오",IF($E706="※없는 과목","④ 설정에 없는 과목입니다",IF(AND($E706="수입",$J706&gt;0),"수입 과목인데 지출에 적혔습니다",IF(AND(LEFT($E706,2)&lt;&gt;"수입",$E706&lt;&gt;"대체",$I706&gt;0),"지출 과목인데 수입에 적혔습니다",IF($K706="","증빙을 고르십시오",IF(AND($C706="바우처통장",$J706&gt;0,IFERROR(INDEX('통합 ④ 설정'!$E$6:$E$40,MATCH($D706,'통합 ④ 설정'!$B$6:$B$40,0)),"")&lt;&gt;"○"),"바우처통장 지출 — 목적 확인",IF($H706="","적요를 적으십시오",""))))))))))))</f>
        <v/>
      </c>
      <c r="M706" s="39"/>
      <c r="O706" s="11" t="str">
        <f aca="false">IF($B706="","",YEAR($B706)*100+MONTH($B706))</f>
        <v/>
      </c>
      <c r="P706" s="11" t="str">
        <f aca="false">IF($B706="","",IF($E706="대체",0,1))</f>
        <v/>
      </c>
    </row>
    <row r="707" customFormat="false" ht="15" hidden="false" customHeight="false" outlineLevel="0" collapsed="false">
      <c r="A707" s="36" t="str">
        <f aca="false">IF($B707="","",COUNT($B$15:$B707))</f>
        <v/>
      </c>
      <c r="B707" s="37"/>
      <c r="C707" s="38"/>
      <c r="D707" s="39"/>
      <c r="E707" s="36" t="str">
        <f aca="false">IF($D707="","",IFERROR(INDEX('통합 ④ 설정'!$A$6:$A$40,MATCH($D707,'통합 ④ 설정'!$B$6:$B$40,0)),"※없는 과목"))</f>
        <v/>
      </c>
      <c r="F707" s="36" t="str">
        <f aca="false">IF($D707="","",IFERROR(INDEX('통합 ④ 설정'!$C$6:$C$40,MATCH($D707,'통합 ④ 설정'!$B$6:$B$40,0)),""))</f>
        <v/>
      </c>
      <c r="G707" s="39"/>
      <c r="H707" s="39"/>
      <c r="I707" s="40"/>
      <c r="J707" s="41"/>
      <c r="K707" s="38"/>
      <c r="L707" s="42" t="str">
        <f aca="false">IF($B707="","",IF(AND(N($I707)=0,N($J707)=0),"금액이 없습니다",IF(AND($I707&gt;0,$J707&gt;0),"수입·지출 둘 다 적혔습니다",IF($C707="","결제수단을 고르십시오",IF(ISNA(MATCH($C707,'통합 ③ 통장·카드'!$A$5:$A$11,0)),"③ 통장·카드에 없는 결제수단입니다",IF($D707="","계정과목을 고르십시오",IF($E707="※없는 과목","④ 설정에 없는 과목입니다",IF(AND($E707="수입",$J707&gt;0),"수입 과목인데 지출에 적혔습니다",IF(AND(LEFT($E707,2)&lt;&gt;"수입",$E707&lt;&gt;"대체",$I707&gt;0),"지출 과목인데 수입에 적혔습니다",IF($K707="","증빙을 고르십시오",IF(AND($C707="바우처통장",$J707&gt;0,IFERROR(INDEX('통합 ④ 설정'!$E$6:$E$40,MATCH($D707,'통합 ④ 설정'!$B$6:$B$40,0)),"")&lt;&gt;"○"),"바우처통장 지출 — 목적 확인",IF($H707="","적요를 적으십시오",""))))))))))))</f>
        <v/>
      </c>
      <c r="M707" s="39"/>
      <c r="O707" s="11" t="str">
        <f aca="false">IF($B707="","",YEAR($B707)*100+MONTH($B707))</f>
        <v/>
      </c>
      <c r="P707" s="11" t="str">
        <f aca="false">IF($B707="","",IF($E707="대체",0,1))</f>
        <v/>
      </c>
    </row>
    <row r="708" customFormat="false" ht="15" hidden="false" customHeight="false" outlineLevel="0" collapsed="false">
      <c r="A708" s="36" t="str">
        <f aca="false">IF($B708="","",COUNT($B$15:$B708))</f>
        <v/>
      </c>
      <c r="B708" s="37"/>
      <c r="C708" s="38"/>
      <c r="D708" s="39"/>
      <c r="E708" s="36" t="str">
        <f aca="false">IF($D708="","",IFERROR(INDEX('통합 ④ 설정'!$A$6:$A$40,MATCH($D708,'통합 ④ 설정'!$B$6:$B$40,0)),"※없는 과목"))</f>
        <v/>
      </c>
      <c r="F708" s="36" t="str">
        <f aca="false">IF($D708="","",IFERROR(INDEX('통합 ④ 설정'!$C$6:$C$40,MATCH($D708,'통합 ④ 설정'!$B$6:$B$40,0)),""))</f>
        <v/>
      </c>
      <c r="G708" s="39"/>
      <c r="H708" s="39"/>
      <c r="I708" s="40"/>
      <c r="J708" s="41"/>
      <c r="K708" s="38"/>
      <c r="L708" s="42" t="str">
        <f aca="false">IF($B708="","",IF(AND(N($I708)=0,N($J708)=0),"금액이 없습니다",IF(AND($I708&gt;0,$J708&gt;0),"수입·지출 둘 다 적혔습니다",IF($C708="","결제수단을 고르십시오",IF(ISNA(MATCH($C708,'통합 ③ 통장·카드'!$A$5:$A$11,0)),"③ 통장·카드에 없는 결제수단입니다",IF($D708="","계정과목을 고르십시오",IF($E708="※없는 과목","④ 설정에 없는 과목입니다",IF(AND($E708="수입",$J708&gt;0),"수입 과목인데 지출에 적혔습니다",IF(AND(LEFT($E708,2)&lt;&gt;"수입",$E708&lt;&gt;"대체",$I708&gt;0),"지출 과목인데 수입에 적혔습니다",IF($K708="","증빙을 고르십시오",IF(AND($C708="바우처통장",$J708&gt;0,IFERROR(INDEX('통합 ④ 설정'!$E$6:$E$40,MATCH($D708,'통합 ④ 설정'!$B$6:$B$40,0)),"")&lt;&gt;"○"),"바우처통장 지출 — 목적 확인",IF($H708="","적요를 적으십시오",""))))))))))))</f>
        <v/>
      </c>
      <c r="M708" s="39"/>
      <c r="O708" s="11" t="str">
        <f aca="false">IF($B708="","",YEAR($B708)*100+MONTH($B708))</f>
        <v/>
      </c>
      <c r="P708" s="11" t="str">
        <f aca="false">IF($B708="","",IF($E708="대체",0,1))</f>
        <v/>
      </c>
    </row>
    <row r="709" customFormat="false" ht="15" hidden="false" customHeight="false" outlineLevel="0" collapsed="false">
      <c r="A709" s="36" t="str">
        <f aca="false">IF($B709="","",COUNT($B$15:$B709))</f>
        <v/>
      </c>
      <c r="B709" s="37"/>
      <c r="C709" s="38"/>
      <c r="D709" s="39"/>
      <c r="E709" s="36" t="str">
        <f aca="false">IF($D709="","",IFERROR(INDEX('통합 ④ 설정'!$A$6:$A$40,MATCH($D709,'통합 ④ 설정'!$B$6:$B$40,0)),"※없는 과목"))</f>
        <v/>
      </c>
      <c r="F709" s="36" t="str">
        <f aca="false">IF($D709="","",IFERROR(INDEX('통합 ④ 설정'!$C$6:$C$40,MATCH($D709,'통합 ④ 설정'!$B$6:$B$40,0)),""))</f>
        <v/>
      </c>
      <c r="G709" s="39"/>
      <c r="H709" s="39"/>
      <c r="I709" s="40"/>
      <c r="J709" s="41"/>
      <c r="K709" s="38"/>
      <c r="L709" s="42" t="str">
        <f aca="false">IF($B709="","",IF(AND(N($I709)=0,N($J709)=0),"금액이 없습니다",IF(AND($I709&gt;0,$J709&gt;0),"수입·지출 둘 다 적혔습니다",IF($C709="","결제수단을 고르십시오",IF(ISNA(MATCH($C709,'통합 ③ 통장·카드'!$A$5:$A$11,0)),"③ 통장·카드에 없는 결제수단입니다",IF($D709="","계정과목을 고르십시오",IF($E709="※없는 과목","④ 설정에 없는 과목입니다",IF(AND($E709="수입",$J709&gt;0),"수입 과목인데 지출에 적혔습니다",IF(AND(LEFT($E709,2)&lt;&gt;"수입",$E709&lt;&gt;"대체",$I709&gt;0),"지출 과목인데 수입에 적혔습니다",IF($K709="","증빙을 고르십시오",IF(AND($C709="바우처통장",$J709&gt;0,IFERROR(INDEX('통합 ④ 설정'!$E$6:$E$40,MATCH($D709,'통합 ④ 설정'!$B$6:$B$40,0)),"")&lt;&gt;"○"),"바우처통장 지출 — 목적 확인",IF($H709="","적요를 적으십시오",""))))))))))))</f>
        <v/>
      </c>
      <c r="M709" s="39"/>
      <c r="O709" s="11" t="str">
        <f aca="false">IF($B709="","",YEAR($B709)*100+MONTH($B709))</f>
        <v/>
      </c>
      <c r="P709" s="11" t="str">
        <f aca="false">IF($B709="","",IF($E709="대체",0,1))</f>
        <v/>
      </c>
    </row>
    <row r="710" customFormat="false" ht="15" hidden="false" customHeight="false" outlineLevel="0" collapsed="false">
      <c r="A710" s="36" t="str">
        <f aca="false">IF($B710="","",COUNT($B$15:$B710))</f>
        <v/>
      </c>
      <c r="B710" s="37"/>
      <c r="C710" s="38"/>
      <c r="D710" s="39"/>
      <c r="E710" s="36" t="str">
        <f aca="false">IF($D710="","",IFERROR(INDEX('통합 ④ 설정'!$A$6:$A$40,MATCH($D710,'통합 ④ 설정'!$B$6:$B$40,0)),"※없는 과목"))</f>
        <v/>
      </c>
      <c r="F710" s="36" t="str">
        <f aca="false">IF($D710="","",IFERROR(INDEX('통합 ④ 설정'!$C$6:$C$40,MATCH($D710,'통합 ④ 설정'!$B$6:$B$40,0)),""))</f>
        <v/>
      </c>
      <c r="G710" s="39"/>
      <c r="H710" s="39"/>
      <c r="I710" s="40"/>
      <c r="J710" s="41"/>
      <c r="K710" s="38"/>
      <c r="L710" s="42" t="str">
        <f aca="false">IF($B710="","",IF(AND(N($I710)=0,N($J710)=0),"금액이 없습니다",IF(AND($I710&gt;0,$J710&gt;0),"수입·지출 둘 다 적혔습니다",IF($C710="","결제수단을 고르십시오",IF(ISNA(MATCH($C710,'통합 ③ 통장·카드'!$A$5:$A$11,0)),"③ 통장·카드에 없는 결제수단입니다",IF($D710="","계정과목을 고르십시오",IF($E710="※없는 과목","④ 설정에 없는 과목입니다",IF(AND($E710="수입",$J710&gt;0),"수입 과목인데 지출에 적혔습니다",IF(AND(LEFT($E710,2)&lt;&gt;"수입",$E710&lt;&gt;"대체",$I710&gt;0),"지출 과목인데 수입에 적혔습니다",IF($K710="","증빙을 고르십시오",IF(AND($C710="바우처통장",$J710&gt;0,IFERROR(INDEX('통합 ④ 설정'!$E$6:$E$40,MATCH($D710,'통합 ④ 설정'!$B$6:$B$40,0)),"")&lt;&gt;"○"),"바우처통장 지출 — 목적 확인",IF($H710="","적요를 적으십시오",""))))))))))))</f>
        <v/>
      </c>
      <c r="M710" s="39"/>
      <c r="O710" s="11" t="str">
        <f aca="false">IF($B710="","",YEAR($B710)*100+MONTH($B710))</f>
        <v/>
      </c>
      <c r="P710" s="11" t="str">
        <f aca="false">IF($B710="","",IF($E710="대체",0,1))</f>
        <v/>
      </c>
    </row>
    <row r="711" customFormat="false" ht="15" hidden="false" customHeight="false" outlineLevel="0" collapsed="false">
      <c r="A711" s="36" t="str">
        <f aca="false">IF($B711="","",COUNT($B$15:$B711))</f>
        <v/>
      </c>
      <c r="B711" s="37"/>
      <c r="C711" s="38"/>
      <c r="D711" s="39"/>
      <c r="E711" s="36" t="str">
        <f aca="false">IF($D711="","",IFERROR(INDEX('통합 ④ 설정'!$A$6:$A$40,MATCH($D711,'통합 ④ 설정'!$B$6:$B$40,0)),"※없는 과목"))</f>
        <v/>
      </c>
      <c r="F711" s="36" t="str">
        <f aca="false">IF($D711="","",IFERROR(INDEX('통합 ④ 설정'!$C$6:$C$40,MATCH($D711,'통합 ④ 설정'!$B$6:$B$40,0)),""))</f>
        <v/>
      </c>
      <c r="G711" s="39"/>
      <c r="H711" s="39"/>
      <c r="I711" s="40"/>
      <c r="J711" s="41"/>
      <c r="K711" s="38"/>
      <c r="L711" s="42" t="str">
        <f aca="false">IF($B711="","",IF(AND(N($I711)=0,N($J711)=0),"금액이 없습니다",IF(AND($I711&gt;0,$J711&gt;0),"수입·지출 둘 다 적혔습니다",IF($C711="","결제수단을 고르십시오",IF(ISNA(MATCH($C711,'통합 ③ 통장·카드'!$A$5:$A$11,0)),"③ 통장·카드에 없는 결제수단입니다",IF($D711="","계정과목을 고르십시오",IF($E711="※없는 과목","④ 설정에 없는 과목입니다",IF(AND($E711="수입",$J711&gt;0),"수입 과목인데 지출에 적혔습니다",IF(AND(LEFT($E711,2)&lt;&gt;"수입",$E711&lt;&gt;"대체",$I711&gt;0),"지출 과목인데 수입에 적혔습니다",IF($K711="","증빙을 고르십시오",IF(AND($C711="바우처통장",$J711&gt;0,IFERROR(INDEX('통합 ④ 설정'!$E$6:$E$40,MATCH($D711,'통합 ④ 설정'!$B$6:$B$40,0)),"")&lt;&gt;"○"),"바우처통장 지출 — 목적 확인",IF($H711="","적요를 적으십시오",""))))))))))))</f>
        <v/>
      </c>
      <c r="M711" s="39"/>
      <c r="O711" s="11" t="str">
        <f aca="false">IF($B711="","",YEAR($B711)*100+MONTH($B711))</f>
        <v/>
      </c>
      <c r="P711" s="11" t="str">
        <f aca="false">IF($B711="","",IF($E711="대체",0,1))</f>
        <v/>
      </c>
    </row>
    <row r="712" customFormat="false" ht="15" hidden="false" customHeight="false" outlineLevel="0" collapsed="false">
      <c r="A712" s="36" t="str">
        <f aca="false">IF($B712="","",COUNT($B$15:$B712))</f>
        <v/>
      </c>
      <c r="B712" s="37"/>
      <c r="C712" s="38"/>
      <c r="D712" s="39"/>
      <c r="E712" s="36" t="str">
        <f aca="false">IF($D712="","",IFERROR(INDEX('통합 ④ 설정'!$A$6:$A$40,MATCH($D712,'통합 ④ 설정'!$B$6:$B$40,0)),"※없는 과목"))</f>
        <v/>
      </c>
      <c r="F712" s="36" t="str">
        <f aca="false">IF($D712="","",IFERROR(INDEX('통합 ④ 설정'!$C$6:$C$40,MATCH($D712,'통합 ④ 설정'!$B$6:$B$40,0)),""))</f>
        <v/>
      </c>
      <c r="G712" s="39"/>
      <c r="H712" s="39"/>
      <c r="I712" s="40"/>
      <c r="J712" s="41"/>
      <c r="K712" s="38"/>
      <c r="L712" s="42" t="str">
        <f aca="false">IF($B712="","",IF(AND(N($I712)=0,N($J712)=0),"금액이 없습니다",IF(AND($I712&gt;0,$J712&gt;0),"수입·지출 둘 다 적혔습니다",IF($C712="","결제수단을 고르십시오",IF(ISNA(MATCH($C712,'통합 ③ 통장·카드'!$A$5:$A$11,0)),"③ 통장·카드에 없는 결제수단입니다",IF($D712="","계정과목을 고르십시오",IF($E712="※없는 과목","④ 설정에 없는 과목입니다",IF(AND($E712="수입",$J712&gt;0),"수입 과목인데 지출에 적혔습니다",IF(AND(LEFT($E712,2)&lt;&gt;"수입",$E712&lt;&gt;"대체",$I712&gt;0),"지출 과목인데 수입에 적혔습니다",IF($K712="","증빙을 고르십시오",IF(AND($C712="바우처통장",$J712&gt;0,IFERROR(INDEX('통합 ④ 설정'!$E$6:$E$40,MATCH($D712,'통합 ④ 설정'!$B$6:$B$40,0)),"")&lt;&gt;"○"),"바우처통장 지출 — 목적 확인",IF($H712="","적요를 적으십시오",""))))))))))))</f>
        <v/>
      </c>
      <c r="M712" s="39"/>
      <c r="O712" s="11" t="str">
        <f aca="false">IF($B712="","",YEAR($B712)*100+MONTH($B712))</f>
        <v/>
      </c>
      <c r="P712" s="11" t="str">
        <f aca="false">IF($B712="","",IF($E712="대체",0,1))</f>
        <v/>
      </c>
    </row>
    <row r="713" customFormat="false" ht="15" hidden="false" customHeight="false" outlineLevel="0" collapsed="false">
      <c r="A713" s="36" t="str">
        <f aca="false">IF($B713="","",COUNT($B$15:$B713))</f>
        <v/>
      </c>
      <c r="B713" s="37"/>
      <c r="C713" s="38"/>
      <c r="D713" s="39"/>
      <c r="E713" s="36" t="str">
        <f aca="false">IF($D713="","",IFERROR(INDEX('통합 ④ 설정'!$A$6:$A$40,MATCH($D713,'통합 ④ 설정'!$B$6:$B$40,0)),"※없는 과목"))</f>
        <v/>
      </c>
      <c r="F713" s="36" t="str">
        <f aca="false">IF($D713="","",IFERROR(INDEX('통합 ④ 설정'!$C$6:$C$40,MATCH($D713,'통합 ④ 설정'!$B$6:$B$40,0)),""))</f>
        <v/>
      </c>
      <c r="G713" s="39"/>
      <c r="H713" s="39"/>
      <c r="I713" s="40"/>
      <c r="J713" s="41"/>
      <c r="K713" s="38"/>
      <c r="L713" s="42" t="str">
        <f aca="false">IF($B713="","",IF(AND(N($I713)=0,N($J713)=0),"금액이 없습니다",IF(AND($I713&gt;0,$J713&gt;0),"수입·지출 둘 다 적혔습니다",IF($C713="","결제수단을 고르십시오",IF(ISNA(MATCH($C713,'통합 ③ 통장·카드'!$A$5:$A$11,0)),"③ 통장·카드에 없는 결제수단입니다",IF($D713="","계정과목을 고르십시오",IF($E713="※없는 과목","④ 설정에 없는 과목입니다",IF(AND($E713="수입",$J713&gt;0),"수입 과목인데 지출에 적혔습니다",IF(AND(LEFT($E713,2)&lt;&gt;"수입",$E713&lt;&gt;"대체",$I713&gt;0),"지출 과목인데 수입에 적혔습니다",IF($K713="","증빙을 고르십시오",IF(AND($C713="바우처통장",$J713&gt;0,IFERROR(INDEX('통합 ④ 설정'!$E$6:$E$40,MATCH($D713,'통합 ④ 설정'!$B$6:$B$40,0)),"")&lt;&gt;"○"),"바우처통장 지출 — 목적 확인",IF($H713="","적요를 적으십시오",""))))))))))))</f>
        <v/>
      </c>
      <c r="M713" s="39"/>
      <c r="O713" s="11" t="str">
        <f aca="false">IF($B713="","",YEAR($B713)*100+MONTH($B713))</f>
        <v/>
      </c>
      <c r="P713" s="11" t="str">
        <f aca="false">IF($B713="","",IF($E713="대체",0,1))</f>
        <v/>
      </c>
    </row>
    <row r="714" customFormat="false" ht="15" hidden="false" customHeight="false" outlineLevel="0" collapsed="false">
      <c r="A714" s="36" t="str">
        <f aca="false">IF($B714="","",COUNT($B$15:$B714))</f>
        <v/>
      </c>
      <c r="B714" s="37"/>
      <c r="C714" s="38"/>
      <c r="D714" s="39"/>
      <c r="E714" s="36" t="str">
        <f aca="false">IF($D714="","",IFERROR(INDEX('통합 ④ 설정'!$A$6:$A$40,MATCH($D714,'통합 ④ 설정'!$B$6:$B$40,0)),"※없는 과목"))</f>
        <v/>
      </c>
      <c r="F714" s="36" t="str">
        <f aca="false">IF($D714="","",IFERROR(INDEX('통합 ④ 설정'!$C$6:$C$40,MATCH($D714,'통합 ④ 설정'!$B$6:$B$40,0)),""))</f>
        <v/>
      </c>
      <c r="G714" s="39"/>
      <c r="H714" s="39"/>
      <c r="I714" s="40"/>
      <c r="J714" s="41"/>
      <c r="K714" s="38"/>
      <c r="L714" s="42" t="str">
        <f aca="false">IF($B714="","",IF(AND(N($I714)=0,N($J714)=0),"금액이 없습니다",IF(AND($I714&gt;0,$J714&gt;0),"수입·지출 둘 다 적혔습니다",IF($C714="","결제수단을 고르십시오",IF(ISNA(MATCH($C714,'통합 ③ 통장·카드'!$A$5:$A$11,0)),"③ 통장·카드에 없는 결제수단입니다",IF($D714="","계정과목을 고르십시오",IF($E714="※없는 과목","④ 설정에 없는 과목입니다",IF(AND($E714="수입",$J714&gt;0),"수입 과목인데 지출에 적혔습니다",IF(AND(LEFT($E714,2)&lt;&gt;"수입",$E714&lt;&gt;"대체",$I714&gt;0),"지출 과목인데 수입에 적혔습니다",IF($K714="","증빙을 고르십시오",IF(AND($C714="바우처통장",$J714&gt;0,IFERROR(INDEX('통합 ④ 설정'!$E$6:$E$40,MATCH($D714,'통합 ④ 설정'!$B$6:$B$40,0)),"")&lt;&gt;"○"),"바우처통장 지출 — 목적 확인",IF($H714="","적요를 적으십시오",""))))))))))))</f>
        <v/>
      </c>
      <c r="M714" s="39"/>
      <c r="O714" s="11" t="str">
        <f aca="false">IF($B714="","",YEAR($B714)*100+MONTH($B714))</f>
        <v/>
      </c>
      <c r="P714" s="11" t="str">
        <f aca="false">IF($B714="","",IF($E714="대체",0,1))</f>
        <v/>
      </c>
    </row>
    <row r="715" customFormat="false" ht="15" hidden="false" customHeight="false" outlineLevel="0" collapsed="false">
      <c r="A715" s="36" t="str">
        <f aca="false">IF($B715="","",COUNT($B$15:$B715))</f>
        <v/>
      </c>
      <c r="B715" s="37"/>
      <c r="C715" s="38"/>
      <c r="D715" s="39"/>
      <c r="E715" s="36" t="str">
        <f aca="false">IF($D715="","",IFERROR(INDEX('통합 ④ 설정'!$A$6:$A$40,MATCH($D715,'통합 ④ 설정'!$B$6:$B$40,0)),"※없는 과목"))</f>
        <v/>
      </c>
      <c r="F715" s="36" t="str">
        <f aca="false">IF($D715="","",IFERROR(INDEX('통합 ④ 설정'!$C$6:$C$40,MATCH($D715,'통합 ④ 설정'!$B$6:$B$40,0)),""))</f>
        <v/>
      </c>
      <c r="G715" s="39"/>
      <c r="H715" s="39"/>
      <c r="I715" s="40"/>
      <c r="J715" s="41"/>
      <c r="K715" s="38"/>
      <c r="L715" s="42" t="str">
        <f aca="false">IF($B715="","",IF(AND(N($I715)=0,N($J715)=0),"금액이 없습니다",IF(AND($I715&gt;0,$J715&gt;0),"수입·지출 둘 다 적혔습니다",IF($C715="","결제수단을 고르십시오",IF(ISNA(MATCH($C715,'통합 ③ 통장·카드'!$A$5:$A$11,0)),"③ 통장·카드에 없는 결제수단입니다",IF($D715="","계정과목을 고르십시오",IF($E715="※없는 과목","④ 설정에 없는 과목입니다",IF(AND($E715="수입",$J715&gt;0),"수입 과목인데 지출에 적혔습니다",IF(AND(LEFT($E715,2)&lt;&gt;"수입",$E715&lt;&gt;"대체",$I715&gt;0),"지출 과목인데 수입에 적혔습니다",IF($K715="","증빙을 고르십시오",IF(AND($C715="바우처통장",$J715&gt;0,IFERROR(INDEX('통합 ④ 설정'!$E$6:$E$40,MATCH($D715,'통합 ④ 설정'!$B$6:$B$40,0)),"")&lt;&gt;"○"),"바우처통장 지출 — 목적 확인",IF($H715="","적요를 적으십시오",""))))))))))))</f>
        <v/>
      </c>
      <c r="M715" s="39"/>
      <c r="O715" s="11" t="str">
        <f aca="false">IF($B715="","",YEAR($B715)*100+MONTH($B715))</f>
        <v/>
      </c>
      <c r="P715" s="11" t="str">
        <f aca="false">IF($B715="","",IF($E715="대체",0,1))</f>
        <v/>
      </c>
    </row>
    <row r="716" customFormat="false" ht="15" hidden="false" customHeight="false" outlineLevel="0" collapsed="false">
      <c r="A716" s="36" t="str">
        <f aca="false">IF($B716="","",COUNT($B$15:$B716))</f>
        <v/>
      </c>
      <c r="B716" s="37"/>
      <c r="C716" s="38"/>
      <c r="D716" s="39"/>
      <c r="E716" s="36" t="str">
        <f aca="false">IF($D716="","",IFERROR(INDEX('통합 ④ 설정'!$A$6:$A$40,MATCH($D716,'통합 ④ 설정'!$B$6:$B$40,0)),"※없는 과목"))</f>
        <v/>
      </c>
      <c r="F716" s="36" t="str">
        <f aca="false">IF($D716="","",IFERROR(INDEX('통합 ④ 설정'!$C$6:$C$40,MATCH($D716,'통합 ④ 설정'!$B$6:$B$40,0)),""))</f>
        <v/>
      </c>
      <c r="G716" s="39"/>
      <c r="H716" s="39"/>
      <c r="I716" s="40"/>
      <c r="J716" s="41"/>
      <c r="K716" s="38"/>
      <c r="L716" s="42" t="str">
        <f aca="false">IF($B716="","",IF(AND(N($I716)=0,N($J716)=0),"금액이 없습니다",IF(AND($I716&gt;0,$J716&gt;0),"수입·지출 둘 다 적혔습니다",IF($C716="","결제수단을 고르십시오",IF(ISNA(MATCH($C716,'통합 ③ 통장·카드'!$A$5:$A$11,0)),"③ 통장·카드에 없는 결제수단입니다",IF($D716="","계정과목을 고르십시오",IF($E716="※없는 과목","④ 설정에 없는 과목입니다",IF(AND($E716="수입",$J716&gt;0),"수입 과목인데 지출에 적혔습니다",IF(AND(LEFT($E716,2)&lt;&gt;"수입",$E716&lt;&gt;"대체",$I716&gt;0),"지출 과목인데 수입에 적혔습니다",IF($K716="","증빙을 고르십시오",IF(AND($C716="바우처통장",$J716&gt;0,IFERROR(INDEX('통합 ④ 설정'!$E$6:$E$40,MATCH($D716,'통합 ④ 설정'!$B$6:$B$40,0)),"")&lt;&gt;"○"),"바우처통장 지출 — 목적 확인",IF($H716="","적요를 적으십시오",""))))))))))))</f>
        <v/>
      </c>
      <c r="M716" s="39"/>
      <c r="O716" s="11" t="str">
        <f aca="false">IF($B716="","",YEAR($B716)*100+MONTH($B716))</f>
        <v/>
      </c>
      <c r="P716" s="11" t="str">
        <f aca="false">IF($B716="","",IF($E716="대체",0,1))</f>
        <v/>
      </c>
    </row>
    <row r="717" customFormat="false" ht="15" hidden="false" customHeight="false" outlineLevel="0" collapsed="false">
      <c r="A717" s="36" t="str">
        <f aca="false">IF($B717="","",COUNT($B$15:$B717))</f>
        <v/>
      </c>
      <c r="B717" s="37"/>
      <c r="C717" s="38"/>
      <c r="D717" s="39"/>
      <c r="E717" s="36" t="str">
        <f aca="false">IF($D717="","",IFERROR(INDEX('통합 ④ 설정'!$A$6:$A$40,MATCH($D717,'통합 ④ 설정'!$B$6:$B$40,0)),"※없는 과목"))</f>
        <v/>
      </c>
      <c r="F717" s="36" t="str">
        <f aca="false">IF($D717="","",IFERROR(INDEX('통합 ④ 설정'!$C$6:$C$40,MATCH($D717,'통합 ④ 설정'!$B$6:$B$40,0)),""))</f>
        <v/>
      </c>
      <c r="G717" s="39"/>
      <c r="H717" s="39"/>
      <c r="I717" s="40"/>
      <c r="J717" s="41"/>
      <c r="K717" s="38"/>
      <c r="L717" s="42" t="str">
        <f aca="false">IF($B717="","",IF(AND(N($I717)=0,N($J717)=0),"금액이 없습니다",IF(AND($I717&gt;0,$J717&gt;0),"수입·지출 둘 다 적혔습니다",IF($C717="","결제수단을 고르십시오",IF(ISNA(MATCH($C717,'통합 ③ 통장·카드'!$A$5:$A$11,0)),"③ 통장·카드에 없는 결제수단입니다",IF($D717="","계정과목을 고르십시오",IF($E717="※없는 과목","④ 설정에 없는 과목입니다",IF(AND($E717="수입",$J717&gt;0),"수입 과목인데 지출에 적혔습니다",IF(AND(LEFT($E717,2)&lt;&gt;"수입",$E717&lt;&gt;"대체",$I717&gt;0),"지출 과목인데 수입에 적혔습니다",IF($K717="","증빙을 고르십시오",IF(AND($C717="바우처통장",$J717&gt;0,IFERROR(INDEX('통합 ④ 설정'!$E$6:$E$40,MATCH($D717,'통합 ④ 설정'!$B$6:$B$40,0)),"")&lt;&gt;"○"),"바우처통장 지출 — 목적 확인",IF($H717="","적요를 적으십시오",""))))))))))))</f>
        <v/>
      </c>
      <c r="M717" s="39"/>
      <c r="O717" s="11" t="str">
        <f aca="false">IF($B717="","",YEAR($B717)*100+MONTH($B717))</f>
        <v/>
      </c>
      <c r="P717" s="11" t="str">
        <f aca="false">IF($B717="","",IF($E717="대체",0,1))</f>
        <v/>
      </c>
    </row>
    <row r="718" customFormat="false" ht="15" hidden="false" customHeight="false" outlineLevel="0" collapsed="false">
      <c r="A718" s="36" t="str">
        <f aca="false">IF($B718="","",COUNT($B$15:$B718))</f>
        <v/>
      </c>
      <c r="B718" s="37"/>
      <c r="C718" s="38"/>
      <c r="D718" s="39"/>
      <c r="E718" s="36" t="str">
        <f aca="false">IF($D718="","",IFERROR(INDEX('통합 ④ 설정'!$A$6:$A$40,MATCH($D718,'통합 ④ 설정'!$B$6:$B$40,0)),"※없는 과목"))</f>
        <v/>
      </c>
      <c r="F718" s="36" t="str">
        <f aca="false">IF($D718="","",IFERROR(INDEX('통합 ④ 설정'!$C$6:$C$40,MATCH($D718,'통합 ④ 설정'!$B$6:$B$40,0)),""))</f>
        <v/>
      </c>
      <c r="G718" s="39"/>
      <c r="H718" s="39"/>
      <c r="I718" s="40"/>
      <c r="J718" s="41"/>
      <c r="K718" s="38"/>
      <c r="L718" s="42" t="str">
        <f aca="false">IF($B718="","",IF(AND(N($I718)=0,N($J718)=0),"금액이 없습니다",IF(AND($I718&gt;0,$J718&gt;0),"수입·지출 둘 다 적혔습니다",IF($C718="","결제수단을 고르십시오",IF(ISNA(MATCH($C718,'통합 ③ 통장·카드'!$A$5:$A$11,0)),"③ 통장·카드에 없는 결제수단입니다",IF($D718="","계정과목을 고르십시오",IF($E718="※없는 과목","④ 설정에 없는 과목입니다",IF(AND($E718="수입",$J718&gt;0),"수입 과목인데 지출에 적혔습니다",IF(AND(LEFT($E718,2)&lt;&gt;"수입",$E718&lt;&gt;"대체",$I718&gt;0),"지출 과목인데 수입에 적혔습니다",IF($K718="","증빙을 고르십시오",IF(AND($C718="바우처통장",$J718&gt;0,IFERROR(INDEX('통합 ④ 설정'!$E$6:$E$40,MATCH($D718,'통합 ④ 설정'!$B$6:$B$40,0)),"")&lt;&gt;"○"),"바우처통장 지출 — 목적 확인",IF($H718="","적요를 적으십시오",""))))))))))))</f>
        <v/>
      </c>
      <c r="M718" s="39"/>
      <c r="O718" s="11" t="str">
        <f aca="false">IF($B718="","",YEAR($B718)*100+MONTH($B718))</f>
        <v/>
      </c>
      <c r="P718" s="11" t="str">
        <f aca="false">IF($B718="","",IF($E718="대체",0,1))</f>
        <v/>
      </c>
    </row>
    <row r="719" customFormat="false" ht="15" hidden="false" customHeight="false" outlineLevel="0" collapsed="false">
      <c r="A719" s="36" t="str">
        <f aca="false">IF($B719="","",COUNT($B$15:$B719))</f>
        <v/>
      </c>
      <c r="B719" s="37"/>
      <c r="C719" s="38"/>
      <c r="D719" s="39"/>
      <c r="E719" s="36" t="str">
        <f aca="false">IF($D719="","",IFERROR(INDEX('통합 ④ 설정'!$A$6:$A$40,MATCH($D719,'통합 ④ 설정'!$B$6:$B$40,0)),"※없는 과목"))</f>
        <v/>
      </c>
      <c r="F719" s="36" t="str">
        <f aca="false">IF($D719="","",IFERROR(INDEX('통합 ④ 설정'!$C$6:$C$40,MATCH($D719,'통합 ④ 설정'!$B$6:$B$40,0)),""))</f>
        <v/>
      </c>
      <c r="G719" s="39"/>
      <c r="H719" s="39"/>
      <c r="I719" s="40"/>
      <c r="J719" s="41"/>
      <c r="K719" s="38"/>
      <c r="L719" s="42" t="str">
        <f aca="false">IF($B719="","",IF(AND(N($I719)=0,N($J719)=0),"금액이 없습니다",IF(AND($I719&gt;0,$J719&gt;0),"수입·지출 둘 다 적혔습니다",IF($C719="","결제수단을 고르십시오",IF(ISNA(MATCH($C719,'통합 ③ 통장·카드'!$A$5:$A$11,0)),"③ 통장·카드에 없는 결제수단입니다",IF($D719="","계정과목을 고르십시오",IF($E719="※없는 과목","④ 설정에 없는 과목입니다",IF(AND($E719="수입",$J719&gt;0),"수입 과목인데 지출에 적혔습니다",IF(AND(LEFT($E719,2)&lt;&gt;"수입",$E719&lt;&gt;"대체",$I719&gt;0),"지출 과목인데 수입에 적혔습니다",IF($K719="","증빙을 고르십시오",IF(AND($C719="바우처통장",$J719&gt;0,IFERROR(INDEX('통합 ④ 설정'!$E$6:$E$40,MATCH($D719,'통합 ④ 설정'!$B$6:$B$40,0)),"")&lt;&gt;"○"),"바우처통장 지출 — 목적 확인",IF($H719="","적요를 적으십시오",""))))))))))))</f>
        <v/>
      </c>
      <c r="M719" s="39"/>
      <c r="O719" s="11" t="str">
        <f aca="false">IF($B719="","",YEAR($B719)*100+MONTH($B719))</f>
        <v/>
      </c>
      <c r="P719" s="11" t="str">
        <f aca="false">IF($B719="","",IF($E719="대체",0,1))</f>
        <v/>
      </c>
    </row>
    <row r="720" customFormat="false" ht="15" hidden="false" customHeight="false" outlineLevel="0" collapsed="false">
      <c r="A720" s="36" t="str">
        <f aca="false">IF($B720="","",COUNT($B$15:$B720))</f>
        <v/>
      </c>
      <c r="B720" s="37"/>
      <c r="C720" s="38"/>
      <c r="D720" s="39"/>
      <c r="E720" s="36" t="str">
        <f aca="false">IF($D720="","",IFERROR(INDEX('통합 ④ 설정'!$A$6:$A$40,MATCH($D720,'통합 ④ 설정'!$B$6:$B$40,0)),"※없는 과목"))</f>
        <v/>
      </c>
      <c r="F720" s="36" t="str">
        <f aca="false">IF($D720="","",IFERROR(INDEX('통합 ④ 설정'!$C$6:$C$40,MATCH($D720,'통합 ④ 설정'!$B$6:$B$40,0)),""))</f>
        <v/>
      </c>
      <c r="G720" s="39"/>
      <c r="H720" s="39"/>
      <c r="I720" s="40"/>
      <c r="J720" s="41"/>
      <c r="K720" s="38"/>
      <c r="L720" s="42" t="str">
        <f aca="false">IF($B720="","",IF(AND(N($I720)=0,N($J720)=0),"금액이 없습니다",IF(AND($I720&gt;0,$J720&gt;0),"수입·지출 둘 다 적혔습니다",IF($C720="","결제수단을 고르십시오",IF(ISNA(MATCH($C720,'통합 ③ 통장·카드'!$A$5:$A$11,0)),"③ 통장·카드에 없는 결제수단입니다",IF($D720="","계정과목을 고르십시오",IF($E720="※없는 과목","④ 설정에 없는 과목입니다",IF(AND($E720="수입",$J720&gt;0),"수입 과목인데 지출에 적혔습니다",IF(AND(LEFT($E720,2)&lt;&gt;"수입",$E720&lt;&gt;"대체",$I720&gt;0),"지출 과목인데 수입에 적혔습니다",IF($K720="","증빙을 고르십시오",IF(AND($C720="바우처통장",$J720&gt;0,IFERROR(INDEX('통합 ④ 설정'!$E$6:$E$40,MATCH($D720,'통합 ④ 설정'!$B$6:$B$40,0)),"")&lt;&gt;"○"),"바우처통장 지출 — 목적 확인",IF($H720="","적요를 적으십시오",""))))))))))))</f>
        <v/>
      </c>
      <c r="M720" s="39"/>
      <c r="O720" s="11" t="str">
        <f aca="false">IF($B720="","",YEAR($B720)*100+MONTH($B720))</f>
        <v/>
      </c>
      <c r="P720" s="11" t="str">
        <f aca="false">IF($B720="","",IF($E720="대체",0,1))</f>
        <v/>
      </c>
    </row>
    <row r="721" customFormat="false" ht="15" hidden="false" customHeight="false" outlineLevel="0" collapsed="false">
      <c r="A721" s="36" t="str">
        <f aca="false">IF($B721="","",COUNT($B$15:$B721))</f>
        <v/>
      </c>
      <c r="B721" s="37"/>
      <c r="C721" s="38"/>
      <c r="D721" s="39"/>
      <c r="E721" s="36" t="str">
        <f aca="false">IF($D721="","",IFERROR(INDEX('통합 ④ 설정'!$A$6:$A$40,MATCH($D721,'통합 ④ 설정'!$B$6:$B$40,0)),"※없는 과목"))</f>
        <v/>
      </c>
      <c r="F721" s="36" t="str">
        <f aca="false">IF($D721="","",IFERROR(INDEX('통합 ④ 설정'!$C$6:$C$40,MATCH($D721,'통합 ④ 설정'!$B$6:$B$40,0)),""))</f>
        <v/>
      </c>
      <c r="G721" s="39"/>
      <c r="H721" s="39"/>
      <c r="I721" s="40"/>
      <c r="J721" s="41"/>
      <c r="K721" s="38"/>
      <c r="L721" s="42" t="str">
        <f aca="false">IF($B721="","",IF(AND(N($I721)=0,N($J721)=0),"금액이 없습니다",IF(AND($I721&gt;0,$J721&gt;0),"수입·지출 둘 다 적혔습니다",IF($C721="","결제수단을 고르십시오",IF(ISNA(MATCH($C721,'통합 ③ 통장·카드'!$A$5:$A$11,0)),"③ 통장·카드에 없는 결제수단입니다",IF($D721="","계정과목을 고르십시오",IF($E721="※없는 과목","④ 설정에 없는 과목입니다",IF(AND($E721="수입",$J721&gt;0),"수입 과목인데 지출에 적혔습니다",IF(AND(LEFT($E721,2)&lt;&gt;"수입",$E721&lt;&gt;"대체",$I721&gt;0),"지출 과목인데 수입에 적혔습니다",IF($K721="","증빙을 고르십시오",IF(AND($C721="바우처통장",$J721&gt;0,IFERROR(INDEX('통합 ④ 설정'!$E$6:$E$40,MATCH($D721,'통합 ④ 설정'!$B$6:$B$40,0)),"")&lt;&gt;"○"),"바우처통장 지출 — 목적 확인",IF($H721="","적요를 적으십시오",""))))))))))))</f>
        <v/>
      </c>
      <c r="M721" s="39"/>
      <c r="O721" s="11" t="str">
        <f aca="false">IF($B721="","",YEAR($B721)*100+MONTH($B721))</f>
        <v/>
      </c>
      <c r="P721" s="11" t="str">
        <f aca="false">IF($B721="","",IF($E721="대체",0,1))</f>
        <v/>
      </c>
    </row>
    <row r="722" customFormat="false" ht="15" hidden="false" customHeight="false" outlineLevel="0" collapsed="false">
      <c r="A722" s="36" t="str">
        <f aca="false">IF($B722="","",COUNT($B$15:$B722))</f>
        <v/>
      </c>
      <c r="B722" s="37"/>
      <c r="C722" s="38"/>
      <c r="D722" s="39"/>
      <c r="E722" s="36" t="str">
        <f aca="false">IF($D722="","",IFERROR(INDEX('통합 ④ 설정'!$A$6:$A$40,MATCH($D722,'통합 ④ 설정'!$B$6:$B$40,0)),"※없는 과목"))</f>
        <v/>
      </c>
      <c r="F722" s="36" t="str">
        <f aca="false">IF($D722="","",IFERROR(INDEX('통합 ④ 설정'!$C$6:$C$40,MATCH($D722,'통합 ④ 설정'!$B$6:$B$40,0)),""))</f>
        <v/>
      </c>
      <c r="G722" s="39"/>
      <c r="H722" s="39"/>
      <c r="I722" s="40"/>
      <c r="J722" s="41"/>
      <c r="K722" s="38"/>
      <c r="L722" s="42" t="str">
        <f aca="false">IF($B722="","",IF(AND(N($I722)=0,N($J722)=0),"금액이 없습니다",IF(AND($I722&gt;0,$J722&gt;0),"수입·지출 둘 다 적혔습니다",IF($C722="","결제수단을 고르십시오",IF(ISNA(MATCH($C722,'통합 ③ 통장·카드'!$A$5:$A$11,0)),"③ 통장·카드에 없는 결제수단입니다",IF($D722="","계정과목을 고르십시오",IF($E722="※없는 과목","④ 설정에 없는 과목입니다",IF(AND($E722="수입",$J722&gt;0),"수입 과목인데 지출에 적혔습니다",IF(AND(LEFT($E722,2)&lt;&gt;"수입",$E722&lt;&gt;"대체",$I722&gt;0),"지출 과목인데 수입에 적혔습니다",IF($K722="","증빙을 고르십시오",IF(AND($C722="바우처통장",$J722&gt;0,IFERROR(INDEX('통합 ④ 설정'!$E$6:$E$40,MATCH($D722,'통합 ④ 설정'!$B$6:$B$40,0)),"")&lt;&gt;"○"),"바우처통장 지출 — 목적 확인",IF($H722="","적요를 적으십시오",""))))))))))))</f>
        <v/>
      </c>
      <c r="M722" s="39"/>
      <c r="O722" s="11" t="str">
        <f aca="false">IF($B722="","",YEAR($B722)*100+MONTH($B722))</f>
        <v/>
      </c>
      <c r="P722" s="11" t="str">
        <f aca="false">IF($B722="","",IF($E722="대체",0,1))</f>
        <v/>
      </c>
    </row>
    <row r="723" customFormat="false" ht="15" hidden="false" customHeight="false" outlineLevel="0" collapsed="false">
      <c r="A723" s="36" t="str">
        <f aca="false">IF($B723="","",COUNT($B$15:$B723))</f>
        <v/>
      </c>
      <c r="B723" s="37"/>
      <c r="C723" s="38"/>
      <c r="D723" s="39"/>
      <c r="E723" s="36" t="str">
        <f aca="false">IF($D723="","",IFERROR(INDEX('통합 ④ 설정'!$A$6:$A$40,MATCH($D723,'통합 ④ 설정'!$B$6:$B$40,0)),"※없는 과목"))</f>
        <v/>
      </c>
      <c r="F723" s="36" t="str">
        <f aca="false">IF($D723="","",IFERROR(INDEX('통합 ④ 설정'!$C$6:$C$40,MATCH($D723,'통합 ④ 설정'!$B$6:$B$40,0)),""))</f>
        <v/>
      </c>
      <c r="G723" s="39"/>
      <c r="H723" s="39"/>
      <c r="I723" s="40"/>
      <c r="J723" s="41"/>
      <c r="K723" s="38"/>
      <c r="L723" s="42" t="str">
        <f aca="false">IF($B723="","",IF(AND(N($I723)=0,N($J723)=0),"금액이 없습니다",IF(AND($I723&gt;0,$J723&gt;0),"수입·지출 둘 다 적혔습니다",IF($C723="","결제수단을 고르십시오",IF(ISNA(MATCH($C723,'통합 ③ 통장·카드'!$A$5:$A$11,0)),"③ 통장·카드에 없는 결제수단입니다",IF($D723="","계정과목을 고르십시오",IF($E723="※없는 과목","④ 설정에 없는 과목입니다",IF(AND($E723="수입",$J723&gt;0),"수입 과목인데 지출에 적혔습니다",IF(AND(LEFT($E723,2)&lt;&gt;"수입",$E723&lt;&gt;"대체",$I723&gt;0),"지출 과목인데 수입에 적혔습니다",IF($K723="","증빙을 고르십시오",IF(AND($C723="바우처통장",$J723&gt;0,IFERROR(INDEX('통합 ④ 설정'!$E$6:$E$40,MATCH($D723,'통합 ④ 설정'!$B$6:$B$40,0)),"")&lt;&gt;"○"),"바우처통장 지출 — 목적 확인",IF($H723="","적요를 적으십시오",""))))))))))))</f>
        <v/>
      </c>
      <c r="M723" s="39"/>
      <c r="O723" s="11" t="str">
        <f aca="false">IF($B723="","",YEAR($B723)*100+MONTH($B723))</f>
        <v/>
      </c>
      <c r="P723" s="11" t="str">
        <f aca="false">IF($B723="","",IF($E723="대체",0,1))</f>
        <v/>
      </c>
    </row>
    <row r="724" customFormat="false" ht="15" hidden="false" customHeight="false" outlineLevel="0" collapsed="false">
      <c r="A724" s="36" t="str">
        <f aca="false">IF($B724="","",COUNT($B$15:$B724))</f>
        <v/>
      </c>
      <c r="B724" s="37"/>
      <c r="C724" s="38"/>
      <c r="D724" s="39"/>
      <c r="E724" s="36" t="str">
        <f aca="false">IF($D724="","",IFERROR(INDEX('통합 ④ 설정'!$A$6:$A$40,MATCH($D724,'통합 ④ 설정'!$B$6:$B$40,0)),"※없는 과목"))</f>
        <v/>
      </c>
      <c r="F724" s="36" t="str">
        <f aca="false">IF($D724="","",IFERROR(INDEX('통합 ④ 설정'!$C$6:$C$40,MATCH($D724,'통합 ④ 설정'!$B$6:$B$40,0)),""))</f>
        <v/>
      </c>
      <c r="G724" s="39"/>
      <c r="H724" s="39"/>
      <c r="I724" s="40"/>
      <c r="J724" s="41"/>
      <c r="K724" s="38"/>
      <c r="L724" s="42" t="str">
        <f aca="false">IF($B724="","",IF(AND(N($I724)=0,N($J724)=0),"금액이 없습니다",IF(AND($I724&gt;0,$J724&gt;0),"수입·지출 둘 다 적혔습니다",IF($C724="","결제수단을 고르십시오",IF(ISNA(MATCH($C724,'통합 ③ 통장·카드'!$A$5:$A$11,0)),"③ 통장·카드에 없는 결제수단입니다",IF($D724="","계정과목을 고르십시오",IF($E724="※없는 과목","④ 설정에 없는 과목입니다",IF(AND($E724="수입",$J724&gt;0),"수입 과목인데 지출에 적혔습니다",IF(AND(LEFT($E724,2)&lt;&gt;"수입",$E724&lt;&gt;"대체",$I724&gt;0),"지출 과목인데 수입에 적혔습니다",IF($K724="","증빙을 고르십시오",IF(AND($C724="바우처통장",$J724&gt;0,IFERROR(INDEX('통합 ④ 설정'!$E$6:$E$40,MATCH($D724,'통합 ④ 설정'!$B$6:$B$40,0)),"")&lt;&gt;"○"),"바우처통장 지출 — 목적 확인",IF($H724="","적요를 적으십시오",""))))))))))))</f>
        <v/>
      </c>
      <c r="M724" s="39"/>
      <c r="O724" s="11" t="str">
        <f aca="false">IF($B724="","",YEAR($B724)*100+MONTH($B724))</f>
        <v/>
      </c>
      <c r="P724" s="11" t="str">
        <f aca="false">IF($B724="","",IF($E724="대체",0,1))</f>
        <v/>
      </c>
    </row>
    <row r="725" customFormat="false" ht="15" hidden="false" customHeight="false" outlineLevel="0" collapsed="false">
      <c r="A725" s="36" t="str">
        <f aca="false">IF($B725="","",COUNT($B$15:$B725))</f>
        <v/>
      </c>
      <c r="B725" s="37"/>
      <c r="C725" s="38"/>
      <c r="D725" s="39"/>
      <c r="E725" s="36" t="str">
        <f aca="false">IF($D725="","",IFERROR(INDEX('통합 ④ 설정'!$A$6:$A$40,MATCH($D725,'통합 ④ 설정'!$B$6:$B$40,0)),"※없는 과목"))</f>
        <v/>
      </c>
      <c r="F725" s="36" t="str">
        <f aca="false">IF($D725="","",IFERROR(INDEX('통합 ④ 설정'!$C$6:$C$40,MATCH($D725,'통합 ④ 설정'!$B$6:$B$40,0)),""))</f>
        <v/>
      </c>
      <c r="G725" s="39"/>
      <c r="H725" s="39"/>
      <c r="I725" s="40"/>
      <c r="J725" s="41"/>
      <c r="K725" s="38"/>
      <c r="L725" s="42" t="str">
        <f aca="false">IF($B725="","",IF(AND(N($I725)=0,N($J725)=0),"금액이 없습니다",IF(AND($I725&gt;0,$J725&gt;0),"수입·지출 둘 다 적혔습니다",IF($C725="","결제수단을 고르십시오",IF(ISNA(MATCH($C725,'통합 ③ 통장·카드'!$A$5:$A$11,0)),"③ 통장·카드에 없는 결제수단입니다",IF($D725="","계정과목을 고르십시오",IF($E725="※없는 과목","④ 설정에 없는 과목입니다",IF(AND($E725="수입",$J725&gt;0),"수입 과목인데 지출에 적혔습니다",IF(AND(LEFT($E725,2)&lt;&gt;"수입",$E725&lt;&gt;"대체",$I725&gt;0),"지출 과목인데 수입에 적혔습니다",IF($K725="","증빙을 고르십시오",IF(AND($C725="바우처통장",$J725&gt;0,IFERROR(INDEX('통합 ④ 설정'!$E$6:$E$40,MATCH($D725,'통합 ④ 설정'!$B$6:$B$40,0)),"")&lt;&gt;"○"),"바우처통장 지출 — 목적 확인",IF($H725="","적요를 적으십시오",""))))))))))))</f>
        <v/>
      </c>
      <c r="M725" s="39"/>
      <c r="O725" s="11" t="str">
        <f aca="false">IF($B725="","",YEAR($B725)*100+MONTH($B725))</f>
        <v/>
      </c>
      <c r="P725" s="11" t="str">
        <f aca="false">IF($B725="","",IF($E725="대체",0,1))</f>
        <v/>
      </c>
    </row>
    <row r="726" customFormat="false" ht="15" hidden="false" customHeight="false" outlineLevel="0" collapsed="false">
      <c r="A726" s="36" t="str">
        <f aca="false">IF($B726="","",COUNT($B$15:$B726))</f>
        <v/>
      </c>
      <c r="B726" s="37"/>
      <c r="C726" s="38"/>
      <c r="D726" s="39"/>
      <c r="E726" s="36" t="str">
        <f aca="false">IF($D726="","",IFERROR(INDEX('통합 ④ 설정'!$A$6:$A$40,MATCH($D726,'통합 ④ 설정'!$B$6:$B$40,0)),"※없는 과목"))</f>
        <v/>
      </c>
      <c r="F726" s="36" t="str">
        <f aca="false">IF($D726="","",IFERROR(INDEX('통합 ④ 설정'!$C$6:$C$40,MATCH($D726,'통합 ④ 설정'!$B$6:$B$40,0)),""))</f>
        <v/>
      </c>
      <c r="G726" s="39"/>
      <c r="H726" s="39"/>
      <c r="I726" s="40"/>
      <c r="J726" s="41"/>
      <c r="K726" s="38"/>
      <c r="L726" s="42" t="str">
        <f aca="false">IF($B726="","",IF(AND(N($I726)=0,N($J726)=0),"금액이 없습니다",IF(AND($I726&gt;0,$J726&gt;0),"수입·지출 둘 다 적혔습니다",IF($C726="","결제수단을 고르십시오",IF(ISNA(MATCH($C726,'통합 ③ 통장·카드'!$A$5:$A$11,0)),"③ 통장·카드에 없는 결제수단입니다",IF($D726="","계정과목을 고르십시오",IF($E726="※없는 과목","④ 설정에 없는 과목입니다",IF(AND($E726="수입",$J726&gt;0),"수입 과목인데 지출에 적혔습니다",IF(AND(LEFT($E726,2)&lt;&gt;"수입",$E726&lt;&gt;"대체",$I726&gt;0),"지출 과목인데 수입에 적혔습니다",IF($K726="","증빙을 고르십시오",IF(AND($C726="바우처통장",$J726&gt;0,IFERROR(INDEX('통합 ④ 설정'!$E$6:$E$40,MATCH($D726,'통합 ④ 설정'!$B$6:$B$40,0)),"")&lt;&gt;"○"),"바우처통장 지출 — 목적 확인",IF($H726="","적요를 적으십시오",""))))))))))))</f>
        <v/>
      </c>
      <c r="M726" s="39"/>
      <c r="O726" s="11" t="str">
        <f aca="false">IF($B726="","",YEAR($B726)*100+MONTH($B726))</f>
        <v/>
      </c>
      <c r="P726" s="11" t="str">
        <f aca="false">IF($B726="","",IF($E726="대체",0,1))</f>
        <v/>
      </c>
    </row>
    <row r="727" customFormat="false" ht="15" hidden="false" customHeight="false" outlineLevel="0" collapsed="false">
      <c r="A727" s="36" t="str">
        <f aca="false">IF($B727="","",COUNT($B$15:$B727))</f>
        <v/>
      </c>
      <c r="B727" s="37"/>
      <c r="C727" s="38"/>
      <c r="D727" s="39"/>
      <c r="E727" s="36" t="str">
        <f aca="false">IF($D727="","",IFERROR(INDEX('통합 ④ 설정'!$A$6:$A$40,MATCH($D727,'통합 ④ 설정'!$B$6:$B$40,0)),"※없는 과목"))</f>
        <v/>
      </c>
      <c r="F727" s="36" t="str">
        <f aca="false">IF($D727="","",IFERROR(INDEX('통합 ④ 설정'!$C$6:$C$40,MATCH($D727,'통합 ④ 설정'!$B$6:$B$40,0)),""))</f>
        <v/>
      </c>
      <c r="G727" s="39"/>
      <c r="H727" s="39"/>
      <c r="I727" s="40"/>
      <c r="J727" s="41"/>
      <c r="K727" s="38"/>
      <c r="L727" s="42" t="str">
        <f aca="false">IF($B727="","",IF(AND(N($I727)=0,N($J727)=0),"금액이 없습니다",IF(AND($I727&gt;0,$J727&gt;0),"수입·지출 둘 다 적혔습니다",IF($C727="","결제수단을 고르십시오",IF(ISNA(MATCH($C727,'통합 ③ 통장·카드'!$A$5:$A$11,0)),"③ 통장·카드에 없는 결제수단입니다",IF($D727="","계정과목을 고르십시오",IF($E727="※없는 과목","④ 설정에 없는 과목입니다",IF(AND($E727="수입",$J727&gt;0),"수입 과목인데 지출에 적혔습니다",IF(AND(LEFT($E727,2)&lt;&gt;"수입",$E727&lt;&gt;"대체",$I727&gt;0),"지출 과목인데 수입에 적혔습니다",IF($K727="","증빙을 고르십시오",IF(AND($C727="바우처통장",$J727&gt;0,IFERROR(INDEX('통합 ④ 설정'!$E$6:$E$40,MATCH($D727,'통합 ④ 설정'!$B$6:$B$40,0)),"")&lt;&gt;"○"),"바우처통장 지출 — 목적 확인",IF($H727="","적요를 적으십시오",""))))))))))))</f>
        <v/>
      </c>
      <c r="M727" s="39"/>
      <c r="O727" s="11" t="str">
        <f aca="false">IF($B727="","",YEAR($B727)*100+MONTH($B727))</f>
        <v/>
      </c>
      <c r="P727" s="11" t="str">
        <f aca="false">IF($B727="","",IF($E727="대체",0,1))</f>
        <v/>
      </c>
    </row>
    <row r="728" customFormat="false" ht="15" hidden="false" customHeight="false" outlineLevel="0" collapsed="false">
      <c r="A728" s="36" t="str">
        <f aca="false">IF($B728="","",COUNT($B$15:$B728))</f>
        <v/>
      </c>
      <c r="B728" s="37"/>
      <c r="C728" s="38"/>
      <c r="D728" s="39"/>
      <c r="E728" s="36" t="str">
        <f aca="false">IF($D728="","",IFERROR(INDEX('통합 ④ 설정'!$A$6:$A$40,MATCH($D728,'통합 ④ 설정'!$B$6:$B$40,0)),"※없는 과목"))</f>
        <v/>
      </c>
      <c r="F728" s="36" t="str">
        <f aca="false">IF($D728="","",IFERROR(INDEX('통합 ④ 설정'!$C$6:$C$40,MATCH($D728,'통합 ④ 설정'!$B$6:$B$40,0)),""))</f>
        <v/>
      </c>
      <c r="G728" s="39"/>
      <c r="H728" s="39"/>
      <c r="I728" s="40"/>
      <c r="J728" s="41"/>
      <c r="K728" s="38"/>
      <c r="L728" s="42" t="str">
        <f aca="false">IF($B728="","",IF(AND(N($I728)=0,N($J728)=0),"금액이 없습니다",IF(AND($I728&gt;0,$J728&gt;0),"수입·지출 둘 다 적혔습니다",IF($C728="","결제수단을 고르십시오",IF(ISNA(MATCH($C728,'통합 ③ 통장·카드'!$A$5:$A$11,0)),"③ 통장·카드에 없는 결제수단입니다",IF($D728="","계정과목을 고르십시오",IF($E728="※없는 과목","④ 설정에 없는 과목입니다",IF(AND($E728="수입",$J728&gt;0),"수입 과목인데 지출에 적혔습니다",IF(AND(LEFT($E728,2)&lt;&gt;"수입",$E728&lt;&gt;"대체",$I728&gt;0),"지출 과목인데 수입에 적혔습니다",IF($K728="","증빙을 고르십시오",IF(AND($C728="바우처통장",$J728&gt;0,IFERROR(INDEX('통합 ④ 설정'!$E$6:$E$40,MATCH($D728,'통합 ④ 설정'!$B$6:$B$40,0)),"")&lt;&gt;"○"),"바우처통장 지출 — 목적 확인",IF($H728="","적요를 적으십시오",""))))))))))))</f>
        <v/>
      </c>
      <c r="M728" s="39"/>
      <c r="O728" s="11" t="str">
        <f aca="false">IF($B728="","",YEAR($B728)*100+MONTH($B728))</f>
        <v/>
      </c>
      <c r="P728" s="11" t="str">
        <f aca="false">IF($B728="","",IF($E728="대체",0,1))</f>
        <v/>
      </c>
    </row>
    <row r="729" customFormat="false" ht="15" hidden="false" customHeight="false" outlineLevel="0" collapsed="false">
      <c r="A729" s="36" t="str">
        <f aca="false">IF($B729="","",COUNT($B$15:$B729))</f>
        <v/>
      </c>
      <c r="B729" s="37"/>
      <c r="C729" s="38"/>
      <c r="D729" s="39"/>
      <c r="E729" s="36" t="str">
        <f aca="false">IF($D729="","",IFERROR(INDEX('통합 ④ 설정'!$A$6:$A$40,MATCH($D729,'통합 ④ 설정'!$B$6:$B$40,0)),"※없는 과목"))</f>
        <v/>
      </c>
      <c r="F729" s="36" t="str">
        <f aca="false">IF($D729="","",IFERROR(INDEX('통합 ④ 설정'!$C$6:$C$40,MATCH($D729,'통합 ④ 설정'!$B$6:$B$40,0)),""))</f>
        <v/>
      </c>
      <c r="G729" s="39"/>
      <c r="H729" s="39"/>
      <c r="I729" s="40"/>
      <c r="J729" s="41"/>
      <c r="K729" s="38"/>
      <c r="L729" s="42" t="str">
        <f aca="false">IF($B729="","",IF(AND(N($I729)=0,N($J729)=0),"금액이 없습니다",IF(AND($I729&gt;0,$J729&gt;0),"수입·지출 둘 다 적혔습니다",IF($C729="","결제수단을 고르십시오",IF(ISNA(MATCH($C729,'통합 ③ 통장·카드'!$A$5:$A$11,0)),"③ 통장·카드에 없는 결제수단입니다",IF($D729="","계정과목을 고르십시오",IF($E729="※없는 과목","④ 설정에 없는 과목입니다",IF(AND($E729="수입",$J729&gt;0),"수입 과목인데 지출에 적혔습니다",IF(AND(LEFT($E729,2)&lt;&gt;"수입",$E729&lt;&gt;"대체",$I729&gt;0),"지출 과목인데 수입에 적혔습니다",IF($K729="","증빙을 고르십시오",IF(AND($C729="바우처통장",$J729&gt;0,IFERROR(INDEX('통합 ④ 설정'!$E$6:$E$40,MATCH($D729,'통합 ④ 설정'!$B$6:$B$40,0)),"")&lt;&gt;"○"),"바우처통장 지출 — 목적 확인",IF($H729="","적요를 적으십시오",""))))))))))))</f>
        <v/>
      </c>
      <c r="M729" s="39"/>
      <c r="O729" s="11" t="str">
        <f aca="false">IF($B729="","",YEAR($B729)*100+MONTH($B729))</f>
        <v/>
      </c>
      <c r="P729" s="11" t="str">
        <f aca="false">IF($B729="","",IF($E729="대체",0,1))</f>
        <v/>
      </c>
    </row>
    <row r="730" customFormat="false" ht="15" hidden="false" customHeight="false" outlineLevel="0" collapsed="false">
      <c r="A730" s="36" t="str">
        <f aca="false">IF($B730="","",COUNT($B$15:$B730))</f>
        <v/>
      </c>
      <c r="B730" s="37"/>
      <c r="C730" s="38"/>
      <c r="D730" s="39"/>
      <c r="E730" s="36" t="str">
        <f aca="false">IF($D730="","",IFERROR(INDEX('통합 ④ 설정'!$A$6:$A$40,MATCH($D730,'통합 ④ 설정'!$B$6:$B$40,0)),"※없는 과목"))</f>
        <v/>
      </c>
      <c r="F730" s="36" t="str">
        <f aca="false">IF($D730="","",IFERROR(INDEX('통합 ④ 설정'!$C$6:$C$40,MATCH($D730,'통합 ④ 설정'!$B$6:$B$40,0)),""))</f>
        <v/>
      </c>
      <c r="G730" s="39"/>
      <c r="H730" s="39"/>
      <c r="I730" s="40"/>
      <c r="J730" s="41"/>
      <c r="K730" s="38"/>
      <c r="L730" s="42" t="str">
        <f aca="false">IF($B730="","",IF(AND(N($I730)=0,N($J730)=0),"금액이 없습니다",IF(AND($I730&gt;0,$J730&gt;0),"수입·지출 둘 다 적혔습니다",IF($C730="","결제수단을 고르십시오",IF(ISNA(MATCH($C730,'통합 ③ 통장·카드'!$A$5:$A$11,0)),"③ 통장·카드에 없는 결제수단입니다",IF($D730="","계정과목을 고르십시오",IF($E730="※없는 과목","④ 설정에 없는 과목입니다",IF(AND($E730="수입",$J730&gt;0),"수입 과목인데 지출에 적혔습니다",IF(AND(LEFT($E730,2)&lt;&gt;"수입",$E730&lt;&gt;"대체",$I730&gt;0),"지출 과목인데 수입에 적혔습니다",IF($K730="","증빙을 고르십시오",IF(AND($C730="바우처통장",$J730&gt;0,IFERROR(INDEX('통합 ④ 설정'!$E$6:$E$40,MATCH($D730,'통합 ④ 설정'!$B$6:$B$40,0)),"")&lt;&gt;"○"),"바우처통장 지출 — 목적 확인",IF($H730="","적요를 적으십시오",""))))))))))))</f>
        <v/>
      </c>
      <c r="M730" s="39"/>
      <c r="O730" s="11" t="str">
        <f aca="false">IF($B730="","",YEAR($B730)*100+MONTH($B730))</f>
        <v/>
      </c>
      <c r="P730" s="11" t="str">
        <f aca="false">IF($B730="","",IF($E730="대체",0,1))</f>
        <v/>
      </c>
    </row>
    <row r="731" customFormat="false" ht="15" hidden="false" customHeight="false" outlineLevel="0" collapsed="false">
      <c r="A731" s="36" t="str">
        <f aca="false">IF($B731="","",COUNT($B$15:$B731))</f>
        <v/>
      </c>
      <c r="B731" s="37"/>
      <c r="C731" s="38"/>
      <c r="D731" s="39"/>
      <c r="E731" s="36" t="str">
        <f aca="false">IF($D731="","",IFERROR(INDEX('통합 ④ 설정'!$A$6:$A$40,MATCH($D731,'통합 ④ 설정'!$B$6:$B$40,0)),"※없는 과목"))</f>
        <v/>
      </c>
      <c r="F731" s="36" t="str">
        <f aca="false">IF($D731="","",IFERROR(INDEX('통합 ④ 설정'!$C$6:$C$40,MATCH($D731,'통합 ④ 설정'!$B$6:$B$40,0)),""))</f>
        <v/>
      </c>
      <c r="G731" s="39"/>
      <c r="H731" s="39"/>
      <c r="I731" s="40"/>
      <c r="J731" s="41"/>
      <c r="K731" s="38"/>
      <c r="L731" s="42" t="str">
        <f aca="false">IF($B731="","",IF(AND(N($I731)=0,N($J731)=0),"금액이 없습니다",IF(AND($I731&gt;0,$J731&gt;0),"수입·지출 둘 다 적혔습니다",IF($C731="","결제수단을 고르십시오",IF(ISNA(MATCH($C731,'통합 ③ 통장·카드'!$A$5:$A$11,0)),"③ 통장·카드에 없는 결제수단입니다",IF($D731="","계정과목을 고르십시오",IF($E731="※없는 과목","④ 설정에 없는 과목입니다",IF(AND($E731="수입",$J731&gt;0),"수입 과목인데 지출에 적혔습니다",IF(AND(LEFT($E731,2)&lt;&gt;"수입",$E731&lt;&gt;"대체",$I731&gt;0),"지출 과목인데 수입에 적혔습니다",IF($K731="","증빙을 고르십시오",IF(AND($C731="바우처통장",$J731&gt;0,IFERROR(INDEX('통합 ④ 설정'!$E$6:$E$40,MATCH($D731,'통합 ④ 설정'!$B$6:$B$40,0)),"")&lt;&gt;"○"),"바우처통장 지출 — 목적 확인",IF($H731="","적요를 적으십시오",""))))))))))))</f>
        <v/>
      </c>
      <c r="M731" s="39"/>
      <c r="O731" s="11" t="str">
        <f aca="false">IF($B731="","",YEAR($B731)*100+MONTH($B731))</f>
        <v/>
      </c>
      <c r="P731" s="11" t="str">
        <f aca="false">IF($B731="","",IF($E731="대체",0,1))</f>
        <v/>
      </c>
    </row>
    <row r="732" customFormat="false" ht="15" hidden="false" customHeight="false" outlineLevel="0" collapsed="false">
      <c r="A732" s="36" t="str">
        <f aca="false">IF($B732="","",COUNT($B$15:$B732))</f>
        <v/>
      </c>
      <c r="B732" s="37"/>
      <c r="C732" s="38"/>
      <c r="D732" s="39"/>
      <c r="E732" s="36" t="str">
        <f aca="false">IF($D732="","",IFERROR(INDEX('통합 ④ 설정'!$A$6:$A$40,MATCH($D732,'통합 ④ 설정'!$B$6:$B$40,0)),"※없는 과목"))</f>
        <v/>
      </c>
      <c r="F732" s="36" t="str">
        <f aca="false">IF($D732="","",IFERROR(INDEX('통합 ④ 설정'!$C$6:$C$40,MATCH($D732,'통합 ④ 설정'!$B$6:$B$40,0)),""))</f>
        <v/>
      </c>
      <c r="G732" s="39"/>
      <c r="H732" s="39"/>
      <c r="I732" s="40"/>
      <c r="J732" s="41"/>
      <c r="K732" s="38"/>
      <c r="L732" s="42" t="str">
        <f aca="false">IF($B732="","",IF(AND(N($I732)=0,N($J732)=0),"금액이 없습니다",IF(AND($I732&gt;0,$J732&gt;0),"수입·지출 둘 다 적혔습니다",IF($C732="","결제수단을 고르십시오",IF(ISNA(MATCH($C732,'통합 ③ 통장·카드'!$A$5:$A$11,0)),"③ 통장·카드에 없는 결제수단입니다",IF($D732="","계정과목을 고르십시오",IF($E732="※없는 과목","④ 설정에 없는 과목입니다",IF(AND($E732="수입",$J732&gt;0),"수입 과목인데 지출에 적혔습니다",IF(AND(LEFT($E732,2)&lt;&gt;"수입",$E732&lt;&gt;"대체",$I732&gt;0),"지출 과목인데 수입에 적혔습니다",IF($K732="","증빙을 고르십시오",IF(AND($C732="바우처통장",$J732&gt;0,IFERROR(INDEX('통합 ④ 설정'!$E$6:$E$40,MATCH($D732,'통합 ④ 설정'!$B$6:$B$40,0)),"")&lt;&gt;"○"),"바우처통장 지출 — 목적 확인",IF($H732="","적요를 적으십시오",""))))))))))))</f>
        <v/>
      </c>
      <c r="M732" s="39"/>
      <c r="O732" s="11" t="str">
        <f aca="false">IF($B732="","",YEAR($B732)*100+MONTH($B732))</f>
        <v/>
      </c>
      <c r="P732" s="11" t="str">
        <f aca="false">IF($B732="","",IF($E732="대체",0,1))</f>
        <v/>
      </c>
    </row>
    <row r="733" customFormat="false" ht="15" hidden="false" customHeight="false" outlineLevel="0" collapsed="false">
      <c r="A733" s="36" t="str">
        <f aca="false">IF($B733="","",COUNT($B$15:$B733))</f>
        <v/>
      </c>
      <c r="B733" s="37"/>
      <c r="C733" s="38"/>
      <c r="D733" s="39"/>
      <c r="E733" s="36" t="str">
        <f aca="false">IF($D733="","",IFERROR(INDEX('통합 ④ 설정'!$A$6:$A$40,MATCH($D733,'통합 ④ 설정'!$B$6:$B$40,0)),"※없는 과목"))</f>
        <v/>
      </c>
      <c r="F733" s="36" t="str">
        <f aca="false">IF($D733="","",IFERROR(INDEX('통합 ④ 설정'!$C$6:$C$40,MATCH($D733,'통합 ④ 설정'!$B$6:$B$40,0)),""))</f>
        <v/>
      </c>
      <c r="G733" s="39"/>
      <c r="H733" s="39"/>
      <c r="I733" s="40"/>
      <c r="J733" s="41"/>
      <c r="K733" s="38"/>
      <c r="L733" s="42" t="str">
        <f aca="false">IF($B733="","",IF(AND(N($I733)=0,N($J733)=0),"금액이 없습니다",IF(AND($I733&gt;0,$J733&gt;0),"수입·지출 둘 다 적혔습니다",IF($C733="","결제수단을 고르십시오",IF(ISNA(MATCH($C733,'통합 ③ 통장·카드'!$A$5:$A$11,0)),"③ 통장·카드에 없는 결제수단입니다",IF($D733="","계정과목을 고르십시오",IF($E733="※없는 과목","④ 설정에 없는 과목입니다",IF(AND($E733="수입",$J733&gt;0),"수입 과목인데 지출에 적혔습니다",IF(AND(LEFT($E733,2)&lt;&gt;"수입",$E733&lt;&gt;"대체",$I733&gt;0),"지출 과목인데 수입에 적혔습니다",IF($K733="","증빙을 고르십시오",IF(AND($C733="바우처통장",$J733&gt;0,IFERROR(INDEX('통합 ④ 설정'!$E$6:$E$40,MATCH($D733,'통합 ④ 설정'!$B$6:$B$40,0)),"")&lt;&gt;"○"),"바우처통장 지출 — 목적 확인",IF($H733="","적요를 적으십시오",""))))))))))))</f>
        <v/>
      </c>
      <c r="M733" s="39"/>
      <c r="O733" s="11" t="str">
        <f aca="false">IF($B733="","",YEAR($B733)*100+MONTH($B733))</f>
        <v/>
      </c>
      <c r="P733" s="11" t="str">
        <f aca="false">IF($B733="","",IF($E733="대체",0,1))</f>
        <v/>
      </c>
    </row>
    <row r="734" customFormat="false" ht="15" hidden="false" customHeight="false" outlineLevel="0" collapsed="false">
      <c r="A734" s="36" t="str">
        <f aca="false">IF($B734="","",COUNT($B$15:$B734))</f>
        <v/>
      </c>
      <c r="B734" s="37"/>
      <c r="C734" s="38"/>
      <c r="D734" s="39"/>
      <c r="E734" s="36" t="str">
        <f aca="false">IF($D734="","",IFERROR(INDEX('통합 ④ 설정'!$A$6:$A$40,MATCH($D734,'통합 ④ 설정'!$B$6:$B$40,0)),"※없는 과목"))</f>
        <v/>
      </c>
      <c r="F734" s="36" t="str">
        <f aca="false">IF($D734="","",IFERROR(INDEX('통합 ④ 설정'!$C$6:$C$40,MATCH($D734,'통합 ④ 설정'!$B$6:$B$40,0)),""))</f>
        <v/>
      </c>
      <c r="G734" s="39"/>
      <c r="H734" s="39"/>
      <c r="I734" s="40"/>
      <c r="J734" s="41"/>
      <c r="K734" s="38"/>
      <c r="L734" s="42" t="str">
        <f aca="false">IF($B734="","",IF(AND(N($I734)=0,N($J734)=0),"금액이 없습니다",IF(AND($I734&gt;0,$J734&gt;0),"수입·지출 둘 다 적혔습니다",IF($C734="","결제수단을 고르십시오",IF(ISNA(MATCH($C734,'통합 ③ 통장·카드'!$A$5:$A$11,0)),"③ 통장·카드에 없는 결제수단입니다",IF($D734="","계정과목을 고르십시오",IF($E734="※없는 과목","④ 설정에 없는 과목입니다",IF(AND($E734="수입",$J734&gt;0),"수입 과목인데 지출에 적혔습니다",IF(AND(LEFT($E734,2)&lt;&gt;"수입",$E734&lt;&gt;"대체",$I734&gt;0),"지출 과목인데 수입에 적혔습니다",IF($K734="","증빙을 고르십시오",IF(AND($C734="바우처통장",$J734&gt;0,IFERROR(INDEX('통합 ④ 설정'!$E$6:$E$40,MATCH($D734,'통합 ④ 설정'!$B$6:$B$40,0)),"")&lt;&gt;"○"),"바우처통장 지출 — 목적 확인",IF($H734="","적요를 적으십시오",""))))))))))))</f>
        <v/>
      </c>
      <c r="M734" s="39"/>
      <c r="O734" s="11" t="str">
        <f aca="false">IF($B734="","",YEAR($B734)*100+MONTH($B734))</f>
        <v/>
      </c>
      <c r="P734" s="11" t="str">
        <f aca="false">IF($B734="","",IF($E734="대체",0,1))</f>
        <v/>
      </c>
    </row>
    <row r="735" customFormat="false" ht="15" hidden="false" customHeight="false" outlineLevel="0" collapsed="false">
      <c r="A735" s="36" t="str">
        <f aca="false">IF($B735="","",COUNT($B$15:$B735))</f>
        <v/>
      </c>
      <c r="B735" s="37"/>
      <c r="C735" s="38"/>
      <c r="D735" s="39"/>
      <c r="E735" s="36" t="str">
        <f aca="false">IF($D735="","",IFERROR(INDEX('통합 ④ 설정'!$A$6:$A$40,MATCH($D735,'통합 ④ 설정'!$B$6:$B$40,0)),"※없는 과목"))</f>
        <v/>
      </c>
      <c r="F735" s="36" t="str">
        <f aca="false">IF($D735="","",IFERROR(INDEX('통합 ④ 설정'!$C$6:$C$40,MATCH($D735,'통합 ④ 설정'!$B$6:$B$40,0)),""))</f>
        <v/>
      </c>
      <c r="G735" s="39"/>
      <c r="H735" s="39"/>
      <c r="I735" s="40"/>
      <c r="J735" s="41"/>
      <c r="K735" s="38"/>
      <c r="L735" s="42" t="str">
        <f aca="false">IF($B735="","",IF(AND(N($I735)=0,N($J735)=0),"금액이 없습니다",IF(AND($I735&gt;0,$J735&gt;0),"수입·지출 둘 다 적혔습니다",IF($C735="","결제수단을 고르십시오",IF(ISNA(MATCH($C735,'통합 ③ 통장·카드'!$A$5:$A$11,0)),"③ 통장·카드에 없는 결제수단입니다",IF($D735="","계정과목을 고르십시오",IF($E735="※없는 과목","④ 설정에 없는 과목입니다",IF(AND($E735="수입",$J735&gt;0),"수입 과목인데 지출에 적혔습니다",IF(AND(LEFT($E735,2)&lt;&gt;"수입",$E735&lt;&gt;"대체",$I735&gt;0),"지출 과목인데 수입에 적혔습니다",IF($K735="","증빙을 고르십시오",IF(AND($C735="바우처통장",$J735&gt;0,IFERROR(INDEX('통합 ④ 설정'!$E$6:$E$40,MATCH($D735,'통합 ④ 설정'!$B$6:$B$40,0)),"")&lt;&gt;"○"),"바우처통장 지출 — 목적 확인",IF($H735="","적요를 적으십시오",""))))))))))))</f>
        <v/>
      </c>
      <c r="M735" s="39"/>
      <c r="O735" s="11" t="str">
        <f aca="false">IF($B735="","",YEAR($B735)*100+MONTH($B735))</f>
        <v/>
      </c>
      <c r="P735" s="11" t="str">
        <f aca="false">IF($B735="","",IF($E735="대체",0,1))</f>
        <v/>
      </c>
    </row>
    <row r="736" customFormat="false" ht="15" hidden="false" customHeight="false" outlineLevel="0" collapsed="false">
      <c r="A736" s="36" t="str">
        <f aca="false">IF($B736="","",COUNT($B$15:$B736))</f>
        <v/>
      </c>
      <c r="B736" s="37"/>
      <c r="C736" s="38"/>
      <c r="D736" s="39"/>
      <c r="E736" s="36" t="str">
        <f aca="false">IF($D736="","",IFERROR(INDEX('통합 ④ 설정'!$A$6:$A$40,MATCH($D736,'통합 ④ 설정'!$B$6:$B$40,0)),"※없는 과목"))</f>
        <v/>
      </c>
      <c r="F736" s="36" t="str">
        <f aca="false">IF($D736="","",IFERROR(INDEX('통합 ④ 설정'!$C$6:$C$40,MATCH($D736,'통합 ④ 설정'!$B$6:$B$40,0)),""))</f>
        <v/>
      </c>
      <c r="G736" s="39"/>
      <c r="H736" s="39"/>
      <c r="I736" s="40"/>
      <c r="J736" s="41"/>
      <c r="K736" s="38"/>
      <c r="L736" s="42" t="str">
        <f aca="false">IF($B736="","",IF(AND(N($I736)=0,N($J736)=0),"금액이 없습니다",IF(AND($I736&gt;0,$J736&gt;0),"수입·지출 둘 다 적혔습니다",IF($C736="","결제수단을 고르십시오",IF(ISNA(MATCH($C736,'통합 ③ 통장·카드'!$A$5:$A$11,0)),"③ 통장·카드에 없는 결제수단입니다",IF($D736="","계정과목을 고르십시오",IF($E736="※없는 과목","④ 설정에 없는 과목입니다",IF(AND($E736="수입",$J736&gt;0),"수입 과목인데 지출에 적혔습니다",IF(AND(LEFT($E736,2)&lt;&gt;"수입",$E736&lt;&gt;"대체",$I736&gt;0),"지출 과목인데 수입에 적혔습니다",IF($K736="","증빙을 고르십시오",IF(AND($C736="바우처통장",$J736&gt;0,IFERROR(INDEX('통합 ④ 설정'!$E$6:$E$40,MATCH($D736,'통합 ④ 설정'!$B$6:$B$40,0)),"")&lt;&gt;"○"),"바우처통장 지출 — 목적 확인",IF($H736="","적요를 적으십시오",""))))))))))))</f>
        <v/>
      </c>
      <c r="M736" s="39"/>
      <c r="O736" s="11" t="str">
        <f aca="false">IF($B736="","",YEAR($B736)*100+MONTH($B736))</f>
        <v/>
      </c>
      <c r="P736" s="11" t="str">
        <f aca="false">IF($B736="","",IF($E736="대체",0,1))</f>
        <v/>
      </c>
    </row>
    <row r="737" customFormat="false" ht="15" hidden="false" customHeight="false" outlineLevel="0" collapsed="false">
      <c r="A737" s="36" t="str">
        <f aca="false">IF($B737="","",COUNT($B$15:$B737))</f>
        <v/>
      </c>
      <c r="B737" s="37"/>
      <c r="C737" s="38"/>
      <c r="D737" s="39"/>
      <c r="E737" s="36" t="str">
        <f aca="false">IF($D737="","",IFERROR(INDEX('통합 ④ 설정'!$A$6:$A$40,MATCH($D737,'통합 ④ 설정'!$B$6:$B$40,0)),"※없는 과목"))</f>
        <v/>
      </c>
      <c r="F737" s="36" t="str">
        <f aca="false">IF($D737="","",IFERROR(INDEX('통합 ④ 설정'!$C$6:$C$40,MATCH($D737,'통합 ④ 설정'!$B$6:$B$40,0)),""))</f>
        <v/>
      </c>
      <c r="G737" s="39"/>
      <c r="H737" s="39"/>
      <c r="I737" s="40"/>
      <c r="J737" s="41"/>
      <c r="K737" s="38"/>
      <c r="L737" s="42" t="str">
        <f aca="false">IF($B737="","",IF(AND(N($I737)=0,N($J737)=0),"금액이 없습니다",IF(AND($I737&gt;0,$J737&gt;0),"수입·지출 둘 다 적혔습니다",IF($C737="","결제수단을 고르십시오",IF(ISNA(MATCH($C737,'통합 ③ 통장·카드'!$A$5:$A$11,0)),"③ 통장·카드에 없는 결제수단입니다",IF($D737="","계정과목을 고르십시오",IF($E737="※없는 과목","④ 설정에 없는 과목입니다",IF(AND($E737="수입",$J737&gt;0),"수입 과목인데 지출에 적혔습니다",IF(AND(LEFT($E737,2)&lt;&gt;"수입",$E737&lt;&gt;"대체",$I737&gt;0),"지출 과목인데 수입에 적혔습니다",IF($K737="","증빙을 고르십시오",IF(AND($C737="바우처통장",$J737&gt;0,IFERROR(INDEX('통합 ④ 설정'!$E$6:$E$40,MATCH($D737,'통합 ④ 설정'!$B$6:$B$40,0)),"")&lt;&gt;"○"),"바우처통장 지출 — 목적 확인",IF($H737="","적요를 적으십시오",""))))))))))))</f>
        <v/>
      </c>
      <c r="M737" s="39"/>
      <c r="O737" s="11" t="str">
        <f aca="false">IF($B737="","",YEAR($B737)*100+MONTH($B737))</f>
        <v/>
      </c>
      <c r="P737" s="11" t="str">
        <f aca="false">IF($B737="","",IF($E737="대체",0,1))</f>
        <v/>
      </c>
    </row>
    <row r="738" customFormat="false" ht="15" hidden="false" customHeight="false" outlineLevel="0" collapsed="false">
      <c r="A738" s="36" t="str">
        <f aca="false">IF($B738="","",COUNT($B$15:$B738))</f>
        <v/>
      </c>
      <c r="B738" s="37"/>
      <c r="C738" s="38"/>
      <c r="D738" s="39"/>
      <c r="E738" s="36" t="str">
        <f aca="false">IF($D738="","",IFERROR(INDEX('통합 ④ 설정'!$A$6:$A$40,MATCH($D738,'통합 ④ 설정'!$B$6:$B$40,0)),"※없는 과목"))</f>
        <v/>
      </c>
      <c r="F738" s="36" t="str">
        <f aca="false">IF($D738="","",IFERROR(INDEX('통합 ④ 설정'!$C$6:$C$40,MATCH($D738,'통합 ④ 설정'!$B$6:$B$40,0)),""))</f>
        <v/>
      </c>
      <c r="G738" s="39"/>
      <c r="H738" s="39"/>
      <c r="I738" s="40"/>
      <c r="J738" s="41"/>
      <c r="K738" s="38"/>
      <c r="L738" s="42" t="str">
        <f aca="false">IF($B738="","",IF(AND(N($I738)=0,N($J738)=0),"금액이 없습니다",IF(AND($I738&gt;0,$J738&gt;0),"수입·지출 둘 다 적혔습니다",IF($C738="","결제수단을 고르십시오",IF(ISNA(MATCH($C738,'통합 ③ 통장·카드'!$A$5:$A$11,0)),"③ 통장·카드에 없는 결제수단입니다",IF($D738="","계정과목을 고르십시오",IF($E738="※없는 과목","④ 설정에 없는 과목입니다",IF(AND($E738="수입",$J738&gt;0),"수입 과목인데 지출에 적혔습니다",IF(AND(LEFT($E738,2)&lt;&gt;"수입",$E738&lt;&gt;"대체",$I738&gt;0),"지출 과목인데 수입에 적혔습니다",IF($K738="","증빙을 고르십시오",IF(AND($C738="바우처통장",$J738&gt;0,IFERROR(INDEX('통합 ④ 설정'!$E$6:$E$40,MATCH($D738,'통합 ④ 설정'!$B$6:$B$40,0)),"")&lt;&gt;"○"),"바우처통장 지출 — 목적 확인",IF($H738="","적요를 적으십시오",""))))))))))))</f>
        <v/>
      </c>
      <c r="M738" s="39"/>
      <c r="O738" s="11" t="str">
        <f aca="false">IF($B738="","",YEAR($B738)*100+MONTH($B738))</f>
        <v/>
      </c>
      <c r="P738" s="11" t="str">
        <f aca="false">IF($B738="","",IF($E738="대체",0,1))</f>
        <v/>
      </c>
    </row>
    <row r="739" customFormat="false" ht="15" hidden="false" customHeight="false" outlineLevel="0" collapsed="false">
      <c r="A739" s="36" t="str">
        <f aca="false">IF($B739="","",COUNT($B$15:$B739))</f>
        <v/>
      </c>
      <c r="B739" s="37"/>
      <c r="C739" s="38"/>
      <c r="D739" s="39"/>
      <c r="E739" s="36" t="str">
        <f aca="false">IF($D739="","",IFERROR(INDEX('통합 ④ 설정'!$A$6:$A$40,MATCH($D739,'통합 ④ 설정'!$B$6:$B$40,0)),"※없는 과목"))</f>
        <v/>
      </c>
      <c r="F739" s="36" t="str">
        <f aca="false">IF($D739="","",IFERROR(INDEX('통합 ④ 설정'!$C$6:$C$40,MATCH($D739,'통합 ④ 설정'!$B$6:$B$40,0)),""))</f>
        <v/>
      </c>
      <c r="G739" s="39"/>
      <c r="H739" s="39"/>
      <c r="I739" s="40"/>
      <c r="J739" s="41"/>
      <c r="K739" s="38"/>
      <c r="L739" s="42" t="str">
        <f aca="false">IF($B739="","",IF(AND(N($I739)=0,N($J739)=0),"금액이 없습니다",IF(AND($I739&gt;0,$J739&gt;0),"수입·지출 둘 다 적혔습니다",IF($C739="","결제수단을 고르십시오",IF(ISNA(MATCH($C739,'통합 ③ 통장·카드'!$A$5:$A$11,0)),"③ 통장·카드에 없는 결제수단입니다",IF($D739="","계정과목을 고르십시오",IF($E739="※없는 과목","④ 설정에 없는 과목입니다",IF(AND($E739="수입",$J739&gt;0),"수입 과목인데 지출에 적혔습니다",IF(AND(LEFT($E739,2)&lt;&gt;"수입",$E739&lt;&gt;"대체",$I739&gt;0),"지출 과목인데 수입에 적혔습니다",IF($K739="","증빙을 고르십시오",IF(AND($C739="바우처통장",$J739&gt;0,IFERROR(INDEX('통합 ④ 설정'!$E$6:$E$40,MATCH($D739,'통합 ④ 설정'!$B$6:$B$40,0)),"")&lt;&gt;"○"),"바우처통장 지출 — 목적 확인",IF($H739="","적요를 적으십시오",""))))))))))))</f>
        <v/>
      </c>
      <c r="M739" s="39"/>
      <c r="O739" s="11" t="str">
        <f aca="false">IF($B739="","",YEAR($B739)*100+MONTH($B739))</f>
        <v/>
      </c>
      <c r="P739" s="11" t="str">
        <f aca="false">IF($B739="","",IF($E739="대체",0,1))</f>
        <v/>
      </c>
    </row>
    <row r="740" customFormat="false" ht="15" hidden="false" customHeight="false" outlineLevel="0" collapsed="false">
      <c r="A740" s="36" t="str">
        <f aca="false">IF($B740="","",COUNT($B$15:$B740))</f>
        <v/>
      </c>
      <c r="B740" s="37"/>
      <c r="C740" s="38"/>
      <c r="D740" s="39"/>
      <c r="E740" s="36" t="str">
        <f aca="false">IF($D740="","",IFERROR(INDEX('통합 ④ 설정'!$A$6:$A$40,MATCH($D740,'통합 ④ 설정'!$B$6:$B$40,0)),"※없는 과목"))</f>
        <v/>
      </c>
      <c r="F740" s="36" t="str">
        <f aca="false">IF($D740="","",IFERROR(INDEX('통합 ④ 설정'!$C$6:$C$40,MATCH($D740,'통합 ④ 설정'!$B$6:$B$40,0)),""))</f>
        <v/>
      </c>
      <c r="G740" s="39"/>
      <c r="H740" s="39"/>
      <c r="I740" s="40"/>
      <c r="J740" s="41"/>
      <c r="K740" s="38"/>
      <c r="L740" s="42" t="str">
        <f aca="false">IF($B740="","",IF(AND(N($I740)=0,N($J740)=0),"금액이 없습니다",IF(AND($I740&gt;0,$J740&gt;0),"수입·지출 둘 다 적혔습니다",IF($C740="","결제수단을 고르십시오",IF(ISNA(MATCH($C740,'통합 ③ 통장·카드'!$A$5:$A$11,0)),"③ 통장·카드에 없는 결제수단입니다",IF($D740="","계정과목을 고르십시오",IF($E740="※없는 과목","④ 설정에 없는 과목입니다",IF(AND($E740="수입",$J740&gt;0),"수입 과목인데 지출에 적혔습니다",IF(AND(LEFT($E740,2)&lt;&gt;"수입",$E740&lt;&gt;"대체",$I740&gt;0),"지출 과목인데 수입에 적혔습니다",IF($K740="","증빙을 고르십시오",IF(AND($C740="바우처통장",$J740&gt;0,IFERROR(INDEX('통합 ④ 설정'!$E$6:$E$40,MATCH($D740,'통합 ④ 설정'!$B$6:$B$40,0)),"")&lt;&gt;"○"),"바우처통장 지출 — 목적 확인",IF($H740="","적요를 적으십시오",""))))))))))))</f>
        <v/>
      </c>
      <c r="M740" s="39"/>
      <c r="O740" s="11" t="str">
        <f aca="false">IF($B740="","",YEAR($B740)*100+MONTH($B740))</f>
        <v/>
      </c>
      <c r="P740" s="11" t="str">
        <f aca="false">IF($B740="","",IF($E740="대체",0,1))</f>
        <v/>
      </c>
    </row>
    <row r="741" customFormat="false" ht="15" hidden="false" customHeight="false" outlineLevel="0" collapsed="false">
      <c r="A741" s="36" t="str">
        <f aca="false">IF($B741="","",COUNT($B$15:$B741))</f>
        <v/>
      </c>
      <c r="B741" s="37"/>
      <c r="C741" s="38"/>
      <c r="D741" s="39"/>
      <c r="E741" s="36" t="str">
        <f aca="false">IF($D741="","",IFERROR(INDEX('통합 ④ 설정'!$A$6:$A$40,MATCH($D741,'통합 ④ 설정'!$B$6:$B$40,0)),"※없는 과목"))</f>
        <v/>
      </c>
      <c r="F741" s="36" t="str">
        <f aca="false">IF($D741="","",IFERROR(INDEX('통합 ④ 설정'!$C$6:$C$40,MATCH($D741,'통합 ④ 설정'!$B$6:$B$40,0)),""))</f>
        <v/>
      </c>
      <c r="G741" s="39"/>
      <c r="H741" s="39"/>
      <c r="I741" s="40"/>
      <c r="J741" s="41"/>
      <c r="K741" s="38"/>
      <c r="L741" s="42" t="str">
        <f aca="false">IF($B741="","",IF(AND(N($I741)=0,N($J741)=0),"금액이 없습니다",IF(AND($I741&gt;0,$J741&gt;0),"수입·지출 둘 다 적혔습니다",IF($C741="","결제수단을 고르십시오",IF(ISNA(MATCH($C741,'통합 ③ 통장·카드'!$A$5:$A$11,0)),"③ 통장·카드에 없는 결제수단입니다",IF($D741="","계정과목을 고르십시오",IF($E741="※없는 과목","④ 설정에 없는 과목입니다",IF(AND($E741="수입",$J741&gt;0),"수입 과목인데 지출에 적혔습니다",IF(AND(LEFT($E741,2)&lt;&gt;"수입",$E741&lt;&gt;"대체",$I741&gt;0),"지출 과목인데 수입에 적혔습니다",IF($K741="","증빙을 고르십시오",IF(AND($C741="바우처통장",$J741&gt;0,IFERROR(INDEX('통합 ④ 설정'!$E$6:$E$40,MATCH($D741,'통합 ④ 설정'!$B$6:$B$40,0)),"")&lt;&gt;"○"),"바우처통장 지출 — 목적 확인",IF($H741="","적요를 적으십시오",""))))))))))))</f>
        <v/>
      </c>
      <c r="M741" s="39"/>
      <c r="O741" s="11" t="str">
        <f aca="false">IF($B741="","",YEAR($B741)*100+MONTH($B741))</f>
        <v/>
      </c>
      <c r="P741" s="11" t="str">
        <f aca="false">IF($B741="","",IF($E741="대체",0,1))</f>
        <v/>
      </c>
    </row>
    <row r="742" customFormat="false" ht="15" hidden="false" customHeight="false" outlineLevel="0" collapsed="false">
      <c r="A742" s="36" t="str">
        <f aca="false">IF($B742="","",COUNT($B$15:$B742))</f>
        <v/>
      </c>
      <c r="B742" s="37"/>
      <c r="C742" s="38"/>
      <c r="D742" s="39"/>
      <c r="E742" s="36" t="str">
        <f aca="false">IF($D742="","",IFERROR(INDEX('통합 ④ 설정'!$A$6:$A$40,MATCH($D742,'통합 ④ 설정'!$B$6:$B$40,0)),"※없는 과목"))</f>
        <v/>
      </c>
      <c r="F742" s="36" t="str">
        <f aca="false">IF($D742="","",IFERROR(INDEX('통합 ④ 설정'!$C$6:$C$40,MATCH($D742,'통합 ④ 설정'!$B$6:$B$40,0)),""))</f>
        <v/>
      </c>
      <c r="G742" s="39"/>
      <c r="H742" s="39"/>
      <c r="I742" s="40"/>
      <c r="J742" s="41"/>
      <c r="K742" s="38"/>
      <c r="L742" s="42" t="str">
        <f aca="false">IF($B742="","",IF(AND(N($I742)=0,N($J742)=0),"금액이 없습니다",IF(AND($I742&gt;0,$J742&gt;0),"수입·지출 둘 다 적혔습니다",IF($C742="","결제수단을 고르십시오",IF(ISNA(MATCH($C742,'통합 ③ 통장·카드'!$A$5:$A$11,0)),"③ 통장·카드에 없는 결제수단입니다",IF($D742="","계정과목을 고르십시오",IF($E742="※없는 과목","④ 설정에 없는 과목입니다",IF(AND($E742="수입",$J742&gt;0),"수입 과목인데 지출에 적혔습니다",IF(AND(LEFT($E742,2)&lt;&gt;"수입",$E742&lt;&gt;"대체",$I742&gt;0),"지출 과목인데 수입에 적혔습니다",IF($K742="","증빙을 고르십시오",IF(AND($C742="바우처통장",$J742&gt;0,IFERROR(INDEX('통합 ④ 설정'!$E$6:$E$40,MATCH($D742,'통합 ④ 설정'!$B$6:$B$40,0)),"")&lt;&gt;"○"),"바우처통장 지출 — 목적 확인",IF($H742="","적요를 적으십시오",""))))))))))))</f>
        <v/>
      </c>
      <c r="M742" s="39"/>
      <c r="O742" s="11" t="str">
        <f aca="false">IF($B742="","",YEAR($B742)*100+MONTH($B742))</f>
        <v/>
      </c>
      <c r="P742" s="11" t="str">
        <f aca="false">IF($B742="","",IF($E742="대체",0,1))</f>
        <v/>
      </c>
    </row>
    <row r="743" customFormat="false" ht="15" hidden="false" customHeight="false" outlineLevel="0" collapsed="false">
      <c r="A743" s="36" t="str">
        <f aca="false">IF($B743="","",COUNT($B$15:$B743))</f>
        <v/>
      </c>
      <c r="B743" s="37"/>
      <c r="C743" s="38"/>
      <c r="D743" s="39"/>
      <c r="E743" s="36" t="str">
        <f aca="false">IF($D743="","",IFERROR(INDEX('통합 ④ 설정'!$A$6:$A$40,MATCH($D743,'통합 ④ 설정'!$B$6:$B$40,0)),"※없는 과목"))</f>
        <v/>
      </c>
      <c r="F743" s="36" t="str">
        <f aca="false">IF($D743="","",IFERROR(INDEX('통합 ④ 설정'!$C$6:$C$40,MATCH($D743,'통합 ④ 설정'!$B$6:$B$40,0)),""))</f>
        <v/>
      </c>
      <c r="G743" s="39"/>
      <c r="H743" s="39"/>
      <c r="I743" s="40"/>
      <c r="J743" s="41"/>
      <c r="K743" s="38"/>
      <c r="L743" s="42" t="str">
        <f aca="false">IF($B743="","",IF(AND(N($I743)=0,N($J743)=0),"금액이 없습니다",IF(AND($I743&gt;0,$J743&gt;0),"수입·지출 둘 다 적혔습니다",IF($C743="","결제수단을 고르십시오",IF(ISNA(MATCH($C743,'통합 ③ 통장·카드'!$A$5:$A$11,0)),"③ 통장·카드에 없는 결제수단입니다",IF($D743="","계정과목을 고르십시오",IF($E743="※없는 과목","④ 설정에 없는 과목입니다",IF(AND($E743="수입",$J743&gt;0),"수입 과목인데 지출에 적혔습니다",IF(AND(LEFT($E743,2)&lt;&gt;"수입",$E743&lt;&gt;"대체",$I743&gt;0),"지출 과목인데 수입에 적혔습니다",IF($K743="","증빙을 고르십시오",IF(AND($C743="바우처통장",$J743&gt;0,IFERROR(INDEX('통합 ④ 설정'!$E$6:$E$40,MATCH($D743,'통합 ④ 설정'!$B$6:$B$40,0)),"")&lt;&gt;"○"),"바우처통장 지출 — 목적 확인",IF($H743="","적요를 적으십시오",""))))))))))))</f>
        <v/>
      </c>
      <c r="M743" s="39"/>
      <c r="O743" s="11" t="str">
        <f aca="false">IF($B743="","",YEAR($B743)*100+MONTH($B743))</f>
        <v/>
      </c>
      <c r="P743" s="11" t="str">
        <f aca="false">IF($B743="","",IF($E743="대체",0,1))</f>
        <v/>
      </c>
    </row>
    <row r="744" customFormat="false" ht="15" hidden="false" customHeight="false" outlineLevel="0" collapsed="false">
      <c r="A744" s="36" t="str">
        <f aca="false">IF($B744="","",COUNT($B$15:$B744))</f>
        <v/>
      </c>
      <c r="B744" s="37"/>
      <c r="C744" s="38"/>
      <c r="D744" s="39"/>
      <c r="E744" s="36" t="str">
        <f aca="false">IF($D744="","",IFERROR(INDEX('통합 ④ 설정'!$A$6:$A$40,MATCH($D744,'통합 ④ 설정'!$B$6:$B$40,0)),"※없는 과목"))</f>
        <v/>
      </c>
      <c r="F744" s="36" t="str">
        <f aca="false">IF($D744="","",IFERROR(INDEX('통합 ④ 설정'!$C$6:$C$40,MATCH($D744,'통합 ④ 설정'!$B$6:$B$40,0)),""))</f>
        <v/>
      </c>
      <c r="G744" s="39"/>
      <c r="H744" s="39"/>
      <c r="I744" s="40"/>
      <c r="J744" s="41"/>
      <c r="K744" s="38"/>
      <c r="L744" s="42" t="str">
        <f aca="false">IF($B744="","",IF(AND(N($I744)=0,N($J744)=0),"금액이 없습니다",IF(AND($I744&gt;0,$J744&gt;0),"수입·지출 둘 다 적혔습니다",IF($C744="","결제수단을 고르십시오",IF(ISNA(MATCH($C744,'통합 ③ 통장·카드'!$A$5:$A$11,0)),"③ 통장·카드에 없는 결제수단입니다",IF($D744="","계정과목을 고르십시오",IF($E744="※없는 과목","④ 설정에 없는 과목입니다",IF(AND($E744="수입",$J744&gt;0),"수입 과목인데 지출에 적혔습니다",IF(AND(LEFT($E744,2)&lt;&gt;"수입",$E744&lt;&gt;"대체",$I744&gt;0),"지출 과목인데 수입에 적혔습니다",IF($K744="","증빙을 고르십시오",IF(AND($C744="바우처통장",$J744&gt;0,IFERROR(INDEX('통합 ④ 설정'!$E$6:$E$40,MATCH($D744,'통합 ④ 설정'!$B$6:$B$40,0)),"")&lt;&gt;"○"),"바우처통장 지출 — 목적 확인",IF($H744="","적요를 적으십시오",""))))))))))))</f>
        <v/>
      </c>
      <c r="M744" s="39"/>
      <c r="O744" s="11" t="str">
        <f aca="false">IF($B744="","",YEAR($B744)*100+MONTH($B744))</f>
        <v/>
      </c>
      <c r="P744" s="11" t="str">
        <f aca="false">IF($B744="","",IF($E744="대체",0,1))</f>
        <v/>
      </c>
    </row>
    <row r="745" customFormat="false" ht="15" hidden="false" customHeight="false" outlineLevel="0" collapsed="false">
      <c r="A745" s="36" t="str">
        <f aca="false">IF($B745="","",COUNT($B$15:$B745))</f>
        <v/>
      </c>
      <c r="B745" s="37"/>
      <c r="C745" s="38"/>
      <c r="D745" s="39"/>
      <c r="E745" s="36" t="str">
        <f aca="false">IF($D745="","",IFERROR(INDEX('통합 ④ 설정'!$A$6:$A$40,MATCH($D745,'통합 ④ 설정'!$B$6:$B$40,0)),"※없는 과목"))</f>
        <v/>
      </c>
      <c r="F745" s="36" t="str">
        <f aca="false">IF($D745="","",IFERROR(INDEX('통합 ④ 설정'!$C$6:$C$40,MATCH($D745,'통합 ④ 설정'!$B$6:$B$40,0)),""))</f>
        <v/>
      </c>
      <c r="G745" s="39"/>
      <c r="H745" s="39"/>
      <c r="I745" s="40"/>
      <c r="J745" s="41"/>
      <c r="K745" s="38"/>
      <c r="L745" s="42" t="str">
        <f aca="false">IF($B745="","",IF(AND(N($I745)=0,N($J745)=0),"금액이 없습니다",IF(AND($I745&gt;0,$J745&gt;0),"수입·지출 둘 다 적혔습니다",IF($C745="","결제수단을 고르십시오",IF(ISNA(MATCH($C745,'통합 ③ 통장·카드'!$A$5:$A$11,0)),"③ 통장·카드에 없는 결제수단입니다",IF($D745="","계정과목을 고르십시오",IF($E745="※없는 과목","④ 설정에 없는 과목입니다",IF(AND($E745="수입",$J745&gt;0),"수입 과목인데 지출에 적혔습니다",IF(AND(LEFT($E745,2)&lt;&gt;"수입",$E745&lt;&gt;"대체",$I745&gt;0),"지출 과목인데 수입에 적혔습니다",IF($K745="","증빙을 고르십시오",IF(AND($C745="바우처통장",$J745&gt;0,IFERROR(INDEX('통합 ④ 설정'!$E$6:$E$40,MATCH($D745,'통합 ④ 설정'!$B$6:$B$40,0)),"")&lt;&gt;"○"),"바우처통장 지출 — 목적 확인",IF($H745="","적요를 적으십시오",""))))))))))))</f>
        <v/>
      </c>
      <c r="M745" s="39"/>
      <c r="O745" s="11" t="str">
        <f aca="false">IF($B745="","",YEAR($B745)*100+MONTH($B745))</f>
        <v/>
      </c>
      <c r="P745" s="11" t="str">
        <f aca="false">IF($B745="","",IF($E745="대체",0,1))</f>
        <v/>
      </c>
    </row>
    <row r="746" customFormat="false" ht="15" hidden="false" customHeight="false" outlineLevel="0" collapsed="false">
      <c r="A746" s="36" t="str">
        <f aca="false">IF($B746="","",COUNT($B$15:$B746))</f>
        <v/>
      </c>
      <c r="B746" s="37"/>
      <c r="C746" s="38"/>
      <c r="D746" s="39"/>
      <c r="E746" s="36" t="str">
        <f aca="false">IF($D746="","",IFERROR(INDEX('통합 ④ 설정'!$A$6:$A$40,MATCH($D746,'통합 ④ 설정'!$B$6:$B$40,0)),"※없는 과목"))</f>
        <v/>
      </c>
      <c r="F746" s="36" t="str">
        <f aca="false">IF($D746="","",IFERROR(INDEX('통합 ④ 설정'!$C$6:$C$40,MATCH($D746,'통합 ④ 설정'!$B$6:$B$40,0)),""))</f>
        <v/>
      </c>
      <c r="G746" s="39"/>
      <c r="H746" s="39"/>
      <c r="I746" s="40"/>
      <c r="J746" s="41"/>
      <c r="K746" s="38"/>
      <c r="L746" s="42" t="str">
        <f aca="false">IF($B746="","",IF(AND(N($I746)=0,N($J746)=0),"금액이 없습니다",IF(AND($I746&gt;0,$J746&gt;0),"수입·지출 둘 다 적혔습니다",IF($C746="","결제수단을 고르십시오",IF(ISNA(MATCH($C746,'통합 ③ 통장·카드'!$A$5:$A$11,0)),"③ 통장·카드에 없는 결제수단입니다",IF($D746="","계정과목을 고르십시오",IF($E746="※없는 과목","④ 설정에 없는 과목입니다",IF(AND($E746="수입",$J746&gt;0),"수입 과목인데 지출에 적혔습니다",IF(AND(LEFT($E746,2)&lt;&gt;"수입",$E746&lt;&gt;"대체",$I746&gt;0),"지출 과목인데 수입에 적혔습니다",IF($K746="","증빙을 고르십시오",IF(AND($C746="바우처통장",$J746&gt;0,IFERROR(INDEX('통합 ④ 설정'!$E$6:$E$40,MATCH($D746,'통합 ④ 설정'!$B$6:$B$40,0)),"")&lt;&gt;"○"),"바우처통장 지출 — 목적 확인",IF($H746="","적요를 적으십시오",""))))))))))))</f>
        <v/>
      </c>
      <c r="M746" s="39"/>
      <c r="O746" s="11" t="str">
        <f aca="false">IF($B746="","",YEAR($B746)*100+MONTH($B746))</f>
        <v/>
      </c>
      <c r="P746" s="11" t="str">
        <f aca="false">IF($B746="","",IF($E746="대체",0,1))</f>
        <v/>
      </c>
    </row>
    <row r="747" customFormat="false" ht="15" hidden="false" customHeight="false" outlineLevel="0" collapsed="false">
      <c r="A747" s="36" t="str">
        <f aca="false">IF($B747="","",COUNT($B$15:$B747))</f>
        <v/>
      </c>
      <c r="B747" s="37"/>
      <c r="C747" s="38"/>
      <c r="D747" s="39"/>
      <c r="E747" s="36" t="str">
        <f aca="false">IF($D747="","",IFERROR(INDEX('통합 ④ 설정'!$A$6:$A$40,MATCH($D747,'통합 ④ 설정'!$B$6:$B$40,0)),"※없는 과목"))</f>
        <v/>
      </c>
      <c r="F747" s="36" t="str">
        <f aca="false">IF($D747="","",IFERROR(INDEX('통합 ④ 설정'!$C$6:$C$40,MATCH($D747,'통합 ④ 설정'!$B$6:$B$40,0)),""))</f>
        <v/>
      </c>
      <c r="G747" s="39"/>
      <c r="H747" s="39"/>
      <c r="I747" s="40"/>
      <c r="J747" s="41"/>
      <c r="K747" s="38"/>
      <c r="L747" s="42" t="str">
        <f aca="false">IF($B747="","",IF(AND(N($I747)=0,N($J747)=0),"금액이 없습니다",IF(AND($I747&gt;0,$J747&gt;0),"수입·지출 둘 다 적혔습니다",IF($C747="","결제수단을 고르십시오",IF(ISNA(MATCH($C747,'통합 ③ 통장·카드'!$A$5:$A$11,0)),"③ 통장·카드에 없는 결제수단입니다",IF($D747="","계정과목을 고르십시오",IF($E747="※없는 과목","④ 설정에 없는 과목입니다",IF(AND($E747="수입",$J747&gt;0),"수입 과목인데 지출에 적혔습니다",IF(AND(LEFT($E747,2)&lt;&gt;"수입",$E747&lt;&gt;"대체",$I747&gt;0),"지출 과목인데 수입에 적혔습니다",IF($K747="","증빙을 고르십시오",IF(AND($C747="바우처통장",$J747&gt;0,IFERROR(INDEX('통합 ④ 설정'!$E$6:$E$40,MATCH($D747,'통합 ④ 설정'!$B$6:$B$40,0)),"")&lt;&gt;"○"),"바우처통장 지출 — 목적 확인",IF($H747="","적요를 적으십시오",""))))))))))))</f>
        <v/>
      </c>
      <c r="M747" s="39"/>
      <c r="O747" s="11" t="str">
        <f aca="false">IF($B747="","",YEAR($B747)*100+MONTH($B747))</f>
        <v/>
      </c>
      <c r="P747" s="11" t="str">
        <f aca="false">IF($B747="","",IF($E747="대체",0,1))</f>
        <v/>
      </c>
    </row>
    <row r="748" customFormat="false" ht="15" hidden="false" customHeight="false" outlineLevel="0" collapsed="false">
      <c r="A748" s="36" t="str">
        <f aca="false">IF($B748="","",COUNT($B$15:$B748))</f>
        <v/>
      </c>
      <c r="B748" s="37"/>
      <c r="C748" s="38"/>
      <c r="D748" s="39"/>
      <c r="E748" s="36" t="str">
        <f aca="false">IF($D748="","",IFERROR(INDEX('통합 ④ 설정'!$A$6:$A$40,MATCH($D748,'통합 ④ 설정'!$B$6:$B$40,0)),"※없는 과목"))</f>
        <v/>
      </c>
      <c r="F748" s="36" t="str">
        <f aca="false">IF($D748="","",IFERROR(INDEX('통합 ④ 설정'!$C$6:$C$40,MATCH($D748,'통합 ④ 설정'!$B$6:$B$40,0)),""))</f>
        <v/>
      </c>
      <c r="G748" s="39"/>
      <c r="H748" s="39"/>
      <c r="I748" s="40"/>
      <c r="J748" s="41"/>
      <c r="K748" s="38"/>
      <c r="L748" s="42" t="str">
        <f aca="false">IF($B748="","",IF(AND(N($I748)=0,N($J748)=0),"금액이 없습니다",IF(AND($I748&gt;0,$J748&gt;0),"수입·지출 둘 다 적혔습니다",IF($C748="","결제수단을 고르십시오",IF(ISNA(MATCH($C748,'통합 ③ 통장·카드'!$A$5:$A$11,0)),"③ 통장·카드에 없는 결제수단입니다",IF($D748="","계정과목을 고르십시오",IF($E748="※없는 과목","④ 설정에 없는 과목입니다",IF(AND($E748="수입",$J748&gt;0),"수입 과목인데 지출에 적혔습니다",IF(AND(LEFT($E748,2)&lt;&gt;"수입",$E748&lt;&gt;"대체",$I748&gt;0),"지출 과목인데 수입에 적혔습니다",IF($K748="","증빙을 고르십시오",IF(AND($C748="바우처통장",$J748&gt;0,IFERROR(INDEX('통합 ④ 설정'!$E$6:$E$40,MATCH($D748,'통합 ④ 설정'!$B$6:$B$40,0)),"")&lt;&gt;"○"),"바우처통장 지출 — 목적 확인",IF($H748="","적요를 적으십시오",""))))))))))))</f>
        <v/>
      </c>
      <c r="M748" s="39"/>
      <c r="O748" s="11" t="str">
        <f aca="false">IF($B748="","",YEAR($B748)*100+MONTH($B748))</f>
        <v/>
      </c>
      <c r="P748" s="11" t="str">
        <f aca="false">IF($B748="","",IF($E748="대체",0,1))</f>
        <v/>
      </c>
    </row>
    <row r="749" customFormat="false" ht="15" hidden="false" customHeight="false" outlineLevel="0" collapsed="false">
      <c r="A749" s="36" t="str">
        <f aca="false">IF($B749="","",COUNT($B$15:$B749))</f>
        <v/>
      </c>
      <c r="B749" s="37"/>
      <c r="C749" s="38"/>
      <c r="D749" s="39"/>
      <c r="E749" s="36" t="str">
        <f aca="false">IF($D749="","",IFERROR(INDEX('통합 ④ 설정'!$A$6:$A$40,MATCH($D749,'통합 ④ 설정'!$B$6:$B$40,0)),"※없는 과목"))</f>
        <v/>
      </c>
      <c r="F749" s="36" t="str">
        <f aca="false">IF($D749="","",IFERROR(INDEX('통합 ④ 설정'!$C$6:$C$40,MATCH($D749,'통합 ④ 설정'!$B$6:$B$40,0)),""))</f>
        <v/>
      </c>
      <c r="G749" s="39"/>
      <c r="H749" s="39"/>
      <c r="I749" s="40"/>
      <c r="J749" s="41"/>
      <c r="K749" s="38"/>
      <c r="L749" s="42" t="str">
        <f aca="false">IF($B749="","",IF(AND(N($I749)=0,N($J749)=0),"금액이 없습니다",IF(AND($I749&gt;0,$J749&gt;0),"수입·지출 둘 다 적혔습니다",IF($C749="","결제수단을 고르십시오",IF(ISNA(MATCH($C749,'통합 ③ 통장·카드'!$A$5:$A$11,0)),"③ 통장·카드에 없는 결제수단입니다",IF($D749="","계정과목을 고르십시오",IF($E749="※없는 과목","④ 설정에 없는 과목입니다",IF(AND($E749="수입",$J749&gt;0),"수입 과목인데 지출에 적혔습니다",IF(AND(LEFT($E749,2)&lt;&gt;"수입",$E749&lt;&gt;"대체",$I749&gt;0),"지출 과목인데 수입에 적혔습니다",IF($K749="","증빙을 고르십시오",IF(AND($C749="바우처통장",$J749&gt;0,IFERROR(INDEX('통합 ④ 설정'!$E$6:$E$40,MATCH($D749,'통합 ④ 설정'!$B$6:$B$40,0)),"")&lt;&gt;"○"),"바우처통장 지출 — 목적 확인",IF($H749="","적요를 적으십시오",""))))))))))))</f>
        <v/>
      </c>
      <c r="M749" s="39"/>
      <c r="O749" s="11" t="str">
        <f aca="false">IF($B749="","",YEAR($B749)*100+MONTH($B749))</f>
        <v/>
      </c>
      <c r="P749" s="11" t="str">
        <f aca="false">IF($B749="","",IF($E749="대체",0,1))</f>
        <v/>
      </c>
    </row>
    <row r="750" customFormat="false" ht="15" hidden="false" customHeight="false" outlineLevel="0" collapsed="false">
      <c r="A750" s="36" t="str">
        <f aca="false">IF($B750="","",COUNT($B$15:$B750))</f>
        <v/>
      </c>
      <c r="B750" s="37"/>
      <c r="C750" s="38"/>
      <c r="D750" s="39"/>
      <c r="E750" s="36" t="str">
        <f aca="false">IF($D750="","",IFERROR(INDEX('통합 ④ 설정'!$A$6:$A$40,MATCH($D750,'통합 ④ 설정'!$B$6:$B$40,0)),"※없는 과목"))</f>
        <v/>
      </c>
      <c r="F750" s="36" t="str">
        <f aca="false">IF($D750="","",IFERROR(INDEX('통합 ④ 설정'!$C$6:$C$40,MATCH($D750,'통합 ④ 설정'!$B$6:$B$40,0)),""))</f>
        <v/>
      </c>
      <c r="G750" s="39"/>
      <c r="H750" s="39"/>
      <c r="I750" s="40"/>
      <c r="J750" s="41"/>
      <c r="K750" s="38"/>
      <c r="L750" s="42" t="str">
        <f aca="false">IF($B750="","",IF(AND(N($I750)=0,N($J750)=0),"금액이 없습니다",IF(AND($I750&gt;0,$J750&gt;0),"수입·지출 둘 다 적혔습니다",IF($C750="","결제수단을 고르십시오",IF(ISNA(MATCH($C750,'통합 ③ 통장·카드'!$A$5:$A$11,0)),"③ 통장·카드에 없는 결제수단입니다",IF($D750="","계정과목을 고르십시오",IF($E750="※없는 과목","④ 설정에 없는 과목입니다",IF(AND($E750="수입",$J750&gt;0),"수입 과목인데 지출에 적혔습니다",IF(AND(LEFT($E750,2)&lt;&gt;"수입",$E750&lt;&gt;"대체",$I750&gt;0),"지출 과목인데 수입에 적혔습니다",IF($K750="","증빙을 고르십시오",IF(AND($C750="바우처통장",$J750&gt;0,IFERROR(INDEX('통합 ④ 설정'!$E$6:$E$40,MATCH($D750,'통합 ④ 설정'!$B$6:$B$40,0)),"")&lt;&gt;"○"),"바우처통장 지출 — 목적 확인",IF($H750="","적요를 적으십시오",""))))))))))))</f>
        <v/>
      </c>
      <c r="M750" s="39"/>
      <c r="O750" s="11" t="str">
        <f aca="false">IF($B750="","",YEAR($B750)*100+MONTH($B750))</f>
        <v/>
      </c>
      <c r="P750" s="11" t="str">
        <f aca="false">IF($B750="","",IF($E750="대체",0,1))</f>
        <v/>
      </c>
    </row>
    <row r="751" customFormat="false" ht="15" hidden="false" customHeight="false" outlineLevel="0" collapsed="false">
      <c r="A751" s="36" t="str">
        <f aca="false">IF($B751="","",COUNT($B$15:$B751))</f>
        <v/>
      </c>
      <c r="B751" s="37"/>
      <c r="C751" s="38"/>
      <c r="D751" s="39"/>
      <c r="E751" s="36" t="str">
        <f aca="false">IF($D751="","",IFERROR(INDEX('통합 ④ 설정'!$A$6:$A$40,MATCH($D751,'통합 ④ 설정'!$B$6:$B$40,0)),"※없는 과목"))</f>
        <v/>
      </c>
      <c r="F751" s="36" t="str">
        <f aca="false">IF($D751="","",IFERROR(INDEX('통합 ④ 설정'!$C$6:$C$40,MATCH($D751,'통합 ④ 설정'!$B$6:$B$40,0)),""))</f>
        <v/>
      </c>
      <c r="G751" s="39"/>
      <c r="H751" s="39"/>
      <c r="I751" s="40"/>
      <c r="J751" s="41"/>
      <c r="K751" s="38"/>
      <c r="L751" s="42" t="str">
        <f aca="false">IF($B751="","",IF(AND(N($I751)=0,N($J751)=0),"금액이 없습니다",IF(AND($I751&gt;0,$J751&gt;0),"수입·지출 둘 다 적혔습니다",IF($C751="","결제수단을 고르십시오",IF(ISNA(MATCH($C751,'통합 ③ 통장·카드'!$A$5:$A$11,0)),"③ 통장·카드에 없는 결제수단입니다",IF($D751="","계정과목을 고르십시오",IF($E751="※없는 과목","④ 설정에 없는 과목입니다",IF(AND($E751="수입",$J751&gt;0),"수입 과목인데 지출에 적혔습니다",IF(AND(LEFT($E751,2)&lt;&gt;"수입",$E751&lt;&gt;"대체",$I751&gt;0),"지출 과목인데 수입에 적혔습니다",IF($K751="","증빙을 고르십시오",IF(AND($C751="바우처통장",$J751&gt;0,IFERROR(INDEX('통합 ④ 설정'!$E$6:$E$40,MATCH($D751,'통합 ④ 설정'!$B$6:$B$40,0)),"")&lt;&gt;"○"),"바우처통장 지출 — 목적 확인",IF($H751="","적요를 적으십시오",""))))))))))))</f>
        <v/>
      </c>
      <c r="M751" s="39"/>
      <c r="O751" s="11" t="str">
        <f aca="false">IF($B751="","",YEAR($B751)*100+MONTH($B751))</f>
        <v/>
      </c>
      <c r="P751" s="11" t="str">
        <f aca="false">IF($B751="","",IF($E751="대체",0,1))</f>
        <v/>
      </c>
    </row>
    <row r="752" customFormat="false" ht="15" hidden="false" customHeight="false" outlineLevel="0" collapsed="false">
      <c r="A752" s="36" t="str">
        <f aca="false">IF($B752="","",COUNT($B$15:$B752))</f>
        <v/>
      </c>
      <c r="B752" s="37"/>
      <c r="C752" s="38"/>
      <c r="D752" s="39"/>
      <c r="E752" s="36" t="str">
        <f aca="false">IF($D752="","",IFERROR(INDEX('통합 ④ 설정'!$A$6:$A$40,MATCH($D752,'통합 ④ 설정'!$B$6:$B$40,0)),"※없는 과목"))</f>
        <v/>
      </c>
      <c r="F752" s="36" t="str">
        <f aca="false">IF($D752="","",IFERROR(INDEX('통합 ④ 설정'!$C$6:$C$40,MATCH($D752,'통합 ④ 설정'!$B$6:$B$40,0)),""))</f>
        <v/>
      </c>
      <c r="G752" s="39"/>
      <c r="H752" s="39"/>
      <c r="I752" s="40"/>
      <c r="J752" s="41"/>
      <c r="K752" s="38"/>
      <c r="L752" s="42" t="str">
        <f aca="false">IF($B752="","",IF(AND(N($I752)=0,N($J752)=0),"금액이 없습니다",IF(AND($I752&gt;0,$J752&gt;0),"수입·지출 둘 다 적혔습니다",IF($C752="","결제수단을 고르십시오",IF(ISNA(MATCH($C752,'통합 ③ 통장·카드'!$A$5:$A$11,0)),"③ 통장·카드에 없는 결제수단입니다",IF($D752="","계정과목을 고르십시오",IF($E752="※없는 과목","④ 설정에 없는 과목입니다",IF(AND($E752="수입",$J752&gt;0),"수입 과목인데 지출에 적혔습니다",IF(AND(LEFT($E752,2)&lt;&gt;"수입",$E752&lt;&gt;"대체",$I752&gt;0),"지출 과목인데 수입에 적혔습니다",IF($K752="","증빙을 고르십시오",IF(AND($C752="바우처통장",$J752&gt;0,IFERROR(INDEX('통합 ④ 설정'!$E$6:$E$40,MATCH($D752,'통합 ④ 설정'!$B$6:$B$40,0)),"")&lt;&gt;"○"),"바우처통장 지출 — 목적 확인",IF($H752="","적요를 적으십시오",""))))))))))))</f>
        <v/>
      </c>
      <c r="M752" s="39"/>
      <c r="O752" s="11" t="str">
        <f aca="false">IF($B752="","",YEAR($B752)*100+MONTH($B752))</f>
        <v/>
      </c>
      <c r="P752" s="11" t="str">
        <f aca="false">IF($B752="","",IF($E752="대체",0,1))</f>
        <v/>
      </c>
    </row>
    <row r="753" customFormat="false" ht="15" hidden="false" customHeight="false" outlineLevel="0" collapsed="false">
      <c r="A753" s="36" t="str">
        <f aca="false">IF($B753="","",COUNT($B$15:$B753))</f>
        <v/>
      </c>
      <c r="B753" s="37"/>
      <c r="C753" s="38"/>
      <c r="D753" s="39"/>
      <c r="E753" s="36" t="str">
        <f aca="false">IF($D753="","",IFERROR(INDEX('통합 ④ 설정'!$A$6:$A$40,MATCH($D753,'통합 ④ 설정'!$B$6:$B$40,0)),"※없는 과목"))</f>
        <v/>
      </c>
      <c r="F753" s="36" t="str">
        <f aca="false">IF($D753="","",IFERROR(INDEX('통합 ④ 설정'!$C$6:$C$40,MATCH($D753,'통합 ④ 설정'!$B$6:$B$40,0)),""))</f>
        <v/>
      </c>
      <c r="G753" s="39"/>
      <c r="H753" s="39"/>
      <c r="I753" s="40"/>
      <c r="J753" s="41"/>
      <c r="K753" s="38"/>
      <c r="L753" s="42" t="str">
        <f aca="false">IF($B753="","",IF(AND(N($I753)=0,N($J753)=0),"금액이 없습니다",IF(AND($I753&gt;0,$J753&gt;0),"수입·지출 둘 다 적혔습니다",IF($C753="","결제수단을 고르십시오",IF(ISNA(MATCH($C753,'통합 ③ 통장·카드'!$A$5:$A$11,0)),"③ 통장·카드에 없는 결제수단입니다",IF($D753="","계정과목을 고르십시오",IF($E753="※없는 과목","④ 설정에 없는 과목입니다",IF(AND($E753="수입",$J753&gt;0),"수입 과목인데 지출에 적혔습니다",IF(AND(LEFT($E753,2)&lt;&gt;"수입",$E753&lt;&gt;"대체",$I753&gt;0),"지출 과목인데 수입에 적혔습니다",IF($K753="","증빙을 고르십시오",IF(AND($C753="바우처통장",$J753&gt;0,IFERROR(INDEX('통합 ④ 설정'!$E$6:$E$40,MATCH($D753,'통합 ④ 설정'!$B$6:$B$40,0)),"")&lt;&gt;"○"),"바우처통장 지출 — 목적 확인",IF($H753="","적요를 적으십시오",""))))))))))))</f>
        <v/>
      </c>
      <c r="M753" s="39"/>
      <c r="O753" s="11" t="str">
        <f aca="false">IF($B753="","",YEAR($B753)*100+MONTH($B753))</f>
        <v/>
      </c>
      <c r="P753" s="11" t="str">
        <f aca="false">IF($B753="","",IF($E753="대체",0,1))</f>
        <v/>
      </c>
    </row>
    <row r="754" customFormat="false" ht="15" hidden="false" customHeight="false" outlineLevel="0" collapsed="false">
      <c r="A754" s="36" t="str">
        <f aca="false">IF($B754="","",COUNT($B$15:$B754))</f>
        <v/>
      </c>
      <c r="B754" s="37"/>
      <c r="C754" s="38"/>
      <c r="D754" s="39"/>
      <c r="E754" s="36" t="str">
        <f aca="false">IF($D754="","",IFERROR(INDEX('통합 ④ 설정'!$A$6:$A$40,MATCH($D754,'통합 ④ 설정'!$B$6:$B$40,0)),"※없는 과목"))</f>
        <v/>
      </c>
      <c r="F754" s="36" t="str">
        <f aca="false">IF($D754="","",IFERROR(INDEX('통합 ④ 설정'!$C$6:$C$40,MATCH($D754,'통합 ④ 설정'!$B$6:$B$40,0)),""))</f>
        <v/>
      </c>
      <c r="G754" s="39"/>
      <c r="H754" s="39"/>
      <c r="I754" s="40"/>
      <c r="J754" s="41"/>
      <c r="K754" s="38"/>
      <c r="L754" s="42" t="str">
        <f aca="false">IF($B754="","",IF(AND(N($I754)=0,N($J754)=0),"금액이 없습니다",IF(AND($I754&gt;0,$J754&gt;0),"수입·지출 둘 다 적혔습니다",IF($C754="","결제수단을 고르십시오",IF(ISNA(MATCH($C754,'통합 ③ 통장·카드'!$A$5:$A$11,0)),"③ 통장·카드에 없는 결제수단입니다",IF($D754="","계정과목을 고르십시오",IF($E754="※없는 과목","④ 설정에 없는 과목입니다",IF(AND($E754="수입",$J754&gt;0),"수입 과목인데 지출에 적혔습니다",IF(AND(LEFT($E754,2)&lt;&gt;"수입",$E754&lt;&gt;"대체",$I754&gt;0),"지출 과목인데 수입에 적혔습니다",IF($K754="","증빙을 고르십시오",IF(AND($C754="바우처통장",$J754&gt;0,IFERROR(INDEX('통합 ④ 설정'!$E$6:$E$40,MATCH($D754,'통합 ④ 설정'!$B$6:$B$40,0)),"")&lt;&gt;"○"),"바우처통장 지출 — 목적 확인",IF($H754="","적요를 적으십시오",""))))))))))))</f>
        <v/>
      </c>
      <c r="M754" s="39"/>
      <c r="O754" s="11" t="str">
        <f aca="false">IF($B754="","",YEAR($B754)*100+MONTH($B754))</f>
        <v/>
      </c>
      <c r="P754" s="11" t="str">
        <f aca="false">IF($B754="","",IF($E754="대체",0,1))</f>
        <v/>
      </c>
    </row>
    <row r="755" customFormat="false" ht="15" hidden="false" customHeight="false" outlineLevel="0" collapsed="false">
      <c r="A755" s="36" t="str">
        <f aca="false">IF($B755="","",COUNT($B$15:$B755))</f>
        <v/>
      </c>
      <c r="B755" s="37"/>
      <c r="C755" s="38"/>
      <c r="D755" s="39"/>
      <c r="E755" s="36" t="str">
        <f aca="false">IF($D755="","",IFERROR(INDEX('통합 ④ 설정'!$A$6:$A$40,MATCH($D755,'통합 ④ 설정'!$B$6:$B$40,0)),"※없는 과목"))</f>
        <v/>
      </c>
      <c r="F755" s="36" t="str">
        <f aca="false">IF($D755="","",IFERROR(INDEX('통합 ④ 설정'!$C$6:$C$40,MATCH($D755,'통합 ④ 설정'!$B$6:$B$40,0)),""))</f>
        <v/>
      </c>
      <c r="G755" s="39"/>
      <c r="H755" s="39"/>
      <c r="I755" s="40"/>
      <c r="J755" s="41"/>
      <c r="K755" s="38"/>
      <c r="L755" s="42" t="str">
        <f aca="false">IF($B755="","",IF(AND(N($I755)=0,N($J755)=0),"금액이 없습니다",IF(AND($I755&gt;0,$J755&gt;0),"수입·지출 둘 다 적혔습니다",IF($C755="","결제수단을 고르십시오",IF(ISNA(MATCH($C755,'통합 ③ 통장·카드'!$A$5:$A$11,0)),"③ 통장·카드에 없는 결제수단입니다",IF($D755="","계정과목을 고르십시오",IF($E755="※없는 과목","④ 설정에 없는 과목입니다",IF(AND($E755="수입",$J755&gt;0),"수입 과목인데 지출에 적혔습니다",IF(AND(LEFT($E755,2)&lt;&gt;"수입",$E755&lt;&gt;"대체",$I755&gt;0),"지출 과목인데 수입에 적혔습니다",IF($K755="","증빙을 고르십시오",IF(AND($C755="바우처통장",$J755&gt;0,IFERROR(INDEX('통합 ④ 설정'!$E$6:$E$40,MATCH($D755,'통합 ④ 설정'!$B$6:$B$40,0)),"")&lt;&gt;"○"),"바우처통장 지출 — 목적 확인",IF($H755="","적요를 적으십시오",""))))))))))))</f>
        <v/>
      </c>
      <c r="M755" s="39"/>
      <c r="O755" s="11" t="str">
        <f aca="false">IF($B755="","",YEAR($B755)*100+MONTH($B755))</f>
        <v/>
      </c>
      <c r="P755" s="11" t="str">
        <f aca="false">IF($B755="","",IF($E755="대체",0,1))</f>
        <v/>
      </c>
    </row>
    <row r="756" customFormat="false" ht="15" hidden="false" customHeight="false" outlineLevel="0" collapsed="false">
      <c r="A756" s="36" t="str">
        <f aca="false">IF($B756="","",COUNT($B$15:$B756))</f>
        <v/>
      </c>
      <c r="B756" s="37"/>
      <c r="C756" s="38"/>
      <c r="D756" s="39"/>
      <c r="E756" s="36" t="str">
        <f aca="false">IF($D756="","",IFERROR(INDEX('통합 ④ 설정'!$A$6:$A$40,MATCH($D756,'통합 ④ 설정'!$B$6:$B$40,0)),"※없는 과목"))</f>
        <v/>
      </c>
      <c r="F756" s="36" t="str">
        <f aca="false">IF($D756="","",IFERROR(INDEX('통합 ④ 설정'!$C$6:$C$40,MATCH($D756,'통합 ④ 설정'!$B$6:$B$40,0)),""))</f>
        <v/>
      </c>
      <c r="G756" s="39"/>
      <c r="H756" s="39"/>
      <c r="I756" s="40"/>
      <c r="J756" s="41"/>
      <c r="K756" s="38"/>
      <c r="L756" s="42" t="str">
        <f aca="false">IF($B756="","",IF(AND(N($I756)=0,N($J756)=0),"금액이 없습니다",IF(AND($I756&gt;0,$J756&gt;0),"수입·지출 둘 다 적혔습니다",IF($C756="","결제수단을 고르십시오",IF(ISNA(MATCH($C756,'통합 ③ 통장·카드'!$A$5:$A$11,0)),"③ 통장·카드에 없는 결제수단입니다",IF($D756="","계정과목을 고르십시오",IF($E756="※없는 과목","④ 설정에 없는 과목입니다",IF(AND($E756="수입",$J756&gt;0),"수입 과목인데 지출에 적혔습니다",IF(AND(LEFT($E756,2)&lt;&gt;"수입",$E756&lt;&gt;"대체",$I756&gt;0),"지출 과목인데 수입에 적혔습니다",IF($K756="","증빙을 고르십시오",IF(AND($C756="바우처통장",$J756&gt;0,IFERROR(INDEX('통합 ④ 설정'!$E$6:$E$40,MATCH($D756,'통합 ④ 설정'!$B$6:$B$40,0)),"")&lt;&gt;"○"),"바우처통장 지출 — 목적 확인",IF($H756="","적요를 적으십시오",""))))))))))))</f>
        <v/>
      </c>
      <c r="M756" s="39"/>
      <c r="O756" s="11" t="str">
        <f aca="false">IF($B756="","",YEAR($B756)*100+MONTH($B756))</f>
        <v/>
      </c>
      <c r="P756" s="11" t="str">
        <f aca="false">IF($B756="","",IF($E756="대체",0,1))</f>
        <v/>
      </c>
    </row>
    <row r="757" customFormat="false" ht="15" hidden="false" customHeight="false" outlineLevel="0" collapsed="false">
      <c r="A757" s="36" t="str">
        <f aca="false">IF($B757="","",COUNT($B$15:$B757))</f>
        <v/>
      </c>
      <c r="B757" s="37"/>
      <c r="C757" s="38"/>
      <c r="D757" s="39"/>
      <c r="E757" s="36" t="str">
        <f aca="false">IF($D757="","",IFERROR(INDEX('통합 ④ 설정'!$A$6:$A$40,MATCH($D757,'통합 ④ 설정'!$B$6:$B$40,0)),"※없는 과목"))</f>
        <v/>
      </c>
      <c r="F757" s="36" t="str">
        <f aca="false">IF($D757="","",IFERROR(INDEX('통합 ④ 설정'!$C$6:$C$40,MATCH($D757,'통합 ④ 설정'!$B$6:$B$40,0)),""))</f>
        <v/>
      </c>
      <c r="G757" s="39"/>
      <c r="H757" s="39"/>
      <c r="I757" s="40"/>
      <c r="J757" s="41"/>
      <c r="K757" s="38"/>
      <c r="L757" s="42" t="str">
        <f aca="false">IF($B757="","",IF(AND(N($I757)=0,N($J757)=0),"금액이 없습니다",IF(AND($I757&gt;0,$J757&gt;0),"수입·지출 둘 다 적혔습니다",IF($C757="","결제수단을 고르십시오",IF(ISNA(MATCH($C757,'통합 ③ 통장·카드'!$A$5:$A$11,0)),"③ 통장·카드에 없는 결제수단입니다",IF($D757="","계정과목을 고르십시오",IF($E757="※없는 과목","④ 설정에 없는 과목입니다",IF(AND($E757="수입",$J757&gt;0),"수입 과목인데 지출에 적혔습니다",IF(AND(LEFT($E757,2)&lt;&gt;"수입",$E757&lt;&gt;"대체",$I757&gt;0),"지출 과목인데 수입에 적혔습니다",IF($K757="","증빙을 고르십시오",IF(AND($C757="바우처통장",$J757&gt;0,IFERROR(INDEX('통합 ④ 설정'!$E$6:$E$40,MATCH($D757,'통합 ④ 설정'!$B$6:$B$40,0)),"")&lt;&gt;"○"),"바우처통장 지출 — 목적 확인",IF($H757="","적요를 적으십시오",""))))))))))))</f>
        <v/>
      </c>
      <c r="M757" s="39"/>
      <c r="O757" s="11" t="str">
        <f aca="false">IF($B757="","",YEAR($B757)*100+MONTH($B757))</f>
        <v/>
      </c>
      <c r="P757" s="11" t="str">
        <f aca="false">IF($B757="","",IF($E757="대체",0,1))</f>
        <v/>
      </c>
    </row>
    <row r="758" customFormat="false" ht="15" hidden="false" customHeight="false" outlineLevel="0" collapsed="false">
      <c r="A758" s="36" t="str">
        <f aca="false">IF($B758="","",COUNT($B$15:$B758))</f>
        <v/>
      </c>
      <c r="B758" s="37"/>
      <c r="C758" s="38"/>
      <c r="D758" s="39"/>
      <c r="E758" s="36" t="str">
        <f aca="false">IF($D758="","",IFERROR(INDEX('통합 ④ 설정'!$A$6:$A$40,MATCH($D758,'통합 ④ 설정'!$B$6:$B$40,0)),"※없는 과목"))</f>
        <v/>
      </c>
      <c r="F758" s="36" t="str">
        <f aca="false">IF($D758="","",IFERROR(INDEX('통합 ④ 설정'!$C$6:$C$40,MATCH($D758,'통합 ④ 설정'!$B$6:$B$40,0)),""))</f>
        <v/>
      </c>
      <c r="G758" s="39"/>
      <c r="H758" s="39"/>
      <c r="I758" s="40"/>
      <c r="J758" s="41"/>
      <c r="K758" s="38"/>
      <c r="L758" s="42" t="str">
        <f aca="false">IF($B758="","",IF(AND(N($I758)=0,N($J758)=0),"금액이 없습니다",IF(AND($I758&gt;0,$J758&gt;0),"수입·지출 둘 다 적혔습니다",IF($C758="","결제수단을 고르십시오",IF(ISNA(MATCH($C758,'통합 ③ 통장·카드'!$A$5:$A$11,0)),"③ 통장·카드에 없는 결제수단입니다",IF($D758="","계정과목을 고르십시오",IF($E758="※없는 과목","④ 설정에 없는 과목입니다",IF(AND($E758="수입",$J758&gt;0),"수입 과목인데 지출에 적혔습니다",IF(AND(LEFT($E758,2)&lt;&gt;"수입",$E758&lt;&gt;"대체",$I758&gt;0),"지출 과목인데 수입에 적혔습니다",IF($K758="","증빙을 고르십시오",IF(AND($C758="바우처통장",$J758&gt;0,IFERROR(INDEX('통합 ④ 설정'!$E$6:$E$40,MATCH($D758,'통합 ④ 설정'!$B$6:$B$40,0)),"")&lt;&gt;"○"),"바우처통장 지출 — 목적 확인",IF($H758="","적요를 적으십시오",""))))))))))))</f>
        <v/>
      </c>
      <c r="M758" s="39"/>
      <c r="O758" s="11" t="str">
        <f aca="false">IF($B758="","",YEAR($B758)*100+MONTH($B758))</f>
        <v/>
      </c>
      <c r="P758" s="11" t="str">
        <f aca="false">IF($B758="","",IF($E758="대체",0,1))</f>
        <v/>
      </c>
    </row>
    <row r="759" customFormat="false" ht="15" hidden="false" customHeight="false" outlineLevel="0" collapsed="false">
      <c r="A759" s="36" t="str">
        <f aca="false">IF($B759="","",COUNT($B$15:$B759))</f>
        <v/>
      </c>
      <c r="B759" s="37"/>
      <c r="C759" s="38"/>
      <c r="D759" s="39"/>
      <c r="E759" s="36" t="str">
        <f aca="false">IF($D759="","",IFERROR(INDEX('통합 ④ 설정'!$A$6:$A$40,MATCH($D759,'통합 ④ 설정'!$B$6:$B$40,0)),"※없는 과목"))</f>
        <v/>
      </c>
      <c r="F759" s="36" t="str">
        <f aca="false">IF($D759="","",IFERROR(INDEX('통합 ④ 설정'!$C$6:$C$40,MATCH($D759,'통합 ④ 설정'!$B$6:$B$40,0)),""))</f>
        <v/>
      </c>
      <c r="G759" s="39"/>
      <c r="H759" s="39"/>
      <c r="I759" s="40"/>
      <c r="J759" s="41"/>
      <c r="K759" s="38"/>
      <c r="L759" s="42" t="str">
        <f aca="false">IF($B759="","",IF(AND(N($I759)=0,N($J759)=0),"금액이 없습니다",IF(AND($I759&gt;0,$J759&gt;0),"수입·지출 둘 다 적혔습니다",IF($C759="","결제수단을 고르십시오",IF(ISNA(MATCH($C759,'통합 ③ 통장·카드'!$A$5:$A$11,0)),"③ 통장·카드에 없는 결제수단입니다",IF($D759="","계정과목을 고르십시오",IF($E759="※없는 과목","④ 설정에 없는 과목입니다",IF(AND($E759="수입",$J759&gt;0),"수입 과목인데 지출에 적혔습니다",IF(AND(LEFT($E759,2)&lt;&gt;"수입",$E759&lt;&gt;"대체",$I759&gt;0),"지출 과목인데 수입에 적혔습니다",IF($K759="","증빙을 고르십시오",IF(AND($C759="바우처통장",$J759&gt;0,IFERROR(INDEX('통합 ④ 설정'!$E$6:$E$40,MATCH($D759,'통합 ④ 설정'!$B$6:$B$40,0)),"")&lt;&gt;"○"),"바우처통장 지출 — 목적 확인",IF($H759="","적요를 적으십시오",""))))))))))))</f>
        <v/>
      </c>
      <c r="M759" s="39"/>
      <c r="O759" s="11" t="str">
        <f aca="false">IF($B759="","",YEAR($B759)*100+MONTH($B759))</f>
        <v/>
      </c>
      <c r="P759" s="11" t="str">
        <f aca="false">IF($B759="","",IF($E759="대체",0,1))</f>
        <v/>
      </c>
    </row>
    <row r="760" customFormat="false" ht="15" hidden="false" customHeight="false" outlineLevel="0" collapsed="false">
      <c r="A760" s="36" t="str">
        <f aca="false">IF($B760="","",COUNT($B$15:$B760))</f>
        <v/>
      </c>
      <c r="B760" s="37"/>
      <c r="C760" s="38"/>
      <c r="D760" s="39"/>
      <c r="E760" s="36" t="str">
        <f aca="false">IF($D760="","",IFERROR(INDEX('통합 ④ 설정'!$A$6:$A$40,MATCH($D760,'통합 ④ 설정'!$B$6:$B$40,0)),"※없는 과목"))</f>
        <v/>
      </c>
      <c r="F760" s="36" t="str">
        <f aca="false">IF($D760="","",IFERROR(INDEX('통합 ④ 설정'!$C$6:$C$40,MATCH($D760,'통합 ④ 설정'!$B$6:$B$40,0)),""))</f>
        <v/>
      </c>
      <c r="G760" s="39"/>
      <c r="H760" s="39"/>
      <c r="I760" s="40"/>
      <c r="J760" s="41"/>
      <c r="K760" s="38"/>
      <c r="L760" s="42" t="str">
        <f aca="false">IF($B760="","",IF(AND(N($I760)=0,N($J760)=0),"금액이 없습니다",IF(AND($I760&gt;0,$J760&gt;0),"수입·지출 둘 다 적혔습니다",IF($C760="","결제수단을 고르십시오",IF(ISNA(MATCH($C760,'통합 ③ 통장·카드'!$A$5:$A$11,0)),"③ 통장·카드에 없는 결제수단입니다",IF($D760="","계정과목을 고르십시오",IF($E760="※없는 과목","④ 설정에 없는 과목입니다",IF(AND($E760="수입",$J760&gt;0),"수입 과목인데 지출에 적혔습니다",IF(AND(LEFT($E760,2)&lt;&gt;"수입",$E760&lt;&gt;"대체",$I760&gt;0),"지출 과목인데 수입에 적혔습니다",IF($K760="","증빙을 고르십시오",IF(AND($C760="바우처통장",$J760&gt;0,IFERROR(INDEX('통합 ④ 설정'!$E$6:$E$40,MATCH($D760,'통합 ④ 설정'!$B$6:$B$40,0)),"")&lt;&gt;"○"),"바우처통장 지출 — 목적 확인",IF($H760="","적요를 적으십시오",""))))))))))))</f>
        <v/>
      </c>
      <c r="M760" s="39"/>
      <c r="O760" s="11" t="str">
        <f aca="false">IF($B760="","",YEAR($B760)*100+MONTH($B760))</f>
        <v/>
      </c>
      <c r="P760" s="11" t="str">
        <f aca="false">IF($B760="","",IF($E760="대체",0,1))</f>
        <v/>
      </c>
    </row>
    <row r="761" customFormat="false" ht="15" hidden="false" customHeight="false" outlineLevel="0" collapsed="false">
      <c r="A761" s="36" t="str">
        <f aca="false">IF($B761="","",COUNT($B$15:$B761))</f>
        <v/>
      </c>
      <c r="B761" s="37"/>
      <c r="C761" s="38"/>
      <c r="D761" s="39"/>
      <c r="E761" s="36" t="str">
        <f aca="false">IF($D761="","",IFERROR(INDEX('통합 ④ 설정'!$A$6:$A$40,MATCH($D761,'통합 ④ 설정'!$B$6:$B$40,0)),"※없는 과목"))</f>
        <v/>
      </c>
      <c r="F761" s="36" t="str">
        <f aca="false">IF($D761="","",IFERROR(INDEX('통합 ④ 설정'!$C$6:$C$40,MATCH($D761,'통합 ④ 설정'!$B$6:$B$40,0)),""))</f>
        <v/>
      </c>
      <c r="G761" s="39"/>
      <c r="H761" s="39"/>
      <c r="I761" s="40"/>
      <c r="J761" s="41"/>
      <c r="K761" s="38"/>
      <c r="L761" s="42" t="str">
        <f aca="false">IF($B761="","",IF(AND(N($I761)=0,N($J761)=0),"금액이 없습니다",IF(AND($I761&gt;0,$J761&gt;0),"수입·지출 둘 다 적혔습니다",IF($C761="","결제수단을 고르십시오",IF(ISNA(MATCH($C761,'통합 ③ 통장·카드'!$A$5:$A$11,0)),"③ 통장·카드에 없는 결제수단입니다",IF($D761="","계정과목을 고르십시오",IF($E761="※없는 과목","④ 설정에 없는 과목입니다",IF(AND($E761="수입",$J761&gt;0),"수입 과목인데 지출에 적혔습니다",IF(AND(LEFT($E761,2)&lt;&gt;"수입",$E761&lt;&gt;"대체",$I761&gt;0),"지출 과목인데 수입에 적혔습니다",IF($K761="","증빙을 고르십시오",IF(AND($C761="바우처통장",$J761&gt;0,IFERROR(INDEX('통합 ④ 설정'!$E$6:$E$40,MATCH($D761,'통합 ④ 설정'!$B$6:$B$40,0)),"")&lt;&gt;"○"),"바우처통장 지출 — 목적 확인",IF($H761="","적요를 적으십시오",""))))))))))))</f>
        <v/>
      </c>
      <c r="M761" s="39"/>
      <c r="O761" s="11" t="str">
        <f aca="false">IF($B761="","",YEAR($B761)*100+MONTH($B761))</f>
        <v/>
      </c>
      <c r="P761" s="11" t="str">
        <f aca="false">IF($B761="","",IF($E761="대체",0,1))</f>
        <v/>
      </c>
    </row>
    <row r="762" customFormat="false" ht="15" hidden="false" customHeight="false" outlineLevel="0" collapsed="false">
      <c r="A762" s="36" t="str">
        <f aca="false">IF($B762="","",COUNT($B$15:$B762))</f>
        <v/>
      </c>
      <c r="B762" s="37"/>
      <c r="C762" s="38"/>
      <c r="D762" s="39"/>
      <c r="E762" s="36" t="str">
        <f aca="false">IF($D762="","",IFERROR(INDEX('통합 ④ 설정'!$A$6:$A$40,MATCH($D762,'통합 ④ 설정'!$B$6:$B$40,0)),"※없는 과목"))</f>
        <v/>
      </c>
      <c r="F762" s="36" t="str">
        <f aca="false">IF($D762="","",IFERROR(INDEX('통합 ④ 설정'!$C$6:$C$40,MATCH($D762,'통합 ④ 설정'!$B$6:$B$40,0)),""))</f>
        <v/>
      </c>
      <c r="G762" s="39"/>
      <c r="H762" s="39"/>
      <c r="I762" s="40"/>
      <c r="J762" s="41"/>
      <c r="K762" s="38"/>
      <c r="L762" s="42" t="str">
        <f aca="false">IF($B762="","",IF(AND(N($I762)=0,N($J762)=0),"금액이 없습니다",IF(AND($I762&gt;0,$J762&gt;0),"수입·지출 둘 다 적혔습니다",IF($C762="","결제수단을 고르십시오",IF(ISNA(MATCH($C762,'통합 ③ 통장·카드'!$A$5:$A$11,0)),"③ 통장·카드에 없는 결제수단입니다",IF($D762="","계정과목을 고르십시오",IF($E762="※없는 과목","④ 설정에 없는 과목입니다",IF(AND($E762="수입",$J762&gt;0),"수입 과목인데 지출에 적혔습니다",IF(AND(LEFT($E762,2)&lt;&gt;"수입",$E762&lt;&gt;"대체",$I762&gt;0),"지출 과목인데 수입에 적혔습니다",IF($K762="","증빙을 고르십시오",IF(AND($C762="바우처통장",$J762&gt;0,IFERROR(INDEX('통합 ④ 설정'!$E$6:$E$40,MATCH($D762,'통합 ④ 설정'!$B$6:$B$40,0)),"")&lt;&gt;"○"),"바우처통장 지출 — 목적 확인",IF($H762="","적요를 적으십시오",""))))))))))))</f>
        <v/>
      </c>
      <c r="M762" s="39"/>
      <c r="O762" s="11" t="str">
        <f aca="false">IF($B762="","",YEAR($B762)*100+MONTH($B762))</f>
        <v/>
      </c>
      <c r="P762" s="11" t="str">
        <f aca="false">IF($B762="","",IF($E762="대체",0,1))</f>
        <v/>
      </c>
    </row>
    <row r="763" customFormat="false" ht="15" hidden="false" customHeight="false" outlineLevel="0" collapsed="false">
      <c r="A763" s="36" t="str">
        <f aca="false">IF($B763="","",COUNT($B$15:$B763))</f>
        <v/>
      </c>
      <c r="B763" s="37"/>
      <c r="C763" s="38"/>
      <c r="D763" s="39"/>
      <c r="E763" s="36" t="str">
        <f aca="false">IF($D763="","",IFERROR(INDEX('통합 ④ 설정'!$A$6:$A$40,MATCH($D763,'통합 ④ 설정'!$B$6:$B$40,0)),"※없는 과목"))</f>
        <v/>
      </c>
      <c r="F763" s="36" t="str">
        <f aca="false">IF($D763="","",IFERROR(INDEX('통합 ④ 설정'!$C$6:$C$40,MATCH($D763,'통합 ④ 설정'!$B$6:$B$40,0)),""))</f>
        <v/>
      </c>
      <c r="G763" s="39"/>
      <c r="H763" s="39"/>
      <c r="I763" s="40"/>
      <c r="J763" s="41"/>
      <c r="K763" s="38"/>
      <c r="L763" s="42" t="str">
        <f aca="false">IF($B763="","",IF(AND(N($I763)=0,N($J763)=0),"금액이 없습니다",IF(AND($I763&gt;0,$J763&gt;0),"수입·지출 둘 다 적혔습니다",IF($C763="","결제수단을 고르십시오",IF(ISNA(MATCH($C763,'통합 ③ 통장·카드'!$A$5:$A$11,0)),"③ 통장·카드에 없는 결제수단입니다",IF($D763="","계정과목을 고르십시오",IF($E763="※없는 과목","④ 설정에 없는 과목입니다",IF(AND($E763="수입",$J763&gt;0),"수입 과목인데 지출에 적혔습니다",IF(AND(LEFT($E763,2)&lt;&gt;"수입",$E763&lt;&gt;"대체",$I763&gt;0),"지출 과목인데 수입에 적혔습니다",IF($K763="","증빙을 고르십시오",IF(AND($C763="바우처통장",$J763&gt;0,IFERROR(INDEX('통합 ④ 설정'!$E$6:$E$40,MATCH($D763,'통합 ④ 설정'!$B$6:$B$40,0)),"")&lt;&gt;"○"),"바우처통장 지출 — 목적 확인",IF($H763="","적요를 적으십시오",""))))))))))))</f>
        <v/>
      </c>
      <c r="M763" s="39"/>
      <c r="O763" s="11" t="str">
        <f aca="false">IF($B763="","",YEAR($B763)*100+MONTH($B763))</f>
        <v/>
      </c>
      <c r="P763" s="11" t="str">
        <f aca="false">IF($B763="","",IF($E763="대체",0,1))</f>
        <v/>
      </c>
    </row>
    <row r="764" customFormat="false" ht="15" hidden="false" customHeight="false" outlineLevel="0" collapsed="false">
      <c r="A764" s="36" t="str">
        <f aca="false">IF($B764="","",COUNT($B$15:$B764))</f>
        <v/>
      </c>
      <c r="B764" s="37"/>
      <c r="C764" s="38"/>
      <c r="D764" s="39"/>
      <c r="E764" s="36" t="str">
        <f aca="false">IF($D764="","",IFERROR(INDEX('통합 ④ 설정'!$A$6:$A$40,MATCH($D764,'통합 ④ 설정'!$B$6:$B$40,0)),"※없는 과목"))</f>
        <v/>
      </c>
      <c r="F764" s="36" t="str">
        <f aca="false">IF($D764="","",IFERROR(INDEX('통합 ④ 설정'!$C$6:$C$40,MATCH($D764,'통합 ④ 설정'!$B$6:$B$40,0)),""))</f>
        <v/>
      </c>
      <c r="G764" s="39"/>
      <c r="H764" s="39"/>
      <c r="I764" s="40"/>
      <c r="J764" s="41"/>
      <c r="K764" s="38"/>
      <c r="L764" s="42" t="str">
        <f aca="false">IF($B764="","",IF(AND(N($I764)=0,N($J764)=0),"금액이 없습니다",IF(AND($I764&gt;0,$J764&gt;0),"수입·지출 둘 다 적혔습니다",IF($C764="","결제수단을 고르십시오",IF(ISNA(MATCH($C764,'통합 ③ 통장·카드'!$A$5:$A$11,0)),"③ 통장·카드에 없는 결제수단입니다",IF($D764="","계정과목을 고르십시오",IF($E764="※없는 과목","④ 설정에 없는 과목입니다",IF(AND($E764="수입",$J764&gt;0),"수입 과목인데 지출에 적혔습니다",IF(AND(LEFT($E764,2)&lt;&gt;"수입",$E764&lt;&gt;"대체",$I764&gt;0),"지출 과목인데 수입에 적혔습니다",IF($K764="","증빙을 고르십시오",IF(AND($C764="바우처통장",$J764&gt;0,IFERROR(INDEX('통합 ④ 설정'!$E$6:$E$40,MATCH($D764,'통합 ④ 설정'!$B$6:$B$40,0)),"")&lt;&gt;"○"),"바우처통장 지출 — 목적 확인",IF($H764="","적요를 적으십시오",""))))))))))))</f>
        <v/>
      </c>
      <c r="M764" s="39"/>
      <c r="O764" s="11" t="str">
        <f aca="false">IF($B764="","",YEAR($B764)*100+MONTH($B764))</f>
        <v/>
      </c>
      <c r="P764" s="11" t="str">
        <f aca="false">IF($B764="","",IF($E764="대체",0,1))</f>
        <v/>
      </c>
    </row>
    <row r="765" customFormat="false" ht="15" hidden="false" customHeight="false" outlineLevel="0" collapsed="false">
      <c r="A765" s="36" t="str">
        <f aca="false">IF($B765="","",COUNT($B$15:$B765))</f>
        <v/>
      </c>
      <c r="B765" s="37"/>
      <c r="C765" s="38"/>
      <c r="D765" s="39"/>
      <c r="E765" s="36" t="str">
        <f aca="false">IF($D765="","",IFERROR(INDEX('통합 ④ 설정'!$A$6:$A$40,MATCH($D765,'통합 ④ 설정'!$B$6:$B$40,0)),"※없는 과목"))</f>
        <v/>
      </c>
      <c r="F765" s="36" t="str">
        <f aca="false">IF($D765="","",IFERROR(INDEX('통합 ④ 설정'!$C$6:$C$40,MATCH($D765,'통합 ④ 설정'!$B$6:$B$40,0)),""))</f>
        <v/>
      </c>
      <c r="G765" s="39"/>
      <c r="H765" s="39"/>
      <c r="I765" s="40"/>
      <c r="J765" s="41"/>
      <c r="K765" s="38"/>
      <c r="L765" s="42" t="str">
        <f aca="false">IF($B765="","",IF(AND(N($I765)=0,N($J765)=0),"금액이 없습니다",IF(AND($I765&gt;0,$J765&gt;0),"수입·지출 둘 다 적혔습니다",IF($C765="","결제수단을 고르십시오",IF(ISNA(MATCH($C765,'통합 ③ 통장·카드'!$A$5:$A$11,0)),"③ 통장·카드에 없는 결제수단입니다",IF($D765="","계정과목을 고르십시오",IF($E765="※없는 과목","④ 설정에 없는 과목입니다",IF(AND($E765="수입",$J765&gt;0),"수입 과목인데 지출에 적혔습니다",IF(AND(LEFT($E765,2)&lt;&gt;"수입",$E765&lt;&gt;"대체",$I765&gt;0),"지출 과목인데 수입에 적혔습니다",IF($K765="","증빙을 고르십시오",IF(AND($C765="바우처통장",$J765&gt;0,IFERROR(INDEX('통합 ④ 설정'!$E$6:$E$40,MATCH($D765,'통합 ④ 설정'!$B$6:$B$40,0)),"")&lt;&gt;"○"),"바우처통장 지출 — 목적 확인",IF($H765="","적요를 적으십시오",""))))))))))))</f>
        <v/>
      </c>
      <c r="M765" s="39"/>
      <c r="O765" s="11" t="str">
        <f aca="false">IF($B765="","",YEAR($B765)*100+MONTH($B765))</f>
        <v/>
      </c>
      <c r="P765" s="11" t="str">
        <f aca="false">IF($B765="","",IF($E765="대체",0,1))</f>
        <v/>
      </c>
    </row>
    <row r="766" customFormat="false" ht="15" hidden="false" customHeight="false" outlineLevel="0" collapsed="false">
      <c r="A766" s="36" t="str">
        <f aca="false">IF($B766="","",COUNT($B$15:$B766))</f>
        <v/>
      </c>
      <c r="B766" s="37"/>
      <c r="C766" s="38"/>
      <c r="D766" s="39"/>
      <c r="E766" s="36" t="str">
        <f aca="false">IF($D766="","",IFERROR(INDEX('통합 ④ 설정'!$A$6:$A$40,MATCH($D766,'통합 ④ 설정'!$B$6:$B$40,0)),"※없는 과목"))</f>
        <v/>
      </c>
      <c r="F766" s="36" t="str">
        <f aca="false">IF($D766="","",IFERROR(INDEX('통합 ④ 설정'!$C$6:$C$40,MATCH($D766,'통합 ④ 설정'!$B$6:$B$40,0)),""))</f>
        <v/>
      </c>
      <c r="G766" s="39"/>
      <c r="H766" s="39"/>
      <c r="I766" s="40"/>
      <c r="J766" s="41"/>
      <c r="K766" s="38"/>
      <c r="L766" s="42" t="str">
        <f aca="false">IF($B766="","",IF(AND(N($I766)=0,N($J766)=0),"금액이 없습니다",IF(AND($I766&gt;0,$J766&gt;0),"수입·지출 둘 다 적혔습니다",IF($C766="","결제수단을 고르십시오",IF(ISNA(MATCH($C766,'통합 ③ 통장·카드'!$A$5:$A$11,0)),"③ 통장·카드에 없는 결제수단입니다",IF($D766="","계정과목을 고르십시오",IF($E766="※없는 과목","④ 설정에 없는 과목입니다",IF(AND($E766="수입",$J766&gt;0),"수입 과목인데 지출에 적혔습니다",IF(AND(LEFT($E766,2)&lt;&gt;"수입",$E766&lt;&gt;"대체",$I766&gt;0),"지출 과목인데 수입에 적혔습니다",IF($K766="","증빙을 고르십시오",IF(AND($C766="바우처통장",$J766&gt;0,IFERROR(INDEX('통합 ④ 설정'!$E$6:$E$40,MATCH($D766,'통합 ④ 설정'!$B$6:$B$40,0)),"")&lt;&gt;"○"),"바우처통장 지출 — 목적 확인",IF($H766="","적요를 적으십시오",""))))))))))))</f>
        <v/>
      </c>
      <c r="M766" s="39"/>
      <c r="O766" s="11" t="str">
        <f aca="false">IF($B766="","",YEAR($B766)*100+MONTH($B766))</f>
        <v/>
      </c>
      <c r="P766" s="11" t="str">
        <f aca="false">IF($B766="","",IF($E766="대체",0,1))</f>
        <v/>
      </c>
    </row>
    <row r="767" customFormat="false" ht="15" hidden="false" customHeight="false" outlineLevel="0" collapsed="false">
      <c r="A767" s="36" t="str">
        <f aca="false">IF($B767="","",COUNT($B$15:$B767))</f>
        <v/>
      </c>
      <c r="B767" s="37"/>
      <c r="C767" s="38"/>
      <c r="D767" s="39"/>
      <c r="E767" s="36" t="str">
        <f aca="false">IF($D767="","",IFERROR(INDEX('통합 ④ 설정'!$A$6:$A$40,MATCH($D767,'통합 ④ 설정'!$B$6:$B$40,0)),"※없는 과목"))</f>
        <v/>
      </c>
      <c r="F767" s="36" t="str">
        <f aca="false">IF($D767="","",IFERROR(INDEX('통합 ④ 설정'!$C$6:$C$40,MATCH($D767,'통합 ④ 설정'!$B$6:$B$40,0)),""))</f>
        <v/>
      </c>
      <c r="G767" s="39"/>
      <c r="H767" s="39"/>
      <c r="I767" s="40"/>
      <c r="J767" s="41"/>
      <c r="K767" s="38"/>
      <c r="L767" s="42" t="str">
        <f aca="false">IF($B767="","",IF(AND(N($I767)=0,N($J767)=0),"금액이 없습니다",IF(AND($I767&gt;0,$J767&gt;0),"수입·지출 둘 다 적혔습니다",IF($C767="","결제수단을 고르십시오",IF(ISNA(MATCH($C767,'통합 ③ 통장·카드'!$A$5:$A$11,0)),"③ 통장·카드에 없는 결제수단입니다",IF($D767="","계정과목을 고르십시오",IF($E767="※없는 과목","④ 설정에 없는 과목입니다",IF(AND($E767="수입",$J767&gt;0),"수입 과목인데 지출에 적혔습니다",IF(AND(LEFT($E767,2)&lt;&gt;"수입",$E767&lt;&gt;"대체",$I767&gt;0),"지출 과목인데 수입에 적혔습니다",IF($K767="","증빙을 고르십시오",IF(AND($C767="바우처통장",$J767&gt;0,IFERROR(INDEX('통합 ④ 설정'!$E$6:$E$40,MATCH($D767,'통합 ④ 설정'!$B$6:$B$40,0)),"")&lt;&gt;"○"),"바우처통장 지출 — 목적 확인",IF($H767="","적요를 적으십시오",""))))))))))))</f>
        <v/>
      </c>
      <c r="M767" s="39"/>
      <c r="O767" s="11" t="str">
        <f aca="false">IF($B767="","",YEAR($B767)*100+MONTH($B767))</f>
        <v/>
      </c>
      <c r="P767" s="11" t="str">
        <f aca="false">IF($B767="","",IF($E767="대체",0,1))</f>
        <v/>
      </c>
    </row>
    <row r="768" customFormat="false" ht="15" hidden="false" customHeight="false" outlineLevel="0" collapsed="false">
      <c r="A768" s="36" t="str">
        <f aca="false">IF($B768="","",COUNT($B$15:$B768))</f>
        <v/>
      </c>
      <c r="B768" s="37"/>
      <c r="C768" s="38"/>
      <c r="D768" s="39"/>
      <c r="E768" s="36" t="str">
        <f aca="false">IF($D768="","",IFERROR(INDEX('통합 ④ 설정'!$A$6:$A$40,MATCH($D768,'통합 ④ 설정'!$B$6:$B$40,0)),"※없는 과목"))</f>
        <v/>
      </c>
      <c r="F768" s="36" t="str">
        <f aca="false">IF($D768="","",IFERROR(INDEX('통합 ④ 설정'!$C$6:$C$40,MATCH($D768,'통합 ④ 설정'!$B$6:$B$40,0)),""))</f>
        <v/>
      </c>
      <c r="G768" s="39"/>
      <c r="H768" s="39"/>
      <c r="I768" s="40"/>
      <c r="J768" s="41"/>
      <c r="K768" s="38"/>
      <c r="L768" s="42" t="str">
        <f aca="false">IF($B768="","",IF(AND(N($I768)=0,N($J768)=0),"금액이 없습니다",IF(AND($I768&gt;0,$J768&gt;0),"수입·지출 둘 다 적혔습니다",IF($C768="","결제수단을 고르십시오",IF(ISNA(MATCH($C768,'통합 ③ 통장·카드'!$A$5:$A$11,0)),"③ 통장·카드에 없는 결제수단입니다",IF($D768="","계정과목을 고르십시오",IF($E768="※없는 과목","④ 설정에 없는 과목입니다",IF(AND($E768="수입",$J768&gt;0),"수입 과목인데 지출에 적혔습니다",IF(AND(LEFT($E768,2)&lt;&gt;"수입",$E768&lt;&gt;"대체",$I768&gt;0),"지출 과목인데 수입에 적혔습니다",IF($K768="","증빙을 고르십시오",IF(AND($C768="바우처통장",$J768&gt;0,IFERROR(INDEX('통합 ④ 설정'!$E$6:$E$40,MATCH($D768,'통합 ④ 설정'!$B$6:$B$40,0)),"")&lt;&gt;"○"),"바우처통장 지출 — 목적 확인",IF($H768="","적요를 적으십시오",""))))))))))))</f>
        <v/>
      </c>
      <c r="M768" s="39"/>
      <c r="O768" s="11" t="str">
        <f aca="false">IF($B768="","",YEAR($B768)*100+MONTH($B768))</f>
        <v/>
      </c>
      <c r="P768" s="11" t="str">
        <f aca="false">IF($B768="","",IF($E768="대체",0,1))</f>
        <v/>
      </c>
    </row>
    <row r="769" customFormat="false" ht="15" hidden="false" customHeight="false" outlineLevel="0" collapsed="false">
      <c r="A769" s="36" t="str">
        <f aca="false">IF($B769="","",COUNT($B$15:$B769))</f>
        <v/>
      </c>
      <c r="B769" s="37"/>
      <c r="C769" s="38"/>
      <c r="D769" s="39"/>
      <c r="E769" s="36" t="str">
        <f aca="false">IF($D769="","",IFERROR(INDEX('통합 ④ 설정'!$A$6:$A$40,MATCH($D769,'통합 ④ 설정'!$B$6:$B$40,0)),"※없는 과목"))</f>
        <v/>
      </c>
      <c r="F769" s="36" t="str">
        <f aca="false">IF($D769="","",IFERROR(INDEX('통합 ④ 설정'!$C$6:$C$40,MATCH($D769,'통합 ④ 설정'!$B$6:$B$40,0)),""))</f>
        <v/>
      </c>
      <c r="G769" s="39"/>
      <c r="H769" s="39"/>
      <c r="I769" s="40"/>
      <c r="J769" s="41"/>
      <c r="K769" s="38"/>
      <c r="L769" s="42" t="str">
        <f aca="false">IF($B769="","",IF(AND(N($I769)=0,N($J769)=0),"금액이 없습니다",IF(AND($I769&gt;0,$J769&gt;0),"수입·지출 둘 다 적혔습니다",IF($C769="","결제수단을 고르십시오",IF(ISNA(MATCH($C769,'통합 ③ 통장·카드'!$A$5:$A$11,0)),"③ 통장·카드에 없는 결제수단입니다",IF($D769="","계정과목을 고르십시오",IF($E769="※없는 과목","④ 설정에 없는 과목입니다",IF(AND($E769="수입",$J769&gt;0),"수입 과목인데 지출에 적혔습니다",IF(AND(LEFT($E769,2)&lt;&gt;"수입",$E769&lt;&gt;"대체",$I769&gt;0),"지출 과목인데 수입에 적혔습니다",IF($K769="","증빙을 고르십시오",IF(AND($C769="바우처통장",$J769&gt;0,IFERROR(INDEX('통합 ④ 설정'!$E$6:$E$40,MATCH($D769,'통합 ④ 설정'!$B$6:$B$40,0)),"")&lt;&gt;"○"),"바우처통장 지출 — 목적 확인",IF($H769="","적요를 적으십시오",""))))))))))))</f>
        <v/>
      </c>
      <c r="M769" s="39"/>
      <c r="O769" s="11" t="str">
        <f aca="false">IF($B769="","",YEAR($B769)*100+MONTH($B769))</f>
        <v/>
      </c>
      <c r="P769" s="11" t="str">
        <f aca="false">IF($B769="","",IF($E769="대체",0,1))</f>
        <v/>
      </c>
    </row>
    <row r="770" customFormat="false" ht="15" hidden="false" customHeight="false" outlineLevel="0" collapsed="false">
      <c r="A770" s="36" t="str">
        <f aca="false">IF($B770="","",COUNT($B$15:$B770))</f>
        <v/>
      </c>
      <c r="B770" s="37"/>
      <c r="C770" s="38"/>
      <c r="D770" s="39"/>
      <c r="E770" s="36" t="str">
        <f aca="false">IF($D770="","",IFERROR(INDEX('통합 ④ 설정'!$A$6:$A$40,MATCH($D770,'통합 ④ 설정'!$B$6:$B$40,0)),"※없는 과목"))</f>
        <v/>
      </c>
      <c r="F770" s="36" t="str">
        <f aca="false">IF($D770="","",IFERROR(INDEX('통합 ④ 설정'!$C$6:$C$40,MATCH($D770,'통합 ④ 설정'!$B$6:$B$40,0)),""))</f>
        <v/>
      </c>
      <c r="G770" s="39"/>
      <c r="H770" s="39"/>
      <c r="I770" s="40"/>
      <c r="J770" s="41"/>
      <c r="K770" s="38"/>
      <c r="L770" s="42" t="str">
        <f aca="false">IF($B770="","",IF(AND(N($I770)=0,N($J770)=0),"금액이 없습니다",IF(AND($I770&gt;0,$J770&gt;0),"수입·지출 둘 다 적혔습니다",IF($C770="","결제수단을 고르십시오",IF(ISNA(MATCH($C770,'통합 ③ 통장·카드'!$A$5:$A$11,0)),"③ 통장·카드에 없는 결제수단입니다",IF($D770="","계정과목을 고르십시오",IF($E770="※없는 과목","④ 설정에 없는 과목입니다",IF(AND($E770="수입",$J770&gt;0),"수입 과목인데 지출에 적혔습니다",IF(AND(LEFT($E770,2)&lt;&gt;"수입",$E770&lt;&gt;"대체",$I770&gt;0),"지출 과목인데 수입에 적혔습니다",IF($K770="","증빙을 고르십시오",IF(AND($C770="바우처통장",$J770&gt;0,IFERROR(INDEX('통합 ④ 설정'!$E$6:$E$40,MATCH($D770,'통합 ④ 설정'!$B$6:$B$40,0)),"")&lt;&gt;"○"),"바우처통장 지출 — 목적 확인",IF($H770="","적요를 적으십시오",""))))))))))))</f>
        <v/>
      </c>
      <c r="M770" s="39"/>
      <c r="O770" s="11" t="str">
        <f aca="false">IF($B770="","",YEAR($B770)*100+MONTH($B770))</f>
        <v/>
      </c>
      <c r="P770" s="11" t="str">
        <f aca="false">IF($B770="","",IF($E770="대체",0,1))</f>
        <v/>
      </c>
    </row>
    <row r="771" customFormat="false" ht="15" hidden="false" customHeight="false" outlineLevel="0" collapsed="false">
      <c r="A771" s="36" t="str">
        <f aca="false">IF($B771="","",COUNT($B$15:$B771))</f>
        <v/>
      </c>
      <c r="B771" s="37"/>
      <c r="C771" s="38"/>
      <c r="D771" s="39"/>
      <c r="E771" s="36" t="str">
        <f aca="false">IF($D771="","",IFERROR(INDEX('통합 ④ 설정'!$A$6:$A$40,MATCH($D771,'통합 ④ 설정'!$B$6:$B$40,0)),"※없는 과목"))</f>
        <v/>
      </c>
      <c r="F771" s="36" t="str">
        <f aca="false">IF($D771="","",IFERROR(INDEX('통합 ④ 설정'!$C$6:$C$40,MATCH($D771,'통합 ④ 설정'!$B$6:$B$40,0)),""))</f>
        <v/>
      </c>
      <c r="G771" s="39"/>
      <c r="H771" s="39"/>
      <c r="I771" s="40"/>
      <c r="J771" s="41"/>
      <c r="K771" s="38"/>
      <c r="L771" s="42" t="str">
        <f aca="false">IF($B771="","",IF(AND(N($I771)=0,N($J771)=0),"금액이 없습니다",IF(AND($I771&gt;0,$J771&gt;0),"수입·지출 둘 다 적혔습니다",IF($C771="","결제수단을 고르십시오",IF(ISNA(MATCH($C771,'통합 ③ 통장·카드'!$A$5:$A$11,0)),"③ 통장·카드에 없는 결제수단입니다",IF($D771="","계정과목을 고르십시오",IF($E771="※없는 과목","④ 설정에 없는 과목입니다",IF(AND($E771="수입",$J771&gt;0),"수입 과목인데 지출에 적혔습니다",IF(AND(LEFT($E771,2)&lt;&gt;"수입",$E771&lt;&gt;"대체",$I771&gt;0),"지출 과목인데 수입에 적혔습니다",IF($K771="","증빙을 고르십시오",IF(AND($C771="바우처통장",$J771&gt;0,IFERROR(INDEX('통합 ④ 설정'!$E$6:$E$40,MATCH($D771,'통합 ④ 설정'!$B$6:$B$40,0)),"")&lt;&gt;"○"),"바우처통장 지출 — 목적 확인",IF($H771="","적요를 적으십시오",""))))))))))))</f>
        <v/>
      </c>
      <c r="M771" s="39"/>
      <c r="O771" s="11" t="str">
        <f aca="false">IF($B771="","",YEAR($B771)*100+MONTH($B771))</f>
        <v/>
      </c>
      <c r="P771" s="11" t="str">
        <f aca="false">IF($B771="","",IF($E771="대체",0,1))</f>
        <v/>
      </c>
    </row>
    <row r="772" customFormat="false" ht="15" hidden="false" customHeight="false" outlineLevel="0" collapsed="false">
      <c r="A772" s="36" t="str">
        <f aca="false">IF($B772="","",COUNT($B$15:$B772))</f>
        <v/>
      </c>
      <c r="B772" s="37"/>
      <c r="C772" s="38"/>
      <c r="D772" s="39"/>
      <c r="E772" s="36" t="str">
        <f aca="false">IF($D772="","",IFERROR(INDEX('통합 ④ 설정'!$A$6:$A$40,MATCH($D772,'통합 ④ 설정'!$B$6:$B$40,0)),"※없는 과목"))</f>
        <v/>
      </c>
      <c r="F772" s="36" t="str">
        <f aca="false">IF($D772="","",IFERROR(INDEX('통합 ④ 설정'!$C$6:$C$40,MATCH($D772,'통합 ④ 설정'!$B$6:$B$40,0)),""))</f>
        <v/>
      </c>
      <c r="G772" s="39"/>
      <c r="H772" s="39"/>
      <c r="I772" s="40"/>
      <c r="J772" s="41"/>
      <c r="K772" s="38"/>
      <c r="L772" s="42" t="str">
        <f aca="false">IF($B772="","",IF(AND(N($I772)=0,N($J772)=0),"금액이 없습니다",IF(AND($I772&gt;0,$J772&gt;0),"수입·지출 둘 다 적혔습니다",IF($C772="","결제수단을 고르십시오",IF(ISNA(MATCH($C772,'통합 ③ 통장·카드'!$A$5:$A$11,0)),"③ 통장·카드에 없는 결제수단입니다",IF($D772="","계정과목을 고르십시오",IF($E772="※없는 과목","④ 설정에 없는 과목입니다",IF(AND($E772="수입",$J772&gt;0),"수입 과목인데 지출에 적혔습니다",IF(AND(LEFT($E772,2)&lt;&gt;"수입",$E772&lt;&gt;"대체",$I772&gt;0),"지출 과목인데 수입에 적혔습니다",IF($K772="","증빙을 고르십시오",IF(AND($C772="바우처통장",$J772&gt;0,IFERROR(INDEX('통합 ④ 설정'!$E$6:$E$40,MATCH($D772,'통합 ④ 설정'!$B$6:$B$40,0)),"")&lt;&gt;"○"),"바우처통장 지출 — 목적 확인",IF($H772="","적요를 적으십시오",""))))))))))))</f>
        <v/>
      </c>
      <c r="M772" s="39"/>
      <c r="O772" s="11" t="str">
        <f aca="false">IF($B772="","",YEAR($B772)*100+MONTH($B772))</f>
        <v/>
      </c>
      <c r="P772" s="11" t="str">
        <f aca="false">IF($B772="","",IF($E772="대체",0,1))</f>
        <v/>
      </c>
    </row>
    <row r="773" customFormat="false" ht="15" hidden="false" customHeight="false" outlineLevel="0" collapsed="false">
      <c r="A773" s="36" t="str">
        <f aca="false">IF($B773="","",COUNT($B$15:$B773))</f>
        <v/>
      </c>
      <c r="B773" s="37"/>
      <c r="C773" s="38"/>
      <c r="D773" s="39"/>
      <c r="E773" s="36" t="str">
        <f aca="false">IF($D773="","",IFERROR(INDEX('통합 ④ 설정'!$A$6:$A$40,MATCH($D773,'통합 ④ 설정'!$B$6:$B$40,0)),"※없는 과목"))</f>
        <v/>
      </c>
      <c r="F773" s="36" t="str">
        <f aca="false">IF($D773="","",IFERROR(INDEX('통합 ④ 설정'!$C$6:$C$40,MATCH($D773,'통합 ④ 설정'!$B$6:$B$40,0)),""))</f>
        <v/>
      </c>
      <c r="G773" s="39"/>
      <c r="H773" s="39"/>
      <c r="I773" s="40"/>
      <c r="J773" s="41"/>
      <c r="K773" s="38"/>
      <c r="L773" s="42" t="str">
        <f aca="false">IF($B773="","",IF(AND(N($I773)=0,N($J773)=0),"금액이 없습니다",IF(AND($I773&gt;0,$J773&gt;0),"수입·지출 둘 다 적혔습니다",IF($C773="","결제수단을 고르십시오",IF(ISNA(MATCH($C773,'통합 ③ 통장·카드'!$A$5:$A$11,0)),"③ 통장·카드에 없는 결제수단입니다",IF($D773="","계정과목을 고르십시오",IF($E773="※없는 과목","④ 설정에 없는 과목입니다",IF(AND($E773="수입",$J773&gt;0),"수입 과목인데 지출에 적혔습니다",IF(AND(LEFT($E773,2)&lt;&gt;"수입",$E773&lt;&gt;"대체",$I773&gt;0),"지출 과목인데 수입에 적혔습니다",IF($K773="","증빙을 고르십시오",IF(AND($C773="바우처통장",$J773&gt;0,IFERROR(INDEX('통합 ④ 설정'!$E$6:$E$40,MATCH($D773,'통합 ④ 설정'!$B$6:$B$40,0)),"")&lt;&gt;"○"),"바우처통장 지출 — 목적 확인",IF($H773="","적요를 적으십시오",""))))))))))))</f>
        <v/>
      </c>
      <c r="M773" s="39"/>
      <c r="O773" s="11" t="str">
        <f aca="false">IF($B773="","",YEAR($B773)*100+MONTH($B773))</f>
        <v/>
      </c>
      <c r="P773" s="11" t="str">
        <f aca="false">IF($B773="","",IF($E773="대체",0,1))</f>
        <v/>
      </c>
    </row>
    <row r="774" customFormat="false" ht="15" hidden="false" customHeight="false" outlineLevel="0" collapsed="false">
      <c r="A774" s="36" t="str">
        <f aca="false">IF($B774="","",COUNT($B$15:$B774))</f>
        <v/>
      </c>
      <c r="B774" s="37"/>
      <c r="C774" s="38"/>
      <c r="D774" s="39"/>
      <c r="E774" s="36" t="str">
        <f aca="false">IF($D774="","",IFERROR(INDEX('통합 ④ 설정'!$A$6:$A$40,MATCH($D774,'통합 ④ 설정'!$B$6:$B$40,0)),"※없는 과목"))</f>
        <v/>
      </c>
      <c r="F774" s="36" t="str">
        <f aca="false">IF($D774="","",IFERROR(INDEX('통합 ④ 설정'!$C$6:$C$40,MATCH($D774,'통합 ④ 설정'!$B$6:$B$40,0)),""))</f>
        <v/>
      </c>
      <c r="G774" s="39"/>
      <c r="H774" s="39"/>
      <c r="I774" s="40"/>
      <c r="J774" s="41"/>
      <c r="K774" s="38"/>
      <c r="L774" s="42" t="str">
        <f aca="false">IF($B774="","",IF(AND(N($I774)=0,N($J774)=0),"금액이 없습니다",IF(AND($I774&gt;0,$J774&gt;0),"수입·지출 둘 다 적혔습니다",IF($C774="","결제수단을 고르십시오",IF(ISNA(MATCH($C774,'통합 ③ 통장·카드'!$A$5:$A$11,0)),"③ 통장·카드에 없는 결제수단입니다",IF($D774="","계정과목을 고르십시오",IF($E774="※없는 과목","④ 설정에 없는 과목입니다",IF(AND($E774="수입",$J774&gt;0),"수입 과목인데 지출에 적혔습니다",IF(AND(LEFT($E774,2)&lt;&gt;"수입",$E774&lt;&gt;"대체",$I774&gt;0),"지출 과목인데 수입에 적혔습니다",IF($K774="","증빙을 고르십시오",IF(AND($C774="바우처통장",$J774&gt;0,IFERROR(INDEX('통합 ④ 설정'!$E$6:$E$40,MATCH($D774,'통합 ④ 설정'!$B$6:$B$40,0)),"")&lt;&gt;"○"),"바우처통장 지출 — 목적 확인",IF($H774="","적요를 적으십시오",""))))))))))))</f>
        <v/>
      </c>
      <c r="M774" s="39"/>
      <c r="O774" s="11" t="str">
        <f aca="false">IF($B774="","",YEAR($B774)*100+MONTH($B774))</f>
        <v/>
      </c>
      <c r="P774" s="11" t="str">
        <f aca="false">IF($B774="","",IF($E774="대체",0,1))</f>
        <v/>
      </c>
    </row>
    <row r="775" customFormat="false" ht="15" hidden="false" customHeight="false" outlineLevel="0" collapsed="false">
      <c r="A775" s="36" t="str">
        <f aca="false">IF($B775="","",COUNT($B$15:$B775))</f>
        <v/>
      </c>
      <c r="B775" s="37"/>
      <c r="C775" s="38"/>
      <c r="D775" s="39"/>
      <c r="E775" s="36" t="str">
        <f aca="false">IF($D775="","",IFERROR(INDEX('통합 ④ 설정'!$A$6:$A$40,MATCH($D775,'통합 ④ 설정'!$B$6:$B$40,0)),"※없는 과목"))</f>
        <v/>
      </c>
      <c r="F775" s="36" t="str">
        <f aca="false">IF($D775="","",IFERROR(INDEX('통합 ④ 설정'!$C$6:$C$40,MATCH($D775,'통합 ④ 설정'!$B$6:$B$40,0)),""))</f>
        <v/>
      </c>
      <c r="G775" s="39"/>
      <c r="H775" s="39"/>
      <c r="I775" s="40"/>
      <c r="J775" s="41"/>
      <c r="K775" s="38"/>
      <c r="L775" s="42" t="str">
        <f aca="false">IF($B775="","",IF(AND(N($I775)=0,N($J775)=0),"금액이 없습니다",IF(AND($I775&gt;0,$J775&gt;0),"수입·지출 둘 다 적혔습니다",IF($C775="","결제수단을 고르십시오",IF(ISNA(MATCH($C775,'통합 ③ 통장·카드'!$A$5:$A$11,0)),"③ 통장·카드에 없는 결제수단입니다",IF($D775="","계정과목을 고르십시오",IF($E775="※없는 과목","④ 설정에 없는 과목입니다",IF(AND($E775="수입",$J775&gt;0),"수입 과목인데 지출에 적혔습니다",IF(AND(LEFT($E775,2)&lt;&gt;"수입",$E775&lt;&gt;"대체",$I775&gt;0),"지출 과목인데 수입에 적혔습니다",IF($K775="","증빙을 고르십시오",IF(AND($C775="바우처통장",$J775&gt;0,IFERROR(INDEX('통합 ④ 설정'!$E$6:$E$40,MATCH($D775,'통합 ④ 설정'!$B$6:$B$40,0)),"")&lt;&gt;"○"),"바우처통장 지출 — 목적 확인",IF($H775="","적요를 적으십시오",""))))))))))))</f>
        <v/>
      </c>
      <c r="M775" s="39"/>
      <c r="O775" s="11" t="str">
        <f aca="false">IF($B775="","",YEAR($B775)*100+MONTH($B775))</f>
        <v/>
      </c>
      <c r="P775" s="11" t="str">
        <f aca="false">IF($B775="","",IF($E775="대체",0,1))</f>
        <v/>
      </c>
    </row>
    <row r="776" customFormat="false" ht="15" hidden="false" customHeight="false" outlineLevel="0" collapsed="false">
      <c r="A776" s="36" t="str">
        <f aca="false">IF($B776="","",COUNT($B$15:$B776))</f>
        <v/>
      </c>
      <c r="B776" s="37"/>
      <c r="C776" s="38"/>
      <c r="D776" s="39"/>
      <c r="E776" s="36" t="str">
        <f aca="false">IF($D776="","",IFERROR(INDEX('통합 ④ 설정'!$A$6:$A$40,MATCH($D776,'통합 ④ 설정'!$B$6:$B$40,0)),"※없는 과목"))</f>
        <v/>
      </c>
      <c r="F776" s="36" t="str">
        <f aca="false">IF($D776="","",IFERROR(INDEX('통합 ④ 설정'!$C$6:$C$40,MATCH($D776,'통합 ④ 설정'!$B$6:$B$40,0)),""))</f>
        <v/>
      </c>
      <c r="G776" s="39"/>
      <c r="H776" s="39"/>
      <c r="I776" s="40"/>
      <c r="J776" s="41"/>
      <c r="K776" s="38"/>
      <c r="L776" s="42" t="str">
        <f aca="false">IF($B776="","",IF(AND(N($I776)=0,N($J776)=0),"금액이 없습니다",IF(AND($I776&gt;0,$J776&gt;0),"수입·지출 둘 다 적혔습니다",IF($C776="","결제수단을 고르십시오",IF(ISNA(MATCH($C776,'통합 ③ 통장·카드'!$A$5:$A$11,0)),"③ 통장·카드에 없는 결제수단입니다",IF($D776="","계정과목을 고르십시오",IF($E776="※없는 과목","④ 설정에 없는 과목입니다",IF(AND($E776="수입",$J776&gt;0),"수입 과목인데 지출에 적혔습니다",IF(AND(LEFT($E776,2)&lt;&gt;"수입",$E776&lt;&gt;"대체",$I776&gt;0),"지출 과목인데 수입에 적혔습니다",IF($K776="","증빙을 고르십시오",IF(AND($C776="바우처통장",$J776&gt;0,IFERROR(INDEX('통합 ④ 설정'!$E$6:$E$40,MATCH($D776,'통합 ④ 설정'!$B$6:$B$40,0)),"")&lt;&gt;"○"),"바우처통장 지출 — 목적 확인",IF($H776="","적요를 적으십시오",""))))))))))))</f>
        <v/>
      </c>
      <c r="M776" s="39"/>
      <c r="O776" s="11" t="str">
        <f aca="false">IF($B776="","",YEAR($B776)*100+MONTH($B776))</f>
        <v/>
      </c>
      <c r="P776" s="11" t="str">
        <f aca="false">IF($B776="","",IF($E776="대체",0,1))</f>
        <v/>
      </c>
    </row>
    <row r="777" customFormat="false" ht="15" hidden="false" customHeight="false" outlineLevel="0" collapsed="false">
      <c r="A777" s="36" t="str">
        <f aca="false">IF($B777="","",COUNT($B$15:$B777))</f>
        <v/>
      </c>
      <c r="B777" s="37"/>
      <c r="C777" s="38"/>
      <c r="D777" s="39"/>
      <c r="E777" s="36" t="str">
        <f aca="false">IF($D777="","",IFERROR(INDEX('통합 ④ 설정'!$A$6:$A$40,MATCH($D777,'통합 ④ 설정'!$B$6:$B$40,0)),"※없는 과목"))</f>
        <v/>
      </c>
      <c r="F777" s="36" t="str">
        <f aca="false">IF($D777="","",IFERROR(INDEX('통합 ④ 설정'!$C$6:$C$40,MATCH($D777,'통합 ④ 설정'!$B$6:$B$40,0)),""))</f>
        <v/>
      </c>
      <c r="G777" s="39"/>
      <c r="H777" s="39"/>
      <c r="I777" s="40"/>
      <c r="J777" s="41"/>
      <c r="K777" s="38"/>
      <c r="L777" s="42" t="str">
        <f aca="false">IF($B777="","",IF(AND(N($I777)=0,N($J777)=0),"금액이 없습니다",IF(AND($I777&gt;0,$J777&gt;0),"수입·지출 둘 다 적혔습니다",IF($C777="","결제수단을 고르십시오",IF(ISNA(MATCH($C777,'통합 ③ 통장·카드'!$A$5:$A$11,0)),"③ 통장·카드에 없는 결제수단입니다",IF($D777="","계정과목을 고르십시오",IF($E777="※없는 과목","④ 설정에 없는 과목입니다",IF(AND($E777="수입",$J777&gt;0),"수입 과목인데 지출에 적혔습니다",IF(AND(LEFT($E777,2)&lt;&gt;"수입",$E777&lt;&gt;"대체",$I777&gt;0),"지출 과목인데 수입에 적혔습니다",IF($K777="","증빙을 고르십시오",IF(AND($C777="바우처통장",$J777&gt;0,IFERROR(INDEX('통합 ④ 설정'!$E$6:$E$40,MATCH($D777,'통합 ④ 설정'!$B$6:$B$40,0)),"")&lt;&gt;"○"),"바우처통장 지출 — 목적 확인",IF($H777="","적요를 적으십시오",""))))))))))))</f>
        <v/>
      </c>
      <c r="M777" s="39"/>
      <c r="O777" s="11" t="str">
        <f aca="false">IF($B777="","",YEAR($B777)*100+MONTH($B777))</f>
        <v/>
      </c>
      <c r="P777" s="11" t="str">
        <f aca="false">IF($B777="","",IF($E777="대체",0,1))</f>
        <v/>
      </c>
    </row>
    <row r="778" customFormat="false" ht="15" hidden="false" customHeight="false" outlineLevel="0" collapsed="false">
      <c r="A778" s="36" t="str">
        <f aca="false">IF($B778="","",COUNT($B$15:$B778))</f>
        <v/>
      </c>
      <c r="B778" s="37"/>
      <c r="C778" s="38"/>
      <c r="D778" s="39"/>
      <c r="E778" s="36" t="str">
        <f aca="false">IF($D778="","",IFERROR(INDEX('통합 ④ 설정'!$A$6:$A$40,MATCH($D778,'통합 ④ 설정'!$B$6:$B$40,0)),"※없는 과목"))</f>
        <v/>
      </c>
      <c r="F778" s="36" t="str">
        <f aca="false">IF($D778="","",IFERROR(INDEX('통합 ④ 설정'!$C$6:$C$40,MATCH($D778,'통합 ④ 설정'!$B$6:$B$40,0)),""))</f>
        <v/>
      </c>
      <c r="G778" s="39"/>
      <c r="H778" s="39"/>
      <c r="I778" s="40"/>
      <c r="J778" s="41"/>
      <c r="K778" s="38"/>
      <c r="L778" s="42" t="str">
        <f aca="false">IF($B778="","",IF(AND(N($I778)=0,N($J778)=0),"금액이 없습니다",IF(AND($I778&gt;0,$J778&gt;0),"수입·지출 둘 다 적혔습니다",IF($C778="","결제수단을 고르십시오",IF(ISNA(MATCH($C778,'통합 ③ 통장·카드'!$A$5:$A$11,0)),"③ 통장·카드에 없는 결제수단입니다",IF($D778="","계정과목을 고르십시오",IF($E778="※없는 과목","④ 설정에 없는 과목입니다",IF(AND($E778="수입",$J778&gt;0),"수입 과목인데 지출에 적혔습니다",IF(AND(LEFT($E778,2)&lt;&gt;"수입",$E778&lt;&gt;"대체",$I778&gt;0),"지출 과목인데 수입에 적혔습니다",IF($K778="","증빙을 고르십시오",IF(AND($C778="바우처통장",$J778&gt;0,IFERROR(INDEX('통합 ④ 설정'!$E$6:$E$40,MATCH($D778,'통합 ④ 설정'!$B$6:$B$40,0)),"")&lt;&gt;"○"),"바우처통장 지출 — 목적 확인",IF($H778="","적요를 적으십시오",""))))))))))))</f>
        <v/>
      </c>
      <c r="M778" s="39"/>
      <c r="O778" s="11" t="str">
        <f aca="false">IF($B778="","",YEAR($B778)*100+MONTH($B778))</f>
        <v/>
      </c>
      <c r="P778" s="11" t="str">
        <f aca="false">IF($B778="","",IF($E778="대체",0,1))</f>
        <v/>
      </c>
    </row>
    <row r="779" customFormat="false" ht="15" hidden="false" customHeight="false" outlineLevel="0" collapsed="false">
      <c r="A779" s="36" t="str">
        <f aca="false">IF($B779="","",COUNT($B$15:$B779))</f>
        <v/>
      </c>
      <c r="B779" s="37"/>
      <c r="C779" s="38"/>
      <c r="D779" s="39"/>
      <c r="E779" s="36" t="str">
        <f aca="false">IF($D779="","",IFERROR(INDEX('통합 ④ 설정'!$A$6:$A$40,MATCH($D779,'통합 ④ 설정'!$B$6:$B$40,0)),"※없는 과목"))</f>
        <v/>
      </c>
      <c r="F779" s="36" t="str">
        <f aca="false">IF($D779="","",IFERROR(INDEX('통합 ④ 설정'!$C$6:$C$40,MATCH($D779,'통합 ④ 설정'!$B$6:$B$40,0)),""))</f>
        <v/>
      </c>
      <c r="G779" s="39"/>
      <c r="H779" s="39"/>
      <c r="I779" s="40"/>
      <c r="J779" s="41"/>
      <c r="K779" s="38"/>
      <c r="L779" s="42" t="str">
        <f aca="false">IF($B779="","",IF(AND(N($I779)=0,N($J779)=0),"금액이 없습니다",IF(AND($I779&gt;0,$J779&gt;0),"수입·지출 둘 다 적혔습니다",IF($C779="","결제수단을 고르십시오",IF(ISNA(MATCH($C779,'통합 ③ 통장·카드'!$A$5:$A$11,0)),"③ 통장·카드에 없는 결제수단입니다",IF($D779="","계정과목을 고르십시오",IF($E779="※없는 과목","④ 설정에 없는 과목입니다",IF(AND($E779="수입",$J779&gt;0),"수입 과목인데 지출에 적혔습니다",IF(AND(LEFT($E779,2)&lt;&gt;"수입",$E779&lt;&gt;"대체",$I779&gt;0),"지출 과목인데 수입에 적혔습니다",IF($K779="","증빙을 고르십시오",IF(AND($C779="바우처통장",$J779&gt;0,IFERROR(INDEX('통합 ④ 설정'!$E$6:$E$40,MATCH($D779,'통합 ④ 설정'!$B$6:$B$40,0)),"")&lt;&gt;"○"),"바우처통장 지출 — 목적 확인",IF($H779="","적요를 적으십시오",""))))))))))))</f>
        <v/>
      </c>
      <c r="M779" s="39"/>
      <c r="O779" s="11" t="str">
        <f aca="false">IF($B779="","",YEAR($B779)*100+MONTH($B779))</f>
        <v/>
      </c>
      <c r="P779" s="11" t="str">
        <f aca="false">IF($B779="","",IF($E779="대체",0,1))</f>
        <v/>
      </c>
    </row>
    <row r="780" customFormat="false" ht="15" hidden="false" customHeight="false" outlineLevel="0" collapsed="false">
      <c r="A780" s="36" t="str">
        <f aca="false">IF($B780="","",COUNT($B$15:$B780))</f>
        <v/>
      </c>
      <c r="B780" s="37"/>
      <c r="C780" s="38"/>
      <c r="D780" s="39"/>
      <c r="E780" s="36" t="str">
        <f aca="false">IF($D780="","",IFERROR(INDEX('통합 ④ 설정'!$A$6:$A$40,MATCH($D780,'통합 ④ 설정'!$B$6:$B$40,0)),"※없는 과목"))</f>
        <v/>
      </c>
      <c r="F780" s="36" t="str">
        <f aca="false">IF($D780="","",IFERROR(INDEX('통합 ④ 설정'!$C$6:$C$40,MATCH($D780,'통합 ④ 설정'!$B$6:$B$40,0)),""))</f>
        <v/>
      </c>
      <c r="G780" s="39"/>
      <c r="H780" s="39"/>
      <c r="I780" s="40"/>
      <c r="J780" s="41"/>
      <c r="K780" s="38"/>
      <c r="L780" s="42" t="str">
        <f aca="false">IF($B780="","",IF(AND(N($I780)=0,N($J780)=0),"금액이 없습니다",IF(AND($I780&gt;0,$J780&gt;0),"수입·지출 둘 다 적혔습니다",IF($C780="","결제수단을 고르십시오",IF(ISNA(MATCH($C780,'통합 ③ 통장·카드'!$A$5:$A$11,0)),"③ 통장·카드에 없는 결제수단입니다",IF($D780="","계정과목을 고르십시오",IF($E780="※없는 과목","④ 설정에 없는 과목입니다",IF(AND($E780="수입",$J780&gt;0),"수입 과목인데 지출에 적혔습니다",IF(AND(LEFT($E780,2)&lt;&gt;"수입",$E780&lt;&gt;"대체",$I780&gt;0),"지출 과목인데 수입에 적혔습니다",IF($K780="","증빙을 고르십시오",IF(AND($C780="바우처통장",$J780&gt;0,IFERROR(INDEX('통합 ④ 설정'!$E$6:$E$40,MATCH($D780,'통합 ④ 설정'!$B$6:$B$40,0)),"")&lt;&gt;"○"),"바우처통장 지출 — 목적 확인",IF($H780="","적요를 적으십시오",""))))))))))))</f>
        <v/>
      </c>
      <c r="M780" s="39"/>
      <c r="O780" s="11" t="str">
        <f aca="false">IF($B780="","",YEAR($B780)*100+MONTH($B780))</f>
        <v/>
      </c>
      <c r="P780" s="11" t="str">
        <f aca="false">IF($B780="","",IF($E780="대체",0,1))</f>
        <v/>
      </c>
    </row>
    <row r="781" customFormat="false" ht="15" hidden="false" customHeight="false" outlineLevel="0" collapsed="false">
      <c r="A781" s="36" t="str">
        <f aca="false">IF($B781="","",COUNT($B$15:$B781))</f>
        <v/>
      </c>
      <c r="B781" s="37"/>
      <c r="C781" s="38"/>
      <c r="D781" s="39"/>
      <c r="E781" s="36" t="str">
        <f aca="false">IF($D781="","",IFERROR(INDEX('통합 ④ 설정'!$A$6:$A$40,MATCH($D781,'통합 ④ 설정'!$B$6:$B$40,0)),"※없는 과목"))</f>
        <v/>
      </c>
      <c r="F781" s="36" t="str">
        <f aca="false">IF($D781="","",IFERROR(INDEX('통합 ④ 설정'!$C$6:$C$40,MATCH($D781,'통합 ④ 설정'!$B$6:$B$40,0)),""))</f>
        <v/>
      </c>
      <c r="G781" s="39"/>
      <c r="H781" s="39"/>
      <c r="I781" s="40"/>
      <c r="J781" s="41"/>
      <c r="K781" s="38"/>
      <c r="L781" s="42" t="str">
        <f aca="false">IF($B781="","",IF(AND(N($I781)=0,N($J781)=0),"금액이 없습니다",IF(AND($I781&gt;0,$J781&gt;0),"수입·지출 둘 다 적혔습니다",IF($C781="","결제수단을 고르십시오",IF(ISNA(MATCH($C781,'통합 ③ 통장·카드'!$A$5:$A$11,0)),"③ 통장·카드에 없는 결제수단입니다",IF($D781="","계정과목을 고르십시오",IF($E781="※없는 과목","④ 설정에 없는 과목입니다",IF(AND($E781="수입",$J781&gt;0),"수입 과목인데 지출에 적혔습니다",IF(AND(LEFT($E781,2)&lt;&gt;"수입",$E781&lt;&gt;"대체",$I781&gt;0),"지출 과목인데 수입에 적혔습니다",IF($K781="","증빙을 고르십시오",IF(AND($C781="바우처통장",$J781&gt;0,IFERROR(INDEX('통합 ④ 설정'!$E$6:$E$40,MATCH($D781,'통합 ④ 설정'!$B$6:$B$40,0)),"")&lt;&gt;"○"),"바우처통장 지출 — 목적 확인",IF($H781="","적요를 적으십시오",""))))))))))))</f>
        <v/>
      </c>
      <c r="M781" s="39"/>
      <c r="O781" s="11" t="str">
        <f aca="false">IF($B781="","",YEAR($B781)*100+MONTH($B781))</f>
        <v/>
      </c>
      <c r="P781" s="11" t="str">
        <f aca="false">IF($B781="","",IF($E781="대체",0,1))</f>
        <v/>
      </c>
    </row>
    <row r="782" customFormat="false" ht="15" hidden="false" customHeight="false" outlineLevel="0" collapsed="false">
      <c r="A782" s="36" t="str">
        <f aca="false">IF($B782="","",COUNT($B$15:$B782))</f>
        <v/>
      </c>
      <c r="B782" s="37"/>
      <c r="C782" s="38"/>
      <c r="D782" s="39"/>
      <c r="E782" s="36" t="str">
        <f aca="false">IF($D782="","",IFERROR(INDEX('통합 ④ 설정'!$A$6:$A$40,MATCH($D782,'통합 ④ 설정'!$B$6:$B$40,0)),"※없는 과목"))</f>
        <v/>
      </c>
      <c r="F782" s="36" t="str">
        <f aca="false">IF($D782="","",IFERROR(INDEX('통합 ④ 설정'!$C$6:$C$40,MATCH($D782,'통합 ④ 설정'!$B$6:$B$40,0)),""))</f>
        <v/>
      </c>
      <c r="G782" s="39"/>
      <c r="H782" s="39"/>
      <c r="I782" s="40"/>
      <c r="J782" s="41"/>
      <c r="K782" s="38"/>
      <c r="L782" s="42" t="str">
        <f aca="false">IF($B782="","",IF(AND(N($I782)=0,N($J782)=0),"금액이 없습니다",IF(AND($I782&gt;0,$J782&gt;0),"수입·지출 둘 다 적혔습니다",IF($C782="","결제수단을 고르십시오",IF(ISNA(MATCH($C782,'통합 ③ 통장·카드'!$A$5:$A$11,0)),"③ 통장·카드에 없는 결제수단입니다",IF($D782="","계정과목을 고르십시오",IF($E782="※없는 과목","④ 설정에 없는 과목입니다",IF(AND($E782="수입",$J782&gt;0),"수입 과목인데 지출에 적혔습니다",IF(AND(LEFT($E782,2)&lt;&gt;"수입",$E782&lt;&gt;"대체",$I782&gt;0),"지출 과목인데 수입에 적혔습니다",IF($K782="","증빙을 고르십시오",IF(AND($C782="바우처통장",$J782&gt;0,IFERROR(INDEX('통합 ④ 설정'!$E$6:$E$40,MATCH($D782,'통합 ④ 설정'!$B$6:$B$40,0)),"")&lt;&gt;"○"),"바우처통장 지출 — 목적 확인",IF($H782="","적요를 적으십시오",""))))))))))))</f>
        <v/>
      </c>
      <c r="M782" s="39"/>
      <c r="O782" s="11" t="str">
        <f aca="false">IF($B782="","",YEAR($B782)*100+MONTH($B782))</f>
        <v/>
      </c>
      <c r="P782" s="11" t="str">
        <f aca="false">IF($B782="","",IF($E782="대체",0,1))</f>
        <v/>
      </c>
    </row>
    <row r="783" customFormat="false" ht="15" hidden="false" customHeight="false" outlineLevel="0" collapsed="false">
      <c r="A783" s="36" t="str">
        <f aca="false">IF($B783="","",COUNT($B$15:$B783))</f>
        <v/>
      </c>
      <c r="B783" s="37"/>
      <c r="C783" s="38"/>
      <c r="D783" s="39"/>
      <c r="E783" s="36" t="str">
        <f aca="false">IF($D783="","",IFERROR(INDEX('통합 ④ 설정'!$A$6:$A$40,MATCH($D783,'통합 ④ 설정'!$B$6:$B$40,0)),"※없는 과목"))</f>
        <v/>
      </c>
      <c r="F783" s="36" t="str">
        <f aca="false">IF($D783="","",IFERROR(INDEX('통합 ④ 설정'!$C$6:$C$40,MATCH($D783,'통합 ④ 설정'!$B$6:$B$40,0)),""))</f>
        <v/>
      </c>
      <c r="G783" s="39"/>
      <c r="H783" s="39"/>
      <c r="I783" s="40"/>
      <c r="J783" s="41"/>
      <c r="K783" s="38"/>
      <c r="L783" s="42" t="str">
        <f aca="false">IF($B783="","",IF(AND(N($I783)=0,N($J783)=0),"금액이 없습니다",IF(AND($I783&gt;0,$J783&gt;0),"수입·지출 둘 다 적혔습니다",IF($C783="","결제수단을 고르십시오",IF(ISNA(MATCH($C783,'통합 ③ 통장·카드'!$A$5:$A$11,0)),"③ 통장·카드에 없는 결제수단입니다",IF($D783="","계정과목을 고르십시오",IF($E783="※없는 과목","④ 설정에 없는 과목입니다",IF(AND($E783="수입",$J783&gt;0),"수입 과목인데 지출에 적혔습니다",IF(AND(LEFT($E783,2)&lt;&gt;"수입",$E783&lt;&gt;"대체",$I783&gt;0),"지출 과목인데 수입에 적혔습니다",IF($K783="","증빙을 고르십시오",IF(AND($C783="바우처통장",$J783&gt;0,IFERROR(INDEX('통합 ④ 설정'!$E$6:$E$40,MATCH($D783,'통합 ④ 설정'!$B$6:$B$40,0)),"")&lt;&gt;"○"),"바우처통장 지출 — 목적 확인",IF($H783="","적요를 적으십시오",""))))))))))))</f>
        <v/>
      </c>
      <c r="M783" s="39"/>
      <c r="O783" s="11" t="str">
        <f aca="false">IF($B783="","",YEAR($B783)*100+MONTH($B783))</f>
        <v/>
      </c>
      <c r="P783" s="11" t="str">
        <f aca="false">IF($B783="","",IF($E783="대체",0,1))</f>
        <v/>
      </c>
    </row>
    <row r="784" customFormat="false" ht="15" hidden="false" customHeight="false" outlineLevel="0" collapsed="false">
      <c r="A784" s="36" t="str">
        <f aca="false">IF($B784="","",COUNT($B$15:$B784))</f>
        <v/>
      </c>
      <c r="B784" s="37"/>
      <c r="C784" s="38"/>
      <c r="D784" s="39"/>
      <c r="E784" s="36" t="str">
        <f aca="false">IF($D784="","",IFERROR(INDEX('통합 ④ 설정'!$A$6:$A$40,MATCH($D784,'통합 ④ 설정'!$B$6:$B$40,0)),"※없는 과목"))</f>
        <v/>
      </c>
      <c r="F784" s="36" t="str">
        <f aca="false">IF($D784="","",IFERROR(INDEX('통합 ④ 설정'!$C$6:$C$40,MATCH($D784,'통합 ④ 설정'!$B$6:$B$40,0)),""))</f>
        <v/>
      </c>
      <c r="G784" s="39"/>
      <c r="H784" s="39"/>
      <c r="I784" s="40"/>
      <c r="J784" s="41"/>
      <c r="K784" s="38"/>
      <c r="L784" s="42" t="str">
        <f aca="false">IF($B784="","",IF(AND(N($I784)=0,N($J784)=0),"금액이 없습니다",IF(AND($I784&gt;0,$J784&gt;0),"수입·지출 둘 다 적혔습니다",IF($C784="","결제수단을 고르십시오",IF(ISNA(MATCH($C784,'통합 ③ 통장·카드'!$A$5:$A$11,0)),"③ 통장·카드에 없는 결제수단입니다",IF($D784="","계정과목을 고르십시오",IF($E784="※없는 과목","④ 설정에 없는 과목입니다",IF(AND($E784="수입",$J784&gt;0),"수입 과목인데 지출에 적혔습니다",IF(AND(LEFT($E784,2)&lt;&gt;"수입",$E784&lt;&gt;"대체",$I784&gt;0),"지출 과목인데 수입에 적혔습니다",IF($K784="","증빙을 고르십시오",IF(AND($C784="바우처통장",$J784&gt;0,IFERROR(INDEX('통합 ④ 설정'!$E$6:$E$40,MATCH($D784,'통합 ④ 설정'!$B$6:$B$40,0)),"")&lt;&gt;"○"),"바우처통장 지출 — 목적 확인",IF($H784="","적요를 적으십시오",""))))))))))))</f>
        <v/>
      </c>
      <c r="M784" s="39"/>
      <c r="O784" s="11" t="str">
        <f aca="false">IF($B784="","",YEAR($B784)*100+MONTH($B784))</f>
        <v/>
      </c>
      <c r="P784" s="11" t="str">
        <f aca="false">IF($B784="","",IF($E784="대체",0,1))</f>
        <v/>
      </c>
    </row>
    <row r="785" customFormat="false" ht="15" hidden="false" customHeight="false" outlineLevel="0" collapsed="false">
      <c r="A785" s="36" t="str">
        <f aca="false">IF($B785="","",COUNT($B$15:$B785))</f>
        <v/>
      </c>
      <c r="B785" s="37"/>
      <c r="C785" s="38"/>
      <c r="D785" s="39"/>
      <c r="E785" s="36" t="str">
        <f aca="false">IF($D785="","",IFERROR(INDEX('통합 ④ 설정'!$A$6:$A$40,MATCH($D785,'통합 ④ 설정'!$B$6:$B$40,0)),"※없는 과목"))</f>
        <v/>
      </c>
      <c r="F785" s="36" t="str">
        <f aca="false">IF($D785="","",IFERROR(INDEX('통합 ④ 설정'!$C$6:$C$40,MATCH($D785,'통합 ④ 설정'!$B$6:$B$40,0)),""))</f>
        <v/>
      </c>
      <c r="G785" s="39"/>
      <c r="H785" s="39"/>
      <c r="I785" s="40"/>
      <c r="J785" s="41"/>
      <c r="K785" s="38"/>
      <c r="L785" s="42" t="str">
        <f aca="false">IF($B785="","",IF(AND(N($I785)=0,N($J785)=0),"금액이 없습니다",IF(AND($I785&gt;0,$J785&gt;0),"수입·지출 둘 다 적혔습니다",IF($C785="","결제수단을 고르십시오",IF(ISNA(MATCH($C785,'통합 ③ 통장·카드'!$A$5:$A$11,0)),"③ 통장·카드에 없는 결제수단입니다",IF($D785="","계정과목을 고르십시오",IF($E785="※없는 과목","④ 설정에 없는 과목입니다",IF(AND($E785="수입",$J785&gt;0),"수입 과목인데 지출에 적혔습니다",IF(AND(LEFT($E785,2)&lt;&gt;"수입",$E785&lt;&gt;"대체",$I785&gt;0),"지출 과목인데 수입에 적혔습니다",IF($K785="","증빙을 고르십시오",IF(AND($C785="바우처통장",$J785&gt;0,IFERROR(INDEX('통합 ④ 설정'!$E$6:$E$40,MATCH($D785,'통합 ④ 설정'!$B$6:$B$40,0)),"")&lt;&gt;"○"),"바우처통장 지출 — 목적 확인",IF($H785="","적요를 적으십시오",""))))))))))))</f>
        <v/>
      </c>
      <c r="M785" s="39"/>
      <c r="O785" s="11" t="str">
        <f aca="false">IF($B785="","",YEAR($B785)*100+MONTH($B785))</f>
        <v/>
      </c>
      <c r="P785" s="11" t="str">
        <f aca="false">IF($B785="","",IF($E785="대체",0,1))</f>
        <v/>
      </c>
    </row>
    <row r="786" customFormat="false" ht="15" hidden="false" customHeight="false" outlineLevel="0" collapsed="false">
      <c r="A786" s="36" t="str">
        <f aca="false">IF($B786="","",COUNT($B$15:$B786))</f>
        <v/>
      </c>
      <c r="B786" s="37"/>
      <c r="C786" s="38"/>
      <c r="D786" s="39"/>
      <c r="E786" s="36" t="str">
        <f aca="false">IF($D786="","",IFERROR(INDEX('통합 ④ 설정'!$A$6:$A$40,MATCH($D786,'통합 ④ 설정'!$B$6:$B$40,0)),"※없는 과목"))</f>
        <v/>
      </c>
      <c r="F786" s="36" t="str">
        <f aca="false">IF($D786="","",IFERROR(INDEX('통합 ④ 설정'!$C$6:$C$40,MATCH($D786,'통합 ④ 설정'!$B$6:$B$40,0)),""))</f>
        <v/>
      </c>
      <c r="G786" s="39"/>
      <c r="H786" s="39"/>
      <c r="I786" s="40"/>
      <c r="J786" s="41"/>
      <c r="K786" s="38"/>
      <c r="L786" s="42" t="str">
        <f aca="false">IF($B786="","",IF(AND(N($I786)=0,N($J786)=0),"금액이 없습니다",IF(AND($I786&gt;0,$J786&gt;0),"수입·지출 둘 다 적혔습니다",IF($C786="","결제수단을 고르십시오",IF(ISNA(MATCH($C786,'통합 ③ 통장·카드'!$A$5:$A$11,0)),"③ 통장·카드에 없는 결제수단입니다",IF($D786="","계정과목을 고르십시오",IF($E786="※없는 과목","④ 설정에 없는 과목입니다",IF(AND($E786="수입",$J786&gt;0),"수입 과목인데 지출에 적혔습니다",IF(AND(LEFT($E786,2)&lt;&gt;"수입",$E786&lt;&gt;"대체",$I786&gt;0),"지출 과목인데 수입에 적혔습니다",IF($K786="","증빙을 고르십시오",IF(AND($C786="바우처통장",$J786&gt;0,IFERROR(INDEX('통합 ④ 설정'!$E$6:$E$40,MATCH($D786,'통합 ④ 설정'!$B$6:$B$40,0)),"")&lt;&gt;"○"),"바우처통장 지출 — 목적 확인",IF($H786="","적요를 적으십시오",""))))))))))))</f>
        <v/>
      </c>
      <c r="M786" s="39"/>
      <c r="O786" s="11" t="str">
        <f aca="false">IF($B786="","",YEAR($B786)*100+MONTH($B786))</f>
        <v/>
      </c>
      <c r="P786" s="11" t="str">
        <f aca="false">IF($B786="","",IF($E786="대체",0,1))</f>
        <v/>
      </c>
    </row>
    <row r="787" customFormat="false" ht="15" hidden="false" customHeight="false" outlineLevel="0" collapsed="false">
      <c r="A787" s="36" t="str">
        <f aca="false">IF($B787="","",COUNT($B$15:$B787))</f>
        <v/>
      </c>
      <c r="B787" s="37"/>
      <c r="C787" s="38"/>
      <c r="D787" s="39"/>
      <c r="E787" s="36" t="str">
        <f aca="false">IF($D787="","",IFERROR(INDEX('통합 ④ 설정'!$A$6:$A$40,MATCH($D787,'통합 ④ 설정'!$B$6:$B$40,0)),"※없는 과목"))</f>
        <v/>
      </c>
      <c r="F787" s="36" t="str">
        <f aca="false">IF($D787="","",IFERROR(INDEX('통합 ④ 설정'!$C$6:$C$40,MATCH($D787,'통합 ④ 설정'!$B$6:$B$40,0)),""))</f>
        <v/>
      </c>
      <c r="G787" s="39"/>
      <c r="H787" s="39"/>
      <c r="I787" s="40"/>
      <c r="J787" s="41"/>
      <c r="K787" s="38"/>
      <c r="L787" s="42" t="str">
        <f aca="false">IF($B787="","",IF(AND(N($I787)=0,N($J787)=0),"금액이 없습니다",IF(AND($I787&gt;0,$J787&gt;0),"수입·지출 둘 다 적혔습니다",IF($C787="","결제수단을 고르십시오",IF(ISNA(MATCH($C787,'통합 ③ 통장·카드'!$A$5:$A$11,0)),"③ 통장·카드에 없는 결제수단입니다",IF($D787="","계정과목을 고르십시오",IF($E787="※없는 과목","④ 설정에 없는 과목입니다",IF(AND($E787="수입",$J787&gt;0),"수입 과목인데 지출에 적혔습니다",IF(AND(LEFT($E787,2)&lt;&gt;"수입",$E787&lt;&gt;"대체",$I787&gt;0),"지출 과목인데 수입에 적혔습니다",IF($K787="","증빙을 고르십시오",IF(AND($C787="바우처통장",$J787&gt;0,IFERROR(INDEX('통합 ④ 설정'!$E$6:$E$40,MATCH($D787,'통합 ④ 설정'!$B$6:$B$40,0)),"")&lt;&gt;"○"),"바우처통장 지출 — 목적 확인",IF($H787="","적요를 적으십시오",""))))))))))))</f>
        <v/>
      </c>
      <c r="M787" s="39"/>
      <c r="O787" s="11" t="str">
        <f aca="false">IF($B787="","",YEAR($B787)*100+MONTH($B787))</f>
        <v/>
      </c>
      <c r="P787" s="11" t="str">
        <f aca="false">IF($B787="","",IF($E787="대체",0,1))</f>
        <v/>
      </c>
    </row>
    <row r="788" customFormat="false" ht="15" hidden="false" customHeight="false" outlineLevel="0" collapsed="false">
      <c r="A788" s="36" t="str">
        <f aca="false">IF($B788="","",COUNT($B$15:$B788))</f>
        <v/>
      </c>
      <c r="B788" s="37"/>
      <c r="C788" s="38"/>
      <c r="D788" s="39"/>
      <c r="E788" s="36" t="str">
        <f aca="false">IF($D788="","",IFERROR(INDEX('통합 ④ 설정'!$A$6:$A$40,MATCH($D788,'통합 ④ 설정'!$B$6:$B$40,0)),"※없는 과목"))</f>
        <v/>
      </c>
      <c r="F788" s="36" t="str">
        <f aca="false">IF($D788="","",IFERROR(INDEX('통합 ④ 설정'!$C$6:$C$40,MATCH($D788,'통합 ④ 설정'!$B$6:$B$40,0)),""))</f>
        <v/>
      </c>
      <c r="G788" s="39"/>
      <c r="H788" s="39"/>
      <c r="I788" s="40"/>
      <c r="J788" s="41"/>
      <c r="K788" s="38"/>
      <c r="L788" s="42" t="str">
        <f aca="false">IF($B788="","",IF(AND(N($I788)=0,N($J788)=0),"금액이 없습니다",IF(AND($I788&gt;0,$J788&gt;0),"수입·지출 둘 다 적혔습니다",IF($C788="","결제수단을 고르십시오",IF(ISNA(MATCH($C788,'통합 ③ 통장·카드'!$A$5:$A$11,0)),"③ 통장·카드에 없는 결제수단입니다",IF($D788="","계정과목을 고르십시오",IF($E788="※없는 과목","④ 설정에 없는 과목입니다",IF(AND($E788="수입",$J788&gt;0),"수입 과목인데 지출에 적혔습니다",IF(AND(LEFT($E788,2)&lt;&gt;"수입",$E788&lt;&gt;"대체",$I788&gt;0),"지출 과목인데 수입에 적혔습니다",IF($K788="","증빙을 고르십시오",IF(AND($C788="바우처통장",$J788&gt;0,IFERROR(INDEX('통합 ④ 설정'!$E$6:$E$40,MATCH($D788,'통합 ④ 설정'!$B$6:$B$40,0)),"")&lt;&gt;"○"),"바우처통장 지출 — 목적 확인",IF($H788="","적요를 적으십시오",""))))))))))))</f>
        <v/>
      </c>
      <c r="M788" s="39"/>
      <c r="O788" s="11" t="str">
        <f aca="false">IF($B788="","",YEAR($B788)*100+MONTH($B788))</f>
        <v/>
      </c>
      <c r="P788" s="11" t="str">
        <f aca="false">IF($B788="","",IF($E788="대체",0,1))</f>
        <v/>
      </c>
    </row>
    <row r="789" customFormat="false" ht="15" hidden="false" customHeight="false" outlineLevel="0" collapsed="false">
      <c r="A789" s="36" t="str">
        <f aca="false">IF($B789="","",COUNT($B$15:$B789))</f>
        <v/>
      </c>
      <c r="B789" s="37"/>
      <c r="C789" s="38"/>
      <c r="D789" s="39"/>
      <c r="E789" s="36" t="str">
        <f aca="false">IF($D789="","",IFERROR(INDEX('통합 ④ 설정'!$A$6:$A$40,MATCH($D789,'통합 ④ 설정'!$B$6:$B$40,0)),"※없는 과목"))</f>
        <v/>
      </c>
      <c r="F789" s="36" t="str">
        <f aca="false">IF($D789="","",IFERROR(INDEX('통합 ④ 설정'!$C$6:$C$40,MATCH($D789,'통합 ④ 설정'!$B$6:$B$40,0)),""))</f>
        <v/>
      </c>
      <c r="G789" s="39"/>
      <c r="H789" s="39"/>
      <c r="I789" s="40"/>
      <c r="J789" s="41"/>
      <c r="K789" s="38"/>
      <c r="L789" s="42" t="str">
        <f aca="false">IF($B789="","",IF(AND(N($I789)=0,N($J789)=0),"금액이 없습니다",IF(AND($I789&gt;0,$J789&gt;0),"수입·지출 둘 다 적혔습니다",IF($C789="","결제수단을 고르십시오",IF(ISNA(MATCH($C789,'통합 ③ 통장·카드'!$A$5:$A$11,0)),"③ 통장·카드에 없는 결제수단입니다",IF($D789="","계정과목을 고르십시오",IF($E789="※없는 과목","④ 설정에 없는 과목입니다",IF(AND($E789="수입",$J789&gt;0),"수입 과목인데 지출에 적혔습니다",IF(AND(LEFT($E789,2)&lt;&gt;"수입",$E789&lt;&gt;"대체",$I789&gt;0),"지출 과목인데 수입에 적혔습니다",IF($K789="","증빙을 고르십시오",IF(AND($C789="바우처통장",$J789&gt;0,IFERROR(INDEX('통합 ④ 설정'!$E$6:$E$40,MATCH($D789,'통합 ④ 설정'!$B$6:$B$40,0)),"")&lt;&gt;"○"),"바우처통장 지출 — 목적 확인",IF($H789="","적요를 적으십시오",""))))))))))))</f>
        <v/>
      </c>
      <c r="M789" s="39"/>
      <c r="O789" s="11" t="str">
        <f aca="false">IF($B789="","",YEAR($B789)*100+MONTH($B789))</f>
        <v/>
      </c>
      <c r="P789" s="11" t="str">
        <f aca="false">IF($B789="","",IF($E789="대체",0,1))</f>
        <v/>
      </c>
    </row>
    <row r="790" customFormat="false" ht="15" hidden="false" customHeight="false" outlineLevel="0" collapsed="false">
      <c r="A790" s="36" t="str">
        <f aca="false">IF($B790="","",COUNT($B$15:$B790))</f>
        <v/>
      </c>
      <c r="B790" s="37"/>
      <c r="C790" s="38"/>
      <c r="D790" s="39"/>
      <c r="E790" s="36" t="str">
        <f aca="false">IF($D790="","",IFERROR(INDEX('통합 ④ 설정'!$A$6:$A$40,MATCH($D790,'통합 ④ 설정'!$B$6:$B$40,0)),"※없는 과목"))</f>
        <v/>
      </c>
      <c r="F790" s="36" t="str">
        <f aca="false">IF($D790="","",IFERROR(INDEX('통합 ④ 설정'!$C$6:$C$40,MATCH($D790,'통합 ④ 설정'!$B$6:$B$40,0)),""))</f>
        <v/>
      </c>
      <c r="G790" s="39"/>
      <c r="H790" s="39"/>
      <c r="I790" s="40"/>
      <c r="J790" s="41"/>
      <c r="K790" s="38"/>
      <c r="L790" s="42" t="str">
        <f aca="false">IF($B790="","",IF(AND(N($I790)=0,N($J790)=0),"금액이 없습니다",IF(AND($I790&gt;0,$J790&gt;0),"수입·지출 둘 다 적혔습니다",IF($C790="","결제수단을 고르십시오",IF(ISNA(MATCH($C790,'통합 ③ 통장·카드'!$A$5:$A$11,0)),"③ 통장·카드에 없는 결제수단입니다",IF($D790="","계정과목을 고르십시오",IF($E790="※없는 과목","④ 설정에 없는 과목입니다",IF(AND($E790="수입",$J790&gt;0),"수입 과목인데 지출에 적혔습니다",IF(AND(LEFT($E790,2)&lt;&gt;"수입",$E790&lt;&gt;"대체",$I790&gt;0),"지출 과목인데 수입에 적혔습니다",IF($K790="","증빙을 고르십시오",IF(AND($C790="바우처통장",$J790&gt;0,IFERROR(INDEX('통합 ④ 설정'!$E$6:$E$40,MATCH($D790,'통합 ④ 설정'!$B$6:$B$40,0)),"")&lt;&gt;"○"),"바우처통장 지출 — 목적 확인",IF($H790="","적요를 적으십시오",""))))))))))))</f>
        <v/>
      </c>
      <c r="M790" s="39"/>
      <c r="O790" s="11" t="str">
        <f aca="false">IF($B790="","",YEAR($B790)*100+MONTH($B790))</f>
        <v/>
      </c>
      <c r="P790" s="11" t="str">
        <f aca="false">IF($B790="","",IF($E790="대체",0,1))</f>
        <v/>
      </c>
    </row>
    <row r="791" customFormat="false" ht="15" hidden="false" customHeight="false" outlineLevel="0" collapsed="false">
      <c r="A791" s="36" t="str">
        <f aca="false">IF($B791="","",COUNT($B$15:$B791))</f>
        <v/>
      </c>
      <c r="B791" s="37"/>
      <c r="C791" s="38"/>
      <c r="D791" s="39"/>
      <c r="E791" s="36" t="str">
        <f aca="false">IF($D791="","",IFERROR(INDEX('통합 ④ 설정'!$A$6:$A$40,MATCH($D791,'통합 ④ 설정'!$B$6:$B$40,0)),"※없는 과목"))</f>
        <v/>
      </c>
      <c r="F791" s="36" t="str">
        <f aca="false">IF($D791="","",IFERROR(INDEX('통합 ④ 설정'!$C$6:$C$40,MATCH($D791,'통합 ④ 설정'!$B$6:$B$40,0)),""))</f>
        <v/>
      </c>
      <c r="G791" s="39"/>
      <c r="H791" s="39"/>
      <c r="I791" s="40"/>
      <c r="J791" s="41"/>
      <c r="K791" s="38"/>
      <c r="L791" s="42" t="str">
        <f aca="false">IF($B791="","",IF(AND(N($I791)=0,N($J791)=0),"금액이 없습니다",IF(AND($I791&gt;0,$J791&gt;0),"수입·지출 둘 다 적혔습니다",IF($C791="","결제수단을 고르십시오",IF(ISNA(MATCH($C791,'통합 ③ 통장·카드'!$A$5:$A$11,0)),"③ 통장·카드에 없는 결제수단입니다",IF($D791="","계정과목을 고르십시오",IF($E791="※없는 과목","④ 설정에 없는 과목입니다",IF(AND($E791="수입",$J791&gt;0),"수입 과목인데 지출에 적혔습니다",IF(AND(LEFT($E791,2)&lt;&gt;"수입",$E791&lt;&gt;"대체",$I791&gt;0),"지출 과목인데 수입에 적혔습니다",IF($K791="","증빙을 고르십시오",IF(AND($C791="바우처통장",$J791&gt;0,IFERROR(INDEX('통합 ④ 설정'!$E$6:$E$40,MATCH($D791,'통합 ④ 설정'!$B$6:$B$40,0)),"")&lt;&gt;"○"),"바우처통장 지출 — 목적 확인",IF($H791="","적요를 적으십시오",""))))))))))))</f>
        <v/>
      </c>
      <c r="M791" s="39"/>
      <c r="O791" s="11" t="str">
        <f aca="false">IF($B791="","",YEAR($B791)*100+MONTH($B791))</f>
        <v/>
      </c>
      <c r="P791" s="11" t="str">
        <f aca="false">IF($B791="","",IF($E791="대체",0,1))</f>
        <v/>
      </c>
    </row>
    <row r="792" customFormat="false" ht="15" hidden="false" customHeight="false" outlineLevel="0" collapsed="false">
      <c r="A792" s="36" t="str">
        <f aca="false">IF($B792="","",COUNT($B$15:$B792))</f>
        <v/>
      </c>
      <c r="B792" s="37"/>
      <c r="C792" s="38"/>
      <c r="D792" s="39"/>
      <c r="E792" s="36" t="str">
        <f aca="false">IF($D792="","",IFERROR(INDEX('통합 ④ 설정'!$A$6:$A$40,MATCH($D792,'통합 ④ 설정'!$B$6:$B$40,0)),"※없는 과목"))</f>
        <v/>
      </c>
      <c r="F792" s="36" t="str">
        <f aca="false">IF($D792="","",IFERROR(INDEX('통합 ④ 설정'!$C$6:$C$40,MATCH($D792,'통합 ④ 설정'!$B$6:$B$40,0)),""))</f>
        <v/>
      </c>
      <c r="G792" s="39"/>
      <c r="H792" s="39"/>
      <c r="I792" s="40"/>
      <c r="J792" s="41"/>
      <c r="K792" s="38"/>
      <c r="L792" s="42" t="str">
        <f aca="false">IF($B792="","",IF(AND(N($I792)=0,N($J792)=0),"금액이 없습니다",IF(AND($I792&gt;0,$J792&gt;0),"수입·지출 둘 다 적혔습니다",IF($C792="","결제수단을 고르십시오",IF(ISNA(MATCH($C792,'통합 ③ 통장·카드'!$A$5:$A$11,0)),"③ 통장·카드에 없는 결제수단입니다",IF($D792="","계정과목을 고르십시오",IF($E792="※없는 과목","④ 설정에 없는 과목입니다",IF(AND($E792="수입",$J792&gt;0),"수입 과목인데 지출에 적혔습니다",IF(AND(LEFT($E792,2)&lt;&gt;"수입",$E792&lt;&gt;"대체",$I792&gt;0),"지출 과목인데 수입에 적혔습니다",IF($K792="","증빙을 고르십시오",IF(AND($C792="바우처통장",$J792&gt;0,IFERROR(INDEX('통합 ④ 설정'!$E$6:$E$40,MATCH($D792,'통합 ④ 설정'!$B$6:$B$40,0)),"")&lt;&gt;"○"),"바우처통장 지출 — 목적 확인",IF($H792="","적요를 적으십시오",""))))))))))))</f>
        <v/>
      </c>
      <c r="M792" s="39"/>
      <c r="O792" s="11" t="str">
        <f aca="false">IF($B792="","",YEAR($B792)*100+MONTH($B792))</f>
        <v/>
      </c>
      <c r="P792" s="11" t="str">
        <f aca="false">IF($B792="","",IF($E792="대체",0,1))</f>
        <v/>
      </c>
    </row>
    <row r="793" customFormat="false" ht="15" hidden="false" customHeight="false" outlineLevel="0" collapsed="false">
      <c r="A793" s="36" t="str">
        <f aca="false">IF($B793="","",COUNT($B$15:$B793))</f>
        <v/>
      </c>
      <c r="B793" s="37"/>
      <c r="C793" s="38"/>
      <c r="D793" s="39"/>
      <c r="E793" s="36" t="str">
        <f aca="false">IF($D793="","",IFERROR(INDEX('통합 ④ 설정'!$A$6:$A$40,MATCH($D793,'통합 ④ 설정'!$B$6:$B$40,0)),"※없는 과목"))</f>
        <v/>
      </c>
      <c r="F793" s="36" t="str">
        <f aca="false">IF($D793="","",IFERROR(INDEX('통합 ④ 설정'!$C$6:$C$40,MATCH($D793,'통합 ④ 설정'!$B$6:$B$40,0)),""))</f>
        <v/>
      </c>
      <c r="G793" s="39"/>
      <c r="H793" s="39"/>
      <c r="I793" s="40"/>
      <c r="J793" s="41"/>
      <c r="K793" s="38"/>
      <c r="L793" s="42" t="str">
        <f aca="false">IF($B793="","",IF(AND(N($I793)=0,N($J793)=0),"금액이 없습니다",IF(AND($I793&gt;0,$J793&gt;0),"수입·지출 둘 다 적혔습니다",IF($C793="","결제수단을 고르십시오",IF(ISNA(MATCH($C793,'통합 ③ 통장·카드'!$A$5:$A$11,0)),"③ 통장·카드에 없는 결제수단입니다",IF($D793="","계정과목을 고르십시오",IF($E793="※없는 과목","④ 설정에 없는 과목입니다",IF(AND($E793="수입",$J793&gt;0),"수입 과목인데 지출에 적혔습니다",IF(AND(LEFT($E793,2)&lt;&gt;"수입",$E793&lt;&gt;"대체",$I793&gt;0),"지출 과목인데 수입에 적혔습니다",IF($K793="","증빙을 고르십시오",IF(AND($C793="바우처통장",$J793&gt;0,IFERROR(INDEX('통합 ④ 설정'!$E$6:$E$40,MATCH($D793,'통합 ④ 설정'!$B$6:$B$40,0)),"")&lt;&gt;"○"),"바우처통장 지출 — 목적 확인",IF($H793="","적요를 적으십시오",""))))))))))))</f>
        <v/>
      </c>
      <c r="M793" s="39"/>
      <c r="O793" s="11" t="str">
        <f aca="false">IF($B793="","",YEAR($B793)*100+MONTH($B793))</f>
        <v/>
      </c>
      <c r="P793" s="11" t="str">
        <f aca="false">IF($B793="","",IF($E793="대체",0,1))</f>
        <v/>
      </c>
    </row>
    <row r="794" customFormat="false" ht="15" hidden="false" customHeight="false" outlineLevel="0" collapsed="false">
      <c r="A794" s="36" t="str">
        <f aca="false">IF($B794="","",COUNT($B$15:$B794))</f>
        <v/>
      </c>
      <c r="B794" s="37"/>
      <c r="C794" s="38"/>
      <c r="D794" s="39"/>
      <c r="E794" s="36" t="str">
        <f aca="false">IF($D794="","",IFERROR(INDEX('통합 ④ 설정'!$A$6:$A$40,MATCH($D794,'통합 ④ 설정'!$B$6:$B$40,0)),"※없는 과목"))</f>
        <v/>
      </c>
      <c r="F794" s="36" t="str">
        <f aca="false">IF($D794="","",IFERROR(INDEX('통합 ④ 설정'!$C$6:$C$40,MATCH($D794,'통합 ④ 설정'!$B$6:$B$40,0)),""))</f>
        <v/>
      </c>
      <c r="G794" s="39"/>
      <c r="H794" s="39"/>
      <c r="I794" s="40"/>
      <c r="J794" s="41"/>
      <c r="K794" s="38"/>
      <c r="L794" s="42" t="str">
        <f aca="false">IF($B794="","",IF(AND(N($I794)=0,N($J794)=0),"금액이 없습니다",IF(AND($I794&gt;0,$J794&gt;0),"수입·지출 둘 다 적혔습니다",IF($C794="","결제수단을 고르십시오",IF(ISNA(MATCH($C794,'통합 ③ 통장·카드'!$A$5:$A$11,0)),"③ 통장·카드에 없는 결제수단입니다",IF($D794="","계정과목을 고르십시오",IF($E794="※없는 과목","④ 설정에 없는 과목입니다",IF(AND($E794="수입",$J794&gt;0),"수입 과목인데 지출에 적혔습니다",IF(AND(LEFT($E794,2)&lt;&gt;"수입",$E794&lt;&gt;"대체",$I794&gt;0),"지출 과목인데 수입에 적혔습니다",IF($K794="","증빙을 고르십시오",IF(AND($C794="바우처통장",$J794&gt;0,IFERROR(INDEX('통합 ④ 설정'!$E$6:$E$40,MATCH($D794,'통합 ④ 설정'!$B$6:$B$40,0)),"")&lt;&gt;"○"),"바우처통장 지출 — 목적 확인",IF($H794="","적요를 적으십시오",""))))))))))))</f>
        <v/>
      </c>
      <c r="M794" s="39"/>
      <c r="O794" s="11" t="str">
        <f aca="false">IF($B794="","",YEAR($B794)*100+MONTH($B794))</f>
        <v/>
      </c>
      <c r="P794" s="11" t="str">
        <f aca="false">IF($B794="","",IF($E794="대체",0,1))</f>
        <v/>
      </c>
    </row>
    <row r="795" customFormat="false" ht="15" hidden="false" customHeight="false" outlineLevel="0" collapsed="false">
      <c r="A795" s="36" t="str">
        <f aca="false">IF($B795="","",COUNT($B$15:$B795))</f>
        <v/>
      </c>
      <c r="B795" s="37"/>
      <c r="C795" s="38"/>
      <c r="D795" s="39"/>
      <c r="E795" s="36" t="str">
        <f aca="false">IF($D795="","",IFERROR(INDEX('통합 ④ 설정'!$A$6:$A$40,MATCH($D795,'통합 ④ 설정'!$B$6:$B$40,0)),"※없는 과목"))</f>
        <v/>
      </c>
      <c r="F795" s="36" t="str">
        <f aca="false">IF($D795="","",IFERROR(INDEX('통합 ④ 설정'!$C$6:$C$40,MATCH($D795,'통합 ④ 설정'!$B$6:$B$40,0)),""))</f>
        <v/>
      </c>
      <c r="G795" s="39"/>
      <c r="H795" s="39"/>
      <c r="I795" s="40"/>
      <c r="J795" s="41"/>
      <c r="K795" s="38"/>
      <c r="L795" s="42" t="str">
        <f aca="false">IF($B795="","",IF(AND(N($I795)=0,N($J795)=0),"금액이 없습니다",IF(AND($I795&gt;0,$J795&gt;0),"수입·지출 둘 다 적혔습니다",IF($C795="","결제수단을 고르십시오",IF(ISNA(MATCH($C795,'통합 ③ 통장·카드'!$A$5:$A$11,0)),"③ 통장·카드에 없는 결제수단입니다",IF($D795="","계정과목을 고르십시오",IF($E795="※없는 과목","④ 설정에 없는 과목입니다",IF(AND($E795="수입",$J795&gt;0),"수입 과목인데 지출에 적혔습니다",IF(AND(LEFT($E795,2)&lt;&gt;"수입",$E795&lt;&gt;"대체",$I795&gt;0),"지출 과목인데 수입에 적혔습니다",IF($K795="","증빙을 고르십시오",IF(AND($C795="바우처통장",$J795&gt;0,IFERROR(INDEX('통합 ④ 설정'!$E$6:$E$40,MATCH($D795,'통합 ④ 설정'!$B$6:$B$40,0)),"")&lt;&gt;"○"),"바우처통장 지출 — 목적 확인",IF($H795="","적요를 적으십시오",""))))))))))))</f>
        <v/>
      </c>
      <c r="M795" s="39"/>
      <c r="O795" s="11" t="str">
        <f aca="false">IF($B795="","",YEAR($B795)*100+MONTH($B795))</f>
        <v/>
      </c>
      <c r="P795" s="11" t="str">
        <f aca="false">IF($B795="","",IF($E795="대체",0,1))</f>
        <v/>
      </c>
    </row>
    <row r="796" customFormat="false" ht="15" hidden="false" customHeight="false" outlineLevel="0" collapsed="false">
      <c r="A796" s="36" t="str">
        <f aca="false">IF($B796="","",COUNT($B$15:$B796))</f>
        <v/>
      </c>
      <c r="B796" s="37"/>
      <c r="C796" s="38"/>
      <c r="D796" s="39"/>
      <c r="E796" s="36" t="str">
        <f aca="false">IF($D796="","",IFERROR(INDEX('통합 ④ 설정'!$A$6:$A$40,MATCH($D796,'통합 ④ 설정'!$B$6:$B$40,0)),"※없는 과목"))</f>
        <v/>
      </c>
      <c r="F796" s="36" t="str">
        <f aca="false">IF($D796="","",IFERROR(INDEX('통합 ④ 설정'!$C$6:$C$40,MATCH($D796,'통합 ④ 설정'!$B$6:$B$40,0)),""))</f>
        <v/>
      </c>
      <c r="G796" s="39"/>
      <c r="H796" s="39"/>
      <c r="I796" s="40"/>
      <c r="J796" s="41"/>
      <c r="K796" s="38"/>
      <c r="L796" s="42" t="str">
        <f aca="false">IF($B796="","",IF(AND(N($I796)=0,N($J796)=0),"금액이 없습니다",IF(AND($I796&gt;0,$J796&gt;0),"수입·지출 둘 다 적혔습니다",IF($C796="","결제수단을 고르십시오",IF(ISNA(MATCH($C796,'통합 ③ 통장·카드'!$A$5:$A$11,0)),"③ 통장·카드에 없는 결제수단입니다",IF($D796="","계정과목을 고르십시오",IF($E796="※없는 과목","④ 설정에 없는 과목입니다",IF(AND($E796="수입",$J796&gt;0),"수입 과목인데 지출에 적혔습니다",IF(AND(LEFT($E796,2)&lt;&gt;"수입",$E796&lt;&gt;"대체",$I796&gt;0),"지출 과목인데 수입에 적혔습니다",IF($K796="","증빙을 고르십시오",IF(AND($C796="바우처통장",$J796&gt;0,IFERROR(INDEX('통합 ④ 설정'!$E$6:$E$40,MATCH($D796,'통합 ④ 설정'!$B$6:$B$40,0)),"")&lt;&gt;"○"),"바우처통장 지출 — 목적 확인",IF($H796="","적요를 적으십시오",""))))))))))))</f>
        <v/>
      </c>
      <c r="M796" s="39"/>
      <c r="O796" s="11" t="str">
        <f aca="false">IF($B796="","",YEAR($B796)*100+MONTH($B796))</f>
        <v/>
      </c>
      <c r="P796" s="11" t="str">
        <f aca="false">IF($B796="","",IF($E796="대체",0,1))</f>
        <v/>
      </c>
    </row>
    <row r="797" customFormat="false" ht="15" hidden="false" customHeight="false" outlineLevel="0" collapsed="false">
      <c r="A797" s="36" t="str">
        <f aca="false">IF($B797="","",COUNT($B$15:$B797))</f>
        <v/>
      </c>
      <c r="B797" s="37"/>
      <c r="C797" s="38"/>
      <c r="D797" s="39"/>
      <c r="E797" s="36" t="str">
        <f aca="false">IF($D797="","",IFERROR(INDEX('통합 ④ 설정'!$A$6:$A$40,MATCH($D797,'통합 ④ 설정'!$B$6:$B$40,0)),"※없는 과목"))</f>
        <v/>
      </c>
      <c r="F797" s="36" t="str">
        <f aca="false">IF($D797="","",IFERROR(INDEX('통합 ④ 설정'!$C$6:$C$40,MATCH($D797,'통합 ④ 설정'!$B$6:$B$40,0)),""))</f>
        <v/>
      </c>
      <c r="G797" s="39"/>
      <c r="H797" s="39"/>
      <c r="I797" s="40"/>
      <c r="J797" s="41"/>
      <c r="K797" s="38"/>
      <c r="L797" s="42" t="str">
        <f aca="false">IF($B797="","",IF(AND(N($I797)=0,N($J797)=0),"금액이 없습니다",IF(AND($I797&gt;0,$J797&gt;0),"수입·지출 둘 다 적혔습니다",IF($C797="","결제수단을 고르십시오",IF(ISNA(MATCH($C797,'통합 ③ 통장·카드'!$A$5:$A$11,0)),"③ 통장·카드에 없는 결제수단입니다",IF($D797="","계정과목을 고르십시오",IF($E797="※없는 과목","④ 설정에 없는 과목입니다",IF(AND($E797="수입",$J797&gt;0),"수입 과목인데 지출에 적혔습니다",IF(AND(LEFT($E797,2)&lt;&gt;"수입",$E797&lt;&gt;"대체",$I797&gt;0),"지출 과목인데 수입에 적혔습니다",IF($K797="","증빙을 고르십시오",IF(AND($C797="바우처통장",$J797&gt;0,IFERROR(INDEX('통합 ④ 설정'!$E$6:$E$40,MATCH($D797,'통합 ④ 설정'!$B$6:$B$40,0)),"")&lt;&gt;"○"),"바우처통장 지출 — 목적 확인",IF($H797="","적요를 적으십시오",""))))))))))))</f>
        <v/>
      </c>
      <c r="M797" s="39"/>
      <c r="O797" s="11" t="str">
        <f aca="false">IF($B797="","",YEAR($B797)*100+MONTH($B797))</f>
        <v/>
      </c>
      <c r="P797" s="11" t="str">
        <f aca="false">IF($B797="","",IF($E797="대체",0,1))</f>
        <v/>
      </c>
    </row>
    <row r="798" customFormat="false" ht="15" hidden="false" customHeight="false" outlineLevel="0" collapsed="false">
      <c r="A798" s="36" t="str">
        <f aca="false">IF($B798="","",COUNT($B$15:$B798))</f>
        <v/>
      </c>
      <c r="B798" s="37"/>
      <c r="C798" s="38"/>
      <c r="D798" s="39"/>
      <c r="E798" s="36" t="str">
        <f aca="false">IF($D798="","",IFERROR(INDEX('통합 ④ 설정'!$A$6:$A$40,MATCH($D798,'통합 ④ 설정'!$B$6:$B$40,0)),"※없는 과목"))</f>
        <v/>
      </c>
      <c r="F798" s="36" t="str">
        <f aca="false">IF($D798="","",IFERROR(INDEX('통합 ④ 설정'!$C$6:$C$40,MATCH($D798,'통합 ④ 설정'!$B$6:$B$40,0)),""))</f>
        <v/>
      </c>
      <c r="G798" s="39"/>
      <c r="H798" s="39"/>
      <c r="I798" s="40"/>
      <c r="J798" s="41"/>
      <c r="K798" s="38"/>
      <c r="L798" s="42" t="str">
        <f aca="false">IF($B798="","",IF(AND(N($I798)=0,N($J798)=0),"금액이 없습니다",IF(AND($I798&gt;0,$J798&gt;0),"수입·지출 둘 다 적혔습니다",IF($C798="","결제수단을 고르십시오",IF(ISNA(MATCH($C798,'통합 ③ 통장·카드'!$A$5:$A$11,0)),"③ 통장·카드에 없는 결제수단입니다",IF($D798="","계정과목을 고르십시오",IF($E798="※없는 과목","④ 설정에 없는 과목입니다",IF(AND($E798="수입",$J798&gt;0),"수입 과목인데 지출에 적혔습니다",IF(AND(LEFT($E798,2)&lt;&gt;"수입",$E798&lt;&gt;"대체",$I798&gt;0),"지출 과목인데 수입에 적혔습니다",IF($K798="","증빙을 고르십시오",IF(AND($C798="바우처통장",$J798&gt;0,IFERROR(INDEX('통합 ④ 설정'!$E$6:$E$40,MATCH($D798,'통합 ④ 설정'!$B$6:$B$40,0)),"")&lt;&gt;"○"),"바우처통장 지출 — 목적 확인",IF($H798="","적요를 적으십시오",""))))))))))))</f>
        <v/>
      </c>
      <c r="M798" s="39"/>
      <c r="O798" s="11" t="str">
        <f aca="false">IF($B798="","",YEAR($B798)*100+MONTH($B798))</f>
        <v/>
      </c>
      <c r="P798" s="11" t="str">
        <f aca="false">IF($B798="","",IF($E798="대체",0,1))</f>
        <v/>
      </c>
    </row>
    <row r="799" customFormat="false" ht="15" hidden="false" customHeight="false" outlineLevel="0" collapsed="false">
      <c r="A799" s="36" t="str">
        <f aca="false">IF($B799="","",COUNT($B$15:$B799))</f>
        <v/>
      </c>
      <c r="B799" s="37"/>
      <c r="C799" s="38"/>
      <c r="D799" s="39"/>
      <c r="E799" s="36" t="str">
        <f aca="false">IF($D799="","",IFERROR(INDEX('통합 ④ 설정'!$A$6:$A$40,MATCH($D799,'통합 ④ 설정'!$B$6:$B$40,0)),"※없는 과목"))</f>
        <v/>
      </c>
      <c r="F799" s="36" t="str">
        <f aca="false">IF($D799="","",IFERROR(INDEX('통합 ④ 설정'!$C$6:$C$40,MATCH($D799,'통합 ④ 설정'!$B$6:$B$40,0)),""))</f>
        <v/>
      </c>
      <c r="G799" s="39"/>
      <c r="H799" s="39"/>
      <c r="I799" s="40"/>
      <c r="J799" s="41"/>
      <c r="K799" s="38"/>
      <c r="L799" s="42" t="str">
        <f aca="false">IF($B799="","",IF(AND(N($I799)=0,N($J799)=0),"금액이 없습니다",IF(AND($I799&gt;0,$J799&gt;0),"수입·지출 둘 다 적혔습니다",IF($C799="","결제수단을 고르십시오",IF(ISNA(MATCH($C799,'통합 ③ 통장·카드'!$A$5:$A$11,0)),"③ 통장·카드에 없는 결제수단입니다",IF($D799="","계정과목을 고르십시오",IF($E799="※없는 과목","④ 설정에 없는 과목입니다",IF(AND($E799="수입",$J799&gt;0),"수입 과목인데 지출에 적혔습니다",IF(AND(LEFT($E799,2)&lt;&gt;"수입",$E799&lt;&gt;"대체",$I799&gt;0),"지출 과목인데 수입에 적혔습니다",IF($K799="","증빙을 고르십시오",IF(AND($C799="바우처통장",$J799&gt;0,IFERROR(INDEX('통합 ④ 설정'!$E$6:$E$40,MATCH($D799,'통합 ④ 설정'!$B$6:$B$40,0)),"")&lt;&gt;"○"),"바우처통장 지출 — 목적 확인",IF($H799="","적요를 적으십시오",""))))))))))))</f>
        <v/>
      </c>
      <c r="M799" s="39"/>
      <c r="O799" s="11" t="str">
        <f aca="false">IF($B799="","",YEAR($B799)*100+MONTH($B799))</f>
        <v/>
      </c>
      <c r="P799" s="11" t="str">
        <f aca="false">IF($B799="","",IF($E799="대체",0,1))</f>
        <v/>
      </c>
    </row>
    <row r="800" customFormat="false" ht="15" hidden="false" customHeight="false" outlineLevel="0" collapsed="false">
      <c r="A800" s="36" t="str">
        <f aca="false">IF($B800="","",COUNT($B$15:$B800))</f>
        <v/>
      </c>
      <c r="B800" s="37"/>
      <c r="C800" s="38"/>
      <c r="D800" s="39"/>
      <c r="E800" s="36" t="str">
        <f aca="false">IF($D800="","",IFERROR(INDEX('통합 ④ 설정'!$A$6:$A$40,MATCH($D800,'통합 ④ 설정'!$B$6:$B$40,0)),"※없는 과목"))</f>
        <v/>
      </c>
      <c r="F800" s="36" t="str">
        <f aca="false">IF($D800="","",IFERROR(INDEX('통합 ④ 설정'!$C$6:$C$40,MATCH($D800,'통합 ④ 설정'!$B$6:$B$40,0)),""))</f>
        <v/>
      </c>
      <c r="G800" s="39"/>
      <c r="H800" s="39"/>
      <c r="I800" s="40"/>
      <c r="J800" s="41"/>
      <c r="K800" s="38"/>
      <c r="L800" s="42" t="str">
        <f aca="false">IF($B800="","",IF(AND(N($I800)=0,N($J800)=0),"금액이 없습니다",IF(AND($I800&gt;0,$J800&gt;0),"수입·지출 둘 다 적혔습니다",IF($C800="","결제수단을 고르십시오",IF(ISNA(MATCH($C800,'통합 ③ 통장·카드'!$A$5:$A$11,0)),"③ 통장·카드에 없는 결제수단입니다",IF($D800="","계정과목을 고르십시오",IF($E800="※없는 과목","④ 설정에 없는 과목입니다",IF(AND($E800="수입",$J800&gt;0),"수입 과목인데 지출에 적혔습니다",IF(AND(LEFT($E800,2)&lt;&gt;"수입",$E800&lt;&gt;"대체",$I800&gt;0),"지출 과목인데 수입에 적혔습니다",IF($K800="","증빙을 고르십시오",IF(AND($C800="바우처통장",$J800&gt;0,IFERROR(INDEX('통합 ④ 설정'!$E$6:$E$40,MATCH($D800,'통합 ④ 설정'!$B$6:$B$40,0)),"")&lt;&gt;"○"),"바우처통장 지출 — 목적 확인",IF($H800="","적요를 적으십시오",""))))))))))))</f>
        <v/>
      </c>
      <c r="M800" s="39"/>
      <c r="O800" s="11" t="str">
        <f aca="false">IF($B800="","",YEAR($B800)*100+MONTH($B800))</f>
        <v/>
      </c>
      <c r="P800" s="11" t="str">
        <f aca="false">IF($B800="","",IF($E800="대체",0,1))</f>
        <v/>
      </c>
    </row>
    <row r="801" customFormat="false" ht="15" hidden="false" customHeight="false" outlineLevel="0" collapsed="false">
      <c r="A801" s="36" t="str">
        <f aca="false">IF($B801="","",COUNT($B$15:$B801))</f>
        <v/>
      </c>
      <c r="B801" s="37"/>
      <c r="C801" s="38"/>
      <c r="D801" s="39"/>
      <c r="E801" s="36" t="str">
        <f aca="false">IF($D801="","",IFERROR(INDEX('통합 ④ 설정'!$A$6:$A$40,MATCH($D801,'통합 ④ 설정'!$B$6:$B$40,0)),"※없는 과목"))</f>
        <v/>
      </c>
      <c r="F801" s="36" t="str">
        <f aca="false">IF($D801="","",IFERROR(INDEX('통합 ④ 설정'!$C$6:$C$40,MATCH($D801,'통합 ④ 설정'!$B$6:$B$40,0)),""))</f>
        <v/>
      </c>
      <c r="G801" s="39"/>
      <c r="H801" s="39"/>
      <c r="I801" s="40"/>
      <c r="J801" s="41"/>
      <c r="K801" s="38"/>
      <c r="L801" s="42" t="str">
        <f aca="false">IF($B801="","",IF(AND(N($I801)=0,N($J801)=0),"금액이 없습니다",IF(AND($I801&gt;0,$J801&gt;0),"수입·지출 둘 다 적혔습니다",IF($C801="","결제수단을 고르십시오",IF(ISNA(MATCH($C801,'통합 ③ 통장·카드'!$A$5:$A$11,0)),"③ 통장·카드에 없는 결제수단입니다",IF($D801="","계정과목을 고르십시오",IF($E801="※없는 과목","④ 설정에 없는 과목입니다",IF(AND($E801="수입",$J801&gt;0),"수입 과목인데 지출에 적혔습니다",IF(AND(LEFT($E801,2)&lt;&gt;"수입",$E801&lt;&gt;"대체",$I801&gt;0),"지출 과목인데 수입에 적혔습니다",IF($K801="","증빙을 고르십시오",IF(AND($C801="바우처통장",$J801&gt;0,IFERROR(INDEX('통합 ④ 설정'!$E$6:$E$40,MATCH($D801,'통합 ④ 설정'!$B$6:$B$40,0)),"")&lt;&gt;"○"),"바우처통장 지출 — 목적 확인",IF($H801="","적요를 적으십시오",""))))))))))))</f>
        <v/>
      </c>
      <c r="M801" s="39"/>
      <c r="O801" s="11" t="str">
        <f aca="false">IF($B801="","",YEAR($B801)*100+MONTH($B801))</f>
        <v/>
      </c>
      <c r="P801" s="11" t="str">
        <f aca="false">IF($B801="","",IF($E801="대체",0,1))</f>
        <v/>
      </c>
    </row>
    <row r="802" customFormat="false" ht="15" hidden="false" customHeight="false" outlineLevel="0" collapsed="false">
      <c r="A802" s="36" t="str">
        <f aca="false">IF($B802="","",COUNT($B$15:$B802))</f>
        <v/>
      </c>
      <c r="B802" s="37"/>
      <c r="C802" s="38"/>
      <c r="D802" s="39"/>
      <c r="E802" s="36" t="str">
        <f aca="false">IF($D802="","",IFERROR(INDEX('통합 ④ 설정'!$A$6:$A$40,MATCH($D802,'통합 ④ 설정'!$B$6:$B$40,0)),"※없는 과목"))</f>
        <v/>
      </c>
      <c r="F802" s="36" t="str">
        <f aca="false">IF($D802="","",IFERROR(INDEX('통합 ④ 설정'!$C$6:$C$40,MATCH($D802,'통합 ④ 설정'!$B$6:$B$40,0)),""))</f>
        <v/>
      </c>
      <c r="G802" s="39"/>
      <c r="H802" s="39"/>
      <c r="I802" s="40"/>
      <c r="J802" s="41"/>
      <c r="K802" s="38"/>
      <c r="L802" s="42" t="str">
        <f aca="false">IF($B802="","",IF(AND(N($I802)=0,N($J802)=0),"금액이 없습니다",IF(AND($I802&gt;0,$J802&gt;0),"수입·지출 둘 다 적혔습니다",IF($C802="","결제수단을 고르십시오",IF(ISNA(MATCH($C802,'통합 ③ 통장·카드'!$A$5:$A$11,0)),"③ 통장·카드에 없는 결제수단입니다",IF($D802="","계정과목을 고르십시오",IF($E802="※없는 과목","④ 설정에 없는 과목입니다",IF(AND($E802="수입",$J802&gt;0),"수입 과목인데 지출에 적혔습니다",IF(AND(LEFT($E802,2)&lt;&gt;"수입",$E802&lt;&gt;"대체",$I802&gt;0),"지출 과목인데 수입에 적혔습니다",IF($K802="","증빙을 고르십시오",IF(AND($C802="바우처통장",$J802&gt;0,IFERROR(INDEX('통합 ④ 설정'!$E$6:$E$40,MATCH($D802,'통합 ④ 설정'!$B$6:$B$40,0)),"")&lt;&gt;"○"),"바우처통장 지출 — 목적 확인",IF($H802="","적요를 적으십시오",""))))))))))))</f>
        <v/>
      </c>
      <c r="M802" s="39"/>
      <c r="O802" s="11" t="str">
        <f aca="false">IF($B802="","",YEAR($B802)*100+MONTH($B802))</f>
        <v/>
      </c>
      <c r="P802" s="11" t="str">
        <f aca="false">IF($B802="","",IF($E802="대체",0,1))</f>
        <v/>
      </c>
    </row>
    <row r="803" customFormat="false" ht="15" hidden="false" customHeight="false" outlineLevel="0" collapsed="false">
      <c r="A803" s="36" t="str">
        <f aca="false">IF($B803="","",COUNT($B$15:$B803))</f>
        <v/>
      </c>
      <c r="B803" s="37"/>
      <c r="C803" s="38"/>
      <c r="D803" s="39"/>
      <c r="E803" s="36" t="str">
        <f aca="false">IF($D803="","",IFERROR(INDEX('통합 ④ 설정'!$A$6:$A$40,MATCH($D803,'통합 ④ 설정'!$B$6:$B$40,0)),"※없는 과목"))</f>
        <v/>
      </c>
      <c r="F803" s="36" t="str">
        <f aca="false">IF($D803="","",IFERROR(INDEX('통합 ④ 설정'!$C$6:$C$40,MATCH($D803,'통합 ④ 설정'!$B$6:$B$40,0)),""))</f>
        <v/>
      </c>
      <c r="G803" s="39"/>
      <c r="H803" s="39"/>
      <c r="I803" s="40"/>
      <c r="J803" s="41"/>
      <c r="K803" s="38"/>
      <c r="L803" s="42" t="str">
        <f aca="false">IF($B803="","",IF(AND(N($I803)=0,N($J803)=0),"금액이 없습니다",IF(AND($I803&gt;0,$J803&gt;0),"수입·지출 둘 다 적혔습니다",IF($C803="","결제수단을 고르십시오",IF(ISNA(MATCH($C803,'통합 ③ 통장·카드'!$A$5:$A$11,0)),"③ 통장·카드에 없는 결제수단입니다",IF($D803="","계정과목을 고르십시오",IF($E803="※없는 과목","④ 설정에 없는 과목입니다",IF(AND($E803="수입",$J803&gt;0),"수입 과목인데 지출에 적혔습니다",IF(AND(LEFT($E803,2)&lt;&gt;"수입",$E803&lt;&gt;"대체",$I803&gt;0),"지출 과목인데 수입에 적혔습니다",IF($K803="","증빙을 고르십시오",IF(AND($C803="바우처통장",$J803&gt;0,IFERROR(INDEX('통합 ④ 설정'!$E$6:$E$40,MATCH($D803,'통합 ④ 설정'!$B$6:$B$40,0)),"")&lt;&gt;"○"),"바우처통장 지출 — 목적 확인",IF($H803="","적요를 적으십시오",""))))))))))))</f>
        <v/>
      </c>
      <c r="M803" s="39"/>
      <c r="O803" s="11" t="str">
        <f aca="false">IF($B803="","",YEAR($B803)*100+MONTH($B803))</f>
        <v/>
      </c>
      <c r="P803" s="11" t="str">
        <f aca="false">IF($B803="","",IF($E803="대체",0,1))</f>
        <v/>
      </c>
    </row>
    <row r="804" customFormat="false" ht="15" hidden="false" customHeight="false" outlineLevel="0" collapsed="false">
      <c r="A804" s="36" t="str">
        <f aca="false">IF($B804="","",COUNT($B$15:$B804))</f>
        <v/>
      </c>
      <c r="B804" s="37"/>
      <c r="C804" s="38"/>
      <c r="D804" s="39"/>
      <c r="E804" s="36" t="str">
        <f aca="false">IF($D804="","",IFERROR(INDEX('통합 ④ 설정'!$A$6:$A$40,MATCH($D804,'통합 ④ 설정'!$B$6:$B$40,0)),"※없는 과목"))</f>
        <v/>
      </c>
      <c r="F804" s="36" t="str">
        <f aca="false">IF($D804="","",IFERROR(INDEX('통합 ④ 설정'!$C$6:$C$40,MATCH($D804,'통합 ④ 설정'!$B$6:$B$40,0)),""))</f>
        <v/>
      </c>
      <c r="G804" s="39"/>
      <c r="H804" s="39"/>
      <c r="I804" s="40"/>
      <c r="J804" s="41"/>
      <c r="K804" s="38"/>
      <c r="L804" s="42" t="str">
        <f aca="false">IF($B804="","",IF(AND(N($I804)=0,N($J804)=0),"금액이 없습니다",IF(AND($I804&gt;0,$J804&gt;0),"수입·지출 둘 다 적혔습니다",IF($C804="","결제수단을 고르십시오",IF(ISNA(MATCH($C804,'통합 ③ 통장·카드'!$A$5:$A$11,0)),"③ 통장·카드에 없는 결제수단입니다",IF($D804="","계정과목을 고르십시오",IF($E804="※없는 과목","④ 설정에 없는 과목입니다",IF(AND($E804="수입",$J804&gt;0),"수입 과목인데 지출에 적혔습니다",IF(AND(LEFT($E804,2)&lt;&gt;"수입",$E804&lt;&gt;"대체",$I804&gt;0),"지출 과목인데 수입에 적혔습니다",IF($K804="","증빙을 고르십시오",IF(AND($C804="바우처통장",$J804&gt;0,IFERROR(INDEX('통합 ④ 설정'!$E$6:$E$40,MATCH($D804,'통합 ④ 설정'!$B$6:$B$40,0)),"")&lt;&gt;"○"),"바우처통장 지출 — 목적 확인",IF($H804="","적요를 적으십시오",""))))))))))))</f>
        <v/>
      </c>
      <c r="M804" s="39"/>
      <c r="O804" s="11" t="str">
        <f aca="false">IF($B804="","",YEAR($B804)*100+MONTH($B804))</f>
        <v/>
      </c>
      <c r="P804" s="11" t="str">
        <f aca="false">IF($B804="","",IF($E804="대체",0,1))</f>
        <v/>
      </c>
    </row>
    <row r="805" customFormat="false" ht="15" hidden="false" customHeight="false" outlineLevel="0" collapsed="false">
      <c r="A805" s="36" t="str">
        <f aca="false">IF($B805="","",COUNT($B$15:$B805))</f>
        <v/>
      </c>
      <c r="B805" s="37"/>
      <c r="C805" s="38"/>
      <c r="D805" s="39"/>
      <c r="E805" s="36" t="str">
        <f aca="false">IF($D805="","",IFERROR(INDEX('통합 ④ 설정'!$A$6:$A$40,MATCH($D805,'통합 ④ 설정'!$B$6:$B$40,0)),"※없는 과목"))</f>
        <v/>
      </c>
      <c r="F805" s="36" t="str">
        <f aca="false">IF($D805="","",IFERROR(INDEX('통합 ④ 설정'!$C$6:$C$40,MATCH($D805,'통합 ④ 설정'!$B$6:$B$40,0)),""))</f>
        <v/>
      </c>
      <c r="G805" s="39"/>
      <c r="H805" s="39"/>
      <c r="I805" s="40"/>
      <c r="J805" s="41"/>
      <c r="K805" s="38"/>
      <c r="L805" s="42" t="str">
        <f aca="false">IF($B805="","",IF(AND(N($I805)=0,N($J805)=0),"금액이 없습니다",IF(AND($I805&gt;0,$J805&gt;0),"수입·지출 둘 다 적혔습니다",IF($C805="","결제수단을 고르십시오",IF(ISNA(MATCH($C805,'통합 ③ 통장·카드'!$A$5:$A$11,0)),"③ 통장·카드에 없는 결제수단입니다",IF($D805="","계정과목을 고르십시오",IF($E805="※없는 과목","④ 설정에 없는 과목입니다",IF(AND($E805="수입",$J805&gt;0),"수입 과목인데 지출에 적혔습니다",IF(AND(LEFT($E805,2)&lt;&gt;"수입",$E805&lt;&gt;"대체",$I805&gt;0),"지출 과목인데 수입에 적혔습니다",IF($K805="","증빙을 고르십시오",IF(AND($C805="바우처통장",$J805&gt;0,IFERROR(INDEX('통합 ④ 설정'!$E$6:$E$40,MATCH($D805,'통합 ④ 설정'!$B$6:$B$40,0)),"")&lt;&gt;"○"),"바우처통장 지출 — 목적 확인",IF($H805="","적요를 적으십시오",""))))))))))))</f>
        <v/>
      </c>
      <c r="M805" s="39"/>
      <c r="O805" s="11" t="str">
        <f aca="false">IF($B805="","",YEAR($B805)*100+MONTH($B805))</f>
        <v/>
      </c>
      <c r="P805" s="11" t="str">
        <f aca="false">IF($B805="","",IF($E805="대체",0,1))</f>
        <v/>
      </c>
    </row>
    <row r="806" customFormat="false" ht="15" hidden="false" customHeight="false" outlineLevel="0" collapsed="false">
      <c r="A806" s="36" t="str">
        <f aca="false">IF($B806="","",COUNT($B$15:$B806))</f>
        <v/>
      </c>
      <c r="B806" s="37"/>
      <c r="C806" s="38"/>
      <c r="D806" s="39"/>
      <c r="E806" s="36" t="str">
        <f aca="false">IF($D806="","",IFERROR(INDEX('통합 ④ 설정'!$A$6:$A$40,MATCH($D806,'통합 ④ 설정'!$B$6:$B$40,0)),"※없는 과목"))</f>
        <v/>
      </c>
      <c r="F806" s="36" t="str">
        <f aca="false">IF($D806="","",IFERROR(INDEX('통합 ④ 설정'!$C$6:$C$40,MATCH($D806,'통합 ④ 설정'!$B$6:$B$40,0)),""))</f>
        <v/>
      </c>
      <c r="G806" s="39"/>
      <c r="H806" s="39"/>
      <c r="I806" s="40"/>
      <c r="J806" s="41"/>
      <c r="K806" s="38"/>
      <c r="L806" s="42" t="str">
        <f aca="false">IF($B806="","",IF(AND(N($I806)=0,N($J806)=0),"금액이 없습니다",IF(AND($I806&gt;0,$J806&gt;0),"수입·지출 둘 다 적혔습니다",IF($C806="","결제수단을 고르십시오",IF(ISNA(MATCH($C806,'통합 ③ 통장·카드'!$A$5:$A$11,0)),"③ 통장·카드에 없는 결제수단입니다",IF($D806="","계정과목을 고르십시오",IF($E806="※없는 과목","④ 설정에 없는 과목입니다",IF(AND($E806="수입",$J806&gt;0),"수입 과목인데 지출에 적혔습니다",IF(AND(LEFT($E806,2)&lt;&gt;"수입",$E806&lt;&gt;"대체",$I806&gt;0),"지출 과목인데 수입에 적혔습니다",IF($K806="","증빙을 고르십시오",IF(AND($C806="바우처통장",$J806&gt;0,IFERROR(INDEX('통합 ④ 설정'!$E$6:$E$40,MATCH($D806,'통합 ④ 설정'!$B$6:$B$40,0)),"")&lt;&gt;"○"),"바우처통장 지출 — 목적 확인",IF($H806="","적요를 적으십시오",""))))))))))))</f>
        <v/>
      </c>
      <c r="M806" s="39"/>
      <c r="O806" s="11" t="str">
        <f aca="false">IF($B806="","",YEAR($B806)*100+MONTH($B806))</f>
        <v/>
      </c>
      <c r="P806" s="11" t="str">
        <f aca="false">IF($B806="","",IF($E806="대체",0,1))</f>
        <v/>
      </c>
    </row>
    <row r="807" customFormat="false" ht="15" hidden="false" customHeight="false" outlineLevel="0" collapsed="false">
      <c r="A807" s="36" t="str">
        <f aca="false">IF($B807="","",COUNT($B$15:$B807))</f>
        <v/>
      </c>
      <c r="B807" s="37"/>
      <c r="C807" s="38"/>
      <c r="D807" s="39"/>
      <c r="E807" s="36" t="str">
        <f aca="false">IF($D807="","",IFERROR(INDEX('통합 ④ 설정'!$A$6:$A$40,MATCH($D807,'통합 ④ 설정'!$B$6:$B$40,0)),"※없는 과목"))</f>
        <v/>
      </c>
      <c r="F807" s="36" t="str">
        <f aca="false">IF($D807="","",IFERROR(INDEX('통합 ④ 설정'!$C$6:$C$40,MATCH($D807,'통합 ④ 설정'!$B$6:$B$40,0)),""))</f>
        <v/>
      </c>
      <c r="G807" s="39"/>
      <c r="H807" s="39"/>
      <c r="I807" s="40"/>
      <c r="J807" s="41"/>
      <c r="K807" s="38"/>
      <c r="L807" s="42" t="str">
        <f aca="false">IF($B807="","",IF(AND(N($I807)=0,N($J807)=0),"금액이 없습니다",IF(AND($I807&gt;0,$J807&gt;0),"수입·지출 둘 다 적혔습니다",IF($C807="","결제수단을 고르십시오",IF(ISNA(MATCH($C807,'통합 ③ 통장·카드'!$A$5:$A$11,0)),"③ 통장·카드에 없는 결제수단입니다",IF($D807="","계정과목을 고르십시오",IF($E807="※없는 과목","④ 설정에 없는 과목입니다",IF(AND($E807="수입",$J807&gt;0),"수입 과목인데 지출에 적혔습니다",IF(AND(LEFT($E807,2)&lt;&gt;"수입",$E807&lt;&gt;"대체",$I807&gt;0),"지출 과목인데 수입에 적혔습니다",IF($K807="","증빙을 고르십시오",IF(AND($C807="바우처통장",$J807&gt;0,IFERROR(INDEX('통합 ④ 설정'!$E$6:$E$40,MATCH($D807,'통합 ④ 설정'!$B$6:$B$40,0)),"")&lt;&gt;"○"),"바우처통장 지출 — 목적 확인",IF($H807="","적요를 적으십시오",""))))))))))))</f>
        <v/>
      </c>
      <c r="M807" s="39"/>
      <c r="O807" s="11" t="str">
        <f aca="false">IF($B807="","",YEAR($B807)*100+MONTH($B807))</f>
        <v/>
      </c>
      <c r="P807" s="11" t="str">
        <f aca="false">IF($B807="","",IF($E807="대체",0,1))</f>
        <v/>
      </c>
    </row>
    <row r="808" customFormat="false" ht="15" hidden="false" customHeight="false" outlineLevel="0" collapsed="false">
      <c r="A808" s="36" t="str">
        <f aca="false">IF($B808="","",COUNT($B$15:$B808))</f>
        <v/>
      </c>
      <c r="B808" s="37"/>
      <c r="C808" s="38"/>
      <c r="D808" s="39"/>
      <c r="E808" s="36" t="str">
        <f aca="false">IF($D808="","",IFERROR(INDEX('통합 ④ 설정'!$A$6:$A$40,MATCH($D808,'통합 ④ 설정'!$B$6:$B$40,0)),"※없는 과목"))</f>
        <v/>
      </c>
      <c r="F808" s="36" t="str">
        <f aca="false">IF($D808="","",IFERROR(INDEX('통합 ④ 설정'!$C$6:$C$40,MATCH($D808,'통합 ④ 설정'!$B$6:$B$40,0)),""))</f>
        <v/>
      </c>
      <c r="G808" s="39"/>
      <c r="H808" s="39"/>
      <c r="I808" s="40"/>
      <c r="J808" s="41"/>
      <c r="K808" s="38"/>
      <c r="L808" s="42" t="str">
        <f aca="false">IF($B808="","",IF(AND(N($I808)=0,N($J808)=0),"금액이 없습니다",IF(AND($I808&gt;0,$J808&gt;0),"수입·지출 둘 다 적혔습니다",IF($C808="","결제수단을 고르십시오",IF(ISNA(MATCH($C808,'통합 ③ 통장·카드'!$A$5:$A$11,0)),"③ 통장·카드에 없는 결제수단입니다",IF($D808="","계정과목을 고르십시오",IF($E808="※없는 과목","④ 설정에 없는 과목입니다",IF(AND($E808="수입",$J808&gt;0),"수입 과목인데 지출에 적혔습니다",IF(AND(LEFT($E808,2)&lt;&gt;"수입",$E808&lt;&gt;"대체",$I808&gt;0),"지출 과목인데 수입에 적혔습니다",IF($K808="","증빙을 고르십시오",IF(AND($C808="바우처통장",$J808&gt;0,IFERROR(INDEX('통합 ④ 설정'!$E$6:$E$40,MATCH($D808,'통합 ④ 설정'!$B$6:$B$40,0)),"")&lt;&gt;"○"),"바우처통장 지출 — 목적 확인",IF($H808="","적요를 적으십시오",""))))))))))))</f>
        <v/>
      </c>
      <c r="M808" s="39"/>
      <c r="O808" s="11" t="str">
        <f aca="false">IF($B808="","",YEAR($B808)*100+MONTH($B808))</f>
        <v/>
      </c>
      <c r="P808" s="11" t="str">
        <f aca="false">IF($B808="","",IF($E808="대체",0,1))</f>
        <v/>
      </c>
    </row>
    <row r="809" customFormat="false" ht="15" hidden="false" customHeight="false" outlineLevel="0" collapsed="false">
      <c r="A809" s="36" t="str">
        <f aca="false">IF($B809="","",COUNT($B$15:$B809))</f>
        <v/>
      </c>
      <c r="B809" s="37"/>
      <c r="C809" s="38"/>
      <c r="D809" s="39"/>
      <c r="E809" s="36" t="str">
        <f aca="false">IF($D809="","",IFERROR(INDEX('통합 ④ 설정'!$A$6:$A$40,MATCH($D809,'통합 ④ 설정'!$B$6:$B$40,0)),"※없는 과목"))</f>
        <v/>
      </c>
      <c r="F809" s="36" t="str">
        <f aca="false">IF($D809="","",IFERROR(INDEX('통합 ④ 설정'!$C$6:$C$40,MATCH($D809,'통합 ④ 설정'!$B$6:$B$40,0)),""))</f>
        <v/>
      </c>
      <c r="G809" s="39"/>
      <c r="H809" s="39"/>
      <c r="I809" s="40"/>
      <c r="J809" s="41"/>
      <c r="K809" s="38"/>
      <c r="L809" s="42" t="str">
        <f aca="false">IF($B809="","",IF(AND(N($I809)=0,N($J809)=0),"금액이 없습니다",IF(AND($I809&gt;0,$J809&gt;0),"수입·지출 둘 다 적혔습니다",IF($C809="","결제수단을 고르십시오",IF(ISNA(MATCH($C809,'통합 ③ 통장·카드'!$A$5:$A$11,0)),"③ 통장·카드에 없는 결제수단입니다",IF($D809="","계정과목을 고르십시오",IF($E809="※없는 과목","④ 설정에 없는 과목입니다",IF(AND($E809="수입",$J809&gt;0),"수입 과목인데 지출에 적혔습니다",IF(AND(LEFT($E809,2)&lt;&gt;"수입",$E809&lt;&gt;"대체",$I809&gt;0),"지출 과목인데 수입에 적혔습니다",IF($K809="","증빙을 고르십시오",IF(AND($C809="바우처통장",$J809&gt;0,IFERROR(INDEX('통합 ④ 설정'!$E$6:$E$40,MATCH($D809,'통합 ④ 설정'!$B$6:$B$40,0)),"")&lt;&gt;"○"),"바우처통장 지출 — 목적 확인",IF($H809="","적요를 적으십시오",""))))))))))))</f>
        <v/>
      </c>
      <c r="M809" s="39"/>
      <c r="O809" s="11" t="str">
        <f aca="false">IF($B809="","",YEAR($B809)*100+MONTH($B809))</f>
        <v/>
      </c>
      <c r="P809" s="11" t="str">
        <f aca="false">IF($B809="","",IF($E809="대체",0,1))</f>
        <v/>
      </c>
    </row>
    <row r="810" customFormat="false" ht="15" hidden="false" customHeight="false" outlineLevel="0" collapsed="false">
      <c r="A810" s="36" t="str">
        <f aca="false">IF($B810="","",COUNT($B$15:$B810))</f>
        <v/>
      </c>
      <c r="B810" s="37"/>
      <c r="C810" s="38"/>
      <c r="D810" s="39"/>
      <c r="E810" s="36" t="str">
        <f aca="false">IF($D810="","",IFERROR(INDEX('통합 ④ 설정'!$A$6:$A$40,MATCH($D810,'통합 ④ 설정'!$B$6:$B$40,0)),"※없는 과목"))</f>
        <v/>
      </c>
      <c r="F810" s="36" t="str">
        <f aca="false">IF($D810="","",IFERROR(INDEX('통합 ④ 설정'!$C$6:$C$40,MATCH($D810,'통합 ④ 설정'!$B$6:$B$40,0)),""))</f>
        <v/>
      </c>
      <c r="G810" s="39"/>
      <c r="H810" s="39"/>
      <c r="I810" s="40"/>
      <c r="J810" s="41"/>
      <c r="K810" s="38"/>
      <c r="L810" s="42" t="str">
        <f aca="false">IF($B810="","",IF(AND(N($I810)=0,N($J810)=0),"금액이 없습니다",IF(AND($I810&gt;0,$J810&gt;0),"수입·지출 둘 다 적혔습니다",IF($C810="","결제수단을 고르십시오",IF(ISNA(MATCH($C810,'통합 ③ 통장·카드'!$A$5:$A$11,0)),"③ 통장·카드에 없는 결제수단입니다",IF($D810="","계정과목을 고르십시오",IF($E810="※없는 과목","④ 설정에 없는 과목입니다",IF(AND($E810="수입",$J810&gt;0),"수입 과목인데 지출에 적혔습니다",IF(AND(LEFT($E810,2)&lt;&gt;"수입",$E810&lt;&gt;"대체",$I810&gt;0),"지출 과목인데 수입에 적혔습니다",IF($K810="","증빙을 고르십시오",IF(AND($C810="바우처통장",$J810&gt;0,IFERROR(INDEX('통합 ④ 설정'!$E$6:$E$40,MATCH($D810,'통합 ④ 설정'!$B$6:$B$40,0)),"")&lt;&gt;"○"),"바우처통장 지출 — 목적 확인",IF($H810="","적요를 적으십시오",""))))))))))))</f>
        <v/>
      </c>
      <c r="M810" s="39"/>
      <c r="O810" s="11" t="str">
        <f aca="false">IF($B810="","",YEAR($B810)*100+MONTH($B810))</f>
        <v/>
      </c>
      <c r="P810" s="11" t="str">
        <f aca="false">IF($B810="","",IF($E810="대체",0,1))</f>
        <v/>
      </c>
    </row>
    <row r="811" customFormat="false" ht="15" hidden="false" customHeight="false" outlineLevel="0" collapsed="false">
      <c r="A811" s="36" t="str">
        <f aca="false">IF($B811="","",COUNT($B$15:$B811))</f>
        <v/>
      </c>
      <c r="B811" s="37"/>
      <c r="C811" s="38"/>
      <c r="D811" s="39"/>
      <c r="E811" s="36" t="str">
        <f aca="false">IF($D811="","",IFERROR(INDEX('통합 ④ 설정'!$A$6:$A$40,MATCH($D811,'통합 ④ 설정'!$B$6:$B$40,0)),"※없는 과목"))</f>
        <v/>
      </c>
      <c r="F811" s="36" t="str">
        <f aca="false">IF($D811="","",IFERROR(INDEX('통합 ④ 설정'!$C$6:$C$40,MATCH($D811,'통합 ④ 설정'!$B$6:$B$40,0)),""))</f>
        <v/>
      </c>
      <c r="G811" s="39"/>
      <c r="H811" s="39"/>
      <c r="I811" s="40"/>
      <c r="J811" s="41"/>
      <c r="K811" s="38"/>
      <c r="L811" s="42" t="str">
        <f aca="false">IF($B811="","",IF(AND(N($I811)=0,N($J811)=0),"금액이 없습니다",IF(AND($I811&gt;0,$J811&gt;0),"수입·지출 둘 다 적혔습니다",IF($C811="","결제수단을 고르십시오",IF(ISNA(MATCH($C811,'통합 ③ 통장·카드'!$A$5:$A$11,0)),"③ 통장·카드에 없는 결제수단입니다",IF($D811="","계정과목을 고르십시오",IF($E811="※없는 과목","④ 설정에 없는 과목입니다",IF(AND($E811="수입",$J811&gt;0),"수입 과목인데 지출에 적혔습니다",IF(AND(LEFT($E811,2)&lt;&gt;"수입",$E811&lt;&gt;"대체",$I811&gt;0),"지출 과목인데 수입에 적혔습니다",IF($K811="","증빙을 고르십시오",IF(AND($C811="바우처통장",$J811&gt;0,IFERROR(INDEX('통합 ④ 설정'!$E$6:$E$40,MATCH($D811,'통합 ④ 설정'!$B$6:$B$40,0)),"")&lt;&gt;"○"),"바우처통장 지출 — 목적 확인",IF($H811="","적요를 적으십시오",""))))))))))))</f>
        <v/>
      </c>
      <c r="M811" s="39"/>
      <c r="O811" s="11" t="str">
        <f aca="false">IF($B811="","",YEAR($B811)*100+MONTH($B811))</f>
        <v/>
      </c>
      <c r="P811" s="11" t="str">
        <f aca="false">IF($B811="","",IF($E811="대체",0,1))</f>
        <v/>
      </c>
    </row>
    <row r="812" customFormat="false" ht="15" hidden="false" customHeight="false" outlineLevel="0" collapsed="false">
      <c r="A812" s="36" t="str">
        <f aca="false">IF($B812="","",COUNT($B$15:$B812))</f>
        <v/>
      </c>
      <c r="B812" s="37"/>
      <c r="C812" s="38"/>
      <c r="D812" s="39"/>
      <c r="E812" s="36" t="str">
        <f aca="false">IF($D812="","",IFERROR(INDEX('통합 ④ 설정'!$A$6:$A$40,MATCH($D812,'통합 ④ 설정'!$B$6:$B$40,0)),"※없는 과목"))</f>
        <v/>
      </c>
      <c r="F812" s="36" t="str">
        <f aca="false">IF($D812="","",IFERROR(INDEX('통합 ④ 설정'!$C$6:$C$40,MATCH($D812,'통합 ④ 설정'!$B$6:$B$40,0)),""))</f>
        <v/>
      </c>
      <c r="G812" s="39"/>
      <c r="H812" s="39"/>
      <c r="I812" s="40"/>
      <c r="J812" s="41"/>
      <c r="K812" s="38"/>
      <c r="L812" s="42" t="str">
        <f aca="false">IF($B812="","",IF(AND(N($I812)=0,N($J812)=0),"금액이 없습니다",IF(AND($I812&gt;0,$J812&gt;0),"수입·지출 둘 다 적혔습니다",IF($C812="","결제수단을 고르십시오",IF(ISNA(MATCH($C812,'통합 ③ 통장·카드'!$A$5:$A$11,0)),"③ 통장·카드에 없는 결제수단입니다",IF($D812="","계정과목을 고르십시오",IF($E812="※없는 과목","④ 설정에 없는 과목입니다",IF(AND($E812="수입",$J812&gt;0),"수입 과목인데 지출에 적혔습니다",IF(AND(LEFT($E812,2)&lt;&gt;"수입",$E812&lt;&gt;"대체",$I812&gt;0),"지출 과목인데 수입에 적혔습니다",IF($K812="","증빙을 고르십시오",IF(AND($C812="바우처통장",$J812&gt;0,IFERROR(INDEX('통합 ④ 설정'!$E$6:$E$40,MATCH($D812,'통합 ④ 설정'!$B$6:$B$40,0)),"")&lt;&gt;"○"),"바우처통장 지출 — 목적 확인",IF($H812="","적요를 적으십시오",""))))))))))))</f>
        <v/>
      </c>
      <c r="M812" s="39"/>
      <c r="O812" s="11" t="str">
        <f aca="false">IF($B812="","",YEAR($B812)*100+MONTH($B812))</f>
        <v/>
      </c>
      <c r="P812" s="11" t="str">
        <f aca="false">IF($B812="","",IF($E812="대체",0,1))</f>
        <v/>
      </c>
    </row>
    <row r="813" customFormat="false" ht="15" hidden="false" customHeight="false" outlineLevel="0" collapsed="false">
      <c r="A813" s="36" t="str">
        <f aca="false">IF($B813="","",COUNT($B$15:$B813))</f>
        <v/>
      </c>
      <c r="B813" s="37"/>
      <c r="C813" s="38"/>
      <c r="D813" s="39"/>
      <c r="E813" s="36" t="str">
        <f aca="false">IF($D813="","",IFERROR(INDEX('통합 ④ 설정'!$A$6:$A$40,MATCH($D813,'통합 ④ 설정'!$B$6:$B$40,0)),"※없는 과목"))</f>
        <v/>
      </c>
      <c r="F813" s="36" t="str">
        <f aca="false">IF($D813="","",IFERROR(INDEX('통합 ④ 설정'!$C$6:$C$40,MATCH($D813,'통합 ④ 설정'!$B$6:$B$40,0)),""))</f>
        <v/>
      </c>
      <c r="G813" s="39"/>
      <c r="H813" s="39"/>
      <c r="I813" s="40"/>
      <c r="J813" s="41"/>
      <c r="K813" s="38"/>
      <c r="L813" s="42" t="str">
        <f aca="false">IF($B813="","",IF(AND(N($I813)=0,N($J813)=0),"금액이 없습니다",IF(AND($I813&gt;0,$J813&gt;0),"수입·지출 둘 다 적혔습니다",IF($C813="","결제수단을 고르십시오",IF(ISNA(MATCH($C813,'통합 ③ 통장·카드'!$A$5:$A$11,0)),"③ 통장·카드에 없는 결제수단입니다",IF($D813="","계정과목을 고르십시오",IF($E813="※없는 과목","④ 설정에 없는 과목입니다",IF(AND($E813="수입",$J813&gt;0),"수입 과목인데 지출에 적혔습니다",IF(AND(LEFT($E813,2)&lt;&gt;"수입",$E813&lt;&gt;"대체",$I813&gt;0),"지출 과목인데 수입에 적혔습니다",IF($K813="","증빙을 고르십시오",IF(AND($C813="바우처통장",$J813&gt;0,IFERROR(INDEX('통합 ④ 설정'!$E$6:$E$40,MATCH($D813,'통합 ④ 설정'!$B$6:$B$40,0)),"")&lt;&gt;"○"),"바우처통장 지출 — 목적 확인",IF($H813="","적요를 적으십시오",""))))))))))))</f>
        <v/>
      </c>
      <c r="M813" s="39"/>
      <c r="O813" s="11" t="str">
        <f aca="false">IF($B813="","",YEAR($B813)*100+MONTH($B813))</f>
        <v/>
      </c>
      <c r="P813" s="11" t="str">
        <f aca="false">IF($B813="","",IF($E813="대체",0,1))</f>
        <v/>
      </c>
    </row>
    <row r="814" customFormat="false" ht="15" hidden="false" customHeight="false" outlineLevel="0" collapsed="false">
      <c r="A814" s="36" t="str">
        <f aca="false">IF($B814="","",COUNT($B$15:$B814))</f>
        <v/>
      </c>
      <c r="B814" s="37"/>
      <c r="C814" s="38"/>
      <c r="D814" s="39"/>
      <c r="E814" s="36" t="str">
        <f aca="false">IF($D814="","",IFERROR(INDEX('통합 ④ 설정'!$A$6:$A$40,MATCH($D814,'통합 ④ 설정'!$B$6:$B$40,0)),"※없는 과목"))</f>
        <v/>
      </c>
      <c r="F814" s="36" t="str">
        <f aca="false">IF($D814="","",IFERROR(INDEX('통합 ④ 설정'!$C$6:$C$40,MATCH($D814,'통합 ④ 설정'!$B$6:$B$40,0)),""))</f>
        <v/>
      </c>
      <c r="G814" s="39"/>
      <c r="H814" s="39"/>
      <c r="I814" s="40"/>
      <c r="J814" s="41"/>
      <c r="K814" s="38"/>
      <c r="L814" s="42" t="str">
        <f aca="false">IF($B814="","",IF(AND(N($I814)=0,N($J814)=0),"금액이 없습니다",IF(AND($I814&gt;0,$J814&gt;0),"수입·지출 둘 다 적혔습니다",IF($C814="","결제수단을 고르십시오",IF(ISNA(MATCH($C814,'통합 ③ 통장·카드'!$A$5:$A$11,0)),"③ 통장·카드에 없는 결제수단입니다",IF($D814="","계정과목을 고르십시오",IF($E814="※없는 과목","④ 설정에 없는 과목입니다",IF(AND($E814="수입",$J814&gt;0),"수입 과목인데 지출에 적혔습니다",IF(AND(LEFT($E814,2)&lt;&gt;"수입",$E814&lt;&gt;"대체",$I814&gt;0),"지출 과목인데 수입에 적혔습니다",IF($K814="","증빙을 고르십시오",IF(AND($C814="바우처통장",$J814&gt;0,IFERROR(INDEX('통합 ④ 설정'!$E$6:$E$40,MATCH($D814,'통합 ④ 설정'!$B$6:$B$40,0)),"")&lt;&gt;"○"),"바우처통장 지출 — 목적 확인",IF($H814="","적요를 적으십시오",""))))))))))))</f>
        <v/>
      </c>
      <c r="M814" s="39"/>
      <c r="O814" s="11" t="str">
        <f aca="false">IF($B814="","",YEAR($B814)*100+MONTH($B814))</f>
        <v/>
      </c>
      <c r="P814" s="11" t="str">
        <f aca="false">IF($B814="","",IF($E814="대체",0,1))</f>
        <v/>
      </c>
    </row>
    <row r="815" customFormat="false" ht="15" hidden="false" customHeight="false" outlineLevel="0" collapsed="false">
      <c r="A815" s="36" t="str">
        <f aca="false">IF($B815="","",COUNT($B$15:$B815))</f>
        <v/>
      </c>
      <c r="B815" s="37"/>
      <c r="C815" s="38"/>
      <c r="D815" s="39"/>
      <c r="E815" s="36" t="str">
        <f aca="false">IF($D815="","",IFERROR(INDEX('통합 ④ 설정'!$A$6:$A$40,MATCH($D815,'통합 ④ 설정'!$B$6:$B$40,0)),"※없는 과목"))</f>
        <v/>
      </c>
      <c r="F815" s="36" t="str">
        <f aca="false">IF($D815="","",IFERROR(INDEX('통합 ④ 설정'!$C$6:$C$40,MATCH($D815,'통합 ④ 설정'!$B$6:$B$40,0)),""))</f>
        <v/>
      </c>
      <c r="G815" s="39"/>
      <c r="H815" s="39"/>
      <c r="I815" s="40"/>
      <c r="J815" s="41"/>
      <c r="K815" s="38"/>
      <c r="L815" s="42" t="str">
        <f aca="false">IF($B815="","",IF(AND(N($I815)=0,N($J815)=0),"금액이 없습니다",IF(AND($I815&gt;0,$J815&gt;0),"수입·지출 둘 다 적혔습니다",IF($C815="","결제수단을 고르십시오",IF(ISNA(MATCH($C815,'통합 ③ 통장·카드'!$A$5:$A$11,0)),"③ 통장·카드에 없는 결제수단입니다",IF($D815="","계정과목을 고르십시오",IF($E815="※없는 과목","④ 설정에 없는 과목입니다",IF(AND($E815="수입",$J815&gt;0),"수입 과목인데 지출에 적혔습니다",IF(AND(LEFT($E815,2)&lt;&gt;"수입",$E815&lt;&gt;"대체",$I815&gt;0),"지출 과목인데 수입에 적혔습니다",IF($K815="","증빙을 고르십시오",IF(AND($C815="바우처통장",$J815&gt;0,IFERROR(INDEX('통합 ④ 설정'!$E$6:$E$40,MATCH($D815,'통합 ④ 설정'!$B$6:$B$40,0)),"")&lt;&gt;"○"),"바우처통장 지출 — 목적 확인",IF($H815="","적요를 적으십시오",""))))))))))))</f>
        <v/>
      </c>
      <c r="M815" s="39"/>
      <c r="O815" s="11" t="str">
        <f aca="false">IF($B815="","",YEAR($B815)*100+MONTH($B815))</f>
        <v/>
      </c>
      <c r="P815" s="11" t="str">
        <f aca="false">IF($B815="","",IF($E815="대체",0,1))</f>
        <v/>
      </c>
    </row>
    <row r="816" customFormat="false" ht="15" hidden="false" customHeight="false" outlineLevel="0" collapsed="false">
      <c r="A816" s="36" t="str">
        <f aca="false">IF($B816="","",COUNT($B$15:$B816))</f>
        <v/>
      </c>
      <c r="B816" s="37"/>
      <c r="C816" s="38"/>
      <c r="D816" s="39"/>
      <c r="E816" s="36" t="str">
        <f aca="false">IF($D816="","",IFERROR(INDEX('통합 ④ 설정'!$A$6:$A$40,MATCH($D816,'통합 ④ 설정'!$B$6:$B$40,0)),"※없는 과목"))</f>
        <v/>
      </c>
      <c r="F816" s="36" t="str">
        <f aca="false">IF($D816="","",IFERROR(INDEX('통합 ④ 설정'!$C$6:$C$40,MATCH($D816,'통합 ④ 설정'!$B$6:$B$40,0)),""))</f>
        <v/>
      </c>
      <c r="G816" s="39"/>
      <c r="H816" s="39"/>
      <c r="I816" s="40"/>
      <c r="J816" s="41"/>
      <c r="K816" s="38"/>
      <c r="L816" s="42" t="str">
        <f aca="false">IF($B816="","",IF(AND(N($I816)=0,N($J816)=0),"금액이 없습니다",IF(AND($I816&gt;0,$J816&gt;0),"수입·지출 둘 다 적혔습니다",IF($C816="","결제수단을 고르십시오",IF(ISNA(MATCH($C816,'통합 ③ 통장·카드'!$A$5:$A$11,0)),"③ 통장·카드에 없는 결제수단입니다",IF($D816="","계정과목을 고르십시오",IF($E816="※없는 과목","④ 설정에 없는 과목입니다",IF(AND($E816="수입",$J816&gt;0),"수입 과목인데 지출에 적혔습니다",IF(AND(LEFT($E816,2)&lt;&gt;"수입",$E816&lt;&gt;"대체",$I816&gt;0),"지출 과목인데 수입에 적혔습니다",IF($K816="","증빙을 고르십시오",IF(AND($C816="바우처통장",$J816&gt;0,IFERROR(INDEX('통합 ④ 설정'!$E$6:$E$40,MATCH($D816,'통합 ④ 설정'!$B$6:$B$40,0)),"")&lt;&gt;"○"),"바우처통장 지출 — 목적 확인",IF($H816="","적요를 적으십시오",""))))))))))))</f>
        <v/>
      </c>
      <c r="M816" s="39"/>
      <c r="O816" s="11" t="str">
        <f aca="false">IF($B816="","",YEAR($B816)*100+MONTH($B816))</f>
        <v/>
      </c>
      <c r="P816" s="11" t="str">
        <f aca="false">IF($B816="","",IF($E816="대체",0,1))</f>
        <v/>
      </c>
    </row>
    <row r="817" customFormat="false" ht="15" hidden="false" customHeight="false" outlineLevel="0" collapsed="false">
      <c r="A817" s="36" t="str">
        <f aca="false">IF($B817="","",COUNT($B$15:$B817))</f>
        <v/>
      </c>
      <c r="B817" s="37"/>
      <c r="C817" s="38"/>
      <c r="D817" s="39"/>
      <c r="E817" s="36" t="str">
        <f aca="false">IF($D817="","",IFERROR(INDEX('통합 ④ 설정'!$A$6:$A$40,MATCH($D817,'통합 ④ 설정'!$B$6:$B$40,0)),"※없는 과목"))</f>
        <v/>
      </c>
      <c r="F817" s="36" t="str">
        <f aca="false">IF($D817="","",IFERROR(INDEX('통합 ④ 설정'!$C$6:$C$40,MATCH($D817,'통합 ④ 설정'!$B$6:$B$40,0)),""))</f>
        <v/>
      </c>
      <c r="G817" s="39"/>
      <c r="H817" s="39"/>
      <c r="I817" s="40"/>
      <c r="J817" s="41"/>
      <c r="K817" s="38"/>
      <c r="L817" s="42" t="str">
        <f aca="false">IF($B817="","",IF(AND(N($I817)=0,N($J817)=0),"금액이 없습니다",IF(AND($I817&gt;0,$J817&gt;0),"수입·지출 둘 다 적혔습니다",IF($C817="","결제수단을 고르십시오",IF(ISNA(MATCH($C817,'통합 ③ 통장·카드'!$A$5:$A$11,0)),"③ 통장·카드에 없는 결제수단입니다",IF($D817="","계정과목을 고르십시오",IF($E817="※없는 과목","④ 설정에 없는 과목입니다",IF(AND($E817="수입",$J817&gt;0),"수입 과목인데 지출에 적혔습니다",IF(AND(LEFT($E817,2)&lt;&gt;"수입",$E817&lt;&gt;"대체",$I817&gt;0),"지출 과목인데 수입에 적혔습니다",IF($K817="","증빙을 고르십시오",IF(AND($C817="바우처통장",$J817&gt;0,IFERROR(INDEX('통합 ④ 설정'!$E$6:$E$40,MATCH($D817,'통합 ④ 설정'!$B$6:$B$40,0)),"")&lt;&gt;"○"),"바우처통장 지출 — 목적 확인",IF($H817="","적요를 적으십시오",""))))))))))))</f>
        <v/>
      </c>
      <c r="M817" s="39"/>
      <c r="O817" s="11" t="str">
        <f aca="false">IF($B817="","",YEAR($B817)*100+MONTH($B817))</f>
        <v/>
      </c>
      <c r="P817" s="11" t="str">
        <f aca="false">IF($B817="","",IF($E817="대체",0,1))</f>
        <v/>
      </c>
    </row>
    <row r="818" customFormat="false" ht="15" hidden="false" customHeight="false" outlineLevel="0" collapsed="false">
      <c r="A818" s="36" t="str">
        <f aca="false">IF($B818="","",COUNT($B$15:$B818))</f>
        <v/>
      </c>
      <c r="B818" s="37"/>
      <c r="C818" s="38"/>
      <c r="D818" s="39"/>
      <c r="E818" s="36" t="str">
        <f aca="false">IF($D818="","",IFERROR(INDEX('통합 ④ 설정'!$A$6:$A$40,MATCH($D818,'통합 ④ 설정'!$B$6:$B$40,0)),"※없는 과목"))</f>
        <v/>
      </c>
      <c r="F818" s="36" t="str">
        <f aca="false">IF($D818="","",IFERROR(INDEX('통합 ④ 설정'!$C$6:$C$40,MATCH($D818,'통합 ④ 설정'!$B$6:$B$40,0)),""))</f>
        <v/>
      </c>
      <c r="G818" s="39"/>
      <c r="H818" s="39"/>
      <c r="I818" s="40"/>
      <c r="J818" s="41"/>
      <c r="K818" s="38"/>
      <c r="L818" s="42" t="str">
        <f aca="false">IF($B818="","",IF(AND(N($I818)=0,N($J818)=0),"금액이 없습니다",IF(AND($I818&gt;0,$J818&gt;0),"수입·지출 둘 다 적혔습니다",IF($C818="","결제수단을 고르십시오",IF(ISNA(MATCH($C818,'통합 ③ 통장·카드'!$A$5:$A$11,0)),"③ 통장·카드에 없는 결제수단입니다",IF($D818="","계정과목을 고르십시오",IF($E818="※없는 과목","④ 설정에 없는 과목입니다",IF(AND($E818="수입",$J818&gt;0),"수입 과목인데 지출에 적혔습니다",IF(AND(LEFT($E818,2)&lt;&gt;"수입",$E818&lt;&gt;"대체",$I818&gt;0),"지출 과목인데 수입에 적혔습니다",IF($K818="","증빙을 고르십시오",IF(AND($C818="바우처통장",$J818&gt;0,IFERROR(INDEX('통합 ④ 설정'!$E$6:$E$40,MATCH($D818,'통합 ④ 설정'!$B$6:$B$40,0)),"")&lt;&gt;"○"),"바우처통장 지출 — 목적 확인",IF($H818="","적요를 적으십시오",""))))))))))))</f>
        <v/>
      </c>
      <c r="M818" s="39"/>
      <c r="O818" s="11" t="str">
        <f aca="false">IF($B818="","",YEAR($B818)*100+MONTH($B818))</f>
        <v/>
      </c>
      <c r="P818" s="11" t="str">
        <f aca="false">IF($B818="","",IF($E818="대체",0,1))</f>
        <v/>
      </c>
    </row>
    <row r="819" customFormat="false" ht="15" hidden="false" customHeight="false" outlineLevel="0" collapsed="false">
      <c r="A819" s="36" t="str">
        <f aca="false">IF($B819="","",COUNT($B$15:$B819))</f>
        <v/>
      </c>
      <c r="B819" s="37"/>
      <c r="C819" s="38"/>
      <c r="D819" s="39"/>
      <c r="E819" s="36" t="str">
        <f aca="false">IF($D819="","",IFERROR(INDEX('통합 ④ 설정'!$A$6:$A$40,MATCH($D819,'통합 ④ 설정'!$B$6:$B$40,0)),"※없는 과목"))</f>
        <v/>
      </c>
      <c r="F819" s="36" t="str">
        <f aca="false">IF($D819="","",IFERROR(INDEX('통합 ④ 설정'!$C$6:$C$40,MATCH($D819,'통합 ④ 설정'!$B$6:$B$40,0)),""))</f>
        <v/>
      </c>
      <c r="G819" s="39"/>
      <c r="H819" s="39"/>
      <c r="I819" s="40"/>
      <c r="J819" s="41"/>
      <c r="K819" s="38"/>
      <c r="L819" s="42" t="str">
        <f aca="false">IF($B819="","",IF(AND(N($I819)=0,N($J819)=0),"금액이 없습니다",IF(AND($I819&gt;0,$J819&gt;0),"수입·지출 둘 다 적혔습니다",IF($C819="","결제수단을 고르십시오",IF(ISNA(MATCH($C819,'통합 ③ 통장·카드'!$A$5:$A$11,0)),"③ 통장·카드에 없는 결제수단입니다",IF($D819="","계정과목을 고르십시오",IF($E819="※없는 과목","④ 설정에 없는 과목입니다",IF(AND($E819="수입",$J819&gt;0),"수입 과목인데 지출에 적혔습니다",IF(AND(LEFT($E819,2)&lt;&gt;"수입",$E819&lt;&gt;"대체",$I819&gt;0),"지출 과목인데 수입에 적혔습니다",IF($K819="","증빙을 고르십시오",IF(AND($C819="바우처통장",$J819&gt;0,IFERROR(INDEX('통합 ④ 설정'!$E$6:$E$40,MATCH($D819,'통합 ④ 설정'!$B$6:$B$40,0)),"")&lt;&gt;"○"),"바우처통장 지출 — 목적 확인",IF($H819="","적요를 적으십시오",""))))))))))))</f>
        <v/>
      </c>
      <c r="M819" s="39"/>
      <c r="O819" s="11" t="str">
        <f aca="false">IF($B819="","",YEAR($B819)*100+MONTH($B819))</f>
        <v/>
      </c>
      <c r="P819" s="11" t="str">
        <f aca="false">IF($B819="","",IF($E819="대체",0,1))</f>
        <v/>
      </c>
    </row>
    <row r="820" customFormat="false" ht="15" hidden="false" customHeight="false" outlineLevel="0" collapsed="false">
      <c r="A820" s="36" t="str">
        <f aca="false">IF($B820="","",COUNT($B$15:$B820))</f>
        <v/>
      </c>
      <c r="B820" s="37"/>
      <c r="C820" s="38"/>
      <c r="D820" s="39"/>
      <c r="E820" s="36" t="str">
        <f aca="false">IF($D820="","",IFERROR(INDEX('통합 ④ 설정'!$A$6:$A$40,MATCH($D820,'통합 ④ 설정'!$B$6:$B$40,0)),"※없는 과목"))</f>
        <v/>
      </c>
      <c r="F820" s="36" t="str">
        <f aca="false">IF($D820="","",IFERROR(INDEX('통합 ④ 설정'!$C$6:$C$40,MATCH($D820,'통합 ④ 설정'!$B$6:$B$40,0)),""))</f>
        <v/>
      </c>
      <c r="G820" s="39"/>
      <c r="H820" s="39"/>
      <c r="I820" s="40"/>
      <c r="J820" s="41"/>
      <c r="K820" s="38"/>
      <c r="L820" s="42" t="str">
        <f aca="false">IF($B820="","",IF(AND(N($I820)=0,N($J820)=0),"금액이 없습니다",IF(AND($I820&gt;0,$J820&gt;0),"수입·지출 둘 다 적혔습니다",IF($C820="","결제수단을 고르십시오",IF(ISNA(MATCH($C820,'통합 ③ 통장·카드'!$A$5:$A$11,0)),"③ 통장·카드에 없는 결제수단입니다",IF($D820="","계정과목을 고르십시오",IF($E820="※없는 과목","④ 설정에 없는 과목입니다",IF(AND($E820="수입",$J820&gt;0),"수입 과목인데 지출에 적혔습니다",IF(AND(LEFT($E820,2)&lt;&gt;"수입",$E820&lt;&gt;"대체",$I820&gt;0),"지출 과목인데 수입에 적혔습니다",IF($K820="","증빙을 고르십시오",IF(AND($C820="바우처통장",$J820&gt;0,IFERROR(INDEX('통합 ④ 설정'!$E$6:$E$40,MATCH($D820,'통합 ④ 설정'!$B$6:$B$40,0)),"")&lt;&gt;"○"),"바우처통장 지출 — 목적 확인",IF($H820="","적요를 적으십시오",""))))))))))))</f>
        <v/>
      </c>
      <c r="M820" s="39"/>
      <c r="O820" s="11" t="str">
        <f aca="false">IF($B820="","",YEAR($B820)*100+MONTH($B820))</f>
        <v/>
      </c>
      <c r="P820" s="11" t="str">
        <f aca="false">IF($B820="","",IF($E820="대체",0,1))</f>
        <v/>
      </c>
    </row>
    <row r="821" customFormat="false" ht="15" hidden="false" customHeight="false" outlineLevel="0" collapsed="false">
      <c r="A821" s="36" t="str">
        <f aca="false">IF($B821="","",COUNT($B$15:$B821))</f>
        <v/>
      </c>
      <c r="B821" s="37"/>
      <c r="C821" s="38"/>
      <c r="D821" s="39"/>
      <c r="E821" s="36" t="str">
        <f aca="false">IF($D821="","",IFERROR(INDEX('통합 ④ 설정'!$A$6:$A$40,MATCH($D821,'통합 ④ 설정'!$B$6:$B$40,0)),"※없는 과목"))</f>
        <v/>
      </c>
      <c r="F821" s="36" t="str">
        <f aca="false">IF($D821="","",IFERROR(INDEX('통합 ④ 설정'!$C$6:$C$40,MATCH($D821,'통합 ④ 설정'!$B$6:$B$40,0)),""))</f>
        <v/>
      </c>
      <c r="G821" s="39"/>
      <c r="H821" s="39"/>
      <c r="I821" s="40"/>
      <c r="J821" s="41"/>
      <c r="K821" s="38"/>
      <c r="L821" s="42" t="str">
        <f aca="false">IF($B821="","",IF(AND(N($I821)=0,N($J821)=0),"금액이 없습니다",IF(AND($I821&gt;0,$J821&gt;0),"수입·지출 둘 다 적혔습니다",IF($C821="","결제수단을 고르십시오",IF(ISNA(MATCH($C821,'통합 ③ 통장·카드'!$A$5:$A$11,0)),"③ 통장·카드에 없는 결제수단입니다",IF($D821="","계정과목을 고르십시오",IF($E821="※없는 과목","④ 설정에 없는 과목입니다",IF(AND($E821="수입",$J821&gt;0),"수입 과목인데 지출에 적혔습니다",IF(AND(LEFT($E821,2)&lt;&gt;"수입",$E821&lt;&gt;"대체",$I821&gt;0),"지출 과목인데 수입에 적혔습니다",IF($K821="","증빙을 고르십시오",IF(AND($C821="바우처통장",$J821&gt;0,IFERROR(INDEX('통합 ④ 설정'!$E$6:$E$40,MATCH($D821,'통합 ④ 설정'!$B$6:$B$40,0)),"")&lt;&gt;"○"),"바우처통장 지출 — 목적 확인",IF($H821="","적요를 적으십시오",""))))))))))))</f>
        <v/>
      </c>
      <c r="M821" s="39"/>
      <c r="O821" s="11" t="str">
        <f aca="false">IF($B821="","",YEAR($B821)*100+MONTH($B821))</f>
        <v/>
      </c>
      <c r="P821" s="11" t="str">
        <f aca="false">IF($B821="","",IF($E821="대체",0,1))</f>
        <v/>
      </c>
    </row>
    <row r="822" customFormat="false" ht="15" hidden="false" customHeight="false" outlineLevel="0" collapsed="false">
      <c r="A822" s="36" t="str">
        <f aca="false">IF($B822="","",COUNT($B$15:$B822))</f>
        <v/>
      </c>
      <c r="B822" s="37"/>
      <c r="C822" s="38"/>
      <c r="D822" s="39"/>
      <c r="E822" s="36" t="str">
        <f aca="false">IF($D822="","",IFERROR(INDEX('통합 ④ 설정'!$A$6:$A$40,MATCH($D822,'통합 ④ 설정'!$B$6:$B$40,0)),"※없는 과목"))</f>
        <v/>
      </c>
      <c r="F822" s="36" t="str">
        <f aca="false">IF($D822="","",IFERROR(INDEX('통합 ④ 설정'!$C$6:$C$40,MATCH($D822,'통합 ④ 설정'!$B$6:$B$40,0)),""))</f>
        <v/>
      </c>
      <c r="G822" s="39"/>
      <c r="H822" s="39"/>
      <c r="I822" s="40"/>
      <c r="J822" s="41"/>
      <c r="K822" s="38"/>
      <c r="L822" s="42" t="str">
        <f aca="false">IF($B822="","",IF(AND(N($I822)=0,N($J822)=0),"금액이 없습니다",IF(AND($I822&gt;0,$J822&gt;0),"수입·지출 둘 다 적혔습니다",IF($C822="","결제수단을 고르십시오",IF(ISNA(MATCH($C822,'통합 ③ 통장·카드'!$A$5:$A$11,0)),"③ 통장·카드에 없는 결제수단입니다",IF($D822="","계정과목을 고르십시오",IF($E822="※없는 과목","④ 설정에 없는 과목입니다",IF(AND($E822="수입",$J822&gt;0),"수입 과목인데 지출에 적혔습니다",IF(AND(LEFT($E822,2)&lt;&gt;"수입",$E822&lt;&gt;"대체",$I822&gt;0),"지출 과목인데 수입에 적혔습니다",IF($K822="","증빙을 고르십시오",IF(AND($C822="바우처통장",$J822&gt;0,IFERROR(INDEX('통합 ④ 설정'!$E$6:$E$40,MATCH($D822,'통합 ④ 설정'!$B$6:$B$40,0)),"")&lt;&gt;"○"),"바우처통장 지출 — 목적 확인",IF($H822="","적요를 적으십시오",""))))))))))))</f>
        <v/>
      </c>
      <c r="M822" s="39"/>
      <c r="O822" s="11" t="str">
        <f aca="false">IF($B822="","",YEAR($B822)*100+MONTH($B822))</f>
        <v/>
      </c>
      <c r="P822" s="11" t="str">
        <f aca="false">IF($B822="","",IF($E822="대체",0,1))</f>
        <v/>
      </c>
    </row>
    <row r="823" customFormat="false" ht="15" hidden="false" customHeight="false" outlineLevel="0" collapsed="false">
      <c r="A823" s="36" t="str">
        <f aca="false">IF($B823="","",COUNT($B$15:$B823))</f>
        <v/>
      </c>
      <c r="B823" s="37"/>
      <c r="C823" s="38"/>
      <c r="D823" s="39"/>
      <c r="E823" s="36" t="str">
        <f aca="false">IF($D823="","",IFERROR(INDEX('통합 ④ 설정'!$A$6:$A$40,MATCH($D823,'통합 ④ 설정'!$B$6:$B$40,0)),"※없는 과목"))</f>
        <v/>
      </c>
      <c r="F823" s="36" t="str">
        <f aca="false">IF($D823="","",IFERROR(INDEX('통합 ④ 설정'!$C$6:$C$40,MATCH($D823,'통합 ④ 설정'!$B$6:$B$40,0)),""))</f>
        <v/>
      </c>
      <c r="G823" s="39"/>
      <c r="H823" s="39"/>
      <c r="I823" s="40"/>
      <c r="J823" s="41"/>
      <c r="K823" s="38"/>
      <c r="L823" s="42" t="str">
        <f aca="false">IF($B823="","",IF(AND(N($I823)=0,N($J823)=0),"금액이 없습니다",IF(AND($I823&gt;0,$J823&gt;0),"수입·지출 둘 다 적혔습니다",IF($C823="","결제수단을 고르십시오",IF(ISNA(MATCH($C823,'통합 ③ 통장·카드'!$A$5:$A$11,0)),"③ 통장·카드에 없는 결제수단입니다",IF($D823="","계정과목을 고르십시오",IF($E823="※없는 과목","④ 설정에 없는 과목입니다",IF(AND($E823="수입",$J823&gt;0),"수입 과목인데 지출에 적혔습니다",IF(AND(LEFT($E823,2)&lt;&gt;"수입",$E823&lt;&gt;"대체",$I823&gt;0),"지출 과목인데 수입에 적혔습니다",IF($K823="","증빙을 고르십시오",IF(AND($C823="바우처통장",$J823&gt;0,IFERROR(INDEX('통합 ④ 설정'!$E$6:$E$40,MATCH($D823,'통합 ④ 설정'!$B$6:$B$40,0)),"")&lt;&gt;"○"),"바우처통장 지출 — 목적 확인",IF($H823="","적요를 적으십시오",""))))))))))))</f>
        <v/>
      </c>
      <c r="M823" s="39"/>
      <c r="O823" s="11" t="str">
        <f aca="false">IF($B823="","",YEAR($B823)*100+MONTH($B823))</f>
        <v/>
      </c>
      <c r="P823" s="11" t="str">
        <f aca="false">IF($B823="","",IF($E823="대체",0,1))</f>
        <v/>
      </c>
    </row>
    <row r="824" customFormat="false" ht="15" hidden="false" customHeight="false" outlineLevel="0" collapsed="false">
      <c r="A824" s="36" t="str">
        <f aca="false">IF($B824="","",COUNT($B$15:$B824))</f>
        <v/>
      </c>
      <c r="B824" s="37"/>
      <c r="C824" s="38"/>
      <c r="D824" s="39"/>
      <c r="E824" s="36" t="str">
        <f aca="false">IF($D824="","",IFERROR(INDEX('통합 ④ 설정'!$A$6:$A$40,MATCH($D824,'통합 ④ 설정'!$B$6:$B$40,0)),"※없는 과목"))</f>
        <v/>
      </c>
      <c r="F824" s="36" t="str">
        <f aca="false">IF($D824="","",IFERROR(INDEX('통합 ④ 설정'!$C$6:$C$40,MATCH($D824,'통합 ④ 설정'!$B$6:$B$40,0)),""))</f>
        <v/>
      </c>
      <c r="G824" s="39"/>
      <c r="H824" s="39"/>
      <c r="I824" s="40"/>
      <c r="J824" s="41"/>
      <c r="K824" s="38"/>
      <c r="L824" s="42" t="str">
        <f aca="false">IF($B824="","",IF(AND(N($I824)=0,N($J824)=0),"금액이 없습니다",IF(AND($I824&gt;0,$J824&gt;0),"수입·지출 둘 다 적혔습니다",IF($C824="","결제수단을 고르십시오",IF(ISNA(MATCH($C824,'통합 ③ 통장·카드'!$A$5:$A$11,0)),"③ 통장·카드에 없는 결제수단입니다",IF($D824="","계정과목을 고르십시오",IF($E824="※없는 과목","④ 설정에 없는 과목입니다",IF(AND($E824="수입",$J824&gt;0),"수입 과목인데 지출에 적혔습니다",IF(AND(LEFT($E824,2)&lt;&gt;"수입",$E824&lt;&gt;"대체",$I824&gt;0),"지출 과목인데 수입에 적혔습니다",IF($K824="","증빙을 고르십시오",IF(AND($C824="바우처통장",$J824&gt;0,IFERROR(INDEX('통합 ④ 설정'!$E$6:$E$40,MATCH($D824,'통합 ④ 설정'!$B$6:$B$40,0)),"")&lt;&gt;"○"),"바우처통장 지출 — 목적 확인",IF($H824="","적요를 적으십시오",""))))))))))))</f>
        <v/>
      </c>
      <c r="M824" s="39"/>
      <c r="O824" s="11" t="str">
        <f aca="false">IF($B824="","",YEAR($B824)*100+MONTH($B824))</f>
        <v/>
      </c>
      <c r="P824" s="11" t="str">
        <f aca="false">IF($B824="","",IF($E824="대체",0,1))</f>
        <v/>
      </c>
    </row>
    <row r="825" customFormat="false" ht="15" hidden="false" customHeight="false" outlineLevel="0" collapsed="false">
      <c r="A825" s="36" t="str">
        <f aca="false">IF($B825="","",COUNT($B$15:$B825))</f>
        <v/>
      </c>
      <c r="B825" s="37"/>
      <c r="C825" s="38"/>
      <c r="D825" s="39"/>
      <c r="E825" s="36" t="str">
        <f aca="false">IF($D825="","",IFERROR(INDEX('통합 ④ 설정'!$A$6:$A$40,MATCH($D825,'통합 ④ 설정'!$B$6:$B$40,0)),"※없는 과목"))</f>
        <v/>
      </c>
      <c r="F825" s="36" t="str">
        <f aca="false">IF($D825="","",IFERROR(INDEX('통합 ④ 설정'!$C$6:$C$40,MATCH($D825,'통합 ④ 설정'!$B$6:$B$40,0)),""))</f>
        <v/>
      </c>
      <c r="G825" s="39"/>
      <c r="H825" s="39"/>
      <c r="I825" s="40"/>
      <c r="J825" s="41"/>
      <c r="K825" s="38"/>
      <c r="L825" s="42" t="str">
        <f aca="false">IF($B825="","",IF(AND(N($I825)=0,N($J825)=0),"금액이 없습니다",IF(AND($I825&gt;0,$J825&gt;0),"수입·지출 둘 다 적혔습니다",IF($C825="","결제수단을 고르십시오",IF(ISNA(MATCH($C825,'통합 ③ 통장·카드'!$A$5:$A$11,0)),"③ 통장·카드에 없는 결제수단입니다",IF($D825="","계정과목을 고르십시오",IF($E825="※없는 과목","④ 설정에 없는 과목입니다",IF(AND($E825="수입",$J825&gt;0),"수입 과목인데 지출에 적혔습니다",IF(AND(LEFT($E825,2)&lt;&gt;"수입",$E825&lt;&gt;"대체",$I825&gt;0),"지출 과목인데 수입에 적혔습니다",IF($K825="","증빙을 고르십시오",IF(AND($C825="바우처통장",$J825&gt;0,IFERROR(INDEX('통합 ④ 설정'!$E$6:$E$40,MATCH($D825,'통합 ④ 설정'!$B$6:$B$40,0)),"")&lt;&gt;"○"),"바우처통장 지출 — 목적 확인",IF($H825="","적요를 적으십시오",""))))))))))))</f>
        <v/>
      </c>
      <c r="M825" s="39"/>
      <c r="O825" s="11" t="str">
        <f aca="false">IF($B825="","",YEAR($B825)*100+MONTH($B825))</f>
        <v/>
      </c>
      <c r="P825" s="11" t="str">
        <f aca="false">IF($B825="","",IF($E825="대체",0,1))</f>
        <v/>
      </c>
    </row>
    <row r="826" customFormat="false" ht="15" hidden="false" customHeight="false" outlineLevel="0" collapsed="false">
      <c r="A826" s="36" t="str">
        <f aca="false">IF($B826="","",COUNT($B$15:$B826))</f>
        <v/>
      </c>
      <c r="B826" s="37"/>
      <c r="C826" s="38"/>
      <c r="D826" s="39"/>
      <c r="E826" s="36" t="str">
        <f aca="false">IF($D826="","",IFERROR(INDEX('통합 ④ 설정'!$A$6:$A$40,MATCH($D826,'통합 ④ 설정'!$B$6:$B$40,0)),"※없는 과목"))</f>
        <v/>
      </c>
      <c r="F826" s="36" t="str">
        <f aca="false">IF($D826="","",IFERROR(INDEX('통합 ④ 설정'!$C$6:$C$40,MATCH($D826,'통합 ④ 설정'!$B$6:$B$40,0)),""))</f>
        <v/>
      </c>
      <c r="G826" s="39"/>
      <c r="H826" s="39"/>
      <c r="I826" s="40"/>
      <c r="J826" s="41"/>
      <c r="K826" s="38"/>
      <c r="L826" s="42" t="str">
        <f aca="false">IF($B826="","",IF(AND(N($I826)=0,N($J826)=0),"금액이 없습니다",IF(AND($I826&gt;0,$J826&gt;0),"수입·지출 둘 다 적혔습니다",IF($C826="","결제수단을 고르십시오",IF(ISNA(MATCH($C826,'통합 ③ 통장·카드'!$A$5:$A$11,0)),"③ 통장·카드에 없는 결제수단입니다",IF($D826="","계정과목을 고르십시오",IF($E826="※없는 과목","④ 설정에 없는 과목입니다",IF(AND($E826="수입",$J826&gt;0),"수입 과목인데 지출에 적혔습니다",IF(AND(LEFT($E826,2)&lt;&gt;"수입",$E826&lt;&gt;"대체",$I826&gt;0),"지출 과목인데 수입에 적혔습니다",IF($K826="","증빙을 고르십시오",IF(AND($C826="바우처통장",$J826&gt;0,IFERROR(INDEX('통합 ④ 설정'!$E$6:$E$40,MATCH($D826,'통합 ④ 설정'!$B$6:$B$40,0)),"")&lt;&gt;"○"),"바우처통장 지출 — 목적 확인",IF($H826="","적요를 적으십시오",""))))))))))))</f>
        <v/>
      </c>
      <c r="M826" s="39"/>
      <c r="O826" s="11" t="str">
        <f aca="false">IF($B826="","",YEAR($B826)*100+MONTH($B826))</f>
        <v/>
      </c>
      <c r="P826" s="11" t="str">
        <f aca="false">IF($B826="","",IF($E826="대체",0,1))</f>
        <v/>
      </c>
    </row>
    <row r="827" customFormat="false" ht="15" hidden="false" customHeight="false" outlineLevel="0" collapsed="false">
      <c r="A827" s="36" t="str">
        <f aca="false">IF($B827="","",COUNT($B$15:$B827))</f>
        <v/>
      </c>
      <c r="B827" s="37"/>
      <c r="C827" s="38"/>
      <c r="D827" s="39"/>
      <c r="E827" s="36" t="str">
        <f aca="false">IF($D827="","",IFERROR(INDEX('통합 ④ 설정'!$A$6:$A$40,MATCH($D827,'통합 ④ 설정'!$B$6:$B$40,0)),"※없는 과목"))</f>
        <v/>
      </c>
      <c r="F827" s="36" t="str">
        <f aca="false">IF($D827="","",IFERROR(INDEX('통합 ④ 설정'!$C$6:$C$40,MATCH($D827,'통합 ④ 설정'!$B$6:$B$40,0)),""))</f>
        <v/>
      </c>
      <c r="G827" s="39"/>
      <c r="H827" s="39"/>
      <c r="I827" s="40"/>
      <c r="J827" s="41"/>
      <c r="K827" s="38"/>
      <c r="L827" s="42" t="str">
        <f aca="false">IF($B827="","",IF(AND(N($I827)=0,N($J827)=0),"금액이 없습니다",IF(AND($I827&gt;0,$J827&gt;0),"수입·지출 둘 다 적혔습니다",IF($C827="","결제수단을 고르십시오",IF(ISNA(MATCH($C827,'통합 ③ 통장·카드'!$A$5:$A$11,0)),"③ 통장·카드에 없는 결제수단입니다",IF($D827="","계정과목을 고르십시오",IF($E827="※없는 과목","④ 설정에 없는 과목입니다",IF(AND($E827="수입",$J827&gt;0),"수입 과목인데 지출에 적혔습니다",IF(AND(LEFT($E827,2)&lt;&gt;"수입",$E827&lt;&gt;"대체",$I827&gt;0),"지출 과목인데 수입에 적혔습니다",IF($K827="","증빙을 고르십시오",IF(AND($C827="바우처통장",$J827&gt;0,IFERROR(INDEX('통합 ④ 설정'!$E$6:$E$40,MATCH($D827,'통합 ④ 설정'!$B$6:$B$40,0)),"")&lt;&gt;"○"),"바우처통장 지출 — 목적 확인",IF($H827="","적요를 적으십시오",""))))))))))))</f>
        <v/>
      </c>
      <c r="M827" s="39"/>
      <c r="O827" s="11" t="str">
        <f aca="false">IF($B827="","",YEAR($B827)*100+MONTH($B827))</f>
        <v/>
      </c>
      <c r="P827" s="11" t="str">
        <f aca="false">IF($B827="","",IF($E827="대체",0,1))</f>
        <v/>
      </c>
    </row>
    <row r="828" customFormat="false" ht="15" hidden="false" customHeight="false" outlineLevel="0" collapsed="false">
      <c r="A828" s="36" t="str">
        <f aca="false">IF($B828="","",COUNT($B$15:$B828))</f>
        <v/>
      </c>
      <c r="B828" s="37"/>
      <c r="C828" s="38"/>
      <c r="D828" s="39"/>
      <c r="E828" s="36" t="str">
        <f aca="false">IF($D828="","",IFERROR(INDEX('통합 ④ 설정'!$A$6:$A$40,MATCH($D828,'통합 ④ 설정'!$B$6:$B$40,0)),"※없는 과목"))</f>
        <v/>
      </c>
      <c r="F828" s="36" t="str">
        <f aca="false">IF($D828="","",IFERROR(INDEX('통합 ④ 설정'!$C$6:$C$40,MATCH($D828,'통합 ④ 설정'!$B$6:$B$40,0)),""))</f>
        <v/>
      </c>
      <c r="G828" s="39"/>
      <c r="H828" s="39"/>
      <c r="I828" s="40"/>
      <c r="J828" s="41"/>
      <c r="K828" s="38"/>
      <c r="L828" s="42" t="str">
        <f aca="false">IF($B828="","",IF(AND(N($I828)=0,N($J828)=0),"금액이 없습니다",IF(AND($I828&gt;0,$J828&gt;0),"수입·지출 둘 다 적혔습니다",IF($C828="","결제수단을 고르십시오",IF(ISNA(MATCH($C828,'통합 ③ 통장·카드'!$A$5:$A$11,0)),"③ 통장·카드에 없는 결제수단입니다",IF($D828="","계정과목을 고르십시오",IF($E828="※없는 과목","④ 설정에 없는 과목입니다",IF(AND($E828="수입",$J828&gt;0),"수입 과목인데 지출에 적혔습니다",IF(AND(LEFT($E828,2)&lt;&gt;"수입",$E828&lt;&gt;"대체",$I828&gt;0),"지출 과목인데 수입에 적혔습니다",IF($K828="","증빙을 고르십시오",IF(AND($C828="바우처통장",$J828&gt;0,IFERROR(INDEX('통합 ④ 설정'!$E$6:$E$40,MATCH($D828,'통합 ④ 설정'!$B$6:$B$40,0)),"")&lt;&gt;"○"),"바우처통장 지출 — 목적 확인",IF($H828="","적요를 적으십시오",""))))))))))))</f>
        <v/>
      </c>
      <c r="M828" s="39"/>
      <c r="O828" s="11" t="str">
        <f aca="false">IF($B828="","",YEAR($B828)*100+MONTH($B828))</f>
        <v/>
      </c>
      <c r="P828" s="11" t="str">
        <f aca="false">IF($B828="","",IF($E828="대체",0,1))</f>
        <v/>
      </c>
    </row>
    <row r="829" customFormat="false" ht="15" hidden="false" customHeight="false" outlineLevel="0" collapsed="false">
      <c r="A829" s="36" t="str">
        <f aca="false">IF($B829="","",COUNT($B$15:$B829))</f>
        <v/>
      </c>
      <c r="B829" s="37"/>
      <c r="C829" s="38"/>
      <c r="D829" s="39"/>
      <c r="E829" s="36" t="str">
        <f aca="false">IF($D829="","",IFERROR(INDEX('통합 ④ 설정'!$A$6:$A$40,MATCH($D829,'통합 ④ 설정'!$B$6:$B$40,0)),"※없는 과목"))</f>
        <v/>
      </c>
      <c r="F829" s="36" t="str">
        <f aca="false">IF($D829="","",IFERROR(INDEX('통합 ④ 설정'!$C$6:$C$40,MATCH($D829,'통합 ④ 설정'!$B$6:$B$40,0)),""))</f>
        <v/>
      </c>
      <c r="G829" s="39"/>
      <c r="H829" s="39"/>
      <c r="I829" s="40"/>
      <c r="J829" s="41"/>
      <c r="K829" s="38"/>
      <c r="L829" s="42" t="str">
        <f aca="false">IF($B829="","",IF(AND(N($I829)=0,N($J829)=0),"금액이 없습니다",IF(AND($I829&gt;0,$J829&gt;0),"수입·지출 둘 다 적혔습니다",IF($C829="","결제수단을 고르십시오",IF(ISNA(MATCH($C829,'통합 ③ 통장·카드'!$A$5:$A$11,0)),"③ 통장·카드에 없는 결제수단입니다",IF($D829="","계정과목을 고르십시오",IF($E829="※없는 과목","④ 설정에 없는 과목입니다",IF(AND($E829="수입",$J829&gt;0),"수입 과목인데 지출에 적혔습니다",IF(AND(LEFT($E829,2)&lt;&gt;"수입",$E829&lt;&gt;"대체",$I829&gt;0),"지출 과목인데 수입에 적혔습니다",IF($K829="","증빙을 고르십시오",IF(AND($C829="바우처통장",$J829&gt;0,IFERROR(INDEX('통합 ④ 설정'!$E$6:$E$40,MATCH($D829,'통합 ④ 설정'!$B$6:$B$40,0)),"")&lt;&gt;"○"),"바우처통장 지출 — 목적 확인",IF($H829="","적요를 적으십시오",""))))))))))))</f>
        <v/>
      </c>
      <c r="M829" s="39"/>
      <c r="O829" s="11" t="str">
        <f aca="false">IF($B829="","",YEAR($B829)*100+MONTH($B829))</f>
        <v/>
      </c>
      <c r="P829" s="11" t="str">
        <f aca="false">IF($B829="","",IF($E829="대체",0,1))</f>
        <v/>
      </c>
    </row>
    <row r="830" customFormat="false" ht="15" hidden="false" customHeight="false" outlineLevel="0" collapsed="false">
      <c r="A830" s="36" t="str">
        <f aca="false">IF($B830="","",COUNT($B$15:$B830))</f>
        <v/>
      </c>
      <c r="B830" s="37"/>
      <c r="C830" s="38"/>
      <c r="D830" s="39"/>
      <c r="E830" s="36" t="str">
        <f aca="false">IF($D830="","",IFERROR(INDEX('통합 ④ 설정'!$A$6:$A$40,MATCH($D830,'통합 ④ 설정'!$B$6:$B$40,0)),"※없는 과목"))</f>
        <v/>
      </c>
      <c r="F830" s="36" t="str">
        <f aca="false">IF($D830="","",IFERROR(INDEX('통합 ④ 설정'!$C$6:$C$40,MATCH($D830,'통합 ④ 설정'!$B$6:$B$40,0)),""))</f>
        <v/>
      </c>
      <c r="G830" s="39"/>
      <c r="H830" s="39"/>
      <c r="I830" s="40"/>
      <c r="J830" s="41"/>
      <c r="K830" s="38"/>
      <c r="L830" s="42" t="str">
        <f aca="false">IF($B830="","",IF(AND(N($I830)=0,N($J830)=0),"금액이 없습니다",IF(AND($I830&gt;0,$J830&gt;0),"수입·지출 둘 다 적혔습니다",IF($C830="","결제수단을 고르십시오",IF(ISNA(MATCH($C830,'통합 ③ 통장·카드'!$A$5:$A$11,0)),"③ 통장·카드에 없는 결제수단입니다",IF($D830="","계정과목을 고르십시오",IF($E830="※없는 과목","④ 설정에 없는 과목입니다",IF(AND($E830="수입",$J830&gt;0),"수입 과목인데 지출에 적혔습니다",IF(AND(LEFT($E830,2)&lt;&gt;"수입",$E830&lt;&gt;"대체",$I830&gt;0),"지출 과목인데 수입에 적혔습니다",IF($K830="","증빙을 고르십시오",IF(AND($C830="바우처통장",$J830&gt;0,IFERROR(INDEX('통합 ④ 설정'!$E$6:$E$40,MATCH($D830,'통합 ④ 설정'!$B$6:$B$40,0)),"")&lt;&gt;"○"),"바우처통장 지출 — 목적 확인",IF($H830="","적요를 적으십시오",""))))))))))))</f>
        <v/>
      </c>
      <c r="M830" s="39"/>
      <c r="O830" s="11" t="str">
        <f aca="false">IF($B830="","",YEAR($B830)*100+MONTH($B830))</f>
        <v/>
      </c>
      <c r="P830" s="11" t="str">
        <f aca="false">IF($B830="","",IF($E830="대체",0,1))</f>
        <v/>
      </c>
    </row>
    <row r="831" customFormat="false" ht="15" hidden="false" customHeight="false" outlineLevel="0" collapsed="false">
      <c r="A831" s="36" t="str">
        <f aca="false">IF($B831="","",COUNT($B$15:$B831))</f>
        <v/>
      </c>
      <c r="B831" s="37"/>
      <c r="C831" s="38"/>
      <c r="D831" s="39"/>
      <c r="E831" s="36" t="str">
        <f aca="false">IF($D831="","",IFERROR(INDEX('통합 ④ 설정'!$A$6:$A$40,MATCH($D831,'통합 ④ 설정'!$B$6:$B$40,0)),"※없는 과목"))</f>
        <v/>
      </c>
      <c r="F831" s="36" t="str">
        <f aca="false">IF($D831="","",IFERROR(INDEX('통합 ④ 설정'!$C$6:$C$40,MATCH($D831,'통합 ④ 설정'!$B$6:$B$40,0)),""))</f>
        <v/>
      </c>
      <c r="G831" s="39"/>
      <c r="H831" s="39"/>
      <c r="I831" s="40"/>
      <c r="J831" s="41"/>
      <c r="K831" s="38"/>
      <c r="L831" s="42" t="str">
        <f aca="false">IF($B831="","",IF(AND(N($I831)=0,N($J831)=0),"금액이 없습니다",IF(AND($I831&gt;0,$J831&gt;0),"수입·지출 둘 다 적혔습니다",IF($C831="","결제수단을 고르십시오",IF(ISNA(MATCH($C831,'통합 ③ 통장·카드'!$A$5:$A$11,0)),"③ 통장·카드에 없는 결제수단입니다",IF($D831="","계정과목을 고르십시오",IF($E831="※없는 과목","④ 설정에 없는 과목입니다",IF(AND($E831="수입",$J831&gt;0),"수입 과목인데 지출에 적혔습니다",IF(AND(LEFT($E831,2)&lt;&gt;"수입",$E831&lt;&gt;"대체",$I831&gt;0),"지출 과목인데 수입에 적혔습니다",IF($K831="","증빙을 고르십시오",IF(AND($C831="바우처통장",$J831&gt;0,IFERROR(INDEX('통합 ④ 설정'!$E$6:$E$40,MATCH($D831,'통합 ④ 설정'!$B$6:$B$40,0)),"")&lt;&gt;"○"),"바우처통장 지출 — 목적 확인",IF($H831="","적요를 적으십시오",""))))))))))))</f>
        <v/>
      </c>
      <c r="M831" s="39"/>
      <c r="O831" s="11" t="str">
        <f aca="false">IF($B831="","",YEAR($B831)*100+MONTH($B831))</f>
        <v/>
      </c>
      <c r="P831" s="11" t="str">
        <f aca="false">IF($B831="","",IF($E831="대체",0,1))</f>
        <v/>
      </c>
    </row>
    <row r="832" customFormat="false" ht="15" hidden="false" customHeight="false" outlineLevel="0" collapsed="false">
      <c r="A832" s="36" t="str">
        <f aca="false">IF($B832="","",COUNT($B$15:$B832))</f>
        <v/>
      </c>
      <c r="B832" s="37"/>
      <c r="C832" s="38"/>
      <c r="D832" s="39"/>
      <c r="E832" s="36" t="str">
        <f aca="false">IF($D832="","",IFERROR(INDEX('통합 ④ 설정'!$A$6:$A$40,MATCH($D832,'통합 ④ 설정'!$B$6:$B$40,0)),"※없는 과목"))</f>
        <v/>
      </c>
      <c r="F832" s="36" t="str">
        <f aca="false">IF($D832="","",IFERROR(INDEX('통합 ④ 설정'!$C$6:$C$40,MATCH($D832,'통합 ④ 설정'!$B$6:$B$40,0)),""))</f>
        <v/>
      </c>
      <c r="G832" s="39"/>
      <c r="H832" s="39"/>
      <c r="I832" s="40"/>
      <c r="J832" s="41"/>
      <c r="K832" s="38"/>
      <c r="L832" s="42" t="str">
        <f aca="false">IF($B832="","",IF(AND(N($I832)=0,N($J832)=0),"금액이 없습니다",IF(AND($I832&gt;0,$J832&gt;0),"수입·지출 둘 다 적혔습니다",IF($C832="","결제수단을 고르십시오",IF(ISNA(MATCH($C832,'통합 ③ 통장·카드'!$A$5:$A$11,0)),"③ 통장·카드에 없는 결제수단입니다",IF($D832="","계정과목을 고르십시오",IF($E832="※없는 과목","④ 설정에 없는 과목입니다",IF(AND($E832="수입",$J832&gt;0),"수입 과목인데 지출에 적혔습니다",IF(AND(LEFT($E832,2)&lt;&gt;"수입",$E832&lt;&gt;"대체",$I832&gt;0),"지출 과목인데 수입에 적혔습니다",IF($K832="","증빙을 고르십시오",IF(AND($C832="바우처통장",$J832&gt;0,IFERROR(INDEX('통합 ④ 설정'!$E$6:$E$40,MATCH($D832,'통합 ④ 설정'!$B$6:$B$40,0)),"")&lt;&gt;"○"),"바우처통장 지출 — 목적 확인",IF($H832="","적요를 적으십시오",""))))))))))))</f>
        <v/>
      </c>
      <c r="M832" s="39"/>
      <c r="O832" s="11" t="str">
        <f aca="false">IF($B832="","",YEAR($B832)*100+MONTH($B832))</f>
        <v/>
      </c>
      <c r="P832" s="11" t="str">
        <f aca="false">IF($B832="","",IF($E832="대체",0,1))</f>
        <v/>
      </c>
    </row>
    <row r="833" customFormat="false" ht="15" hidden="false" customHeight="false" outlineLevel="0" collapsed="false">
      <c r="A833" s="36" t="str">
        <f aca="false">IF($B833="","",COUNT($B$15:$B833))</f>
        <v/>
      </c>
      <c r="B833" s="37"/>
      <c r="C833" s="38"/>
      <c r="D833" s="39"/>
      <c r="E833" s="36" t="str">
        <f aca="false">IF($D833="","",IFERROR(INDEX('통합 ④ 설정'!$A$6:$A$40,MATCH($D833,'통합 ④ 설정'!$B$6:$B$40,0)),"※없는 과목"))</f>
        <v/>
      </c>
      <c r="F833" s="36" t="str">
        <f aca="false">IF($D833="","",IFERROR(INDEX('통합 ④ 설정'!$C$6:$C$40,MATCH($D833,'통합 ④ 설정'!$B$6:$B$40,0)),""))</f>
        <v/>
      </c>
      <c r="G833" s="39"/>
      <c r="H833" s="39"/>
      <c r="I833" s="40"/>
      <c r="J833" s="41"/>
      <c r="K833" s="38"/>
      <c r="L833" s="42" t="str">
        <f aca="false">IF($B833="","",IF(AND(N($I833)=0,N($J833)=0),"금액이 없습니다",IF(AND($I833&gt;0,$J833&gt;0),"수입·지출 둘 다 적혔습니다",IF($C833="","결제수단을 고르십시오",IF(ISNA(MATCH($C833,'통합 ③ 통장·카드'!$A$5:$A$11,0)),"③ 통장·카드에 없는 결제수단입니다",IF($D833="","계정과목을 고르십시오",IF($E833="※없는 과목","④ 설정에 없는 과목입니다",IF(AND($E833="수입",$J833&gt;0),"수입 과목인데 지출에 적혔습니다",IF(AND(LEFT($E833,2)&lt;&gt;"수입",$E833&lt;&gt;"대체",$I833&gt;0),"지출 과목인데 수입에 적혔습니다",IF($K833="","증빙을 고르십시오",IF(AND($C833="바우처통장",$J833&gt;0,IFERROR(INDEX('통합 ④ 설정'!$E$6:$E$40,MATCH($D833,'통합 ④ 설정'!$B$6:$B$40,0)),"")&lt;&gt;"○"),"바우처통장 지출 — 목적 확인",IF($H833="","적요를 적으십시오",""))))))))))))</f>
        <v/>
      </c>
      <c r="M833" s="39"/>
      <c r="O833" s="11" t="str">
        <f aca="false">IF($B833="","",YEAR($B833)*100+MONTH($B833))</f>
        <v/>
      </c>
      <c r="P833" s="11" t="str">
        <f aca="false">IF($B833="","",IF($E833="대체",0,1))</f>
        <v/>
      </c>
    </row>
    <row r="834" customFormat="false" ht="15" hidden="false" customHeight="false" outlineLevel="0" collapsed="false">
      <c r="A834" s="36" t="str">
        <f aca="false">IF($B834="","",COUNT($B$15:$B834))</f>
        <v/>
      </c>
      <c r="B834" s="37"/>
      <c r="C834" s="38"/>
      <c r="D834" s="39"/>
      <c r="E834" s="36" t="str">
        <f aca="false">IF($D834="","",IFERROR(INDEX('통합 ④ 설정'!$A$6:$A$40,MATCH($D834,'통합 ④ 설정'!$B$6:$B$40,0)),"※없는 과목"))</f>
        <v/>
      </c>
      <c r="F834" s="36" t="str">
        <f aca="false">IF($D834="","",IFERROR(INDEX('통합 ④ 설정'!$C$6:$C$40,MATCH($D834,'통합 ④ 설정'!$B$6:$B$40,0)),""))</f>
        <v/>
      </c>
      <c r="G834" s="39"/>
      <c r="H834" s="39"/>
      <c r="I834" s="40"/>
      <c r="J834" s="41"/>
      <c r="K834" s="38"/>
      <c r="L834" s="42" t="str">
        <f aca="false">IF($B834="","",IF(AND(N($I834)=0,N($J834)=0),"금액이 없습니다",IF(AND($I834&gt;0,$J834&gt;0),"수입·지출 둘 다 적혔습니다",IF($C834="","결제수단을 고르십시오",IF(ISNA(MATCH($C834,'통합 ③ 통장·카드'!$A$5:$A$11,0)),"③ 통장·카드에 없는 결제수단입니다",IF($D834="","계정과목을 고르십시오",IF($E834="※없는 과목","④ 설정에 없는 과목입니다",IF(AND($E834="수입",$J834&gt;0),"수입 과목인데 지출에 적혔습니다",IF(AND(LEFT($E834,2)&lt;&gt;"수입",$E834&lt;&gt;"대체",$I834&gt;0),"지출 과목인데 수입에 적혔습니다",IF($K834="","증빙을 고르십시오",IF(AND($C834="바우처통장",$J834&gt;0,IFERROR(INDEX('통합 ④ 설정'!$E$6:$E$40,MATCH($D834,'통합 ④ 설정'!$B$6:$B$40,0)),"")&lt;&gt;"○"),"바우처통장 지출 — 목적 확인",IF($H834="","적요를 적으십시오",""))))))))))))</f>
        <v/>
      </c>
      <c r="M834" s="39"/>
      <c r="O834" s="11" t="str">
        <f aca="false">IF($B834="","",YEAR($B834)*100+MONTH($B834))</f>
        <v/>
      </c>
      <c r="P834" s="11" t="str">
        <f aca="false">IF($B834="","",IF($E834="대체",0,1))</f>
        <v/>
      </c>
    </row>
    <row r="835" customFormat="false" ht="15" hidden="false" customHeight="false" outlineLevel="0" collapsed="false">
      <c r="A835" s="36" t="str">
        <f aca="false">IF($B835="","",COUNT($B$15:$B835))</f>
        <v/>
      </c>
      <c r="B835" s="37"/>
      <c r="C835" s="38"/>
      <c r="D835" s="39"/>
      <c r="E835" s="36" t="str">
        <f aca="false">IF($D835="","",IFERROR(INDEX('통합 ④ 설정'!$A$6:$A$40,MATCH($D835,'통합 ④ 설정'!$B$6:$B$40,0)),"※없는 과목"))</f>
        <v/>
      </c>
      <c r="F835" s="36" t="str">
        <f aca="false">IF($D835="","",IFERROR(INDEX('통합 ④ 설정'!$C$6:$C$40,MATCH($D835,'통합 ④ 설정'!$B$6:$B$40,0)),""))</f>
        <v/>
      </c>
      <c r="G835" s="39"/>
      <c r="H835" s="39"/>
      <c r="I835" s="40"/>
      <c r="J835" s="41"/>
      <c r="K835" s="38"/>
      <c r="L835" s="42" t="str">
        <f aca="false">IF($B835="","",IF(AND(N($I835)=0,N($J835)=0),"금액이 없습니다",IF(AND($I835&gt;0,$J835&gt;0),"수입·지출 둘 다 적혔습니다",IF($C835="","결제수단을 고르십시오",IF(ISNA(MATCH($C835,'통합 ③ 통장·카드'!$A$5:$A$11,0)),"③ 통장·카드에 없는 결제수단입니다",IF($D835="","계정과목을 고르십시오",IF($E835="※없는 과목","④ 설정에 없는 과목입니다",IF(AND($E835="수입",$J835&gt;0),"수입 과목인데 지출에 적혔습니다",IF(AND(LEFT($E835,2)&lt;&gt;"수입",$E835&lt;&gt;"대체",$I835&gt;0),"지출 과목인데 수입에 적혔습니다",IF($K835="","증빙을 고르십시오",IF(AND($C835="바우처통장",$J835&gt;0,IFERROR(INDEX('통합 ④ 설정'!$E$6:$E$40,MATCH($D835,'통합 ④ 설정'!$B$6:$B$40,0)),"")&lt;&gt;"○"),"바우처통장 지출 — 목적 확인",IF($H835="","적요를 적으십시오",""))))))))))))</f>
        <v/>
      </c>
      <c r="M835" s="39"/>
      <c r="O835" s="11" t="str">
        <f aca="false">IF($B835="","",YEAR($B835)*100+MONTH($B835))</f>
        <v/>
      </c>
      <c r="P835" s="11" t="str">
        <f aca="false">IF($B835="","",IF($E835="대체",0,1))</f>
        <v/>
      </c>
    </row>
    <row r="836" customFormat="false" ht="15" hidden="false" customHeight="false" outlineLevel="0" collapsed="false">
      <c r="A836" s="36" t="str">
        <f aca="false">IF($B836="","",COUNT($B$15:$B836))</f>
        <v/>
      </c>
      <c r="B836" s="37"/>
      <c r="C836" s="38"/>
      <c r="D836" s="39"/>
      <c r="E836" s="36" t="str">
        <f aca="false">IF($D836="","",IFERROR(INDEX('통합 ④ 설정'!$A$6:$A$40,MATCH($D836,'통합 ④ 설정'!$B$6:$B$40,0)),"※없는 과목"))</f>
        <v/>
      </c>
      <c r="F836" s="36" t="str">
        <f aca="false">IF($D836="","",IFERROR(INDEX('통합 ④ 설정'!$C$6:$C$40,MATCH($D836,'통합 ④ 설정'!$B$6:$B$40,0)),""))</f>
        <v/>
      </c>
      <c r="G836" s="39"/>
      <c r="H836" s="39"/>
      <c r="I836" s="40"/>
      <c r="J836" s="41"/>
      <c r="K836" s="38"/>
      <c r="L836" s="42" t="str">
        <f aca="false">IF($B836="","",IF(AND(N($I836)=0,N($J836)=0),"금액이 없습니다",IF(AND($I836&gt;0,$J836&gt;0),"수입·지출 둘 다 적혔습니다",IF($C836="","결제수단을 고르십시오",IF(ISNA(MATCH($C836,'통합 ③ 통장·카드'!$A$5:$A$11,0)),"③ 통장·카드에 없는 결제수단입니다",IF($D836="","계정과목을 고르십시오",IF($E836="※없는 과목","④ 설정에 없는 과목입니다",IF(AND($E836="수입",$J836&gt;0),"수입 과목인데 지출에 적혔습니다",IF(AND(LEFT($E836,2)&lt;&gt;"수입",$E836&lt;&gt;"대체",$I836&gt;0),"지출 과목인데 수입에 적혔습니다",IF($K836="","증빙을 고르십시오",IF(AND($C836="바우처통장",$J836&gt;0,IFERROR(INDEX('통합 ④ 설정'!$E$6:$E$40,MATCH($D836,'통합 ④ 설정'!$B$6:$B$40,0)),"")&lt;&gt;"○"),"바우처통장 지출 — 목적 확인",IF($H836="","적요를 적으십시오",""))))))))))))</f>
        <v/>
      </c>
      <c r="M836" s="39"/>
      <c r="O836" s="11" t="str">
        <f aca="false">IF($B836="","",YEAR($B836)*100+MONTH($B836))</f>
        <v/>
      </c>
      <c r="P836" s="11" t="str">
        <f aca="false">IF($B836="","",IF($E836="대체",0,1))</f>
        <v/>
      </c>
    </row>
    <row r="837" customFormat="false" ht="15" hidden="false" customHeight="false" outlineLevel="0" collapsed="false">
      <c r="A837" s="36" t="str">
        <f aca="false">IF($B837="","",COUNT($B$15:$B837))</f>
        <v/>
      </c>
      <c r="B837" s="37"/>
      <c r="C837" s="38"/>
      <c r="D837" s="39"/>
      <c r="E837" s="36" t="str">
        <f aca="false">IF($D837="","",IFERROR(INDEX('통합 ④ 설정'!$A$6:$A$40,MATCH($D837,'통합 ④ 설정'!$B$6:$B$40,0)),"※없는 과목"))</f>
        <v/>
      </c>
      <c r="F837" s="36" t="str">
        <f aca="false">IF($D837="","",IFERROR(INDEX('통합 ④ 설정'!$C$6:$C$40,MATCH($D837,'통합 ④ 설정'!$B$6:$B$40,0)),""))</f>
        <v/>
      </c>
      <c r="G837" s="39"/>
      <c r="H837" s="39"/>
      <c r="I837" s="40"/>
      <c r="J837" s="41"/>
      <c r="K837" s="38"/>
      <c r="L837" s="42" t="str">
        <f aca="false">IF($B837="","",IF(AND(N($I837)=0,N($J837)=0),"금액이 없습니다",IF(AND($I837&gt;0,$J837&gt;0),"수입·지출 둘 다 적혔습니다",IF($C837="","결제수단을 고르십시오",IF(ISNA(MATCH($C837,'통합 ③ 통장·카드'!$A$5:$A$11,0)),"③ 통장·카드에 없는 결제수단입니다",IF($D837="","계정과목을 고르십시오",IF($E837="※없는 과목","④ 설정에 없는 과목입니다",IF(AND($E837="수입",$J837&gt;0),"수입 과목인데 지출에 적혔습니다",IF(AND(LEFT($E837,2)&lt;&gt;"수입",$E837&lt;&gt;"대체",$I837&gt;0),"지출 과목인데 수입에 적혔습니다",IF($K837="","증빙을 고르십시오",IF(AND($C837="바우처통장",$J837&gt;0,IFERROR(INDEX('통합 ④ 설정'!$E$6:$E$40,MATCH($D837,'통합 ④ 설정'!$B$6:$B$40,0)),"")&lt;&gt;"○"),"바우처통장 지출 — 목적 확인",IF($H837="","적요를 적으십시오",""))))))))))))</f>
        <v/>
      </c>
      <c r="M837" s="39"/>
      <c r="O837" s="11" t="str">
        <f aca="false">IF($B837="","",YEAR($B837)*100+MONTH($B837))</f>
        <v/>
      </c>
      <c r="P837" s="11" t="str">
        <f aca="false">IF($B837="","",IF($E837="대체",0,1))</f>
        <v/>
      </c>
    </row>
    <row r="838" customFormat="false" ht="15" hidden="false" customHeight="false" outlineLevel="0" collapsed="false">
      <c r="A838" s="36" t="str">
        <f aca="false">IF($B838="","",COUNT($B$15:$B838))</f>
        <v/>
      </c>
      <c r="B838" s="37"/>
      <c r="C838" s="38"/>
      <c r="D838" s="39"/>
      <c r="E838" s="36" t="str">
        <f aca="false">IF($D838="","",IFERROR(INDEX('통합 ④ 설정'!$A$6:$A$40,MATCH($D838,'통합 ④ 설정'!$B$6:$B$40,0)),"※없는 과목"))</f>
        <v/>
      </c>
      <c r="F838" s="36" t="str">
        <f aca="false">IF($D838="","",IFERROR(INDEX('통합 ④ 설정'!$C$6:$C$40,MATCH($D838,'통합 ④ 설정'!$B$6:$B$40,0)),""))</f>
        <v/>
      </c>
      <c r="G838" s="39"/>
      <c r="H838" s="39"/>
      <c r="I838" s="40"/>
      <c r="J838" s="41"/>
      <c r="K838" s="38"/>
      <c r="L838" s="42" t="str">
        <f aca="false">IF($B838="","",IF(AND(N($I838)=0,N($J838)=0),"금액이 없습니다",IF(AND($I838&gt;0,$J838&gt;0),"수입·지출 둘 다 적혔습니다",IF($C838="","결제수단을 고르십시오",IF(ISNA(MATCH($C838,'통합 ③ 통장·카드'!$A$5:$A$11,0)),"③ 통장·카드에 없는 결제수단입니다",IF($D838="","계정과목을 고르십시오",IF($E838="※없는 과목","④ 설정에 없는 과목입니다",IF(AND($E838="수입",$J838&gt;0),"수입 과목인데 지출에 적혔습니다",IF(AND(LEFT($E838,2)&lt;&gt;"수입",$E838&lt;&gt;"대체",$I838&gt;0),"지출 과목인데 수입에 적혔습니다",IF($K838="","증빙을 고르십시오",IF(AND($C838="바우처통장",$J838&gt;0,IFERROR(INDEX('통합 ④ 설정'!$E$6:$E$40,MATCH($D838,'통합 ④ 설정'!$B$6:$B$40,0)),"")&lt;&gt;"○"),"바우처통장 지출 — 목적 확인",IF($H838="","적요를 적으십시오",""))))))))))))</f>
        <v/>
      </c>
      <c r="M838" s="39"/>
      <c r="O838" s="11" t="str">
        <f aca="false">IF($B838="","",YEAR($B838)*100+MONTH($B838))</f>
        <v/>
      </c>
      <c r="P838" s="11" t="str">
        <f aca="false">IF($B838="","",IF($E838="대체",0,1))</f>
        <v/>
      </c>
    </row>
    <row r="839" customFormat="false" ht="15" hidden="false" customHeight="false" outlineLevel="0" collapsed="false">
      <c r="A839" s="36" t="str">
        <f aca="false">IF($B839="","",COUNT($B$15:$B839))</f>
        <v/>
      </c>
      <c r="B839" s="37"/>
      <c r="C839" s="38"/>
      <c r="D839" s="39"/>
      <c r="E839" s="36" t="str">
        <f aca="false">IF($D839="","",IFERROR(INDEX('통합 ④ 설정'!$A$6:$A$40,MATCH($D839,'통합 ④ 설정'!$B$6:$B$40,0)),"※없는 과목"))</f>
        <v/>
      </c>
      <c r="F839" s="36" t="str">
        <f aca="false">IF($D839="","",IFERROR(INDEX('통합 ④ 설정'!$C$6:$C$40,MATCH($D839,'통합 ④ 설정'!$B$6:$B$40,0)),""))</f>
        <v/>
      </c>
      <c r="G839" s="39"/>
      <c r="H839" s="39"/>
      <c r="I839" s="40"/>
      <c r="J839" s="41"/>
      <c r="K839" s="38"/>
      <c r="L839" s="42" t="str">
        <f aca="false">IF($B839="","",IF(AND(N($I839)=0,N($J839)=0),"금액이 없습니다",IF(AND($I839&gt;0,$J839&gt;0),"수입·지출 둘 다 적혔습니다",IF($C839="","결제수단을 고르십시오",IF(ISNA(MATCH($C839,'통합 ③ 통장·카드'!$A$5:$A$11,0)),"③ 통장·카드에 없는 결제수단입니다",IF($D839="","계정과목을 고르십시오",IF($E839="※없는 과목","④ 설정에 없는 과목입니다",IF(AND($E839="수입",$J839&gt;0),"수입 과목인데 지출에 적혔습니다",IF(AND(LEFT($E839,2)&lt;&gt;"수입",$E839&lt;&gt;"대체",$I839&gt;0),"지출 과목인데 수입에 적혔습니다",IF($K839="","증빙을 고르십시오",IF(AND($C839="바우처통장",$J839&gt;0,IFERROR(INDEX('통합 ④ 설정'!$E$6:$E$40,MATCH($D839,'통합 ④ 설정'!$B$6:$B$40,0)),"")&lt;&gt;"○"),"바우처통장 지출 — 목적 확인",IF($H839="","적요를 적으십시오",""))))))))))))</f>
        <v/>
      </c>
      <c r="M839" s="39"/>
      <c r="O839" s="11" t="str">
        <f aca="false">IF($B839="","",YEAR($B839)*100+MONTH($B839))</f>
        <v/>
      </c>
      <c r="P839" s="11" t="str">
        <f aca="false">IF($B839="","",IF($E839="대체",0,1))</f>
        <v/>
      </c>
    </row>
    <row r="840" customFormat="false" ht="15" hidden="false" customHeight="false" outlineLevel="0" collapsed="false">
      <c r="A840" s="36" t="str">
        <f aca="false">IF($B840="","",COUNT($B$15:$B840))</f>
        <v/>
      </c>
      <c r="B840" s="37"/>
      <c r="C840" s="38"/>
      <c r="D840" s="39"/>
      <c r="E840" s="36" t="str">
        <f aca="false">IF($D840="","",IFERROR(INDEX('통합 ④ 설정'!$A$6:$A$40,MATCH($D840,'통합 ④ 설정'!$B$6:$B$40,0)),"※없는 과목"))</f>
        <v/>
      </c>
      <c r="F840" s="36" t="str">
        <f aca="false">IF($D840="","",IFERROR(INDEX('통합 ④ 설정'!$C$6:$C$40,MATCH($D840,'통합 ④ 설정'!$B$6:$B$40,0)),""))</f>
        <v/>
      </c>
      <c r="G840" s="39"/>
      <c r="H840" s="39"/>
      <c r="I840" s="40"/>
      <c r="J840" s="41"/>
      <c r="K840" s="38"/>
      <c r="L840" s="42" t="str">
        <f aca="false">IF($B840="","",IF(AND(N($I840)=0,N($J840)=0),"금액이 없습니다",IF(AND($I840&gt;0,$J840&gt;0),"수입·지출 둘 다 적혔습니다",IF($C840="","결제수단을 고르십시오",IF(ISNA(MATCH($C840,'통합 ③ 통장·카드'!$A$5:$A$11,0)),"③ 통장·카드에 없는 결제수단입니다",IF($D840="","계정과목을 고르십시오",IF($E840="※없는 과목","④ 설정에 없는 과목입니다",IF(AND($E840="수입",$J840&gt;0),"수입 과목인데 지출에 적혔습니다",IF(AND(LEFT($E840,2)&lt;&gt;"수입",$E840&lt;&gt;"대체",$I840&gt;0),"지출 과목인데 수입에 적혔습니다",IF($K840="","증빙을 고르십시오",IF(AND($C840="바우처통장",$J840&gt;0,IFERROR(INDEX('통합 ④ 설정'!$E$6:$E$40,MATCH($D840,'통합 ④ 설정'!$B$6:$B$40,0)),"")&lt;&gt;"○"),"바우처통장 지출 — 목적 확인",IF($H840="","적요를 적으십시오",""))))))))))))</f>
        <v/>
      </c>
      <c r="M840" s="39"/>
      <c r="O840" s="11" t="str">
        <f aca="false">IF($B840="","",YEAR($B840)*100+MONTH($B840))</f>
        <v/>
      </c>
      <c r="P840" s="11" t="str">
        <f aca="false">IF($B840="","",IF($E840="대체",0,1))</f>
        <v/>
      </c>
    </row>
    <row r="841" customFormat="false" ht="15" hidden="false" customHeight="false" outlineLevel="0" collapsed="false">
      <c r="A841" s="36" t="str">
        <f aca="false">IF($B841="","",COUNT($B$15:$B841))</f>
        <v/>
      </c>
      <c r="B841" s="37"/>
      <c r="C841" s="38"/>
      <c r="D841" s="39"/>
      <c r="E841" s="36" t="str">
        <f aca="false">IF($D841="","",IFERROR(INDEX('통합 ④ 설정'!$A$6:$A$40,MATCH($D841,'통합 ④ 설정'!$B$6:$B$40,0)),"※없는 과목"))</f>
        <v/>
      </c>
      <c r="F841" s="36" t="str">
        <f aca="false">IF($D841="","",IFERROR(INDEX('통합 ④ 설정'!$C$6:$C$40,MATCH($D841,'통합 ④ 설정'!$B$6:$B$40,0)),""))</f>
        <v/>
      </c>
      <c r="G841" s="39"/>
      <c r="H841" s="39"/>
      <c r="I841" s="40"/>
      <c r="J841" s="41"/>
      <c r="K841" s="38"/>
      <c r="L841" s="42" t="str">
        <f aca="false">IF($B841="","",IF(AND(N($I841)=0,N($J841)=0),"금액이 없습니다",IF(AND($I841&gt;0,$J841&gt;0),"수입·지출 둘 다 적혔습니다",IF($C841="","결제수단을 고르십시오",IF(ISNA(MATCH($C841,'통합 ③ 통장·카드'!$A$5:$A$11,0)),"③ 통장·카드에 없는 결제수단입니다",IF($D841="","계정과목을 고르십시오",IF($E841="※없는 과목","④ 설정에 없는 과목입니다",IF(AND($E841="수입",$J841&gt;0),"수입 과목인데 지출에 적혔습니다",IF(AND(LEFT($E841,2)&lt;&gt;"수입",$E841&lt;&gt;"대체",$I841&gt;0),"지출 과목인데 수입에 적혔습니다",IF($K841="","증빙을 고르십시오",IF(AND($C841="바우처통장",$J841&gt;0,IFERROR(INDEX('통합 ④ 설정'!$E$6:$E$40,MATCH($D841,'통합 ④ 설정'!$B$6:$B$40,0)),"")&lt;&gt;"○"),"바우처통장 지출 — 목적 확인",IF($H841="","적요를 적으십시오",""))))))))))))</f>
        <v/>
      </c>
      <c r="M841" s="39"/>
      <c r="O841" s="11" t="str">
        <f aca="false">IF($B841="","",YEAR($B841)*100+MONTH($B841))</f>
        <v/>
      </c>
      <c r="P841" s="11" t="str">
        <f aca="false">IF($B841="","",IF($E841="대체",0,1))</f>
        <v/>
      </c>
    </row>
    <row r="842" customFormat="false" ht="15" hidden="false" customHeight="false" outlineLevel="0" collapsed="false">
      <c r="A842" s="36" t="str">
        <f aca="false">IF($B842="","",COUNT($B$15:$B842))</f>
        <v/>
      </c>
      <c r="B842" s="37"/>
      <c r="C842" s="38"/>
      <c r="D842" s="39"/>
      <c r="E842" s="36" t="str">
        <f aca="false">IF($D842="","",IFERROR(INDEX('통합 ④ 설정'!$A$6:$A$40,MATCH($D842,'통합 ④ 설정'!$B$6:$B$40,0)),"※없는 과목"))</f>
        <v/>
      </c>
      <c r="F842" s="36" t="str">
        <f aca="false">IF($D842="","",IFERROR(INDEX('통합 ④ 설정'!$C$6:$C$40,MATCH($D842,'통합 ④ 설정'!$B$6:$B$40,0)),""))</f>
        <v/>
      </c>
      <c r="G842" s="39"/>
      <c r="H842" s="39"/>
      <c r="I842" s="40"/>
      <c r="J842" s="41"/>
      <c r="K842" s="38"/>
      <c r="L842" s="42" t="str">
        <f aca="false">IF($B842="","",IF(AND(N($I842)=0,N($J842)=0),"금액이 없습니다",IF(AND($I842&gt;0,$J842&gt;0),"수입·지출 둘 다 적혔습니다",IF($C842="","결제수단을 고르십시오",IF(ISNA(MATCH($C842,'통합 ③ 통장·카드'!$A$5:$A$11,0)),"③ 통장·카드에 없는 결제수단입니다",IF($D842="","계정과목을 고르십시오",IF($E842="※없는 과목","④ 설정에 없는 과목입니다",IF(AND($E842="수입",$J842&gt;0),"수입 과목인데 지출에 적혔습니다",IF(AND(LEFT($E842,2)&lt;&gt;"수입",$E842&lt;&gt;"대체",$I842&gt;0),"지출 과목인데 수입에 적혔습니다",IF($K842="","증빙을 고르십시오",IF(AND($C842="바우처통장",$J842&gt;0,IFERROR(INDEX('통합 ④ 설정'!$E$6:$E$40,MATCH($D842,'통합 ④ 설정'!$B$6:$B$40,0)),"")&lt;&gt;"○"),"바우처통장 지출 — 목적 확인",IF($H842="","적요를 적으십시오",""))))))))))))</f>
        <v/>
      </c>
      <c r="M842" s="39"/>
      <c r="O842" s="11" t="str">
        <f aca="false">IF($B842="","",YEAR($B842)*100+MONTH($B842))</f>
        <v/>
      </c>
      <c r="P842" s="11" t="str">
        <f aca="false">IF($B842="","",IF($E842="대체",0,1))</f>
        <v/>
      </c>
    </row>
    <row r="843" customFormat="false" ht="15" hidden="false" customHeight="false" outlineLevel="0" collapsed="false">
      <c r="A843" s="36" t="str">
        <f aca="false">IF($B843="","",COUNT($B$15:$B843))</f>
        <v/>
      </c>
      <c r="B843" s="37"/>
      <c r="C843" s="38"/>
      <c r="D843" s="39"/>
      <c r="E843" s="36" t="str">
        <f aca="false">IF($D843="","",IFERROR(INDEX('통합 ④ 설정'!$A$6:$A$40,MATCH($D843,'통합 ④ 설정'!$B$6:$B$40,0)),"※없는 과목"))</f>
        <v/>
      </c>
      <c r="F843" s="36" t="str">
        <f aca="false">IF($D843="","",IFERROR(INDEX('통합 ④ 설정'!$C$6:$C$40,MATCH($D843,'통합 ④ 설정'!$B$6:$B$40,0)),""))</f>
        <v/>
      </c>
      <c r="G843" s="39"/>
      <c r="H843" s="39"/>
      <c r="I843" s="40"/>
      <c r="J843" s="41"/>
      <c r="K843" s="38"/>
      <c r="L843" s="42" t="str">
        <f aca="false">IF($B843="","",IF(AND(N($I843)=0,N($J843)=0),"금액이 없습니다",IF(AND($I843&gt;0,$J843&gt;0),"수입·지출 둘 다 적혔습니다",IF($C843="","결제수단을 고르십시오",IF(ISNA(MATCH($C843,'통합 ③ 통장·카드'!$A$5:$A$11,0)),"③ 통장·카드에 없는 결제수단입니다",IF($D843="","계정과목을 고르십시오",IF($E843="※없는 과목","④ 설정에 없는 과목입니다",IF(AND($E843="수입",$J843&gt;0),"수입 과목인데 지출에 적혔습니다",IF(AND(LEFT($E843,2)&lt;&gt;"수입",$E843&lt;&gt;"대체",$I843&gt;0),"지출 과목인데 수입에 적혔습니다",IF($K843="","증빙을 고르십시오",IF(AND($C843="바우처통장",$J843&gt;0,IFERROR(INDEX('통합 ④ 설정'!$E$6:$E$40,MATCH($D843,'통합 ④ 설정'!$B$6:$B$40,0)),"")&lt;&gt;"○"),"바우처통장 지출 — 목적 확인",IF($H843="","적요를 적으십시오",""))))))))))))</f>
        <v/>
      </c>
      <c r="M843" s="39"/>
      <c r="O843" s="11" t="str">
        <f aca="false">IF($B843="","",YEAR($B843)*100+MONTH($B843))</f>
        <v/>
      </c>
      <c r="P843" s="11" t="str">
        <f aca="false">IF($B843="","",IF($E843="대체",0,1))</f>
        <v/>
      </c>
    </row>
    <row r="844" customFormat="false" ht="15" hidden="false" customHeight="false" outlineLevel="0" collapsed="false">
      <c r="A844" s="36" t="str">
        <f aca="false">IF($B844="","",COUNT($B$15:$B844))</f>
        <v/>
      </c>
      <c r="B844" s="37"/>
      <c r="C844" s="38"/>
      <c r="D844" s="39"/>
      <c r="E844" s="36" t="str">
        <f aca="false">IF($D844="","",IFERROR(INDEX('통합 ④ 설정'!$A$6:$A$40,MATCH($D844,'통합 ④ 설정'!$B$6:$B$40,0)),"※없는 과목"))</f>
        <v/>
      </c>
      <c r="F844" s="36" t="str">
        <f aca="false">IF($D844="","",IFERROR(INDEX('통합 ④ 설정'!$C$6:$C$40,MATCH($D844,'통합 ④ 설정'!$B$6:$B$40,0)),""))</f>
        <v/>
      </c>
      <c r="G844" s="39"/>
      <c r="H844" s="39"/>
      <c r="I844" s="40"/>
      <c r="J844" s="41"/>
      <c r="K844" s="38"/>
      <c r="L844" s="42" t="str">
        <f aca="false">IF($B844="","",IF(AND(N($I844)=0,N($J844)=0),"금액이 없습니다",IF(AND($I844&gt;0,$J844&gt;0),"수입·지출 둘 다 적혔습니다",IF($C844="","결제수단을 고르십시오",IF(ISNA(MATCH($C844,'통합 ③ 통장·카드'!$A$5:$A$11,0)),"③ 통장·카드에 없는 결제수단입니다",IF($D844="","계정과목을 고르십시오",IF($E844="※없는 과목","④ 설정에 없는 과목입니다",IF(AND($E844="수입",$J844&gt;0),"수입 과목인데 지출에 적혔습니다",IF(AND(LEFT($E844,2)&lt;&gt;"수입",$E844&lt;&gt;"대체",$I844&gt;0),"지출 과목인데 수입에 적혔습니다",IF($K844="","증빙을 고르십시오",IF(AND($C844="바우처통장",$J844&gt;0,IFERROR(INDEX('통합 ④ 설정'!$E$6:$E$40,MATCH($D844,'통합 ④ 설정'!$B$6:$B$40,0)),"")&lt;&gt;"○"),"바우처통장 지출 — 목적 확인",IF($H844="","적요를 적으십시오",""))))))))))))</f>
        <v/>
      </c>
      <c r="M844" s="39"/>
      <c r="O844" s="11" t="str">
        <f aca="false">IF($B844="","",YEAR($B844)*100+MONTH($B844))</f>
        <v/>
      </c>
      <c r="P844" s="11" t="str">
        <f aca="false">IF($B844="","",IF($E844="대체",0,1))</f>
        <v/>
      </c>
    </row>
    <row r="845" customFormat="false" ht="15" hidden="false" customHeight="false" outlineLevel="0" collapsed="false">
      <c r="A845" s="36" t="str">
        <f aca="false">IF($B845="","",COUNT($B$15:$B845))</f>
        <v/>
      </c>
      <c r="B845" s="37"/>
      <c r="C845" s="38"/>
      <c r="D845" s="39"/>
      <c r="E845" s="36" t="str">
        <f aca="false">IF($D845="","",IFERROR(INDEX('통합 ④ 설정'!$A$6:$A$40,MATCH($D845,'통합 ④ 설정'!$B$6:$B$40,0)),"※없는 과목"))</f>
        <v/>
      </c>
      <c r="F845" s="36" t="str">
        <f aca="false">IF($D845="","",IFERROR(INDEX('통합 ④ 설정'!$C$6:$C$40,MATCH($D845,'통합 ④ 설정'!$B$6:$B$40,0)),""))</f>
        <v/>
      </c>
      <c r="G845" s="39"/>
      <c r="H845" s="39"/>
      <c r="I845" s="40"/>
      <c r="J845" s="41"/>
      <c r="K845" s="38"/>
      <c r="L845" s="42" t="str">
        <f aca="false">IF($B845="","",IF(AND(N($I845)=0,N($J845)=0),"금액이 없습니다",IF(AND($I845&gt;0,$J845&gt;0),"수입·지출 둘 다 적혔습니다",IF($C845="","결제수단을 고르십시오",IF(ISNA(MATCH($C845,'통합 ③ 통장·카드'!$A$5:$A$11,0)),"③ 통장·카드에 없는 결제수단입니다",IF($D845="","계정과목을 고르십시오",IF($E845="※없는 과목","④ 설정에 없는 과목입니다",IF(AND($E845="수입",$J845&gt;0),"수입 과목인데 지출에 적혔습니다",IF(AND(LEFT($E845,2)&lt;&gt;"수입",$E845&lt;&gt;"대체",$I845&gt;0),"지출 과목인데 수입에 적혔습니다",IF($K845="","증빙을 고르십시오",IF(AND($C845="바우처통장",$J845&gt;0,IFERROR(INDEX('통합 ④ 설정'!$E$6:$E$40,MATCH($D845,'통합 ④ 설정'!$B$6:$B$40,0)),"")&lt;&gt;"○"),"바우처통장 지출 — 목적 확인",IF($H845="","적요를 적으십시오",""))))))))))))</f>
        <v/>
      </c>
      <c r="M845" s="39"/>
      <c r="O845" s="11" t="str">
        <f aca="false">IF($B845="","",YEAR($B845)*100+MONTH($B845))</f>
        <v/>
      </c>
      <c r="P845" s="11" t="str">
        <f aca="false">IF($B845="","",IF($E845="대체",0,1))</f>
        <v/>
      </c>
    </row>
    <row r="846" customFormat="false" ht="15" hidden="false" customHeight="false" outlineLevel="0" collapsed="false">
      <c r="A846" s="36" t="str">
        <f aca="false">IF($B846="","",COUNT($B$15:$B846))</f>
        <v/>
      </c>
      <c r="B846" s="37"/>
      <c r="C846" s="38"/>
      <c r="D846" s="39"/>
      <c r="E846" s="36" t="str">
        <f aca="false">IF($D846="","",IFERROR(INDEX('통합 ④ 설정'!$A$6:$A$40,MATCH($D846,'통합 ④ 설정'!$B$6:$B$40,0)),"※없는 과목"))</f>
        <v/>
      </c>
      <c r="F846" s="36" t="str">
        <f aca="false">IF($D846="","",IFERROR(INDEX('통합 ④ 설정'!$C$6:$C$40,MATCH($D846,'통합 ④ 설정'!$B$6:$B$40,0)),""))</f>
        <v/>
      </c>
      <c r="G846" s="39"/>
      <c r="H846" s="39"/>
      <c r="I846" s="40"/>
      <c r="J846" s="41"/>
      <c r="K846" s="38"/>
      <c r="L846" s="42" t="str">
        <f aca="false">IF($B846="","",IF(AND(N($I846)=0,N($J846)=0),"금액이 없습니다",IF(AND($I846&gt;0,$J846&gt;0),"수입·지출 둘 다 적혔습니다",IF($C846="","결제수단을 고르십시오",IF(ISNA(MATCH($C846,'통합 ③ 통장·카드'!$A$5:$A$11,0)),"③ 통장·카드에 없는 결제수단입니다",IF($D846="","계정과목을 고르십시오",IF($E846="※없는 과목","④ 설정에 없는 과목입니다",IF(AND($E846="수입",$J846&gt;0),"수입 과목인데 지출에 적혔습니다",IF(AND(LEFT($E846,2)&lt;&gt;"수입",$E846&lt;&gt;"대체",$I846&gt;0),"지출 과목인데 수입에 적혔습니다",IF($K846="","증빙을 고르십시오",IF(AND($C846="바우처통장",$J846&gt;0,IFERROR(INDEX('통합 ④ 설정'!$E$6:$E$40,MATCH($D846,'통합 ④ 설정'!$B$6:$B$40,0)),"")&lt;&gt;"○"),"바우처통장 지출 — 목적 확인",IF($H846="","적요를 적으십시오",""))))))))))))</f>
        <v/>
      </c>
      <c r="M846" s="39"/>
      <c r="O846" s="11" t="str">
        <f aca="false">IF($B846="","",YEAR($B846)*100+MONTH($B846))</f>
        <v/>
      </c>
      <c r="P846" s="11" t="str">
        <f aca="false">IF($B846="","",IF($E846="대체",0,1))</f>
        <v/>
      </c>
    </row>
    <row r="847" customFormat="false" ht="15" hidden="false" customHeight="false" outlineLevel="0" collapsed="false">
      <c r="A847" s="36" t="str">
        <f aca="false">IF($B847="","",COUNT($B$15:$B847))</f>
        <v/>
      </c>
      <c r="B847" s="37"/>
      <c r="C847" s="38"/>
      <c r="D847" s="39"/>
      <c r="E847" s="36" t="str">
        <f aca="false">IF($D847="","",IFERROR(INDEX('통합 ④ 설정'!$A$6:$A$40,MATCH($D847,'통합 ④ 설정'!$B$6:$B$40,0)),"※없는 과목"))</f>
        <v/>
      </c>
      <c r="F847" s="36" t="str">
        <f aca="false">IF($D847="","",IFERROR(INDEX('통합 ④ 설정'!$C$6:$C$40,MATCH($D847,'통합 ④ 설정'!$B$6:$B$40,0)),""))</f>
        <v/>
      </c>
      <c r="G847" s="39"/>
      <c r="H847" s="39"/>
      <c r="I847" s="40"/>
      <c r="J847" s="41"/>
      <c r="K847" s="38"/>
      <c r="L847" s="42" t="str">
        <f aca="false">IF($B847="","",IF(AND(N($I847)=0,N($J847)=0),"금액이 없습니다",IF(AND($I847&gt;0,$J847&gt;0),"수입·지출 둘 다 적혔습니다",IF($C847="","결제수단을 고르십시오",IF(ISNA(MATCH($C847,'통합 ③ 통장·카드'!$A$5:$A$11,0)),"③ 통장·카드에 없는 결제수단입니다",IF($D847="","계정과목을 고르십시오",IF($E847="※없는 과목","④ 설정에 없는 과목입니다",IF(AND($E847="수입",$J847&gt;0),"수입 과목인데 지출에 적혔습니다",IF(AND(LEFT($E847,2)&lt;&gt;"수입",$E847&lt;&gt;"대체",$I847&gt;0),"지출 과목인데 수입에 적혔습니다",IF($K847="","증빙을 고르십시오",IF(AND($C847="바우처통장",$J847&gt;0,IFERROR(INDEX('통합 ④ 설정'!$E$6:$E$40,MATCH($D847,'통합 ④ 설정'!$B$6:$B$40,0)),"")&lt;&gt;"○"),"바우처통장 지출 — 목적 확인",IF($H847="","적요를 적으십시오",""))))))))))))</f>
        <v/>
      </c>
      <c r="M847" s="39"/>
      <c r="O847" s="11" t="str">
        <f aca="false">IF($B847="","",YEAR($B847)*100+MONTH($B847))</f>
        <v/>
      </c>
      <c r="P847" s="11" t="str">
        <f aca="false">IF($B847="","",IF($E847="대체",0,1))</f>
        <v/>
      </c>
    </row>
    <row r="848" customFormat="false" ht="15" hidden="false" customHeight="false" outlineLevel="0" collapsed="false">
      <c r="A848" s="36" t="str">
        <f aca="false">IF($B848="","",COUNT($B$15:$B848))</f>
        <v/>
      </c>
      <c r="B848" s="37"/>
      <c r="C848" s="38"/>
      <c r="D848" s="39"/>
      <c r="E848" s="36" t="str">
        <f aca="false">IF($D848="","",IFERROR(INDEX('통합 ④ 설정'!$A$6:$A$40,MATCH($D848,'통합 ④ 설정'!$B$6:$B$40,0)),"※없는 과목"))</f>
        <v/>
      </c>
      <c r="F848" s="36" t="str">
        <f aca="false">IF($D848="","",IFERROR(INDEX('통합 ④ 설정'!$C$6:$C$40,MATCH($D848,'통합 ④ 설정'!$B$6:$B$40,0)),""))</f>
        <v/>
      </c>
      <c r="G848" s="39"/>
      <c r="H848" s="39"/>
      <c r="I848" s="40"/>
      <c r="J848" s="41"/>
      <c r="K848" s="38"/>
      <c r="L848" s="42" t="str">
        <f aca="false">IF($B848="","",IF(AND(N($I848)=0,N($J848)=0),"금액이 없습니다",IF(AND($I848&gt;0,$J848&gt;0),"수입·지출 둘 다 적혔습니다",IF($C848="","결제수단을 고르십시오",IF(ISNA(MATCH($C848,'통합 ③ 통장·카드'!$A$5:$A$11,0)),"③ 통장·카드에 없는 결제수단입니다",IF($D848="","계정과목을 고르십시오",IF($E848="※없는 과목","④ 설정에 없는 과목입니다",IF(AND($E848="수입",$J848&gt;0),"수입 과목인데 지출에 적혔습니다",IF(AND(LEFT($E848,2)&lt;&gt;"수입",$E848&lt;&gt;"대체",$I848&gt;0),"지출 과목인데 수입에 적혔습니다",IF($K848="","증빙을 고르십시오",IF(AND($C848="바우처통장",$J848&gt;0,IFERROR(INDEX('통합 ④ 설정'!$E$6:$E$40,MATCH($D848,'통합 ④ 설정'!$B$6:$B$40,0)),"")&lt;&gt;"○"),"바우처통장 지출 — 목적 확인",IF($H848="","적요를 적으십시오",""))))))))))))</f>
        <v/>
      </c>
      <c r="M848" s="39"/>
      <c r="O848" s="11" t="str">
        <f aca="false">IF($B848="","",YEAR($B848)*100+MONTH($B848))</f>
        <v/>
      </c>
      <c r="P848" s="11" t="str">
        <f aca="false">IF($B848="","",IF($E848="대체",0,1))</f>
        <v/>
      </c>
    </row>
    <row r="849" customFormat="false" ht="15" hidden="false" customHeight="false" outlineLevel="0" collapsed="false">
      <c r="A849" s="36" t="str">
        <f aca="false">IF($B849="","",COUNT($B$15:$B849))</f>
        <v/>
      </c>
      <c r="B849" s="37"/>
      <c r="C849" s="38"/>
      <c r="D849" s="39"/>
      <c r="E849" s="36" t="str">
        <f aca="false">IF($D849="","",IFERROR(INDEX('통합 ④ 설정'!$A$6:$A$40,MATCH($D849,'통합 ④ 설정'!$B$6:$B$40,0)),"※없는 과목"))</f>
        <v/>
      </c>
      <c r="F849" s="36" t="str">
        <f aca="false">IF($D849="","",IFERROR(INDEX('통합 ④ 설정'!$C$6:$C$40,MATCH($D849,'통합 ④ 설정'!$B$6:$B$40,0)),""))</f>
        <v/>
      </c>
      <c r="G849" s="39"/>
      <c r="H849" s="39"/>
      <c r="I849" s="40"/>
      <c r="J849" s="41"/>
      <c r="K849" s="38"/>
      <c r="L849" s="42" t="str">
        <f aca="false">IF($B849="","",IF(AND(N($I849)=0,N($J849)=0),"금액이 없습니다",IF(AND($I849&gt;0,$J849&gt;0),"수입·지출 둘 다 적혔습니다",IF($C849="","결제수단을 고르십시오",IF(ISNA(MATCH($C849,'통합 ③ 통장·카드'!$A$5:$A$11,0)),"③ 통장·카드에 없는 결제수단입니다",IF($D849="","계정과목을 고르십시오",IF($E849="※없는 과목","④ 설정에 없는 과목입니다",IF(AND($E849="수입",$J849&gt;0),"수입 과목인데 지출에 적혔습니다",IF(AND(LEFT($E849,2)&lt;&gt;"수입",$E849&lt;&gt;"대체",$I849&gt;0),"지출 과목인데 수입에 적혔습니다",IF($K849="","증빙을 고르십시오",IF(AND($C849="바우처통장",$J849&gt;0,IFERROR(INDEX('통합 ④ 설정'!$E$6:$E$40,MATCH($D849,'통합 ④ 설정'!$B$6:$B$40,0)),"")&lt;&gt;"○"),"바우처통장 지출 — 목적 확인",IF($H849="","적요를 적으십시오",""))))))))))))</f>
        <v/>
      </c>
      <c r="M849" s="39"/>
      <c r="O849" s="11" t="str">
        <f aca="false">IF($B849="","",YEAR($B849)*100+MONTH($B849))</f>
        <v/>
      </c>
      <c r="P849" s="11" t="str">
        <f aca="false">IF($B849="","",IF($E849="대체",0,1))</f>
        <v/>
      </c>
    </row>
    <row r="850" customFormat="false" ht="15" hidden="false" customHeight="false" outlineLevel="0" collapsed="false">
      <c r="A850" s="36" t="str">
        <f aca="false">IF($B850="","",COUNT($B$15:$B850))</f>
        <v/>
      </c>
      <c r="B850" s="37"/>
      <c r="C850" s="38"/>
      <c r="D850" s="39"/>
      <c r="E850" s="36" t="str">
        <f aca="false">IF($D850="","",IFERROR(INDEX('통합 ④ 설정'!$A$6:$A$40,MATCH($D850,'통합 ④ 설정'!$B$6:$B$40,0)),"※없는 과목"))</f>
        <v/>
      </c>
      <c r="F850" s="36" t="str">
        <f aca="false">IF($D850="","",IFERROR(INDEX('통합 ④ 설정'!$C$6:$C$40,MATCH($D850,'통합 ④ 설정'!$B$6:$B$40,0)),""))</f>
        <v/>
      </c>
      <c r="G850" s="39"/>
      <c r="H850" s="39"/>
      <c r="I850" s="40"/>
      <c r="J850" s="41"/>
      <c r="K850" s="38"/>
      <c r="L850" s="42" t="str">
        <f aca="false">IF($B850="","",IF(AND(N($I850)=0,N($J850)=0),"금액이 없습니다",IF(AND($I850&gt;0,$J850&gt;0),"수입·지출 둘 다 적혔습니다",IF($C850="","결제수단을 고르십시오",IF(ISNA(MATCH($C850,'통합 ③ 통장·카드'!$A$5:$A$11,0)),"③ 통장·카드에 없는 결제수단입니다",IF($D850="","계정과목을 고르십시오",IF($E850="※없는 과목","④ 설정에 없는 과목입니다",IF(AND($E850="수입",$J850&gt;0),"수입 과목인데 지출에 적혔습니다",IF(AND(LEFT($E850,2)&lt;&gt;"수입",$E850&lt;&gt;"대체",$I850&gt;0),"지출 과목인데 수입에 적혔습니다",IF($K850="","증빙을 고르십시오",IF(AND($C850="바우처통장",$J850&gt;0,IFERROR(INDEX('통합 ④ 설정'!$E$6:$E$40,MATCH($D850,'통합 ④ 설정'!$B$6:$B$40,0)),"")&lt;&gt;"○"),"바우처통장 지출 — 목적 확인",IF($H850="","적요를 적으십시오",""))))))))))))</f>
        <v/>
      </c>
      <c r="M850" s="39"/>
      <c r="O850" s="11" t="str">
        <f aca="false">IF($B850="","",YEAR($B850)*100+MONTH($B850))</f>
        <v/>
      </c>
      <c r="P850" s="11" t="str">
        <f aca="false">IF($B850="","",IF($E850="대체",0,1))</f>
        <v/>
      </c>
    </row>
    <row r="851" customFormat="false" ht="15" hidden="false" customHeight="false" outlineLevel="0" collapsed="false">
      <c r="A851" s="36" t="str">
        <f aca="false">IF($B851="","",COUNT($B$15:$B851))</f>
        <v/>
      </c>
      <c r="B851" s="37"/>
      <c r="C851" s="38"/>
      <c r="D851" s="39"/>
      <c r="E851" s="36" t="str">
        <f aca="false">IF($D851="","",IFERROR(INDEX('통합 ④ 설정'!$A$6:$A$40,MATCH($D851,'통합 ④ 설정'!$B$6:$B$40,0)),"※없는 과목"))</f>
        <v/>
      </c>
      <c r="F851" s="36" t="str">
        <f aca="false">IF($D851="","",IFERROR(INDEX('통합 ④ 설정'!$C$6:$C$40,MATCH($D851,'통합 ④ 설정'!$B$6:$B$40,0)),""))</f>
        <v/>
      </c>
      <c r="G851" s="39"/>
      <c r="H851" s="39"/>
      <c r="I851" s="40"/>
      <c r="J851" s="41"/>
      <c r="K851" s="38"/>
      <c r="L851" s="42" t="str">
        <f aca="false">IF($B851="","",IF(AND(N($I851)=0,N($J851)=0),"금액이 없습니다",IF(AND($I851&gt;0,$J851&gt;0),"수입·지출 둘 다 적혔습니다",IF($C851="","결제수단을 고르십시오",IF(ISNA(MATCH($C851,'통합 ③ 통장·카드'!$A$5:$A$11,0)),"③ 통장·카드에 없는 결제수단입니다",IF($D851="","계정과목을 고르십시오",IF($E851="※없는 과목","④ 설정에 없는 과목입니다",IF(AND($E851="수입",$J851&gt;0),"수입 과목인데 지출에 적혔습니다",IF(AND(LEFT($E851,2)&lt;&gt;"수입",$E851&lt;&gt;"대체",$I851&gt;0),"지출 과목인데 수입에 적혔습니다",IF($K851="","증빙을 고르십시오",IF(AND($C851="바우처통장",$J851&gt;0,IFERROR(INDEX('통합 ④ 설정'!$E$6:$E$40,MATCH($D851,'통합 ④ 설정'!$B$6:$B$40,0)),"")&lt;&gt;"○"),"바우처통장 지출 — 목적 확인",IF($H851="","적요를 적으십시오",""))))))))))))</f>
        <v/>
      </c>
      <c r="M851" s="39"/>
      <c r="O851" s="11" t="str">
        <f aca="false">IF($B851="","",YEAR($B851)*100+MONTH($B851))</f>
        <v/>
      </c>
      <c r="P851" s="11" t="str">
        <f aca="false">IF($B851="","",IF($E851="대체",0,1))</f>
        <v/>
      </c>
    </row>
    <row r="852" customFormat="false" ht="15" hidden="false" customHeight="false" outlineLevel="0" collapsed="false">
      <c r="A852" s="36" t="str">
        <f aca="false">IF($B852="","",COUNT($B$15:$B852))</f>
        <v/>
      </c>
      <c r="B852" s="37"/>
      <c r="C852" s="38"/>
      <c r="D852" s="39"/>
      <c r="E852" s="36" t="str">
        <f aca="false">IF($D852="","",IFERROR(INDEX('통합 ④ 설정'!$A$6:$A$40,MATCH($D852,'통합 ④ 설정'!$B$6:$B$40,0)),"※없는 과목"))</f>
        <v/>
      </c>
      <c r="F852" s="36" t="str">
        <f aca="false">IF($D852="","",IFERROR(INDEX('통합 ④ 설정'!$C$6:$C$40,MATCH($D852,'통합 ④ 설정'!$B$6:$B$40,0)),""))</f>
        <v/>
      </c>
      <c r="G852" s="39"/>
      <c r="H852" s="39"/>
      <c r="I852" s="40"/>
      <c r="J852" s="41"/>
      <c r="K852" s="38"/>
      <c r="L852" s="42" t="str">
        <f aca="false">IF($B852="","",IF(AND(N($I852)=0,N($J852)=0),"금액이 없습니다",IF(AND($I852&gt;0,$J852&gt;0),"수입·지출 둘 다 적혔습니다",IF($C852="","결제수단을 고르십시오",IF(ISNA(MATCH($C852,'통합 ③ 통장·카드'!$A$5:$A$11,0)),"③ 통장·카드에 없는 결제수단입니다",IF($D852="","계정과목을 고르십시오",IF($E852="※없는 과목","④ 설정에 없는 과목입니다",IF(AND($E852="수입",$J852&gt;0),"수입 과목인데 지출에 적혔습니다",IF(AND(LEFT($E852,2)&lt;&gt;"수입",$E852&lt;&gt;"대체",$I852&gt;0),"지출 과목인데 수입에 적혔습니다",IF($K852="","증빙을 고르십시오",IF(AND($C852="바우처통장",$J852&gt;0,IFERROR(INDEX('통합 ④ 설정'!$E$6:$E$40,MATCH($D852,'통합 ④ 설정'!$B$6:$B$40,0)),"")&lt;&gt;"○"),"바우처통장 지출 — 목적 확인",IF($H852="","적요를 적으십시오",""))))))))))))</f>
        <v/>
      </c>
      <c r="M852" s="39"/>
      <c r="O852" s="11" t="str">
        <f aca="false">IF($B852="","",YEAR($B852)*100+MONTH($B852))</f>
        <v/>
      </c>
      <c r="P852" s="11" t="str">
        <f aca="false">IF($B852="","",IF($E852="대체",0,1))</f>
        <v/>
      </c>
    </row>
    <row r="853" customFormat="false" ht="15" hidden="false" customHeight="false" outlineLevel="0" collapsed="false">
      <c r="A853" s="36" t="str">
        <f aca="false">IF($B853="","",COUNT($B$15:$B853))</f>
        <v/>
      </c>
      <c r="B853" s="37"/>
      <c r="C853" s="38"/>
      <c r="D853" s="39"/>
      <c r="E853" s="36" t="str">
        <f aca="false">IF($D853="","",IFERROR(INDEX('통합 ④ 설정'!$A$6:$A$40,MATCH($D853,'통합 ④ 설정'!$B$6:$B$40,0)),"※없는 과목"))</f>
        <v/>
      </c>
      <c r="F853" s="36" t="str">
        <f aca="false">IF($D853="","",IFERROR(INDEX('통합 ④ 설정'!$C$6:$C$40,MATCH($D853,'통합 ④ 설정'!$B$6:$B$40,0)),""))</f>
        <v/>
      </c>
      <c r="G853" s="39"/>
      <c r="H853" s="39"/>
      <c r="I853" s="40"/>
      <c r="J853" s="41"/>
      <c r="K853" s="38"/>
      <c r="L853" s="42" t="str">
        <f aca="false">IF($B853="","",IF(AND(N($I853)=0,N($J853)=0),"금액이 없습니다",IF(AND($I853&gt;0,$J853&gt;0),"수입·지출 둘 다 적혔습니다",IF($C853="","결제수단을 고르십시오",IF(ISNA(MATCH($C853,'통합 ③ 통장·카드'!$A$5:$A$11,0)),"③ 통장·카드에 없는 결제수단입니다",IF($D853="","계정과목을 고르십시오",IF($E853="※없는 과목","④ 설정에 없는 과목입니다",IF(AND($E853="수입",$J853&gt;0),"수입 과목인데 지출에 적혔습니다",IF(AND(LEFT($E853,2)&lt;&gt;"수입",$E853&lt;&gt;"대체",$I853&gt;0),"지출 과목인데 수입에 적혔습니다",IF($K853="","증빙을 고르십시오",IF(AND($C853="바우처통장",$J853&gt;0,IFERROR(INDEX('통합 ④ 설정'!$E$6:$E$40,MATCH($D853,'통합 ④ 설정'!$B$6:$B$40,0)),"")&lt;&gt;"○"),"바우처통장 지출 — 목적 확인",IF($H853="","적요를 적으십시오",""))))))))))))</f>
        <v/>
      </c>
      <c r="M853" s="39"/>
      <c r="O853" s="11" t="str">
        <f aca="false">IF($B853="","",YEAR($B853)*100+MONTH($B853))</f>
        <v/>
      </c>
      <c r="P853" s="11" t="str">
        <f aca="false">IF($B853="","",IF($E853="대체",0,1))</f>
        <v/>
      </c>
    </row>
    <row r="854" customFormat="false" ht="15" hidden="false" customHeight="false" outlineLevel="0" collapsed="false">
      <c r="A854" s="36" t="str">
        <f aca="false">IF($B854="","",COUNT($B$15:$B854))</f>
        <v/>
      </c>
      <c r="B854" s="37"/>
      <c r="C854" s="38"/>
      <c r="D854" s="39"/>
      <c r="E854" s="36" t="str">
        <f aca="false">IF($D854="","",IFERROR(INDEX('통합 ④ 설정'!$A$6:$A$40,MATCH($D854,'통합 ④ 설정'!$B$6:$B$40,0)),"※없는 과목"))</f>
        <v/>
      </c>
      <c r="F854" s="36" t="str">
        <f aca="false">IF($D854="","",IFERROR(INDEX('통합 ④ 설정'!$C$6:$C$40,MATCH($D854,'통합 ④ 설정'!$B$6:$B$40,0)),""))</f>
        <v/>
      </c>
      <c r="G854" s="39"/>
      <c r="H854" s="39"/>
      <c r="I854" s="40"/>
      <c r="J854" s="41"/>
      <c r="K854" s="38"/>
      <c r="L854" s="42" t="str">
        <f aca="false">IF($B854="","",IF(AND(N($I854)=0,N($J854)=0),"금액이 없습니다",IF(AND($I854&gt;0,$J854&gt;0),"수입·지출 둘 다 적혔습니다",IF($C854="","결제수단을 고르십시오",IF(ISNA(MATCH($C854,'통합 ③ 통장·카드'!$A$5:$A$11,0)),"③ 통장·카드에 없는 결제수단입니다",IF($D854="","계정과목을 고르십시오",IF($E854="※없는 과목","④ 설정에 없는 과목입니다",IF(AND($E854="수입",$J854&gt;0),"수입 과목인데 지출에 적혔습니다",IF(AND(LEFT($E854,2)&lt;&gt;"수입",$E854&lt;&gt;"대체",$I854&gt;0),"지출 과목인데 수입에 적혔습니다",IF($K854="","증빙을 고르십시오",IF(AND($C854="바우처통장",$J854&gt;0,IFERROR(INDEX('통합 ④ 설정'!$E$6:$E$40,MATCH($D854,'통합 ④ 설정'!$B$6:$B$40,0)),"")&lt;&gt;"○"),"바우처통장 지출 — 목적 확인",IF($H854="","적요를 적으십시오",""))))))))))))</f>
        <v/>
      </c>
      <c r="M854" s="39"/>
      <c r="O854" s="11" t="str">
        <f aca="false">IF($B854="","",YEAR($B854)*100+MONTH($B854))</f>
        <v/>
      </c>
      <c r="P854" s="11" t="str">
        <f aca="false">IF($B854="","",IF($E854="대체",0,1))</f>
        <v/>
      </c>
    </row>
    <row r="855" customFormat="false" ht="15" hidden="false" customHeight="false" outlineLevel="0" collapsed="false">
      <c r="A855" s="36" t="str">
        <f aca="false">IF($B855="","",COUNT($B$15:$B855))</f>
        <v/>
      </c>
      <c r="B855" s="37"/>
      <c r="C855" s="38"/>
      <c r="D855" s="39"/>
      <c r="E855" s="36" t="str">
        <f aca="false">IF($D855="","",IFERROR(INDEX('통합 ④ 설정'!$A$6:$A$40,MATCH($D855,'통합 ④ 설정'!$B$6:$B$40,0)),"※없는 과목"))</f>
        <v/>
      </c>
      <c r="F855" s="36" t="str">
        <f aca="false">IF($D855="","",IFERROR(INDEX('통합 ④ 설정'!$C$6:$C$40,MATCH($D855,'통합 ④ 설정'!$B$6:$B$40,0)),""))</f>
        <v/>
      </c>
      <c r="G855" s="39"/>
      <c r="H855" s="39"/>
      <c r="I855" s="40"/>
      <c r="J855" s="41"/>
      <c r="K855" s="38"/>
      <c r="L855" s="42" t="str">
        <f aca="false">IF($B855="","",IF(AND(N($I855)=0,N($J855)=0),"금액이 없습니다",IF(AND($I855&gt;0,$J855&gt;0),"수입·지출 둘 다 적혔습니다",IF($C855="","결제수단을 고르십시오",IF(ISNA(MATCH($C855,'통합 ③ 통장·카드'!$A$5:$A$11,0)),"③ 통장·카드에 없는 결제수단입니다",IF($D855="","계정과목을 고르십시오",IF($E855="※없는 과목","④ 설정에 없는 과목입니다",IF(AND($E855="수입",$J855&gt;0),"수입 과목인데 지출에 적혔습니다",IF(AND(LEFT($E855,2)&lt;&gt;"수입",$E855&lt;&gt;"대체",$I855&gt;0),"지출 과목인데 수입에 적혔습니다",IF($K855="","증빙을 고르십시오",IF(AND($C855="바우처통장",$J855&gt;0,IFERROR(INDEX('통합 ④ 설정'!$E$6:$E$40,MATCH($D855,'통합 ④ 설정'!$B$6:$B$40,0)),"")&lt;&gt;"○"),"바우처통장 지출 — 목적 확인",IF($H855="","적요를 적으십시오",""))))))))))))</f>
        <v/>
      </c>
      <c r="M855" s="39"/>
      <c r="O855" s="11" t="str">
        <f aca="false">IF($B855="","",YEAR($B855)*100+MONTH($B855))</f>
        <v/>
      </c>
      <c r="P855" s="11" t="str">
        <f aca="false">IF($B855="","",IF($E855="대체",0,1))</f>
        <v/>
      </c>
    </row>
    <row r="856" customFormat="false" ht="15" hidden="false" customHeight="false" outlineLevel="0" collapsed="false">
      <c r="A856" s="36" t="str">
        <f aca="false">IF($B856="","",COUNT($B$15:$B856))</f>
        <v/>
      </c>
      <c r="B856" s="37"/>
      <c r="C856" s="38"/>
      <c r="D856" s="39"/>
      <c r="E856" s="36" t="str">
        <f aca="false">IF($D856="","",IFERROR(INDEX('통합 ④ 설정'!$A$6:$A$40,MATCH($D856,'통합 ④ 설정'!$B$6:$B$40,0)),"※없는 과목"))</f>
        <v/>
      </c>
      <c r="F856" s="36" t="str">
        <f aca="false">IF($D856="","",IFERROR(INDEX('통합 ④ 설정'!$C$6:$C$40,MATCH($D856,'통합 ④ 설정'!$B$6:$B$40,0)),""))</f>
        <v/>
      </c>
      <c r="G856" s="39"/>
      <c r="H856" s="39"/>
      <c r="I856" s="40"/>
      <c r="J856" s="41"/>
      <c r="K856" s="38"/>
      <c r="L856" s="42" t="str">
        <f aca="false">IF($B856="","",IF(AND(N($I856)=0,N($J856)=0),"금액이 없습니다",IF(AND($I856&gt;0,$J856&gt;0),"수입·지출 둘 다 적혔습니다",IF($C856="","결제수단을 고르십시오",IF(ISNA(MATCH($C856,'통합 ③ 통장·카드'!$A$5:$A$11,0)),"③ 통장·카드에 없는 결제수단입니다",IF($D856="","계정과목을 고르십시오",IF($E856="※없는 과목","④ 설정에 없는 과목입니다",IF(AND($E856="수입",$J856&gt;0),"수입 과목인데 지출에 적혔습니다",IF(AND(LEFT($E856,2)&lt;&gt;"수입",$E856&lt;&gt;"대체",$I856&gt;0),"지출 과목인데 수입에 적혔습니다",IF($K856="","증빙을 고르십시오",IF(AND($C856="바우처통장",$J856&gt;0,IFERROR(INDEX('통합 ④ 설정'!$E$6:$E$40,MATCH($D856,'통합 ④ 설정'!$B$6:$B$40,0)),"")&lt;&gt;"○"),"바우처통장 지출 — 목적 확인",IF($H856="","적요를 적으십시오",""))))))))))))</f>
        <v/>
      </c>
      <c r="M856" s="39"/>
      <c r="O856" s="11" t="str">
        <f aca="false">IF($B856="","",YEAR($B856)*100+MONTH($B856))</f>
        <v/>
      </c>
      <c r="P856" s="11" t="str">
        <f aca="false">IF($B856="","",IF($E856="대체",0,1))</f>
        <v/>
      </c>
    </row>
    <row r="857" customFormat="false" ht="15" hidden="false" customHeight="false" outlineLevel="0" collapsed="false">
      <c r="A857" s="36" t="str">
        <f aca="false">IF($B857="","",COUNT($B$15:$B857))</f>
        <v/>
      </c>
      <c r="B857" s="37"/>
      <c r="C857" s="38"/>
      <c r="D857" s="39"/>
      <c r="E857" s="36" t="str">
        <f aca="false">IF($D857="","",IFERROR(INDEX('통합 ④ 설정'!$A$6:$A$40,MATCH($D857,'통합 ④ 설정'!$B$6:$B$40,0)),"※없는 과목"))</f>
        <v/>
      </c>
      <c r="F857" s="36" t="str">
        <f aca="false">IF($D857="","",IFERROR(INDEX('통합 ④ 설정'!$C$6:$C$40,MATCH($D857,'통합 ④ 설정'!$B$6:$B$40,0)),""))</f>
        <v/>
      </c>
      <c r="G857" s="39"/>
      <c r="H857" s="39"/>
      <c r="I857" s="40"/>
      <c r="J857" s="41"/>
      <c r="K857" s="38"/>
      <c r="L857" s="42" t="str">
        <f aca="false">IF($B857="","",IF(AND(N($I857)=0,N($J857)=0),"금액이 없습니다",IF(AND($I857&gt;0,$J857&gt;0),"수입·지출 둘 다 적혔습니다",IF($C857="","결제수단을 고르십시오",IF(ISNA(MATCH($C857,'통합 ③ 통장·카드'!$A$5:$A$11,0)),"③ 통장·카드에 없는 결제수단입니다",IF($D857="","계정과목을 고르십시오",IF($E857="※없는 과목","④ 설정에 없는 과목입니다",IF(AND($E857="수입",$J857&gt;0),"수입 과목인데 지출에 적혔습니다",IF(AND(LEFT($E857,2)&lt;&gt;"수입",$E857&lt;&gt;"대체",$I857&gt;0),"지출 과목인데 수입에 적혔습니다",IF($K857="","증빙을 고르십시오",IF(AND($C857="바우처통장",$J857&gt;0,IFERROR(INDEX('통합 ④ 설정'!$E$6:$E$40,MATCH($D857,'통합 ④ 설정'!$B$6:$B$40,0)),"")&lt;&gt;"○"),"바우처통장 지출 — 목적 확인",IF($H857="","적요를 적으십시오",""))))))))))))</f>
        <v/>
      </c>
      <c r="M857" s="39"/>
      <c r="O857" s="11" t="str">
        <f aca="false">IF($B857="","",YEAR($B857)*100+MONTH($B857))</f>
        <v/>
      </c>
      <c r="P857" s="11" t="str">
        <f aca="false">IF($B857="","",IF($E857="대체",0,1))</f>
        <v/>
      </c>
    </row>
    <row r="858" customFormat="false" ht="15" hidden="false" customHeight="false" outlineLevel="0" collapsed="false">
      <c r="A858" s="36" t="str">
        <f aca="false">IF($B858="","",COUNT($B$15:$B858))</f>
        <v/>
      </c>
      <c r="B858" s="37"/>
      <c r="C858" s="38"/>
      <c r="D858" s="39"/>
      <c r="E858" s="36" t="str">
        <f aca="false">IF($D858="","",IFERROR(INDEX('통합 ④ 설정'!$A$6:$A$40,MATCH($D858,'통합 ④ 설정'!$B$6:$B$40,0)),"※없는 과목"))</f>
        <v/>
      </c>
      <c r="F858" s="36" t="str">
        <f aca="false">IF($D858="","",IFERROR(INDEX('통합 ④ 설정'!$C$6:$C$40,MATCH($D858,'통합 ④ 설정'!$B$6:$B$40,0)),""))</f>
        <v/>
      </c>
      <c r="G858" s="39"/>
      <c r="H858" s="39"/>
      <c r="I858" s="40"/>
      <c r="J858" s="41"/>
      <c r="K858" s="38"/>
      <c r="L858" s="42" t="str">
        <f aca="false">IF($B858="","",IF(AND(N($I858)=0,N($J858)=0),"금액이 없습니다",IF(AND($I858&gt;0,$J858&gt;0),"수입·지출 둘 다 적혔습니다",IF($C858="","결제수단을 고르십시오",IF(ISNA(MATCH($C858,'통합 ③ 통장·카드'!$A$5:$A$11,0)),"③ 통장·카드에 없는 결제수단입니다",IF($D858="","계정과목을 고르십시오",IF($E858="※없는 과목","④ 설정에 없는 과목입니다",IF(AND($E858="수입",$J858&gt;0),"수입 과목인데 지출에 적혔습니다",IF(AND(LEFT($E858,2)&lt;&gt;"수입",$E858&lt;&gt;"대체",$I858&gt;0),"지출 과목인데 수입에 적혔습니다",IF($K858="","증빙을 고르십시오",IF(AND($C858="바우처통장",$J858&gt;0,IFERROR(INDEX('통합 ④ 설정'!$E$6:$E$40,MATCH($D858,'통합 ④ 설정'!$B$6:$B$40,0)),"")&lt;&gt;"○"),"바우처통장 지출 — 목적 확인",IF($H858="","적요를 적으십시오",""))))))))))))</f>
        <v/>
      </c>
      <c r="M858" s="39"/>
      <c r="O858" s="11" t="str">
        <f aca="false">IF($B858="","",YEAR($B858)*100+MONTH($B858))</f>
        <v/>
      </c>
      <c r="P858" s="11" t="str">
        <f aca="false">IF($B858="","",IF($E858="대체",0,1))</f>
        <v/>
      </c>
    </row>
    <row r="859" customFormat="false" ht="15" hidden="false" customHeight="false" outlineLevel="0" collapsed="false">
      <c r="A859" s="36" t="str">
        <f aca="false">IF($B859="","",COUNT($B$15:$B859))</f>
        <v/>
      </c>
      <c r="B859" s="37"/>
      <c r="C859" s="38"/>
      <c r="D859" s="39"/>
      <c r="E859" s="36" t="str">
        <f aca="false">IF($D859="","",IFERROR(INDEX('통합 ④ 설정'!$A$6:$A$40,MATCH($D859,'통합 ④ 설정'!$B$6:$B$40,0)),"※없는 과목"))</f>
        <v/>
      </c>
      <c r="F859" s="36" t="str">
        <f aca="false">IF($D859="","",IFERROR(INDEX('통합 ④ 설정'!$C$6:$C$40,MATCH($D859,'통합 ④ 설정'!$B$6:$B$40,0)),""))</f>
        <v/>
      </c>
      <c r="G859" s="39"/>
      <c r="H859" s="39"/>
      <c r="I859" s="40"/>
      <c r="J859" s="41"/>
      <c r="K859" s="38"/>
      <c r="L859" s="42" t="str">
        <f aca="false">IF($B859="","",IF(AND(N($I859)=0,N($J859)=0),"금액이 없습니다",IF(AND($I859&gt;0,$J859&gt;0),"수입·지출 둘 다 적혔습니다",IF($C859="","결제수단을 고르십시오",IF(ISNA(MATCH($C859,'통합 ③ 통장·카드'!$A$5:$A$11,0)),"③ 통장·카드에 없는 결제수단입니다",IF($D859="","계정과목을 고르십시오",IF($E859="※없는 과목","④ 설정에 없는 과목입니다",IF(AND($E859="수입",$J859&gt;0),"수입 과목인데 지출에 적혔습니다",IF(AND(LEFT($E859,2)&lt;&gt;"수입",$E859&lt;&gt;"대체",$I859&gt;0),"지출 과목인데 수입에 적혔습니다",IF($K859="","증빙을 고르십시오",IF(AND($C859="바우처통장",$J859&gt;0,IFERROR(INDEX('통합 ④ 설정'!$E$6:$E$40,MATCH($D859,'통합 ④ 설정'!$B$6:$B$40,0)),"")&lt;&gt;"○"),"바우처통장 지출 — 목적 확인",IF($H859="","적요를 적으십시오",""))))))))))))</f>
        <v/>
      </c>
      <c r="M859" s="39"/>
      <c r="O859" s="11" t="str">
        <f aca="false">IF($B859="","",YEAR($B859)*100+MONTH($B859))</f>
        <v/>
      </c>
      <c r="P859" s="11" t="str">
        <f aca="false">IF($B859="","",IF($E859="대체",0,1))</f>
        <v/>
      </c>
    </row>
    <row r="860" customFormat="false" ht="15" hidden="false" customHeight="false" outlineLevel="0" collapsed="false">
      <c r="A860" s="36" t="str">
        <f aca="false">IF($B860="","",COUNT($B$15:$B860))</f>
        <v/>
      </c>
      <c r="B860" s="37"/>
      <c r="C860" s="38"/>
      <c r="D860" s="39"/>
      <c r="E860" s="36" t="str">
        <f aca="false">IF($D860="","",IFERROR(INDEX('통합 ④ 설정'!$A$6:$A$40,MATCH($D860,'통합 ④ 설정'!$B$6:$B$40,0)),"※없는 과목"))</f>
        <v/>
      </c>
      <c r="F860" s="36" t="str">
        <f aca="false">IF($D860="","",IFERROR(INDEX('통합 ④ 설정'!$C$6:$C$40,MATCH($D860,'통합 ④ 설정'!$B$6:$B$40,0)),""))</f>
        <v/>
      </c>
      <c r="G860" s="39"/>
      <c r="H860" s="39"/>
      <c r="I860" s="40"/>
      <c r="J860" s="41"/>
      <c r="K860" s="38"/>
      <c r="L860" s="42" t="str">
        <f aca="false">IF($B860="","",IF(AND(N($I860)=0,N($J860)=0),"금액이 없습니다",IF(AND($I860&gt;0,$J860&gt;0),"수입·지출 둘 다 적혔습니다",IF($C860="","결제수단을 고르십시오",IF(ISNA(MATCH($C860,'통합 ③ 통장·카드'!$A$5:$A$11,0)),"③ 통장·카드에 없는 결제수단입니다",IF($D860="","계정과목을 고르십시오",IF($E860="※없는 과목","④ 설정에 없는 과목입니다",IF(AND($E860="수입",$J860&gt;0),"수입 과목인데 지출에 적혔습니다",IF(AND(LEFT($E860,2)&lt;&gt;"수입",$E860&lt;&gt;"대체",$I860&gt;0),"지출 과목인데 수입에 적혔습니다",IF($K860="","증빙을 고르십시오",IF(AND($C860="바우처통장",$J860&gt;0,IFERROR(INDEX('통합 ④ 설정'!$E$6:$E$40,MATCH($D860,'통합 ④ 설정'!$B$6:$B$40,0)),"")&lt;&gt;"○"),"바우처통장 지출 — 목적 확인",IF($H860="","적요를 적으십시오",""))))))))))))</f>
        <v/>
      </c>
      <c r="M860" s="39"/>
      <c r="O860" s="11" t="str">
        <f aca="false">IF($B860="","",YEAR($B860)*100+MONTH($B860))</f>
        <v/>
      </c>
      <c r="P860" s="11" t="str">
        <f aca="false">IF($B860="","",IF($E860="대체",0,1))</f>
        <v/>
      </c>
    </row>
    <row r="861" customFormat="false" ht="15" hidden="false" customHeight="false" outlineLevel="0" collapsed="false">
      <c r="A861" s="36" t="str">
        <f aca="false">IF($B861="","",COUNT($B$15:$B861))</f>
        <v/>
      </c>
      <c r="B861" s="37"/>
      <c r="C861" s="38"/>
      <c r="D861" s="39"/>
      <c r="E861" s="36" t="str">
        <f aca="false">IF($D861="","",IFERROR(INDEX('통합 ④ 설정'!$A$6:$A$40,MATCH($D861,'통합 ④ 설정'!$B$6:$B$40,0)),"※없는 과목"))</f>
        <v/>
      </c>
      <c r="F861" s="36" t="str">
        <f aca="false">IF($D861="","",IFERROR(INDEX('통합 ④ 설정'!$C$6:$C$40,MATCH($D861,'통합 ④ 설정'!$B$6:$B$40,0)),""))</f>
        <v/>
      </c>
      <c r="G861" s="39"/>
      <c r="H861" s="39"/>
      <c r="I861" s="40"/>
      <c r="J861" s="41"/>
      <c r="K861" s="38"/>
      <c r="L861" s="42" t="str">
        <f aca="false">IF($B861="","",IF(AND(N($I861)=0,N($J861)=0),"금액이 없습니다",IF(AND($I861&gt;0,$J861&gt;0),"수입·지출 둘 다 적혔습니다",IF($C861="","결제수단을 고르십시오",IF(ISNA(MATCH($C861,'통합 ③ 통장·카드'!$A$5:$A$11,0)),"③ 통장·카드에 없는 결제수단입니다",IF($D861="","계정과목을 고르십시오",IF($E861="※없는 과목","④ 설정에 없는 과목입니다",IF(AND($E861="수입",$J861&gt;0),"수입 과목인데 지출에 적혔습니다",IF(AND(LEFT($E861,2)&lt;&gt;"수입",$E861&lt;&gt;"대체",$I861&gt;0),"지출 과목인데 수입에 적혔습니다",IF($K861="","증빙을 고르십시오",IF(AND($C861="바우처통장",$J861&gt;0,IFERROR(INDEX('통합 ④ 설정'!$E$6:$E$40,MATCH($D861,'통합 ④ 설정'!$B$6:$B$40,0)),"")&lt;&gt;"○"),"바우처통장 지출 — 목적 확인",IF($H861="","적요를 적으십시오",""))))))))))))</f>
        <v/>
      </c>
      <c r="M861" s="39"/>
      <c r="O861" s="11" t="str">
        <f aca="false">IF($B861="","",YEAR($B861)*100+MONTH($B861))</f>
        <v/>
      </c>
      <c r="P861" s="11" t="str">
        <f aca="false">IF($B861="","",IF($E861="대체",0,1))</f>
        <v/>
      </c>
    </row>
    <row r="862" customFormat="false" ht="15" hidden="false" customHeight="false" outlineLevel="0" collapsed="false">
      <c r="A862" s="36" t="str">
        <f aca="false">IF($B862="","",COUNT($B$15:$B862))</f>
        <v/>
      </c>
      <c r="B862" s="37"/>
      <c r="C862" s="38"/>
      <c r="D862" s="39"/>
      <c r="E862" s="36" t="str">
        <f aca="false">IF($D862="","",IFERROR(INDEX('통합 ④ 설정'!$A$6:$A$40,MATCH($D862,'통합 ④ 설정'!$B$6:$B$40,0)),"※없는 과목"))</f>
        <v/>
      </c>
      <c r="F862" s="36" t="str">
        <f aca="false">IF($D862="","",IFERROR(INDEX('통합 ④ 설정'!$C$6:$C$40,MATCH($D862,'통합 ④ 설정'!$B$6:$B$40,0)),""))</f>
        <v/>
      </c>
      <c r="G862" s="39"/>
      <c r="H862" s="39"/>
      <c r="I862" s="40"/>
      <c r="J862" s="41"/>
      <c r="K862" s="38"/>
      <c r="L862" s="42" t="str">
        <f aca="false">IF($B862="","",IF(AND(N($I862)=0,N($J862)=0),"금액이 없습니다",IF(AND($I862&gt;0,$J862&gt;0),"수입·지출 둘 다 적혔습니다",IF($C862="","결제수단을 고르십시오",IF(ISNA(MATCH($C862,'통합 ③ 통장·카드'!$A$5:$A$11,0)),"③ 통장·카드에 없는 결제수단입니다",IF($D862="","계정과목을 고르십시오",IF($E862="※없는 과목","④ 설정에 없는 과목입니다",IF(AND($E862="수입",$J862&gt;0),"수입 과목인데 지출에 적혔습니다",IF(AND(LEFT($E862,2)&lt;&gt;"수입",$E862&lt;&gt;"대체",$I862&gt;0),"지출 과목인데 수입에 적혔습니다",IF($K862="","증빙을 고르십시오",IF(AND($C862="바우처통장",$J862&gt;0,IFERROR(INDEX('통합 ④ 설정'!$E$6:$E$40,MATCH($D862,'통합 ④ 설정'!$B$6:$B$40,0)),"")&lt;&gt;"○"),"바우처통장 지출 — 목적 확인",IF($H862="","적요를 적으십시오",""))))))))))))</f>
        <v/>
      </c>
      <c r="M862" s="39"/>
      <c r="O862" s="11" t="str">
        <f aca="false">IF($B862="","",YEAR($B862)*100+MONTH($B862))</f>
        <v/>
      </c>
      <c r="P862" s="11" t="str">
        <f aca="false">IF($B862="","",IF($E862="대체",0,1))</f>
        <v/>
      </c>
    </row>
    <row r="863" customFormat="false" ht="15" hidden="false" customHeight="false" outlineLevel="0" collapsed="false">
      <c r="A863" s="36" t="str">
        <f aca="false">IF($B863="","",COUNT($B$15:$B863))</f>
        <v/>
      </c>
      <c r="B863" s="37"/>
      <c r="C863" s="38"/>
      <c r="D863" s="39"/>
      <c r="E863" s="36" t="str">
        <f aca="false">IF($D863="","",IFERROR(INDEX('통합 ④ 설정'!$A$6:$A$40,MATCH($D863,'통합 ④ 설정'!$B$6:$B$40,0)),"※없는 과목"))</f>
        <v/>
      </c>
      <c r="F863" s="36" t="str">
        <f aca="false">IF($D863="","",IFERROR(INDEX('통합 ④ 설정'!$C$6:$C$40,MATCH($D863,'통합 ④ 설정'!$B$6:$B$40,0)),""))</f>
        <v/>
      </c>
      <c r="G863" s="39"/>
      <c r="H863" s="39"/>
      <c r="I863" s="40"/>
      <c r="J863" s="41"/>
      <c r="K863" s="38"/>
      <c r="L863" s="42" t="str">
        <f aca="false">IF($B863="","",IF(AND(N($I863)=0,N($J863)=0),"금액이 없습니다",IF(AND($I863&gt;0,$J863&gt;0),"수입·지출 둘 다 적혔습니다",IF($C863="","결제수단을 고르십시오",IF(ISNA(MATCH($C863,'통합 ③ 통장·카드'!$A$5:$A$11,0)),"③ 통장·카드에 없는 결제수단입니다",IF($D863="","계정과목을 고르십시오",IF($E863="※없는 과목","④ 설정에 없는 과목입니다",IF(AND($E863="수입",$J863&gt;0),"수입 과목인데 지출에 적혔습니다",IF(AND(LEFT($E863,2)&lt;&gt;"수입",$E863&lt;&gt;"대체",$I863&gt;0),"지출 과목인데 수입에 적혔습니다",IF($K863="","증빙을 고르십시오",IF(AND($C863="바우처통장",$J863&gt;0,IFERROR(INDEX('통합 ④ 설정'!$E$6:$E$40,MATCH($D863,'통합 ④ 설정'!$B$6:$B$40,0)),"")&lt;&gt;"○"),"바우처통장 지출 — 목적 확인",IF($H863="","적요를 적으십시오",""))))))))))))</f>
        <v/>
      </c>
      <c r="M863" s="39"/>
      <c r="O863" s="11" t="str">
        <f aca="false">IF($B863="","",YEAR($B863)*100+MONTH($B863))</f>
        <v/>
      </c>
      <c r="P863" s="11" t="str">
        <f aca="false">IF($B863="","",IF($E863="대체",0,1))</f>
        <v/>
      </c>
    </row>
    <row r="864" customFormat="false" ht="15" hidden="false" customHeight="false" outlineLevel="0" collapsed="false">
      <c r="A864" s="36" t="str">
        <f aca="false">IF($B864="","",COUNT($B$15:$B864))</f>
        <v/>
      </c>
      <c r="B864" s="37"/>
      <c r="C864" s="38"/>
      <c r="D864" s="39"/>
      <c r="E864" s="36" t="str">
        <f aca="false">IF($D864="","",IFERROR(INDEX('통합 ④ 설정'!$A$6:$A$40,MATCH($D864,'통합 ④ 설정'!$B$6:$B$40,0)),"※없는 과목"))</f>
        <v/>
      </c>
      <c r="F864" s="36" t="str">
        <f aca="false">IF($D864="","",IFERROR(INDEX('통합 ④ 설정'!$C$6:$C$40,MATCH($D864,'통합 ④ 설정'!$B$6:$B$40,0)),""))</f>
        <v/>
      </c>
      <c r="G864" s="39"/>
      <c r="H864" s="39"/>
      <c r="I864" s="40"/>
      <c r="J864" s="41"/>
      <c r="K864" s="38"/>
      <c r="L864" s="42" t="str">
        <f aca="false">IF($B864="","",IF(AND(N($I864)=0,N($J864)=0),"금액이 없습니다",IF(AND($I864&gt;0,$J864&gt;0),"수입·지출 둘 다 적혔습니다",IF($C864="","결제수단을 고르십시오",IF(ISNA(MATCH($C864,'통합 ③ 통장·카드'!$A$5:$A$11,0)),"③ 통장·카드에 없는 결제수단입니다",IF($D864="","계정과목을 고르십시오",IF($E864="※없는 과목","④ 설정에 없는 과목입니다",IF(AND($E864="수입",$J864&gt;0),"수입 과목인데 지출에 적혔습니다",IF(AND(LEFT($E864,2)&lt;&gt;"수입",$E864&lt;&gt;"대체",$I864&gt;0),"지출 과목인데 수입에 적혔습니다",IF($K864="","증빙을 고르십시오",IF(AND($C864="바우처통장",$J864&gt;0,IFERROR(INDEX('통합 ④ 설정'!$E$6:$E$40,MATCH($D864,'통합 ④ 설정'!$B$6:$B$40,0)),"")&lt;&gt;"○"),"바우처통장 지출 — 목적 확인",IF($H864="","적요를 적으십시오",""))))))))))))</f>
        <v/>
      </c>
      <c r="M864" s="39"/>
      <c r="O864" s="11" t="str">
        <f aca="false">IF($B864="","",YEAR($B864)*100+MONTH($B864))</f>
        <v/>
      </c>
      <c r="P864" s="11" t="str">
        <f aca="false">IF($B864="","",IF($E864="대체",0,1))</f>
        <v/>
      </c>
    </row>
    <row r="865" customFormat="false" ht="15" hidden="false" customHeight="false" outlineLevel="0" collapsed="false">
      <c r="A865" s="36" t="str">
        <f aca="false">IF($B865="","",COUNT($B$15:$B865))</f>
        <v/>
      </c>
      <c r="B865" s="37"/>
      <c r="C865" s="38"/>
      <c r="D865" s="39"/>
      <c r="E865" s="36" t="str">
        <f aca="false">IF($D865="","",IFERROR(INDEX('통합 ④ 설정'!$A$6:$A$40,MATCH($D865,'통합 ④ 설정'!$B$6:$B$40,0)),"※없는 과목"))</f>
        <v/>
      </c>
      <c r="F865" s="36" t="str">
        <f aca="false">IF($D865="","",IFERROR(INDEX('통합 ④ 설정'!$C$6:$C$40,MATCH($D865,'통합 ④ 설정'!$B$6:$B$40,0)),""))</f>
        <v/>
      </c>
      <c r="G865" s="39"/>
      <c r="H865" s="39"/>
      <c r="I865" s="40"/>
      <c r="J865" s="41"/>
      <c r="K865" s="38"/>
      <c r="L865" s="42" t="str">
        <f aca="false">IF($B865="","",IF(AND(N($I865)=0,N($J865)=0),"금액이 없습니다",IF(AND($I865&gt;0,$J865&gt;0),"수입·지출 둘 다 적혔습니다",IF($C865="","결제수단을 고르십시오",IF(ISNA(MATCH($C865,'통합 ③ 통장·카드'!$A$5:$A$11,0)),"③ 통장·카드에 없는 결제수단입니다",IF($D865="","계정과목을 고르십시오",IF($E865="※없는 과목","④ 설정에 없는 과목입니다",IF(AND($E865="수입",$J865&gt;0),"수입 과목인데 지출에 적혔습니다",IF(AND(LEFT($E865,2)&lt;&gt;"수입",$E865&lt;&gt;"대체",$I865&gt;0),"지출 과목인데 수입에 적혔습니다",IF($K865="","증빙을 고르십시오",IF(AND($C865="바우처통장",$J865&gt;0,IFERROR(INDEX('통합 ④ 설정'!$E$6:$E$40,MATCH($D865,'통합 ④ 설정'!$B$6:$B$40,0)),"")&lt;&gt;"○"),"바우처통장 지출 — 목적 확인",IF($H865="","적요를 적으십시오",""))))))))))))</f>
        <v/>
      </c>
      <c r="M865" s="39"/>
      <c r="O865" s="11" t="str">
        <f aca="false">IF($B865="","",YEAR($B865)*100+MONTH($B865))</f>
        <v/>
      </c>
      <c r="P865" s="11" t="str">
        <f aca="false">IF($B865="","",IF($E865="대체",0,1))</f>
        <v/>
      </c>
    </row>
    <row r="866" customFormat="false" ht="15" hidden="false" customHeight="false" outlineLevel="0" collapsed="false">
      <c r="A866" s="36" t="str">
        <f aca="false">IF($B866="","",COUNT($B$15:$B866))</f>
        <v/>
      </c>
      <c r="B866" s="37"/>
      <c r="C866" s="38"/>
      <c r="D866" s="39"/>
      <c r="E866" s="36" t="str">
        <f aca="false">IF($D866="","",IFERROR(INDEX('통합 ④ 설정'!$A$6:$A$40,MATCH($D866,'통합 ④ 설정'!$B$6:$B$40,0)),"※없는 과목"))</f>
        <v/>
      </c>
      <c r="F866" s="36" t="str">
        <f aca="false">IF($D866="","",IFERROR(INDEX('통합 ④ 설정'!$C$6:$C$40,MATCH($D866,'통합 ④ 설정'!$B$6:$B$40,0)),""))</f>
        <v/>
      </c>
      <c r="G866" s="39"/>
      <c r="H866" s="39"/>
      <c r="I866" s="40"/>
      <c r="J866" s="41"/>
      <c r="K866" s="38"/>
      <c r="L866" s="42" t="str">
        <f aca="false">IF($B866="","",IF(AND(N($I866)=0,N($J866)=0),"금액이 없습니다",IF(AND($I866&gt;0,$J866&gt;0),"수입·지출 둘 다 적혔습니다",IF($C866="","결제수단을 고르십시오",IF(ISNA(MATCH($C866,'통합 ③ 통장·카드'!$A$5:$A$11,0)),"③ 통장·카드에 없는 결제수단입니다",IF($D866="","계정과목을 고르십시오",IF($E866="※없는 과목","④ 설정에 없는 과목입니다",IF(AND($E866="수입",$J866&gt;0),"수입 과목인데 지출에 적혔습니다",IF(AND(LEFT($E866,2)&lt;&gt;"수입",$E866&lt;&gt;"대체",$I866&gt;0),"지출 과목인데 수입에 적혔습니다",IF($K866="","증빙을 고르십시오",IF(AND($C866="바우처통장",$J866&gt;0,IFERROR(INDEX('통합 ④ 설정'!$E$6:$E$40,MATCH($D866,'통합 ④ 설정'!$B$6:$B$40,0)),"")&lt;&gt;"○"),"바우처통장 지출 — 목적 확인",IF($H866="","적요를 적으십시오",""))))))))))))</f>
        <v/>
      </c>
      <c r="M866" s="39"/>
      <c r="O866" s="11" t="str">
        <f aca="false">IF($B866="","",YEAR($B866)*100+MONTH($B866))</f>
        <v/>
      </c>
      <c r="P866" s="11" t="str">
        <f aca="false">IF($B866="","",IF($E866="대체",0,1))</f>
        <v/>
      </c>
    </row>
    <row r="867" customFormat="false" ht="15" hidden="false" customHeight="false" outlineLevel="0" collapsed="false">
      <c r="A867" s="36" t="str">
        <f aca="false">IF($B867="","",COUNT($B$15:$B867))</f>
        <v/>
      </c>
      <c r="B867" s="37"/>
      <c r="C867" s="38"/>
      <c r="D867" s="39"/>
      <c r="E867" s="36" t="str">
        <f aca="false">IF($D867="","",IFERROR(INDEX('통합 ④ 설정'!$A$6:$A$40,MATCH($D867,'통합 ④ 설정'!$B$6:$B$40,0)),"※없는 과목"))</f>
        <v/>
      </c>
      <c r="F867" s="36" t="str">
        <f aca="false">IF($D867="","",IFERROR(INDEX('통합 ④ 설정'!$C$6:$C$40,MATCH($D867,'통합 ④ 설정'!$B$6:$B$40,0)),""))</f>
        <v/>
      </c>
      <c r="G867" s="39"/>
      <c r="H867" s="39"/>
      <c r="I867" s="40"/>
      <c r="J867" s="41"/>
      <c r="K867" s="38"/>
      <c r="L867" s="42" t="str">
        <f aca="false">IF($B867="","",IF(AND(N($I867)=0,N($J867)=0),"금액이 없습니다",IF(AND($I867&gt;0,$J867&gt;0),"수입·지출 둘 다 적혔습니다",IF($C867="","결제수단을 고르십시오",IF(ISNA(MATCH($C867,'통합 ③ 통장·카드'!$A$5:$A$11,0)),"③ 통장·카드에 없는 결제수단입니다",IF($D867="","계정과목을 고르십시오",IF($E867="※없는 과목","④ 설정에 없는 과목입니다",IF(AND($E867="수입",$J867&gt;0),"수입 과목인데 지출에 적혔습니다",IF(AND(LEFT($E867,2)&lt;&gt;"수입",$E867&lt;&gt;"대체",$I867&gt;0),"지출 과목인데 수입에 적혔습니다",IF($K867="","증빙을 고르십시오",IF(AND($C867="바우처통장",$J867&gt;0,IFERROR(INDEX('통합 ④ 설정'!$E$6:$E$40,MATCH($D867,'통합 ④ 설정'!$B$6:$B$40,0)),"")&lt;&gt;"○"),"바우처통장 지출 — 목적 확인",IF($H867="","적요를 적으십시오",""))))))))))))</f>
        <v/>
      </c>
      <c r="M867" s="39"/>
      <c r="O867" s="11" t="str">
        <f aca="false">IF($B867="","",YEAR($B867)*100+MONTH($B867))</f>
        <v/>
      </c>
      <c r="P867" s="11" t="str">
        <f aca="false">IF($B867="","",IF($E867="대체",0,1))</f>
        <v/>
      </c>
    </row>
    <row r="868" customFormat="false" ht="15" hidden="false" customHeight="false" outlineLevel="0" collapsed="false">
      <c r="A868" s="36" t="str">
        <f aca="false">IF($B868="","",COUNT($B$15:$B868))</f>
        <v/>
      </c>
      <c r="B868" s="37"/>
      <c r="C868" s="38"/>
      <c r="D868" s="39"/>
      <c r="E868" s="36" t="str">
        <f aca="false">IF($D868="","",IFERROR(INDEX('통합 ④ 설정'!$A$6:$A$40,MATCH($D868,'통합 ④ 설정'!$B$6:$B$40,0)),"※없는 과목"))</f>
        <v/>
      </c>
      <c r="F868" s="36" t="str">
        <f aca="false">IF($D868="","",IFERROR(INDEX('통합 ④ 설정'!$C$6:$C$40,MATCH($D868,'통합 ④ 설정'!$B$6:$B$40,0)),""))</f>
        <v/>
      </c>
      <c r="G868" s="39"/>
      <c r="H868" s="39"/>
      <c r="I868" s="40"/>
      <c r="J868" s="41"/>
      <c r="K868" s="38"/>
      <c r="L868" s="42" t="str">
        <f aca="false">IF($B868="","",IF(AND(N($I868)=0,N($J868)=0),"금액이 없습니다",IF(AND($I868&gt;0,$J868&gt;0),"수입·지출 둘 다 적혔습니다",IF($C868="","결제수단을 고르십시오",IF(ISNA(MATCH($C868,'통합 ③ 통장·카드'!$A$5:$A$11,0)),"③ 통장·카드에 없는 결제수단입니다",IF($D868="","계정과목을 고르십시오",IF($E868="※없는 과목","④ 설정에 없는 과목입니다",IF(AND($E868="수입",$J868&gt;0),"수입 과목인데 지출에 적혔습니다",IF(AND(LEFT($E868,2)&lt;&gt;"수입",$E868&lt;&gt;"대체",$I868&gt;0),"지출 과목인데 수입에 적혔습니다",IF($K868="","증빙을 고르십시오",IF(AND($C868="바우처통장",$J868&gt;0,IFERROR(INDEX('통합 ④ 설정'!$E$6:$E$40,MATCH($D868,'통합 ④ 설정'!$B$6:$B$40,0)),"")&lt;&gt;"○"),"바우처통장 지출 — 목적 확인",IF($H868="","적요를 적으십시오",""))))))))))))</f>
        <v/>
      </c>
      <c r="M868" s="39"/>
      <c r="O868" s="11" t="str">
        <f aca="false">IF($B868="","",YEAR($B868)*100+MONTH($B868))</f>
        <v/>
      </c>
      <c r="P868" s="11" t="str">
        <f aca="false">IF($B868="","",IF($E868="대체",0,1))</f>
        <v/>
      </c>
    </row>
    <row r="869" customFormat="false" ht="15" hidden="false" customHeight="false" outlineLevel="0" collapsed="false">
      <c r="A869" s="36" t="str">
        <f aca="false">IF($B869="","",COUNT($B$15:$B869))</f>
        <v/>
      </c>
      <c r="B869" s="37"/>
      <c r="C869" s="38"/>
      <c r="D869" s="39"/>
      <c r="E869" s="36" t="str">
        <f aca="false">IF($D869="","",IFERROR(INDEX('통합 ④ 설정'!$A$6:$A$40,MATCH($D869,'통합 ④ 설정'!$B$6:$B$40,0)),"※없는 과목"))</f>
        <v/>
      </c>
      <c r="F869" s="36" t="str">
        <f aca="false">IF($D869="","",IFERROR(INDEX('통합 ④ 설정'!$C$6:$C$40,MATCH($D869,'통합 ④ 설정'!$B$6:$B$40,0)),""))</f>
        <v/>
      </c>
      <c r="G869" s="39"/>
      <c r="H869" s="39"/>
      <c r="I869" s="40"/>
      <c r="J869" s="41"/>
      <c r="K869" s="38"/>
      <c r="L869" s="42" t="str">
        <f aca="false">IF($B869="","",IF(AND(N($I869)=0,N($J869)=0),"금액이 없습니다",IF(AND($I869&gt;0,$J869&gt;0),"수입·지출 둘 다 적혔습니다",IF($C869="","결제수단을 고르십시오",IF(ISNA(MATCH($C869,'통합 ③ 통장·카드'!$A$5:$A$11,0)),"③ 통장·카드에 없는 결제수단입니다",IF($D869="","계정과목을 고르십시오",IF($E869="※없는 과목","④ 설정에 없는 과목입니다",IF(AND($E869="수입",$J869&gt;0),"수입 과목인데 지출에 적혔습니다",IF(AND(LEFT($E869,2)&lt;&gt;"수입",$E869&lt;&gt;"대체",$I869&gt;0),"지출 과목인데 수입에 적혔습니다",IF($K869="","증빙을 고르십시오",IF(AND($C869="바우처통장",$J869&gt;0,IFERROR(INDEX('통합 ④ 설정'!$E$6:$E$40,MATCH($D869,'통합 ④ 설정'!$B$6:$B$40,0)),"")&lt;&gt;"○"),"바우처통장 지출 — 목적 확인",IF($H869="","적요를 적으십시오",""))))))))))))</f>
        <v/>
      </c>
      <c r="M869" s="39"/>
      <c r="O869" s="11" t="str">
        <f aca="false">IF($B869="","",YEAR($B869)*100+MONTH($B869))</f>
        <v/>
      </c>
      <c r="P869" s="11" t="str">
        <f aca="false">IF($B869="","",IF($E869="대체",0,1))</f>
        <v/>
      </c>
    </row>
    <row r="870" customFormat="false" ht="15" hidden="false" customHeight="false" outlineLevel="0" collapsed="false">
      <c r="A870" s="36" t="str">
        <f aca="false">IF($B870="","",COUNT($B$15:$B870))</f>
        <v/>
      </c>
      <c r="B870" s="37"/>
      <c r="C870" s="38"/>
      <c r="D870" s="39"/>
      <c r="E870" s="36" t="str">
        <f aca="false">IF($D870="","",IFERROR(INDEX('통합 ④ 설정'!$A$6:$A$40,MATCH($D870,'통합 ④ 설정'!$B$6:$B$40,0)),"※없는 과목"))</f>
        <v/>
      </c>
      <c r="F870" s="36" t="str">
        <f aca="false">IF($D870="","",IFERROR(INDEX('통합 ④ 설정'!$C$6:$C$40,MATCH($D870,'통합 ④ 설정'!$B$6:$B$40,0)),""))</f>
        <v/>
      </c>
      <c r="G870" s="39"/>
      <c r="H870" s="39"/>
      <c r="I870" s="40"/>
      <c r="J870" s="41"/>
      <c r="K870" s="38"/>
      <c r="L870" s="42" t="str">
        <f aca="false">IF($B870="","",IF(AND(N($I870)=0,N($J870)=0),"금액이 없습니다",IF(AND($I870&gt;0,$J870&gt;0),"수입·지출 둘 다 적혔습니다",IF($C870="","결제수단을 고르십시오",IF(ISNA(MATCH($C870,'통합 ③ 통장·카드'!$A$5:$A$11,0)),"③ 통장·카드에 없는 결제수단입니다",IF($D870="","계정과목을 고르십시오",IF($E870="※없는 과목","④ 설정에 없는 과목입니다",IF(AND($E870="수입",$J870&gt;0),"수입 과목인데 지출에 적혔습니다",IF(AND(LEFT($E870,2)&lt;&gt;"수입",$E870&lt;&gt;"대체",$I870&gt;0),"지출 과목인데 수입에 적혔습니다",IF($K870="","증빙을 고르십시오",IF(AND($C870="바우처통장",$J870&gt;0,IFERROR(INDEX('통합 ④ 설정'!$E$6:$E$40,MATCH($D870,'통합 ④ 설정'!$B$6:$B$40,0)),"")&lt;&gt;"○"),"바우처통장 지출 — 목적 확인",IF($H870="","적요를 적으십시오",""))))))))))))</f>
        <v/>
      </c>
      <c r="M870" s="39"/>
      <c r="O870" s="11" t="str">
        <f aca="false">IF($B870="","",YEAR($B870)*100+MONTH($B870))</f>
        <v/>
      </c>
      <c r="P870" s="11" t="str">
        <f aca="false">IF($B870="","",IF($E870="대체",0,1))</f>
        <v/>
      </c>
    </row>
    <row r="871" customFormat="false" ht="15" hidden="false" customHeight="false" outlineLevel="0" collapsed="false">
      <c r="A871" s="36" t="str">
        <f aca="false">IF($B871="","",COUNT($B$15:$B871))</f>
        <v/>
      </c>
      <c r="B871" s="37"/>
      <c r="C871" s="38"/>
      <c r="D871" s="39"/>
      <c r="E871" s="36" t="str">
        <f aca="false">IF($D871="","",IFERROR(INDEX('통합 ④ 설정'!$A$6:$A$40,MATCH($D871,'통합 ④ 설정'!$B$6:$B$40,0)),"※없는 과목"))</f>
        <v/>
      </c>
      <c r="F871" s="36" t="str">
        <f aca="false">IF($D871="","",IFERROR(INDEX('통합 ④ 설정'!$C$6:$C$40,MATCH($D871,'통합 ④ 설정'!$B$6:$B$40,0)),""))</f>
        <v/>
      </c>
      <c r="G871" s="39"/>
      <c r="H871" s="39"/>
      <c r="I871" s="40"/>
      <c r="J871" s="41"/>
      <c r="K871" s="38"/>
      <c r="L871" s="42" t="str">
        <f aca="false">IF($B871="","",IF(AND(N($I871)=0,N($J871)=0),"금액이 없습니다",IF(AND($I871&gt;0,$J871&gt;0),"수입·지출 둘 다 적혔습니다",IF($C871="","결제수단을 고르십시오",IF(ISNA(MATCH($C871,'통합 ③ 통장·카드'!$A$5:$A$11,0)),"③ 통장·카드에 없는 결제수단입니다",IF($D871="","계정과목을 고르십시오",IF($E871="※없는 과목","④ 설정에 없는 과목입니다",IF(AND($E871="수입",$J871&gt;0),"수입 과목인데 지출에 적혔습니다",IF(AND(LEFT($E871,2)&lt;&gt;"수입",$E871&lt;&gt;"대체",$I871&gt;0),"지출 과목인데 수입에 적혔습니다",IF($K871="","증빙을 고르십시오",IF(AND($C871="바우처통장",$J871&gt;0,IFERROR(INDEX('통합 ④ 설정'!$E$6:$E$40,MATCH($D871,'통합 ④ 설정'!$B$6:$B$40,0)),"")&lt;&gt;"○"),"바우처통장 지출 — 목적 확인",IF($H871="","적요를 적으십시오",""))))))))))))</f>
        <v/>
      </c>
      <c r="M871" s="39"/>
      <c r="O871" s="11" t="str">
        <f aca="false">IF($B871="","",YEAR($B871)*100+MONTH($B871))</f>
        <v/>
      </c>
      <c r="P871" s="11" t="str">
        <f aca="false">IF($B871="","",IF($E871="대체",0,1))</f>
        <v/>
      </c>
    </row>
    <row r="872" customFormat="false" ht="15" hidden="false" customHeight="false" outlineLevel="0" collapsed="false">
      <c r="A872" s="36" t="str">
        <f aca="false">IF($B872="","",COUNT($B$15:$B872))</f>
        <v/>
      </c>
      <c r="B872" s="37"/>
      <c r="C872" s="38"/>
      <c r="D872" s="39"/>
      <c r="E872" s="36" t="str">
        <f aca="false">IF($D872="","",IFERROR(INDEX('통합 ④ 설정'!$A$6:$A$40,MATCH($D872,'통합 ④ 설정'!$B$6:$B$40,0)),"※없는 과목"))</f>
        <v/>
      </c>
      <c r="F872" s="36" t="str">
        <f aca="false">IF($D872="","",IFERROR(INDEX('통합 ④ 설정'!$C$6:$C$40,MATCH($D872,'통합 ④ 설정'!$B$6:$B$40,0)),""))</f>
        <v/>
      </c>
      <c r="G872" s="39"/>
      <c r="H872" s="39"/>
      <c r="I872" s="40"/>
      <c r="J872" s="41"/>
      <c r="K872" s="38"/>
      <c r="L872" s="42" t="str">
        <f aca="false">IF($B872="","",IF(AND(N($I872)=0,N($J872)=0),"금액이 없습니다",IF(AND($I872&gt;0,$J872&gt;0),"수입·지출 둘 다 적혔습니다",IF($C872="","결제수단을 고르십시오",IF(ISNA(MATCH($C872,'통합 ③ 통장·카드'!$A$5:$A$11,0)),"③ 통장·카드에 없는 결제수단입니다",IF($D872="","계정과목을 고르십시오",IF($E872="※없는 과목","④ 설정에 없는 과목입니다",IF(AND($E872="수입",$J872&gt;0),"수입 과목인데 지출에 적혔습니다",IF(AND(LEFT($E872,2)&lt;&gt;"수입",$E872&lt;&gt;"대체",$I872&gt;0),"지출 과목인데 수입에 적혔습니다",IF($K872="","증빙을 고르십시오",IF(AND($C872="바우처통장",$J872&gt;0,IFERROR(INDEX('통합 ④ 설정'!$E$6:$E$40,MATCH($D872,'통합 ④ 설정'!$B$6:$B$40,0)),"")&lt;&gt;"○"),"바우처통장 지출 — 목적 확인",IF($H872="","적요를 적으십시오",""))))))))))))</f>
        <v/>
      </c>
      <c r="M872" s="39"/>
      <c r="O872" s="11" t="str">
        <f aca="false">IF($B872="","",YEAR($B872)*100+MONTH($B872))</f>
        <v/>
      </c>
      <c r="P872" s="11" t="str">
        <f aca="false">IF($B872="","",IF($E872="대체",0,1))</f>
        <v/>
      </c>
    </row>
    <row r="873" customFormat="false" ht="15" hidden="false" customHeight="false" outlineLevel="0" collapsed="false">
      <c r="A873" s="36" t="str">
        <f aca="false">IF($B873="","",COUNT($B$15:$B873))</f>
        <v/>
      </c>
      <c r="B873" s="37"/>
      <c r="C873" s="38"/>
      <c r="D873" s="39"/>
      <c r="E873" s="36" t="str">
        <f aca="false">IF($D873="","",IFERROR(INDEX('통합 ④ 설정'!$A$6:$A$40,MATCH($D873,'통합 ④ 설정'!$B$6:$B$40,0)),"※없는 과목"))</f>
        <v/>
      </c>
      <c r="F873" s="36" t="str">
        <f aca="false">IF($D873="","",IFERROR(INDEX('통합 ④ 설정'!$C$6:$C$40,MATCH($D873,'통합 ④ 설정'!$B$6:$B$40,0)),""))</f>
        <v/>
      </c>
      <c r="G873" s="39"/>
      <c r="H873" s="39"/>
      <c r="I873" s="40"/>
      <c r="J873" s="41"/>
      <c r="K873" s="38"/>
      <c r="L873" s="42" t="str">
        <f aca="false">IF($B873="","",IF(AND(N($I873)=0,N($J873)=0),"금액이 없습니다",IF(AND($I873&gt;0,$J873&gt;0),"수입·지출 둘 다 적혔습니다",IF($C873="","결제수단을 고르십시오",IF(ISNA(MATCH($C873,'통합 ③ 통장·카드'!$A$5:$A$11,0)),"③ 통장·카드에 없는 결제수단입니다",IF($D873="","계정과목을 고르십시오",IF($E873="※없는 과목","④ 설정에 없는 과목입니다",IF(AND($E873="수입",$J873&gt;0),"수입 과목인데 지출에 적혔습니다",IF(AND(LEFT($E873,2)&lt;&gt;"수입",$E873&lt;&gt;"대체",$I873&gt;0),"지출 과목인데 수입에 적혔습니다",IF($K873="","증빙을 고르십시오",IF(AND($C873="바우처통장",$J873&gt;0,IFERROR(INDEX('통합 ④ 설정'!$E$6:$E$40,MATCH($D873,'통합 ④ 설정'!$B$6:$B$40,0)),"")&lt;&gt;"○"),"바우처통장 지출 — 목적 확인",IF($H873="","적요를 적으십시오",""))))))))))))</f>
        <v/>
      </c>
      <c r="M873" s="39"/>
      <c r="O873" s="11" t="str">
        <f aca="false">IF($B873="","",YEAR($B873)*100+MONTH($B873))</f>
        <v/>
      </c>
      <c r="P873" s="11" t="str">
        <f aca="false">IF($B873="","",IF($E873="대체",0,1))</f>
        <v/>
      </c>
    </row>
    <row r="874" customFormat="false" ht="15" hidden="false" customHeight="false" outlineLevel="0" collapsed="false">
      <c r="A874" s="36" t="str">
        <f aca="false">IF($B874="","",COUNT($B$15:$B874))</f>
        <v/>
      </c>
      <c r="B874" s="37"/>
      <c r="C874" s="38"/>
      <c r="D874" s="39"/>
      <c r="E874" s="36" t="str">
        <f aca="false">IF($D874="","",IFERROR(INDEX('통합 ④ 설정'!$A$6:$A$40,MATCH($D874,'통합 ④ 설정'!$B$6:$B$40,0)),"※없는 과목"))</f>
        <v/>
      </c>
      <c r="F874" s="36" t="str">
        <f aca="false">IF($D874="","",IFERROR(INDEX('통합 ④ 설정'!$C$6:$C$40,MATCH($D874,'통합 ④ 설정'!$B$6:$B$40,0)),""))</f>
        <v/>
      </c>
      <c r="G874" s="39"/>
      <c r="H874" s="39"/>
      <c r="I874" s="40"/>
      <c r="J874" s="41"/>
      <c r="K874" s="38"/>
      <c r="L874" s="42" t="str">
        <f aca="false">IF($B874="","",IF(AND(N($I874)=0,N($J874)=0),"금액이 없습니다",IF(AND($I874&gt;0,$J874&gt;0),"수입·지출 둘 다 적혔습니다",IF($C874="","결제수단을 고르십시오",IF(ISNA(MATCH($C874,'통합 ③ 통장·카드'!$A$5:$A$11,0)),"③ 통장·카드에 없는 결제수단입니다",IF($D874="","계정과목을 고르십시오",IF($E874="※없는 과목","④ 설정에 없는 과목입니다",IF(AND($E874="수입",$J874&gt;0),"수입 과목인데 지출에 적혔습니다",IF(AND(LEFT($E874,2)&lt;&gt;"수입",$E874&lt;&gt;"대체",$I874&gt;0),"지출 과목인데 수입에 적혔습니다",IF($K874="","증빙을 고르십시오",IF(AND($C874="바우처통장",$J874&gt;0,IFERROR(INDEX('통합 ④ 설정'!$E$6:$E$40,MATCH($D874,'통합 ④ 설정'!$B$6:$B$40,0)),"")&lt;&gt;"○"),"바우처통장 지출 — 목적 확인",IF($H874="","적요를 적으십시오",""))))))))))))</f>
        <v/>
      </c>
      <c r="M874" s="39"/>
      <c r="O874" s="11" t="str">
        <f aca="false">IF($B874="","",YEAR($B874)*100+MONTH($B874))</f>
        <v/>
      </c>
      <c r="P874" s="11" t="str">
        <f aca="false">IF($B874="","",IF($E874="대체",0,1))</f>
        <v/>
      </c>
    </row>
    <row r="875" customFormat="false" ht="15" hidden="false" customHeight="false" outlineLevel="0" collapsed="false">
      <c r="A875" s="36" t="str">
        <f aca="false">IF($B875="","",COUNT($B$15:$B875))</f>
        <v/>
      </c>
      <c r="B875" s="37"/>
      <c r="C875" s="38"/>
      <c r="D875" s="39"/>
      <c r="E875" s="36" t="str">
        <f aca="false">IF($D875="","",IFERROR(INDEX('통합 ④ 설정'!$A$6:$A$40,MATCH($D875,'통합 ④ 설정'!$B$6:$B$40,0)),"※없는 과목"))</f>
        <v/>
      </c>
      <c r="F875" s="36" t="str">
        <f aca="false">IF($D875="","",IFERROR(INDEX('통합 ④ 설정'!$C$6:$C$40,MATCH($D875,'통합 ④ 설정'!$B$6:$B$40,0)),""))</f>
        <v/>
      </c>
      <c r="G875" s="39"/>
      <c r="H875" s="39"/>
      <c r="I875" s="40"/>
      <c r="J875" s="41"/>
      <c r="K875" s="38"/>
      <c r="L875" s="42" t="str">
        <f aca="false">IF($B875="","",IF(AND(N($I875)=0,N($J875)=0),"금액이 없습니다",IF(AND($I875&gt;0,$J875&gt;0),"수입·지출 둘 다 적혔습니다",IF($C875="","결제수단을 고르십시오",IF(ISNA(MATCH($C875,'통합 ③ 통장·카드'!$A$5:$A$11,0)),"③ 통장·카드에 없는 결제수단입니다",IF($D875="","계정과목을 고르십시오",IF($E875="※없는 과목","④ 설정에 없는 과목입니다",IF(AND($E875="수입",$J875&gt;0),"수입 과목인데 지출에 적혔습니다",IF(AND(LEFT($E875,2)&lt;&gt;"수입",$E875&lt;&gt;"대체",$I875&gt;0),"지출 과목인데 수입에 적혔습니다",IF($K875="","증빙을 고르십시오",IF(AND($C875="바우처통장",$J875&gt;0,IFERROR(INDEX('통합 ④ 설정'!$E$6:$E$40,MATCH($D875,'통합 ④ 설정'!$B$6:$B$40,0)),"")&lt;&gt;"○"),"바우처통장 지출 — 목적 확인",IF($H875="","적요를 적으십시오",""))))))))))))</f>
        <v/>
      </c>
      <c r="M875" s="39"/>
      <c r="O875" s="11" t="str">
        <f aca="false">IF($B875="","",YEAR($B875)*100+MONTH($B875))</f>
        <v/>
      </c>
      <c r="P875" s="11" t="str">
        <f aca="false">IF($B875="","",IF($E875="대체",0,1))</f>
        <v/>
      </c>
    </row>
    <row r="876" customFormat="false" ht="15" hidden="false" customHeight="false" outlineLevel="0" collapsed="false">
      <c r="A876" s="36" t="str">
        <f aca="false">IF($B876="","",COUNT($B$15:$B876))</f>
        <v/>
      </c>
      <c r="B876" s="37"/>
      <c r="C876" s="38"/>
      <c r="D876" s="39"/>
      <c r="E876" s="36" t="str">
        <f aca="false">IF($D876="","",IFERROR(INDEX('통합 ④ 설정'!$A$6:$A$40,MATCH($D876,'통합 ④ 설정'!$B$6:$B$40,0)),"※없는 과목"))</f>
        <v/>
      </c>
      <c r="F876" s="36" t="str">
        <f aca="false">IF($D876="","",IFERROR(INDEX('통합 ④ 설정'!$C$6:$C$40,MATCH($D876,'통합 ④ 설정'!$B$6:$B$40,0)),""))</f>
        <v/>
      </c>
      <c r="G876" s="39"/>
      <c r="H876" s="39"/>
      <c r="I876" s="40"/>
      <c r="J876" s="41"/>
      <c r="K876" s="38"/>
      <c r="L876" s="42" t="str">
        <f aca="false">IF($B876="","",IF(AND(N($I876)=0,N($J876)=0),"금액이 없습니다",IF(AND($I876&gt;0,$J876&gt;0),"수입·지출 둘 다 적혔습니다",IF($C876="","결제수단을 고르십시오",IF(ISNA(MATCH($C876,'통합 ③ 통장·카드'!$A$5:$A$11,0)),"③ 통장·카드에 없는 결제수단입니다",IF($D876="","계정과목을 고르십시오",IF($E876="※없는 과목","④ 설정에 없는 과목입니다",IF(AND($E876="수입",$J876&gt;0),"수입 과목인데 지출에 적혔습니다",IF(AND(LEFT($E876,2)&lt;&gt;"수입",$E876&lt;&gt;"대체",$I876&gt;0),"지출 과목인데 수입에 적혔습니다",IF($K876="","증빙을 고르십시오",IF(AND($C876="바우처통장",$J876&gt;0,IFERROR(INDEX('통합 ④ 설정'!$E$6:$E$40,MATCH($D876,'통합 ④ 설정'!$B$6:$B$40,0)),"")&lt;&gt;"○"),"바우처통장 지출 — 목적 확인",IF($H876="","적요를 적으십시오",""))))))))))))</f>
        <v/>
      </c>
      <c r="M876" s="39"/>
      <c r="O876" s="11" t="str">
        <f aca="false">IF($B876="","",YEAR($B876)*100+MONTH($B876))</f>
        <v/>
      </c>
      <c r="P876" s="11" t="str">
        <f aca="false">IF($B876="","",IF($E876="대체",0,1))</f>
        <v/>
      </c>
    </row>
    <row r="877" customFormat="false" ht="15" hidden="false" customHeight="false" outlineLevel="0" collapsed="false">
      <c r="A877" s="36" t="str">
        <f aca="false">IF($B877="","",COUNT($B$15:$B877))</f>
        <v/>
      </c>
      <c r="B877" s="37"/>
      <c r="C877" s="38"/>
      <c r="D877" s="39"/>
      <c r="E877" s="36" t="str">
        <f aca="false">IF($D877="","",IFERROR(INDEX('통합 ④ 설정'!$A$6:$A$40,MATCH($D877,'통합 ④ 설정'!$B$6:$B$40,0)),"※없는 과목"))</f>
        <v/>
      </c>
      <c r="F877" s="36" t="str">
        <f aca="false">IF($D877="","",IFERROR(INDEX('통합 ④ 설정'!$C$6:$C$40,MATCH($D877,'통합 ④ 설정'!$B$6:$B$40,0)),""))</f>
        <v/>
      </c>
      <c r="G877" s="39"/>
      <c r="H877" s="39"/>
      <c r="I877" s="40"/>
      <c r="J877" s="41"/>
      <c r="K877" s="38"/>
      <c r="L877" s="42" t="str">
        <f aca="false">IF($B877="","",IF(AND(N($I877)=0,N($J877)=0),"금액이 없습니다",IF(AND($I877&gt;0,$J877&gt;0),"수입·지출 둘 다 적혔습니다",IF($C877="","결제수단을 고르십시오",IF(ISNA(MATCH($C877,'통합 ③ 통장·카드'!$A$5:$A$11,0)),"③ 통장·카드에 없는 결제수단입니다",IF($D877="","계정과목을 고르십시오",IF($E877="※없는 과목","④ 설정에 없는 과목입니다",IF(AND($E877="수입",$J877&gt;0),"수입 과목인데 지출에 적혔습니다",IF(AND(LEFT($E877,2)&lt;&gt;"수입",$E877&lt;&gt;"대체",$I877&gt;0),"지출 과목인데 수입에 적혔습니다",IF($K877="","증빙을 고르십시오",IF(AND($C877="바우처통장",$J877&gt;0,IFERROR(INDEX('통합 ④ 설정'!$E$6:$E$40,MATCH($D877,'통합 ④ 설정'!$B$6:$B$40,0)),"")&lt;&gt;"○"),"바우처통장 지출 — 목적 확인",IF($H877="","적요를 적으십시오",""))))))))))))</f>
        <v/>
      </c>
      <c r="M877" s="39"/>
      <c r="O877" s="11" t="str">
        <f aca="false">IF($B877="","",YEAR($B877)*100+MONTH($B877))</f>
        <v/>
      </c>
      <c r="P877" s="11" t="str">
        <f aca="false">IF($B877="","",IF($E877="대체",0,1))</f>
        <v/>
      </c>
    </row>
    <row r="878" customFormat="false" ht="15" hidden="false" customHeight="false" outlineLevel="0" collapsed="false">
      <c r="A878" s="36" t="str">
        <f aca="false">IF($B878="","",COUNT($B$15:$B878))</f>
        <v/>
      </c>
      <c r="B878" s="37"/>
      <c r="C878" s="38"/>
      <c r="D878" s="39"/>
      <c r="E878" s="36" t="str">
        <f aca="false">IF($D878="","",IFERROR(INDEX('통합 ④ 설정'!$A$6:$A$40,MATCH($D878,'통합 ④ 설정'!$B$6:$B$40,0)),"※없는 과목"))</f>
        <v/>
      </c>
      <c r="F878" s="36" t="str">
        <f aca="false">IF($D878="","",IFERROR(INDEX('통합 ④ 설정'!$C$6:$C$40,MATCH($D878,'통합 ④ 설정'!$B$6:$B$40,0)),""))</f>
        <v/>
      </c>
      <c r="G878" s="39"/>
      <c r="H878" s="39"/>
      <c r="I878" s="40"/>
      <c r="J878" s="41"/>
      <c r="K878" s="38"/>
      <c r="L878" s="42" t="str">
        <f aca="false">IF($B878="","",IF(AND(N($I878)=0,N($J878)=0),"금액이 없습니다",IF(AND($I878&gt;0,$J878&gt;0),"수입·지출 둘 다 적혔습니다",IF($C878="","결제수단을 고르십시오",IF(ISNA(MATCH($C878,'통합 ③ 통장·카드'!$A$5:$A$11,0)),"③ 통장·카드에 없는 결제수단입니다",IF($D878="","계정과목을 고르십시오",IF($E878="※없는 과목","④ 설정에 없는 과목입니다",IF(AND($E878="수입",$J878&gt;0),"수입 과목인데 지출에 적혔습니다",IF(AND(LEFT($E878,2)&lt;&gt;"수입",$E878&lt;&gt;"대체",$I878&gt;0),"지출 과목인데 수입에 적혔습니다",IF($K878="","증빙을 고르십시오",IF(AND($C878="바우처통장",$J878&gt;0,IFERROR(INDEX('통합 ④ 설정'!$E$6:$E$40,MATCH($D878,'통합 ④ 설정'!$B$6:$B$40,0)),"")&lt;&gt;"○"),"바우처통장 지출 — 목적 확인",IF($H878="","적요를 적으십시오",""))))))))))))</f>
        <v/>
      </c>
      <c r="M878" s="39"/>
      <c r="O878" s="11" t="str">
        <f aca="false">IF($B878="","",YEAR($B878)*100+MONTH($B878))</f>
        <v/>
      </c>
      <c r="P878" s="11" t="str">
        <f aca="false">IF($B878="","",IF($E878="대체",0,1))</f>
        <v/>
      </c>
    </row>
    <row r="879" customFormat="false" ht="15" hidden="false" customHeight="false" outlineLevel="0" collapsed="false">
      <c r="A879" s="36" t="str">
        <f aca="false">IF($B879="","",COUNT($B$15:$B879))</f>
        <v/>
      </c>
      <c r="B879" s="37"/>
      <c r="C879" s="38"/>
      <c r="D879" s="39"/>
      <c r="E879" s="36" t="str">
        <f aca="false">IF($D879="","",IFERROR(INDEX('통합 ④ 설정'!$A$6:$A$40,MATCH($D879,'통합 ④ 설정'!$B$6:$B$40,0)),"※없는 과목"))</f>
        <v/>
      </c>
      <c r="F879" s="36" t="str">
        <f aca="false">IF($D879="","",IFERROR(INDEX('통합 ④ 설정'!$C$6:$C$40,MATCH($D879,'통합 ④ 설정'!$B$6:$B$40,0)),""))</f>
        <v/>
      </c>
      <c r="G879" s="39"/>
      <c r="H879" s="39"/>
      <c r="I879" s="40"/>
      <c r="J879" s="41"/>
      <c r="K879" s="38"/>
      <c r="L879" s="42" t="str">
        <f aca="false">IF($B879="","",IF(AND(N($I879)=0,N($J879)=0),"금액이 없습니다",IF(AND($I879&gt;0,$J879&gt;0),"수입·지출 둘 다 적혔습니다",IF($C879="","결제수단을 고르십시오",IF(ISNA(MATCH($C879,'통합 ③ 통장·카드'!$A$5:$A$11,0)),"③ 통장·카드에 없는 결제수단입니다",IF($D879="","계정과목을 고르십시오",IF($E879="※없는 과목","④ 설정에 없는 과목입니다",IF(AND($E879="수입",$J879&gt;0),"수입 과목인데 지출에 적혔습니다",IF(AND(LEFT($E879,2)&lt;&gt;"수입",$E879&lt;&gt;"대체",$I879&gt;0),"지출 과목인데 수입에 적혔습니다",IF($K879="","증빙을 고르십시오",IF(AND($C879="바우처통장",$J879&gt;0,IFERROR(INDEX('통합 ④ 설정'!$E$6:$E$40,MATCH($D879,'통합 ④ 설정'!$B$6:$B$40,0)),"")&lt;&gt;"○"),"바우처통장 지출 — 목적 확인",IF($H879="","적요를 적으십시오",""))))))))))))</f>
        <v/>
      </c>
      <c r="M879" s="39"/>
      <c r="O879" s="11" t="str">
        <f aca="false">IF($B879="","",YEAR($B879)*100+MONTH($B879))</f>
        <v/>
      </c>
      <c r="P879" s="11" t="str">
        <f aca="false">IF($B879="","",IF($E879="대체",0,1))</f>
        <v/>
      </c>
    </row>
    <row r="880" customFormat="false" ht="15" hidden="false" customHeight="false" outlineLevel="0" collapsed="false">
      <c r="A880" s="36" t="str">
        <f aca="false">IF($B880="","",COUNT($B$15:$B880))</f>
        <v/>
      </c>
      <c r="B880" s="37"/>
      <c r="C880" s="38"/>
      <c r="D880" s="39"/>
      <c r="E880" s="36" t="str">
        <f aca="false">IF($D880="","",IFERROR(INDEX('통합 ④ 설정'!$A$6:$A$40,MATCH($D880,'통합 ④ 설정'!$B$6:$B$40,0)),"※없는 과목"))</f>
        <v/>
      </c>
      <c r="F880" s="36" t="str">
        <f aca="false">IF($D880="","",IFERROR(INDEX('통합 ④ 설정'!$C$6:$C$40,MATCH($D880,'통합 ④ 설정'!$B$6:$B$40,0)),""))</f>
        <v/>
      </c>
      <c r="G880" s="39"/>
      <c r="H880" s="39"/>
      <c r="I880" s="40"/>
      <c r="J880" s="41"/>
      <c r="K880" s="38"/>
      <c r="L880" s="42" t="str">
        <f aca="false">IF($B880="","",IF(AND(N($I880)=0,N($J880)=0),"금액이 없습니다",IF(AND($I880&gt;0,$J880&gt;0),"수입·지출 둘 다 적혔습니다",IF($C880="","결제수단을 고르십시오",IF(ISNA(MATCH($C880,'통합 ③ 통장·카드'!$A$5:$A$11,0)),"③ 통장·카드에 없는 결제수단입니다",IF($D880="","계정과목을 고르십시오",IF($E880="※없는 과목","④ 설정에 없는 과목입니다",IF(AND($E880="수입",$J880&gt;0),"수입 과목인데 지출에 적혔습니다",IF(AND(LEFT($E880,2)&lt;&gt;"수입",$E880&lt;&gt;"대체",$I880&gt;0),"지출 과목인데 수입에 적혔습니다",IF($K880="","증빙을 고르십시오",IF(AND($C880="바우처통장",$J880&gt;0,IFERROR(INDEX('통합 ④ 설정'!$E$6:$E$40,MATCH($D880,'통합 ④ 설정'!$B$6:$B$40,0)),"")&lt;&gt;"○"),"바우처통장 지출 — 목적 확인",IF($H880="","적요를 적으십시오",""))))))))))))</f>
        <v/>
      </c>
      <c r="M880" s="39"/>
      <c r="O880" s="11" t="str">
        <f aca="false">IF($B880="","",YEAR($B880)*100+MONTH($B880))</f>
        <v/>
      </c>
      <c r="P880" s="11" t="str">
        <f aca="false">IF($B880="","",IF($E880="대체",0,1))</f>
        <v/>
      </c>
    </row>
    <row r="881" customFormat="false" ht="15" hidden="false" customHeight="false" outlineLevel="0" collapsed="false">
      <c r="A881" s="36" t="str">
        <f aca="false">IF($B881="","",COUNT($B$15:$B881))</f>
        <v/>
      </c>
      <c r="B881" s="37"/>
      <c r="C881" s="38"/>
      <c r="D881" s="39"/>
      <c r="E881" s="36" t="str">
        <f aca="false">IF($D881="","",IFERROR(INDEX('통합 ④ 설정'!$A$6:$A$40,MATCH($D881,'통합 ④ 설정'!$B$6:$B$40,0)),"※없는 과목"))</f>
        <v/>
      </c>
      <c r="F881" s="36" t="str">
        <f aca="false">IF($D881="","",IFERROR(INDEX('통합 ④ 설정'!$C$6:$C$40,MATCH($D881,'통합 ④ 설정'!$B$6:$B$40,0)),""))</f>
        <v/>
      </c>
      <c r="G881" s="39"/>
      <c r="H881" s="39"/>
      <c r="I881" s="40"/>
      <c r="J881" s="41"/>
      <c r="K881" s="38"/>
      <c r="L881" s="42" t="str">
        <f aca="false">IF($B881="","",IF(AND(N($I881)=0,N($J881)=0),"금액이 없습니다",IF(AND($I881&gt;0,$J881&gt;0),"수입·지출 둘 다 적혔습니다",IF($C881="","결제수단을 고르십시오",IF(ISNA(MATCH($C881,'통합 ③ 통장·카드'!$A$5:$A$11,0)),"③ 통장·카드에 없는 결제수단입니다",IF($D881="","계정과목을 고르십시오",IF($E881="※없는 과목","④ 설정에 없는 과목입니다",IF(AND($E881="수입",$J881&gt;0),"수입 과목인데 지출에 적혔습니다",IF(AND(LEFT($E881,2)&lt;&gt;"수입",$E881&lt;&gt;"대체",$I881&gt;0),"지출 과목인데 수입에 적혔습니다",IF($K881="","증빙을 고르십시오",IF(AND($C881="바우처통장",$J881&gt;0,IFERROR(INDEX('통합 ④ 설정'!$E$6:$E$40,MATCH($D881,'통합 ④ 설정'!$B$6:$B$40,0)),"")&lt;&gt;"○"),"바우처통장 지출 — 목적 확인",IF($H881="","적요를 적으십시오",""))))))))))))</f>
        <v/>
      </c>
      <c r="M881" s="39"/>
      <c r="O881" s="11" t="str">
        <f aca="false">IF($B881="","",YEAR($B881)*100+MONTH($B881))</f>
        <v/>
      </c>
      <c r="P881" s="11" t="str">
        <f aca="false">IF($B881="","",IF($E881="대체",0,1))</f>
        <v/>
      </c>
    </row>
    <row r="882" customFormat="false" ht="15" hidden="false" customHeight="false" outlineLevel="0" collapsed="false">
      <c r="A882" s="36" t="str">
        <f aca="false">IF($B882="","",COUNT($B$15:$B882))</f>
        <v/>
      </c>
      <c r="B882" s="37"/>
      <c r="C882" s="38"/>
      <c r="D882" s="39"/>
      <c r="E882" s="36" t="str">
        <f aca="false">IF($D882="","",IFERROR(INDEX('통합 ④ 설정'!$A$6:$A$40,MATCH($D882,'통합 ④ 설정'!$B$6:$B$40,0)),"※없는 과목"))</f>
        <v/>
      </c>
      <c r="F882" s="36" t="str">
        <f aca="false">IF($D882="","",IFERROR(INDEX('통합 ④ 설정'!$C$6:$C$40,MATCH($D882,'통합 ④ 설정'!$B$6:$B$40,0)),""))</f>
        <v/>
      </c>
      <c r="G882" s="39"/>
      <c r="H882" s="39"/>
      <c r="I882" s="40"/>
      <c r="J882" s="41"/>
      <c r="K882" s="38"/>
      <c r="L882" s="42" t="str">
        <f aca="false">IF($B882="","",IF(AND(N($I882)=0,N($J882)=0),"금액이 없습니다",IF(AND($I882&gt;0,$J882&gt;0),"수입·지출 둘 다 적혔습니다",IF($C882="","결제수단을 고르십시오",IF(ISNA(MATCH($C882,'통합 ③ 통장·카드'!$A$5:$A$11,0)),"③ 통장·카드에 없는 결제수단입니다",IF($D882="","계정과목을 고르십시오",IF($E882="※없는 과목","④ 설정에 없는 과목입니다",IF(AND($E882="수입",$J882&gt;0),"수입 과목인데 지출에 적혔습니다",IF(AND(LEFT($E882,2)&lt;&gt;"수입",$E882&lt;&gt;"대체",$I882&gt;0),"지출 과목인데 수입에 적혔습니다",IF($K882="","증빙을 고르십시오",IF(AND($C882="바우처통장",$J882&gt;0,IFERROR(INDEX('통합 ④ 설정'!$E$6:$E$40,MATCH($D882,'통합 ④ 설정'!$B$6:$B$40,0)),"")&lt;&gt;"○"),"바우처통장 지출 — 목적 확인",IF($H882="","적요를 적으십시오",""))))))))))))</f>
        <v/>
      </c>
      <c r="M882" s="39"/>
      <c r="O882" s="11" t="str">
        <f aca="false">IF($B882="","",YEAR($B882)*100+MONTH($B882))</f>
        <v/>
      </c>
      <c r="P882" s="11" t="str">
        <f aca="false">IF($B882="","",IF($E882="대체",0,1))</f>
        <v/>
      </c>
    </row>
    <row r="883" customFormat="false" ht="15" hidden="false" customHeight="false" outlineLevel="0" collapsed="false">
      <c r="A883" s="36" t="str">
        <f aca="false">IF($B883="","",COUNT($B$15:$B883))</f>
        <v/>
      </c>
      <c r="B883" s="37"/>
      <c r="C883" s="38"/>
      <c r="D883" s="39"/>
      <c r="E883" s="36" t="str">
        <f aca="false">IF($D883="","",IFERROR(INDEX('통합 ④ 설정'!$A$6:$A$40,MATCH($D883,'통합 ④ 설정'!$B$6:$B$40,0)),"※없는 과목"))</f>
        <v/>
      </c>
      <c r="F883" s="36" t="str">
        <f aca="false">IF($D883="","",IFERROR(INDEX('통합 ④ 설정'!$C$6:$C$40,MATCH($D883,'통합 ④ 설정'!$B$6:$B$40,0)),""))</f>
        <v/>
      </c>
      <c r="G883" s="39"/>
      <c r="H883" s="39"/>
      <c r="I883" s="40"/>
      <c r="J883" s="41"/>
      <c r="K883" s="38"/>
      <c r="L883" s="42" t="str">
        <f aca="false">IF($B883="","",IF(AND(N($I883)=0,N($J883)=0),"금액이 없습니다",IF(AND($I883&gt;0,$J883&gt;0),"수입·지출 둘 다 적혔습니다",IF($C883="","결제수단을 고르십시오",IF(ISNA(MATCH($C883,'통합 ③ 통장·카드'!$A$5:$A$11,0)),"③ 통장·카드에 없는 결제수단입니다",IF($D883="","계정과목을 고르십시오",IF($E883="※없는 과목","④ 설정에 없는 과목입니다",IF(AND($E883="수입",$J883&gt;0),"수입 과목인데 지출에 적혔습니다",IF(AND(LEFT($E883,2)&lt;&gt;"수입",$E883&lt;&gt;"대체",$I883&gt;0),"지출 과목인데 수입에 적혔습니다",IF($K883="","증빙을 고르십시오",IF(AND($C883="바우처통장",$J883&gt;0,IFERROR(INDEX('통합 ④ 설정'!$E$6:$E$40,MATCH($D883,'통합 ④ 설정'!$B$6:$B$40,0)),"")&lt;&gt;"○"),"바우처통장 지출 — 목적 확인",IF($H883="","적요를 적으십시오",""))))))))))))</f>
        <v/>
      </c>
      <c r="M883" s="39"/>
      <c r="O883" s="11" t="str">
        <f aca="false">IF($B883="","",YEAR($B883)*100+MONTH($B883))</f>
        <v/>
      </c>
      <c r="P883" s="11" t="str">
        <f aca="false">IF($B883="","",IF($E883="대체",0,1))</f>
        <v/>
      </c>
    </row>
    <row r="884" customFormat="false" ht="15" hidden="false" customHeight="false" outlineLevel="0" collapsed="false">
      <c r="A884" s="36" t="str">
        <f aca="false">IF($B884="","",COUNT($B$15:$B884))</f>
        <v/>
      </c>
      <c r="B884" s="37"/>
      <c r="C884" s="38"/>
      <c r="D884" s="39"/>
      <c r="E884" s="36" t="str">
        <f aca="false">IF($D884="","",IFERROR(INDEX('통합 ④ 설정'!$A$6:$A$40,MATCH($D884,'통합 ④ 설정'!$B$6:$B$40,0)),"※없는 과목"))</f>
        <v/>
      </c>
      <c r="F884" s="36" t="str">
        <f aca="false">IF($D884="","",IFERROR(INDEX('통합 ④ 설정'!$C$6:$C$40,MATCH($D884,'통합 ④ 설정'!$B$6:$B$40,0)),""))</f>
        <v/>
      </c>
      <c r="G884" s="39"/>
      <c r="H884" s="39"/>
      <c r="I884" s="40"/>
      <c r="J884" s="41"/>
      <c r="K884" s="38"/>
      <c r="L884" s="42" t="str">
        <f aca="false">IF($B884="","",IF(AND(N($I884)=0,N($J884)=0),"금액이 없습니다",IF(AND($I884&gt;0,$J884&gt;0),"수입·지출 둘 다 적혔습니다",IF($C884="","결제수단을 고르십시오",IF(ISNA(MATCH($C884,'통합 ③ 통장·카드'!$A$5:$A$11,0)),"③ 통장·카드에 없는 결제수단입니다",IF($D884="","계정과목을 고르십시오",IF($E884="※없는 과목","④ 설정에 없는 과목입니다",IF(AND($E884="수입",$J884&gt;0),"수입 과목인데 지출에 적혔습니다",IF(AND(LEFT($E884,2)&lt;&gt;"수입",$E884&lt;&gt;"대체",$I884&gt;0),"지출 과목인데 수입에 적혔습니다",IF($K884="","증빙을 고르십시오",IF(AND($C884="바우처통장",$J884&gt;0,IFERROR(INDEX('통합 ④ 설정'!$E$6:$E$40,MATCH($D884,'통합 ④ 설정'!$B$6:$B$40,0)),"")&lt;&gt;"○"),"바우처통장 지출 — 목적 확인",IF($H884="","적요를 적으십시오",""))))))))))))</f>
        <v/>
      </c>
      <c r="M884" s="39"/>
      <c r="O884" s="11" t="str">
        <f aca="false">IF($B884="","",YEAR($B884)*100+MONTH($B884))</f>
        <v/>
      </c>
      <c r="P884" s="11" t="str">
        <f aca="false">IF($B884="","",IF($E884="대체",0,1))</f>
        <v/>
      </c>
    </row>
    <row r="885" customFormat="false" ht="15" hidden="false" customHeight="false" outlineLevel="0" collapsed="false">
      <c r="A885" s="36" t="str">
        <f aca="false">IF($B885="","",COUNT($B$15:$B885))</f>
        <v/>
      </c>
      <c r="B885" s="37"/>
      <c r="C885" s="38"/>
      <c r="D885" s="39"/>
      <c r="E885" s="36" t="str">
        <f aca="false">IF($D885="","",IFERROR(INDEX('통합 ④ 설정'!$A$6:$A$40,MATCH($D885,'통합 ④ 설정'!$B$6:$B$40,0)),"※없는 과목"))</f>
        <v/>
      </c>
      <c r="F885" s="36" t="str">
        <f aca="false">IF($D885="","",IFERROR(INDEX('통합 ④ 설정'!$C$6:$C$40,MATCH($D885,'통합 ④ 설정'!$B$6:$B$40,0)),""))</f>
        <v/>
      </c>
      <c r="G885" s="39"/>
      <c r="H885" s="39"/>
      <c r="I885" s="40"/>
      <c r="J885" s="41"/>
      <c r="K885" s="38"/>
      <c r="L885" s="42" t="str">
        <f aca="false">IF($B885="","",IF(AND(N($I885)=0,N($J885)=0),"금액이 없습니다",IF(AND($I885&gt;0,$J885&gt;0),"수입·지출 둘 다 적혔습니다",IF($C885="","결제수단을 고르십시오",IF(ISNA(MATCH($C885,'통합 ③ 통장·카드'!$A$5:$A$11,0)),"③ 통장·카드에 없는 결제수단입니다",IF($D885="","계정과목을 고르십시오",IF($E885="※없는 과목","④ 설정에 없는 과목입니다",IF(AND($E885="수입",$J885&gt;0),"수입 과목인데 지출에 적혔습니다",IF(AND(LEFT($E885,2)&lt;&gt;"수입",$E885&lt;&gt;"대체",$I885&gt;0),"지출 과목인데 수입에 적혔습니다",IF($K885="","증빙을 고르십시오",IF(AND($C885="바우처통장",$J885&gt;0,IFERROR(INDEX('통합 ④ 설정'!$E$6:$E$40,MATCH($D885,'통합 ④ 설정'!$B$6:$B$40,0)),"")&lt;&gt;"○"),"바우처통장 지출 — 목적 확인",IF($H885="","적요를 적으십시오",""))))))))))))</f>
        <v/>
      </c>
      <c r="M885" s="39"/>
      <c r="O885" s="11" t="str">
        <f aca="false">IF($B885="","",YEAR($B885)*100+MONTH($B885))</f>
        <v/>
      </c>
      <c r="P885" s="11" t="str">
        <f aca="false">IF($B885="","",IF($E885="대체",0,1))</f>
        <v/>
      </c>
    </row>
    <row r="886" customFormat="false" ht="15" hidden="false" customHeight="false" outlineLevel="0" collapsed="false">
      <c r="A886" s="36" t="str">
        <f aca="false">IF($B886="","",COUNT($B$15:$B886))</f>
        <v/>
      </c>
      <c r="B886" s="37"/>
      <c r="C886" s="38"/>
      <c r="D886" s="39"/>
      <c r="E886" s="36" t="str">
        <f aca="false">IF($D886="","",IFERROR(INDEX('통합 ④ 설정'!$A$6:$A$40,MATCH($D886,'통합 ④ 설정'!$B$6:$B$40,0)),"※없는 과목"))</f>
        <v/>
      </c>
      <c r="F886" s="36" t="str">
        <f aca="false">IF($D886="","",IFERROR(INDEX('통합 ④ 설정'!$C$6:$C$40,MATCH($D886,'통합 ④ 설정'!$B$6:$B$40,0)),""))</f>
        <v/>
      </c>
      <c r="G886" s="39"/>
      <c r="H886" s="39"/>
      <c r="I886" s="40"/>
      <c r="J886" s="41"/>
      <c r="K886" s="38"/>
      <c r="L886" s="42" t="str">
        <f aca="false">IF($B886="","",IF(AND(N($I886)=0,N($J886)=0),"금액이 없습니다",IF(AND($I886&gt;0,$J886&gt;0),"수입·지출 둘 다 적혔습니다",IF($C886="","결제수단을 고르십시오",IF(ISNA(MATCH($C886,'통합 ③ 통장·카드'!$A$5:$A$11,0)),"③ 통장·카드에 없는 결제수단입니다",IF($D886="","계정과목을 고르십시오",IF($E886="※없는 과목","④ 설정에 없는 과목입니다",IF(AND($E886="수입",$J886&gt;0),"수입 과목인데 지출에 적혔습니다",IF(AND(LEFT($E886,2)&lt;&gt;"수입",$E886&lt;&gt;"대체",$I886&gt;0),"지출 과목인데 수입에 적혔습니다",IF($K886="","증빙을 고르십시오",IF(AND($C886="바우처통장",$J886&gt;0,IFERROR(INDEX('통합 ④ 설정'!$E$6:$E$40,MATCH($D886,'통합 ④ 설정'!$B$6:$B$40,0)),"")&lt;&gt;"○"),"바우처통장 지출 — 목적 확인",IF($H886="","적요를 적으십시오",""))))))))))))</f>
        <v/>
      </c>
      <c r="M886" s="39"/>
      <c r="O886" s="11" t="str">
        <f aca="false">IF($B886="","",YEAR($B886)*100+MONTH($B886))</f>
        <v/>
      </c>
      <c r="P886" s="11" t="str">
        <f aca="false">IF($B886="","",IF($E886="대체",0,1))</f>
        <v/>
      </c>
    </row>
    <row r="887" customFormat="false" ht="15" hidden="false" customHeight="false" outlineLevel="0" collapsed="false">
      <c r="A887" s="36" t="str">
        <f aca="false">IF($B887="","",COUNT($B$15:$B887))</f>
        <v/>
      </c>
      <c r="B887" s="37"/>
      <c r="C887" s="38"/>
      <c r="D887" s="39"/>
      <c r="E887" s="36" t="str">
        <f aca="false">IF($D887="","",IFERROR(INDEX('통합 ④ 설정'!$A$6:$A$40,MATCH($D887,'통합 ④ 설정'!$B$6:$B$40,0)),"※없는 과목"))</f>
        <v/>
      </c>
      <c r="F887" s="36" t="str">
        <f aca="false">IF($D887="","",IFERROR(INDEX('통합 ④ 설정'!$C$6:$C$40,MATCH($D887,'통합 ④ 설정'!$B$6:$B$40,0)),""))</f>
        <v/>
      </c>
      <c r="G887" s="39"/>
      <c r="H887" s="39"/>
      <c r="I887" s="40"/>
      <c r="J887" s="41"/>
      <c r="K887" s="38"/>
      <c r="L887" s="42" t="str">
        <f aca="false">IF($B887="","",IF(AND(N($I887)=0,N($J887)=0),"금액이 없습니다",IF(AND($I887&gt;0,$J887&gt;0),"수입·지출 둘 다 적혔습니다",IF($C887="","결제수단을 고르십시오",IF(ISNA(MATCH($C887,'통합 ③ 통장·카드'!$A$5:$A$11,0)),"③ 통장·카드에 없는 결제수단입니다",IF($D887="","계정과목을 고르십시오",IF($E887="※없는 과목","④ 설정에 없는 과목입니다",IF(AND($E887="수입",$J887&gt;0),"수입 과목인데 지출에 적혔습니다",IF(AND(LEFT($E887,2)&lt;&gt;"수입",$E887&lt;&gt;"대체",$I887&gt;0),"지출 과목인데 수입에 적혔습니다",IF($K887="","증빙을 고르십시오",IF(AND($C887="바우처통장",$J887&gt;0,IFERROR(INDEX('통합 ④ 설정'!$E$6:$E$40,MATCH($D887,'통합 ④ 설정'!$B$6:$B$40,0)),"")&lt;&gt;"○"),"바우처통장 지출 — 목적 확인",IF($H887="","적요를 적으십시오",""))))))))))))</f>
        <v/>
      </c>
      <c r="M887" s="39"/>
      <c r="O887" s="11" t="str">
        <f aca="false">IF($B887="","",YEAR($B887)*100+MONTH($B887))</f>
        <v/>
      </c>
      <c r="P887" s="11" t="str">
        <f aca="false">IF($B887="","",IF($E887="대체",0,1))</f>
        <v/>
      </c>
    </row>
    <row r="888" customFormat="false" ht="15" hidden="false" customHeight="false" outlineLevel="0" collapsed="false">
      <c r="A888" s="36" t="str">
        <f aca="false">IF($B888="","",COUNT($B$15:$B888))</f>
        <v/>
      </c>
      <c r="B888" s="37"/>
      <c r="C888" s="38"/>
      <c r="D888" s="39"/>
      <c r="E888" s="36" t="str">
        <f aca="false">IF($D888="","",IFERROR(INDEX('통합 ④ 설정'!$A$6:$A$40,MATCH($D888,'통합 ④ 설정'!$B$6:$B$40,0)),"※없는 과목"))</f>
        <v/>
      </c>
      <c r="F888" s="36" t="str">
        <f aca="false">IF($D888="","",IFERROR(INDEX('통합 ④ 설정'!$C$6:$C$40,MATCH($D888,'통합 ④ 설정'!$B$6:$B$40,0)),""))</f>
        <v/>
      </c>
      <c r="G888" s="39"/>
      <c r="H888" s="39"/>
      <c r="I888" s="40"/>
      <c r="J888" s="41"/>
      <c r="K888" s="38"/>
      <c r="L888" s="42" t="str">
        <f aca="false">IF($B888="","",IF(AND(N($I888)=0,N($J888)=0),"금액이 없습니다",IF(AND($I888&gt;0,$J888&gt;0),"수입·지출 둘 다 적혔습니다",IF($C888="","결제수단을 고르십시오",IF(ISNA(MATCH($C888,'통합 ③ 통장·카드'!$A$5:$A$11,0)),"③ 통장·카드에 없는 결제수단입니다",IF($D888="","계정과목을 고르십시오",IF($E888="※없는 과목","④ 설정에 없는 과목입니다",IF(AND($E888="수입",$J888&gt;0),"수입 과목인데 지출에 적혔습니다",IF(AND(LEFT($E888,2)&lt;&gt;"수입",$E888&lt;&gt;"대체",$I888&gt;0),"지출 과목인데 수입에 적혔습니다",IF($K888="","증빙을 고르십시오",IF(AND($C888="바우처통장",$J888&gt;0,IFERROR(INDEX('통합 ④ 설정'!$E$6:$E$40,MATCH($D888,'통합 ④ 설정'!$B$6:$B$40,0)),"")&lt;&gt;"○"),"바우처통장 지출 — 목적 확인",IF($H888="","적요를 적으십시오",""))))))))))))</f>
        <v/>
      </c>
      <c r="M888" s="39"/>
      <c r="O888" s="11" t="str">
        <f aca="false">IF($B888="","",YEAR($B888)*100+MONTH($B888))</f>
        <v/>
      </c>
      <c r="P888" s="11" t="str">
        <f aca="false">IF($B888="","",IF($E888="대체",0,1))</f>
        <v/>
      </c>
    </row>
    <row r="889" customFormat="false" ht="15" hidden="false" customHeight="false" outlineLevel="0" collapsed="false">
      <c r="A889" s="36" t="str">
        <f aca="false">IF($B889="","",COUNT($B$15:$B889))</f>
        <v/>
      </c>
      <c r="B889" s="37"/>
      <c r="C889" s="38"/>
      <c r="D889" s="39"/>
      <c r="E889" s="36" t="str">
        <f aca="false">IF($D889="","",IFERROR(INDEX('통합 ④ 설정'!$A$6:$A$40,MATCH($D889,'통합 ④ 설정'!$B$6:$B$40,0)),"※없는 과목"))</f>
        <v/>
      </c>
      <c r="F889" s="36" t="str">
        <f aca="false">IF($D889="","",IFERROR(INDEX('통합 ④ 설정'!$C$6:$C$40,MATCH($D889,'통합 ④ 설정'!$B$6:$B$40,0)),""))</f>
        <v/>
      </c>
      <c r="G889" s="39"/>
      <c r="H889" s="39"/>
      <c r="I889" s="40"/>
      <c r="J889" s="41"/>
      <c r="K889" s="38"/>
      <c r="L889" s="42" t="str">
        <f aca="false">IF($B889="","",IF(AND(N($I889)=0,N($J889)=0),"금액이 없습니다",IF(AND($I889&gt;0,$J889&gt;0),"수입·지출 둘 다 적혔습니다",IF($C889="","결제수단을 고르십시오",IF(ISNA(MATCH($C889,'통합 ③ 통장·카드'!$A$5:$A$11,0)),"③ 통장·카드에 없는 결제수단입니다",IF($D889="","계정과목을 고르십시오",IF($E889="※없는 과목","④ 설정에 없는 과목입니다",IF(AND($E889="수입",$J889&gt;0),"수입 과목인데 지출에 적혔습니다",IF(AND(LEFT($E889,2)&lt;&gt;"수입",$E889&lt;&gt;"대체",$I889&gt;0),"지출 과목인데 수입에 적혔습니다",IF($K889="","증빙을 고르십시오",IF(AND($C889="바우처통장",$J889&gt;0,IFERROR(INDEX('통합 ④ 설정'!$E$6:$E$40,MATCH($D889,'통합 ④ 설정'!$B$6:$B$40,0)),"")&lt;&gt;"○"),"바우처통장 지출 — 목적 확인",IF($H889="","적요를 적으십시오",""))))))))))))</f>
        <v/>
      </c>
      <c r="M889" s="39"/>
      <c r="O889" s="11" t="str">
        <f aca="false">IF($B889="","",YEAR($B889)*100+MONTH($B889))</f>
        <v/>
      </c>
      <c r="P889" s="11" t="str">
        <f aca="false">IF($B889="","",IF($E889="대체",0,1))</f>
        <v/>
      </c>
    </row>
    <row r="890" customFormat="false" ht="15" hidden="false" customHeight="false" outlineLevel="0" collapsed="false">
      <c r="A890" s="36" t="str">
        <f aca="false">IF($B890="","",COUNT($B$15:$B890))</f>
        <v/>
      </c>
      <c r="B890" s="37"/>
      <c r="C890" s="38"/>
      <c r="D890" s="39"/>
      <c r="E890" s="36" t="str">
        <f aca="false">IF($D890="","",IFERROR(INDEX('통합 ④ 설정'!$A$6:$A$40,MATCH($D890,'통합 ④ 설정'!$B$6:$B$40,0)),"※없는 과목"))</f>
        <v/>
      </c>
      <c r="F890" s="36" t="str">
        <f aca="false">IF($D890="","",IFERROR(INDEX('통합 ④ 설정'!$C$6:$C$40,MATCH($D890,'통합 ④ 설정'!$B$6:$B$40,0)),""))</f>
        <v/>
      </c>
      <c r="G890" s="39"/>
      <c r="H890" s="39"/>
      <c r="I890" s="40"/>
      <c r="J890" s="41"/>
      <c r="K890" s="38"/>
      <c r="L890" s="42" t="str">
        <f aca="false">IF($B890="","",IF(AND(N($I890)=0,N($J890)=0),"금액이 없습니다",IF(AND($I890&gt;0,$J890&gt;0),"수입·지출 둘 다 적혔습니다",IF($C890="","결제수단을 고르십시오",IF(ISNA(MATCH($C890,'통합 ③ 통장·카드'!$A$5:$A$11,0)),"③ 통장·카드에 없는 결제수단입니다",IF($D890="","계정과목을 고르십시오",IF($E890="※없는 과목","④ 설정에 없는 과목입니다",IF(AND($E890="수입",$J890&gt;0),"수입 과목인데 지출에 적혔습니다",IF(AND(LEFT($E890,2)&lt;&gt;"수입",$E890&lt;&gt;"대체",$I890&gt;0),"지출 과목인데 수입에 적혔습니다",IF($K890="","증빙을 고르십시오",IF(AND($C890="바우처통장",$J890&gt;0,IFERROR(INDEX('통합 ④ 설정'!$E$6:$E$40,MATCH($D890,'통합 ④ 설정'!$B$6:$B$40,0)),"")&lt;&gt;"○"),"바우처통장 지출 — 목적 확인",IF($H890="","적요를 적으십시오",""))))))))))))</f>
        <v/>
      </c>
      <c r="M890" s="39"/>
      <c r="O890" s="11" t="str">
        <f aca="false">IF($B890="","",YEAR($B890)*100+MONTH($B890))</f>
        <v/>
      </c>
      <c r="P890" s="11" t="str">
        <f aca="false">IF($B890="","",IF($E890="대체",0,1))</f>
        <v/>
      </c>
    </row>
    <row r="891" customFormat="false" ht="15" hidden="false" customHeight="false" outlineLevel="0" collapsed="false">
      <c r="A891" s="36" t="str">
        <f aca="false">IF($B891="","",COUNT($B$15:$B891))</f>
        <v/>
      </c>
      <c r="B891" s="37"/>
      <c r="C891" s="38"/>
      <c r="D891" s="39"/>
      <c r="E891" s="36" t="str">
        <f aca="false">IF($D891="","",IFERROR(INDEX('통합 ④ 설정'!$A$6:$A$40,MATCH($D891,'통합 ④ 설정'!$B$6:$B$40,0)),"※없는 과목"))</f>
        <v/>
      </c>
      <c r="F891" s="36" t="str">
        <f aca="false">IF($D891="","",IFERROR(INDEX('통합 ④ 설정'!$C$6:$C$40,MATCH($D891,'통합 ④ 설정'!$B$6:$B$40,0)),""))</f>
        <v/>
      </c>
      <c r="G891" s="39"/>
      <c r="H891" s="39"/>
      <c r="I891" s="40"/>
      <c r="J891" s="41"/>
      <c r="K891" s="38"/>
      <c r="L891" s="42" t="str">
        <f aca="false">IF($B891="","",IF(AND(N($I891)=0,N($J891)=0),"금액이 없습니다",IF(AND($I891&gt;0,$J891&gt;0),"수입·지출 둘 다 적혔습니다",IF($C891="","결제수단을 고르십시오",IF(ISNA(MATCH($C891,'통합 ③ 통장·카드'!$A$5:$A$11,0)),"③ 통장·카드에 없는 결제수단입니다",IF($D891="","계정과목을 고르십시오",IF($E891="※없는 과목","④ 설정에 없는 과목입니다",IF(AND($E891="수입",$J891&gt;0),"수입 과목인데 지출에 적혔습니다",IF(AND(LEFT($E891,2)&lt;&gt;"수입",$E891&lt;&gt;"대체",$I891&gt;0),"지출 과목인데 수입에 적혔습니다",IF($K891="","증빙을 고르십시오",IF(AND($C891="바우처통장",$J891&gt;0,IFERROR(INDEX('통합 ④ 설정'!$E$6:$E$40,MATCH($D891,'통합 ④ 설정'!$B$6:$B$40,0)),"")&lt;&gt;"○"),"바우처통장 지출 — 목적 확인",IF($H891="","적요를 적으십시오",""))))))))))))</f>
        <v/>
      </c>
      <c r="M891" s="39"/>
      <c r="O891" s="11" t="str">
        <f aca="false">IF($B891="","",YEAR($B891)*100+MONTH($B891))</f>
        <v/>
      </c>
      <c r="P891" s="11" t="str">
        <f aca="false">IF($B891="","",IF($E891="대체",0,1))</f>
        <v/>
      </c>
    </row>
    <row r="892" customFormat="false" ht="15" hidden="false" customHeight="false" outlineLevel="0" collapsed="false">
      <c r="A892" s="36" t="str">
        <f aca="false">IF($B892="","",COUNT($B$15:$B892))</f>
        <v/>
      </c>
      <c r="B892" s="37"/>
      <c r="C892" s="38"/>
      <c r="D892" s="39"/>
      <c r="E892" s="36" t="str">
        <f aca="false">IF($D892="","",IFERROR(INDEX('통합 ④ 설정'!$A$6:$A$40,MATCH($D892,'통합 ④ 설정'!$B$6:$B$40,0)),"※없는 과목"))</f>
        <v/>
      </c>
      <c r="F892" s="36" t="str">
        <f aca="false">IF($D892="","",IFERROR(INDEX('통합 ④ 설정'!$C$6:$C$40,MATCH($D892,'통합 ④ 설정'!$B$6:$B$40,0)),""))</f>
        <v/>
      </c>
      <c r="G892" s="39"/>
      <c r="H892" s="39"/>
      <c r="I892" s="40"/>
      <c r="J892" s="41"/>
      <c r="K892" s="38"/>
      <c r="L892" s="42" t="str">
        <f aca="false">IF($B892="","",IF(AND(N($I892)=0,N($J892)=0),"금액이 없습니다",IF(AND($I892&gt;0,$J892&gt;0),"수입·지출 둘 다 적혔습니다",IF($C892="","결제수단을 고르십시오",IF(ISNA(MATCH($C892,'통합 ③ 통장·카드'!$A$5:$A$11,0)),"③ 통장·카드에 없는 결제수단입니다",IF($D892="","계정과목을 고르십시오",IF($E892="※없는 과목","④ 설정에 없는 과목입니다",IF(AND($E892="수입",$J892&gt;0),"수입 과목인데 지출에 적혔습니다",IF(AND(LEFT($E892,2)&lt;&gt;"수입",$E892&lt;&gt;"대체",$I892&gt;0),"지출 과목인데 수입에 적혔습니다",IF($K892="","증빙을 고르십시오",IF(AND($C892="바우처통장",$J892&gt;0,IFERROR(INDEX('통합 ④ 설정'!$E$6:$E$40,MATCH($D892,'통합 ④ 설정'!$B$6:$B$40,0)),"")&lt;&gt;"○"),"바우처통장 지출 — 목적 확인",IF($H892="","적요를 적으십시오",""))))))))))))</f>
        <v/>
      </c>
      <c r="M892" s="39"/>
      <c r="O892" s="11" t="str">
        <f aca="false">IF($B892="","",YEAR($B892)*100+MONTH($B892))</f>
        <v/>
      </c>
      <c r="P892" s="11" t="str">
        <f aca="false">IF($B892="","",IF($E892="대체",0,1))</f>
        <v/>
      </c>
    </row>
    <row r="893" customFormat="false" ht="15" hidden="false" customHeight="false" outlineLevel="0" collapsed="false">
      <c r="A893" s="36" t="str">
        <f aca="false">IF($B893="","",COUNT($B$15:$B893))</f>
        <v/>
      </c>
      <c r="B893" s="37"/>
      <c r="C893" s="38"/>
      <c r="D893" s="39"/>
      <c r="E893" s="36" t="str">
        <f aca="false">IF($D893="","",IFERROR(INDEX('통합 ④ 설정'!$A$6:$A$40,MATCH($D893,'통합 ④ 설정'!$B$6:$B$40,0)),"※없는 과목"))</f>
        <v/>
      </c>
      <c r="F893" s="36" t="str">
        <f aca="false">IF($D893="","",IFERROR(INDEX('통합 ④ 설정'!$C$6:$C$40,MATCH($D893,'통합 ④ 설정'!$B$6:$B$40,0)),""))</f>
        <v/>
      </c>
      <c r="G893" s="39"/>
      <c r="H893" s="39"/>
      <c r="I893" s="40"/>
      <c r="J893" s="41"/>
      <c r="K893" s="38"/>
      <c r="L893" s="42" t="str">
        <f aca="false">IF($B893="","",IF(AND(N($I893)=0,N($J893)=0),"금액이 없습니다",IF(AND($I893&gt;0,$J893&gt;0),"수입·지출 둘 다 적혔습니다",IF($C893="","결제수단을 고르십시오",IF(ISNA(MATCH($C893,'통합 ③ 통장·카드'!$A$5:$A$11,0)),"③ 통장·카드에 없는 결제수단입니다",IF($D893="","계정과목을 고르십시오",IF($E893="※없는 과목","④ 설정에 없는 과목입니다",IF(AND($E893="수입",$J893&gt;0),"수입 과목인데 지출에 적혔습니다",IF(AND(LEFT($E893,2)&lt;&gt;"수입",$E893&lt;&gt;"대체",$I893&gt;0),"지출 과목인데 수입에 적혔습니다",IF($K893="","증빙을 고르십시오",IF(AND($C893="바우처통장",$J893&gt;0,IFERROR(INDEX('통합 ④ 설정'!$E$6:$E$40,MATCH($D893,'통합 ④ 설정'!$B$6:$B$40,0)),"")&lt;&gt;"○"),"바우처통장 지출 — 목적 확인",IF($H893="","적요를 적으십시오",""))))))))))))</f>
        <v/>
      </c>
      <c r="M893" s="39"/>
      <c r="O893" s="11" t="str">
        <f aca="false">IF($B893="","",YEAR($B893)*100+MONTH($B893))</f>
        <v/>
      </c>
      <c r="P893" s="11" t="str">
        <f aca="false">IF($B893="","",IF($E893="대체",0,1))</f>
        <v/>
      </c>
    </row>
    <row r="894" customFormat="false" ht="15" hidden="false" customHeight="false" outlineLevel="0" collapsed="false">
      <c r="A894" s="36" t="str">
        <f aca="false">IF($B894="","",COUNT($B$15:$B894))</f>
        <v/>
      </c>
      <c r="B894" s="37"/>
      <c r="C894" s="38"/>
      <c r="D894" s="39"/>
      <c r="E894" s="36" t="str">
        <f aca="false">IF($D894="","",IFERROR(INDEX('통합 ④ 설정'!$A$6:$A$40,MATCH($D894,'통합 ④ 설정'!$B$6:$B$40,0)),"※없는 과목"))</f>
        <v/>
      </c>
      <c r="F894" s="36" t="str">
        <f aca="false">IF($D894="","",IFERROR(INDEX('통합 ④ 설정'!$C$6:$C$40,MATCH($D894,'통합 ④ 설정'!$B$6:$B$40,0)),""))</f>
        <v/>
      </c>
      <c r="G894" s="39"/>
      <c r="H894" s="39"/>
      <c r="I894" s="40"/>
      <c r="J894" s="41"/>
      <c r="K894" s="38"/>
      <c r="L894" s="42" t="str">
        <f aca="false">IF($B894="","",IF(AND(N($I894)=0,N($J894)=0),"금액이 없습니다",IF(AND($I894&gt;0,$J894&gt;0),"수입·지출 둘 다 적혔습니다",IF($C894="","결제수단을 고르십시오",IF(ISNA(MATCH($C894,'통합 ③ 통장·카드'!$A$5:$A$11,0)),"③ 통장·카드에 없는 결제수단입니다",IF($D894="","계정과목을 고르십시오",IF($E894="※없는 과목","④ 설정에 없는 과목입니다",IF(AND($E894="수입",$J894&gt;0),"수입 과목인데 지출에 적혔습니다",IF(AND(LEFT($E894,2)&lt;&gt;"수입",$E894&lt;&gt;"대체",$I894&gt;0),"지출 과목인데 수입에 적혔습니다",IF($K894="","증빙을 고르십시오",IF(AND($C894="바우처통장",$J894&gt;0,IFERROR(INDEX('통합 ④ 설정'!$E$6:$E$40,MATCH($D894,'통합 ④ 설정'!$B$6:$B$40,0)),"")&lt;&gt;"○"),"바우처통장 지출 — 목적 확인",IF($H894="","적요를 적으십시오",""))))))))))))</f>
        <v/>
      </c>
      <c r="M894" s="39"/>
      <c r="O894" s="11" t="str">
        <f aca="false">IF($B894="","",YEAR($B894)*100+MONTH($B894))</f>
        <v/>
      </c>
      <c r="P894" s="11" t="str">
        <f aca="false">IF($B894="","",IF($E894="대체",0,1))</f>
        <v/>
      </c>
    </row>
    <row r="895" customFormat="false" ht="15" hidden="false" customHeight="false" outlineLevel="0" collapsed="false">
      <c r="A895" s="36" t="str">
        <f aca="false">IF($B895="","",COUNT($B$15:$B895))</f>
        <v/>
      </c>
      <c r="B895" s="37"/>
      <c r="C895" s="38"/>
      <c r="D895" s="39"/>
      <c r="E895" s="36" t="str">
        <f aca="false">IF($D895="","",IFERROR(INDEX('통합 ④ 설정'!$A$6:$A$40,MATCH($D895,'통합 ④ 설정'!$B$6:$B$40,0)),"※없는 과목"))</f>
        <v/>
      </c>
      <c r="F895" s="36" t="str">
        <f aca="false">IF($D895="","",IFERROR(INDEX('통합 ④ 설정'!$C$6:$C$40,MATCH($D895,'통합 ④ 설정'!$B$6:$B$40,0)),""))</f>
        <v/>
      </c>
      <c r="G895" s="39"/>
      <c r="H895" s="39"/>
      <c r="I895" s="40"/>
      <c r="J895" s="41"/>
      <c r="K895" s="38"/>
      <c r="L895" s="42" t="str">
        <f aca="false">IF($B895="","",IF(AND(N($I895)=0,N($J895)=0),"금액이 없습니다",IF(AND($I895&gt;0,$J895&gt;0),"수입·지출 둘 다 적혔습니다",IF($C895="","결제수단을 고르십시오",IF(ISNA(MATCH($C895,'통합 ③ 통장·카드'!$A$5:$A$11,0)),"③ 통장·카드에 없는 결제수단입니다",IF($D895="","계정과목을 고르십시오",IF($E895="※없는 과목","④ 설정에 없는 과목입니다",IF(AND($E895="수입",$J895&gt;0),"수입 과목인데 지출에 적혔습니다",IF(AND(LEFT($E895,2)&lt;&gt;"수입",$E895&lt;&gt;"대체",$I895&gt;0),"지출 과목인데 수입에 적혔습니다",IF($K895="","증빙을 고르십시오",IF(AND($C895="바우처통장",$J895&gt;0,IFERROR(INDEX('통합 ④ 설정'!$E$6:$E$40,MATCH($D895,'통합 ④ 설정'!$B$6:$B$40,0)),"")&lt;&gt;"○"),"바우처통장 지출 — 목적 확인",IF($H895="","적요를 적으십시오",""))))))))))))</f>
        <v/>
      </c>
      <c r="M895" s="39"/>
      <c r="O895" s="11" t="str">
        <f aca="false">IF($B895="","",YEAR($B895)*100+MONTH($B895))</f>
        <v/>
      </c>
      <c r="P895" s="11" t="str">
        <f aca="false">IF($B895="","",IF($E895="대체",0,1))</f>
        <v/>
      </c>
    </row>
    <row r="896" customFormat="false" ht="15" hidden="false" customHeight="false" outlineLevel="0" collapsed="false">
      <c r="A896" s="36" t="str">
        <f aca="false">IF($B896="","",COUNT($B$15:$B896))</f>
        <v/>
      </c>
      <c r="B896" s="37"/>
      <c r="C896" s="38"/>
      <c r="D896" s="39"/>
      <c r="E896" s="36" t="str">
        <f aca="false">IF($D896="","",IFERROR(INDEX('통합 ④ 설정'!$A$6:$A$40,MATCH($D896,'통합 ④ 설정'!$B$6:$B$40,0)),"※없는 과목"))</f>
        <v/>
      </c>
      <c r="F896" s="36" t="str">
        <f aca="false">IF($D896="","",IFERROR(INDEX('통합 ④ 설정'!$C$6:$C$40,MATCH($D896,'통합 ④ 설정'!$B$6:$B$40,0)),""))</f>
        <v/>
      </c>
      <c r="G896" s="39"/>
      <c r="H896" s="39"/>
      <c r="I896" s="40"/>
      <c r="J896" s="41"/>
      <c r="K896" s="38"/>
      <c r="L896" s="42" t="str">
        <f aca="false">IF($B896="","",IF(AND(N($I896)=0,N($J896)=0),"금액이 없습니다",IF(AND($I896&gt;0,$J896&gt;0),"수입·지출 둘 다 적혔습니다",IF($C896="","결제수단을 고르십시오",IF(ISNA(MATCH($C896,'통합 ③ 통장·카드'!$A$5:$A$11,0)),"③ 통장·카드에 없는 결제수단입니다",IF($D896="","계정과목을 고르십시오",IF($E896="※없는 과목","④ 설정에 없는 과목입니다",IF(AND($E896="수입",$J896&gt;0),"수입 과목인데 지출에 적혔습니다",IF(AND(LEFT($E896,2)&lt;&gt;"수입",$E896&lt;&gt;"대체",$I896&gt;0),"지출 과목인데 수입에 적혔습니다",IF($K896="","증빙을 고르십시오",IF(AND($C896="바우처통장",$J896&gt;0,IFERROR(INDEX('통합 ④ 설정'!$E$6:$E$40,MATCH($D896,'통합 ④ 설정'!$B$6:$B$40,0)),"")&lt;&gt;"○"),"바우처통장 지출 — 목적 확인",IF($H896="","적요를 적으십시오",""))))))))))))</f>
        <v/>
      </c>
      <c r="M896" s="39"/>
      <c r="O896" s="11" t="str">
        <f aca="false">IF($B896="","",YEAR($B896)*100+MONTH($B896))</f>
        <v/>
      </c>
      <c r="P896" s="11" t="str">
        <f aca="false">IF($B896="","",IF($E896="대체",0,1))</f>
        <v/>
      </c>
    </row>
    <row r="897" customFormat="false" ht="15" hidden="false" customHeight="false" outlineLevel="0" collapsed="false">
      <c r="A897" s="36" t="str">
        <f aca="false">IF($B897="","",COUNT($B$15:$B897))</f>
        <v/>
      </c>
      <c r="B897" s="37"/>
      <c r="C897" s="38"/>
      <c r="D897" s="39"/>
      <c r="E897" s="36" t="str">
        <f aca="false">IF($D897="","",IFERROR(INDEX('통합 ④ 설정'!$A$6:$A$40,MATCH($D897,'통합 ④ 설정'!$B$6:$B$40,0)),"※없는 과목"))</f>
        <v/>
      </c>
      <c r="F897" s="36" t="str">
        <f aca="false">IF($D897="","",IFERROR(INDEX('통합 ④ 설정'!$C$6:$C$40,MATCH($D897,'통합 ④ 설정'!$B$6:$B$40,0)),""))</f>
        <v/>
      </c>
      <c r="G897" s="39"/>
      <c r="H897" s="39"/>
      <c r="I897" s="40"/>
      <c r="J897" s="41"/>
      <c r="K897" s="38"/>
      <c r="L897" s="42" t="str">
        <f aca="false">IF($B897="","",IF(AND(N($I897)=0,N($J897)=0),"금액이 없습니다",IF(AND($I897&gt;0,$J897&gt;0),"수입·지출 둘 다 적혔습니다",IF($C897="","결제수단을 고르십시오",IF(ISNA(MATCH($C897,'통합 ③ 통장·카드'!$A$5:$A$11,0)),"③ 통장·카드에 없는 결제수단입니다",IF($D897="","계정과목을 고르십시오",IF($E897="※없는 과목","④ 설정에 없는 과목입니다",IF(AND($E897="수입",$J897&gt;0),"수입 과목인데 지출에 적혔습니다",IF(AND(LEFT($E897,2)&lt;&gt;"수입",$E897&lt;&gt;"대체",$I897&gt;0),"지출 과목인데 수입에 적혔습니다",IF($K897="","증빙을 고르십시오",IF(AND($C897="바우처통장",$J897&gt;0,IFERROR(INDEX('통합 ④ 설정'!$E$6:$E$40,MATCH($D897,'통합 ④ 설정'!$B$6:$B$40,0)),"")&lt;&gt;"○"),"바우처통장 지출 — 목적 확인",IF($H897="","적요를 적으십시오",""))))))))))))</f>
        <v/>
      </c>
      <c r="M897" s="39"/>
      <c r="O897" s="11" t="str">
        <f aca="false">IF($B897="","",YEAR($B897)*100+MONTH($B897))</f>
        <v/>
      </c>
      <c r="P897" s="11" t="str">
        <f aca="false">IF($B897="","",IF($E897="대체",0,1))</f>
        <v/>
      </c>
    </row>
    <row r="898" customFormat="false" ht="15" hidden="false" customHeight="false" outlineLevel="0" collapsed="false">
      <c r="A898" s="36" t="str">
        <f aca="false">IF($B898="","",COUNT($B$15:$B898))</f>
        <v/>
      </c>
      <c r="B898" s="37"/>
      <c r="C898" s="38"/>
      <c r="D898" s="39"/>
      <c r="E898" s="36" t="str">
        <f aca="false">IF($D898="","",IFERROR(INDEX('통합 ④ 설정'!$A$6:$A$40,MATCH($D898,'통합 ④ 설정'!$B$6:$B$40,0)),"※없는 과목"))</f>
        <v/>
      </c>
      <c r="F898" s="36" t="str">
        <f aca="false">IF($D898="","",IFERROR(INDEX('통합 ④ 설정'!$C$6:$C$40,MATCH($D898,'통합 ④ 설정'!$B$6:$B$40,0)),""))</f>
        <v/>
      </c>
      <c r="G898" s="39"/>
      <c r="H898" s="39"/>
      <c r="I898" s="40"/>
      <c r="J898" s="41"/>
      <c r="K898" s="38"/>
      <c r="L898" s="42" t="str">
        <f aca="false">IF($B898="","",IF(AND(N($I898)=0,N($J898)=0),"금액이 없습니다",IF(AND($I898&gt;0,$J898&gt;0),"수입·지출 둘 다 적혔습니다",IF($C898="","결제수단을 고르십시오",IF(ISNA(MATCH($C898,'통합 ③ 통장·카드'!$A$5:$A$11,0)),"③ 통장·카드에 없는 결제수단입니다",IF($D898="","계정과목을 고르십시오",IF($E898="※없는 과목","④ 설정에 없는 과목입니다",IF(AND($E898="수입",$J898&gt;0),"수입 과목인데 지출에 적혔습니다",IF(AND(LEFT($E898,2)&lt;&gt;"수입",$E898&lt;&gt;"대체",$I898&gt;0),"지출 과목인데 수입에 적혔습니다",IF($K898="","증빙을 고르십시오",IF(AND($C898="바우처통장",$J898&gt;0,IFERROR(INDEX('통합 ④ 설정'!$E$6:$E$40,MATCH($D898,'통합 ④ 설정'!$B$6:$B$40,0)),"")&lt;&gt;"○"),"바우처통장 지출 — 목적 확인",IF($H898="","적요를 적으십시오",""))))))))))))</f>
        <v/>
      </c>
      <c r="M898" s="39"/>
      <c r="O898" s="11" t="str">
        <f aca="false">IF($B898="","",YEAR($B898)*100+MONTH($B898))</f>
        <v/>
      </c>
      <c r="P898" s="11" t="str">
        <f aca="false">IF($B898="","",IF($E898="대체",0,1))</f>
        <v/>
      </c>
    </row>
    <row r="899" customFormat="false" ht="15" hidden="false" customHeight="false" outlineLevel="0" collapsed="false">
      <c r="A899" s="36" t="str">
        <f aca="false">IF($B899="","",COUNT($B$15:$B899))</f>
        <v/>
      </c>
      <c r="B899" s="37"/>
      <c r="C899" s="38"/>
      <c r="D899" s="39"/>
      <c r="E899" s="36" t="str">
        <f aca="false">IF($D899="","",IFERROR(INDEX('통합 ④ 설정'!$A$6:$A$40,MATCH($D899,'통합 ④ 설정'!$B$6:$B$40,0)),"※없는 과목"))</f>
        <v/>
      </c>
      <c r="F899" s="36" t="str">
        <f aca="false">IF($D899="","",IFERROR(INDEX('통합 ④ 설정'!$C$6:$C$40,MATCH($D899,'통합 ④ 설정'!$B$6:$B$40,0)),""))</f>
        <v/>
      </c>
      <c r="G899" s="39"/>
      <c r="H899" s="39"/>
      <c r="I899" s="40"/>
      <c r="J899" s="41"/>
      <c r="K899" s="38"/>
      <c r="L899" s="42" t="str">
        <f aca="false">IF($B899="","",IF(AND(N($I899)=0,N($J899)=0),"금액이 없습니다",IF(AND($I899&gt;0,$J899&gt;0),"수입·지출 둘 다 적혔습니다",IF($C899="","결제수단을 고르십시오",IF(ISNA(MATCH($C899,'통합 ③ 통장·카드'!$A$5:$A$11,0)),"③ 통장·카드에 없는 결제수단입니다",IF($D899="","계정과목을 고르십시오",IF($E899="※없는 과목","④ 설정에 없는 과목입니다",IF(AND($E899="수입",$J899&gt;0),"수입 과목인데 지출에 적혔습니다",IF(AND(LEFT($E899,2)&lt;&gt;"수입",$E899&lt;&gt;"대체",$I899&gt;0),"지출 과목인데 수입에 적혔습니다",IF($K899="","증빙을 고르십시오",IF(AND($C899="바우처통장",$J899&gt;0,IFERROR(INDEX('통합 ④ 설정'!$E$6:$E$40,MATCH($D899,'통합 ④ 설정'!$B$6:$B$40,0)),"")&lt;&gt;"○"),"바우처통장 지출 — 목적 확인",IF($H899="","적요를 적으십시오",""))))))))))))</f>
        <v/>
      </c>
      <c r="M899" s="39"/>
      <c r="O899" s="11" t="str">
        <f aca="false">IF($B899="","",YEAR($B899)*100+MONTH($B899))</f>
        <v/>
      </c>
      <c r="P899" s="11" t="str">
        <f aca="false">IF($B899="","",IF($E899="대체",0,1))</f>
        <v/>
      </c>
    </row>
    <row r="900" customFormat="false" ht="15" hidden="false" customHeight="false" outlineLevel="0" collapsed="false">
      <c r="A900" s="36" t="str">
        <f aca="false">IF($B900="","",COUNT($B$15:$B900))</f>
        <v/>
      </c>
      <c r="B900" s="37"/>
      <c r="C900" s="38"/>
      <c r="D900" s="39"/>
      <c r="E900" s="36" t="str">
        <f aca="false">IF($D900="","",IFERROR(INDEX('통합 ④ 설정'!$A$6:$A$40,MATCH($D900,'통합 ④ 설정'!$B$6:$B$40,0)),"※없는 과목"))</f>
        <v/>
      </c>
      <c r="F900" s="36" t="str">
        <f aca="false">IF($D900="","",IFERROR(INDEX('통합 ④ 설정'!$C$6:$C$40,MATCH($D900,'통합 ④ 설정'!$B$6:$B$40,0)),""))</f>
        <v/>
      </c>
      <c r="G900" s="39"/>
      <c r="H900" s="39"/>
      <c r="I900" s="40"/>
      <c r="J900" s="41"/>
      <c r="K900" s="38"/>
      <c r="L900" s="42" t="str">
        <f aca="false">IF($B900="","",IF(AND(N($I900)=0,N($J900)=0),"금액이 없습니다",IF(AND($I900&gt;0,$J900&gt;0),"수입·지출 둘 다 적혔습니다",IF($C900="","결제수단을 고르십시오",IF(ISNA(MATCH($C900,'통합 ③ 통장·카드'!$A$5:$A$11,0)),"③ 통장·카드에 없는 결제수단입니다",IF($D900="","계정과목을 고르십시오",IF($E900="※없는 과목","④ 설정에 없는 과목입니다",IF(AND($E900="수입",$J900&gt;0),"수입 과목인데 지출에 적혔습니다",IF(AND(LEFT($E900,2)&lt;&gt;"수입",$E900&lt;&gt;"대체",$I900&gt;0),"지출 과목인데 수입에 적혔습니다",IF($K900="","증빙을 고르십시오",IF(AND($C900="바우처통장",$J900&gt;0,IFERROR(INDEX('통합 ④ 설정'!$E$6:$E$40,MATCH($D900,'통합 ④ 설정'!$B$6:$B$40,0)),"")&lt;&gt;"○"),"바우처통장 지출 — 목적 확인",IF($H900="","적요를 적으십시오",""))))))))))))</f>
        <v/>
      </c>
      <c r="M900" s="39"/>
      <c r="O900" s="11" t="str">
        <f aca="false">IF($B900="","",YEAR($B900)*100+MONTH($B900))</f>
        <v/>
      </c>
      <c r="P900" s="11" t="str">
        <f aca="false">IF($B900="","",IF($E900="대체",0,1))</f>
        <v/>
      </c>
    </row>
    <row r="901" customFormat="false" ht="15" hidden="false" customHeight="false" outlineLevel="0" collapsed="false">
      <c r="A901" s="36" t="str">
        <f aca="false">IF($B901="","",COUNT($B$15:$B901))</f>
        <v/>
      </c>
      <c r="B901" s="37"/>
      <c r="C901" s="38"/>
      <c r="D901" s="39"/>
      <c r="E901" s="36" t="str">
        <f aca="false">IF($D901="","",IFERROR(INDEX('통합 ④ 설정'!$A$6:$A$40,MATCH($D901,'통합 ④ 설정'!$B$6:$B$40,0)),"※없는 과목"))</f>
        <v/>
      </c>
      <c r="F901" s="36" t="str">
        <f aca="false">IF($D901="","",IFERROR(INDEX('통합 ④ 설정'!$C$6:$C$40,MATCH($D901,'통합 ④ 설정'!$B$6:$B$40,0)),""))</f>
        <v/>
      </c>
      <c r="G901" s="39"/>
      <c r="H901" s="39"/>
      <c r="I901" s="40"/>
      <c r="J901" s="41"/>
      <c r="K901" s="38"/>
      <c r="L901" s="42" t="str">
        <f aca="false">IF($B901="","",IF(AND(N($I901)=0,N($J901)=0),"금액이 없습니다",IF(AND($I901&gt;0,$J901&gt;0),"수입·지출 둘 다 적혔습니다",IF($C901="","결제수단을 고르십시오",IF(ISNA(MATCH($C901,'통합 ③ 통장·카드'!$A$5:$A$11,0)),"③ 통장·카드에 없는 결제수단입니다",IF($D901="","계정과목을 고르십시오",IF($E901="※없는 과목","④ 설정에 없는 과목입니다",IF(AND($E901="수입",$J901&gt;0),"수입 과목인데 지출에 적혔습니다",IF(AND(LEFT($E901,2)&lt;&gt;"수입",$E901&lt;&gt;"대체",$I901&gt;0),"지출 과목인데 수입에 적혔습니다",IF($K901="","증빙을 고르십시오",IF(AND($C901="바우처통장",$J901&gt;0,IFERROR(INDEX('통합 ④ 설정'!$E$6:$E$40,MATCH($D901,'통합 ④ 설정'!$B$6:$B$40,0)),"")&lt;&gt;"○"),"바우처통장 지출 — 목적 확인",IF($H901="","적요를 적으십시오",""))))))))))))</f>
        <v/>
      </c>
      <c r="M901" s="39"/>
      <c r="O901" s="11" t="str">
        <f aca="false">IF($B901="","",YEAR($B901)*100+MONTH($B901))</f>
        <v/>
      </c>
      <c r="P901" s="11" t="str">
        <f aca="false">IF($B901="","",IF($E901="대체",0,1))</f>
        <v/>
      </c>
    </row>
    <row r="902" customFormat="false" ht="15" hidden="false" customHeight="false" outlineLevel="0" collapsed="false">
      <c r="A902" s="36" t="str">
        <f aca="false">IF($B902="","",COUNT($B$15:$B902))</f>
        <v/>
      </c>
      <c r="B902" s="37"/>
      <c r="C902" s="38"/>
      <c r="D902" s="39"/>
      <c r="E902" s="36" t="str">
        <f aca="false">IF($D902="","",IFERROR(INDEX('통합 ④ 설정'!$A$6:$A$40,MATCH($D902,'통합 ④ 설정'!$B$6:$B$40,0)),"※없는 과목"))</f>
        <v/>
      </c>
      <c r="F902" s="36" t="str">
        <f aca="false">IF($D902="","",IFERROR(INDEX('통합 ④ 설정'!$C$6:$C$40,MATCH($D902,'통합 ④ 설정'!$B$6:$B$40,0)),""))</f>
        <v/>
      </c>
      <c r="G902" s="39"/>
      <c r="H902" s="39"/>
      <c r="I902" s="40"/>
      <c r="J902" s="41"/>
      <c r="K902" s="38"/>
      <c r="L902" s="42" t="str">
        <f aca="false">IF($B902="","",IF(AND(N($I902)=0,N($J902)=0),"금액이 없습니다",IF(AND($I902&gt;0,$J902&gt;0),"수입·지출 둘 다 적혔습니다",IF($C902="","결제수단을 고르십시오",IF(ISNA(MATCH($C902,'통합 ③ 통장·카드'!$A$5:$A$11,0)),"③ 통장·카드에 없는 결제수단입니다",IF($D902="","계정과목을 고르십시오",IF($E902="※없는 과목","④ 설정에 없는 과목입니다",IF(AND($E902="수입",$J902&gt;0),"수입 과목인데 지출에 적혔습니다",IF(AND(LEFT($E902,2)&lt;&gt;"수입",$E902&lt;&gt;"대체",$I902&gt;0),"지출 과목인데 수입에 적혔습니다",IF($K902="","증빙을 고르십시오",IF(AND($C902="바우처통장",$J902&gt;0,IFERROR(INDEX('통합 ④ 설정'!$E$6:$E$40,MATCH($D902,'통합 ④ 설정'!$B$6:$B$40,0)),"")&lt;&gt;"○"),"바우처통장 지출 — 목적 확인",IF($H902="","적요를 적으십시오",""))))))))))))</f>
        <v/>
      </c>
      <c r="M902" s="39"/>
      <c r="O902" s="11" t="str">
        <f aca="false">IF($B902="","",YEAR($B902)*100+MONTH($B902))</f>
        <v/>
      </c>
      <c r="P902" s="11" t="str">
        <f aca="false">IF($B902="","",IF($E902="대체",0,1))</f>
        <v/>
      </c>
    </row>
    <row r="903" customFormat="false" ht="15" hidden="false" customHeight="false" outlineLevel="0" collapsed="false">
      <c r="A903" s="36" t="str">
        <f aca="false">IF($B903="","",COUNT($B$15:$B903))</f>
        <v/>
      </c>
      <c r="B903" s="37"/>
      <c r="C903" s="38"/>
      <c r="D903" s="39"/>
      <c r="E903" s="36" t="str">
        <f aca="false">IF($D903="","",IFERROR(INDEX('통합 ④ 설정'!$A$6:$A$40,MATCH($D903,'통합 ④ 설정'!$B$6:$B$40,0)),"※없는 과목"))</f>
        <v/>
      </c>
      <c r="F903" s="36" t="str">
        <f aca="false">IF($D903="","",IFERROR(INDEX('통합 ④ 설정'!$C$6:$C$40,MATCH($D903,'통합 ④ 설정'!$B$6:$B$40,0)),""))</f>
        <v/>
      </c>
      <c r="G903" s="39"/>
      <c r="H903" s="39"/>
      <c r="I903" s="40"/>
      <c r="J903" s="41"/>
      <c r="K903" s="38"/>
      <c r="L903" s="42" t="str">
        <f aca="false">IF($B903="","",IF(AND(N($I903)=0,N($J903)=0),"금액이 없습니다",IF(AND($I903&gt;0,$J903&gt;0),"수입·지출 둘 다 적혔습니다",IF($C903="","결제수단을 고르십시오",IF(ISNA(MATCH($C903,'통합 ③ 통장·카드'!$A$5:$A$11,0)),"③ 통장·카드에 없는 결제수단입니다",IF($D903="","계정과목을 고르십시오",IF($E903="※없는 과목","④ 설정에 없는 과목입니다",IF(AND($E903="수입",$J903&gt;0),"수입 과목인데 지출에 적혔습니다",IF(AND(LEFT($E903,2)&lt;&gt;"수입",$E903&lt;&gt;"대체",$I903&gt;0),"지출 과목인데 수입에 적혔습니다",IF($K903="","증빙을 고르십시오",IF(AND($C903="바우처통장",$J903&gt;0,IFERROR(INDEX('통합 ④ 설정'!$E$6:$E$40,MATCH($D903,'통합 ④ 설정'!$B$6:$B$40,0)),"")&lt;&gt;"○"),"바우처통장 지출 — 목적 확인",IF($H903="","적요를 적으십시오",""))))))))))))</f>
        <v/>
      </c>
      <c r="M903" s="39"/>
      <c r="O903" s="11" t="str">
        <f aca="false">IF($B903="","",YEAR($B903)*100+MONTH($B903))</f>
        <v/>
      </c>
      <c r="P903" s="11" t="str">
        <f aca="false">IF($B903="","",IF($E903="대체",0,1))</f>
        <v/>
      </c>
    </row>
    <row r="904" customFormat="false" ht="15" hidden="false" customHeight="false" outlineLevel="0" collapsed="false">
      <c r="A904" s="36" t="str">
        <f aca="false">IF($B904="","",COUNT($B$15:$B904))</f>
        <v/>
      </c>
      <c r="B904" s="37"/>
      <c r="C904" s="38"/>
      <c r="D904" s="39"/>
      <c r="E904" s="36" t="str">
        <f aca="false">IF($D904="","",IFERROR(INDEX('통합 ④ 설정'!$A$6:$A$40,MATCH($D904,'통합 ④ 설정'!$B$6:$B$40,0)),"※없는 과목"))</f>
        <v/>
      </c>
      <c r="F904" s="36" t="str">
        <f aca="false">IF($D904="","",IFERROR(INDEX('통합 ④ 설정'!$C$6:$C$40,MATCH($D904,'통합 ④ 설정'!$B$6:$B$40,0)),""))</f>
        <v/>
      </c>
      <c r="G904" s="39"/>
      <c r="H904" s="39"/>
      <c r="I904" s="40"/>
      <c r="J904" s="41"/>
      <c r="K904" s="38"/>
      <c r="L904" s="42" t="str">
        <f aca="false">IF($B904="","",IF(AND(N($I904)=0,N($J904)=0),"금액이 없습니다",IF(AND($I904&gt;0,$J904&gt;0),"수입·지출 둘 다 적혔습니다",IF($C904="","결제수단을 고르십시오",IF(ISNA(MATCH($C904,'통합 ③ 통장·카드'!$A$5:$A$11,0)),"③ 통장·카드에 없는 결제수단입니다",IF($D904="","계정과목을 고르십시오",IF($E904="※없는 과목","④ 설정에 없는 과목입니다",IF(AND($E904="수입",$J904&gt;0),"수입 과목인데 지출에 적혔습니다",IF(AND(LEFT($E904,2)&lt;&gt;"수입",$E904&lt;&gt;"대체",$I904&gt;0),"지출 과목인데 수입에 적혔습니다",IF($K904="","증빙을 고르십시오",IF(AND($C904="바우처통장",$J904&gt;0,IFERROR(INDEX('통합 ④ 설정'!$E$6:$E$40,MATCH($D904,'통합 ④ 설정'!$B$6:$B$40,0)),"")&lt;&gt;"○"),"바우처통장 지출 — 목적 확인",IF($H904="","적요를 적으십시오",""))))))))))))</f>
        <v/>
      </c>
      <c r="M904" s="39"/>
      <c r="O904" s="11" t="str">
        <f aca="false">IF($B904="","",YEAR($B904)*100+MONTH($B904))</f>
        <v/>
      </c>
      <c r="P904" s="11" t="str">
        <f aca="false">IF($B904="","",IF($E904="대체",0,1))</f>
        <v/>
      </c>
    </row>
    <row r="905" customFormat="false" ht="15" hidden="false" customHeight="false" outlineLevel="0" collapsed="false">
      <c r="A905" s="36" t="str">
        <f aca="false">IF($B905="","",COUNT($B$15:$B905))</f>
        <v/>
      </c>
      <c r="B905" s="37"/>
      <c r="C905" s="38"/>
      <c r="D905" s="39"/>
      <c r="E905" s="36" t="str">
        <f aca="false">IF($D905="","",IFERROR(INDEX('통합 ④ 설정'!$A$6:$A$40,MATCH($D905,'통합 ④ 설정'!$B$6:$B$40,0)),"※없는 과목"))</f>
        <v/>
      </c>
      <c r="F905" s="36" t="str">
        <f aca="false">IF($D905="","",IFERROR(INDEX('통합 ④ 설정'!$C$6:$C$40,MATCH($D905,'통합 ④ 설정'!$B$6:$B$40,0)),""))</f>
        <v/>
      </c>
      <c r="G905" s="39"/>
      <c r="H905" s="39"/>
      <c r="I905" s="40"/>
      <c r="J905" s="41"/>
      <c r="K905" s="38"/>
      <c r="L905" s="42" t="str">
        <f aca="false">IF($B905="","",IF(AND(N($I905)=0,N($J905)=0),"금액이 없습니다",IF(AND($I905&gt;0,$J905&gt;0),"수입·지출 둘 다 적혔습니다",IF($C905="","결제수단을 고르십시오",IF(ISNA(MATCH($C905,'통합 ③ 통장·카드'!$A$5:$A$11,0)),"③ 통장·카드에 없는 결제수단입니다",IF($D905="","계정과목을 고르십시오",IF($E905="※없는 과목","④ 설정에 없는 과목입니다",IF(AND($E905="수입",$J905&gt;0),"수입 과목인데 지출에 적혔습니다",IF(AND(LEFT($E905,2)&lt;&gt;"수입",$E905&lt;&gt;"대체",$I905&gt;0),"지출 과목인데 수입에 적혔습니다",IF($K905="","증빙을 고르십시오",IF(AND($C905="바우처통장",$J905&gt;0,IFERROR(INDEX('통합 ④ 설정'!$E$6:$E$40,MATCH($D905,'통합 ④ 설정'!$B$6:$B$40,0)),"")&lt;&gt;"○"),"바우처통장 지출 — 목적 확인",IF($H905="","적요를 적으십시오",""))))))))))))</f>
        <v/>
      </c>
      <c r="M905" s="39"/>
      <c r="O905" s="11" t="str">
        <f aca="false">IF($B905="","",YEAR($B905)*100+MONTH($B905))</f>
        <v/>
      </c>
      <c r="P905" s="11" t="str">
        <f aca="false">IF($B905="","",IF($E905="대체",0,1))</f>
        <v/>
      </c>
    </row>
    <row r="906" customFormat="false" ht="15" hidden="false" customHeight="false" outlineLevel="0" collapsed="false">
      <c r="A906" s="36" t="str">
        <f aca="false">IF($B906="","",COUNT($B$15:$B906))</f>
        <v/>
      </c>
      <c r="B906" s="37"/>
      <c r="C906" s="38"/>
      <c r="D906" s="39"/>
      <c r="E906" s="36" t="str">
        <f aca="false">IF($D906="","",IFERROR(INDEX('통합 ④ 설정'!$A$6:$A$40,MATCH($D906,'통합 ④ 설정'!$B$6:$B$40,0)),"※없는 과목"))</f>
        <v/>
      </c>
      <c r="F906" s="36" t="str">
        <f aca="false">IF($D906="","",IFERROR(INDEX('통합 ④ 설정'!$C$6:$C$40,MATCH($D906,'통합 ④ 설정'!$B$6:$B$40,0)),""))</f>
        <v/>
      </c>
      <c r="G906" s="39"/>
      <c r="H906" s="39"/>
      <c r="I906" s="40"/>
      <c r="J906" s="41"/>
      <c r="K906" s="38"/>
      <c r="L906" s="42" t="str">
        <f aca="false">IF($B906="","",IF(AND(N($I906)=0,N($J906)=0),"금액이 없습니다",IF(AND($I906&gt;0,$J906&gt;0),"수입·지출 둘 다 적혔습니다",IF($C906="","결제수단을 고르십시오",IF(ISNA(MATCH($C906,'통합 ③ 통장·카드'!$A$5:$A$11,0)),"③ 통장·카드에 없는 결제수단입니다",IF($D906="","계정과목을 고르십시오",IF($E906="※없는 과목","④ 설정에 없는 과목입니다",IF(AND($E906="수입",$J906&gt;0),"수입 과목인데 지출에 적혔습니다",IF(AND(LEFT($E906,2)&lt;&gt;"수입",$E906&lt;&gt;"대체",$I906&gt;0),"지출 과목인데 수입에 적혔습니다",IF($K906="","증빙을 고르십시오",IF(AND($C906="바우처통장",$J906&gt;0,IFERROR(INDEX('통합 ④ 설정'!$E$6:$E$40,MATCH($D906,'통합 ④ 설정'!$B$6:$B$40,0)),"")&lt;&gt;"○"),"바우처통장 지출 — 목적 확인",IF($H906="","적요를 적으십시오",""))))))))))))</f>
        <v/>
      </c>
      <c r="M906" s="39"/>
      <c r="O906" s="11" t="str">
        <f aca="false">IF($B906="","",YEAR($B906)*100+MONTH($B906))</f>
        <v/>
      </c>
      <c r="P906" s="11" t="str">
        <f aca="false">IF($B906="","",IF($E906="대체",0,1))</f>
        <v/>
      </c>
    </row>
    <row r="907" customFormat="false" ht="15" hidden="false" customHeight="false" outlineLevel="0" collapsed="false">
      <c r="A907" s="36" t="str">
        <f aca="false">IF($B907="","",COUNT($B$15:$B907))</f>
        <v/>
      </c>
      <c r="B907" s="37"/>
      <c r="C907" s="38"/>
      <c r="D907" s="39"/>
      <c r="E907" s="36" t="str">
        <f aca="false">IF($D907="","",IFERROR(INDEX('통합 ④ 설정'!$A$6:$A$40,MATCH($D907,'통합 ④ 설정'!$B$6:$B$40,0)),"※없는 과목"))</f>
        <v/>
      </c>
      <c r="F907" s="36" t="str">
        <f aca="false">IF($D907="","",IFERROR(INDEX('통합 ④ 설정'!$C$6:$C$40,MATCH($D907,'통합 ④ 설정'!$B$6:$B$40,0)),""))</f>
        <v/>
      </c>
      <c r="G907" s="39"/>
      <c r="H907" s="39"/>
      <c r="I907" s="40"/>
      <c r="J907" s="41"/>
      <c r="K907" s="38"/>
      <c r="L907" s="42" t="str">
        <f aca="false">IF($B907="","",IF(AND(N($I907)=0,N($J907)=0),"금액이 없습니다",IF(AND($I907&gt;0,$J907&gt;0),"수입·지출 둘 다 적혔습니다",IF($C907="","결제수단을 고르십시오",IF(ISNA(MATCH($C907,'통합 ③ 통장·카드'!$A$5:$A$11,0)),"③ 통장·카드에 없는 결제수단입니다",IF($D907="","계정과목을 고르십시오",IF($E907="※없는 과목","④ 설정에 없는 과목입니다",IF(AND($E907="수입",$J907&gt;0),"수입 과목인데 지출에 적혔습니다",IF(AND(LEFT($E907,2)&lt;&gt;"수입",$E907&lt;&gt;"대체",$I907&gt;0),"지출 과목인데 수입에 적혔습니다",IF($K907="","증빙을 고르십시오",IF(AND($C907="바우처통장",$J907&gt;0,IFERROR(INDEX('통합 ④ 설정'!$E$6:$E$40,MATCH($D907,'통합 ④ 설정'!$B$6:$B$40,0)),"")&lt;&gt;"○"),"바우처통장 지출 — 목적 확인",IF($H907="","적요를 적으십시오",""))))))))))))</f>
        <v/>
      </c>
      <c r="M907" s="39"/>
      <c r="O907" s="11" t="str">
        <f aca="false">IF($B907="","",YEAR($B907)*100+MONTH($B907))</f>
        <v/>
      </c>
      <c r="P907" s="11" t="str">
        <f aca="false">IF($B907="","",IF($E907="대체",0,1))</f>
        <v/>
      </c>
    </row>
    <row r="908" customFormat="false" ht="15" hidden="false" customHeight="false" outlineLevel="0" collapsed="false">
      <c r="A908" s="36" t="str">
        <f aca="false">IF($B908="","",COUNT($B$15:$B908))</f>
        <v/>
      </c>
      <c r="B908" s="37"/>
      <c r="C908" s="38"/>
      <c r="D908" s="39"/>
      <c r="E908" s="36" t="str">
        <f aca="false">IF($D908="","",IFERROR(INDEX('통합 ④ 설정'!$A$6:$A$40,MATCH($D908,'통합 ④ 설정'!$B$6:$B$40,0)),"※없는 과목"))</f>
        <v/>
      </c>
      <c r="F908" s="36" t="str">
        <f aca="false">IF($D908="","",IFERROR(INDEX('통합 ④ 설정'!$C$6:$C$40,MATCH($D908,'통합 ④ 설정'!$B$6:$B$40,0)),""))</f>
        <v/>
      </c>
      <c r="G908" s="39"/>
      <c r="H908" s="39"/>
      <c r="I908" s="40"/>
      <c r="J908" s="41"/>
      <c r="K908" s="38"/>
      <c r="L908" s="42" t="str">
        <f aca="false">IF($B908="","",IF(AND(N($I908)=0,N($J908)=0),"금액이 없습니다",IF(AND($I908&gt;0,$J908&gt;0),"수입·지출 둘 다 적혔습니다",IF($C908="","결제수단을 고르십시오",IF(ISNA(MATCH($C908,'통합 ③ 통장·카드'!$A$5:$A$11,0)),"③ 통장·카드에 없는 결제수단입니다",IF($D908="","계정과목을 고르십시오",IF($E908="※없는 과목","④ 설정에 없는 과목입니다",IF(AND($E908="수입",$J908&gt;0),"수입 과목인데 지출에 적혔습니다",IF(AND(LEFT($E908,2)&lt;&gt;"수입",$E908&lt;&gt;"대체",$I908&gt;0),"지출 과목인데 수입에 적혔습니다",IF($K908="","증빙을 고르십시오",IF(AND($C908="바우처통장",$J908&gt;0,IFERROR(INDEX('통합 ④ 설정'!$E$6:$E$40,MATCH($D908,'통합 ④ 설정'!$B$6:$B$40,0)),"")&lt;&gt;"○"),"바우처통장 지출 — 목적 확인",IF($H908="","적요를 적으십시오",""))))))))))))</f>
        <v/>
      </c>
      <c r="M908" s="39"/>
      <c r="O908" s="11" t="str">
        <f aca="false">IF($B908="","",YEAR($B908)*100+MONTH($B908))</f>
        <v/>
      </c>
      <c r="P908" s="11" t="str">
        <f aca="false">IF($B908="","",IF($E908="대체",0,1))</f>
        <v/>
      </c>
    </row>
    <row r="909" customFormat="false" ht="15" hidden="false" customHeight="false" outlineLevel="0" collapsed="false">
      <c r="A909" s="36" t="str">
        <f aca="false">IF($B909="","",COUNT($B$15:$B909))</f>
        <v/>
      </c>
      <c r="B909" s="37"/>
      <c r="C909" s="38"/>
      <c r="D909" s="39"/>
      <c r="E909" s="36" t="str">
        <f aca="false">IF($D909="","",IFERROR(INDEX('통합 ④ 설정'!$A$6:$A$40,MATCH($D909,'통합 ④ 설정'!$B$6:$B$40,0)),"※없는 과목"))</f>
        <v/>
      </c>
      <c r="F909" s="36" t="str">
        <f aca="false">IF($D909="","",IFERROR(INDEX('통합 ④ 설정'!$C$6:$C$40,MATCH($D909,'통합 ④ 설정'!$B$6:$B$40,0)),""))</f>
        <v/>
      </c>
      <c r="G909" s="39"/>
      <c r="H909" s="39"/>
      <c r="I909" s="40"/>
      <c r="J909" s="41"/>
      <c r="K909" s="38"/>
      <c r="L909" s="42" t="str">
        <f aca="false">IF($B909="","",IF(AND(N($I909)=0,N($J909)=0),"금액이 없습니다",IF(AND($I909&gt;0,$J909&gt;0),"수입·지출 둘 다 적혔습니다",IF($C909="","결제수단을 고르십시오",IF(ISNA(MATCH($C909,'통합 ③ 통장·카드'!$A$5:$A$11,0)),"③ 통장·카드에 없는 결제수단입니다",IF($D909="","계정과목을 고르십시오",IF($E909="※없는 과목","④ 설정에 없는 과목입니다",IF(AND($E909="수입",$J909&gt;0),"수입 과목인데 지출에 적혔습니다",IF(AND(LEFT($E909,2)&lt;&gt;"수입",$E909&lt;&gt;"대체",$I909&gt;0),"지출 과목인데 수입에 적혔습니다",IF($K909="","증빙을 고르십시오",IF(AND($C909="바우처통장",$J909&gt;0,IFERROR(INDEX('통합 ④ 설정'!$E$6:$E$40,MATCH($D909,'통합 ④ 설정'!$B$6:$B$40,0)),"")&lt;&gt;"○"),"바우처통장 지출 — 목적 확인",IF($H909="","적요를 적으십시오",""))))))))))))</f>
        <v/>
      </c>
      <c r="M909" s="39"/>
      <c r="O909" s="11" t="str">
        <f aca="false">IF($B909="","",YEAR($B909)*100+MONTH($B909))</f>
        <v/>
      </c>
      <c r="P909" s="11" t="str">
        <f aca="false">IF($B909="","",IF($E909="대체",0,1))</f>
        <v/>
      </c>
    </row>
    <row r="910" customFormat="false" ht="15" hidden="false" customHeight="false" outlineLevel="0" collapsed="false">
      <c r="A910" s="36" t="str">
        <f aca="false">IF($B910="","",COUNT($B$15:$B910))</f>
        <v/>
      </c>
      <c r="B910" s="37"/>
      <c r="C910" s="38"/>
      <c r="D910" s="39"/>
      <c r="E910" s="36" t="str">
        <f aca="false">IF($D910="","",IFERROR(INDEX('통합 ④ 설정'!$A$6:$A$40,MATCH($D910,'통합 ④ 설정'!$B$6:$B$40,0)),"※없는 과목"))</f>
        <v/>
      </c>
      <c r="F910" s="36" t="str">
        <f aca="false">IF($D910="","",IFERROR(INDEX('통합 ④ 설정'!$C$6:$C$40,MATCH($D910,'통합 ④ 설정'!$B$6:$B$40,0)),""))</f>
        <v/>
      </c>
      <c r="G910" s="39"/>
      <c r="H910" s="39"/>
      <c r="I910" s="40"/>
      <c r="J910" s="41"/>
      <c r="K910" s="38"/>
      <c r="L910" s="42" t="str">
        <f aca="false">IF($B910="","",IF(AND(N($I910)=0,N($J910)=0),"금액이 없습니다",IF(AND($I910&gt;0,$J910&gt;0),"수입·지출 둘 다 적혔습니다",IF($C910="","결제수단을 고르십시오",IF(ISNA(MATCH($C910,'통합 ③ 통장·카드'!$A$5:$A$11,0)),"③ 통장·카드에 없는 결제수단입니다",IF($D910="","계정과목을 고르십시오",IF($E910="※없는 과목","④ 설정에 없는 과목입니다",IF(AND($E910="수입",$J910&gt;0),"수입 과목인데 지출에 적혔습니다",IF(AND(LEFT($E910,2)&lt;&gt;"수입",$E910&lt;&gt;"대체",$I910&gt;0),"지출 과목인데 수입에 적혔습니다",IF($K910="","증빙을 고르십시오",IF(AND($C910="바우처통장",$J910&gt;0,IFERROR(INDEX('통합 ④ 설정'!$E$6:$E$40,MATCH($D910,'통합 ④ 설정'!$B$6:$B$40,0)),"")&lt;&gt;"○"),"바우처통장 지출 — 목적 확인",IF($H910="","적요를 적으십시오",""))))))))))))</f>
        <v/>
      </c>
      <c r="M910" s="39"/>
      <c r="O910" s="11" t="str">
        <f aca="false">IF($B910="","",YEAR($B910)*100+MONTH($B910))</f>
        <v/>
      </c>
      <c r="P910" s="11" t="str">
        <f aca="false">IF($B910="","",IF($E910="대체",0,1))</f>
        <v/>
      </c>
    </row>
    <row r="911" customFormat="false" ht="15" hidden="false" customHeight="false" outlineLevel="0" collapsed="false">
      <c r="A911" s="36" t="str">
        <f aca="false">IF($B911="","",COUNT($B$15:$B911))</f>
        <v/>
      </c>
      <c r="B911" s="37"/>
      <c r="C911" s="38"/>
      <c r="D911" s="39"/>
      <c r="E911" s="36" t="str">
        <f aca="false">IF($D911="","",IFERROR(INDEX('통합 ④ 설정'!$A$6:$A$40,MATCH($D911,'통합 ④ 설정'!$B$6:$B$40,0)),"※없는 과목"))</f>
        <v/>
      </c>
      <c r="F911" s="36" t="str">
        <f aca="false">IF($D911="","",IFERROR(INDEX('통합 ④ 설정'!$C$6:$C$40,MATCH($D911,'통합 ④ 설정'!$B$6:$B$40,0)),""))</f>
        <v/>
      </c>
      <c r="G911" s="39"/>
      <c r="H911" s="39"/>
      <c r="I911" s="40"/>
      <c r="J911" s="41"/>
      <c r="K911" s="38"/>
      <c r="L911" s="42" t="str">
        <f aca="false">IF($B911="","",IF(AND(N($I911)=0,N($J911)=0),"금액이 없습니다",IF(AND($I911&gt;0,$J911&gt;0),"수입·지출 둘 다 적혔습니다",IF($C911="","결제수단을 고르십시오",IF(ISNA(MATCH($C911,'통합 ③ 통장·카드'!$A$5:$A$11,0)),"③ 통장·카드에 없는 결제수단입니다",IF($D911="","계정과목을 고르십시오",IF($E911="※없는 과목","④ 설정에 없는 과목입니다",IF(AND($E911="수입",$J911&gt;0),"수입 과목인데 지출에 적혔습니다",IF(AND(LEFT($E911,2)&lt;&gt;"수입",$E911&lt;&gt;"대체",$I911&gt;0),"지출 과목인데 수입에 적혔습니다",IF($K911="","증빙을 고르십시오",IF(AND($C911="바우처통장",$J911&gt;0,IFERROR(INDEX('통합 ④ 설정'!$E$6:$E$40,MATCH($D911,'통합 ④ 설정'!$B$6:$B$40,0)),"")&lt;&gt;"○"),"바우처통장 지출 — 목적 확인",IF($H911="","적요를 적으십시오",""))))))))))))</f>
        <v/>
      </c>
      <c r="M911" s="39"/>
      <c r="O911" s="11" t="str">
        <f aca="false">IF($B911="","",YEAR($B911)*100+MONTH($B911))</f>
        <v/>
      </c>
      <c r="P911" s="11" t="str">
        <f aca="false">IF($B911="","",IF($E911="대체",0,1))</f>
        <v/>
      </c>
    </row>
    <row r="912" customFormat="false" ht="15" hidden="false" customHeight="false" outlineLevel="0" collapsed="false">
      <c r="A912" s="36" t="str">
        <f aca="false">IF($B912="","",COUNT($B$15:$B912))</f>
        <v/>
      </c>
      <c r="B912" s="37"/>
      <c r="C912" s="38"/>
      <c r="D912" s="39"/>
      <c r="E912" s="36" t="str">
        <f aca="false">IF($D912="","",IFERROR(INDEX('통합 ④ 설정'!$A$6:$A$40,MATCH($D912,'통합 ④ 설정'!$B$6:$B$40,0)),"※없는 과목"))</f>
        <v/>
      </c>
      <c r="F912" s="36" t="str">
        <f aca="false">IF($D912="","",IFERROR(INDEX('통합 ④ 설정'!$C$6:$C$40,MATCH($D912,'통합 ④ 설정'!$B$6:$B$40,0)),""))</f>
        <v/>
      </c>
      <c r="G912" s="39"/>
      <c r="H912" s="39"/>
      <c r="I912" s="40"/>
      <c r="J912" s="41"/>
      <c r="K912" s="38"/>
      <c r="L912" s="42" t="str">
        <f aca="false">IF($B912="","",IF(AND(N($I912)=0,N($J912)=0),"금액이 없습니다",IF(AND($I912&gt;0,$J912&gt;0),"수입·지출 둘 다 적혔습니다",IF($C912="","결제수단을 고르십시오",IF(ISNA(MATCH($C912,'통합 ③ 통장·카드'!$A$5:$A$11,0)),"③ 통장·카드에 없는 결제수단입니다",IF($D912="","계정과목을 고르십시오",IF($E912="※없는 과목","④ 설정에 없는 과목입니다",IF(AND($E912="수입",$J912&gt;0),"수입 과목인데 지출에 적혔습니다",IF(AND(LEFT($E912,2)&lt;&gt;"수입",$E912&lt;&gt;"대체",$I912&gt;0),"지출 과목인데 수입에 적혔습니다",IF($K912="","증빙을 고르십시오",IF(AND($C912="바우처통장",$J912&gt;0,IFERROR(INDEX('통합 ④ 설정'!$E$6:$E$40,MATCH($D912,'통합 ④ 설정'!$B$6:$B$40,0)),"")&lt;&gt;"○"),"바우처통장 지출 — 목적 확인",IF($H912="","적요를 적으십시오",""))))))))))))</f>
        <v/>
      </c>
      <c r="M912" s="39"/>
      <c r="O912" s="11" t="str">
        <f aca="false">IF($B912="","",YEAR($B912)*100+MONTH($B912))</f>
        <v/>
      </c>
      <c r="P912" s="11" t="str">
        <f aca="false">IF($B912="","",IF($E912="대체",0,1))</f>
        <v/>
      </c>
    </row>
    <row r="913" customFormat="false" ht="15" hidden="false" customHeight="false" outlineLevel="0" collapsed="false">
      <c r="A913" s="36" t="str">
        <f aca="false">IF($B913="","",COUNT($B$15:$B913))</f>
        <v/>
      </c>
      <c r="B913" s="37"/>
      <c r="C913" s="38"/>
      <c r="D913" s="39"/>
      <c r="E913" s="36" t="str">
        <f aca="false">IF($D913="","",IFERROR(INDEX('통합 ④ 설정'!$A$6:$A$40,MATCH($D913,'통합 ④ 설정'!$B$6:$B$40,0)),"※없는 과목"))</f>
        <v/>
      </c>
      <c r="F913" s="36" t="str">
        <f aca="false">IF($D913="","",IFERROR(INDEX('통합 ④ 설정'!$C$6:$C$40,MATCH($D913,'통합 ④ 설정'!$B$6:$B$40,0)),""))</f>
        <v/>
      </c>
      <c r="G913" s="39"/>
      <c r="H913" s="39"/>
      <c r="I913" s="40"/>
      <c r="J913" s="41"/>
      <c r="K913" s="38"/>
      <c r="L913" s="42" t="str">
        <f aca="false">IF($B913="","",IF(AND(N($I913)=0,N($J913)=0),"금액이 없습니다",IF(AND($I913&gt;0,$J913&gt;0),"수입·지출 둘 다 적혔습니다",IF($C913="","결제수단을 고르십시오",IF(ISNA(MATCH($C913,'통합 ③ 통장·카드'!$A$5:$A$11,0)),"③ 통장·카드에 없는 결제수단입니다",IF($D913="","계정과목을 고르십시오",IF($E913="※없는 과목","④ 설정에 없는 과목입니다",IF(AND($E913="수입",$J913&gt;0),"수입 과목인데 지출에 적혔습니다",IF(AND(LEFT($E913,2)&lt;&gt;"수입",$E913&lt;&gt;"대체",$I913&gt;0),"지출 과목인데 수입에 적혔습니다",IF($K913="","증빙을 고르십시오",IF(AND($C913="바우처통장",$J913&gt;0,IFERROR(INDEX('통합 ④ 설정'!$E$6:$E$40,MATCH($D913,'통합 ④ 설정'!$B$6:$B$40,0)),"")&lt;&gt;"○"),"바우처통장 지출 — 목적 확인",IF($H913="","적요를 적으십시오",""))))))))))))</f>
        <v/>
      </c>
      <c r="M913" s="39"/>
      <c r="O913" s="11" t="str">
        <f aca="false">IF($B913="","",YEAR($B913)*100+MONTH($B913))</f>
        <v/>
      </c>
      <c r="P913" s="11" t="str">
        <f aca="false">IF($B913="","",IF($E913="대체",0,1))</f>
        <v/>
      </c>
    </row>
    <row r="914" customFormat="false" ht="15" hidden="false" customHeight="false" outlineLevel="0" collapsed="false">
      <c r="A914" s="36" t="str">
        <f aca="false">IF($B914="","",COUNT($B$15:$B914))</f>
        <v/>
      </c>
      <c r="B914" s="37"/>
      <c r="C914" s="38"/>
      <c r="D914" s="39"/>
      <c r="E914" s="36" t="str">
        <f aca="false">IF($D914="","",IFERROR(INDEX('통합 ④ 설정'!$A$6:$A$40,MATCH($D914,'통합 ④ 설정'!$B$6:$B$40,0)),"※없는 과목"))</f>
        <v/>
      </c>
      <c r="F914" s="36" t="str">
        <f aca="false">IF($D914="","",IFERROR(INDEX('통합 ④ 설정'!$C$6:$C$40,MATCH($D914,'통합 ④ 설정'!$B$6:$B$40,0)),""))</f>
        <v/>
      </c>
      <c r="G914" s="39"/>
      <c r="H914" s="39"/>
      <c r="I914" s="40"/>
      <c r="J914" s="41"/>
      <c r="K914" s="38"/>
      <c r="L914" s="42" t="str">
        <f aca="false">IF($B914="","",IF(AND(N($I914)=0,N($J914)=0),"금액이 없습니다",IF(AND($I914&gt;0,$J914&gt;0),"수입·지출 둘 다 적혔습니다",IF($C914="","결제수단을 고르십시오",IF(ISNA(MATCH($C914,'통합 ③ 통장·카드'!$A$5:$A$11,0)),"③ 통장·카드에 없는 결제수단입니다",IF($D914="","계정과목을 고르십시오",IF($E914="※없는 과목","④ 설정에 없는 과목입니다",IF(AND($E914="수입",$J914&gt;0),"수입 과목인데 지출에 적혔습니다",IF(AND(LEFT($E914,2)&lt;&gt;"수입",$E914&lt;&gt;"대체",$I914&gt;0),"지출 과목인데 수입에 적혔습니다",IF($K914="","증빙을 고르십시오",IF(AND($C914="바우처통장",$J914&gt;0,IFERROR(INDEX('통합 ④ 설정'!$E$6:$E$40,MATCH($D914,'통합 ④ 설정'!$B$6:$B$40,0)),"")&lt;&gt;"○"),"바우처통장 지출 — 목적 확인",IF($H914="","적요를 적으십시오",""))))))))))))</f>
        <v/>
      </c>
      <c r="M914" s="39"/>
      <c r="O914" s="11" t="str">
        <f aca="false">IF($B914="","",YEAR($B914)*100+MONTH($B914))</f>
        <v/>
      </c>
      <c r="P914" s="11" t="str">
        <f aca="false">IF($B914="","",IF($E914="대체",0,1))</f>
        <v/>
      </c>
    </row>
    <row r="915" customFormat="false" ht="15" hidden="false" customHeight="false" outlineLevel="0" collapsed="false">
      <c r="A915" s="36" t="str">
        <f aca="false">IF($B915="","",COUNT($B$15:$B915))</f>
        <v/>
      </c>
      <c r="B915" s="37"/>
      <c r="C915" s="38"/>
      <c r="D915" s="39"/>
      <c r="E915" s="36" t="str">
        <f aca="false">IF($D915="","",IFERROR(INDEX('통합 ④ 설정'!$A$6:$A$40,MATCH($D915,'통합 ④ 설정'!$B$6:$B$40,0)),"※없는 과목"))</f>
        <v/>
      </c>
      <c r="F915" s="36" t="str">
        <f aca="false">IF($D915="","",IFERROR(INDEX('통합 ④ 설정'!$C$6:$C$40,MATCH($D915,'통합 ④ 설정'!$B$6:$B$40,0)),""))</f>
        <v/>
      </c>
      <c r="G915" s="39"/>
      <c r="H915" s="39"/>
      <c r="I915" s="40"/>
      <c r="J915" s="41"/>
      <c r="K915" s="38"/>
      <c r="L915" s="42" t="str">
        <f aca="false">IF($B915="","",IF(AND(N($I915)=0,N($J915)=0),"금액이 없습니다",IF(AND($I915&gt;0,$J915&gt;0),"수입·지출 둘 다 적혔습니다",IF($C915="","결제수단을 고르십시오",IF(ISNA(MATCH($C915,'통합 ③ 통장·카드'!$A$5:$A$11,0)),"③ 통장·카드에 없는 결제수단입니다",IF($D915="","계정과목을 고르십시오",IF($E915="※없는 과목","④ 설정에 없는 과목입니다",IF(AND($E915="수입",$J915&gt;0),"수입 과목인데 지출에 적혔습니다",IF(AND(LEFT($E915,2)&lt;&gt;"수입",$E915&lt;&gt;"대체",$I915&gt;0),"지출 과목인데 수입에 적혔습니다",IF($K915="","증빙을 고르십시오",IF(AND($C915="바우처통장",$J915&gt;0,IFERROR(INDEX('통합 ④ 설정'!$E$6:$E$40,MATCH($D915,'통합 ④ 설정'!$B$6:$B$40,0)),"")&lt;&gt;"○"),"바우처통장 지출 — 목적 확인",IF($H915="","적요를 적으십시오",""))))))))))))</f>
        <v/>
      </c>
      <c r="M915" s="39"/>
      <c r="O915" s="11" t="str">
        <f aca="false">IF($B915="","",YEAR($B915)*100+MONTH($B915))</f>
        <v/>
      </c>
      <c r="P915" s="11" t="str">
        <f aca="false">IF($B915="","",IF($E915="대체",0,1))</f>
        <v/>
      </c>
    </row>
    <row r="916" customFormat="false" ht="15" hidden="false" customHeight="false" outlineLevel="0" collapsed="false">
      <c r="A916" s="36" t="str">
        <f aca="false">IF($B916="","",COUNT($B$15:$B916))</f>
        <v/>
      </c>
      <c r="B916" s="37"/>
      <c r="C916" s="38"/>
      <c r="D916" s="39"/>
      <c r="E916" s="36" t="str">
        <f aca="false">IF($D916="","",IFERROR(INDEX('통합 ④ 설정'!$A$6:$A$40,MATCH($D916,'통합 ④ 설정'!$B$6:$B$40,0)),"※없는 과목"))</f>
        <v/>
      </c>
      <c r="F916" s="36" t="str">
        <f aca="false">IF($D916="","",IFERROR(INDEX('통합 ④ 설정'!$C$6:$C$40,MATCH($D916,'통합 ④ 설정'!$B$6:$B$40,0)),""))</f>
        <v/>
      </c>
      <c r="G916" s="39"/>
      <c r="H916" s="39"/>
      <c r="I916" s="40"/>
      <c r="J916" s="41"/>
      <c r="K916" s="38"/>
      <c r="L916" s="42" t="str">
        <f aca="false">IF($B916="","",IF(AND(N($I916)=0,N($J916)=0),"금액이 없습니다",IF(AND($I916&gt;0,$J916&gt;0),"수입·지출 둘 다 적혔습니다",IF($C916="","결제수단을 고르십시오",IF(ISNA(MATCH($C916,'통합 ③ 통장·카드'!$A$5:$A$11,0)),"③ 통장·카드에 없는 결제수단입니다",IF($D916="","계정과목을 고르십시오",IF($E916="※없는 과목","④ 설정에 없는 과목입니다",IF(AND($E916="수입",$J916&gt;0),"수입 과목인데 지출에 적혔습니다",IF(AND(LEFT($E916,2)&lt;&gt;"수입",$E916&lt;&gt;"대체",$I916&gt;0),"지출 과목인데 수입에 적혔습니다",IF($K916="","증빙을 고르십시오",IF(AND($C916="바우처통장",$J916&gt;0,IFERROR(INDEX('통합 ④ 설정'!$E$6:$E$40,MATCH($D916,'통합 ④ 설정'!$B$6:$B$40,0)),"")&lt;&gt;"○"),"바우처통장 지출 — 목적 확인",IF($H916="","적요를 적으십시오",""))))))))))))</f>
        <v/>
      </c>
      <c r="M916" s="39"/>
      <c r="O916" s="11" t="str">
        <f aca="false">IF($B916="","",YEAR($B916)*100+MONTH($B916))</f>
        <v/>
      </c>
      <c r="P916" s="11" t="str">
        <f aca="false">IF($B916="","",IF($E916="대체",0,1))</f>
        <v/>
      </c>
    </row>
    <row r="917" customFormat="false" ht="15" hidden="false" customHeight="false" outlineLevel="0" collapsed="false">
      <c r="A917" s="36" t="str">
        <f aca="false">IF($B917="","",COUNT($B$15:$B917))</f>
        <v/>
      </c>
      <c r="B917" s="37"/>
      <c r="C917" s="38"/>
      <c r="D917" s="39"/>
      <c r="E917" s="36" t="str">
        <f aca="false">IF($D917="","",IFERROR(INDEX('통합 ④ 설정'!$A$6:$A$40,MATCH($D917,'통합 ④ 설정'!$B$6:$B$40,0)),"※없는 과목"))</f>
        <v/>
      </c>
      <c r="F917" s="36" t="str">
        <f aca="false">IF($D917="","",IFERROR(INDEX('통합 ④ 설정'!$C$6:$C$40,MATCH($D917,'통합 ④ 설정'!$B$6:$B$40,0)),""))</f>
        <v/>
      </c>
      <c r="G917" s="39"/>
      <c r="H917" s="39"/>
      <c r="I917" s="40"/>
      <c r="J917" s="41"/>
      <c r="K917" s="38"/>
      <c r="L917" s="42" t="str">
        <f aca="false">IF($B917="","",IF(AND(N($I917)=0,N($J917)=0),"금액이 없습니다",IF(AND($I917&gt;0,$J917&gt;0),"수입·지출 둘 다 적혔습니다",IF($C917="","결제수단을 고르십시오",IF(ISNA(MATCH($C917,'통합 ③ 통장·카드'!$A$5:$A$11,0)),"③ 통장·카드에 없는 결제수단입니다",IF($D917="","계정과목을 고르십시오",IF($E917="※없는 과목","④ 설정에 없는 과목입니다",IF(AND($E917="수입",$J917&gt;0),"수입 과목인데 지출에 적혔습니다",IF(AND(LEFT($E917,2)&lt;&gt;"수입",$E917&lt;&gt;"대체",$I917&gt;0),"지출 과목인데 수입에 적혔습니다",IF($K917="","증빙을 고르십시오",IF(AND($C917="바우처통장",$J917&gt;0,IFERROR(INDEX('통합 ④ 설정'!$E$6:$E$40,MATCH($D917,'통합 ④ 설정'!$B$6:$B$40,0)),"")&lt;&gt;"○"),"바우처통장 지출 — 목적 확인",IF($H917="","적요를 적으십시오",""))))))))))))</f>
        <v/>
      </c>
      <c r="M917" s="39"/>
      <c r="O917" s="11" t="str">
        <f aca="false">IF($B917="","",YEAR($B917)*100+MONTH($B917))</f>
        <v/>
      </c>
      <c r="P917" s="11" t="str">
        <f aca="false">IF($B917="","",IF($E917="대체",0,1))</f>
        <v/>
      </c>
    </row>
    <row r="918" customFormat="false" ht="15" hidden="false" customHeight="false" outlineLevel="0" collapsed="false">
      <c r="A918" s="36" t="str">
        <f aca="false">IF($B918="","",COUNT($B$15:$B918))</f>
        <v/>
      </c>
      <c r="B918" s="37"/>
      <c r="C918" s="38"/>
      <c r="D918" s="39"/>
      <c r="E918" s="36" t="str">
        <f aca="false">IF($D918="","",IFERROR(INDEX('통합 ④ 설정'!$A$6:$A$40,MATCH($D918,'통합 ④ 설정'!$B$6:$B$40,0)),"※없는 과목"))</f>
        <v/>
      </c>
      <c r="F918" s="36" t="str">
        <f aca="false">IF($D918="","",IFERROR(INDEX('통합 ④ 설정'!$C$6:$C$40,MATCH($D918,'통합 ④ 설정'!$B$6:$B$40,0)),""))</f>
        <v/>
      </c>
      <c r="G918" s="39"/>
      <c r="H918" s="39"/>
      <c r="I918" s="40"/>
      <c r="J918" s="41"/>
      <c r="K918" s="38"/>
      <c r="L918" s="42" t="str">
        <f aca="false">IF($B918="","",IF(AND(N($I918)=0,N($J918)=0),"금액이 없습니다",IF(AND($I918&gt;0,$J918&gt;0),"수입·지출 둘 다 적혔습니다",IF($C918="","결제수단을 고르십시오",IF(ISNA(MATCH($C918,'통합 ③ 통장·카드'!$A$5:$A$11,0)),"③ 통장·카드에 없는 결제수단입니다",IF($D918="","계정과목을 고르십시오",IF($E918="※없는 과목","④ 설정에 없는 과목입니다",IF(AND($E918="수입",$J918&gt;0),"수입 과목인데 지출에 적혔습니다",IF(AND(LEFT($E918,2)&lt;&gt;"수입",$E918&lt;&gt;"대체",$I918&gt;0),"지출 과목인데 수입에 적혔습니다",IF($K918="","증빙을 고르십시오",IF(AND($C918="바우처통장",$J918&gt;0,IFERROR(INDEX('통합 ④ 설정'!$E$6:$E$40,MATCH($D918,'통합 ④ 설정'!$B$6:$B$40,0)),"")&lt;&gt;"○"),"바우처통장 지출 — 목적 확인",IF($H918="","적요를 적으십시오",""))))))))))))</f>
        <v/>
      </c>
      <c r="M918" s="39"/>
      <c r="O918" s="11" t="str">
        <f aca="false">IF($B918="","",YEAR($B918)*100+MONTH($B918))</f>
        <v/>
      </c>
      <c r="P918" s="11" t="str">
        <f aca="false">IF($B918="","",IF($E918="대체",0,1))</f>
        <v/>
      </c>
    </row>
    <row r="919" customFormat="false" ht="15" hidden="false" customHeight="false" outlineLevel="0" collapsed="false">
      <c r="A919" s="36" t="str">
        <f aca="false">IF($B919="","",COUNT($B$15:$B919))</f>
        <v/>
      </c>
      <c r="B919" s="37"/>
      <c r="C919" s="38"/>
      <c r="D919" s="39"/>
      <c r="E919" s="36" t="str">
        <f aca="false">IF($D919="","",IFERROR(INDEX('통합 ④ 설정'!$A$6:$A$40,MATCH($D919,'통합 ④ 설정'!$B$6:$B$40,0)),"※없는 과목"))</f>
        <v/>
      </c>
      <c r="F919" s="36" t="str">
        <f aca="false">IF($D919="","",IFERROR(INDEX('통합 ④ 설정'!$C$6:$C$40,MATCH($D919,'통합 ④ 설정'!$B$6:$B$40,0)),""))</f>
        <v/>
      </c>
      <c r="G919" s="39"/>
      <c r="H919" s="39"/>
      <c r="I919" s="40"/>
      <c r="J919" s="41"/>
      <c r="K919" s="38"/>
      <c r="L919" s="42" t="str">
        <f aca="false">IF($B919="","",IF(AND(N($I919)=0,N($J919)=0),"금액이 없습니다",IF(AND($I919&gt;0,$J919&gt;0),"수입·지출 둘 다 적혔습니다",IF($C919="","결제수단을 고르십시오",IF(ISNA(MATCH($C919,'통합 ③ 통장·카드'!$A$5:$A$11,0)),"③ 통장·카드에 없는 결제수단입니다",IF($D919="","계정과목을 고르십시오",IF($E919="※없는 과목","④ 설정에 없는 과목입니다",IF(AND($E919="수입",$J919&gt;0),"수입 과목인데 지출에 적혔습니다",IF(AND(LEFT($E919,2)&lt;&gt;"수입",$E919&lt;&gt;"대체",$I919&gt;0),"지출 과목인데 수입에 적혔습니다",IF($K919="","증빙을 고르십시오",IF(AND($C919="바우처통장",$J919&gt;0,IFERROR(INDEX('통합 ④ 설정'!$E$6:$E$40,MATCH($D919,'통합 ④ 설정'!$B$6:$B$40,0)),"")&lt;&gt;"○"),"바우처통장 지출 — 목적 확인",IF($H919="","적요를 적으십시오",""))))))))))))</f>
        <v/>
      </c>
      <c r="M919" s="39"/>
      <c r="O919" s="11" t="str">
        <f aca="false">IF($B919="","",YEAR($B919)*100+MONTH($B919))</f>
        <v/>
      </c>
      <c r="P919" s="11" t="str">
        <f aca="false">IF($B919="","",IF($E919="대체",0,1))</f>
        <v/>
      </c>
    </row>
    <row r="920" customFormat="false" ht="15" hidden="false" customHeight="false" outlineLevel="0" collapsed="false">
      <c r="A920" s="36" t="str">
        <f aca="false">IF($B920="","",COUNT($B$15:$B920))</f>
        <v/>
      </c>
      <c r="B920" s="37"/>
      <c r="C920" s="38"/>
      <c r="D920" s="39"/>
      <c r="E920" s="36" t="str">
        <f aca="false">IF($D920="","",IFERROR(INDEX('통합 ④ 설정'!$A$6:$A$40,MATCH($D920,'통합 ④ 설정'!$B$6:$B$40,0)),"※없는 과목"))</f>
        <v/>
      </c>
      <c r="F920" s="36" t="str">
        <f aca="false">IF($D920="","",IFERROR(INDEX('통합 ④ 설정'!$C$6:$C$40,MATCH($D920,'통합 ④ 설정'!$B$6:$B$40,0)),""))</f>
        <v/>
      </c>
      <c r="G920" s="39"/>
      <c r="H920" s="39"/>
      <c r="I920" s="40"/>
      <c r="J920" s="41"/>
      <c r="K920" s="38"/>
      <c r="L920" s="42" t="str">
        <f aca="false">IF($B920="","",IF(AND(N($I920)=0,N($J920)=0),"금액이 없습니다",IF(AND($I920&gt;0,$J920&gt;0),"수입·지출 둘 다 적혔습니다",IF($C920="","결제수단을 고르십시오",IF(ISNA(MATCH($C920,'통합 ③ 통장·카드'!$A$5:$A$11,0)),"③ 통장·카드에 없는 결제수단입니다",IF($D920="","계정과목을 고르십시오",IF($E920="※없는 과목","④ 설정에 없는 과목입니다",IF(AND($E920="수입",$J920&gt;0),"수입 과목인데 지출에 적혔습니다",IF(AND(LEFT($E920,2)&lt;&gt;"수입",$E920&lt;&gt;"대체",$I920&gt;0),"지출 과목인데 수입에 적혔습니다",IF($K920="","증빙을 고르십시오",IF(AND($C920="바우처통장",$J920&gt;0,IFERROR(INDEX('통합 ④ 설정'!$E$6:$E$40,MATCH($D920,'통합 ④ 설정'!$B$6:$B$40,0)),"")&lt;&gt;"○"),"바우처통장 지출 — 목적 확인",IF($H920="","적요를 적으십시오",""))))))))))))</f>
        <v/>
      </c>
      <c r="M920" s="39"/>
      <c r="O920" s="11" t="str">
        <f aca="false">IF($B920="","",YEAR($B920)*100+MONTH($B920))</f>
        <v/>
      </c>
      <c r="P920" s="11" t="str">
        <f aca="false">IF($B920="","",IF($E920="대체",0,1))</f>
        <v/>
      </c>
    </row>
    <row r="921" customFormat="false" ht="15" hidden="false" customHeight="false" outlineLevel="0" collapsed="false">
      <c r="A921" s="36" t="str">
        <f aca="false">IF($B921="","",COUNT($B$15:$B921))</f>
        <v/>
      </c>
      <c r="B921" s="37"/>
      <c r="C921" s="38"/>
      <c r="D921" s="39"/>
      <c r="E921" s="36" t="str">
        <f aca="false">IF($D921="","",IFERROR(INDEX('통합 ④ 설정'!$A$6:$A$40,MATCH($D921,'통합 ④ 설정'!$B$6:$B$40,0)),"※없는 과목"))</f>
        <v/>
      </c>
      <c r="F921" s="36" t="str">
        <f aca="false">IF($D921="","",IFERROR(INDEX('통합 ④ 설정'!$C$6:$C$40,MATCH($D921,'통합 ④ 설정'!$B$6:$B$40,0)),""))</f>
        <v/>
      </c>
      <c r="G921" s="39"/>
      <c r="H921" s="39"/>
      <c r="I921" s="40"/>
      <c r="J921" s="41"/>
      <c r="K921" s="38"/>
      <c r="L921" s="42" t="str">
        <f aca="false">IF($B921="","",IF(AND(N($I921)=0,N($J921)=0),"금액이 없습니다",IF(AND($I921&gt;0,$J921&gt;0),"수입·지출 둘 다 적혔습니다",IF($C921="","결제수단을 고르십시오",IF(ISNA(MATCH($C921,'통합 ③ 통장·카드'!$A$5:$A$11,0)),"③ 통장·카드에 없는 결제수단입니다",IF($D921="","계정과목을 고르십시오",IF($E921="※없는 과목","④ 설정에 없는 과목입니다",IF(AND($E921="수입",$J921&gt;0),"수입 과목인데 지출에 적혔습니다",IF(AND(LEFT($E921,2)&lt;&gt;"수입",$E921&lt;&gt;"대체",$I921&gt;0),"지출 과목인데 수입에 적혔습니다",IF($K921="","증빙을 고르십시오",IF(AND($C921="바우처통장",$J921&gt;0,IFERROR(INDEX('통합 ④ 설정'!$E$6:$E$40,MATCH($D921,'통합 ④ 설정'!$B$6:$B$40,0)),"")&lt;&gt;"○"),"바우처통장 지출 — 목적 확인",IF($H921="","적요를 적으십시오",""))))))))))))</f>
        <v/>
      </c>
      <c r="M921" s="39"/>
      <c r="O921" s="11" t="str">
        <f aca="false">IF($B921="","",YEAR($B921)*100+MONTH($B921))</f>
        <v/>
      </c>
      <c r="P921" s="11" t="str">
        <f aca="false">IF($B921="","",IF($E921="대체",0,1))</f>
        <v/>
      </c>
    </row>
    <row r="922" customFormat="false" ht="15" hidden="false" customHeight="false" outlineLevel="0" collapsed="false">
      <c r="A922" s="36" t="str">
        <f aca="false">IF($B922="","",COUNT($B$15:$B922))</f>
        <v/>
      </c>
      <c r="B922" s="37"/>
      <c r="C922" s="38"/>
      <c r="D922" s="39"/>
      <c r="E922" s="36" t="str">
        <f aca="false">IF($D922="","",IFERROR(INDEX('통합 ④ 설정'!$A$6:$A$40,MATCH($D922,'통합 ④ 설정'!$B$6:$B$40,0)),"※없는 과목"))</f>
        <v/>
      </c>
      <c r="F922" s="36" t="str">
        <f aca="false">IF($D922="","",IFERROR(INDEX('통합 ④ 설정'!$C$6:$C$40,MATCH($D922,'통합 ④ 설정'!$B$6:$B$40,0)),""))</f>
        <v/>
      </c>
      <c r="G922" s="39"/>
      <c r="H922" s="39"/>
      <c r="I922" s="40"/>
      <c r="J922" s="41"/>
      <c r="K922" s="38"/>
      <c r="L922" s="42" t="str">
        <f aca="false">IF($B922="","",IF(AND(N($I922)=0,N($J922)=0),"금액이 없습니다",IF(AND($I922&gt;0,$J922&gt;0),"수입·지출 둘 다 적혔습니다",IF($C922="","결제수단을 고르십시오",IF(ISNA(MATCH($C922,'통합 ③ 통장·카드'!$A$5:$A$11,0)),"③ 통장·카드에 없는 결제수단입니다",IF($D922="","계정과목을 고르십시오",IF($E922="※없는 과목","④ 설정에 없는 과목입니다",IF(AND($E922="수입",$J922&gt;0),"수입 과목인데 지출에 적혔습니다",IF(AND(LEFT($E922,2)&lt;&gt;"수입",$E922&lt;&gt;"대체",$I922&gt;0),"지출 과목인데 수입에 적혔습니다",IF($K922="","증빙을 고르십시오",IF(AND($C922="바우처통장",$J922&gt;0,IFERROR(INDEX('통합 ④ 설정'!$E$6:$E$40,MATCH($D922,'통합 ④ 설정'!$B$6:$B$40,0)),"")&lt;&gt;"○"),"바우처통장 지출 — 목적 확인",IF($H922="","적요를 적으십시오",""))))))))))))</f>
        <v/>
      </c>
      <c r="M922" s="39"/>
      <c r="O922" s="11" t="str">
        <f aca="false">IF($B922="","",YEAR($B922)*100+MONTH($B922))</f>
        <v/>
      </c>
      <c r="P922" s="11" t="str">
        <f aca="false">IF($B922="","",IF($E922="대체",0,1))</f>
        <v/>
      </c>
    </row>
    <row r="923" customFormat="false" ht="15" hidden="false" customHeight="false" outlineLevel="0" collapsed="false">
      <c r="A923" s="36" t="str">
        <f aca="false">IF($B923="","",COUNT($B$15:$B923))</f>
        <v/>
      </c>
      <c r="B923" s="37"/>
      <c r="C923" s="38"/>
      <c r="D923" s="39"/>
      <c r="E923" s="36" t="str">
        <f aca="false">IF($D923="","",IFERROR(INDEX('통합 ④ 설정'!$A$6:$A$40,MATCH($D923,'통합 ④ 설정'!$B$6:$B$40,0)),"※없는 과목"))</f>
        <v/>
      </c>
      <c r="F923" s="36" t="str">
        <f aca="false">IF($D923="","",IFERROR(INDEX('통합 ④ 설정'!$C$6:$C$40,MATCH($D923,'통합 ④ 설정'!$B$6:$B$40,0)),""))</f>
        <v/>
      </c>
      <c r="G923" s="39"/>
      <c r="H923" s="39"/>
      <c r="I923" s="40"/>
      <c r="J923" s="41"/>
      <c r="K923" s="38"/>
      <c r="L923" s="42" t="str">
        <f aca="false">IF($B923="","",IF(AND(N($I923)=0,N($J923)=0),"금액이 없습니다",IF(AND($I923&gt;0,$J923&gt;0),"수입·지출 둘 다 적혔습니다",IF($C923="","결제수단을 고르십시오",IF(ISNA(MATCH($C923,'통합 ③ 통장·카드'!$A$5:$A$11,0)),"③ 통장·카드에 없는 결제수단입니다",IF($D923="","계정과목을 고르십시오",IF($E923="※없는 과목","④ 설정에 없는 과목입니다",IF(AND($E923="수입",$J923&gt;0),"수입 과목인데 지출에 적혔습니다",IF(AND(LEFT($E923,2)&lt;&gt;"수입",$E923&lt;&gt;"대체",$I923&gt;0),"지출 과목인데 수입에 적혔습니다",IF($K923="","증빙을 고르십시오",IF(AND($C923="바우처통장",$J923&gt;0,IFERROR(INDEX('통합 ④ 설정'!$E$6:$E$40,MATCH($D923,'통합 ④ 설정'!$B$6:$B$40,0)),"")&lt;&gt;"○"),"바우처통장 지출 — 목적 확인",IF($H923="","적요를 적으십시오",""))))))))))))</f>
        <v/>
      </c>
      <c r="M923" s="39"/>
      <c r="O923" s="11" t="str">
        <f aca="false">IF($B923="","",YEAR($B923)*100+MONTH($B923))</f>
        <v/>
      </c>
      <c r="P923" s="11" t="str">
        <f aca="false">IF($B923="","",IF($E923="대체",0,1))</f>
        <v/>
      </c>
    </row>
    <row r="924" customFormat="false" ht="15" hidden="false" customHeight="false" outlineLevel="0" collapsed="false">
      <c r="A924" s="36" t="str">
        <f aca="false">IF($B924="","",COUNT($B$15:$B924))</f>
        <v/>
      </c>
      <c r="B924" s="37"/>
      <c r="C924" s="38"/>
      <c r="D924" s="39"/>
      <c r="E924" s="36" t="str">
        <f aca="false">IF($D924="","",IFERROR(INDEX('통합 ④ 설정'!$A$6:$A$40,MATCH($D924,'통합 ④ 설정'!$B$6:$B$40,0)),"※없는 과목"))</f>
        <v/>
      </c>
      <c r="F924" s="36" t="str">
        <f aca="false">IF($D924="","",IFERROR(INDEX('통합 ④ 설정'!$C$6:$C$40,MATCH($D924,'통합 ④ 설정'!$B$6:$B$40,0)),""))</f>
        <v/>
      </c>
      <c r="G924" s="39"/>
      <c r="H924" s="39"/>
      <c r="I924" s="40"/>
      <c r="J924" s="41"/>
      <c r="K924" s="38"/>
      <c r="L924" s="42" t="str">
        <f aca="false">IF($B924="","",IF(AND(N($I924)=0,N($J924)=0),"금액이 없습니다",IF(AND($I924&gt;0,$J924&gt;0),"수입·지출 둘 다 적혔습니다",IF($C924="","결제수단을 고르십시오",IF(ISNA(MATCH($C924,'통합 ③ 통장·카드'!$A$5:$A$11,0)),"③ 통장·카드에 없는 결제수단입니다",IF($D924="","계정과목을 고르십시오",IF($E924="※없는 과목","④ 설정에 없는 과목입니다",IF(AND($E924="수입",$J924&gt;0),"수입 과목인데 지출에 적혔습니다",IF(AND(LEFT($E924,2)&lt;&gt;"수입",$E924&lt;&gt;"대체",$I924&gt;0),"지출 과목인데 수입에 적혔습니다",IF($K924="","증빙을 고르십시오",IF(AND($C924="바우처통장",$J924&gt;0,IFERROR(INDEX('통합 ④ 설정'!$E$6:$E$40,MATCH($D924,'통합 ④ 설정'!$B$6:$B$40,0)),"")&lt;&gt;"○"),"바우처통장 지출 — 목적 확인",IF($H924="","적요를 적으십시오",""))))))))))))</f>
        <v/>
      </c>
      <c r="M924" s="39"/>
      <c r="O924" s="11" t="str">
        <f aca="false">IF($B924="","",YEAR($B924)*100+MONTH($B924))</f>
        <v/>
      </c>
      <c r="P924" s="11" t="str">
        <f aca="false">IF($B924="","",IF($E924="대체",0,1))</f>
        <v/>
      </c>
    </row>
    <row r="925" customFormat="false" ht="15" hidden="false" customHeight="false" outlineLevel="0" collapsed="false">
      <c r="A925" s="36" t="str">
        <f aca="false">IF($B925="","",COUNT($B$15:$B925))</f>
        <v/>
      </c>
      <c r="B925" s="37"/>
      <c r="C925" s="38"/>
      <c r="D925" s="39"/>
      <c r="E925" s="36" t="str">
        <f aca="false">IF($D925="","",IFERROR(INDEX('통합 ④ 설정'!$A$6:$A$40,MATCH($D925,'통합 ④ 설정'!$B$6:$B$40,0)),"※없는 과목"))</f>
        <v/>
      </c>
      <c r="F925" s="36" t="str">
        <f aca="false">IF($D925="","",IFERROR(INDEX('통합 ④ 설정'!$C$6:$C$40,MATCH($D925,'통합 ④ 설정'!$B$6:$B$40,0)),""))</f>
        <v/>
      </c>
      <c r="G925" s="39"/>
      <c r="H925" s="39"/>
      <c r="I925" s="40"/>
      <c r="J925" s="41"/>
      <c r="K925" s="38"/>
      <c r="L925" s="42" t="str">
        <f aca="false">IF($B925="","",IF(AND(N($I925)=0,N($J925)=0),"금액이 없습니다",IF(AND($I925&gt;0,$J925&gt;0),"수입·지출 둘 다 적혔습니다",IF($C925="","결제수단을 고르십시오",IF(ISNA(MATCH($C925,'통합 ③ 통장·카드'!$A$5:$A$11,0)),"③ 통장·카드에 없는 결제수단입니다",IF($D925="","계정과목을 고르십시오",IF($E925="※없는 과목","④ 설정에 없는 과목입니다",IF(AND($E925="수입",$J925&gt;0),"수입 과목인데 지출에 적혔습니다",IF(AND(LEFT($E925,2)&lt;&gt;"수입",$E925&lt;&gt;"대체",$I925&gt;0),"지출 과목인데 수입에 적혔습니다",IF($K925="","증빙을 고르십시오",IF(AND($C925="바우처통장",$J925&gt;0,IFERROR(INDEX('통합 ④ 설정'!$E$6:$E$40,MATCH($D925,'통합 ④ 설정'!$B$6:$B$40,0)),"")&lt;&gt;"○"),"바우처통장 지출 — 목적 확인",IF($H925="","적요를 적으십시오",""))))))))))))</f>
        <v/>
      </c>
      <c r="M925" s="39"/>
      <c r="O925" s="11" t="str">
        <f aca="false">IF($B925="","",YEAR($B925)*100+MONTH($B925))</f>
        <v/>
      </c>
      <c r="P925" s="11" t="str">
        <f aca="false">IF($B925="","",IF($E925="대체",0,1))</f>
        <v/>
      </c>
    </row>
    <row r="926" customFormat="false" ht="15" hidden="false" customHeight="false" outlineLevel="0" collapsed="false">
      <c r="A926" s="36" t="str">
        <f aca="false">IF($B926="","",COUNT($B$15:$B926))</f>
        <v/>
      </c>
      <c r="B926" s="37"/>
      <c r="C926" s="38"/>
      <c r="D926" s="39"/>
      <c r="E926" s="36" t="str">
        <f aca="false">IF($D926="","",IFERROR(INDEX('통합 ④ 설정'!$A$6:$A$40,MATCH($D926,'통합 ④ 설정'!$B$6:$B$40,0)),"※없는 과목"))</f>
        <v/>
      </c>
      <c r="F926" s="36" t="str">
        <f aca="false">IF($D926="","",IFERROR(INDEX('통합 ④ 설정'!$C$6:$C$40,MATCH($D926,'통합 ④ 설정'!$B$6:$B$40,0)),""))</f>
        <v/>
      </c>
      <c r="G926" s="39"/>
      <c r="H926" s="39"/>
      <c r="I926" s="40"/>
      <c r="J926" s="41"/>
      <c r="K926" s="38"/>
      <c r="L926" s="42" t="str">
        <f aca="false">IF($B926="","",IF(AND(N($I926)=0,N($J926)=0),"금액이 없습니다",IF(AND($I926&gt;0,$J926&gt;0),"수입·지출 둘 다 적혔습니다",IF($C926="","결제수단을 고르십시오",IF(ISNA(MATCH($C926,'통합 ③ 통장·카드'!$A$5:$A$11,0)),"③ 통장·카드에 없는 결제수단입니다",IF($D926="","계정과목을 고르십시오",IF($E926="※없는 과목","④ 설정에 없는 과목입니다",IF(AND($E926="수입",$J926&gt;0),"수입 과목인데 지출에 적혔습니다",IF(AND(LEFT($E926,2)&lt;&gt;"수입",$E926&lt;&gt;"대체",$I926&gt;0),"지출 과목인데 수입에 적혔습니다",IF($K926="","증빙을 고르십시오",IF(AND($C926="바우처통장",$J926&gt;0,IFERROR(INDEX('통합 ④ 설정'!$E$6:$E$40,MATCH($D926,'통합 ④ 설정'!$B$6:$B$40,0)),"")&lt;&gt;"○"),"바우처통장 지출 — 목적 확인",IF($H926="","적요를 적으십시오",""))))))))))))</f>
        <v/>
      </c>
      <c r="M926" s="39"/>
      <c r="O926" s="11" t="str">
        <f aca="false">IF($B926="","",YEAR($B926)*100+MONTH($B926))</f>
        <v/>
      </c>
      <c r="P926" s="11" t="str">
        <f aca="false">IF($B926="","",IF($E926="대체",0,1))</f>
        <v/>
      </c>
    </row>
    <row r="927" customFormat="false" ht="15" hidden="false" customHeight="false" outlineLevel="0" collapsed="false">
      <c r="A927" s="36" t="str">
        <f aca="false">IF($B927="","",COUNT($B$15:$B927))</f>
        <v/>
      </c>
      <c r="B927" s="37"/>
      <c r="C927" s="38"/>
      <c r="D927" s="39"/>
      <c r="E927" s="36" t="str">
        <f aca="false">IF($D927="","",IFERROR(INDEX('통합 ④ 설정'!$A$6:$A$40,MATCH($D927,'통합 ④ 설정'!$B$6:$B$40,0)),"※없는 과목"))</f>
        <v/>
      </c>
      <c r="F927" s="36" t="str">
        <f aca="false">IF($D927="","",IFERROR(INDEX('통합 ④ 설정'!$C$6:$C$40,MATCH($D927,'통합 ④ 설정'!$B$6:$B$40,0)),""))</f>
        <v/>
      </c>
      <c r="G927" s="39"/>
      <c r="H927" s="39"/>
      <c r="I927" s="40"/>
      <c r="J927" s="41"/>
      <c r="K927" s="38"/>
      <c r="L927" s="42" t="str">
        <f aca="false">IF($B927="","",IF(AND(N($I927)=0,N($J927)=0),"금액이 없습니다",IF(AND($I927&gt;0,$J927&gt;0),"수입·지출 둘 다 적혔습니다",IF($C927="","결제수단을 고르십시오",IF(ISNA(MATCH($C927,'통합 ③ 통장·카드'!$A$5:$A$11,0)),"③ 통장·카드에 없는 결제수단입니다",IF($D927="","계정과목을 고르십시오",IF($E927="※없는 과목","④ 설정에 없는 과목입니다",IF(AND($E927="수입",$J927&gt;0),"수입 과목인데 지출에 적혔습니다",IF(AND(LEFT($E927,2)&lt;&gt;"수입",$E927&lt;&gt;"대체",$I927&gt;0),"지출 과목인데 수입에 적혔습니다",IF($K927="","증빙을 고르십시오",IF(AND($C927="바우처통장",$J927&gt;0,IFERROR(INDEX('통합 ④ 설정'!$E$6:$E$40,MATCH($D927,'통합 ④ 설정'!$B$6:$B$40,0)),"")&lt;&gt;"○"),"바우처통장 지출 — 목적 확인",IF($H927="","적요를 적으십시오",""))))))))))))</f>
        <v/>
      </c>
      <c r="M927" s="39"/>
      <c r="O927" s="11" t="str">
        <f aca="false">IF($B927="","",YEAR($B927)*100+MONTH($B927))</f>
        <v/>
      </c>
      <c r="P927" s="11" t="str">
        <f aca="false">IF($B927="","",IF($E927="대체",0,1))</f>
        <v/>
      </c>
    </row>
    <row r="928" customFormat="false" ht="15" hidden="false" customHeight="false" outlineLevel="0" collapsed="false">
      <c r="A928" s="36" t="str">
        <f aca="false">IF($B928="","",COUNT($B$15:$B928))</f>
        <v/>
      </c>
      <c r="B928" s="37"/>
      <c r="C928" s="38"/>
      <c r="D928" s="39"/>
      <c r="E928" s="36" t="str">
        <f aca="false">IF($D928="","",IFERROR(INDEX('통합 ④ 설정'!$A$6:$A$40,MATCH($D928,'통합 ④ 설정'!$B$6:$B$40,0)),"※없는 과목"))</f>
        <v/>
      </c>
      <c r="F928" s="36" t="str">
        <f aca="false">IF($D928="","",IFERROR(INDEX('통합 ④ 설정'!$C$6:$C$40,MATCH($D928,'통합 ④ 설정'!$B$6:$B$40,0)),""))</f>
        <v/>
      </c>
      <c r="G928" s="39"/>
      <c r="H928" s="39"/>
      <c r="I928" s="40"/>
      <c r="J928" s="41"/>
      <c r="K928" s="38"/>
      <c r="L928" s="42" t="str">
        <f aca="false">IF($B928="","",IF(AND(N($I928)=0,N($J928)=0),"금액이 없습니다",IF(AND($I928&gt;0,$J928&gt;0),"수입·지출 둘 다 적혔습니다",IF($C928="","결제수단을 고르십시오",IF(ISNA(MATCH($C928,'통합 ③ 통장·카드'!$A$5:$A$11,0)),"③ 통장·카드에 없는 결제수단입니다",IF($D928="","계정과목을 고르십시오",IF($E928="※없는 과목","④ 설정에 없는 과목입니다",IF(AND($E928="수입",$J928&gt;0),"수입 과목인데 지출에 적혔습니다",IF(AND(LEFT($E928,2)&lt;&gt;"수입",$E928&lt;&gt;"대체",$I928&gt;0),"지출 과목인데 수입에 적혔습니다",IF($K928="","증빙을 고르십시오",IF(AND($C928="바우처통장",$J928&gt;0,IFERROR(INDEX('통합 ④ 설정'!$E$6:$E$40,MATCH($D928,'통합 ④ 설정'!$B$6:$B$40,0)),"")&lt;&gt;"○"),"바우처통장 지출 — 목적 확인",IF($H928="","적요를 적으십시오",""))))))))))))</f>
        <v/>
      </c>
      <c r="M928" s="39"/>
      <c r="O928" s="11" t="str">
        <f aca="false">IF($B928="","",YEAR($B928)*100+MONTH($B928))</f>
        <v/>
      </c>
      <c r="P928" s="11" t="str">
        <f aca="false">IF($B928="","",IF($E928="대체",0,1))</f>
        <v/>
      </c>
    </row>
    <row r="929" customFormat="false" ht="15" hidden="false" customHeight="false" outlineLevel="0" collapsed="false">
      <c r="A929" s="36" t="str">
        <f aca="false">IF($B929="","",COUNT($B$15:$B929))</f>
        <v/>
      </c>
      <c r="B929" s="37"/>
      <c r="C929" s="38"/>
      <c r="D929" s="39"/>
      <c r="E929" s="36" t="str">
        <f aca="false">IF($D929="","",IFERROR(INDEX('통합 ④ 설정'!$A$6:$A$40,MATCH($D929,'통합 ④ 설정'!$B$6:$B$40,0)),"※없는 과목"))</f>
        <v/>
      </c>
      <c r="F929" s="36" t="str">
        <f aca="false">IF($D929="","",IFERROR(INDEX('통합 ④ 설정'!$C$6:$C$40,MATCH($D929,'통합 ④ 설정'!$B$6:$B$40,0)),""))</f>
        <v/>
      </c>
      <c r="G929" s="39"/>
      <c r="H929" s="39"/>
      <c r="I929" s="40"/>
      <c r="J929" s="41"/>
      <c r="K929" s="38"/>
      <c r="L929" s="42" t="str">
        <f aca="false">IF($B929="","",IF(AND(N($I929)=0,N($J929)=0),"금액이 없습니다",IF(AND($I929&gt;0,$J929&gt;0),"수입·지출 둘 다 적혔습니다",IF($C929="","결제수단을 고르십시오",IF(ISNA(MATCH($C929,'통합 ③ 통장·카드'!$A$5:$A$11,0)),"③ 통장·카드에 없는 결제수단입니다",IF($D929="","계정과목을 고르십시오",IF($E929="※없는 과목","④ 설정에 없는 과목입니다",IF(AND($E929="수입",$J929&gt;0),"수입 과목인데 지출에 적혔습니다",IF(AND(LEFT($E929,2)&lt;&gt;"수입",$E929&lt;&gt;"대체",$I929&gt;0),"지출 과목인데 수입에 적혔습니다",IF($K929="","증빙을 고르십시오",IF(AND($C929="바우처통장",$J929&gt;0,IFERROR(INDEX('통합 ④ 설정'!$E$6:$E$40,MATCH($D929,'통합 ④ 설정'!$B$6:$B$40,0)),"")&lt;&gt;"○"),"바우처통장 지출 — 목적 확인",IF($H929="","적요를 적으십시오",""))))))))))))</f>
        <v/>
      </c>
      <c r="M929" s="39"/>
      <c r="O929" s="11" t="str">
        <f aca="false">IF($B929="","",YEAR($B929)*100+MONTH($B929))</f>
        <v/>
      </c>
      <c r="P929" s="11" t="str">
        <f aca="false">IF($B929="","",IF($E929="대체",0,1))</f>
        <v/>
      </c>
    </row>
    <row r="930" customFormat="false" ht="15" hidden="false" customHeight="false" outlineLevel="0" collapsed="false">
      <c r="A930" s="36" t="str">
        <f aca="false">IF($B930="","",COUNT($B$15:$B930))</f>
        <v/>
      </c>
      <c r="B930" s="37"/>
      <c r="C930" s="38"/>
      <c r="D930" s="39"/>
      <c r="E930" s="36" t="str">
        <f aca="false">IF($D930="","",IFERROR(INDEX('통합 ④ 설정'!$A$6:$A$40,MATCH($D930,'통합 ④ 설정'!$B$6:$B$40,0)),"※없는 과목"))</f>
        <v/>
      </c>
      <c r="F930" s="36" t="str">
        <f aca="false">IF($D930="","",IFERROR(INDEX('통합 ④ 설정'!$C$6:$C$40,MATCH($D930,'통합 ④ 설정'!$B$6:$B$40,0)),""))</f>
        <v/>
      </c>
      <c r="G930" s="39"/>
      <c r="H930" s="39"/>
      <c r="I930" s="40"/>
      <c r="J930" s="41"/>
      <c r="K930" s="38"/>
      <c r="L930" s="42" t="str">
        <f aca="false">IF($B930="","",IF(AND(N($I930)=0,N($J930)=0),"금액이 없습니다",IF(AND($I930&gt;0,$J930&gt;0),"수입·지출 둘 다 적혔습니다",IF($C930="","결제수단을 고르십시오",IF(ISNA(MATCH($C930,'통합 ③ 통장·카드'!$A$5:$A$11,0)),"③ 통장·카드에 없는 결제수단입니다",IF($D930="","계정과목을 고르십시오",IF($E930="※없는 과목","④ 설정에 없는 과목입니다",IF(AND($E930="수입",$J930&gt;0),"수입 과목인데 지출에 적혔습니다",IF(AND(LEFT($E930,2)&lt;&gt;"수입",$E930&lt;&gt;"대체",$I930&gt;0),"지출 과목인데 수입에 적혔습니다",IF($K930="","증빙을 고르십시오",IF(AND($C930="바우처통장",$J930&gt;0,IFERROR(INDEX('통합 ④ 설정'!$E$6:$E$40,MATCH($D930,'통합 ④ 설정'!$B$6:$B$40,0)),"")&lt;&gt;"○"),"바우처통장 지출 — 목적 확인",IF($H930="","적요를 적으십시오",""))))))))))))</f>
        <v/>
      </c>
      <c r="M930" s="39"/>
      <c r="O930" s="11" t="str">
        <f aca="false">IF($B930="","",YEAR($B930)*100+MONTH($B930))</f>
        <v/>
      </c>
      <c r="P930" s="11" t="str">
        <f aca="false">IF($B930="","",IF($E930="대체",0,1))</f>
        <v/>
      </c>
    </row>
    <row r="931" customFormat="false" ht="15" hidden="false" customHeight="false" outlineLevel="0" collapsed="false">
      <c r="A931" s="36" t="str">
        <f aca="false">IF($B931="","",COUNT($B$15:$B931))</f>
        <v/>
      </c>
      <c r="B931" s="37"/>
      <c r="C931" s="38"/>
      <c r="D931" s="39"/>
      <c r="E931" s="36" t="str">
        <f aca="false">IF($D931="","",IFERROR(INDEX('통합 ④ 설정'!$A$6:$A$40,MATCH($D931,'통합 ④ 설정'!$B$6:$B$40,0)),"※없는 과목"))</f>
        <v/>
      </c>
      <c r="F931" s="36" t="str">
        <f aca="false">IF($D931="","",IFERROR(INDEX('통합 ④ 설정'!$C$6:$C$40,MATCH($D931,'통합 ④ 설정'!$B$6:$B$40,0)),""))</f>
        <v/>
      </c>
      <c r="G931" s="39"/>
      <c r="H931" s="39"/>
      <c r="I931" s="40"/>
      <c r="J931" s="41"/>
      <c r="K931" s="38"/>
      <c r="L931" s="42" t="str">
        <f aca="false">IF($B931="","",IF(AND(N($I931)=0,N($J931)=0),"금액이 없습니다",IF(AND($I931&gt;0,$J931&gt;0),"수입·지출 둘 다 적혔습니다",IF($C931="","결제수단을 고르십시오",IF(ISNA(MATCH($C931,'통합 ③ 통장·카드'!$A$5:$A$11,0)),"③ 통장·카드에 없는 결제수단입니다",IF($D931="","계정과목을 고르십시오",IF($E931="※없는 과목","④ 설정에 없는 과목입니다",IF(AND($E931="수입",$J931&gt;0),"수입 과목인데 지출에 적혔습니다",IF(AND(LEFT($E931,2)&lt;&gt;"수입",$E931&lt;&gt;"대체",$I931&gt;0),"지출 과목인데 수입에 적혔습니다",IF($K931="","증빙을 고르십시오",IF(AND($C931="바우처통장",$J931&gt;0,IFERROR(INDEX('통합 ④ 설정'!$E$6:$E$40,MATCH($D931,'통합 ④ 설정'!$B$6:$B$40,0)),"")&lt;&gt;"○"),"바우처통장 지출 — 목적 확인",IF($H931="","적요를 적으십시오",""))))))))))))</f>
        <v/>
      </c>
      <c r="M931" s="39"/>
      <c r="O931" s="11" t="str">
        <f aca="false">IF($B931="","",YEAR($B931)*100+MONTH($B931))</f>
        <v/>
      </c>
      <c r="P931" s="11" t="str">
        <f aca="false">IF($B931="","",IF($E931="대체",0,1))</f>
        <v/>
      </c>
    </row>
    <row r="932" customFormat="false" ht="15" hidden="false" customHeight="false" outlineLevel="0" collapsed="false">
      <c r="A932" s="36" t="str">
        <f aca="false">IF($B932="","",COUNT($B$15:$B932))</f>
        <v/>
      </c>
      <c r="B932" s="37"/>
      <c r="C932" s="38"/>
      <c r="D932" s="39"/>
      <c r="E932" s="36" t="str">
        <f aca="false">IF($D932="","",IFERROR(INDEX('통합 ④ 설정'!$A$6:$A$40,MATCH($D932,'통합 ④ 설정'!$B$6:$B$40,0)),"※없는 과목"))</f>
        <v/>
      </c>
      <c r="F932" s="36" t="str">
        <f aca="false">IF($D932="","",IFERROR(INDEX('통합 ④ 설정'!$C$6:$C$40,MATCH($D932,'통합 ④ 설정'!$B$6:$B$40,0)),""))</f>
        <v/>
      </c>
      <c r="G932" s="39"/>
      <c r="H932" s="39"/>
      <c r="I932" s="40"/>
      <c r="J932" s="41"/>
      <c r="K932" s="38"/>
      <c r="L932" s="42" t="str">
        <f aca="false">IF($B932="","",IF(AND(N($I932)=0,N($J932)=0),"금액이 없습니다",IF(AND($I932&gt;0,$J932&gt;0),"수입·지출 둘 다 적혔습니다",IF($C932="","결제수단을 고르십시오",IF(ISNA(MATCH($C932,'통합 ③ 통장·카드'!$A$5:$A$11,0)),"③ 통장·카드에 없는 결제수단입니다",IF($D932="","계정과목을 고르십시오",IF($E932="※없는 과목","④ 설정에 없는 과목입니다",IF(AND($E932="수입",$J932&gt;0),"수입 과목인데 지출에 적혔습니다",IF(AND(LEFT($E932,2)&lt;&gt;"수입",$E932&lt;&gt;"대체",$I932&gt;0),"지출 과목인데 수입에 적혔습니다",IF($K932="","증빙을 고르십시오",IF(AND($C932="바우처통장",$J932&gt;0,IFERROR(INDEX('통합 ④ 설정'!$E$6:$E$40,MATCH($D932,'통합 ④ 설정'!$B$6:$B$40,0)),"")&lt;&gt;"○"),"바우처통장 지출 — 목적 확인",IF($H932="","적요를 적으십시오",""))))))))))))</f>
        <v/>
      </c>
      <c r="M932" s="39"/>
      <c r="O932" s="11" t="str">
        <f aca="false">IF($B932="","",YEAR($B932)*100+MONTH($B932))</f>
        <v/>
      </c>
      <c r="P932" s="11" t="str">
        <f aca="false">IF($B932="","",IF($E932="대체",0,1))</f>
        <v/>
      </c>
    </row>
    <row r="933" customFormat="false" ht="15" hidden="false" customHeight="false" outlineLevel="0" collapsed="false">
      <c r="A933" s="36" t="str">
        <f aca="false">IF($B933="","",COUNT($B$15:$B933))</f>
        <v/>
      </c>
      <c r="B933" s="37"/>
      <c r="C933" s="38"/>
      <c r="D933" s="39"/>
      <c r="E933" s="36" t="str">
        <f aca="false">IF($D933="","",IFERROR(INDEX('통합 ④ 설정'!$A$6:$A$40,MATCH($D933,'통합 ④ 설정'!$B$6:$B$40,0)),"※없는 과목"))</f>
        <v/>
      </c>
      <c r="F933" s="36" t="str">
        <f aca="false">IF($D933="","",IFERROR(INDEX('통합 ④ 설정'!$C$6:$C$40,MATCH($D933,'통합 ④ 설정'!$B$6:$B$40,0)),""))</f>
        <v/>
      </c>
      <c r="G933" s="39"/>
      <c r="H933" s="39"/>
      <c r="I933" s="40"/>
      <c r="J933" s="41"/>
      <c r="K933" s="38"/>
      <c r="L933" s="42" t="str">
        <f aca="false">IF($B933="","",IF(AND(N($I933)=0,N($J933)=0),"금액이 없습니다",IF(AND($I933&gt;0,$J933&gt;0),"수입·지출 둘 다 적혔습니다",IF($C933="","결제수단을 고르십시오",IF(ISNA(MATCH($C933,'통합 ③ 통장·카드'!$A$5:$A$11,0)),"③ 통장·카드에 없는 결제수단입니다",IF($D933="","계정과목을 고르십시오",IF($E933="※없는 과목","④ 설정에 없는 과목입니다",IF(AND($E933="수입",$J933&gt;0),"수입 과목인데 지출에 적혔습니다",IF(AND(LEFT($E933,2)&lt;&gt;"수입",$E933&lt;&gt;"대체",$I933&gt;0),"지출 과목인데 수입에 적혔습니다",IF($K933="","증빙을 고르십시오",IF(AND($C933="바우처통장",$J933&gt;0,IFERROR(INDEX('통합 ④ 설정'!$E$6:$E$40,MATCH($D933,'통합 ④ 설정'!$B$6:$B$40,0)),"")&lt;&gt;"○"),"바우처통장 지출 — 목적 확인",IF($H933="","적요를 적으십시오",""))))))))))))</f>
        <v/>
      </c>
      <c r="M933" s="39"/>
      <c r="O933" s="11" t="str">
        <f aca="false">IF($B933="","",YEAR($B933)*100+MONTH($B933))</f>
        <v/>
      </c>
      <c r="P933" s="11" t="str">
        <f aca="false">IF($B933="","",IF($E933="대체",0,1))</f>
        <v/>
      </c>
    </row>
    <row r="934" customFormat="false" ht="15" hidden="false" customHeight="false" outlineLevel="0" collapsed="false">
      <c r="A934" s="36" t="str">
        <f aca="false">IF($B934="","",COUNT($B$15:$B934))</f>
        <v/>
      </c>
      <c r="B934" s="37"/>
      <c r="C934" s="38"/>
      <c r="D934" s="39"/>
      <c r="E934" s="36" t="str">
        <f aca="false">IF($D934="","",IFERROR(INDEX('통합 ④ 설정'!$A$6:$A$40,MATCH($D934,'통합 ④ 설정'!$B$6:$B$40,0)),"※없는 과목"))</f>
        <v/>
      </c>
      <c r="F934" s="36" t="str">
        <f aca="false">IF($D934="","",IFERROR(INDEX('통합 ④ 설정'!$C$6:$C$40,MATCH($D934,'통합 ④ 설정'!$B$6:$B$40,0)),""))</f>
        <v/>
      </c>
      <c r="G934" s="39"/>
      <c r="H934" s="39"/>
      <c r="I934" s="40"/>
      <c r="J934" s="41"/>
      <c r="K934" s="38"/>
      <c r="L934" s="42" t="str">
        <f aca="false">IF($B934="","",IF(AND(N($I934)=0,N($J934)=0),"금액이 없습니다",IF(AND($I934&gt;0,$J934&gt;0),"수입·지출 둘 다 적혔습니다",IF($C934="","결제수단을 고르십시오",IF(ISNA(MATCH($C934,'통합 ③ 통장·카드'!$A$5:$A$11,0)),"③ 통장·카드에 없는 결제수단입니다",IF($D934="","계정과목을 고르십시오",IF($E934="※없는 과목","④ 설정에 없는 과목입니다",IF(AND($E934="수입",$J934&gt;0),"수입 과목인데 지출에 적혔습니다",IF(AND(LEFT($E934,2)&lt;&gt;"수입",$E934&lt;&gt;"대체",$I934&gt;0),"지출 과목인데 수입에 적혔습니다",IF($K934="","증빙을 고르십시오",IF(AND($C934="바우처통장",$J934&gt;0,IFERROR(INDEX('통합 ④ 설정'!$E$6:$E$40,MATCH($D934,'통합 ④ 설정'!$B$6:$B$40,0)),"")&lt;&gt;"○"),"바우처통장 지출 — 목적 확인",IF($H934="","적요를 적으십시오",""))))))))))))</f>
        <v/>
      </c>
      <c r="M934" s="39"/>
      <c r="O934" s="11" t="str">
        <f aca="false">IF($B934="","",YEAR($B934)*100+MONTH($B934))</f>
        <v/>
      </c>
      <c r="P934" s="11" t="str">
        <f aca="false">IF($B934="","",IF($E934="대체",0,1))</f>
        <v/>
      </c>
    </row>
    <row r="935" customFormat="false" ht="15" hidden="false" customHeight="false" outlineLevel="0" collapsed="false">
      <c r="A935" s="36" t="str">
        <f aca="false">IF($B935="","",COUNT($B$15:$B935))</f>
        <v/>
      </c>
      <c r="B935" s="37"/>
      <c r="C935" s="38"/>
      <c r="D935" s="39"/>
      <c r="E935" s="36" t="str">
        <f aca="false">IF($D935="","",IFERROR(INDEX('통합 ④ 설정'!$A$6:$A$40,MATCH($D935,'통합 ④ 설정'!$B$6:$B$40,0)),"※없는 과목"))</f>
        <v/>
      </c>
      <c r="F935" s="36" t="str">
        <f aca="false">IF($D935="","",IFERROR(INDEX('통합 ④ 설정'!$C$6:$C$40,MATCH($D935,'통합 ④ 설정'!$B$6:$B$40,0)),""))</f>
        <v/>
      </c>
      <c r="G935" s="39"/>
      <c r="H935" s="39"/>
      <c r="I935" s="40"/>
      <c r="J935" s="41"/>
      <c r="K935" s="38"/>
      <c r="L935" s="42" t="str">
        <f aca="false">IF($B935="","",IF(AND(N($I935)=0,N($J935)=0),"금액이 없습니다",IF(AND($I935&gt;0,$J935&gt;0),"수입·지출 둘 다 적혔습니다",IF($C935="","결제수단을 고르십시오",IF(ISNA(MATCH($C935,'통합 ③ 통장·카드'!$A$5:$A$11,0)),"③ 통장·카드에 없는 결제수단입니다",IF($D935="","계정과목을 고르십시오",IF($E935="※없는 과목","④ 설정에 없는 과목입니다",IF(AND($E935="수입",$J935&gt;0),"수입 과목인데 지출에 적혔습니다",IF(AND(LEFT($E935,2)&lt;&gt;"수입",$E935&lt;&gt;"대체",$I935&gt;0),"지출 과목인데 수입에 적혔습니다",IF($K935="","증빙을 고르십시오",IF(AND($C935="바우처통장",$J935&gt;0,IFERROR(INDEX('통합 ④ 설정'!$E$6:$E$40,MATCH($D935,'통합 ④ 설정'!$B$6:$B$40,0)),"")&lt;&gt;"○"),"바우처통장 지출 — 목적 확인",IF($H935="","적요를 적으십시오",""))))))))))))</f>
        <v/>
      </c>
      <c r="M935" s="39"/>
      <c r="O935" s="11" t="str">
        <f aca="false">IF($B935="","",YEAR($B935)*100+MONTH($B935))</f>
        <v/>
      </c>
      <c r="P935" s="11" t="str">
        <f aca="false">IF($B935="","",IF($E935="대체",0,1))</f>
        <v/>
      </c>
    </row>
    <row r="936" customFormat="false" ht="15" hidden="false" customHeight="false" outlineLevel="0" collapsed="false">
      <c r="A936" s="36" t="str">
        <f aca="false">IF($B936="","",COUNT($B$15:$B936))</f>
        <v/>
      </c>
      <c r="B936" s="37"/>
      <c r="C936" s="38"/>
      <c r="D936" s="39"/>
      <c r="E936" s="36" t="str">
        <f aca="false">IF($D936="","",IFERROR(INDEX('통합 ④ 설정'!$A$6:$A$40,MATCH($D936,'통합 ④ 설정'!$B$6:$B$40,0)),"※없는 과목"))</f>
        <v/>
      </c>
      <c r="F936" s="36" t="str">
        <f aca="false">IF($D936="","",IFERROR(INDEX('통합 ④ 설정'!$C$6:$C$40,MATCH($D936,'통합 ④ 설정'!$B$6:$B$40,0)),""))</f>
        <v/>
      </c>
      <c r="G936" s="39"/>
      <c r="H936" s="39"/>
      <c r="I936" s="40"/>
      <c r="J936" s="41"/>
      <c r="K936" s="38"/>
      <c r="L936" s="42" t="str">
        <f aca="false">IF($B936="","",IF(AND(N($I936)=0,N($J936)=0),"금액이 없습니다",IF(AND($I936&gt;0,$J936&gt;0),"수입·지출 둘 다 적혔습니다",IF($C936="","결제수단을 고르십시오",IF(ISNA(MATCH($C936,'통합 ③ 통장·카드'!$A$5:$A$11,0)),"③ 통장·카드에 없는 결제수단입니다",IF($D936="","계정과목을 고르십시오",IF($E936="※없는 과목","④ 설정에 없는 과목입니다",IF(AND($E936="수입",$J936&gt;0),"수입 과목인데 지출에 적혔습니다",IF(AND(LEFT($E936,2)&lt;&gt;"수입",$E936&lt;&gt;"대체",$I936&gt;0),"지출 과목인데 수입에 적혔습니다",IF($K936="","증빙을 고르십시오",IF(AND($C936="바우처통장",$J936&gt;0,IFERROR(INDEX('통합 ④ 설정'!$E$6:$E$40,MATCH($D936,'통합 ④ 설정'!$B$6:$B$40,0)),"")&lt;&gt;"○"),"바우처통장 지출 — 목적 확인",IF($H936="","적요를 적으십시오",""))))))))))))</f>
        <v/>
      </c>
      <c r="M936" s="39"/>
      <c r="O936" s="11" t="str">
        <f aca="false">IF($B936="","",YEAR($B936)*100+MONTH($B936))</f>
        <v/>
      </c>
      <c r="P936" s="11" t="str">
        <f aca="false">IF($B936="","",IF($E936="대체",0,1))</f>
        <v/>
      </c>
    </row>
    <row r="937" customFormat="false" ht="15" hidden="false" customHeight="false" outlineLevel="0" collapsed="false">
      <c r="A937" s="36" t="str">
        <f aca="false">IF($B937="","",COUNT($B$15:$B937))</f>
        <v/>
      </c>
      <c r="B937" s="37"/>
      <c r="C937" s="38"/>
      <c r="D937" s="39"/>
      <c r="E937" s="36" t="str">
        <f aca="false">IF($D937="","",IFERROR(INDEX('통합 ④ 설정'!$A$6:$A$40,MATCH($D937,'통합 ④ 설정'!$B$6:$B$40,0)),"※없는 과목"))</f>
        <v/>
      </c>
      <c r="F937" s="36" t="str">
        <f aca="false">IF($D937="","",IFERROR(INDEX('통합 ④ 설정'!$C$6:$C$40,MATCH($D937,'통합 ④ 설정'!$B$6:$B$40,0)),""))</f>
        <v/>
      </c>
      <c r="G937" s="39"/>
      <c r="H937" s="39"/>
      <c r="I937" s="40"/>
      <c r="J937" s="41"/>
      <c r="K937" s="38"/>
      <c r="L937" s="42" t="str">
        <f aca="false">IF($B937="","",IF(AND(N($I937)=0,N($J937)=0),"금액이 없습니다",IF(AND($I937&gt;0,$J937&gt;0),"수입·지출 둘 다 적혔습니다",IF($C937="","결제수단을 고르십시오",IF(ISNA(MATCH($C937,'통합 ③ 통장·카드'!$A$5:$A$11,0)),"③ 통장·카드에 없는 결제수단입니다",IF($D937="","계정과목을 고르십시오",IF($E937="※없는 과목","④ 설정에 없는 과목입니다",IF(AND($E937="수입",$J937&gt;0),"수입 과목인데 지출에 적혔습니다",IF(AND(LEFT($E937,2)&lt;&gt;"수입",$E937&lt;&gt;"대체",$I937&gt;0),"지출 과목인데 수입에 적혔습니다",IF($K937="","증빙을 고르십시오",IF(AND($C937="바우처통장",$J937&gt;0,IFERROR(INDEX('통합 ④ 설정'!$E$6:$E$40,MATCH($D937,'통합 ④ 설정'!$B$6:$B$40,0)),"")&lt;&gt;"○"),"바우처통장 지출 — 목적 확인",IF($H937="","적요를 적으십시오",""))))))))))))</f>
        <v/>
      </c>
      <c r="M937" s="39"/>
      <c r="O937" s="11" t="str">
        <f aca="false">IF($B937="","",YEAR($B937)*100+MONTH($B937))</f>
        <v/>
      </c>
      <c r="P937" s="11" t="str">
        <f aca="false">IF($B937="","",IF($E937="대체",0,1))</f>
        <v/>
      </c>
    </row>
    <row r="938" customFormat="false" ht="15" hidden="false" customHeight="false" outlineLevel="0" collapsed="false">
      <c r="A938" s="36" t="str">
        <f aca="false">IF($B938="","",COUNT($B$15:$B938))</f>
        <v/>
      </c>
      <c r="B938" s="37"/>
      <c r="C938" s="38"/>
      <c r="D938" s="39"/>
      <c r="E938" s="36" t="str">
        <f aca="false">IF($D938="","",IFERROR(INDEX('통합 ④ 설정'!$A$6:$A$40,MATCH($D938,'통합 ④ 설정'!$B$6:$B$40,0)),"※없는 과목"))</f>
        <v/>
      </c>
      <c r="F938" s="36" t="str">
        <f aca="false">IF($D938="","",IFERROR(INDEX('통합 ④ 설정'!$C$6:$C$40,MATCH($D938,'통합 ④ 설정'!$B$6:$B$40,0)),""))</f>
        <v/>
      </c>
      <c r="G938" s="39"/>
      <c r="H938" s="39"/>
      <c r="I938" s="40"/>
      <c r="J938" s="41"/>
      <c r="K938" s="38"/>
      <c r="L938" s="42" t="str">
        <f aca="false">IF($B938="","",IF(AND(N($I938)=0,N($J938)=0),"금액이 없습니다",IF(AND($I938&gt;0,$J938&gt;0),"수입·지출 둘 다 적혔습니다",IF($C938="","결제수단을 고르십시오",IF(ISNA(MATCH($C938,'통합 ③ 통장·카드'!$A$5:$A$11,0)),"③ 통장·카드에 없는 결제수단입니다",IF($D938="","계정과목을 고르십시오",IF($E938="※없는 과목","④ 설정에 없는 과목입니다",IF(AND($E938="수입",$J938&gt;0),"수입 과목인데 지출에 적혔습니다",IF(AND(LEFT($E938,2)&lt;&gt;"수입",$E938&lt;&gt;"대체",$I938&gt;0),"지출 과목인데 수입에 적혔습니다",IF($K938="","증빙을 고르십시오",IF(AND($C938="바우처통장",$J938&gt;0,IFERROR(INDEX('통합 ④ 설정'!$E$6:$E$40,MATCH($D938,'통합 ④ 설정'!$B$6:$B$40,0)),"")&lt;&gt;"○"),"바우처통장 지출 — 목적 확인",IF($H938="","적요를 적으십시오",""))))))))))))</f>
        <v/>
      </c>
      <c r="M938" s="39"/>
      <c r="O938" s="11" t="str">
        <f aca="false">IF($B938="","",YEAR($B938)*100+MONTH($B938))</f>
        <v/>
      </c>
      <c r="P938" s="11" t="str">
        <f aca="false">IF($B938="","",IF($E938="대체",0,1))</f>
        <v/>
      </c>
    </row>
    <row r="939" customFormat="false" ht="15" hidden="false" customHeight="false" outlineLevel="0" collapsed="false">
      <c r="A939" s="36" t="str">
        <f aca="false">IF($B939="","",COUNT($B$15:$B939))</f>
        <v/>
      </c>
      <c r="B939" s="37"/>
      <c r="C939" s="38"/>
      <c r="D939" s="39"/>
      <c r="E939" s="36" t="str">
        <f aca="false">IF($D939="","",IFERROR(INDEX('통합 ④ 설정'!$A$6:$A$40,MATCH($D939,'통합 ④ 설정'!$B$6:$B$40,0)),"※없는 과목"))</f>
        <v/>
      </c>
      <c r="F939" s="36" t="str">
        <f aca="false">IF($D939="","",IFERROR(INDEX('통합 ④ 설정'!$C$6:$C$40,MATCH($D939,'통합 ④ 설정'!$B$6:$B$40,0)),""))</f>
        <v/>
      </c>
      <c r="G939" s="39"/>
      <c r="H939" s="39"/>
      <c r="I939" s="40"/>
      <c r="J939" s="41"/>
      <c r="K939" s="38"/>
      <c r="L939" s="42" t="str">
        <f aca="false">IF($B939="","",IF(AND(N($I939)=0,N($J939)=0),"금액이 없습니다",IF(AND($I939&gt;0,$J939&gt;0),"수입·지출 둘 다 적혔습니다",IF($C939="","결제수단을 고르십시오",IF(ISNA(MATCH($C939,'통합 ③ 통장·카드'!$A$5:$A$11,0)),"③ 통장·카드에 없는 결제수단입니다",IF($D939="","계정과목을 고르십시오",IF($E939="※없는 과목","④ 설정에 없는 과목입니다",IF(AND($E939="수입",$J939&gt;0),"수입 과목인데 지출에 적혔습니다",IF(AND(LEFT($E939,2)&lt;&gt;"수입",$E939&lt;&gt;"대체",$I939&gt;0),"지출 과목인데 수입에 적혔습니다",IF($K939="","증빙을 고르십시오",IF(AND($C939="바우처통장",$J939&gt;0,IFERROR(INDEX('통합 ④ 설정'!$E$6:$E$40,MATCH($D939,'통합 ④ 설정'!$B$6:$B$40,0)),"")&lt;&gt;"○"),"바우처통장 지출 — 목적 확인",IF($H939="","적요를 적으십시오",""))))))))))))</f>
        <v/>
      </c>
      <c r="M939" s="39"/>
      <c r="O939" s="11" t="str">
        <f aca="false">IF($B939="","",YEAR($B939)*100+MONTH($B939))</f>
        <v/>
      </c>
      <c r="P939" s="11" t="str">
        <f aca="false">IF($B939="","",IF($E939="대체",0,1))</f>
        <v/>
      </c>
    </row>
    <row r="940" customFormat="false" ht="15" hidden="false" customHeight="false" outlineLevel="0" collapsed="false">
      <c r="A940" s="36" t="str">
        <f aca="false">IF($B940="","",COUNT($B$15:$B940))</f>
        <v/>
      </c>
      <c r="B940" s="37"/>
      <c r="C940" s="38"/>
      <c r="D940" s="39"/>
      <c r="E940" s="36" t="str">
        <f aca="false">IF($D940="","",IFERROR(INDEX('통합 ④ 설정'!$A$6:$A$40,MATCH($D940,'통합 ④ 설정'!$B$6:$B$40,0)),"※없는 과목"))</f>
        <v/>
      </c>
      <c r="F940" s="36" t="str">
        <f aca="false">IF($D940="","",IFERROR(INDEX('통합 ④ 설정'!$C$6:$C$40,MATCH($D940,'통합 ④ 설정'!$B$6:$B$40,0)),""))</f>
        <v/>
      </c>
      <c r="G940" s="39"/>
      <c r="H940" s="39"/>
      <c r="I940" s="40"/>
      <c r="J940" s="41"/>
      <c r="K940" s="38"/>
      <c r="L940" s="42" t="str">
        <f aca="false">IF($B940="","",IF(AND(N($I940)=0,N($J940)=0),"금액이 없습니다",IF(AND($I940&gt;0,$J940&gt;0),"수입·지출 둘 다 적혔습니다",IF($C940="","결제수단을 고르십시오",IF(ISNA(MATCH($C940,'통합 ③ 통장·카드'!$A$5:$A$11,0)),"③ 통장·카드에 없는 결제수단입니다",IF($D940="","계정과목을 고르십시오",IF($E940="※없는 과목","④ 설정에 없는 과목입니다",IF(AND($E940="수입",$J940&gt;0),"수입 과목인데 지출에 적혔습니다",IF(AND(LEFT($E940,2)&lt;&gt;"수입",$E940&lt;&gt;"대체",$I940&gt;0),"지출 과목인데 수입에 적혔습니다",IF($K940="","증빙을 고르십시오",IF(AND($C940="바우처통장",$J940&gt;0,IFERROR(INDEX('통합 ④ 설정'!$E$6:$E$40,MATCH($D940,'통합 ④ 설정'!$B$6:$B$40,0)),"")&lt;&gt;"○"),"바우처통장 지출 — 목적 확인",IF($H940="","적요를 적으십시오",""))))))))))))</f>
        <v/>
      </c>
      <c r="M940" s="39"/>
      <c r="O940" s="11" t="str">
        <f aca="false">IF($B940="","",YEAR($B940)*100+MONTH($B940))</f>
        <v/>
      </c>
      <c r="P940" s="11" t="str">
        <f aca="false">IF($B940="","",IF($E940="대체",0,1))</f>
        <v/>
      </c>
    </row>
    <row r="941" customFormat="false" ht="15" hidden="false" customHeight="false" outlineLevel="0" collapsed="false">
      <c r="A941" s="36" t="str">
        <f aca="false">IF($B941="","",COUNT($B$15:$B941))</f>
        <v/>
      </c>
      <c r="B941" s="37"/>
      <c r="C941" s="38"/>
      <c r="D941" s="39"/>
      <c r="E941" s="36" t="str">
        <f aca="false">IF($D941="","",IFERROR(INDEX('통합 ④ 설정'!$A$6:$A$40,MATCH($D941,'통합 ④ 설정'!$B$6:$B$40,0)),"※없는 과목"))</f>
        <v/>
      </c>
      <c r="F941" s="36" t="str">
        <f aca="false">IF($D941="","",IFERROR(INDEX('통합 ④ 설정'!$C$6:$C$40,MATCH($D941,'통합 ④ 설정'!$B$6:$B$40,0)),""))</f>
        <v/>
      </c>
      <c r="G941" s="39"/>
      <c r="H941" s="39"/>
      <c r="I941" s="40"/>
      <c r="J941" s="41"/>
      <c r="K941" s="38"/>
      <c r="L941" s="42" t="str">
        <f aca="false">IF($B941="","",IF(AND(N($I941)=0,N($J941)=0),"금액이 없습니다",IF(AND($I941&gt;0,$J941&gt;0),"수입·지출 둘 다 적혔습니다",IF($C941="","결제수단을 고르십시오",IF(ISNA(MATCH($C941,'통합 ③ 통장·카드'!$A$5:$A$11,0)),"③ 통장·카드에 없는 결제수단입니다",IF($D941="","계정과목을 고르십시오",IF($E941="※없는 과목","④ 설정에 없는 과목입니다",IF(AND($E941="수입",$J941&gt;0),"수입 과목인데 지출에 적혔습니다",IF(AND(LEFT($E941,2)&lt;&gt;"수입",$E941&lt;&gt;"대체",$I941&gt;0),"지출 과목인데 수입에 적혔습니다",IF($K941="","증빙을 고르십시오",IF(AND($C941="바우처통장",$J941&gt;0,IFERROR(INDEX('통합 ④ 설정'!$E$6:$E$40,MATCH($D941,'통합 ④ 설정'!$B$6:$B$40,0)),"")&lt;&gt;"○"),"바우처통장 지출 — 목적 확인",IF($H941="","적요를 적으십시오",""))))))))))))</f>
        <v/>
      </c>
      <c r="M941" s="39"/>
      <c r="O941" s="11" t="str">
        <f aca="false">IF($B941="","",YEAR($B941)*100+MONTH($B941))</f>
        <v/>
      </c>
      <c r="P941" s="11" t="str">
        <f aca="false">IF($B941="","",IF($E941="대체",0,1))</f>
        <v/>
      </c>
    </row>
    <row r="942" customFormat="false" ht="15" hidden="false" customHeight="false" outlineLevel="0" collapsed="false">
      <c r="A942" s="36" t="str">
        <f aca="false">IF($B942="","",COUNT($B$15:$B942))</f>
        <v/>
      </c>
      <c r="B942" s="37"/>
      <c r="C942" s="38"/>
      <c r="D942" s="39"/>
      <c r="E942" s="36" t="str">
        <f aca="false">IF($D942="","",IFERROR(INDEX('통합 ④ 설정'!$A$6:$A$40,MATCH($D942,'통합 ④ 설정'!$B$6:$B$40,0)),"※없는 과목"))</f>
        <v/>
      </c>
      <c r="F942" s="36" t="str">
        <f aca="false">IF($D942="","",IFERROR(INDEX('통합 ④ 설정'!$C$6:$C$40,MATCH($D942,'통합 ④ 설정'!$B$6:$B$40,0)),""))</f>
        <v/>
      </c>
      <c r="G942" s="39"/>
      <c r="H942" s="39"/>
      <c r="I942" s="40"/>
      <c r="J942" s="41"/>
      <c r="K942" s="38"/>
      <c r="L942" s="42" t="str">
        <f aca="false">IF($B942="","",IF(AND(N($I942)=0,N($J942)=0),"금액이 없습니다",IF(AND($I942&gt;0,$J942&gt;0),"수입·지출 둘 다 적혔습니다",IF($C942="","결제수단을 고르십시오",IF(ISNA(MATCH($C942,'통합 ③ 통장·카드'!$A$5:$A$11,0)),"③ 통장·카드에 없는 결제수단입니다",IF($D942="","계정과목을 고르십시오",IF($E942="※없는 과목","④ 설정에 없는 과목입니다",IF(AND($E942="수입",$J942&gt;0),"수입 과목인데 지출에 적혔습니다",IF(AND(LEFT($E942,2)&lt;&gt;"수입",$E942&lt;&gt;"대체",$I942&gt;0),"지출 과목인데 수입에 적혔습니다",IF($K942="","증빙을 고르십시오",IF(AND($C942="바우처통장",$J942&gt;0,IFERROR(INDEX('통합 ④ 설정'!$E$6:$E$40,MATCH($D942,'통합 ④ 설정'!$B$6:$B$40,0)),"")&lt;&gt;"○"),"바우처통장 지출 — 목적 확인",IF($H942="","적요를 적으십시오",""))))))))))))</f>
        <v/>
      </c>
      <c r="M942" s="39"/>
      <c r="O942" s="11" t="str">
        <f aca="false">IF($B942="","",YEAR($B942)*100+MONTH($B942))</f>
        <v/>
      </c>
      <c r="P942" s="11" t="str">
        <f aca="false">IF($B942="","",IF($E942="대체",0,1))</f>
        <v/>
      </c>
    </row>
    <row r="943" customFormat="false" ht="15" hidden="false" customHeight="false" outlineLevel="0" collapsed="false">
      <c r="A943" s="36" t="str">
        <f aca="false">IF($B943="","",COUNT($B$15:$B943))</f>
        <v/>
      </c>
      <c r="B943" s="37"/>
      <c r="C943" s="38"/>
      <c r="D943" s="39"/>
      <c r="E943" s="36" t="str">
        <f aca="false">IF($D943="","",IFERROR(INDEX('통합 ④ 설정'!$A$6:$A$40,MATCH($D943,'통합 ④ 설정'!$B$6:$B$40,0)),"※없는 과목"))</f>
        <v/>
      </c>
      <c r="F943" s="36" t="str">
        <f aca="false">IF($D943="","",IFERROR(INDEX('통합 ④ 설정'!$C$6:$C$40,MATCH($D943,'통합 ④ 설정'!$B$6:$B$40,0)),""))</f>
        <v/>
      </c>
      <c r="G943" s="39"/>
      <c r="H943" s="39"/>
      <c r="I943" s="40"/>
      <c r="J943" s="41"/>
      <c r="K943" s="38"/>
      <c r="L943" s="42" t="str">
        <f aca="false">IF($B943="","",IF(AND(N($I943)=0,N($J943)=0),"금액이 없습니다",IF(AND($I943&gt;0,$J943&gt;0),"수입·지출 둘 다 적혔습니다",IF($C943="","결제수단을 고르십시오",IF(ISNA(MATCH($C943,'통합 ③ 통장·카드'!$A$5:$A$11,0)),"③ 통장·카드에 없는 결제수단입니다",IF($D943="","계정과목을 고르십시오",IF($E943="※없는 과목","④ 설정에 없는 과목입니다",IF(AND($E943="수입",$J943&gt;0),"수입 과목인데 지출에 적혔습니다",IF(AND(LEFT($E943,2)&lt;&gt;"수입",$E943&lt;&gt;"대체",$I943&gt;0),"지출 과목인데 수입에 적혔습니다",IF($K943="","증빙을 고르십시오",IF(AND($C943="바우처통장",$J943&gt;0,IFERROR(INDEX('통합 ④ 설정'!$E$6:$E$40,MATCH($D943,'통합 ④ 설정'!$B$6:$B$40,0)),"")&lt;&gt;"○"),"바우처통장 지출 — 목적 확인",IF($H943="","적요를 적으십시오",""))))))))))))</f>
        <v/>
      </c>
      <c r="M943" s="39"/>
      <c r="O943" s="11" t="str">
        <f aca="false">IF($B943="","",YEAR($B943)*100+MONTH($B943))</f>
        <v/>
      </c>
      <c r="P943" s="11" t="str">
        <f aca="false">IF($B943="","",IF($E943="대체",0,1))</f>
        <v/>
      </c>
    </row>
    <row r="944" customFormat="false" ht="15" hidden="false" customHeight="false" outlineLevel="0" collapsed="false">
      <c r="A944" s="36" t="str">
        <f aca="false">IF($B944="","",COUNT($B$15:$B944))</f>
        <v/>
      </c>
      <c r="B944" s="37"/>
      <c r="C944" s="38"/>
      <c r="D944" s="39"/>
      <c r="E944" s="36" t="str">
        <f aca="false">IF($D944="","",IFERROR(INDEX('통합 ④ 설정'!$A$6:$A$40,MATCH($D944,'통합 ④ 설정'!$B$6:$B$40,0)),"※없는 과목"))</f>
        <v/>
      </c>
      <c r="F944" s="36" t="str">
        <f aca="false">IF($D944="","",IFERROR(INDEX('통합 ④ 설정'!$C$6:$C$40,MATCH($D944,'통합 ④ 설정'!$B$6:$B$40,0)),""))</f>
        <v/>
      </c>
      <c r="G944" s="39"/>
      <c r="H944" s="39"/>
      <c r="I944" s="40"/>
      <c r="J944" s="41"/>
      <c r="K944" s="38"/>
      <c r="L944" s="42" t="str">
        <f aca="false">IF($B944="","",IF(AND(N($I944)=0,N($J944)=0),"금액이 없습니다",IF(AND($I944&gt;0,$J944&gt;0),"수입·지출 둘 다 적혔습니다",IF($C944="","결제수단을 고르십시오",IF(ISNA(MATCH($C944,'통합 ③ 통장·카드'!$A$5:$A$11,0)),"③ 통장·카드에 없는 결제수단입니다",IF($D944="","계정과목을 고르십시오",IF($E944="※없는 과목","④ 설정에 없는 과목입니다",IF(AND($E944="수입",$J944&gt;0),"수입 과목인데 지출에 적혔습니다",IF(AND(LEFT($E944,2)&lt;&gt;"수입",$E944&lt;&gt;"대체",$I944&gt;0),"지출 과목인데 수입에 적혔습니다",IF($K944="","증빙을 고르십시오",IF(AND($C944="바우처통장",$J944&gt;0,IFERROR(INDEX('통합 ④ 설정'!$E$6:$E$40,MATCH($D944,'통합 ④ 설정'!$B$6:$B$40,0)),"")&lt;&gt;"○"),"바우처통장 지출 — 목적 확인",IF($H944="","적요를 적으십시오",""))))))))))))</f>
        <v/>
      </c>
      <c r="M944" s="39"/>
      <c r="O944" s="11" t="str">
        <f aca="false">IF($B944="","",YEAR($B944)*100+MONTH($B944))</f>
        <v/>
      </c>
      <c r="P944" s="11" t="str">
        <f aca="false">IF($B944="","",IF($E944="대체",0,1))</f>
        <v/>
      </c>
    </row>
    <row r="945" customFormat="false" ht="15" hidden="false" customHeight="false" outlineLevel="0" collapsed="false">
      <c r="A945" s="36" t="str">
        <f aca="false">IF($B945="","",COUNT($B$15:$B945))</f>
        <v/>
      </c>
      <c r="B945" s="37"/>
      <c r="C945" s="38"/>
      <c r="D945" s="39"/>
      <c r="E945" s="36" t="str">
        <f aca="false">IF($D945="","",IFERROR(INDEX('통합 ④ 설정'!$A$6:$A$40,MATCH($D945,'통합 ④ 설정'!$B$6:$B$40,0)),"※없는 과목"))</f>
        <v/>
      </c>
      <c r="F945" s="36" t="str">
        <f aca="false">IF($D945="","",IFERROR(INDEX('통합 ④ 설정'!$C$6:$C$40,MATCH($D945,'통합 ④ 설정'!$B$6:$B$40,0)),""))</f>
        <v/>
      </c>
      <c r="G945" s="39"/>
      <c r="H945" s="39"/>
      <c r="I945" s="40"/>
      <c r="J945" s="41"/>
      <c r="K945" s="38"/>
      <c r="L945" s="42" t="str">
        <f aca="false">IF($B945="","",IF(AND(N($I945)=0,N($J945)=0),"금액이 없습니다",IF(AND($I945&gt;0,$J945&gt;0),"수입·지출 둘 다 적혔습니다",IF($C945="","결제수단을 고르십시오",IF(ISNA(MATCH($C945,'통합 ③ 통장·카드'!$A$5:$A$11,0)),"③ 통장·카드에 없는 결제수단입니다",IF($D945="","계정과목을 고르십시오",IF($E945="※없는 과목","④ 설정에 없는 과목입니다",IF(AND($E945="수입",$J945&gt;0),"수입 과목인데 지출에 적혔습니다",IF(AND(LEFT($E945,2)&lt;&gt;"수입",$E945&lt;&gt;"대체",$I945&gt;0),"지출 과목인데 수입에 적혔습니다",IF($K945="","증빙을 고르십시오",IF(AND($C945="바우처통장",$J945&gt;0,IFERROR(INDEX('통합 ④ 설정'!$E$6:$E$40,MATCH($D945,'통합 ④ 설정'!$B$6:$B$40,0)),"")&lt;&gt;"○"),"바우처통장 지출 — 목적 확인",IF($H945="","적요를 적으십시오",""))))))))))))</f>
        <v/>
      </c>
      <c r="M945" s="39"/>
      <c r="O945" s="11" t="str">
        <f aca="false">IF($B945="","",YEAR($B945)*100+MONTH($B945))</f>
        <v/>
      </c>
      <c r="P945" s="11" t="str">
        <f aca="false">IF($B945="","",IF($E945="대체",0,1))</f>
        <v/>
      </c>
    </row>
    <row r="946" customFormat="false" ht="15" hidden="false" customHeight="false" outlineLevel="0" collapsed="false">
      <c r="A946" s="36" t="str">
        <f aca="false">IF($B946="","",COUNT($B$15:$B946))</f>
        <v/>
      </c>
      <c r="B946" s="37"/>
      <c r="C946" s="38"/>
      <c r="D946" s="39"/>
      <c r="E946" s="36" t="str">
        <f aca="false">IF($D946="","",IFERROR(INDEX('통합 ④ 설정'!$A$6:$A$40,MATCH($D946,'통합 ④ 설정'!$B$6:$B$40,0)),"※없는 과목"))</f>
        <v/>
      </c>
      <c r="F946" s="36" t="str">
        <f aca="false">IF($D946="","",IFERROR(INDEX('통합 ④ 설정'!$C$6:$C$40,MATCH($D946,'통합 ④ 설정'!$B$6:$B$40,0)),""))</f>
        <v/>
      </c>
      <c r="G946" s="39"/>
      <c r="H946" s="39"/>
      <c r="I946" s="40"/>
      <c r="J946" s="41"/>
      <c r="K946" s="38"/>
      <c r="L946" s="42" t="str">
        <f aca="false">IF($B946="","",IF(AND(N($I946)=0,N($J946)=0),"금액이 없습니다",IF(AND($I946&gt;0,$J946&gt;0),"수입·지출 둘 다 적혔습니다",IF($C946="","결제수단을 고르십시오",IF(ISNA(MATCH($C946,'통합 ③ 통장·카드'!$A$5:$A$11,0)),"③ 통장·카드에 없는 결제수단입니다",IF($D946="","계정과목을 고르십시오",IF($E946="※없는 과목","④ 설정에 없는 과목입니다",IF(AND($E946="수입",$J946&gt;0),"수입 과목인데 지출에 적혔습니다",IF(AND(LEFT($E946,2)&lt;&gt;"수입",$E946&lt;&gt;"대체",$I946&gt;0),"지출 과목인데 수입에 적혔습니다",IF($K946="","증빙을 고르십시오",IF(AND($C946="바우처통장",$J946&gt;0,IFERROR(INDEX('통합 ④ 설정'!$E$6:$E$40,MATCH($D946,'통합 ④ 설정'!$B$6:$B$40,0)),"")&lt;&gt;"○"),"바우처통장 지출 — 목적 확인",IF($H946="","적요를 적으십시오",""))))))))))))</f>
        <v/>
      </c>
      <c r="M946" s="39"/>
      <c r="O946" s="11" t="str">
        <f aca="false">IF($B946="","",YEAR($B946)*100+MONTH($B946))</f>
        <v/>
      </c>
      <c r="P946" s="11" t="str">
        <f aca="false">IF($B946="","",IF($E946="대체",0,1))</f>
        <v/>
      </c>
    </row>
    <row r="947" customFormat="false" ht="15" hidden="false" customHeight="false" outlineLevel="0" collapsed="false">
      <c r="A947" s="36" t="str">
        <f aca="false">IF($B947="","",COUNT($B$15:$B947))</f>
        <v/>
      </c>
      <c r="B947" s="37"/>
      <c r="C947" s="38"/>
      <c r="D947" s="39"/>
      <c r="E947" s="36" t="str">
        <f aca="false">IF($D947="","",IFERROR(INDEX('통합 ④ 설정'!$A$6:$A$40,MATCH($D947,'통합 ④ 설정'!$B$6:$B$40,0)),"※없는 과목"))</f>
        <v/>
      </c>
      <c r="F947" s="36" t="str">
        <f aca="false">IF($D947="","",IFERROR(INDEX('통합 ④ 설정'!$C$6:$C$40,MATCH($D947,'통합 ④ 설정'!$B$6:$B$40,0)),""))</f>
        <v/>
      </c>
      <c r="G947" s="39"/>
      <c r="H947" s="39"/>
      <c r="I947" s="40"/>
      <c r="J947" s="41"/>
      <c r="K947" s="38"/>
      <c r="L947" s="42" t="str">
        <f aca="false">IF($B947="","",IF(AND(N($I947)=0,N($J947)=0),"금액이 없습니다",IF(AND($I947&gt;0,$J947&gt;0),"수입·지출 둘 다 적혔습니다",IF($C947="","결제수단을 고르십시오",IF(ISNA(MATCH($C947,'통합 ③ 통장·카드'!$A$5:$A$11,0)),"③ 통장·카드에 없는 결제수단입니다",IF($D947="","계정과목을 고르십시오",IF($E947="※없는 과목","④ 설정에 없는 과목입니다",IF(AND($E947="수입",$J947&gt;0),"수입 과목인데 지출에 적혔습니다",IF(AND(LEFT($E947,2)&lt;&gt;"수입",$E947&lt;&gt;"대체",$I947&gt;0),"지출 과목인데 수입에 적혔습니다",IF($K947="","증빙을 고르십시오",IF(AND($C947="바우처통장",$J947&gt;0,IFERROR(INDEX('통합 ④ 설정'!$E$6:$E$40,MATCH($D947,'통합 ④ 설정'!$B$6:$B$40,0)),"")&lt;&gt;"○"),"바우처통장 지출 — 목적 확인",IF($H947="","적요를 적으십시오",""))))))))))))</f>
        <v/>
      </c>
      <c r="M947" s="39"/>
      <c r="O947" s="11" t="str">
        <f aca="false">IF($B947="","",YEAR($B947)*100+MONTH($B947))</f>
        <v/>
      </c>
      <c r="P947" s="11" t="str">
        <f aca="false">IF($B947="","",IF($E947="대체",0,1))</f>
        <v/>
      </c>
    </row>
    <row r="948" customFormat="false" ht="15" hidden="false" customHeight="false" outlineLevel="0" collapsed="false">
      <c r="A948" s="36" t="str">
        <f aca="false">IF($B948="","",COUNT($B$15:$B948))</f>
        <v/>
      </c>
      <c r="B948" s="37"/>
      <c r="C948" s="38"/>
      <c r="D948" s="39"/>
      <c r="E948" s="36" t="str">
        <f aca="false">IF($D948="","",IFERROR(INDEX('통합 ④ 설정'!$A$6:$A$40,MATCH($D948,'통합 ④ 설정'!$B$6:$B$40,0)),"※없는 과목"))</f>
        <v/>
      </c>
      <c r="F948" s="36" t="str">
        <f aca="false">IF($D948="","",IFERROR(INDEX('통합 ④ 설정'!$C$6:$C$40,MATCH($D948,'통합 ④ 설정'!$B$6:$B$40,0)),""))</f>
        <v/>
      </c>
      <c r="G948" s="39"/>
      <c r="H948" s="39"/>
      <c r="I948" s="40"/>
      <c r="J948" s="41"/>
      <c r="K948" s="38"/>
      <c r="L948" s="42" t="str">
        <f aca="false">IF($B948="","",IF(AND(N($I948)=0,N($J948)=0),"금액이 없습니다",IF(AND($I948&gt;0,$J948&gt;0),"수입·지출 둘 다 적혔습니다",IF($C948="","결제수단을 고르십시오",IF(ISNA(MATCH($C948,'통합 ③ 통장·카드'!$A$5:$A$11,0)),"③ 통장·카드에 없는 결제수단입니다",IF($D948="","계정과목을 고르십시오",IF($E948="※없는 과목","④ 설정에 없는 과목입니다",IF(AND($E948="수입",$J948&gt;0),"수입 과목인데 지출에 적혔습니다",IF(AND(LEFT($E948,2)&lt;&gt;"수입",$E948&lt;&gt;"대체",$I948&gt;0),"지출 과목인데 수입에 적혔습니다",IF($K948="","증빙을 고르십시오",IF(AND($C948="바우처통장",$J948&gt;0,IFERROR(INDEX('통합 ④ 설정'!$E$6:$E$40,MATCH($D948,'통합 ④ 설정'!$B$6:$B$40,0)),"")&lt;&gt;"○"),"바우처통장 지출 — 목적 확인",IF($H948="","적요를 적으십시오",""))))))))))))</f>
        <v/>
      </c>
      <c r="M948" s="39"/>
      <c r="O948" s="11" t="str">
        <f aca="false">IF($B948="","",YEAR($B948)*100+MONTH($B948))</f>
        <v/>
      </c>
      <c r="P948" s="11" t="str">
        <f aca="false">IF($B948="","",IF($E948="대체",0,1))</f>
        <v/>
      </c>
    </row>
    <row r="949" customFormat="false" ht="15" hidden="false" customHeight="false" outlineLevel="0" collapsed="false">
      <c r="A949" s="36" t="str">
        <f aca="false">IF($B949="","",COUNT($B$15:$B949))</f>
        <v/>
      </c>
      <c r="B949" s="37"/>
      <c r="C949" s="38"/>
      <c r="D949" s="39"/>
      <c r="E949" s="36" t="str">
        <f aca="false">IF($D949="","",IFERROR(INDEX('통합 ④ 설정'!$A$6:$A$40,MATCH($D949,'통합 ④ 설정'!$B$6:$B$40,0)),"※없는 과목"))</f>
        <v/>
      </c>
      <c r="F949" s="36" t="str">
        <f aca="false">IF($D949="","",IFERROR(INDEX('통합 ④ 설정'!$C$6:$C$40,MATCH($D949,'통합 ④ 설정'!$B$6:$B$40,0)),""))</f>
        <v/>
      </c>
      <c r="G949" s="39"/>
      <c r="H949" s="39"/>
      <c r="I949" s="40"/>
      <c r="J949" s="41"/>
      <c r="K949" s="38"/>
      <c r="L949" s="42" t="str">
        <f aca="false">IF($B949="","",IF(AND(N($I949)=0,N($J949)=0),"금액이 없습니다",IF(AND($I949&gt;0,$J949&gt;0),"수입·지출 둘 다 적혔습니다",IF($C949="","결제수단을 고르십시오",IF(ISNA(MATCH($C949,'통합 ③ 통장·카드'!$A$5:$A$11,0)),"③ 통장·카드에 없는 결제수단입니다",IF($D949="","계정과목을 고르십시오",IF($E949="※없는 과목","④ 설정에 없는 과목입니다",IF(AND($E949="수입",$J949&gt;0),"수입 과목인데 지출에 적혔습니다",IF(AND(LEFT($E949,2)&lt;&gt;"수입",$E949&lt;&gt;"대체",$I949&gt;0),"지출 과목인데 수입에 적혔습니다",IF($K949="","증빙을 고르십시오",IF(AND($C949="바우처통장",$J949&gt;0,IFERROR(INDEX('통합 ④ 설정'!$E$6:$E$40,MATCH($D949,'통합 ④ 설정'!$B$6:$B$40,0)),"")&lt;&gt;"○"),"바우처통장 지출 — 목적 확인",IF($H949="","적요를 적으십시오",""))))))))))))</f>
        <v/>
      </c>
      <c r="M949" s="39"/>
      <c r="O949" s="11" t="str">
        <f aca="false">IF($B949="","",YEAR($B949)*100+MONTH($B949))</f>
        <v/>
      </c>
      <c r="P949" s="11" t="str">
        <f aca="false">IF($B949="","",IF($E949="대체",0,1))</f>
        <v/>
      </c>
    </row>
    <row r="950" customFormat="false" ht="15" hidden="false" customHeight="false" outlineLevel="0" collapsed="false">
      <c r="A950" s="36" t="str">
        <f aca="false">IF($B950="","",COUNT($B$15:$B950))</f>
        <v/>
      </c>
      <c r="B950" s="37"/>
      <c r="C950" s="38"/>
      <c r="D950" s="39"/>
      <c r="E950" s="36" t="str">
        <f aca="false">IF($D950="","",IFERROR(INDEX('통합 ④ 설정'!$A$6:$A$40,MATCH($D950,'통합 ④ 설정'!$B$6:$B$40,0)),"※없는 과목"))</f>
        <v/>
      </c>
      <c r="F950" s="36" t="str">
        <f aca="false">IF($D950="","",IFERROR(INDEX('통합 ④ 설정'!$C$6:$C$40,MATCH($D950,'통합 ④ 설정'!$B$6:$B$40,0)),""))</f>
        <v/>
      </c>
      <c r="G950" s="39"/>
      <c r="H950" s="39"/>
      <c r="I950" s="40"/>
      <c r="J950" s="41"/>
      <c r="K950" s="38"/>
      <c r="L950" s="42" t="str">
        <f aca="false">IF($B950="","",IF(AND(N($I950)=0,N($J950)=0),"금액이 없습니다",IF(AND($I950&gt;0,$J950&gt;0),"수입·지출 둘 다 적혔습니다",IF($C950="","결제수단을 고르십시오",IF(ISNA(MATCH($C950,'통합 ③ 통장·카드'!$A$5:$A$11,0)),"③ 통장·카드에 없는 결제수단입니다",IF($D950="","계정과목을 고르십시오",IF($E950="※없는 과목","④ 설정에 없는 과목입니다",IF(AND($E950="수입",$J950&gt;0),"수입 과목인데 지출에 적혔습니다",IF(AND(LEFT($E950,2)&lt;&gt;"수입",$E950&lt;&gt;"대체",$I950&gt;0),"지출 과목인데 수입에 적혔습니다",IF($K950="","증빙을 고르십시오",IF(AND($C950="바우처통장",$J950&gt;0,IFERROR(INDEX('통합 ④ 설정'!$E$6:$E$40,MATCH($D950,'통합 ④ 설정'!$B$6:$B$40,0)),"")&lt;&gt;"○"),"바우처통장 지출 — 목적 확인",IF($H950="","적요를 적으십시오",""))))))))))))</f>
        <v/>
      </c>
      <c r="M950" s="39"/>
      <c r="O950" s="11" t="str">
        <f aca="false">IF($B950="","",YEAR($B950)*100+MONTH($B950))</f>
        <v/>
      </c>
      <c r="P950" s="11" t="str">
        <f aca="false">IF($B950="","",IF($E950="대체",0,1))</f>
        <v/>
      </c>
    </row>
    <row r="951" customFormat="false" ht="15" hidden="false" customHeight="false" outlineLevel="0" collapsed="false">
      <c r="A951" s="36" t="str">
        <f aca="false">IF($B951="","",COUNT($B$15:$B951))</f>
        <v/>
      </c>
      <c r="B951" s="37"/>
      <c r="C951" s="38"/>
      <c r="D951" s="39"/>
      <c r="E951" s="36" t="str">
        <f aca="false">IF($D951="","",IFERROR(INDEX('통합 ④ 설정'!$A$6:$A$40,MATCH($D951,'통합 ④ 설정'!$B$6:$B$40,0)),"※없는 과목"))</f>
        <v/>
      </c>
      <c r="F951" s="36" t="str">
        <f aca="false">IF($D951="","",IFERROR(INDEX('통합 ④ 설정'!$C$6:$C$40,MATCH($D951,'통합 ④ 설정'!$B$6:$B$40,0)),""))</f>
        <v/>
      </c>
      <c r="G951" s="39"/>
      <c r="H951" s="39"/>
      <c r="I951" s="40"/>
      <c r="J951" s="41"/>
      <c r="K951" s="38"/>
      <c r="L951" s="42" t="str">
        <f aca="false">IF($B951="","",IF(AND(N($I951)=0,N($J951)=0),"금액이 없습니다",IF(AND($I951&gt;0,$J951&gt;0),"수입·지출 둘 다 적혔습니다",IF($C951="","결제수단을 고르십시오",IF(ISNA(MATCH($C951,'통합 ③ 통장·카드'!$A$5:$A$11,0)),"③ 통장·카드에 없는 결제수단입니다",IF($D951="","계정과목을 고르십시오",IF($E951="※없는 과목","④ 설정에 없는 과목입니다",IF(AND($E951="수입",$J951&gt;0),"수입 과목인데 지출에 적혔습니다",IF(AND(LEFT($E951,2)&lt;&gt;"수입",$E951&lt;&gt;"대체",$I951&gt;0),"지출 과목인데 수입에 적혔습니다",IF($K951="","증빙을 고르십시오",IF(AND($C951="바우처통장",$J951&gt;0,IFERROR(INDEX('통합 ④ 설정'!$E$6:$E$40,MATCH($D951,'통합 ④ 설정'!$B$6:$B$40,0)),"")&lt;&gt;"○"),"바우처통장 지출 — 목적 확인",IF($H951="","적요를 적으십시오",""))))))))))))</f>
        <v/>
      </c>
      <c r="M951" s="39"/>
      <c r="O951" s="11" t="str">
        <f aca="false">IF($B951="","",YEAR($B951)*100+MONTH($B951))</f>
        <v/>
      </c>
      <c r="P951" s="11" t="str">
        <f aca="false">IF($B951="","",IF($E951="대체",0,1))</f>
        <v/>
      </c>
    </row>
    <row r="952" customFormat="false" ht="15" hidden="false" customHeight="false" outlineLevel="0" collapsed="false">
      <c r="A952" s="36" t="str">
        <f aca="false">IF($B952="","",COUNT($B$15:$B952))</f>
        <v/>
      </c>
      <c r="B952" s="37"/>
      <c r="C952" s="38"/>
      <c r="D952" s="39"/>
      <c r="E952" s="36" t="str">
        <f aca="false">IF($D952="","",IFERROR(INDEX('통합 ④ 설정'!$A$6:$A$40,MATCH($D952,'통합 ④ 설정'!$B$6:$B$40,0)),"※없는 과목"))</f>
        <v/>
      </c>
      <c r="F952" s="36" t="str">
        <f aca="false">IF($D952="","",IFERROR(INDEX('통합 ④ 설정'!$C$6:$C$40,MATCH($D952,'통합 ④ 설정'!$B$6:$B$40,0)),""))</f>
        <v/>
      </c>
      <c r="G952" s="39"/>
      <c r="H952" s="39"/>
      <c r="I952" s="40"/>
      <c r="J952" s="41"/>
      <c r="K952" s="38"/>
      <c r="L952" s="42" t="str">
        <f aca="false">IF($B952="","",IF(AND(N($I952)=0,N($J952)=0),"금액이 없습니다",IF(AND($I952&gt;0,$J952&gt;0),"수입·지출 둘 다 적혔습니다",IF($C952="","결제수단을 고르십시오",IF(ISNA(MATCH($C952,'통합 ③ 통장·카드'!$A$5:$A$11,0)),"③ 통장·카드에 없는 결제수단입니다",IF($D952="","계정과목을 고르십시오",IF($E952="※없는 과목","④ 설정에 없는 과목입니다",IF(AND($E952="수입",$J952&gt;0),"수입 과목인데 지출에 적혔습니다",IF(AND(LEFT($E952,2)&lt;&gt;"수입",$E952&lt;&gt;"대체",$I952&gt;0),"지출 과목인데 수입에 적혔습니다",IF($K952="","증빙을 고르십시오",IF(AND($C952="바우처통장",$J952&gt;0,IFERROR(INDEX('통합 ④ 설정'!$E$6:$E$40,MATCH($D952,'통합 ④ 설정'!$B$6:$B$40,0)),"")&lt;&gt;"○"),"바우처통장 지출 — 목적 확인",IF($H952="","적요를 적으십시오",""))))))))))))</f>
        <v/>
      </c>
      <c r="M952" s="39"/>
      <c r="O952" s="11" t="str">
        <f aca="false">IF($B952="","",YEAR($B952)*100+MONTH($B952))</f>
        <v/>
      </c>
      <c r="P952" s="11" t="str">
        <f aca="false">IF($B952="","",IF($E952="대체",0,1))</f>
        <v/>
      </c>
    </row>
    <row r="953" customFormat="false" ht="15" hidden="false" customHeight="false" outlineLevel="0" collapsed="false">
      <c r="A953" s="36" t="str">
        <f aca="false">IF($B953="","",COUNT($B$15:$B953))</f>
        <v/>
      </c>
      <c r="B953" s="37"/>
      <c r="C953" s="38"/>
      <c r="D953" s="39"/>
      <c r="E953" s="36" t="str">
        <f aca="false">IF($D953="","",IFERROR(INDEX('통합 ④ 설정'!$A$6:$A$40,MATCH($D953,'통합 ④ 설정'!$B$6:$B$40,0)),"※없는 과목"))</f>
        <v/>
      </c>
      <c r="F953" s="36" t="str">
        <f aca="false">IF($D953="","",IFERROR(INDEX('통합 ④ 설정'!$C$6:$C$40,MATCH($D953,'통합 ④ 설정'!$B$6:$B$40,0)),""))</f>
        <v/>
      </c>
      <c r="G953" s="39"/>
      <c r="H953" s="39"/>
      <c r="I953" s="40"/>
      <c r="J953" s="41"/>
      <c r="K953" s="38"/>
      <c r="L953" s="42" t="str">
        <f aca="false">IF($B953="","",IF(AND(N($I953)=0,N($J953)=0),"금액이 없습니다",IF(AND($I953&gt;0,$J953&gt;0),"수입·지출 둘 다 적혔습니다",IF($C953="","결제수단을 고르십시오",IF(ISNA(MATCH($C953,'통합 ③ 통장·카드'!$A$5:$A$11,0)),"③ 통장·카드에 없는 결제수단입니다",IF($D953="","계정과목을 고르십시오",IF($E953="※없는 과목","④ 설정에 없는 과목입니다",IF(AND($E953="수입",$J953&gt;0),"수입 과목인데 지출에 적혔습니다",IF(AND(LEFT($E953,2)&lt;&gt;"수입",$E953&lt;&gt;"대체",$I953&gt;0),"지출 과목인데 수입에 적혔습니다",IF($K953="","증빙을 고르십시오",IF(AND($C953="바우처통장",$J953&gt;0,IFERROR(INDEX('통합 ④ 설정'!$E$6:$E$40,MATCH($D953,'통합 ④ 설정'!$B$6:$B$40,0)),"")&lt;&gt;"○"),"바우처통장 지출 — 목적 확인",IF($H953="","적요를 적으십시오",""))))))))))))</f>
        <v/>
      </c>
      <c r="M953" s="39"/>
      <c r="O953" s="11" t="str">
        <f aca="false">IF($B953="","",YEAR($B953)*100+MONTH($B953))</f>
        <v/>
      </c>
      <c r="P953" s="11" t="str">
        <f aca="false">IF($B953="","",IF($E953="대체",0,1))</f>
        <v/>
      </c>
    </row>
    <row r="954" customFormat="false" ht="15" hidden="false" customHeight="false" outlineLevel="0" collapsed="false">
      <c r="A954" s="36" t="str">
        <f aca="false">IF($B954="","",COUNT($B$15:$B954))</f>
        <v/>
      </c>
      <c r="B954" s="37"/>
      <c r="C954" s="38"/>
      <c r="D954" s="39"/>
      <c r="E954" s="36" t="str">
        <f aca="false">IF($D954="","",IFERROR(INDEX('통합 ④ 설정'!$A$6:$A$40,MATCH($D954,'통합 ④ 설정'!$B$6:$B$40,0)),"※없는 과목"))</f>
        <v/>
      </c>
      <c r="F954" s="36" t="str">
        <f aca="false">IF($D954="","",IFERROR(INDEX('통합 ④ 설정'!$C$6:$C$40,MATCH($D954,'통합 ④ 설정'!$B$6:$B$40,0)),""))</f>
        <v/>
      </c>
      <c r="G954" s="39"/>
      <c r="H954" s="39"/>
      <c r="I954" s="40"/>
      <c r="J954" s="41"/>
      <c r="K954" s="38"/>
      <c r="L954" s="42" t="str">
        <f aca="false">IF($B954="","",IF(AND(N($I954)=0,N($J954)=0),"금액이 없습니다",IF(AND($I954&gt;0,$J954&gt;0),"수입·지출 둘 다 적혔습니다",IF($C954="","결제수단을 고르십시오",IF(ISNA(MATCH($C954,'통합 ③ 통장·카드'!$A$5:$A$11,0)),"③ 통장·카드에 없는 결제수단입니다",IF($D954="","계정과목을 고르십시오",IF($E954="※없는 과목","④ 설정에 없는 과목입니다",IF(AND($E954="수입",$J954&gt;0),"수입 과목인데 지출에 적혔습니다",IF(AND(LEFT($E954,2)&lt;&gt;"수입",$E954&lt;&gt;"대체",$I954&gt;0),"지출 과목인데 수입에 적혔습니다",IF($K954="","증빙을 고르십시오",IF(AND($C954="바우처통장",$J954&gt;0,IFERROR(INDEX('통합 ④ 설정'!$E$6:$E$40,MATCH($D954,'통합 ④ 설정'!$B$6:$B$40,0)),"")&lt;&gt;"○"),"바우처통장 지출 — 목적 확인",IF($H954="","적요를 적으십시오",""))))))))))))</f>
        <v/>
      </c>
      <c r="M954" s="39"/>
      <c r="O954" s="11" t="str">
        <f aca="false">IF($B954="","",YEAR($B954)*100+MONTH($B954))</f>
        <v/>
      </c>
      <c r="P954" s="11" t="str">
        <f aca="false">IF($B954="","",IF($E954="대체",0,1))</f>
        <v/>
      </c>
    </row>
    <row r="955" customFormat="false" ht="15" hidden="false" customHeight="false" outlineLevel="0" collapsed="false">
      <c r="A955" s="36" t="str">
        <f aca="false">IF($B955="","",COUNT($B$15:$B955))</f>
        <v/>
      </c>
      <c r="B955" s="37"/>
      <c r="C955" s="38"/>
      <c r="D955" s="39"/>
      <c r="E955" s="36" t="str">
        <f aca="false">IF($D955="","",IFERROR(INDEX('통합 ④ 설정'!$A$6:$A$40,MATCH($D955,'통합 ④ 설정'!$B$6:$B$40,0)),"※없는 과목"))</f>
        <v/>
      </c>
      <c r="F955" s="36" t="str">
        <f aca="false">IF($D955="","",IFERROR(INDEX('통합 ④ 설정'!$C$6:$C$40,MATCH($D955,'통합 ④ 설정'!$B$6:$B$40,0)),""))</f>
        <v/>
      </c>
      <c r="G955" s="39"/>
      <c r="H955" s="39"/>
      <c r="I955" s="40"/>
      <c r="J955" s="41"/>
      <c r="K955" s="38"/>
      <c r="L955" s="42" t="str">
        <f aca="false">IF($B955="","",IF(AND(N($I955)=0,N($J955)=0),"금액이 없습니다",IF(AND($I955&gt;0,$J955&gt;0),"수입·지출 둘 다 적혔습니다",IF($C955="","결제수단을 고르십시오",IF(ISNA(MATCH($C955,'통합 ③ 통장·카드'!$A$5:$A$11,0)),"③ 통장·카드에 없는 결제수단입니다",IF($D955="","계정과목을 고르십시오",IF($E955="※없는 과목","④ 설정에 없는 과목입니다",IF(AND($E955="수입",$J955&gt;0),"수입 과목인데 지출에 적혔습니다",IF(AND(LEFT($E955,2)&lt;&gt;"수입",$E955&lt;&gt;"대체",$I955&gt;0),"지출 과목인데 수입에 적혔습니다",IF($K955="","증빙을 고르십시오",IF(AND($C955="바우처통장",$J955&gt;0,IFERROR(INDEX('통합 ④ 설정'!$E$6:$E$40,MATCH($D955,'통합 ④ 설정'!$B$6:$B$40,0)),"")&lt;&gt;"○"),"바우처통장 지출 — 목적 확인",IF($H955="","적요를 적으십시오",""))))))))))))</f>
        <v/>
      </c>
      <c r="M955" s="39"/>
      <c r="O955" s="11" t="str">
        <f aca="false">IF($B955="","",YEAR($B955)*100+MONTH($B955))</f>
        <v/>
      </c>
      <c r="P955" s="11" t="str">
        <f aca="false">IF($B955="","",IF($E955="대체",0,1))</f>
        <v/>
      </c>
    </row>
    <row r="956" customFormat="false" ht="15" hidden="false" customHeight="false" outlineLevel="0" collapsed="false">
      <c r="A956" s="36" t="str">
        <f aca="false">IF($B956="","",COUNT($B$15:$B956))</f>
        <v/>
      </c>
      <c r="B956" s="37"/>
      <c r="C956" s="38"/>
      <c r="D956" s="39"/>
      <c r="E956" s="36" t="str">
        <f aca="false">IF($D956="","",IFERROR(INDEX('통합 ④ 설정'!$A$6:$A$40,MATCH($D956,'통합 ④ 설정'!$B$6:$B$40,0)),"※없는 과목"))</f>
        <v/>
      </c>
      <c r="F956" s="36" t="str">
        <f aca="false">IF($D956="","",IFERROR(INDEX('통합 ④ 설정'!$C$6:$C$40,MATCH($D956,'통합 ④ 설정'!$B$6:$B$40,0)),""))</f>
        <v/>
      </c>
      <c r="G956" s="39"/>
      <c r="H956" s="39"/>
      <c r="I956" s="40"/>
      <c r="J956" s="41"/>
      <c r="K956" s="38"/>
      <c r="L956" s="42" t="str">
        <f aca="false">IF($B956="","",IF(AND(N($I956)=0,N($J956)=0),"금액이 없습니다",IF(AND($I956&gt;0,$J956&gt;0),"수입·지출 둘 다 적혔습니다",IF($C956="","결제수단을 고르십시오",IF(ISNA(MATCH($C956,'통합 ③ 통장·카드'!$A$5:$A$11,0)),"③ 통장·카드에 없는 결제수단입니다",IF($D956="","계정과목을 고르십시오",IF($E956="※없는 과목","④ 설정에 없는 과목입니다",IF(AND($E956="수입",$J956&gt;0),"수입 과목인데 지출에 적혔습니다",IF(AND(LEFT($E956,2)&lt;&gt;"수입",$E956&lt;&gt;"대체",$I956&gt;0),"지출 과목인데 수입에 적혔습니다",IF($K956="","증빙을 고르십시오",IF(AND($C956="바우처통장",$J956&gt;0,IFERROR(INDEX('통합 ④ 설정'!$E$6:$E$40,MATCH($D956,'통합 ④ 설정'!$B$6:$B$40,0)),"")&lt;&gt;"○"),"바우처통장 지출 — 목적 확인",IF($H956="","적요를 적으십시오",""))))))))))))</f>
        <v/>
      </c>
      <c r="M956" s="39"/>
      <c r="O956" s="11" t="str">
        <f aca="false">IF($B956="","",YEAR($B956)*100+MONTH($B956))</f>
        <v/>
      </c>
      <c r="P956" s="11" t="str">
        <f aca="false">IF($B956="","",IF($E956="대체",0,1))</f>
        <v/>
      </c>
    </row>
    <row r="957" customFormat="false" ht="15" hidden="false" customHeight="false" outlineLevel="0" collapsed="false">
      <c r="A957" s="36" t="str">
        <f aca="false">IF($B957="","",COUNT($B$15:$B957))</f>
        <v/>
      </c>
      <c r="B957" s="37"/>
      <c r="C957" s="38"/>
      <c r="D957" s="39"/>
      <c r="E957" s="36" t="str">
        <f aca="false">IF($D957="","",IFERROR(INDEX('통합 ④ 설정'!$A$6:$A$40,MATCH($D957,'통합 ④ 설정'!$B$6:$B$40,0)),"※없는 과목"))</f>
        <v/>
      </c>
      <c r="F957" s="36" t="str">
        <f aca="false">IF($D957="","",IFERROR(INDEX('통합 ④ 설정'!$C$6:$C$40,MATCH($D957,'통합 ④ 설정'!$B$6:$B$40,0)),""))</f>
        <v/>
      </c>
      <c r="G957" s="39"/>
      <c r="H957" s="39"/>
      <c r="I957" s="40"/>
      <c r="J957" s="41"/>
      <c r="K957" s="38"/>
      <c r="L957" s="42" t="str">
        <f aca="false">IF($B957="","",IF(AND(N($I957)=0,N($J957)=0),"금액이 없습니다",IF(AND($I957&gt;0,$J957&gt;0),"수입·지출 둘 다 적혔습니다",IF($C957="","결제수단을 고르십시오",IF(ISNA(MATCH($C957,'통합 ③ 통장·카드'!$A$5:$A$11,0)),"③ 통장·카드에 없는 결제수단입니다",IF($D957="","계정과목을 고르십시오",IF($E957="※없는 과목","④ 설정에 없는 과목입니다",IF(AND($E957="수입",$J957&gt;0),"수입 과목인데 지출에 적혔습니다",IF(AND(LEFT($E957,2)&lt;&gt;"수입",$E957&lt;&gt;"대체",$I957&gt;0),"지출 과목인데 수입에 적혔습니다",IF($K957="","증빙을 고르십시오",IF(AND($C957="바우처통장",$J957&gt;0,IFERROR(INDEX('통합 ④ 설정'!$E$6:$E$40,MATCH($D957,'통합 ④ 설정'!$B$6:$B$40,0)),"")&lt;&gt;"○"),"바우처통장 지출 — 목적 확인",IF($H957="","적요를 적으십시오",""))))))))))))</f>
        <v/>
      </c>
      <c r="M957" s="39"/>
      <c r="O957" s="11" t="str">
        <f aca="false">IF($B957="","",YEAR($B957)*100+MONTH($B957))</f>
        <v/>
      </c>
      <c r="P957" s="11" t="str">
        <f aca="false">IF($B957="","",IF($E957="대체",0,1))</f>
        <v/>
      </c>
    </row>
    <row r="958" customFormat="false" ht="15" hidden="false" customHeight="false" outlineLevel="0" collapsed="false">
      <c r="A958" s="36" t="str">
        <f aca="false">IF($B958="","",COUNT($B$15:$B958))</f>
        <v/>
      </c>
      <c r="B958" s="37"/>
      <c r="C958" s="38"/>
      <c r="D958" s="39"/>
      <c r="E958" s="36" t="str">
        <f aca="false">IF($D958="","",IFERROR(INDEX('통합 ④ 설정'!$A$6:$A$40,MATCH($D958,'통합 ④ 설정'!$B$6:$B$40,0)),"※없는 과목"))</f>
        <v/>
      </c>
      <c r="F958" s="36" t="str">
        <f aca="false">IF($D958="","",IFERROR(INDEX('통합 ④ 설정'!$C$6:$C$40,MATCH($D958,'통합 ④ 설정'!$B$6:$B$40,0)),""))</f>
        <v/>
      </c>
      <c r="G958" s="39"/>
      <c r="H958" s="39"/>
      <c r="I958" s="40"/>
      <c r="J958" s="41"/>
      <c r="K958" s="38"/>
      <c r="L958" s="42" t="str">
        <f aca="false">IF($B958="","",IF(AND(N($I958)=0,N($J958)=0),"금액이 없습니다",IF(AND($I958&gt;0,$J958&gt;0),"수입·지출 둘 다 적혔습니다",IF($C958="","결제수단을 고르십시오",IF(ISNA(MATCH($C958,'통합 ③ 통장·카드'!$A$5:$A$11,0)),"③ 통장·카드에 없는 결제수단입니다",IF($D958="","계정과목을 고르십시오",IF($E958="※없는 과목","④ 설정에 없는 과목입니다",IF(AND($E958="수입",$J958&gt;0),"수입 과목인데 지출에 적혔습니다",IF(AND(LEFT($E958,2)&lt;&gt;"수입",$E958&lt;&gt;"대체",$I958&gt;0),"지출 과목인데 수입에 적혔습니다",IF($K958="","증빙을 고르십시오",IF(AND($C958="바우처통장",$J958&gt;0,IFERROR(INDEX('통합 ④ 설정'!$E$6:$E$40,MATCH($D958,'통합 ④ 설정'!$B$6:$B$40,0)),"")&lt;&gt;"○"),"바우처통장 지출 — 목적 확인",IF($H958="","적요를 적으십시오",""))))))))))))</f>
        <v/>
      </c>
      <c r="M958" s="39"/>
      <c r="O958" s="11" t="str">
        <f aca="false">IF($B958="","",YEAR($B958)*100+MONTH($B958))</f>
        <v/>
      </c>
      <c r="P958" s="11" t="str">
        <f aca="false">IF($B958="","",IF($E958="대체",0,1))</f>
        <v/>
      </c>
    </row>
    <row r="959" customFormat="false" ht="15" hidden="false" customHeight="false" outlineLevel="0" collapsed="false">
      <c r="A959" s="36" t="str">
        <f aca="false">IF($B959="","",COUNT($B$15:$B959))</f>
        <v/>
      </c>
      <c r="B959" s="37"/>
      <c r="C959" s="38"/>
      <c r="D959" s="39"/>
      <c r="E959" s="36" t="str">
        <f aca="false">IF($D959="","",IFERROR(INDEX('통합 ④ 설정'!$A$6:$A$40,MATCH($D959,'통합 ④ 설정'!$B$6:$B$40,0)),"※없는 과목"))</f>
        <v/>
      </c>
      <c r="F959" s="36" t="str">
        <f aca="false">IF($D959="","",IFERROR(INDEX('통합 ④ 설정'!$C$6:$C$40,MATCH($D959,'통합 ④ 설정'!$B$6:$B$40,0)),""))</f>
        <v/>
      </c>
      <c r="G959" s="39"/>
      <c r="H959" s="39"/>
      <c r="I959" s="40"/>
      <c r="J959" s="41"/>
      <c r="K959" s="38"/>
      <c r="L959" s="42" t="str">
        <f aca="false">IF($B959="","",IF(AND(N($I959)=0,N($J959)=0),"금액이 없습니다",IF(AND($I959&gt;0,$J959&gt;0),"수입·지출 둘 다 적혔습니다",IF($C959="","결제수단을 고르십시오",IF(ISNA(MATCH($C959,'통합 ③ 통장·카드'!$A$5:$A$11,0)),"③ 통장·카드에 없는 결제수단입니다",IF($D959="","계정과목을 고르십시오",IF($E959="※없는 과목","④ 설정에 없는 과목입니다",IF(AND($E959="수입",$J959&gt;0),"수입 과목인데 지출에 적혔습니다",IF(AND(LEFT($E959,2)&lt;&gt;"수입",$E959&lt;&gt;"대체",$I959&gt;0),"지출 과목인데 수입에 적혔습니다",IF($K959="","증빙을 고르십시오",IF(AND($C959="바우처통장",$J959&gt;0,IFERROR(INDEX('통합 ④ 설정'!$E$6:$E$40,MATCH($D959,'통합 ④ 설정'!$B$6:$B$40,0)),"")&lt;&gt;"○"),"바우처통장 지출 — 목적 확인",IF($H959="","적요를 적으십시오",""))))))))))))</f>
        <v/>
      </c>
      <c r="M959" s="39"/>
      <c r="O959" s="11" t="str">
        <f aca="false">IF($B959="","",YEAR($B959)*100+MONTH($B959))</f>
        <v/>
      </c>
      <c r="P959" s="11" t="str">
        <f aca="false">IF($B959="","",IF($E959="대체",0,1))</f>
        <v/>
      </c>
    </row>
    <row r="960" customFormat="false" ht="15" hidden="false" customHeight="false" outlineLevel="0" collapsed="false">
      <c r="A960" s="36" t="str">
        <f aca="false">IF($B960="","",COUNT($B$15:$B960))</f>
        <v/>
      </c>
      <c r="B960" s="37"/>
      <c r="C960" s="38"/>
      <c r="D960" s="39"/>
      <c r="E960" s="36" t="str">
        <f aca="false">IF($D960="","",IFERROR(INDEX('통합 ④ 설정'!$A$6:$A$40,MATCH($D960,'통합 ④ 설정'!$B$6:$B$40,0)),"※없는 과목"))</f>
        <v/>
      </c>
      <c r="F960" s="36" t="str">
        <f aca="false">IF($D960="","",IFERROR(INDEX('통합 ④ 설정'!$C$6:$C$40,MATCH($D960,'통합 ④ 설정'!$B$6:$B$40,0)),""))</f>
        <v/>
      </c>
      <c r="G960" s="39"/>
      <c r="H960" s="39"/>
      <c r="I960" s="40"/>
      <c r="J960" s="41"/>
      <c r="K960" s="38"/>
      <c r="L960" s="42" t="str">
        <f aca="false">IF($B960="","",IF(AND(N($I960)=0,N($J960)=0),"금액이 없습니다",IF(AND($I960&gt;0,$J960&gt;0),"수입·지출 둘 다 적혔습니다",IF($C960="","결제수단을 고르십시오",IF(ISNA(MATCH($C960,'통합 ③ 통장·카드'!$A$5:$A$11,0)),"③ 통장·카드에 없는 결제수단입니다",IF($D960="","계정과목을 고르십시오",IF($E960="※없는 과목","④ 설정에 없는 과목입니다",IF(AND($E960="수입",$J960&gt;0),"수입 과목인데 지출에 적혔습니다",IF(AND(LEFT($E960,2)&lt;&gt;"수입",$E960&lt;&gt;"대체",$I960&gt;0),"지출 과목인데 수입에 적혔습니다",IF($K960="","증빙을 고르십시오",IF(AND($C960="바우처통장",$J960&gt;0,IFERROR(INDEX('통합 ④ 설정'!$E$6:$E$40,MATCH($D960,'통합 ④ 설정'!$B$6:$B$40,0)),"")&lt;&gt;"○"),"바우처통장 지출 — 목적 확인",IF($H960="","적요를 적으십시오",""))))))))))))</f>
        <v/>
      </c>
      <c r="M960" s="39"/>
      <c r="O960" s="11" t="str">
        <f aca="false">IF($B960="","",YEAR($B960)*100+MONTH($B960))</f>
        <v/>
      </c>
      <c r="P960" s="11" t="str">
        <f aca="false">IF($B960="","",IF($E960="대체",0,1))</f>
        <v/>
      </c>
    </row>
    <row r="961" customFormat="false" ht="15" hidden="false" customHeight="false" outlineLevel="0" collapsed="false">
      <c r="A961" s="36" t="str">
        <f aca="false">IF($B961="","",COUNT($B$15:$B961))</f>
        <v/>
      </c>
      <c r="B961" s="37"/>
      <c r="C961" s="38"/>
      <c r="D961" s="39"/>
      <c r="E961" s="36" t="str">
        <f aca="false">IF($D961="","",IFERROR(INDEX('통합 ④ 설정'!$A$6:$A$40,MATCH($D961,'통합 ④ 설정'!$B$6:$B$40,0)),"※없는 과목"))</f>
        <v/>
      </c>
      <c r="F961" s="36" t="str">
        <f aca="false">IF($D961="","",IFERROR(INDEX('통합 ④ 설정'!$C$6:$C$40,MATCH($D961,'통합 ④ 설정'!$B$6:$B$40,0)),""))</f>
        <v/>
      </c>
      <c r="G961" s="39"/>
      <c r="H961" s="39"/>
      <c r="I961" s="40"/>
      <c r="J961" s="41"/>
      <c r="K961" s="38"/>
      <c r="L961" s="42" t="str">
        <f aca="false">IF($B961="","",IF(AND(N($I961)=0,N($J961)=0),"금액이 없습니다",IF(AND($I961&gt;0,$J961&gt;0),"수입·지출 둘 다 적혔습니다",IF($C961="","결제수단을 고르십시오",IF(ISNA(MATCH($C961,'통합 ③ 통장·카드'!$A$5:$A$11,0)),"③ 통장·카드에 없는 결제수단입니다",IF($D961="","계정과목을 고르십시오",IF($E961="※없는 과목","④ 설정에 없는 과목입니다",IF(AND($E961="수입",$J961&gt;0),"수입 과목인데 지출에 적혔습니다",IF(AND(LEFT($E961,2)&lt;&gt;"수입",$E961&lt;&gt;"대체",$I961&gt;0),"지출 과목인데 수입에 적혔습니다",IF($K961="","증빙을 고르십시오",IF(AND($C961="바우처통장",$J961&gt;0,IFERROR(INDEX('통합 ④ 설정'!$E$6:$E$40,MATCH($D961,'통합 ④ 설정'!$B$6:$B$40,0)),"")&lt;&gt;"○"),"바우처통장 지출 — 목적 확인",IF($H961="","적요를 적으십시오",""))))))))))))</f>
        <v/>
      </c>
      <c r="M961" s="39"/>
      <c r="O961" s="11" t="str">
        <f aca="false">IF($B961="","",YEAR($B961)*100+MONTH($B961))</f>
        <v/>
      </c>
      <c r="P961" s="11" t="str">
        <f aca="false">IF($B961="","",IF($E961="대체",0,1))</f>
        <v/>
      </c>
    </row>
    <row r="962" customFormat="false" ht="15" hidden="false" customHeight="false" outlineLevel="0" collapsed="false">
      <c r="A962" s="36" t="str">
        <f aca="false">IF($B962="","",COUNT($B$15:$B962))</f>
        <v/>
      </c>
      <c r="B962" s="37"/>
      <c r="C962" s="38"/>
      <c r="D962" s="39"/>
      <c r="E962" s="36" t="str">
        <f aca="false">IF($D962="","",IFERROR(INDEX('통합 ④ 설정'!$A$6:$A$40,MATCH($D962,'통합 ④ 설정'!$B$6:$B$40,0)),"※없는 과목"))</f>
        <v/>
      </c>
      <c r="F962" s="36" t="str">
        <f aca="false">IF($D962="","",IFERROR(INDEX('통합 ④ 설정'!$C$6:$C$40,MATCH($D962,'통합 ④ 설정'!$B$6:$B$40,0)),""))</f>
        <v/>
      </c>
      <c r="G962" s="39"/>
      <c r="H962" s="39"/>
      <c r="I962" s="40"/>
      <c r="J962" s="41"/>
      <c r="K962" s="38"/>
      <c r="L962" s="42" t="str">
        <f aca="false">IF($B962="","",IF(AND(N($I962)=0,N($J962)=0),"금액이 없습니다",IF(AND($I962&gt;0,$J962&gt;0),"수입·지출 둘 다 적혔습니다",IF($C962="","결제수단을 고르십시오",IF(ISNA(MATCH($C962,'통합 ③ 통장·카드'!$A$5:$A$11,0)),"③ 통장·카드에 없는 결제수단입니다",IF($D962="","계정과목을 고르십시오",IF($E962="※없는 과목","④ 설정에 없는 과목입니다",IF(AND($E962="수입",$J962&gt;0),"수입 과목인데 지출에 적혔습니다",IF(AND(LEFT($E962,2)&lt;&gt;"수입",$E962&lt;&gt;"대체",$I962&gt;0),"지출 과목인데 수입에 적혔습니다",IF($K962="","증빙을 고르십시오",IF(AND($C962="바우처통장",$J962&gt;0,IFERROR(INDEX('통합 ④ 설정'!$E$6:$E$40,MATCH($D962,'통합 ④ 설정'!$B$6:$B$40,0)),"")&lt;&gt;"○"),"바우처통장 지출 — 목적 확인",IF($H962="","적요를 적으십시오",""))))))))))))</f>
        <v/>
      </c>
      <c r="M962" s="39"/>
      <c r="O962" s="11" t="str">
        <f aca="false">IF($B962="","",YEAR($B962)*100+MONTH($B962))</f>
        <v/>
      </c>
      <c r="P962" s="11" t="str">
        <f aca="false">IF($B962="","",IF($E962="대체",0,1))</f>
        <v/>
      </c>
    </row>
    <row r="963" customFormat="false" ht="15" hidden="false" customHeight="false" outlineLevel="0" collapsed="false">
      <c r="A963" s="36" t="str">
        <f aca="false">IF($B963="","",COUNT($B$15:$B963))</f>
        <v/>
      </c>
      <c r="B963" s="37"/>
      <c r="C963" s="38"/>
      <c r="D963" s="39"/>
      <c r="E963" s="36" t="str">
        <f aca="false">IF($D963="","",IFERROR(INDEX('통합 ④ 설정'!$A$6:$A$40,MATCH($D963,'통합 ④ 설정'!$B$6:$B$40,0)),"※없는 과목"))</f>
        <v/>
      </c>
      <c r="F963" s="36" t="str">
        <f aca="false">IF($D963="","",IFERROR(INDEX('통합 ④ 설정'!$C$6:$C$40,MATCH($D963,'통합 ④ 설정'!$B$6:$B$40,0)),""))</f>
        <v/>
      </c>
      <c r="G963" s="39"/>
      <c r="H963" s="39"/>
      <c r="I963" s="40"/>
      <c r="J963" s="41"/>
      <c r="K963" s="38"/>
      <c r="L963" s="42" t="str">
        <f aca="false">IF($B963="","",IF(AND(N($I963)=0,N($J963)=0),"금액이 없습니다",IF(AND($I963&gt;0,$J963&gt;0),"수입·지출 둘 다 적혔습니다",IF($C963="","결제수단을 고르십시오",IF(ISNA(MATCH($C963,'통합 ③ 통장·카드'!$A$5:$A$11,0)),"③ 통장·카드에 없는 결제수단입니다",IF($D963="","계정과목을 고르십시오",IF($E963="※없는 과목","④ 설정에 없는 과목입니다",IF(AND($E963="수입",$J963&gt;0),"수입 과목인데 지출에 적혔습니다",IF(AND(LEFT($E963,2)&lt;&gt;"수입",$E963&lt;&gt;"대체",$I963&gt;0),"지출 과목인데 수입에 적혔습니다",IF($K963="","증빙을 고르십시오",IF(AND($C963="바우처통장",$J963&gt;0,IFERROR(INDEX('통합 ④ 설정'!$E$6:$E$40,MATCH($D963,'통합 ④ 설정'!$B$6:$B$40,0)),"")&lt;&gt;"○"),"바우처통장 지출 — 목적 확인",IF($H963="","적요를 적으십시오",""))))))))))))</f>
        <v/>
      </c>
      <c r="M963" s="39"/>
      <c r="O963" s="11" t="str">
        <f aca="false">IF($B963="","",YEAR($B963)*100+MONTH($B963))</f>
        <v/>
      </c>
      <c r="P963" s="11" t="str">
        <f aca="false">IF($B963="","",IF($E963="대체",0,1))</f>
        <v/>
      </c>
    </row>
    <row r="964" customFormat="false" ht="15" hidden="false" customHeight="false" outlineLevel="0" collapsed="false">
      <c r="A964" s="36" t="str">
        <f aca="false">IF($B964="","",COUNT($B$15:$B964))</f>
        <v/>
      </c>
      <c r="B964" s="37"/>
      <c r="C964" s="38"/>
      <c r="D964" s="39"/>
      <c r="E964" s="36" t="str">
        <f aca="false">IF($D964="","",IFERROR(INDEX('통합 ④ 설정'!$A$6:$A$40,MATCH($D964,'통합 ④ 설정'!$B$6:$B$40,0)),"※없는 과목"))</f>
        <v/>
      </c>
      <c r="F964" s="36" t="str">
        <f aca="false">IF($D964="","",IFERROR(INDEX('통합 ④ 설정'!$C$6:$C$40,MATCH($D964,'통합 ④ 설정'!$B$6:$B$40,0)),""))</f>
        <v/>
      </c>
      <c r="G964" s="39"/>
      <c r="H964" s="39"/>
      <c r="I964" s="40"/>
      <c r="J964" s="41"/>
      <c r="K964" s="38"/>
      <c r="L964" s="42" t="str">
        <f aca="false">IF($B964="","",IF(AND(N($I964)=0,N($J964)=0),"금액이 없습니다",IF(AND($I964&gt;0,$J964&gt;0),"수입·지출 둘 다 적혔습니다",IF($C964="","결제수단을 고르십시오",IF(ISNA(MATCH($C964,'통합 ③ 통장·카드'!$A$5:$A$11,0)),"③ 통장·카드에 없는 결제수단입니다",IF($D964="","계정과목을 고르십시오",IF($E964="※없는 과목","④ 설정에 없는 과목입니다",IF(AND($E964="수입",$J964&gt;0),"수입 과목인데 지출에 적혔습니다",IF(AND(LEFT($E964,2)&lt;&gt;"수입",$E964&lt;&gt;"대체",$I964&gt;0),"지출 과목인데 수입에 적혔습니다",IF($K964="","증빙을 고르십시오",IF(AND($C964="바우처통장",$J964&gt;0,IFERROR(INDEX('통합 ④ 설정'!$E$6:$E$40,MATCH($D964,'통합 ④ 설정'!$B$6:$B$40,0)),"")&lt;&gt;"○"),"바우처통장 지출 — 목적 확인",IF($H964="","적요를 적으십시오",""))))))))))))</f>
        <v/>
      </c>
      <c r="M964" s="39"/>
      <c r="O964" s="11" t="str">
        <f aca="false">IF($B964="","",YEAR($B964)*100+MONTH($B964))</f>
        <v/>
      </c>
      <c r="P964" s="11" t="str">
        <f aca="false">IF($B964="","",IF($E964="대체",0,1))</f>
        <v/>
      </c>
    </row>
    <row r="965" customFormat="false" ht="15" hidden="false" customHeight="false" outlineLevel="0" collapsed="false">
      <c r="A965" s="36" t="str">
        <f aca="false">IF($B965="","",COUNT($B$15:$B965))</f>
        <v/>
      </c>
      <c r="B965" s="37"/>
      <c r="C965" s="38"/>
      <c r="D965" s="39"/>
      <c r="E965" s="36" t="str">
        <f aca="false">IF($D965="","",IFERROR(INDEX('통합 ④ 설정'!$A$6:$A$40,MATCH($D965,'통합 ④ 설정'!$B$6:$B$40,0)),"※없는 과목"))</f>
        <v/>
      </c>
      <c r="F965" s="36" t="str">
        <f aca="false">IF($D965="","",IFERROR(INDEX('통합 ④ 설정'!$C$6:$C$40,MATCH($D965,'통합 ④ 설정'!$B$6:$B$40,0)),""))</f>
        <v/>
      </c>
      <c r="G965" s="39"/>
      <c r="H965" s="39"/>
      <c r="I965" s="40"/>
      <c r="J965" s="41"/>
      <c r="K965" s="38"/>
      <c r="L965" s="42" t="str">
        <f aca="false">IF($B965="","",IF(AND(N($I965)=0,N($J965)=0),"금액이 없습니다",IF(AND($I965&gt;0,$J965&gt;0),"수입·지출 둘 다 적혔습니다",IF($C965="","결제수단을 고르십시오",IF(ISNA(MATCH($C965,'통합 ③ 통장·카드'!$A$5:$A$11,0)),"③ 통장·카드에 없는 결제수단입니다",IF($D965="","계정과목을 고르십시오",IF($E965="※없는 과목","④ 설정에 없는 과목입니다",IF(AND($E965="수입",$J965&gt;0),"수입 과목인데 지출에 적혔습니다",IF(AND(LEFT($E965,2)&lt;&gt;"수입",$E965&lt;&gt;"대체",$I965&gt;0),"지출 과목인데 수입에 적혔습니다",IF($K965="","증빙을 고르십시오",IF(AND($C965="바우처통장",$J965&gt;0,IFERROR(INDEX('통합 ④ 설정'!$E$6:$E$40,MATCH($D965,'통합 ④ 설정'!$B$6:$B$40,0)),"")&lt;&gt;"○"),"바우처통장 지출 — 목적 확인",IF($H965="","적요를 적으십시오",""))))))))))))</f>
        <v/>
      </c>
      <c r="M965" s="39"/>
      <c r="O965" s="11" t="str">
        <f aca="false">IF($B965="","",YEAR($B965)*100+MONTH($B965))</f>
        <v/>
      </c>
      <c r="P965" s="11" t="str">
        <f aca="false">IF($B965="","",IF($E965="대체",0,1))</f>
        <v/>
      </c>
    </row>
    <row r="966" customFormat="false" ht="15" hidden="false" customHeight="false" outlineLevel="0" collapsed="false">
      <c r="A966" s="36" t="str">
        <f aca="false">IF($B966="","",COUNT($B$15:$B966))</f>
        <v/>
      </c>
      <c r="B966" s="37"/>
      <c r="C966" s="38"/>
      <c r="D966" s="39"/>
      <c r="E966" s="36" t="str">
        <f aca="false">IF($D966="","",IFERROR(INDEX('통합 ④ 설정'!$A$6:$A$40,MATCH($D966,'통합 ④ 설정'!$B$6:$B$40,0)),"※없는 과목"))</f>
        <v/>
      </c>
      <c r="F966" s="36" t="str">
        <f aca="false">IF($D966="","",IFERROR(INDEX('통합 ④ 설정'!$C$6:$C$40,MATCH($D966,'통합 ④ 설정'!$B$6:$B$40,0)),""))</f>
        <v/>
      </c>
      <c r="G966" s="39"/>
      <c r="H966" s="39"/>
      <c r="I966" s="40"/>
      <c r="J966" s="41"/>
      <c r="K966" s="38"/>
      <c r="L966" s="42" t="str">
        <f aca="false">IF($B966="","",IF(AND(N($I966)=0,N($J966)=0),"금액이 없습니다",IF(AND($I966&gt;0,$J966&gt;0),"수입·지출 둘 다 적혔습니다",IF($C966="","결제수단을 고르십시오",IF(ISNA(MATCH($C966,'통합 ③ 통장·카드'!$A$5:$A$11,0)),"③ 통장·카드에 없는 결제수단입니다",IF($D966="","계정과목을 고르십시오",IF($E966="※없는 과목","④ 설정에 없는 과목입니다",IF(AND($E966="수입",$J966&gt;0),"수입 과목인데 지출에 적혔습니다",IF(AND(LEFT($E966,2)&lt;&gt;"수입",$E966&lt;&gt;"대체",$I966&gt;0),"지출 과목인데 수입에 적혔습니다",IF($K966="","증빙을 고르십시오",IF(AND($C966="바우처통장",$J966&gt;0,IFERROR(INDEX('통합 ④ 설정'!$E$6:$E$40,MATCH($D966,'통합 ④ 설정'!$B$6:$B$40,0)),"")&lt;&gt;"○"),"바우처통장 지출 — 목적 확인",IF($H966="","적요를 적으십시오",""))))))))))))</f>
        <v/>
      </c>
      <c r="M966" s="39"/>
      <c r="O966" s="11" t="str">
        <f aca="false">IF($B966="","",YEAR($B966)*100+MONTH($B966))</f>
        <v/>
      </c>
      <c r="P966" s="11" t="str">
        <f aca="false">IF($B966="","",IF($E966="대체",0,1))</f>
        <v/>
      </c>
    </row>
    <row r="967" customFormat="false" ht="15" hidden="false" customHeight="false" outlineLevel="0" collapsed="false">
      <c r="A967" s="36" t="str">
        <f aca="false">IF($B967="","",COUNT($B$15:$B967))</f>
        <v/>
      </c>
      <c r="B967" s="37"/>
      <c r="C967" s="38"/>
      <c r="D967" s="39"/>
      <c r="E967" s="36" t="str">
        <f aca="false">IF($D967="","",IFERROR(INDEX('통합 ④ 설정'!$A$6:$A$40,MATCH($D967,'통합 ④ 설정'!$B$6:$B$40,0)),"※없는 과목"))</f>
        <v/>
      </c>
      <c r="F967" s="36" t="str">
        <f aca="false">IF($D967="","",IFERROR(INDEX('통합 ④ 설정'!$C$6:$C$40,MATCH($D967,'통합 ④ 설정'!$B$6:$B$40,0)),""))</f>
        <v/>
      </c>
      <c r="G967" s="39"/>
      <c r="H967" s="39"/>
      <c r="I967" s="40"/>
      <c r="J967" s="41"/>
      <c r="K967" s="38"/>
      <c r="L967" s="42" t="str">
        <f aca="false">IF($B967="","",IF(AND(N($I967)=0,N($J967)=0),"금액이 없습니다",IF(AND($I967&gt;0,$J967&gt;0),"수입·지출 둘 다 적혔습니다",IF($C967="","결제수단을 고르십시오",IF(ISNA(MATCH($C967,'통합 ③ 통장·카드'!$A$5:$A$11,0)),"③ 통장·카드에 없는 결제수단입니다",IF($D967="","계정과목을 고르십시오",IF($E967="※없는 과목","④ 설정에 없는 과목입니다",IF(AND($E967="수입",$J967&gt;0),"수입 과목인데 지출에 적혔습니다",IF(AND(LEFT($E967,2)&lt;&gt;"수입",$E967&lt;&gt;"대체",$I967&gt;0),"지출 과목인데 수입에 적혔습니다",IF($K967="","증빙을 고르십시오",IF(AND($C967="바우처통장",$J967&gt;0,IFERROR(INDEX('통합 ④ 설정'!$E$6:$E$40,MATCH($D967,'통합 ④ 설정'!$B$6:$B$40,0)),"")&lt;&gt;"○"),"바우처통장 지출 — 목적 확인",IF($H967="","적요를 적으십시오",""))))))))))))</f>
        <v/>
      </c>
      <c r="M967" s="39"/>
      <c r="O967" s="11" t="str">
        <f aca="false">IF($B967="","",YEAR($B967)*100+MONTH($B967))</f>
        <v/>
      </c>
      <c r="P967" s="11" t="str">
        <f aca="false">IF($B967="","",IF($E967="대체",0,1))</f>
        <v/>
      </c>
    </row>
    <row r="968" customFormat="false" ht="15" hidden="false" customHeight="false" outlineLevel="0" collapsed="false">
      <c r="A968" s="36" t="str">
        <f aca="false">IF($B968="","",COUNT($B$15:$B968))</f>
        <v/>
      </c>
      <c r="B968" s="37"/>
      <c r="C968" s="38"/>
      <c r="D968" s="39"/>
      <c r="E968" s="36" t="str">
        <f aca="false">IF($D968="","",IFERROR(INDEX('통합 ④ 설정'!$A$6:$A$40,MATCH($D968,'통합 ④ 설정'!$B$6:$B$40,0)),"※없는 과목"))</f>
        <v/>
      </c>
      <c r="F968" s="36" t="str">
        <f aca="false">IF($D968="","",IFERROR(INDEX('통합 ④ 설정'!$C$6:$C$40,MATCH($D968,'통합 ④ 설정'!$B$6:$B$40,0)),""))</f>
        <v/>
      </c>
      <c r="G968" s="39"/>
      <c r="H968" s="39"/>
      <c r="I968" s="40"/>
      <c r="J968" s="41"/>
      <c r="K968" s="38"/>
      <c r="L968" s="42" t="str">
        <f aca="false">IF($B968="","",IF(AND(N($I968)=0,N($J968)=0),"금액이 없습니다",IF(AND($I968&gt;0,$J968&gt;0),"수입·지출 둘 다 적혔습니다",IF($C968="","결제수단을 고르십시오",IF(ISNA(MATCH($C968,'통합 ③ 통장·카드'!$A$5:$A$11,0)),"③ 통장·카드에 없는 결제수단입니다",IF($D968="","계정과목을 고르십시오",IF($E968="※없는 과목","④ 설정에 없는 과목입니다",IF(AND($E968="수입",$J968&gt;0),"수입 과목인데 지출에 적혔습니다",IF(AND(LEFT($E968,2)&lt;&gt;"수입",$E968&lt;&gt;"대체",$I968&gt;0),"지출 과목인데 수입에 적혔습니다",IF($K968="","증빙을 고르십시오",IF(AND($C968="바우처통장",$J968&gt;0,IFERROR(INDEX('통합 ④ 설정'!$E$6:$E$40,MATCH($D968,'통합 ④ 설정'!$B$6:$B$40,0)),"")&lt;&gt;"○"),"바우처통장 지출 — 목적 확인",IF($H968="","적요를 적으십시오",""))))))))))))</f>
        <v/>
      </c>
      <c r="M968" s="39"/>
      <c r="O968" s="11" t="str">
        <f aca="false">IF($B968="","",YEAR($B968)*100+MONTH($B968))</f>
        <v/>
      </c>
      <c r="P968" s="11" t="str">
        <f aca="false">IF($B968="","",IF($E968="대체",0,1))</f>
        <v/>
      </c>
    </row>
    <row r="969" customFormat="false" ht="15" hidden="false" customHeight="false" outlineLevel="0" collapsed="false">
      <c r="A969" s="36" t="str">
        <f aca="false">IF($B969="","",COUNT($B$15:$B969))</f>
        <v/>
      </c>
      <c r="B969" s="37"/>
      <c r="C969" s="38"/>
      <c r="D969" s="39"/>
      <c r="E969" s="36" t="str">
        <f aca="false">IF($D969="","",IFERROR(INDEX('통합 ④ 설정'!$A$6:$A$40,MATCH($D969,'통합 ④ 설정'!$B$6:$B$40,0)),"※없는 과목"))</f>
        <v/>
      </c>
      <c r="F969" s="36" t="str">
        <f aca="false">IF($D969="","",IFERROR(INDEX('통합 ④ 설정'!$C$6:$C$40,MATCH($D969,'통합 ④ 설정'!$B$6:$B$40,0)),""))</f>
        <v/>
      </c>
      <c r="G969" s="39"/>
      <c r="H969" s="39"/>
      <c r="I969" s="40"/>
      <c r="J969" s="41"/>
      <c r="K969" s="38"/>
      <c r="L969" s="42" t="str">
        <f aca="false">IF($B969="","",IF(AND(N($I969)=0,N($J969)=0),"금액이 없습니다",IF(AND($I969&gt;0,$J969&gt;0),"수입·지출 둘 다 적혔습니다",IF($C969="","결제수단을 고르십시오",IF(ISNA(MATCH($C969,'통합 ③ 통장·카드'!$A$5:$A$11,0)),"③ 통장·카드에 없는 결제수단입니다",IF($D969="","계정과목을 고르십시오",IF($E969="※없는 과목","④ 설정에 없는 과목입니다",IF(AND($E969="수입",$J969&gt;0),"수입 과목인데 지출에 적혔습니다",IF(AND(LEFT($E969,2)&lt;&gt;"수입",$E969&lt;&gt;"대체",$I969&gt;0),"지출 과목인데 수입에 적혔습니다",IF($K969="","증빙을 고르십시오",IF(AND($C969="바우처통장",$J969&gt;0,IFERROR(INDEX('통합 ④ 설정'!$E$6:$E$40,MATCH($D969,'통합 ④ 설정'!$B$6:$B$40,0)),"")&lt;&gt;"○"),"바우처통장 지출 — 목적 확인",IF($H969="","적요를 적으십시오",""))))))))))))</f>
        <v/>
      </c>
      <c r="M969" s="39"/>
      <c r="O969" s="11" t="str">
        <f aca="false">IF($B969="","",YEAR($B969)*100+MONTH($B969))</f>
        <v/>
      </c>
      <c r="P969" s="11" t="str">
        <f aca="false">IF($B969="","",IF($E969="대체",0,1))</f>
        <v/>
      </c>
    </row>
    <row r="970" customFormat="false" ht="15" hidden="false" customHeight="false" outlineLevel="0" collapsed="false">
      <c r="A970" s="36" t="str">
        <f aca="false">IF($B970="","",COUNT($B$15:$B970))</f>
        <v/>
      </c>
      <c r="B970" s="37"/>
      <c r="C970" s="38"/>
      <c r="D970" s="39"/>
      <c r="E970" s="36" t="str">
        <f aca="false">IF($D970="","",IFERROR(INDEX('통합 ④ 설정'!$A$6:$A$40,MATCH($D970,'통합 ④ 설정'!$B$6:$B$40,0)),"※없는 과목"))</f>
        <v/>
      </c>
      <c r="F970" s="36" t="str">
        <f aca="false">IF($D970="","",IFERROR(INDEX('통합 ④ 설정'!$C$6:$C$40,MATCH($D970,'통합 ④ 설정'!$B$6:$B$40,0)),""))</f>
        <v/>
      </c>
      <c r="G970" s="39"/>
      <c r="H970" s="39"/>
      <c r="I970" s="40"/>
      <c r="J970" s="41"/>
      <c r="K970" s="38"/>
      <c r="L970" s="42" t="str">
        <f aca="false">IF($B970="","",IF(AND(N($I970)=0,N($J970)=0),"금액이 없습니다",IF(AND($I970&gt;0,$J970&gt;0),"수입·지출 둘 다 적혔습니다",IF($C970="","결제수단을 고르십시오",IF(ISNA(MATCH($C970,'통합 ③ 통장·카드'!$A$5:$A$11,0)),"③ 통장·카드에 없는 결제수단입니다",IF($D970="","계정과목을 고르십시오",IF($E970="※없는 과목","④ 설정에 없는 과목입니다",IF(AND($E970="수입",$J970&gt;0),"수입 과목인데 지출에 적혔습니다",IF(AND(LEFT($E970,2)&lt;&gt;"수입",$E970&lt;&gt;"대체",$I970&gt;0),"지출 과목인데 수입에 적혔습니다",IF($K970="","증빙을 고르십시오",IF(AND($C970="바우처통장",$J970&gt;0,IFERROR(INDEX('통합 ④ 설정'!$E$6:$E$40,MATCH($D970,'통합 ④ 설정'!$B$6:$B$40,0)),"")&lt;&gt;"○"),"바우처통장 지출 — 목적 확인",IF($H970="","적요를 적으십시오",""))))))))))))</f>
        <v/>
      </c>
      <c r="M970" s="39"/>
      <c r="O970" s="11" t="str">
        <f aca="false">IF($B970="","",YEAR($B970)*100+MONTH($B970))</f>
        <v/>
      </c>
      <c r="P970" s="11" t="str">
        <f aca="false">IF($B970="","",IF($E970="대체",0,1))</f>
        <v/>
      </c>
    </row>
    <row r="971" customFormat="false" ht="15" hidden="false" customHeight="false" outlineLevel="0" collapsed="false">
      <c r="A971" s="36" t="str">
        <f aca="false">IF($B971="","",COUNT($B$15:$B971))</f>
        <v/>
      </c>
      <c r="B971" s="37"/>
      <c r="C971" s="38"/>
      <c r="D971" s="39"/>
      <c r="E971" s="36" t="str">
        <f aca="false">IF($D971="","",IFERROR(INDEX('통합 ④ 설정'!$A$6:$A$40,MATCH($D971,'통합 ④ 설정'!$B$6:$B$40,0)),"※없는 과목"))</f>
        <v/>
      </c>
      <c r="F971" s="36" t="str">
        <f aca="false">IF($D971="","",IFERROR(INDEX('통합 ④ 설정'!$C$6:$C$40,MATCH($D971,'통합 ④ 설정'!$B$6:$B$40,0)),""))</f>
        <v/>
      </c>
      <c r="G971" s="39"/>
      <c r="H971" s="39"/>
      <c r="I971" s="40"/>
      <c r="J971" s="41"/>
      <c r="K971" s="38"/>
      <c r="L971" s="42" t="str">
        <f aca="false">IF($B971="","",IF(AND(N($I971)=0,N($J971)=0),"금액이 없습니다",IF(AND($I971&gt;0,$J971&gt;0),"수입·지출 둘 다 적혔습니다",IF($C971="","결제수단을 고르십시오",IF(ISNA(MATCH($C971,'통합 ③ 통장·카드'!$A$5:$A$11,0)),"③ 통장·카드에 없는 결제수단입니다",IF($D971="","계정과목을 고르십시오",IF($E971="※없는 과목","④ 설정에 없는 과목입니다",IF(AND($E971="수입",$J971&gt;0),"수입 과목인데 지출에 적혔습니다",IF(AND(LEFT($E971,2)&lt;&gt;"수입",$E971&lt;&gt;"대체",$I971&gt;0),"지출 과목인데 수입에 적혔습니다",IF($K971="","증빙을 고르십시오",IF(AND($C971="바우처통장",$J971&gt;0,IFERROR(INDEX('통합 ④ 설정'!$E$6:$E$40,MATCH($D971,'통합 ④ 설정'!$B$6:$B$40,0)),"")&lt;&gt;"○"),"바우처통장 지출 — 목적 확인",IF($H971="","적요를 적으십시오",""))))))))))))</f>
        <v/>
      </c>
      <c r="M971" s="39"/>
      <c r="O971" s="11" t="str">
        <f aca="false">IF($B971="","",YEAR($B971)*100+MONTH($B971))</f>
        <v/>
      </c>
      <c r="P971" s="11" t="str">
        <f aca="false">IF($B971="","",IF($E971="대체",0,1))</f>
        <v/>
      </c>
    </row>
    <row r="972" customFormat="false" ht="15" hidden="false" customHeight="false" outlineLevel="0" collapsed="false">
      <c r="A972" s="36" t="str">
        <f aca="false">IF($B972="","",COUNT($B$15:$B972))</f>
        <v/>
      </c>
      <c r="B972" s="37"/>
      <c r="C972" s="38"/>
      <c r="D972" s="39"/>
      <c r="E972" s="36" t="str">
        <f aca="false">IF($D972="","",IFERROR(INDEX('통합 ④ 설정'!$A$6:$A$40,MATCH($D972,'통합 ④ 설정'!$B$6:$B$40,0)),"※없는 과목"))</f>
        <v/>
      </c>
      <c r="F972" s="36" t="str">
        <f aca="false">IF($D972="","",IFERROR(INDEX('통합 ④ 설정'!$C$6:$C$40,MATCH($D972,'통합 ④ 설정'!$B$6:$B$40,0)),""))</f>
        <v/>
      </c>
      <c r="G972" s="39"/>
      <c r="H972" s="39"/>
      <c r="I972" s="40"/>
      <c r="J972" s="41"/>
      <c r="K972" s="38"/>
      <c r="L972" s="42" t="str">
        <f aca="false">IF($B972="","",IF(AND(N($I972)=0,N($J972)=0),"금액이 없습니다",IF(AND($I972&gt;0,$J972&gt;0),"수입·지출 둘 다 적혔습니다",IF($C972="","결제수단을 고르십시오",IF(ISNA(MATCH($C972,'통합 ③ 통장·카드'!$A$5:$A$11,0)),"③ 통장·카드에 없는 결제수단입니다",IF($D972="","계정과목을 고르십시오",IF($E972="※없는 과목","④ 설정에 없는 과목입니다",IF(AND($E972="수입",$J972&gt;0),"수입 과목인데 지출에 적혔습니다",IF(AND(LEFT($E972,2)&lt;&gt;"수입",$E972&lt;&gt;"대체",$I972&gt;0),"지출 과목인데 수입에 적혔습니다",IF($K972="","증빙을 고르십시오",IF(AND($C972="바우처통장",$J972&gt;0,IFERROR(INDEX('통합 ④ 설정'!$E$6:$E$40,MATCH($D972,'통합 ④ 설정'!$B$6:$B$40,0)),"")&lt;&gt;"○"),"바우처통장 지출 — 목적 확인",IF($H972="","적요를 적으십시오",""))))))))))))</f>
        <v/>
      </c>
      <c r="M972" s="39"/>
      <c r="O972" s="11" t="str">
        <f aca="false">IF($B972="","",YEAR($B972)*100+MONTH($B972))</f>
        <v/>
      </c>
      <c r="P972" s="11" t="str">
        <f aca="false">IF($B972="","",IF($E972="대체",0,1))</f>
        <v/>
      </c>
    </row>
    <row r="973" customFormat="false" ht="15" hidden="false" customHeight="false" outlineLevel="0" collapsed="false">
      <c r="A973" s="36" t="str">
        <f aca="false">IF($B973="","",COUNT($B$15:$B973))</f>
        <v/>
      </c>
      <c r="B973" s="37"/>
      <c r="C973" s="38"/>
      <c r="D973" s="39"/>
      <c r="E973" s="36" t="str">
        <f aca="false">IF($D973="","",IFERROR(INDEX('통합 ④ 설정'!$A$6:$A$40,MATCH($D973,'통합 ④ 설정'!$B$6:$B$40,0)),"※없는 과목"))</f>
        <v/>
      </c>
      <c r="F973" s="36" t="str">
        <f aca="false">IF($D973="","",IFERROR(INDEX('통합 ④ 설정'!$C$6:$C$40,MATCH($D973,'통합 ④ 설정'!$B$6:$B$40,0)),""))</f>
        <v/>
      </c>
      <c r="G973" s="39"/>
      <c r="H973" s="39"/>
      <c r="I973" s="40"/>
      <c r="J973" s="41"/>
      <c r="K973" s="38"/>
      <c r="L973" s="42" t="str">
        <f aca="false">IF($B973="","",IF(AND(N($I973)=0,N($J973)=0),"금액이 없습니다",IF(AND($I973&gt;0,$J973&gt;0),"수입·지출 둘 다 적혔습니다",IF($C973="","결제수단을 고르십시오",IF(ISNA(MATCH($C973,'통합 ③ 통장·카드'!$A$5:$A$11,0)),"③ 통장·카드에 없는 결제수단입니다",IF($D973="","계정과목을 고르십시오",IF($E973="※없는 과목","④ 설정에 없는 과목입니다",IF(AND($E973="수입",$J973&gt;0),"수입 과목인데 지출에 적혔습니다",IF(AND(LEFT($E973,2)&lt;&gt;"수입",$E973&lt;&gt;"대체",$I973&gt;0),"지출 과목인데 수입에 적혔습니다",IF($K973="","증빙을 고르십시오",IF(AND($C973="바우처통장",$J973&gt;0,IFERROR(INDEX('통합 ④ 설정'!$E$6:$E$40,MATCH($D973,'통합 ④ 설정'!$B$6:$B$40,0)),"")&lt;&gt;"○"),"바우처통장 지출 — 목적 확인",IF($H973="","적요를 적으십시오",""))))))))))))</f>
        <v/>
      </c>
      <c r="M973" s="39"/>
      <c r="O973" s="11" t="str">
        <f aca="false">IF($B973="","",YEAR($B973)*100+MONTH($B973))</f>
        <v/>
      </c>
      <c r="P973" s="11" t="str">
        <f aca="false">IF($B973="","",IF($E973="대체",0,1))</f>
        <v/>
      </c>
    </row>
    <row r="974" customFormat="false" ht="15" hidden="false" customHeight="false" outlineLevel="0" collapsed="false">
      <c r="A974" s="36" t="str">
        <f aca="false">IF($B974="","",COUNT($B$15:$B974))</f>
        <v/>
      </c>
      <c r="B974" s="37"/>
      <c r="C974" s="38"/>
      <c r="D974" s="39"/>
      <c r="E974" s="36" t="str">
        <f aca="false">IF($D974="","",IFERROR(INDEX('통합 ④ 설정'!$A$6:$A$40,MATCH($D974,'통합 ④ 설정'!$B$6:$B$40,0)),"※없는 과목"))</f>
        <v/>
      </c>
      <c r="F974" s="36" t="str">
        <f aca="false">IF($D974="","",IFERROR(INDEX('통합 ④ 설정'!$C$6:$C$40,MATCH($D974,'통합 ④ 설정'!$B$6:$B$40,0)),""))</f>
        <v/>
      </c>
      <c r="G974" s="39"/>
      <c r="H974" s="39"/>
      <c r="I974" s="40"/>
      <c r="J974" s="41"/>
      <c r="K974" s="38"/>
      <c r="L974" s="42" t="str">
        <f aca="false">IF($B974="","",IF(AND(N($I974)=0,N($J974)=0),"금액이 없습니다",IF(AND($I974&gt;0,$J974&gt;0),"수입·지출 둘 다 적혔습니다",IF($C974="","결제수단을 고르십시오",IF(ISNA(MATCH($C974,'통합 ③ 통장·카드'!$A$5:$A$11,0)),"③ 통장·카드에 없는 결제수단입니다",IF($D974="","계정과목을 고르십시오",IF($E974="※없는 과목","④ 설정에 없는 과목입니다",IF(AND($E974="수입",$J974&gt;0),"수입 과목인데 지출에 적혔습니다",IF(AND(LEFT($E974,2)&lt;&gt;"수입",$E974&lt;&gt;"대체",$I974&gt;0),"지출 과목인데 수입에 적혔습니다",IF($K974="","증빙을 고르십시오",IF(AND($C974="바우처통장",$J974&gt;0,IFERROR(INDEX('통합 ④ 설정'!$E$6:$E$40,MATCH($D974,'통합 ④ 설정'!$B$6:$B$40,0)),"")&lt;&gt;"○"),"바우처통장 지출 — 목적 확인",IF($H974="","적요를 적으십시오",""))))))))))))</f>
        <v/>
      </c>
      <c r="M974" s="39"/>
      <c r="O974" s="11" t="str">
        <f aca="false">IF($B974="","",YEAR($B974)*100+MONTH($B974))</f>
        <v/>
      </c>
      <c r="P974" s="11" t="str">
        <f aca="false">IF($B974="","",IF($E974="대체",0,1))</f>
        <v/>
      </c>
    </row>
    <row r="975" customFormat="false" ht="15" hidden="false" customHeight="false" outlineLevel="0" collapsed="false">
      <c r="A975" s="36" t="str">
        <f aca="false">IF($B975="","",COUNT($B$15:$B975))</f>
        <v/>
      </c>
      <c r="B975" s="37"/>
      <c r="C975" s="38"/>
      <c r="D975" s="39"/>
      <c r="E975" s="36" t="str">
        <f aca="false">IF($D975="","",IFERROR(INDEX('통합 ④ 설정'!$A$6:$A$40,MATCH($D975,'통합 ④ 설정'!$B$6:$B$40,0)),"※없는 과목"))</f>
        <v/>
      </c>
      <c r="F975" s="36" t="str">
        <f aca="false">IF($D975="","",IFERROR(INDEX('통합 ④ 설정'!$C$6:$C$40,MATCH($D975,'통합 ④ 설정'!$B$6:$B$40,0)),""))</f>
        <v/>
      </c>
      <c r="G975" s="39"/>
      <c r="H975" s="39"/>
      <c r="I975" s="40"/>
      <c r="J975" s="41"/>
      <c r="K975" s="38"/>
      <c r="L975" s="42" t="str">
        <f aca="false">IF($B975="","",IF(AND(N($I975)=0,N($J975)=0),"금액이 없습니다",IF(AND($I975&gt;0,$J975&gt;0),"수입·지출 둘 다 적혔습니다",IF($C975="","결제수단을 고르십시오",IF(ISNA(MATCH($C975,'통합 ③ 통장·카드'!$A$5:$A$11,0)),"③ 통장·카드에 없는 결제수단입니다",IF($D975="","계정과목을 고르십시오",IF($E975="※없는 과목","④ 설정에 없는 과목입니다",IF(AND($E975="수입",$J975&gt;0),"수입 과목인데 지출에 적혔습니다",IF(AND(LEFT($E975,2)&lt;&gt;"수입",$E975&lt;&gt;"대체",$I975&gt;0),"지출 과목인데 수입에 적혔습니다",IF($K975="","증빙을 고르십시오",IF(AND($C975="바우처통장",$J975&gt;0,IFERROR(INDEX('통합 ④ 설정'!$E$6:$E$40,MATCH($D975,'통합 ④ 설정'!$B$6:$B$40,0)),"")&lt;&gt;"○"),"바우처통장 지출 — 목적 확인",IF($H975="","적요를 적으십시오",""))))))))))))</f>
        <v/>
      </c>
      <c r="M975" s="39"/>
      <c r="O975" s="11" t="str">
        <f aca="false">IF($B975="","",YEAR($B975)*100+MONTH($B975))</f>
        <v/>
      </c>
      <c r="P975" s="11" t="str">
        <f aca="false">IF($B975="","",IF($E975="대체",0,1))</f>
        <v/>
      </c>
    </row>
    <row r="976" customFormat="false" ht="15" hidden="false" customHeight="false" outlineLevel="0" collapsed="false">
      <c r="A976" s="36" t="str">
        <f aca="false">IF($B976="","",COUNT($B$15:$B976))</f>
        <v/>
      </c>
      <c r="B976" s="37"/>
      <c r="C976" s="38"/>
      <c r="D976" s="39"/>
      <c r="E976" s="36" t="str">
        <f aca="false">IF($D976="","",IFERROR(INDEX('통합 ④ 설정'!$A$6:$A$40,MATCH($D976,'통합 ④ 설정'!$B$6:$B$40,0)),"※없는 과목"))</f>
        <v/>
      </c>
      <c r="F976" s="36" t="str">
        <f aca="false">IF($D976="","",IFERROR(INDEX('통합 ④ 설정'!$C$6:$C$40,MATCH($D976,'통합 ④ 설정'!$B$6:$B$40,0)),""))</f>
        <v/>
      </c>
      <c r="G976" s="39"/>
      <c r="H976" s="39"/>
      <c r="I976" s="40"/>
      <c r="J976" s="41"/>
      <c r="K976" s="38"/>
      <c r="L976" s="42" t="str">
        <f aca="false">IF($B976="","",IF(AND(N($I976)=0,N($J976)=0),"금액이 없습니다",IF(AND($I976&gt;0,$J976&gt;0),"수입·지출 둘 다 적혔습니다",IF($C976="","결제수단을 고르십시오",IF(ISNA(MATCH($C976,'통합 ③ 통장·카드'!$A$5:$A$11,0)),"③ 통장·카드에 없는 결제수단입니다",IF($D976="","계정과목을 고르십시오",IF($E976="※없는 과목","④ 설정에 없는 과목입니다",IF(AND($E976="수입",$J976&gt;0),"수입 과목인데 지출에 적혔습니다",IF(AND(LEFT($E976,2)&lt;&gt;"수입",$E976&lt;&gt;"대체",$I976&gt;0),"지출 과목인데 수입에 적혔습니다",IF($K976="","증빙을 고르십시오",IF(AND($C976="바우처통장",$J976&gt;0,IFERROR(INDEX('통합 ④ 설정'!$E$6:$E$40,MATCH($D976,'통합 ④ 설정'!$B$6:$B$40,0)),"")&lt;&gt;"○"),"바우처통장 지출 — 목적 확인",IF($H976="","적요를 적으십시오",""))))))))))))</f>
        <v/>
      </c>
      <c r="M976" s="39"/>
      <c r="O976" s="11" t="str">
        <f aca="false">IF($B976="","",YEAR($B976)*100+MONTH($B976))</f>
        <v/>
      </c>
      <c r="P976" s="11" t="str">
        <f aca="false">IF($B976="","",IF($E976="대체",0,1))</f>
        <v/>
      </c>
    </row>
    <row r="977" customFormat="false" ht="15" hidden="false" customHeight="false" outlineLevel="0" collapsed="false">
      <c r="A977" s="36" t="str">
        <f aca="false">IF($B977="","",COUNT($B$15:$B977))</f>
        <v/>
      </c>
      <c r="B977" s="37"/>
      <c r="C977" s="38"/>
      <c r="D977" s="39"/>
      <c r="E977" s="36" t="str">
        <f aca="false">IF($D977="","",IFERROR(INDEX('통합 ④ 설정'!$A$6:$A$40,MATCH($D977,'통합 ④ 설정'!$B$6:$B$40,0)),"※없는 과목"))</f>
        <v/>
      </c>
      <c r="F977" s="36" t="str">
        <f aca="false">IF($D977="","",IFERROR(INDEX('통합 ④ 설정'!$C$6:$C$40,MATCH($D977,'통합 ④ 설정'!$B$6:$B$40,0)),""))</f>
        <v/>
      </c>
      <c r="G977" s="39"/>
      <c r="H977" s="39"/>
      <c r="I977" s="40"/>
      <c r="J977" s="41"/>
      <c r="K977" s="38"/>
      <c r="L977" s="42" t="str">
        <f aca="false">IF($B977="","",IF(AND(N($I977)=0,N($J977)=0),"금액이 없습니다",IF(AND($I977&gt;0,$J977&gt;0),"수입·지출 둘 다 적혔습니다",IF($C977="","결제수단을 고르십시오",IF(ISNA(MATCH($C977,'통합 ③ 통장·카드'!$A$5:$A$11,0)),"③ 통장·카드에 없는 결제수단입니다",IF($D977="","계정과목을 고르십시오",IF($E977="※없는 과목","④ 설정에 없는 과목입니다",IF(AND($E977="수입",$J977&gt;0),"수입 과목인데 지출에 적혔습니다",IF(AND(LEFT($E977,2)&lt;&gt;"수입",$E977&lt;&gt;"대체",$I977&gt;0),"지출 과목인데 수입에 적혔습니다",IF($K977="","증빙을 고르십시오",IF(AND($C977="바우처통장",$J977&gt;0,IFERROR(INDEX('통합 ④ 설정'!$E$6:$E$40,MATCH($D977,'통합 ④ 설정'!$B$6:$B$40,0)),"")&lt;&gt;"○"),"바우처통장 지출 — 목적 확인",IF($H977="","적요를 적으십시오",""))))))))))))</f>
        <v/>
      </c>
      <c r="M977" s="39"/>
      <c r="O977" s="11" t="str">
        <f aca="false">IF($B977="","",YEAR($B977)*100+MONTH($B977))</f>
        <v/>
      </c>
      <c r="P977" s="11" t="str">
        <f aca="false">IF($B977="","",IF($E977="대체",0,1))</f>
        <v/>
      </c>
    </row>
    <row r="978" customFormat="false" ht="15" hidden="false" customHeight="false" outlineLevel="0" collapsed="false">
      <c r="A978" s="36" t="str">
        <f aca="false">IF($B978="","",COUNT($B$15:$B978))</f>
        <v/>
      </c>
      <c r="B978" s="37"/>
      <c r="C978" s="38"/>
      <c r="D978" s="39"/>
      <c r="E978" s="36" t="str">
        <f aca="false">IF($D978="","",IFERROR(INDEX('통합 ④ 설정'!$A$6:$A$40,MATCH($D978,'통합 ④ 설정'!$B$6:$B$40,0)),"※없는 과목"))</f>
        <v/>
      </c>
      <c r="F978" s="36" t="str">
        <f aca="false">IF($D978="","",IFERROR(INDEX('통합 ④ 설정'!$C$6:$C$40,MATCH($D978,'통합 ④ 설정'!$B$6:$B$40,0)),""))</f>
        <v/>
      </c>
      <c r="G978" s="39"/>
      <c r="H978" s="39"/>
      <c r="I978" s="40"/>
      <c r="J978" s="41"/>
      <c r="K978" s="38"/>
      <c r="L978" s="42" t="str">
        <f aca="false">IF($B978="","",IF(AND(N($I978)=0,N($J978)=0),"금액이 없습니다",IF(AND($I978&gt;0,$J978&gt;0),"수입·지출 둘 다 적혔습니다",IF($C978="","결제수단을 고르십시오",IF(ISNA(MATCH($C978,'통합 ③ 통장·카드'!$A$5:$A$11,0)),"③ 통장·카드에 없는 결제수단입니다",IF($D978="","계정과목을 고르십시오",IF($E978="※없는 과목","④ 설정에 없는 과목입니다",IF(AND($E978="수입",$J978&gt;0),"수입 과목인데 지출에 적혔습니다",IF(AND(LEFT($E978,2)&lt;&gt;"수입",$E978&lt;&gt;"대체",$I978&gt;0),"지출 과목인데 수입에 적혔습니다",IF($K978="","증빙을 고르십시오",IF(AND($C978="바우처통장",$J978&gt;0,IFERROR(INDEX('통합 ④ 설정'!$E$6:$E$40,MATCH($D978,'통합 ④ 설정'!$B$6:$B$40,0)),"")&lt;&gt;"○"),"바우처통장 지출 — 목적 확인",IF($H978="","적요를 적으십시오",""))))))))))))</f>
        <v/>
      </c>
      <c r="M978" s="39"/>
      <c r="O978" s="11" t="str">
        <f aca="false">IF($B978="","",YEAR($B978)*100+MONTH($B978))</f>
        <v/>
      </c>
      <c r="P978" s="11" t="str">
        <f aca="false">IF($B978="","",IF($E978="대체",0,1))</f>
        <v/>
      </c>
    </row>
    <row r="979" customFormat="false" ht="15" hidden="false" customHeight="false" outlineLevel="0" collapsed="false">
      <c r="A979" s="36" t="str">
        <f aca="false">IF($B979="","",COUNT($B$15:$B979))</f>
        <v/>
      </c>
      <c r="B979" s="37"/>
      <c r="C979" s="38"/>
      <c r="D979" s="39"/>
      <c r="E979" s="36" t="str">
        <f aca="false">IF($D979="","",IFERROR(INDEX('통합 ④ 설정'!$A$6:$A$40,MATCH($D979,'통합 ④ 설정'!$B$6:$B$40,0)),"※없는 과목"))</f>
        <v/>
      </c>
      <c r="F979" s="36" t="str">
        <f aca="false">IF($D979="","",IFERROR(INDEX('통합 ④ 설정'!$C$6:$C$40,MATCH($D979,'통합 ④ 설정'!$B$6:$B$40,0)),""))</f>
        <v/>
      </c>
      <c r="G979" s="39"/>
      <c r="H979" s="39"/>
      <c r="I979" s="40"/>
      <c r="J979" s="41"/>
      <c r="K979" s="38"/>
      <c r="L979" s="42" t="str">
        <f aca="false">IF($B979="","",IF(AND(N($I979)=0,N($J979)=0),"금액이 없습니다",IF(AND($I979&gt;0,$J979&gt;0),"수입·지출 둘 다 적혔습니다",IF($C979="","결제수단을 고르십시오",IF(ISNA(MATCH($C979,'통합 ③ 통장·카드'!$A$5:$A$11,0)),"③ 통장·카드에 없는 결제수단입니다",IF($D979="","계정과목을 고르십시오",IF($E979="※없는 과목","④ 설정에 없는 과목입니다",IF(AND($E979="수입",$J979&gt;0),"수입 과목인데 지출에 적혔습니다",IF(AND(LEFT($E979,2)&lt;&gt;"수입",$E979&lt;&gt;"대체",$I979&gt;0),"지출 과목인데 수입에 적혔습니다",IF($K979="","증빙을 고르십시오",IF(AND($C979="바우처통장",$J979&gt;0,IFERROR(INDEX('통합 ④ 설정'!$E$6:$E$40,MATCH($D979,'통합 ④ 설정'!$B$6:$B$40,0)),"")&lt;&gt;"○"),"바우처통장 지출 — 목적 확인",IF($H979="","적요를 적으십시오",""))))))))))))</f>
        <v/>
      </c>
      <c r="M979" s="39"/>
      <c r="O979" s="11" t="str">
        <f aca="false">IF($B979="","",YEAR($B979)*100+MONTH($B979))</f>
        <v/>
      </c>
      <c r="P979" s="11" t="str">
        <f aca="false">IF($B979="","",IF($E979="대체",0,1))</f>
        <v/>
      </c>
    </row>
    <row r="980" customFormat="false" ht="15" hidden="false" customHeight="false" outlineLevel="0" collapsed="false">
      <c r="A980" s="36" t="str">
        <f aca="false">IF($B980="","",COUNT($B$15:$B980))</f>
        <v/>
      </c>
      <c r="B980" s="37"/>
      <c r="C980" s="38"/>
      <c r="D980" s="39"/>
      <c r="E980" s="36" t="str">
        <f aca="false">IF($D980="","",IFERROR(INDEX('통합 ④ 설정'!$A$6:$A$40,MATCH($D980,'통합 ④ 설정'!$B$6:$B$40,0)),"※없는 과목"))</f>
        <v/>
      </c>
      <c r="F980" s="36" t="str">
        <f aca="false">IF($D980="","",IFERROR(INDEX('통합 ④ 설정'!$C$6:$C$40,MATCH($D980,'통합 ④ 설정'!$B$6:$B$40,0)),""))</f>
        <v/>
      </c>
      <c r="G980" s="39"/>
      <c r="H980" s="39"/>
      <c r="I980" s="40"/>
      <c r="J980" s="41"/>
      <c r="K980" s="38"/>
      <c r="L980" s="42" t="str">
        <f aca="false">IF($B980="","",IF(AND(N($I980)=0,N($J980)=0),"금액이 없습니다",IF(AND($I980&gt;0,$J980&gt;0),"수입·지출 둘 다 적혔습니다",IF($C980="","결제수단을 고르십시오",IF(ISNA(MATCH($C980,'통합 ③ 통장·카드'!$A$5:$A$11,0)),"③ 통장·카드에 없는 결제수단입니다",IF($D980="","계정과목을 고르십시오",IF($E980="※없는 과목","④ 설정에 없는 과목입니다",IF(AND($E980="수입",$J980&gt;0),"수입 과목인데 지출에 적혔습니다",IF(AND(LEFT($E980,2)&lt;&gt;"수입",$E980&lt;&gt;"대체",$I980&gt;0),"지출 과목인데 수입에 적혔습니다",IF($K980="","증빙을 고르십시오",IF(AND($C980="바우처통장",$J980&gt;0,IFERROR(INDEX('통합 ④ 설정'!$E$6:$E$40,MATCH($D980,'통합 ④ 설정'!$B$6:$B$40,0)),"")&lt;&gt;"○"),"바우처통장 지출 — 목적 확인",IF($H980="","적요를 적으십시오",""))))))))))))</f>
        <v/>
      </c>
      <c r="M980" s="39"/>
      <c r="O980" s="11" t="str">
        <f aca="false">IF($B980="","",YEAR($B980)*100+MONTH($B980))</f>
        <v/>
      </c>
      <c r="P980" s="11" t="str">
        <f aca="false">IF($B980="","",IF($E980="대체",0,1))</f>
        <v/>
      </c>
    </row>
    <row r="981" customFormat="false" ht="15" hidden="false" customHeight="false" outlineLevel="0" collapsed="false">
      <c r="A981" s="36" t="str">
        <f aca="false">IF($B981="","",COUNT($B$15:$B981))</f>
        <v/>
      </c>
      <c r="B981" s="37"/>
      <c r="C981" s="38"/>
      <c r="D981" s="39"/>
      <c r="E981" s="36" t="str">
        <f aca="false">IF($D981="","",IFERROR(INDEX('통합 ④ 설정'!$A$6:$A$40,MATCH($D981,'통합 ④ 설정'!$B$6:$B$40,0)),"※없는 과목"))</f>
        <v/>
      </c>
      <c r="F981" s="36" t="str">
        <f aca="false">IF($D981="","",IFERROR(INDEX('통합 ④ 설정'!$C$6:$C$40,MATCH($D981,'통합 ④ 설정'!$B$6:$B$40,0)),""))</f>
        <v/>
      </c>
      <c r="G981" s="39"/>
      <c r="H981" s="39"/>
      <c r="I981" s="40"/>
      <c r="J981" s="41"/>
      <c r="K981" s="38"/>
      <c r="L981" s="42" t="str">
        <f aca="false">IF($B981="","",IF(AND(N($I981)=0,N($J981)=0),"금액이 없습니다",IF(AND($I981&gt;0,$J981&gt;0),"수입·지출 둘 다 적혔습니다",IF($C981="","결제수단을 고르십시오",IF(ISNA(MATCH($C981,'통합 ③ 통장·카드'!$A$5:$A$11,0)),"③ 통장·카드에 없는 결제수단입니다",IF($D981="","계정과목을 고르십시오",IF($E981="※없는 과목","④ 설정에 없는 과목입니다",IF(AND($E981="수입",$J981&gt;0),"수입 과목인데 지출에 적혔습니다",IF(AND(LEFT($E981,2)&lt;&gt;"수입",$E981&lt;&gt;"대체",$I981&gt;0),"지출 과목인데 수입에 적혔습니다",IF($K981="","증빙을 고르십시오",IF(AND($C981="바우처통장",$J981&gt;0,IFERROR(INDEX('통합 ④ 설정'!$E$6:$E$40,MATCH($D981,'통합 ④ 설정'!$B$6:$B$40,0)),"")&lt;&gt;"○"),"바우처통장 지출 — 목적 확인",IF($H981="","적요를 적으십시오",""))))))))))))</f>
        <v/>
      </c>
      <c r="M981" s="39"/>
      <c r="O981" s="11" t="str">
        <f aca="false">IF($B981="","",YEAR($B981)*100+MONTH($B981))</f>
        <v/>
      </c>
      <c r="P981" s="11" t="str">
        <f aca="false">IF($B981="","",IF($E981="대체",0,1))</f>
        <v/>
      </c>
    </row>
    <row r="982" customFormat="false" ht="15" hidden="false" customHeight="false" outlineLevel="0" collapsed="false">
      <c r="A982" s="36" t="str">
        <f aca="false">IF($B982="","",COUNT($B$15:$B982))</f>
        <v/>
      </c>
      <c r="B982" s="37"/>
      <c r="C982" s="38"/>
      <c r="D982" s="39"/>
      <c r="E982" s="36" t="str">
        <f aca="false">IF($D982="","",IFERROR(INDEX('통합 ④ 설정'!$A$6:$A$40,MATCH($D982,'통합 ④ 설정'!$B$6:$B$40,0)),"※없는 과목"))</f>
        <v/>
      </c>
      <c r="F982" s="36" t="str">
        <f aca="false">IF($D982="","",IFERROR(INDEX('통합 ④ 설정'!$C$6:$C$40,MATCH($D982,'통합 ④ 설정'!$B$6:$B$40,0)),""))</f>
        <v/>
      </c>
      <c r="G982" s="39"/>
      <c r="H982" s="39"/>
      <c r="I982" s="40"/>
      <c r="J982" s="41"/>
      <c r="K982" s="38"/>
      <c r="L982" s="42" t="str">
        <f aca="false">IF($B982="","",IF(AND(N($I982)=0,N($J982)=0),"금액이 없습니다",IF(AND($I982&gt;0,$J982&gt;0),"수입·지출 둘 다 적혔습니다",IF($C982="","결제수단을 고르십시오",IF(ISNA(MATCH($C982,'통합 ③ 통장·카드'!$A$5:$A$11,0)),"③ 통장·카드에 없는 결제수단입니다",IF($D982="","계정과목을 고르십시오",IF($E982="※없는 과목","④ 설정에 없는 과목입니다",IF(AND($E982="수입",$J982&gt;0),"수입 과목인데 지출에 적혔습니다",IF(AND(LEFT($E982,2)&lt;&gt;"수입",$E982&lt;&gt;"대체",$I982&gt;0),"지출 과목인데 수입에 적혔습니다",IF($K982="","증빙을 고르십시오",IF(AND($C982="바우처통장",$J982&gt;0,IFERROR(INDEX('통합 ④ 설정'!$E$6:$E$40,MATCH($D982,'통합 ④ 설정'!$B$6:$B$40,0)),"")&lt;&gt;"○"),"바우처통장 지출 — 목적 확인",IF($H982="","적요를 적으십시오",""))))))))))))</f>
        <v/>
      </c>
      <c r="M982" s="39"/>
      <c r="O982" s="11" t="str">
        <f aca="false">IF($B982="","",YEAR($B982)*100+MONTH($B982))</f>
        <v/>
      </c>
      <c r="P982" s="11" t="str">
        <f aca="false">IF($B982="","",IF($E982="대체",0,1))</f>
        <v/>
      </c>
    </row>
    <row r="983" customFormat="false" ht="15" hidden="false" customHeight="false" outlineLevel="0" collapsed="false">
      <c r="A983" s="36" t="str">
        <f aca="false">IF($B983="","",COUNT($B$15:$B983))</f>
        <v/>
      </c>
      <c r="B983" s="37"/>
      <c r="C983" s="38"/>
      <c r="D983" s="39"/>
      <c r="E983" s="36" t="str">
        <f aca="false">IF($D983="","",IFERROR(INDEX('통합 ④ 설정'!$A$6:$A$40,MATCH($D983,'통합 ④ 설정'!$B$6:$B$40,0)),"※없는 과목"))</f>
        <v/>
      </c>
      <c r="F983" s="36" t="str">
        <f aca="false">IF($D983="","",IFERROR(INDEX('통합 ④ 설정'!$C$6:$C$40,MATCH($D983,'통합 ④ 설정'!$B$6:$B$40,0)),""))</f>
        <v/>
      </c>
      <c r="G983" s="39"/>
      <c r="H983" s="39"/>
      <c r="I983" s="40"/>
      <c r="J983" s="41"/>
      <c r="K983" s="38"/>
      <c r="L983" s="42" t="str">
        <f aca="false">IF($B983="","",IF(AND(N($I983)=0,N($J983)=0),"금액이 없습니다",IF(AND($I983&gt;0,$J983&gt;0),"수입·지출 둘 다 적혔습니다",IF($C983="","결제수단을 고르십시오",IF(ISNA(MATCH($C983,'통합 ③ 통장·카드'!$A$5:$A$11,0)),"③ 통장·카드에 없는 결제수단입니다",IF($D983="","계정과목을 고르십시오",IF($E983="※없는 과목","④ 설정에 없는 과목입니다",IF(AND($E983="수입",$J983&gt;0),"수입 과목인데 지출에 적혔습니다",IF(AND(LEFT($E983,2)&lt;&gt;"수입",$E983&lt;&gt;"대체",$I983&gt;0),"지출 과목인데 수입에 적혔습니다",IF($K983="","증빙을 고르십시오",IF(AND($C983="바우처통장",$J983&gt;0,IFERROR(INDEX('통합 ④ 설정'!$E$6:$E$40,MATCH($D983,'통합 ④ 설정'!$B$6:$B$40,0)),"")&lt;&gt;"○"),"바우처통장 지출 — 목적 확인",IF($H983="","적요를 적으십시오",""))))))))))))</f>
        <v/>
      </c>
      <c r="M983" s="39"/>
      <c r="O983" s="11" t="str">
        <f aca="false">IF($B983="","",YEAR($B983)*100+MONTH($B983))</f>
        <v/>
      </c>
      <c r="P983" s="11" t="str">
        <f aca="false">IF($B983="","",IF($E983="대체",0,1))</f>
        <v/>
      </c>
    </row>
    <row r="984" customFormat="false" ht="15" hidden="false" customHeight="false" outlineLevel="0" collapsed="false">
      <c r="A984" s="36" t="str">
        <f aca="false">IF($B984="","",COUNT($B$15:$B984))</f>
        <v/>
      </c>
      <c r="B984" s="37"/>
      <c r="C984" s="38"/>
      <c r="D984" s="39"/>
      <c r="E984" s="36" t="str">
        <f aca="false">IF($D984="","",IFERROR(INDEX('통합 ④ 설정'!$A$6:$A$40,MATCH($D984,'통합 ④ 설정'!$B$6:$B$40,0)),"※없는 과목"))</f>
        <v/>
      </c>
      <c r="F984" s="36" t="str">
        <f aca="false">IF($D984="","",IFERROR(INDEX('통합 ④ 설정'!$C$6:$C$40,MATCH($D984,'통합 ④ 설정'!$B$6:$B$40,0)),""))</f>
        <v/>
      </c>
      <c r="G984" s="39"/>
      <c r="H984" s="39"/>
      <c r="I984" s="40"/>
      <c r="J984" s="41"/>
      <c r="K984" s="38"/>
      <c r="L984" s="42" t="str">
        <f aca="false">IF($B984="","",IF(AND(N($I984)=0,N($J984)=0),"금액이 없습니다",IF(AND($I984&gt;0,$J984&gt;0),"수입·지출 둘 다 적혔습니다",IF($C984="","결제수단을 고르십시오",IF(ISNA(MATCH($C984,'통합 ③ 통장·카드'!$A$5:$A$11,0)),"③ 통장·카드에 없는 결제수단입니다",IF($D984="","계정과목을 고르십시오",IF($E984="※없는 과목","④ 설정에 없는 과목입니다",IF(AND($E984="수입",$J984&gt;0),"수입 과목인데 지출에 적혔습니다",IF(AND(LEFT($E984,2)&lt;&gt;"수입",$E984&lt;&gt;"대체",$I984&gt;0),"지출 과목인데 수입에 적혔습니다",IF($K984="","증빙을 고르십시오",IF(AND($C984="바우처통장",$J984&gt;0,IFERROR(INDEX('통합 ④ 설정'!$E$6:$E$40,MATCH($D984,'통합 ④ 설정'!$B$6:$B$40,0)),"")&lt;&gt;"○"),"바우처통장 지출 — 목적 확인",IF($H984="","적요를 적으십시오",""))))))))))))</f>
        <v/>
      </c>
      <c r="M984" s="39"/>
      <c r="O984" s="11" t="str">
        <f aca="false">IF($B984="","",YEAR($B984)*100+MONTH($B984))</f>
        <v/>
      </c>
      <c r="P984" s="11" t="str">
        <f aca="false">IF($B984="","",IF($E984="대체",0,1))</f>
        <v/>
      </c>
    </row>
    <row r="985" customFormat="false" ht="15" hidden="false" customHeight="false" outlineLevel="0" collapsed="false">
      <c r="A985" s="36" t="str">
        <f aca="false">IF($B985="","",COUNT($B$15:$B985))</f>
        <v/>
      </c>
      <c r="B985" s="37"/>
      <c r="C985" s="38"/>
      <c r="D985" s="39"/>
      <c r="E985" s="36" t="str">
        <f aca="false">IF($D985="","",IFERROR(INDEX('통합 ④ 설정'!$A$6:$A$40,MATCH($D985,'통합 ④ 설정'!$B$6:$B$40,0)),"※없는 과목"))</f>
        <v/>
      </c>
      <c r="F985" s="36" t="str">
        <f aca="false">IF($D985="","",IFERROR(INDEX('통합 ④ 설정'!$C$6:$C$40,MATCH($D985,'통합 ④ 설정'!$B$6:$B$40,0)),""))</f>
        <v/>
      </c>
      <c r="G985" s="39"/>
      <c r="H985" s="39"/>
      <c r="I985" s="40"/>
      <c r="J985" s="41"/>
      <c r="K985" s="38"/>
      <c r="L985" s="42" t="str">
        <f aca="false">IF($B985="","",IF(AND(N($I985)=0,N($J985)=0),"금액이 없습니다",IF(AND($I985&gt;0,$J985&gt;0),"수입·지출 둘 다 적혔습니다",IF($C985="","결제수단을 고르십시오",IF(ISNA(MATCH($C985,'통합 ③ 통장·카드'!$A$5:$A$11,0)),"③ 통장·카드에 없는 결제수단입니다",IF($D985="","계정과목을 고르십시오",IF($E985="※없는 과목","④ 설정에 없는 과목입니다",IF(AND($E985="수입",$J985&gt;0),"수입 과목인데 지출에 적혔습니다",IF(AND(LEFT($E985,2)&lt;&gt;"수입",$E985&lt;&gt;"대체",$I985&gt;0),"지출 과목인데 수입에 적혔습니다",IF($K985="","증빙을 고르십시오",IF(AND($C985="바우처통장",$J985&gt;0,IFERROR(INDEX('통합 ④ 설정'!$E$6:$E$40,MATCH($D985,'통합 ④ 설정'!$B$6:$B$40,0)),"")&lt;&gt;"○"),"바우처통장 지출 — 목적 확인",IF($H985="","적요를 적으십시오",""))))))))))))</f>
        <v/>
      </c>
      <c r="M985" s="39"/>
      <c r="O985" s="11" t="str">
        <f aca="false">IF($B985="","",YEAR($B985)*100+MONTH($B985))</f>
        <v/>
      </c>
      <c r="P985" s="11" t="str">
        <f aca="false">IF($B985="","",IF($E985="대체",0,1))</f>
        <v/>
      </c>
    </row>
    <row r="986" customFormat="false" ht="15" hidden="false" customHeight="false" outlineLevel="0" collapsed="false">
      <c r="A986" s="36" t="str">
        <f aca="false">IF($B986="","",COUNT($B$15:$B986))</f>
        <v/>
      </c>
      <c r="B986" s="37"/>
      <c r="C986" s="38"/>
      <c r="D986" s="39"/>
      <c r="E986" s="36" t="str">
        <f aca="false">IF($D986="","",IFERROR(INDEX('통합 ④ 설정'!$A$6:$A$40,MATCH($D986,'통합 ④ 설정'!$B$6:$B$40,0)),"※없는 과목"))</f>
        <v/>
      </c>
      <c r="F986" s="36" t="str">
        <f aca="false">IF($D986="","",IFERROR(INDEX('통합 ④ 설정'!$C$6:$C$40,MATCH($D986,'통합 ④ 설정'!$B$6:$B$40,0)),""))</f>
        <v/>
      </c>
      <c r="G986" s="39"/>
      <c r="H986" s="39"/>
      <c r="I986" s="40"/>
      <c r="J986" s="41"/>
      <c r="K986" s="38"/>
      <c r="L986" s="42" t="str">
        <f aca="false">IF($B986="","",IF(AND(N($I986)=0,N($J986)=0),"금액이 없습니다",IF(AND($I986&gt;0,$J986&gt;0),"수입·지출 둘 다 적혔습니다",IF($C986="","결제수단을 고르십시오",IF(ISNA(MATCH($C986,'통합 ③ 통장·카드'!$A$5:$A$11,0)),"③ 통장·카드에 없는 결제수단입니다",IF($D986="","계정과목을 고르십시오",IF($E986="※없는 과목","④ 설정에 없는 과목입니다",IF(AND($E986="수입",$J986&gt;0),"수입 과목인데 지출에 적혔습니다",IF(AND(LEFT($E986,2)&lt;&gt;"수입",$E986&lt;&gt;"대체",$I986&gt;0),"지출 과목인데 수입에 적혔습니다",IF($K986="","증빙을 고르십시오",IF(AND($C986="바우처통장",$J986&gt;0,IFERROR(INDEX('통합 ④ 설정'!$E$6:$E$40,MATCH($D986,'통합 ④ 설정'!$B$6:$B$40,0)),"")&lt;&gt;"○"),"바우처통장 지출 — 목적 확인",IF($H986="","적요를 적으십시오",""))))))))))))</f>
        <v/>
      </c>
      <c r="M986" s="39"/>
      <c r="O986" s="11" t="str">
        <f aca="false">IF($B986="","",YEAR($B986)*100+MONTH($B986))</f>
        <v/>
      </c>
      <c r="P986" s="11" t="str">
        <f aca="false">IF($B986="","",IF($E986="대체",0,1))</f>
        <v/>
      </c>
    </row>
    <row r="987" customFormat="false" ht="15" hidden="false" customHeight="false" outlineLevel="0" collapsed="false">
      <c r="A987" s="36" t="str">
        <f aca="false">IF($B987="","",COUNT($B$15:$B987))</f>
        <v/>
      </c>
      <c r="B987" s="37"/>
      <c r="C987" s="38"/>
      <c r="D987" s="39"/>
      <c r="E987" s="36" t="str">
        <f aca="false">IF($D987="","",IFERROR(INDEX('통합 ④ 설정'!$A$6:$A$40,MATCH($D987,'통합 ④ 설정'!$B$6:$B$40,0)),"※없는 과목"))</f>
        <v/>
      </c>
      <c r="F987" s="36" t="str">
        <f aca="false">IF($D987="","",IFERROR(INDEX('통합 ④ 설정'!$C$6:$C$40,MATCH($D987,'통합 ④ 설정'!$B$6:$B$40,0)),""))</f>
        <v/>
      </c>
      <c r="G987" s="39"/>
      <c r="H987" s="39"/>
      <c r="I987" s="40"/>
      <c r="J987" s="41"/>
      <c r="K987" s="38"/>
      <c r="L987" s="42" t="str">
        <f aca="false">IF($B987="","",IF(AND(N($I987)=0,N($J987)=0),"금액이 없습니다",IF(AND($I987&gt;0,$J987&gt;0),"수입·지출 둘 다 적혔습니다",IF($C987="","결제수단을 고르십시오",IF(ISNA(MATCH($C987,'통합 ③ 통장·카드'!$A$5:$A$11,0)),"③ 통장·카드에 없는 결제수단입니다",IF($D987="","계정과목을 고르십시오",IF($E987="※없는 과목","④ 설정에 없는 과목입니다",IF(AND($E987="수입",$J987&gt;0),"수입 과목인데 지출에 적혔습니다",IF(AND(LEFT($E987,2)&lt;&gt;"수입",$E987&lt;&gt;"대체",$I987&gt;0),"지출 과목인데 수입에 적혔습니다",IF($K987="","증빙을 고르십시오",IF(AND($C987="바우처통장",$J987&gt;0,IFERROR(INDEX('통합 ④ 설정'!$E$6:$E$40,MATCH($D987,'통합 ④ 설정'!$B$6:$B$40,0)),"")&lt;&gt;"○"),"바우처통장 지출 — 목적 확인",IF($H987="","적요를 적으십시오",""))))))))))))</f>
        <v/>
      </c>
      <c r="M987" s="39"/>
      <c r="O987" s="11" t="str">
        <f aca="false">IF($B987="","",YEAR($B987)*100+MONTH($B987))</f>
        <v/>
      </c>
      <c r="P987" s="11" t="str">
        <f aca="false">IF($B987="","",IF($E987="대체",0,1))</f>
        <v/>
      </c>
    </row>
    <row r="988" customFormat="false" ht="15" hidden="false" customHeight="false" outlineLevel="0" collapsed="false">
      <c r="A988" s="36" t="str">
        <f aca="false">IF($B988="","",COUNT($B$15:$B988))</f>
        <v/>
      </c>
      <c r="B988" s="37"/>
      <c r="C988" s="38"/>
      <c r="D988" s="39"/>
      <c r="E988" s="36" t="str">
        <f aca="false">IF($D988="","",IFERROR(INDEX('통합 ④ 설정'!$A$6:$A$40,MATCH($D988,'통합 ④ 설정'!$B$6:$B$40,0)),"※없는 과목"))</f>
        <v/>
      </c>
      <c r="F988" s="36" t="str">
        <f aca="false">IF($D988="","",IFERROR(INDEX('통합 ④ 설정'!$C$6:$C$40,MATCH($D988,'통합 ④ 설정'!$B$6:$B$40,0)),""))</f>
        <v/>
      </c>
      <c r="G988" s="39"/>
      <c r="H988" s="39"/>
      <c r="I988" s="40"/>
      <c r="J988" s="41"/>
      <c r="K988" s="38"/>
      <c r="L988" s="42" t="str">
        <f aca="false">IF($B988="","",IF(AND(N($I988)=0,N($J988)=0),"금액이 없습니다",IF(AND($I988&gt;0,$J988&gt;0),"수입·지출 둘 다 적혔습니다",IF($C988="","결제수단을 고르십시오",IF(ISNA(MATCH($C988,'통합 ③ 통장·카드'!$A$5:$A$11,0)),"③ 통장·카드에 없는 결제수단입니다",IF($D988="","계정과목을 고르십시오",IF($E988="※없는 과목","④ 설정에 없는 과목입니다",IF(AND($E988="수입",$J988&gt;0),"수입 과목인데 지출에 적혔습니다",IF(AND(LEFT($E988,2)&lt;&gt;"수입",$E988&lt;&gt;"대체",$I988&gt;0),"지출 과목인데 수입에 적혔습니다",IF($K988="","증빙을 고르십시오",IF(AND($C988="바우처통장",$J988&gt;0,IFERROR(INDEX('통합 ④ 설정'!$E$6:$E$40,MATCH($D988,'통합 ④ 설정'!$B$6:$B$40,0)),"")&lt;&gt;"○"),"바우처통장 지출 — 목적 확인",IF($H988="","적요를 적으십시오",""))))))))))))</f>
        <v/>
      </c>
      <c r="M988" s="39"/>
      <c r="O988" s="11" t="str">
        <f aca="false">IF($B988="","",YEAR($B988)*100+MONTH($B988))</f>
        <v/>
      </c>
      <c r="P988" s="11" t="str">
        <f aca="false">IF($B988="","",IF($E988="대체",0,1))</f>
        <v/>
      </c>
    </row>
    <row r="989" customFormat="false" ht="15" hidden="false" customHeight="false" outlineLevel="0" collapsed="false">
      <c r="A989" s="36" t="str">
        <f aca="false">IF($B989="","",COUNT($B$15:$B989))</f>
        <v/>
      </c>
      <c r="B989" s="37"/>
      <c r="C989" s="38"/>
      <c r="D989" s="39"/>
      <c r="E989" s="36" t="str">
        <f aca="false">IF($D989="","",IFERROR(INDEX('통합 ④ 설정'!$A$6:$A$40,MATCH($D989,'통합 ④ 설정'!$B$6:$B$40,0)),"※없는 과목"))</f>
        <v/>
      </c>
      <c r="F989" s="36" t="str">
        <f aca="false">IF($D989="","",IFERROR(INDEX('통합 ④ 설정'!$C$6:$C$40,MATCH($D989,'통합 ④ 설정'!$B$6:$B$40,0)),""))</f>
        <v/>
      </c>
      <c r="G989" s="39"/>
      <c r="H989" s="39"/>
      <c r="I989" s="40"/>
      <c r="J989" s="41"/>
      <c r="K989" s="38"/>
      <c r="L989" s="42" t="str">
        <f aca="false">IF($B989="","",IF(AND(N($I989)=0,N($J989)=0),"금액이 없습니다",IF(AND($I989&gt;0,$J989&gt;0),"수입·지출 둘 다 적혔습니다",IF($C989="","결제수단을 고르십시오",IF(ISNA(MATCH($C989,'통합 ③ 통장·카드'!$A$5:$A$11,0)),"③ 통장·카드에 없는 결제수단입니다",IF($D989="","계정과목을 고르십시오",IF($E989="※없는 과목","④ 설정에 없는 과목입니다",IF(AND($E989="수입",$J989&gt;0),"수입 과목인데 지출에 적혔습니다",IF(AND(LEFT($E989,2)&lt;&gt;"수입",$E989&lt;&gt;"대체",$I989&gt;0),"지출 과목인데 수입에 적혔습니다",IF($K989="","증빙을 고르십시오",IF(AND($C989="바우처통장",$J989&gt;0,IFERROR(INDEX('통합 ④ 설정'!$E$6:$E$40,MATCH($D989,'통합 ④ 설정'!$B$6:$B$40,0)),"")&lt;&gt;"○"),"바우처통장 지출 — 목적 확인",IF($H989="","적요를 적으십시오",""))))))))))))</f>
        <v/>
      </c>
      <c r="M989" s="39"/>
      <c r="O989" s="11" t="str">
        <f aca="false">IF($B989="","",YEAR($B989)*100+MONTH($B989))</f>
        <v/>
      </c>
      <c r="P989" s="11" t="str">
        <f aca="false">IF($B989="","",IF($E989="대체",0,1))</f>
        <v/>
      </c>
    </row>
    <row r="990" customFormat="false" ht="15" hidden="false" customHeight="false" outlineLevel="0" collapsed="false">
      <c r="A990" s="36" t="str">
        <f aca="false">IF($B990="","",COUNT($B$15:$B990))</f>
        <v/>
      </c>
      <c r="B990" s="37"/>
      <c r="C990" s="38"/>
      <c r="D990" s="39"/>
      <c r="E990" s="36" t="str">
        <f aca="false">IF($D990="","",IFERROR(INDEX('통합 ④ 설정'!$A$6:$A$40,MATCH($D990,'통합 ④ 설정'!$B$6:$B$40,0)),"※없는 과목"))</f>
        <v/>
      </c>
      <c r="F990" s="36" t="str">
        <f aca="false">IF($D990="","",IFERROR(INDEX('통합 ④ 설정'!$C$6:$C$40,MATCH($D990,'통합 ④ 설정'!$B$6:$B$40,0)),""))</f>
        <v/>
      </c>
      <c r="G990" s="39"/>
      <c r="H990" s="39"/>
      <c r="I990" s="40"/>
      <c r="J990" s="41"/>
      <c r="K990" s="38"/>
      <c r="L990" s="42" t="str">
        <f aca="false">IF($B990="","",IF(AND(N($I990)=0,N($J990)=0),"금액이 없습니다",IF(AND($I990&gt;0,$J990&gt;0),"수입·지출 둘 다 적혔습니다",IF($C990="","결제수단을 고르십시오",IF(ISNA(MATCH($C990,'통합 ③ 통장·카드'!$A$5:$A$11,0)),"③ 통장·카드에 없는 결제수단입니다",IF($D990="","계정과목을 고르십시오",IF($E990="※없는 과목","④ 설정에 없는 과목입니다",IF(AND($E990="수입",$J990&gt;0),"수입 과목인데 지출에 적혔습니다",IF(AND(LEFT($E990,2)&lt;&gt;"수입",$E990&lt;&gt;"대체",$I990&gt;0),"지출 과목인데 수입에 적혔습니다",IF($K990="","증빙을 고르십시오",IF(AND($C990="바우처통장",$J990&gt;0,IFERROR(INDEX('통합 ④ 설정'!$E$6:$E$40,MATCH($D990,'통합 ④ 설정'!$B$6:$B$40,0)),"")&lt;&gt;"○"),"바우처통장 지출 — 목적 확인",IF($H990="","적요를 적으십시오",""))))))))))))</f>
        <v/>
      </c>
      <c r="M990" s="39"/>
      <c r="O990" s="11" t="str">
        <f aca="false">IF($B990="","",YEAR($B990)*100+MONTH($B990))</f>
        <v/>
      </c>
      <c r="P990" s="11" t="str">
        <f aca="false">IF($B990="","",IF($E990="대체",0,1))</f>
        <v/>
      </c>
    </row>
    <row r="991" customFormat="false" ht="15" hidden="false" customHeight="false" outlineLevel="0" collapsed="false">
      <c r="A991" s="36" t="str">
        <f aca="false">IF($B991="","",COUNT($B$15:$B991))</f>
        <v/>
      </c>
      <c r="B991" s="37"/>
      <c r="C991" s="38"/>
      <c r="D991" s="39"/>
      <c r="E991" s="36" t="str">
        <f aca="false">IF($D991="","",IFERROR(INDEX('통합 ④ 설정'!$A$6:$A$40,MATCH($D991,'통합 ④ 설정'!$B$6:$B$40,0)),"※없는 과목"))</f>
        <v/>
      </c>
      <c r="F991" s="36" t="str">
        <f aca="false">IF($D991="","",IFERROR(INDEX('통합 ④ 설정'!$C$6:$C$40,MATCH($D991,'통합 ④ 설정'!$B$6:$B$40,0)),""))</f>
        <v/>
      </c>
      <c r="G991" s="39"/>
      <c r="H991" s="39"/>
      <c r="I991" s="40"/>
      <c r="J991" s="41"/>
      <c r="K991" s="38"/>
      <c r="L991" s="42" t="str">
        <f aca="false">IF($B991="","",IF(AND(N($I991)=0,N($J991)=0),"금액이 없습니다",IF(AND($I991&gt;0,$J991&gt;0),"수입·지출 둘 다 적혔습니다",IF($C991="","결제수단을 고르십시오",IF(ISNA(MATCH($C991,'통합 ③ 통장·카드'!$A$5:$A$11,0)),"③ 통장·카드에 없는 결제수단입니다",IF($D991="","계정과목을 고르십시오",IF($E991="※없는 과목","④ 설정에 없는 과목입니다",IF(AND($E991="수입",$J991&gt;0),"수입 과목인데 지출에 적혔습니다",IF(AND(LEFT($E991,2)&lt;&gt;"수입",$E991&lt;&gt;"대체",$I991&gt;0),"지출 과목인데 수입에 적혔습니다",IF($K991="","증빙을 고르십시오",IF(AND($C991="바우처통장",$J991&gt;0,IFERROR(INDEX('통합 ④ 설정'!$E$6:$E$40,MATCH($D991,'통합 ④ 설정'!$B$6:$B$40,0)),"")&lt;&gt;"○"),"바우처통장 지출 — 목적 확인",IF($H991="","적요를 적으십시오",""))))))))))))</f>
        <v/>
      </c>
      <c r="M991" s="39"/>
      <c r="O991" s="11" t="str">
        <f aca="false">IF($B991="","",YEAR($B991)*100+MONTH($B991))</f>
        <v/>
      </c>
      <c r="P991" s="11" t="str">
        <f aca="false">IF($B991="","",IF($E991="대체",0,1))</f>
        <v/>
      </c>
    </row>
    <row r="992" customFormat="false" ht="15" hidden="false" customHeight="false" outlineLevel="0" collapsed="false">
      <c r="A992" s="36" t="str">
        <f aca="false">IF($B992="","",COUNT($B$15:$B992))</f>
        <v/>
      </c>
      <c r="B992" s="37"/>
      <c r="C992" s="38"/>
      <c r="D992" s="39"/>
      <c r="E992" s="36" t="str">
        <f aca="false">IF($D992="","",IFERROR(INDEX('통합 ④ 설정'!$A$6:$A$40,MATCH($D992,'통합 ④ 설정'!$B$6:$B$40,0)),"※없는 과목"))</f>
        <v/>
      </c>
      <c r="F992" s="36" t="str">
        <f aca="false">IF($D992="","",IFERROR(INDEX('통합 ④ 설정'!$C$6:$C$40,MATCH($D992,'통합 ④ 설정'!$B$6:$B$40,0)),""))</f>
        <v/>
      </c>
      <c r="G992" s="39"/>
      <c r="H992" s="39"/>
      <c r="I992" s="40"/>
      <c r="J992" s="41"/>
      <c r="K992" s="38"/>
      <c r="L992" s="42" t="str">
        <f aca="false">IF($B992="","",IF(AND(N($I992)=0,N($J992)=0),"금액이 없습니다",IF(AND($I992&gt;0,$J992&gt;0),"수입·지출 둘 다 적혔습니다",IF($C992="","결제수단을 고르십시오",IF(ISNA(MATCH($C992,'통합 ③ 통장·카드'!$A$5:$A$11,0)),"③ 통장·카드에 없는 결제수단입니다",IF($D992="","계정과목을 고르십시오",IF($E992="※없는 과목","④ 설정에 없는 과목입니다",IF(AND($E992="수입",$J992&gt;0),"수입 과목인데 지출에 적혔습니다",IF(AND(LEFT($E992,2)&lt;&gt;"수입",$E992&lt;&gt;"대체",$I992&gt;0),"지출 과목인데 수입에 적혔습니다",IF($K992="","증빙을 고르십시오",IF(AND($C992="바우처통장",$J992&gt;0,IFERROR(INDEX('통합 ④ 설정'!$E$6:$E$40,MATCH($D992,'통합 ④ 설정'!$B$6:$B$40,0)),"")&lt;&gt;"○"),"바우처통장 지출 — 목적 확인",IF($H992="","적요를 적으십시오",""))))))))))))</f>
        <v/>
      </c>
      <c r="M992" s="39"/>
      <c r="O992" s="11" t="str">
        <f aca="false">IF($B992="","",YEAR($B992)*100+MONTH($B992))</f>
        <v/>
      </c>
      <c r="P992" s="11" t="str">
        <f aca="false">IF($B992="","",IF($E992="대체",0,1))</f>
        <v/>
      </c>
    </row>
    <row r="993" customFormat="false" ht="15" hidden="false" customHeight="false" outlineLevel="0" collapsed="false">
      <c r="A993" s="36" t="str">
        <f aca="false">IF($B993="","",COUNT($B$15:$B993))</f>
        <v/>
      </c>
      <c r="B993" s="37"/>
      <c r="C993" s="38"/>
      <c r="D993" s="39"/>
      <c r="E993" s="36" t="str">
        <f aca="false">IF($D993="","",IFERROR(INDEX('통합 ④ 설정'!$A$6:$A$40,MATCH($D993,'통합 ④ 설정'!$B$6:$B$40,0)),"※없는 과목"))</f>
        <v/>
      </c>
      <c r="F993" s="36" t="str">
        <f aca="false">IF($D993="","",IFERROR(INDEX('통합 ④ 설정'!$C$6:$C$40,MATCH($D993,'통합 ④ 설정'!$B$6:$B$40,0)),""))</f>
        <v/>
      </c>
      <c r="G993" s="39"/>
      <c r="H993" s="39"/>
      <c r="I993" s="40"/>
      <c r="J993" s="41"/>
      <c r="K993" s="38"/>
      <c r="L993" s="42" t="str">
        <f aca="false">IF($B993="","",IF(AND(N($I993)=0,N($J993)=0),"금액이 없습니다",IF(AND($I993&gt;0,$J993&gt;0),"수입·지출 둘 다 적혔습니다",IF($C993="","결제수단을 고르십시오",IF(ISNA(MATCH($C993,'통합 ③ 통장·카드'!$A$5:$A$11,0)),"③ 통장·카드에 없는 결제수단입니다",IF($D993="","계정과목을 고르십시오",IF($E993="※없는 과목","④ 설정에 없는 과목입니다",IF(AND($E993="수입",$J993&gt;0),"수입 과목인데 지출에 적혔습니다",IF(AND(LEFT($E993,2)&lt;&gt;"수입",$E993&lt;&gt;"대체",$I993&gt;0),"지출 과목인데 수입에 적혔습니다",IF($K993="","증빙을 고르십시오",IF(AND($C993="바우처통장",$J993&gt;0,IFERROR(INDEX('통합 ④ 설정'!$E$6:$E$40,MATCH($D993,'통합 ④ 설정'!$B$6:$B$40,0)),"")&lt;&gt;"○"),"바우처통장 지출 — 목적 확인",IF($H993="","적요를 적으십시오",""))))))))))))</f>
        <v/>
      </c>
      <c r="M993" s="39"/>
      <c r="O993" s="11" t="str">
        <f aca="false">IF($B993="","",YEAR($B993)*100+MONTH($B993))</f>
        <v/>
      </c>
      <c r="P993" s="11" t="str">
        <f aca="false">IF($B993="","",IF($E993="대체",0,1))</f>
        <v/>
      </c>
    </row>
    <row r="994" customFormat="false" ht="15" hidden="false" customHeight="false" outlineLevel="0" collapsed="false">
      <c r="A994" s="36" t="str">
        <f aca="false">IF($B994="","",COUNT($B$15:$B994))</f>
        <v/>
      </c>
      <c r="B994" s="37"/>
      <c r="C994" s="38"/>
      <c r="D994" s="39"/>
      <c r="E994" s="36" t="str">
        <f aca="false">IF($D994="","",IFERROR(INDEX('통합 ④ 설정'!$A$6:$A$40,MATCH($D994,'통합 ④ 설정'!$B$6:$B$40,0)),"※없는 과목"))</f>
        <v/>
      </c>
      <c r="F994" s="36" t="str">
        <f aca="false">IF($D994="","",IFERROR(INDEX('통합 ④ 설정'!$C$6:$C$40,MATCH($D994,'통합 ④ 설정'!$B$6:$B$40,0)),""))</f>
        <v/>
      </c>
      <c r="G994" s="39"/>
      <c r="H994" s="39"/>
      <c r="I994" s="40"/>
      <c r="J994" s="41"/>
      <c r="K994" s="38"/>
      <c r="L994" s="42" t="str">
        <f aca="false">IF($B994="","",IF(AND(N($I994)=0,N($J994)=0),"금액이 없습니다",IF(AND($I994&gt;0,$J994&gt;0),"수입·지출 둘 다 적혔습니다",IF($C994="","결제수단을 고르십시오",IF(ISNA(MATCH($C994,'통합 ③ 통장·카드'!$A$5:$A$11,0)),"③ 통장·카드에 없는 결제수단입니다",IF($D994="","계정과목을 고르십시오",IF($E994="※없는 과목","④ 설정에 없는 과목입니다",IF(AND($E994="수입",$J994&gt;0),"수입 과목인데 지출에 적혔습니다",IF(AND(LEFT($E994,2)&lt;&gt;"수입",$E994&lt;&gt;"대체",$I994&gt;0),"지출 과목인데 수입에 적혔습니다",IF($K994="","증빙을 고르십시오",IF(AND($C994="바우처통장",$J994&gt;0,IFERROR(INDEX('통합 ④ 설정'!$E$6:$E$40,MATCH($D994,'통합 ④ 설정'!$B$6:$B$40,0)),"")&lt;&gt;"○"),"바우처통장 지출 — 목적 확인",IF($H994="","적요를 적으십시오",""))))))))))))</f>
        <v/>
      </c>
      <c r="M994" s="39"/>
      <c r="O994" s="11" t="str">
        <f aca="false">IF($B994="","",YEAR($B994)*100+MONTH($B994))</f>
        <v/>
      </c>
      <c r="P994" s="11" t="str">
        <f aca="false">IF($B994="","",IF($E994="대체",0,1))</f>
        <v/>
      </c>
    </row>
    <row r="995" customFormat="false" ht="15" hidden="false" customHeight="false" outlineLevel="0" collapsed="false">
      <c r="A995" s="36" t="str">
        <f aca="false">IF($B995="","",COUNT($B$15:$B995))</f>
        <v/>
      </c>
      <c r="B995" s="37"/>
      <c r="C995" s="38"/>
      <c r="D995" s="39"/>
      <c r="E995" s="36" t="str">
        <f aca="false">IF($D995="","",IFERROR(INDEX('통합 ④ 설정'!$A$6:$A$40,MATCH($D995,'통합 ④ 설정'!$B$6:$B$40,0)),"※없는 과목"))</f>
        <v/>
      </c>
      <c r="F995" s="36" t="str">
        <f aca="false">IF($D995="","",IFERROR(INDEX('통합 ④ 설정'!$C$6:$C$40,MATCH($D995,'통합 ④ 설정'!$B$6:$B$40,0)),""))</f>
        <v/>
      </c>
      <c r="G995" s="39"/>
      <c r="H995" s="39"/>
      <c r="I995" s="40"/>
      <c r="J995" s="41"/>
      <c r="K995" s="38"/>
      <c r="L995" s="42" t="str">
        <f aca="false">IF($B995="","",IF(AND(N($I995)=0,N($J995)=0),"금액이 없습니다",IF(AND($I995&gt;0,$J995&gt;0),"수입·지출 둘 다 적혔습니다",IF($C995="","결제수단을 고르십시오",IF(ISNA(MATCH($C995,'통합 ③ 통장·카드'!$A$5:$A$11,0)),"③ 통장·카드에 없는 결제수단입니다",IF($D995="","계정과목을 고르십시오",IF($E995="※없는 과목","④ 설정에 없는 과목입니다",IF(AND($E995="수입",$J995&gt;0),"수입 과목인데 지출에 적혔습니다",IF(AND(LEFT($E995,2)&lt;&gt;"수입",$E995&lt;&gt;"대체",$I995&gt;0),"지출 과목인데 수입에 적혔습니다",IF($K995="","증빙을 고르십시오",IF(AND($C995="바우처통장",$J995&gt;0,IFERROR(INDEX('통합 ④ 설정'!$E$6:$E$40,MATCH($D995,'통합 ④ 설정'!$B$6:$B$40,0)),"")&lt;&gt;"○"),"바우처통장 지출 — 목적 확인",IF($H995="","적요를 적으십시오",""))))))))))))</f>
        <v/>
      </c>
      <c r="M995" s="39"/>
      <c r="O995" s="11" t="str">
        <f aca="false">IF($B995="","",YEAR($B995)*100+MONTH($B995))</f>
        <v/>
      </c>
      <c r="P995" s="11" t="str">
        <f aca="false">IF($B995="","",IF($E995="대체",0,1))</f>
        <v/>
      </c>
    </row>
    <row r="996" customFormat="false" ht="15" hidden="false" customHeight="false" outlineLevel="0" collapsed="false">
      <c r="A996" s="36" t="str">
        <f aca="false">IF($B996="","",COUNT($B$15:$B996))</f>
        <v/>
      </c>
      <c r="B996" s="37"/>
      <c r="C996" s="38"/>
      <c r="D996" s="39"/>
      <c r="E996" s="36" t="str">
        <f aca="false">IF($D996="","",IFERROR(INDEX('통합 ④ 설정'!$A$6:$A$40,MATCH($D996,'통합 ④ 설정'!$B$6:$B$40,0)),"※없는 과목"))</f>
        <v/>
      </c>
      <c r="F996" s="36" t="str">
        <f aca="false">IF($D996="","",IFERROR(INDEX('통합 ④ 설정'!$C$6:$C$40,MATCH($D996,'통합 ④ 설정'!$B$6:$B$40,0)),""))</f>
        <v/>
      </c>
      <c r="G996" s="39"/>
      <c r="H996" s="39"/>
      <c r="I996" s="40"/>
      <c r="J996" s="41"/>
      <c r="K996" s="38"/>
      <c r="L996" s="42" t="str">
        <f aca="false">IF($B996="","",IF(AND(N($I996)=0,N($J996)=0),"금액이 없습니다",IF(AND($I996&gt;0,$J996&gt;0),"수입·지출 둘 다 적혔습니다",IF($C996="","결제수단을 고르십시오",IF(ISNA(MATCH($C996,'통합 ③ 통장·카드'!$A$5:$A$11,0)),"③ 통장·카드에 없는 결제수단입니다",IF($D996="","계정과목을 고르십시오",IF($E996="※없는 과목","④ 설정에 없는 과목입니다",IF(AND($E996="수입",$J996&gt;0),"수입 과목인데 지출에 적혔습니다",IF(AND(LEFT($E996,2)&lt;&gt;"수입",$E996&lt;&gt;"대체",$I996&gt;0),"지출 과목인데 수입에 적혔습니다",IF($K996="","증빙을 고르십시오",IF(AND($C996="바우처통장",$J996&gt;0,IFERROR(INDEX('통합 ④ 설정'!$E$6:$E$40,MATCH($D996,'통합 ④ 설정'!$B$6:$B$40,0)),"")&lt;&gt;"○"),"바우처통장 지출 — 목적 확인",IF($H996="","적요를 적으십시오",""))))))))))))</f>
        <v/>
      </c>
      <c r="M996" s="39"/>
      <c r="O996" s="11" t="str">
        <f aca="false">IF($B996="","",YEAR($B996)*100+MONTH($B996))</f>
        <v/>
      </c>
      <c r="P996" s="11" t="str">
        <f aca="false">IF($B996="","",IF($E996="대체",0,1))</f>
        <v/>
      </c>
    </row>
    <row r="997" customFormat="false" ht="15" hidden="false" customHeight="false" outlineLevel="0" collapsed="false">
      <c r="A997" s="36" t="str">
        <f aca="false">IF($B997="","",COUNT($B$15:$B997))</f>
        <v/>
      </c>
      <c r="B997" s="37"/>
      <c r="C997" s="38"/>
      <c r="D997" s="39"/>
      <c r="E997" s="36" t="str">
        <f aca="false">IF($D997="","",IFERROR(INDEX('통합 ④ 설정'!$A$6:$A$40,MATCH($D997,'통합 ④ 설정'!$B$6:$B$40,0)),"※없는 과목"))</f>
        <v/>
      </c>
      <c r="F997" s="36" t="str">
        <f aca="false">IF($D997="","",IFERROR(INDEX('통합 ④ 설정'!$C$6:$C$40,MATCH($D997,'통합 ④ 설정'!$B$6:$B$40,0)),""))</f>
        <v/>
      </c>
      <c r="G997" s="39"/>
      <c r="H997" s="39"/>
      <c r="I997" s="40"/>
      <c r="J997" s="41"/>
      <c r="K997" s="38"/>
      <c r="L997" s="42" t="str">
        <f aca="false">IF($B997="","",IF(AND(N($I997)=0,N($J997)=0),"금액이 없습니다",IF(AND($I997&gt;0,$J997&gt;0),"수입·지출 둘 다 적혔습니다",IF($C997="","결제수단을 고르십시오",IF(ISNA(MATCH($C997,'통합 ③ 통장·카드'!$A$5:$A$11,0)),"③ 통장·카드에 없는 결제수단입니다",IF($D997="","계정과목을 고르십시오",IF($E997="※없는 과목","④ 설정에 없는 과목입니다",IF(AND($E997="수입",$J997&gt;0),"수입 과목인데 지출에 적혔습니다",IF(AND(LEFT($E997,2)&lt;&gt;"수입",$E997&lt;&gt;"대체",$I997&gt;0),"지출 과목인데 수입에 적혔습니다",IF($K997="","증빙을 고르십시오",IF(AND($C997="바우처통장",$J997&gt;0,IFERROR(INDEX('통합 ④ 설정'!$E$6:$E$40,MATCH($D997,'통합 ④ 설정'!$B$6:$B$40,0)),"")&lt;&gt;"○"),"바우처통장 지출 — 목적 확인",IF($H997="","적요를 적으십시오",""))))))))))))</f>
        <v/>
      </c>
      <c r="M997" s="39"/>
      <c r="O997" s="11" t="str">
        <f aca="false">IF($B997="","",YEAR($B997)*100+MONTH($B997))</f>
        <v/>
      </c>
      <c r="P997" s="11" t="str">
        <f aca="false">IF($B997="","",IF($E997="대체",0,1))</f>
        <v/>
      </c>
    </row>
    <row r="998" customFormat="false" ht="15" hidden="false" customHeight="false" outlineLevel="0" collapsed="false">
      <c r="A998" s="36" t="str">
        <f aca="false">IF($B998="","",COUNT($B$15:$B998))</f>
        <v/>
      </c>
      <c r="B998" s="37"/>
      <c r="C998" s="38"/>
      <c r="D998" s="39"/>
      <c r="E998" s="36" t="str">
        <f aca="false">IF($D998="","",IFERROR(INDEX('통합 ④ 설정'!$A$6:$A$40,MATCH($D998,'통합 ④ 설정'!$B$6:$B$40,0)),"※없는 과목"))</f>
        <v/>
      </c>
      <c r="F998" s="36" t="str">
        <f aca="false">IF($D998="","",IFERROR(INDEX('통합 ④ 설정'!$C$6:$C$40,MATCH($D998,'통합 ④ 설정'!$B$6:$B$40,0)),""))</f>
        <v/>
      </c>
      <c r="G998" s="39"/>
      <c r="H998" s="39"/>
      <c r="I998" s="40"/>
      <c r="J998" s="41"/>
      <c r="K998" s="38"/>
      <c r="L998" s="42" t="str">
        <f aca="false">IF($B998="","",IF(AND(N($I998)=0,N($J998)=0),"금액이 없습니다",IF(AND($I998&gt;0,$J998&gt;0),"수입·지출 둘 다 적혔습니다",IF($C998="","결제수단을 고르십시오",IF(ISNA(MATCH($C998,'통합 ③ 통장·카드'!$A$5:$A$11,0)),"③ 통장·카드에 없는 결제수단입니다",IF($D998="","계정과목을 고르십시오",IF($E998="※없는 과목","④ 설정에 없는 과목입니다",IF(AND($E998="수입",$J998&gt;0),"수입 과목인데 지출에 적혔습니다",IF(AND(LEFT($E998,2)&lt;&gt;"수입",$E998&lt;&gt;"대체",$I998&gt;0),"지출 과목인데 수입에 적혔습니다",IF($K998="","증빙을 고르십시오",IF(AND($C998="바우처통장",$J998&gt;0,IFERROR(INDEX('통합 ④ 설정'!$E$6:$E$40,MATCH($D998,'통합 ④ 설정'!$B$6:$B$40,0)),"")&lt;&gt;"○"),"바우처통장 지출 — 목적 확인",IF($H998="","적요를 적으십시오",""))))))))))))</f>
        <v/>
      </c>
      <c r="M998" s="39"/>
      <c r="O998" s="11" t="str">
        <f aca="false">IF($B998="","",YEAR($B998)*100+MONTH($B998))</f>
        <v/>
      </c>
      <c r="P998" s="11" t="str">
        <f aca="false">IF($B998="","",IF($E998="대체",0,1))</f>
        <v/>
      </c>
    </row>
    <row r="999" customFormat="false" ht="15" hidden="false" customHeight="false" outlineLevel="0" collapsed="false">
      <c r="A999" s="36" t="str">
        <f aca="false">IF($B999="","",COUNT($B$15:$B999))</f>
        <v/>
      </c>
      <c r="B999" s="37"/>
      <c r="C999" s="38"/>
      <c r="D999" s="39"/>
      <c r="E999" s="36" t="str">
        <f aca="false">IF($D999="","",IFERROR(INDEX('통합 ④ 설정'!$A$6:$A$40,MATCH($D999,'통합 ④ 설정'!$B$6:$B$40,0)),"※없는 과목"))</f>
        <v/>
      </c>
      <c r="F999" s="36" t="str">
        <f aca="false">IF($D999="","",IFERROR(INDEX('통합 ④ 설정'!$C$6:$C$40,MATCH($D999,'통합 ④ 설정'!$B$6:$B$40,0)),""))</f>
        <v/>
      </c>
      <c r="G999" s="39"/>
      <c r="H999" s="39"/>
      <c r="I999" s="40"/>
      <c r="J999" s="41"/>
      <c r="K999" s="38"/>
      <c r="L999" s="42" t="str">
        <f aca="false">IF($B999="","",IF(AND(N($I999)=0,N($J999)=0),"금액이 없습니다",IF(AND($I999&gt;0,$J999&gt;0),"수입·지출 둘 다 적혔습니다",IF($C999="","결제수단을 고르십시오",IF(ISNA(MATCH($C999,'통합 ③ 통장·카드'!$A$5:$A$11,0)),"③ 통장·카드에 없는 결제수단입니다",IF($D999="","계정과목을 고르십시오",IF($E999="※없는 과목","④ 설정에 없는 과목입니다",IF(AND($E999="수입",$J999&gt;0),"수입 과목인데 지출에 적혔습니다",IF(AND(LEFT($E999,2)&lt;&gt;"수입",$E999&lt;&gt;"대체",$I999&gt;0),"지출 과목인데 수입에 적혔습니다",IF($K999="","증빙을 고르십시오",IF(AND($C999="바우처통장",$J999&gt;0,IFERROR(INDEX('통합 ④ 설정'!$E$6:$E$40,MATCH($D999,'통합 ④ 설정'!$B$6:$B$40,0)),"")&lt;&gt;"○"),"바우처통장 지출 — 목적 확인",IF($H999="","적요를 적으십시오",""))))))))))))</f>
        <v/>
      </c>
      <c r="M999" s="39"/>
      <c r="O999" s="11" t="str">
        <f aca="false">IF($B999="","",YEAR($B999)*100+MONTH($B999))</f>
        <v/>
      </c>
      <c r="P999" s="11" t="str">
        <f aca="false">IF($B999="","",IF($E999="대체",0,1))</f>
        <v/>
      </c>
    </row>
    <row r="1000" customFormat="false" ht="15" hidden="false" customHeight="false" outlineLevel="0" collapsed="false">
      <c r="A1000" s="36" t="str">
        <f aca="false">IF($B1000="","",COUNT($B$15:$B1000))</f>
        <v/>
      </c>
      <c r="B1000" s="37"/>
      <c r="C1000" s="38"/>
      <c r="D1000" s="39"/>
      <c r="E1000" s="36" t="str">
        <f aca="false">IF($D1000="","",IFERROR(INDEX('통합 ④ 설정'!$A$6:$A$40,MATCH($D1000,'통합 ④ 설정'!$B$6:$B$40,0)),"※없는 과목"))</f>
        <v/>
      </c>
      <c r="F1000" s="36" t="str">
        <f aca="false">IF($D1000="","",IFERROR(INDEX('통합 ④ 설정'!$C$6:$C$40,MATCH($D1000,'통합 ④ 설정'!$B$6:$B$40,0)),""))</f>
        <v/>
      </c>
      <c r="G1000" s="39"/>
      <c r="H1000" s="39"/>
      <c r="I1000" s="40"/>
      <c r="J1000" s="41"/>
      <c r="K1000" s="38"/>
      <c r="L1000" s="42" t="str">
        <f aca="false">IF($B1000="","",IF(AND(N($I1000)=0,N($J1000)=0),"금액이 없습니다",IF(AND($I1000&gt;0,$J1000&gt;0),"수입·지출 둘 다 적혔습니다",IF($C1000="","결제수단을 고르십시오",IF(ISNA(MATCH($C1000,'통합 ③ 통장·카드'!$A$5:$A$11,0)),"③ 통장·카드에 없는 결제수단입니다",IF($D1000="","계정과목을 고르십시오",IF($E1000="※없는 과목","④ 설정에 없는 과목입니다",IF(AND($E1000="수입",$J1000&gt;0),"수입 과목인데 지출에 적혔습니다",IF(AND(LEFT($E1000,2)&lt;&gt;"수입",$E1000&lt;&gt;"대체",$I1000&gt;0),"지출 과목인데 수입에 적혔습니다",IF($K1000="","증빙을 고르십시오",IF(AND($C1000="바우처통장",$J1000&gt;0,IFERROR(INDEX('통합 ④ 설정'!$E$6:$E$40,MATCH($D1000,'통합 ④ 설정'!$B$6:$B$40,0)),"")&lt;&gt;"○"),"바우처통장 지출 — 목적 확인",IF($H1000="","적요를 적으십시오",""))))))))))))</f>
        <v/>
      </c>
      <c r="M1000" s="39"/>
      <c r="O1000" s="11" t="str">
        <f aca="false">IF($B1000="","",YEAR($B1000)*100+MONTH($B1000))</f>
        <v/>
      </c>
      <c r="P1000" s="11" t="str">
        <f aca="false">IF($B1000="","",IF($E1000="대체",0,1))</f>
        <v/>
      </c>
    </row>
    <row r="1001" customFormat="false" ht="15" hidden="false" customHeight="false" outlineLevel="0" collapsed="false">
      <c r="A1001" s="36" t="str">
        <f aca="false">IF($B1001="","",COUNT($B$15:$B1001))</f>
        <v/>
      </c>
      <c r="B1001" s="37"/>
      <c r="C1001" s="38"/>
      <c r="D1001" s="39"/>
      <c r="E1001" s="36" t="str">
        <f aca="false">IF($D1001="","",IFERROR(INDEX('통합 ④ 설정'!$A$6:$A$40,MATCH($D1001,'통합 ④ 설정'!$B$6:$B$40,0)),"※없는 과목"))</f>
        <v/>
      </c>
      <c r="F1001" s="36" t="str">
        <f aca="false">IF($D1001="","",IFERROR(INDEX('통합 ④ 설정'!$C$6:$C$40,MATCH($D1001,'통합 ④ 설정'!$B$6:$B$40,0)),""))</f>
        <v/>
      </c>
      <c r="G1001" s="39"/>
      <c r="H1001" s="39"/>
      <c r="I1001" s="40"/>
      <c r="J1001" s="41"/>
      <c r="K1001" s="38"/>
      <c r="L1001" s="42" t="str">
        <f aca="false">IF($B1001="","",IF(AND(N($I1001)=0,N($J1001)=0),"금액이 없습니다",IF(AND($I1001&gt;0,$J1001&gt;0),"수입·지출 둘 다 적혔습니다",IF($C1001="","결제수단을 고르십시오",IF(ISNA(MATCH($C1001,'통합 ③ 통장·카드'!$A$5:$A$11,0)),"③ 통장·카드에 없는 결제수단입니다",IF($D1001="","계정과목을 고르십시오",IF($E1001="※없는 과목","④ 설정에 없는 과목입니다",IF(AND($E1001="수입",$J1001&gt;0),"수입 과목인데 지출에 적혔습니다",IF(AND(LEFT($E1001,2)&lt;&gt;"수입",$E1001&lt;&gt;"대체",$I1001&gt;0),"지출 과목인데 수입에 적혔습니다",IF($K1001="","증빙을 고르십시오",IF(AND($C1001="바우처통장",$J1001&gt;0,IFERROR(INDEX('통합 ④ 설정'!$E$6:$E$40,MATCH($D1001,'통합 ④ 설정'!$B$6:$B$40,0)),"")&lt;&gt;"○"),"바우처통장 지출 — 목적 확인",IF($H1001="","적요를 적으십시오",""))))))))))))</f>
        <v/>
      </c>
      <c r="M1001" s="39"/>
      <c r="O1001" s="11" t="str">
        <f aca="false">IF($B1001="","",YEAR($B1001)*100+MONTH($B1001))</f>
        <v/>
      </c>
      <c r="P1001" s="11" t="str">
        <f aca="false">IF($B1001="","",IF($E1001="대체",0,1))</f>
        <v/>
      </c>
    </row>
    <row r="1002" customFormat="false" ht="15" hidden="false" customHeight="false" outlineLevel="0" collapsed="false">
      <c r="A1002" s="36" t="str">
        <f aca="false">IF($B1002="","",COUNT($B$15:$B1002))</f>
        <v/>
      </c>
      <c r="B1002" s="37"/>
      <c r="C1002" s="38"/>
      <c r="D1002" s="39"/>
      <c r="E1002" s="36" t="str">
        <f aca="false">IF($D1002="","",IFERROR(INDEX('통합 ④ 설정'!$A$6:$A$40,MATCH($D1002,'통합 ④ 설정'!$B$6:$B$40,0)),"※없는 과목"))</f>
        <v/>
      </c>
      <c r="F1002" s="36" t="str">
        <f aca="false">IF($D1002="","",IFERROR(INDEX('통합 ④ 설정'!$C$6:$C$40,MATCH($D1002,'통합 ④ 설정'!$B$6:$B$40,0)),""))</f>
        <v/>
      </c>
      <c r="G1002" s="39"/>
      <c r="H1002" s="39"/>
      <c r="I1002" s="40"/>
      <c r="J1002" s="41"/>
      <c r="K1002" s="38"/>
      <c r="L1002" s="42" t="str">
        <f aca="false">IF($B1002="","",IF(AND(N($I1002)=0,N($J1002)=0),"금액이 없습니다",IF(AND($I1002&gt;0,$J1002&gt;0),"수입·지출 둘 다 적혔습니다",IF($C1002="","결제수단을 고르십시오",IF(ISNA(MATCH($C1002,'통합 ③ 통장·카드'!$A$5:$A$11,0)),"③ 통장·카드에 없는 결제수단입니다",IF($D1002="","계정과목을 고르십시오",IF($E1002="※없는 과목","④ 설정에 없는 과목입니다",IF(AND($E1002="수입",$J1002&gt;0),"수입 과목인데 지출에 적혔습니다",IF(AND(LEFT($E1002,2)&lt;&gt;"수입",$E1002&lt;&gt;"대체",$I1002&gt;0),"지출 과목인데 수입에 적혔습니다",IF($K1002="","증빙을 고르십시오",IF(AND($C1002="바우처통장",$J1002&gt;0,IFERROR(INDEX('통합 ④ 설정'!$E$6:$E$40,MATCH($D1002,'통합 ④ 설정'!$B$6:$B$40,0)),"")&lt;&gt;"○"),"바우처통장 지출 — 목적 확인",IF($H1002="","적요를 적으십시오",""))))))))))))</f>
        <v/>
      </c>
      <c r="M1002" s="39"/>
      <c r="O1002" s="11" t="str">
        <f aca="false">IF($B1002="","",YEAR($B1002)*100+MONTH($B1002))</f>
        <v/>
      </c>
      <c r="P1002" s="11" t="str">
        <f aca="false">IF($B1002="","",IF($E1002="대체",0,1))</f>
        <v/>
      </c>
    </row>
    <row r="1003" customFormat="false" ht="15" hidden="false" customHeight="false" outlineLevel="0" collapsed="false">
      <c r="A1003" s="36" t="str">
        <f aca="false">IF($B1003="","",COUNT($B$15:$B1003))</f>
        <v/>
      </c>
      <c r="B1003" s="37"/>
      <c r="C1003" s="38"/>
      <c r="D1003" s="39"/>
      <c r="E1003" s="36" t="str">
        <f aca="false">IF($D1003="","",IFERROR(INDEX('통합 ④ 설정'!$A$6:$A$40,MATCH($D1003,'통합 ④ 설정'!$B$6:$B$40,0)),"※없는 과목"))</f>
        <v/>
      </c>
      <c r="F1003" s="36" t="str">
        <f aca="false">IF($D1003="","",IFERROR(INDEX('통합 ④ 설정'!$C$6:$C$40,MATCH($D1003,'통합 ④ 설정'!$B$6:$B$40,0)),""))</f>
        <v/>
      </c>
      <c r="G1003" s="39"/>
      <c r="H1003" s="39"/>
      <c r="I1003" s="40"/>
      <c r="J1003" s="41"/>
      <c r="K1003" s="38"/>
      <c r="L1003" s="42" t="str">
        <f aca="false">IF($B1003="","",IF(AND(N($I1003)=0,N($J1003)=0),"금액이 없습니다",IF(AND($I1003&gt;0,$J1003&gt;0),"수입·지출 둘 다 적혔습니다",IF($C1003="","결제수단을 고르십시오",IF(ISNA(MATCH($C1003,'통합 ③ 통장·카드'!$A$5:$A$11,0)),"③ 통장·카드에 없는 결제수단입니다",IF($D1003="","계정과목을 고르십시오",IF($E1003="※없는 과목","④ 설정에 없는 과목입니다",IF(AND($E1003="수입",$J1003&gt;0),"수입 과목인데 지출에 적혔습니다",IF(AND(LEFT($E1003,2)&lt;&gt;"수입",$E1003&lt;&gt;"대체",$I1003&gt;0),"지출 과목인데 수입에 적혔습니다",IF($K1003="","증빙을 고르십시오",IF(AND($C1003="바우처통장",$J1003&gt;0,IFERROR(INDEX('통합 ④ 설정'!$E$6:$E$40,MATCH($D1003,'통합 ④ 설정'!$B$6:$B$40,0)),"")&lt;&gt;"○"),"바우처통장 지출 — 목적 확인",IF($H1003="","적요를 적으십시오",""))))))))))))</f>
        <v/>
      </c>
      <c r="M1003" s="39"/>
      <c r="O1003" s="11" t="str">
        <f aca="false">IF($B1003="","",YEAR($B1003)*100+MONTH($B1003))</f>
        <v/>
      </c>
      <c r="P1003" s="11" t="str">
        <f aca="false">IF($B1003="","",IF($E1003="대체",0,1))</f>
        <v/>
      </c>
    </row>
    <row r="1004" customFormat="false" ht="15" hidden="false" customHeight="false" outlineLevel="0" collapsed="false">
      <c r="A1004" s="36" t="str">
        <f aca="false">IF($B1004="","",COUNT($B$15:$B1004))</f>
        <v/>
      </c>
      <c r="B1004" s="37"/>
      <c r="C1004" s="38"/>
      <c r="D1004" s="39"/>
      <c r="E1004" s="36" t="str">
        <f aca="false">IF($D1004="","",IFERROR(INDEX('통합 ④ 설정'!$A$6:$A$40,MATCH($D1004,'통합 ④ 설정'!$B$6:$B$40,0)),"※없는 과목"))</f>
        <v/>
      </c>
      <c r="F1004" s="36" t="str">
        <f aca="false">IF($D1004="","",IFERROR(INDEX('통합 ④ 설정'!$C$6:$C$40,MATCH($D1004,'통합 ④ 설정'!$B$6:$B$40,0)),""))</f>
        <v/>
      </c>
      <c r="G1004" s="39"/>
      <c r="H1004" s="39"/>
      <c r="I1004" s="40"/>
      <c r="J1004" s="41"/>
      <c r="K1004" s="38"/>
      <c r="L1004" s="42" t="str">
        <f aca="false">IF($B1004="","",IF(AND(N($I1004)=0,N($J1004)=0),"금액이 없습니다",IF(AND($I1004&gt;0,$J1004&gt;0),"수입·지출 둘 다 적혔습니다",IF($C1004="","결제수단을 고르십시오",IF(ISNA(MATCH($C1004,'통합 ③ 통장·카드'!$A$5:$A$11,0)),"③ 통장·카드에 없는 결제수단입니다",IF($D1004="","계정과목을 고르십시오",IF($E1004="※없는 과목","④ 설정에 없는 과목입니다",IF(AND($E1004="수입",$J1004&gt;0),"수입 과목인데 지출에 적혔습니다",IF(AND(LEFT($E1004,2)&lt;&gt;"수입",$E1004&lt;&gt;"대체",$I1004&gt;0),"지출 과목인데 수입에 적혔습니다",IF($K1004="","증빙을 고르십시오",IF(AND($C1004="바우처통장",$J1004&gt;0,IFERROR(INDEX('통합 ④ 설정'!$E$6:$E$40,MATCH($D1004,'통합 ④ 설정'!$B$6:$B$40,0)),"")&lt;&gt;"○"),"바우처통장 지출 — 목적 확인",IF($H1004="","적요를 적으십시오",""))))))))))))</f>
        <v/>
      </c>
      <c r="M1004" s="39"/>
      <c r="O1004" s="11" t="str">
        <f aca="false">IF($B1004="","",YEAR($B1004)*100+MONTH($B1004))</f>
        <v/>
      </c>
      <c r="P1004" s="11" t="str">
        <f aca="false">IF($B1004="","",IF($E1004="대체",0,1))</f>
        <v/>
      </c>
    </row>
    <row r="1005" customFormat="false" ht="15" hidden="false" customHeight="false" outlineLevel="0" collapsed="false">
      <c r="A1005" s="36" t="str">
        <f aca="false">IF($B1005="","",COUNT($B$15:$B1005))</f>
        <v/>
      </c>
      <c r="B1005" s="37"/>
      <c r="C1005" s="38"/>
      <c r="D1005" s="39"/>
      <c r="E1005" s="36" t="str">
        <f aca="false">IF($D1005="","",IFERROR(INDEX('통합 ④ 설정'!$A$6:$A$40,MATCH($D1005,'통합 ④ 설정'!$B$6:$B$40,0)),"※없는 과목"))</f>
        <v/>
      </c>
      <c r="F1005" s="36" t="str">
        <f aca="false">IF($D1005="","",IFERROR(INDEX('통합 ④ 설정'!$C$6:$C$40,MATCH($D1005,'통합 ④ 설정'!$B$6:$B$40,0)),""))</f>
        <v/>
      </c>
      <c r="G1005" s="39"/>
      <c r="H1005" s="39"/>
      <c r="I1005" s="40"/>
      <c r="J1005" s="41"/>
      <c r="K1005" s="38"/>
      <c r="L1005" s="42" t="str">
        <f aca="false">IF($B1005="","",IF(AND(N($I1005)=0,N($J1005)=0),"금액이 없습니다",IF(AND($I1005&gt;0,$J1005&gt;0),"수입·지출 둘 다 적혔습니다",IF($C1005="","결제수단을 고르십시오",IF(ISNA(MATCH($C1005,'통합 ③ 통장·카드'!$A$5:$A$11,0)),"③ 통장·카드에 없는 결제수단입니다",IF($D1005="","계정과목을 고르십시오",IF($E1005="※없는 과목","④ 설정에 없는 과목입니다",IF(AND($E1005="수입",$J1005&gt;0),"수입 과목인데 지출에 적혔습니다",IF(AND(LEFT($E1005,2)&lt;&gt;"수입",$E1005&lt;&gt;"대체",$I1005&gt;0),"지출 과목인데 수입에 적혔습니다",IF($K1005="","증빙을 고르십시오",IF(AND($C1005="바우처통장",$J1005&gt;0,IFERROR(INDEX('통합 ④ 설정'!$E$6:$E$40,MATCH($D1005,'통합 ④ 설정'!$B$6:$B$40,0)),"")&lt;&gt;"○"),"바우처통장 지출 — 목적 확인",IF($H1005="","적요를 적으십시오",""))))))))))))</f>
        <v/>
      </c>
      <c r="M1005" s="39"/>
      <c r="O1005" s="11" t="str">
        <f aca="false">IF($B1005="","",YEAR($B1005)*100+MONTH($B1005))</f>
        <v/>
      </c>
      <c r="P1005" s="11" t="str">
        <f aca="false">IF($B1005="","",IF($E1005="대체",0,1))</f>
        <v/>
      </c>
    </row>
    <row r="1006" customFormat="false" ht="15" hidden="false" customHeight="false" outlineLevel="0" collapsed="false">
      <c r="A1006" s="36" t="str">
        <f aca="false">IF($B1006="","",COUNT($B$15:$B1006))</f>
        <v/>
      </c>
      <c r="B1006" s="37"/>
      <c r="C1006" s="38"/>
      <c r="D1006" s="39"/>
      <c r="E1006" s="36" t="str">
        <f aca="false">IF($D1006="","",IFERROR(INDEX('통합 ④ 설정'!$A$6:$A$40,MATCH($D1006,'통합 ④ 설정'!$B$6:$B$40,0)),"※없는 과목"))</f>
        <v/>
      </c>
      <c r="F1006" s="36" t="str">
        <f aca="false">IF($D1006="","",IFERROR(INDEX('통합 ④ 설정'!$C$6:$C$40,MATCH($D1006,'통합 ④ 설정'!$B$6:$B$40,0)),""))</f>
        <v/>
      </c>
      <c r="G1006" s="39"/>
      <c r="H1006" s="39"/>
      <c r="I1006" s="40"/>
      <c r="J1006" s="41"/>
      <c r="K1006" s="38"/>
      <c r="L1006" s="42" t="str">
        <f aca="false">IF($B1006="","",IF(AND(N($I1006)=0,N($J1006)=0),"금액이 없습니다",IF(AND($I1006&gt;0,$J1006&gt;0),"수입·지출 둘 다 적혔습니다",IF($C1006="","결제수단을 고르십시오",IF(ISNA(MATCH($C1006,'통합 ③ 통장·카드'!$A$5:$A$11,0)),"③ 통장·카드에 없는 결제수단입니다",IF($D1006="","계정과목을 고르십시오",IF($E1006="※없는 과목","④ 설정에 없는 과목입니다",IF(AND($E1006="수입",$J1006&gt;0),"수입 과목인데 지출에 적혔습니다",IF(AND(LEFT($E1006,2)&lt;&gt;"수입",$E1006&lt;&gt;"대체",$I1006&gt;0),"지출 과목인데 수입에 적혔습니다",IF($K1006="","증빙을 고르십시오",IF(AND($C1006="바우처통장",$J1006&gt;0,IFERROR(INDEX('통합 ④ 설정'!$E$6:$E$40,MATCH($D1006,'통합 ④ 설정'!$B$6:$B$40,0)),"")&lt;&gt;"○"),"바우처통장 지출 — 목적 확인",IF($H1006="","적요를 적으십시오",""))))))))))))</f>
        <v/>
      </c>
      <c r="M1006" s="39"/>
      <c r="O1006" s="11" t="str">
        <f aca="false">IF($B1006="","",YEAR($B1006)*100+MONTH($B1006))</f>
        <v/>
      </c>
      <c r="P1006" s="11" t="str">
        <f aca="false">IF($B1006="","",IF($E1006="대체",0,1))</f>
        <v/>
      </c>
    </row>
    <row r="1007" customFormat="false" ht="15" hidden="false" customHeight="false" outlineLevel="0" collapsed="false">
      <c r="A1007" s="36" t="str">
        <f aca="false">IF($B1007="","",COUNT($B$15:$B1007))</f>
        <v/>
      </c>
      <c r="B1007" s="37"/>
      <c r="C1007" s="38"/>
      <c r="D1007" s="39"/>
      <c r="E1007" s="36" t="str">
        <f aca="false">IF($D1007="","",IFERROR(INDEX('통합 ④ 설정'!$A$6:$A$40,MATCH($D1007,'통합 ④ 설정'!$B$6:$B$40,0)),"※없는 과목"))</f>
        <v/>
      </c>
      <c r="F1007" s="36" t="str">
        <f aca="false">IF($D1007="","",IFERROR(INDEX('통합 ④ 설정'!$C$6:$C$40,MATCH($D1007,'통합 ④ 설정'!$B$6:$B$40,0)),""))</f>
        <v/>
      </c>
      <c r="G1007" s="39"/>
      <c r="H1007" s="39"/>
      <c r="I1007" s="40"/>
      <c r="J1007" s="41"/>
      <c r="K1007" s="38"/>
      <c r="L1007" s="42" t="str">
        <f aca="false">IF($B1007="","",IF(AND(N($I1007)=0,N($J1007)=0),"금액이 없습니다",IF(AND($I1007&gt;0,$J1007&gt;0),"수입·지출 둘 다 적혔습니다",IF($C1007="","결제수단을 고르십시오",IF(ISNA(MATCH($C1007,'통합 ③ 통장·카드'!$A$5:$A$11,0)),"③ 통장·카드에 없는 결제수단입니다",IF($D1007="","계정과목을 고르십시오",IF($E1007="※없는 과목","④ 설정에 없는 과목입니다",IF(AND($E1007="수입",$J1007&gt;0),"수입 과목인데 지출에 적혔습니다",IF(AND(LEFT($E1007,2)&lt;&gt;"수입",$E1007&lt;&gt;"대체",$I1007&gt;0),"지출 과목인데 수입에 적혔습니다",IF($K1007="","증빙을 고르십시오",IF(AND($C1007="바우처통장",$J1007&gt;0,IFERROR(INDEX('통합 ④ 설정'!$E$6:$E$40,MATCH($D1007,'통합 ④ 설정'!$B$6:$B$40,0)),"")&lt;&gt;"○"),"바우처통장 지출 — 목적 확인",IF($H1007="","적요를 적으십시오",""))))))))))))</f>
        <v/>
      </c>
      <c r="M1007" s="39"/>
      <c r="O1007" s="11" t="str">
        <f aca="false">IF($B1007="","",YEAR($B1007)*100+MONTH($B1007))</f>
        <v/>
      </c>
      <c r="P1007" s="11" t="str">
        <f aca="false">IF($B1007="","",IF($E1007="대체",0,1))</f>
        <v/>
      </c>
    </row>
    <row r="1008" customFormat="false" ht="15" hidden="false" customHeight="false" outlineLevel="0" collapsed="false">
      <c r="A1008" s="36" t="str">
        <f aca="false">IF($B1008="","",COUNT($B$15:$B1008))</f>
        <v/>
      </c>
      <c r="B1008" s="37"/>
      <c r="C1008" s="38"/>
      <c r="D1008" s="39"/>
      <c r="E1008" s="36" t="str">
        <f aca="false">IF($D1008="","",IFERROR(INDEX('통합 ④ 설정'!$A$6:$A$40,MATCH($D1008,'통합 ④ 설정'!$B$6:$B$40,0)),"※없는 과목"))</f>
        <v/>
      </c>
      <c r="F1008" s="36" t="str">
        <f aca="false">IF($D1008="","",IFERROR(INDEX('통합 ④ 설정'!$C$6:$C$40,MATCH($D1008,'통합 ④ 설정'!$B$6:$B$40,0)),""))</f>
        <v/>
      </c>
      <c r="G1008" s="39"/>
      <c r="H1008" s="39"/>
      <c r="I1008" s="40"/>
      <c r="J1008" s="41"/>
      <c r="K1008" s="38"/>
      <c r="L1008" s="42" t="str">
        <f aca="false">IF($B1008="","",IF(AND(N($I1008)=0,N($J1008)=0),"금액이 없습니다",IF(AND($I1008&gt;0,$J1008&gt;0),"수입·지출 둘 다 적혔습니다",IF($C1008="","결제수단을 고르십시오",IF(ISNA(MATCH($C1008,'통합 ③ 통장·카드'!$A$5:$A$11,0)),"③ 통장·카드에 없는 결제수단입니다",IF($D1008="","계정과목을 고르십시오",IF($E1008="※없는 과목","④ 설정에 없는 과목입니다",IF(AND($E1008="수입",$J1008&gt;0),"수입 과목인데 지출에 적혔습니다",IF(AND(LEFT($E1008,2)&lt;&gt;"수입",$E1008&lt;&gt;"대체",$I1008&gt;0),"지출 과목인데 수입에 적혔습니다",IF($K1008="","증빙을 고르십시오",IF(AND($C1008="바우처통장",$J1008&gt;0,IFERROR(INDEX('통합 ④ 설정'!$E$6:$E$40,MATCH($D1008,'통합 ④ 설정'!$B$6:$B$40,0)),"")&lt;&gt;"○"),"바우처통장 지출 — 목적 확인",IF($H1008="","적요를 적으십시오",""))))))))))))</f>
        <v/>
      </c>
      <c r="M1008" s="39"/>
      <c r="O1008" s="11" t="str">
        <f aca="false">IF($B1008="","",YEAR($B1008)*100+MONTH($B1008))</f>
        <v/>
      </c>
      <c r="P1008" s="11" t="str">
        <f aca="false">IF($B1008="","",IF($E1008="대체",0,1))</f>
        <v/>
      </c>
    </row>
    <row r="1009" customFormat="false" ht="15" hidden="false" customHeight="false" outlineLevel="0" collapsed="false">
      <c r="A1009" s="36" t="str">
        <f aca="false">IF($B1009="","",COUNT($B$15:$B1009))</f>
        <v/>
      </c>
      <c r="B1009" s="37"/>
      <c r="C1009" s="38"/>
      <c r="D1009" s="39"/>
      <c r="E1009" s="36" t="str">
        <f aca="false">IF($D1009="","",IFERROR(INDEX('통합 ④ 설정'!$A$6:$A$40,MATCH($D1009,'통합 ④ 설정'!$B$6:$B$40,0)),"※없는 과목"))</f>
        <v/>
      </c>
      <c r="F1009" s="36" t="str">
        <f aca="false">IF($D1009="","",IFERROR(INDEX('통합 ④ 설정'!$C$6:$C$40,MATCH($D1009,'통합 ④ 설정'!$B$6:$B$40,0)),""))</f>
        <v/>
      </c>
      <c r="G1009" s="39"/>
      <c r="H1009" s="39"/>
      <c r="I1009" s="40"/>
      <c r="J1009" s="41"/>
      <c r="K1009" s="38"/>
      <c r="L1009" s="42" t="str">
        <f aca="false">IF($B1009="","",IF(AND(N($I1009)=0,N($J1009)=0),"금액이 없습니다",IF(AND($I1009&gt;0,$J1009&gt;0),"수입·지출 둘 다 적혔습니다",IF($C1009="","결제수단을 고르십시오",IF(ISNA(MATCH($C1009,'통합 ③ 통장·카드'!$A$5:$A$11,0)),"③ 통장·카드에 없는 결제수단입니다",IF($D1009="","계정과목을 고르십시오",IF($E1009="※없는 과목","④ 설정에 없는 과목입니다",IF(AND($E1009="수입",$J1009&gt;0),"수입 과목인데 지출에 적혔습니다",IF(AND(LEFT($E1009,2)&lt;&gt;"수입",$E1009&lt;&gt;"대체",$I1009&gt;0),"지출 과목인데 수입에 적혔습니다",IF($K1009="","증빙을 고르십시오",IF(AND($C1009="바우처통장",$J1009&gt;0,IFERROR(INDEX('통합 ④ 설정'!$E$6:$E$40,MATCH($D1009,'통합 ④ 설정'!$B$6:$B$40,0)),"")&lt;&gt;"○"),"바우처통장 지출 — 목적 확인",IF($H1009="","적요를 적으십시오",""))))))))))))</f>
        <v/>
      </c>
      <c r="M1009" s="39"/>
      <c r="O1009" s="11" t="str">
        <f aca="false">IF($B1009="","",YEAR($B1009)*100+MONTH($B1009))</f>
        <v/>
      </c>
      <c r="P1009" s="11" t="str">
        <f aca="false">IF($B1009="","",IF($E1009="대체",0,1))</f>
        <v/>
      </c>
    </row>
    <row r="1010" customFormat="false" ht="15" hidden="false" customHeight="false" outlineLevel="0" collapsed="false">
      <c r="A1010" s="36" t="str">
        <f aca="false">IF($B1010="","",COUNT($B$15:$B1010))</f>
        <v/>
      </c>
      <c r="B1010" s="37"/>
      <c r="C1010" s="38"/>
      <c r="D1010" s="39"/>
      <c r="E1010" s="36" t="str">
        <f aca="false">IF($D1010="","",IFERROR(INDEX('통합 ④ 설정'!$A$6:$A$40,MATCH($D1010,'통합 ④ 설정'!$B$6:$B$40,0)),"※없는 과목"))</f>
        <v/>
      </c>
      <c r="F1010" s="36" t="str">
        <f aca="false">IF($D1010="","",IFERROR(INDEX('통합 ④ 설정'!$C$6:$C$40,MATCH($D1010,'통합 ④ 설정'!$B$6:$B$40,0)),""))</f>
        <v/>
      </c>
      <c r="G1010" s="39"/>
      <c r="H1010" s="39"/>
      <c r="I1010" s="40"/>
      <c r="J1010" s="41"/>
      <c r="K1010" s="38"/>
      <c r="L1010" s="42" t="str">
        <f aca="false">IF($B1010="","",IF(AND(N($I1010)=0,N($J1010)=0),"금액이 없습니다",IF(AND($I1010&gt;0,$J1010&gt;0),"수입·지출 둘 다 적혔습니다",IF($C1010="","결제수단을 고르십시오",IF(ISNA(MATCH($C1010,'통합 ③ 통장·카드'!$A$5:$A$11,0)),"③ 통장·카드에 없는 결제수단입니다",IF($D1010="","계정과목을 고르십시오",IF($E1010="※없는 과목","④ 설정에 없는 과목입니다",IF(AND($E1010="수입",$J1010&gt;0),"수입 과목인데 지출에 적혔습니다",IF(AND(LEFT($E1010,2)&lt;&gt;"수입",$E1010&lt;&gt;"대체",$I1010&gt;0),"지출 과목인데 수입에 적혔습니다",IF($K1010="","증빙을 고르십시오",IF(AND($C1010="바우처통장",$J1010&gt;0,IFERROR(INDEX('통합 ④ 설정'!$E$6:$E$40,MATCH($D1010,'통합 ④ 설정'!$B$6:$B$40,0)),"")&lt;&gt;"○"),"바우처통장 지출 — 목적 확인",IF($H1010="","적요를 적으십시오",""))))))))))))</f>
        <v/>
      </c>
      <c r="M1010" s="39"/>
      <c r="O1010" s="11" t="str">
        <f aca="false">IF($B1010="","",YEAR($B1010)*100+MONTH($B1010))</f>
        <v/>
      </c>
      <c r="P1010" s="11" t="str">
        <f aca="false">IF($B1010="","",IF($E1010="대체",0,1))</f>
        <v/>
      </c>
    </row>
    <row r="1011" customFormat="false" ht="15" hidden="false" customHeight="false" outlineLevel="0" collapsed="false">
      <c r="A1011" s="36" t="str">
        <f aca="false">IF($B1011="","",COUNT($B$15:$B1011))</f>
        <v/>
      </c>
      <c r="B1011" s="37"/>
      <c r="C1011" s="38"/>
      <c r="D1011" s="39"/>
      <c r="E1011" s="36" t="str">
        <f aca="false">IF($D1011="","",IFERROR(INDEX('통합 ④ 설정'!$A$6:$A$40,MATCH($D1011,'통합 ④ 설정'!$B$6:$B$40,0)),"※없는 과목"))</f>
        <v/>
      </c>
      <c r="F1011" s="36" t="str">
        <f aca="false">IF($D1011="","",IFERROR(INDEX('통합 ④ 설정'!$C$6:$C$40,MATCH($D1011,'통합 ④ 설정'!$B$6:$B$40,0)),""))</f>
        <v/>
      </c>
      <c r="G1011" s="39"/>
      <c r="H1011" s="39"/>
      <c r="I1011" s="40"/>
      <c r="J1011" s="41"/>
      <c r="K1011" s="38"/>
      <c r="L1011" s="42" t="str">
        <f aca="false">IF($B1011="","",IF(AND(N($I1011)=0,N($J1011)=0),"금액이 없습니다",IF(AND($I1011&gt;0,$J1011&gt;0),"수입·지출 둘 다 적혔습니다",IF($C1011="","결제수단을 고르십시오",IF(ISNA(MATCH($C1011,'통합 ③ 통장·카드'!$A$5:$A$11,0)),"③ 통장·카드에 없는 결제수단입니다",IF($D1011="","계정과목을 고르십시오",IF($E1011="※없는 과목","④ 설정에 없는 과목입니다",IF(AND($E1011="수입",$J1011&gt;0),"수입 과목인데 지출에 적혔습니다",IF(AND(LEFT($E1011,2)&lt;&gt;"수입",$E1011&lt;&gt;"대체",$I1011&gt;0),"지출 과목인데 수입에 적혔습니다",IF($K1011="","증빙을 고르십시오",IF(AND($C1011="바우처통장",$J1011&gt;0,IFERROR(INDEX('통합 ④ 설정'!$E$6:$E$40,MATCH($D1011,'통합 ④ 설정'!$B$6:$B$40,0)),"")&lt;&gt;"○"),"바우처통장 지출 — 목적 확인",IF($H1011="","적요를 적으십시오",""))))))))))))</f>
        <v/>
      </c>
      <c r="M1011" s="39"/>
      <c r="O1011" s="11" t="str">
        <f aca="false">IF($B1011="","",YEAR($B1011)*100+MONTH($B1011))</f>
        <v/>
      </c>
      <c r="P1011" s="11" t="str">
        <f aca="false">IF($B1011="","",IF($E1011="대체",0,1))</f>
        <v/>
      </c>
    </row>
    <row r="1012" customFormat="false" ht="15" hidden="false" customHeight="false" outlineLevel="0" collapsed="false">
      <c r="A1012" s="36" t="str">
        <f aca="false">IF($B1012="","",COUNT($B$15:$B1012))</f>
        <v/>
      </c>
      <c r="B1012" s="37"/>
      <c r="C1012" s="38"/>
      <c r="D1012" s="39"/>
      <c r="E1012" s="36" t="str">
        <f aca="false">IF($D1012="","",IFERROR(INDEX('통합 ④ 설정'!$A$6:$A$40,MATCH($D1012,'통합 ④ 설정'!$B$6:$B$40,0)),"※없는 과목"))</f>
        <v/>
      </c>
      <c r="F1012" s="36" t="str">
        <f aca="false">IF($D1012="","",IFERROR(INDEX('통합 ④ 설정'!$C$6:$C$40,MATCH($D1012,'통합 ④ 설정'!$B$6:$B$40,0)),""))</f>
        <v/>
      </c>
      <c r="G1012" s="39"/>
      <c r="H1012" s="39"/>
      <c r="I1012" s="40"/>
      <c r="J1012" s="41"/>
      <c r="K1012" s="38"/>
      <c r="L1012" s="42" t="str">
        <f aca="false">IF($B1012="","",IF(AND(N($I1012)=0,N($J1012)=0),"금액이 없습니다",IF(AND($I1012&gt;0,$J1012&gt;0),"수입·지출 둘 다 적혔습니다",IF($C1012="","결제수단을 고르십시오",IF(ISNA(MATCH($C1012,'통합 ③ 통장·카드'!$A$5:$A$11,0)),"③ 통장·카드에 없는 결제수단입니다",IF($D1012="","계정과목을 고르십시오",IF($E1012="※없는 과목","④ 설정에 없는 과목입니다",IF(AND($E1012="수입",$J1012&gt;0),"수입 과목인데 지출에 적혔습니다",IF(AND(LEFT($E1012,2)&lt;&gt;"수입",$E1012&lt;&gt;"대체",$I1012&gt;0),"지출 과목인데 수입에 적혔습니다",IF($K1012="","증빙을 고르십시오",IF(AND($C1012="바우처통장",$J1012&gt;0,IFERROR(INDEX('통합 ④ 설정'!$E$6:$E$40,MATCH($D1012,'통합 ④ 설정'!$B$6:$B$40,0)),"")&lt;&gt;"○"),"바우처통장 지출 — 목적 확인",IF($H1012="","적요를 적으십시오",""))))))))))))</f>
        <v/>
      </c>
      <c r="M1012" s="39"/>
      <c r="O1012" s="11" t="str">
        <f aca="false">IF($B1012="","",YEAR($B1012)*100+MONTH($B1012))</f>
        <v/>
      </c>
      <c r="P1012" s="11" t="str">
        <f aca="false">IF($B1012="","",IF($E1012="대체",0,1))</f>
        <v/>
      </c>
    </row>
    <row r="1013" customFormat="false" ht="15" hidden="false" customHeight="false" outlineLevel="0" collapsed="false">
      <c r="A1013" s="36" t="str">
        <f aca="false">IF($B1013="","",COUNT($B$15:$B1013))</f>
        <v/>
      </c>
      <c r="B1013" s="37"/>
      <c r="C1013" s="38"/>
      <c r="D1013" s="39"/>
      <c r="E1013" s="36" t="str">
        <f aca="false">IF($D1013="","",IFERROR(INDEX('통합 ④ 설정'!$A$6:$A$40,MATCH($D1013,'통합 ④ 설정'!$B$6:$B$40,0)),"※없는 과목"))</f>
        <v/>
      </c>
      <c r="F1013" s="36" t="str">
        <f aca="false">IF($D1013="","",IFERROR(INDEX('통합 ④ 설정'!$C$6:$C$40,MATCH($D1013,'통합 ④ 설정'!$B$6:$B$40,0)),""))</f>
        <v/>
      </c>
      <c r="G1013" s="39"/>
      <c r="H1013" s="39"/>
      <c r="I1013" s="40"/>
      <c r="J1013" s="41"/>
      <c r="K1013" s="38"/>
      <c r="L1013" s="42" t="str">
        <f aca="false">IF($B1013="","",IF(AND(N($I1013)=0,N($J1013)=0),"금액이 없습니다",IF(AND($I1013&gt;0,$J1013&gt;0),"수입·지출 둘 다 적혔습니다",IF($C1013="","결제수단을 고르십시오",IF(ISNA(MATCH($C1013,'통합 ③ 통장·카드'!$A$5:$A$11,0)),"③ 통장·카드에 없는 결제수단입니다",IF($D1013="","계정과목을 고르십시오",IF($E1013="※없는 과목","④ 설정에 없는 과목입니다",IF(AND($E1013="수입",$J1013&gt;0),"수입 과목인데 지출에 적혔습니다",IF(AND(LEFT($E1013,2)&lt;&gt;"수입",$E1013&lt;&gt;"대체",$I1013&gt;0),"지출 과목인데 수입에 적혔습니다",IF($K1013="","증빙을 고르십시오",IF(AND($C1013="바우처통장",$J1013&gt;0,IFERROR(INDEX('통합 ④ 설정'!$E$6:$E$40,MATCH($D1013,'통합 ④ 설정'!$B$6:$B$40,0)),"")&lt;&gt;"○"),"바우처통장 지출 — 목적 확인",IF($H1013="","적요를 적으십시오",""))))))))))))</f>
        <v/>
      </c>
      <c r="M1013" s="39"/>
      <c r="O1013" s="11" t="str">
        <f aca="false">IF($B1013="","",YEAR($B1013)*100+MONTH($B1013))</f>
        <v/>
      </c>
      <c r="P1013" s="11" t="str">
        <f aca="false">IF($B1013="","",IF($E1013="대체",0,1))</f>
        <v/>
      </c>
    </row>
    <row r="1014" customFormat="false" ht="15" hidden="false" customHeight="false" outlineLevel="0" collapsed="false">
      <c r="A1014" s="36" t="str">
        <f aca="false">IF($B1014="","",COUNT($B$15:$B1014))</f>
        <v/>
      </c>
      <c r="B1014" s="37"/>
      <c r="C1014" s="38"/>
      <c r="D1014" s="39"/>
      <c r="E1014" s="36" t="str">
        <f aca="false">IF($D1014="","",IFERROR(INDEX('통합 ④ 설정'!$A$6:$A$40,MATCH($D1014,'통합 ④ 설정'!$B$6:$B$40,0)),"※없는 과목"))</f>
        <v/>
      </c>
      <c r="F1014" s="36" t="str">
        <f aca="false">IF($D1014="","",IFERROR(INDEX('통합 ④ 설정'!$C$6:$C$40,MATCH($D1014,'통합 ④ 설정'!$B$6:$B$40,0)),""))</f>
        <v/>
      </c>
      <c r="G1014" s="39"/>
      <c r="H1014" s="39"/>
      <c r="I1014" s="40"/>
      <c r="J1014" s="41"/>
      <c r="K1014" s="38"/>
      <c r="L1014" s="42" t="str">
        <f aca="false">IF($B1014="","",IF(AND(N($I1014)=0,N($J1014)=0),"금액이 없습니다",IF(AND($I1014&gt;0,$J1014&gt;0),"수입·지출 둘 다 적혔습니다",IF($C1014="","결제수단을 고르십시오",IF(ISNA(MATCH($C1014,'통합 ③ 통장·카드'!$A$5:$A$11,0)),"③ 통장·카드에 없는 결제수단입니다",IF($D1014="","계정과목을 고르십시오",IF($E1014="※없는 과목","④ 설정에 없는 과목입니다",IF(AND($E1014="수입",$J1014&gt;0),"수입 과목인데 지출에 적혔습니다",IF(AND(LEFT($E1014,2)&lt;&gt;"수입",$E1014&lt;&gt;"대체",$I1014&gt;0),"지출 과목인데 수입에 적혔습니다",IF($K1014="","증빙을 고르십시오",IF(AND($C1014="바우처통장",$J1014&gt;0,IFERROR(INDEX('통합 ④ 설정'!$E$6:$E$40,MATCH($D1014,'통합 ④ 설정'!$B$6:$B$40,0)),"")&lt;&gt;"○"),"바우처통장 지출 — 목적 확인",IF($H1014="","적요를 적으십시오",""))))))))))))</f>
        <v/>
      </c>
      <c r="M1014" s="39"/>
      <c r="O1014" s="11" t="str">
        <f aca="false">IF($B1014="","",YEAR($B1014)*100+MONTH($B1014))</f>
        <v/>
      </c>
      <c r="P1014" s="11" t="str">
        <f aca="false">IF($B1014="","",IF($E1014="대체",0,1))</f>
        <v/>
      </c>
    </row>
    <row r="1015" customFormat="false" ht="15" hidden="false" customHeight="false" outlineLevel="0" collapsed="false">
      <c r="A1015" s="36" t="str">
        <f aca="false">IF($B1015="","",COUNT($B$15:$B1015))</f>
        <v/>
      </c>
      <c r="B1015" s="37"/>
      <c r="C1015" s="38"/>
      <c r="D1015" s="39"/>
      <c r="E1015" s="36" t="str">
        <f aca="false">IF($D1015="","",IFERROR(INDEX('통합 ④ 설정'!$A$6:$A$40,MATCH($D1015,'통합 ④ 설정'!$B$6:$B$40,0)),"※없는 과목"))</f>
        <v/>
      </c>
      <c r="F1015" s="36" t="str">
        <f aca="false">IF($D1015="","",IFERROR(INDEX('통합 ④ 설정'!$C$6:$C$40,MATCH($D1015,'통합 ④ 설정'!$B$6:$B$40,0)),""))</f>
        <v/>
      </c>
      <c r="G1015" s="39"/>
      <c r="H1015" s="39"/>
      <c r="I1015" s="40"/>
      <c r="J1015" s="41"/>
      <c r="K1015" s="38"/>
      <c r="L1015" s="42" t="str">
        <f aca="false">IF($B1015="","",IF(AND(N($I1015)=0,N($J1015)=0),"금액이 없습니다",IF(AND($I1015&gt;0,$J1015&gt;0),"수입·지출 둘 다 적혔습니다",IF($C1015="","결제수단을 고르십시오",IF(ISNA(MATCH($C1015,'통합 ③ 통장·카드'!$A$5:$A$11,0)),"③ 통장·카드에 없는 결제수단입니다",IF($D1015="","계정과목을 고르십시오",IF($E1015="※없는 과목","④ 설정에 없는 과목입니다",IF(AND($E1015="수입",$J1015&gt;0),"수입 과목인데 지출에 적혔습니다",IF(AND(LEFT($E1015,2)&lt;&gt;"수입",$E1015&lt;&gt;"대체",$I1015&gt;0),"지출 과목인데 수입에 적혔습니다",IF($K1015="","증빙을 고르십시오",IF(AND($C1015="바우처통장",$J1015&gt;0,IFERROR(INDEX('통합 ④ 설정'!$E$6:$E$40,MATCH($D1015,'통합 ④ 설정'!$B$6:$B$40,0)),"")&lt;&gt;"○"),"바우처통장 지출 — 목적 확인",IF($H1015="","적요를 적으십시오",""))))))))))))</f>
        <v/>
      </c>
      <c r="M1015" s="39"/>
      <c r="O1015" s="11" t="str">
        <f aca="false">IF($B1015="","",YEAR($B1015)*100+MONTH($B1015))</f>
        <v/>
      </c>
      <c r="P1015" s="11" t="str">
        <f aca="false">IF($B1015="","",IF($E1015="대체",0,1))</f>
        <v/>
      </c>
    </row>
    <row r="1016" customFormat="false" ht="15" hidden="false" customHeight="false" outlineLevel="0" collapsed="false">
      <c r="A1016" s="36" t="str">
        <f aca="false">IF($B1016="","",COUNT($B$15:$B1016))</f>
        <v/>
      </c>
      <c r="B1016" s="37"/>
      <c r="C1016" s="38"/>
      <c r="D1016" s="39"/>
      <c r="E1016" s="36" t="str">
        <f aca="false">IF($D1016="","",IFERROR(INDEX('통합 ④ 설정'!$A$6:$A$40,MATCH($D1016,'통합 ④ 설정'!$B$6:$B$40,0)),"※없는 과목"))</f>
        <v/>
      </c>
      <c r="F1016" s="36" t="str">
        <f aca="false">IF($D1016="","",IFERROR(INDEX('통합 ④ 설정'!$C$6:$C$40,MATCH($D1016,'통합 ④ 설정'!$B$6:$B$40,0)),""))</f>
        <v/>
      </c>
      <c r="G1016" s="39"/>
      <c r="H1016" s="39"/>
      <c r="I1016" s="40"/>
      <c r="J1016" s="41"/>
      <c r="K1016" s="38"/>
      <c r="L1016" s="42" t="str">
        <f aca="false">IF($B1016="","",IF(AND(N($I1016)=0,N($J1016)=0),"금액이 없습니다",IF(AND($I1016&gt;0,$J1016&gt;0),"수입·지출 둘 다 적혔습니다",IF($C1016="","결제수단을 고르십시오",IF(ISNA(MATCH($C1016,'통합 ③ 통장·카드'!$A$5:$A$11,0)),"③ 통장·카드에 없는 결제수단입니다",IF($D1016="","계정과목을 고르십시오",IF($E1016="※없는 과목","④ 설정에 없는 과목입니다",IF(AND($E1016="수입",$J1016&gt;0),"수입 과목인데 지출에 적혔습니다",IF(AND(LEFT($E1016,2)&lt;&gt;"수입",$E1016&lt;&gt;"대체",$I1016&gt;0),"지출 과목인데 수입에 적혔습니다",IF($K1016="","증빙을 고르십시오",IF(AND($C1016="바우처통장",$J1016&gt;0,IFERROR(INDEX('통합 ④ 설정'!$E$6:$E$40,MATCH($D1016,'통합 ④ 설정'!$B$6:$B$40,0)),"")&lt;&gt;"○"),"바우처통장 지출 — 목적 확인",IF($H1016="","적요를 적으십시오",""))))))))))))</f>
        <v/>
      </c>
      <c r="M1016" s="39"/>
      <c r="O1016" s="11" t="str">
        <f aca="false">IF($B1016="","",YEAR($B1016)*100+MONTH($B1016))</f>
        <v/>
      </c>
      <c r="P1016" s="11" t="str">
        <f aca="false">IF($B1016="","",IF($E1016="대체",0,1))</f>
        <v/>
      </c>
    </row>
    <row r="1017" customFormat="false" ht="15" hidden="false" customHeight="false" outlineLevel="0" collapsed="false">
      <c r="A1017" s="36" t="str">
        <f aca="false">IF($B1017="","",COUNT($B$15:$B1017))</f>
        <v/>
      </c>
      <c r="B1017" s="37"/>
      <c r="C1017" s="38"/>
      <c r="D1017" s="39"/>
      <c r="E1017" s="36" t="str">
        <f aca="false">IF($D1017="","",IFERROR(INDEX('통합 ④ 설정'!$A$6:$A$40,MATCH($D1017,'통합 ④ 설정'!$B$6:$B$40,0)),"※없는 과목"))</f>
        <v/>
      </c>
      <c r="F1017" s="36" t="str">
        <f aca="false">IF($D1017="","",IFERROR(INDEX('통합 ④ 설정'!$C$6:$C$40,MATCH($D1017,'통합 ④ 설정'!$B$6:$B$40,0)),""))</f>
        <v/>
      </c>
      <c r="G1017" s="39"/>
      <c r="H1017" s="39"/>
      <c r="I1017" s="40"/>
      <c r="J1017" s="41"/>
      <c r="K1017" s="38"/>
      <c r="L1017" s="42" t="str">
        <f aca="false">IF($B1017="","",IF(AND(N($I1017)=0,N($J1017)=0),"금액이 없습니다",IF(AND($I1017&gt;0,$J1017&gt;0),"수입·지출 둘 다 적혔습니다",IF($C1017="","결제수단을 고르십시오",IF(ISNA(MATCH($C1017,'통합 ③ 통장·카드'!$A$5:$A$11,0)),"③ 통장·카드에 없는 결제수단입니다",IF($D1017="","계정과목을 고르십시오",IF($E1017="※없는 과목","④ 설정에 없는 과목입니다",IF(AND($E1017="수입",$J1017&gt;0),"수입 과목인데 지출에 적혔습니다",IF(AND(LEFT($E1017,2)&lt;&gt;"수입",$E1017&lt;&gt;"대체",$I1017&gt;0),"지출 과목인데 수입에 적혔습니다",IF($K1017="","증빙을 고르십시오",IF(AND($C1017="바우처통장",$J1017&gt;0,IFERROR(INDEX('통합 ④ 설정'!$E$6:$E$40,MATCH($D1017,'통합 ④ 설정'!$B$6:$B$40,0)),"")&lt;&gt;"○"),"바우처통장 지출 — 목적 확인",IF($H1017="","적요를 적으십시오",""))))))))))))</f>
        <v/>
      </c>
      <c r="M1017" s="39"/>
      <c r="O1017" s="11" t="str">
        <f aca="false">IF($B1017="","",YEAR($B1017)*100+MONTH($B1017))</f>
        <v/>
      </c>
      <c r="P1017" s="11" t="str">
        <f aca="false">IF($B1017="","",IF($E1017="대체",0,1))</f>
        <v/>
      </c>
    </row>
    <row r="1018" customFormat="false" ht="15" hidden="false" customHeight="false" outlineLevel="0" collapsed="false">
      <c r="A1018" s="36" t="str">
        <f aca="false">IF($B1018="","",COUNT($B$15:$B1018))</f>
        <v/>
      </c>
      <c r="B1018" s="37"/>
      <c r="C1018" s="38"/>
      <c r="D1018" s="39"/>
      <c r="E1018" s="36" t="str">
        <f aca="false">IF($D1018="","",IFERROR(INDEX('통합 ④ 설정'!$A$6:$A$40,MATCH($D1018,'통합 ④ 설정'!$B$6:$B$40,0)),"※없는 과목"))</f>
        <v/>
      </c>
      <c r="F1018" s="36" t="str">
        <f aca="false">IF($D1018="","",IFERROR(INDEX('통합 ④ 설정'!$C$6:$C$40,MATCH($D1018,'통합 ④ 설정'!$B$6:$B$40,0)),""))</f>
        <v/>
      </c>
      <c r="G1018" s="39"/>
      <c r="H1018" s="39"/>
      <c r="I1018" s="40"/>
      <c r="J1018" s="41"/>
      <c r="K1018" s="38"/>
      <c r="L1018" s="42" t="str">
        <f aca="false">IF($B1018="","",IF(AND(N($I1018)=0,N($J1018)=0),"금액이 없습니다",IF(AND($I1018&gt;0,$J1018&gt;0),"수입·지출 둘 다 적혔습니다",IF($C1018="","결제수단을 고르십시오",IF(ISNA(MATCH($C1018,'통합 ③ 통장·카드'!$A$5:$A$11,0)),"③ 통장·카드에 없는 결제수단입니다",IF($D1018="","계정과목을 고르십시오",IF($E1018="※없는 과목","④ 설정에 없는 과목입니다",IF(AND($E1018="수입",$J1018&gt;0),"수입 과목인데 지출에 적혔습니다",IF(AND(LEFT($E1018,2)&lt;&gt;"수입",$E1018&lt;&gt;"대체",$I1018&gt;0),"지출 과목인데 수입에 적혔습니다",IF($K1018="","증빙을 고르십시오",IF(AND($C1018="바우처통장",$J1018&gt;0,IFERROR(INDEX('통합 ④ 설정'!$E$6:$E$40,MATCH($D1018,'통합 ④ 설정'!$B$6:$B$40,0)),"")&lt;&gt;"○"),"바우처통장 지출 — 목적 확인",IF($H1018="","적요를 적으십시오",""))))))))))))</f>
        <v/>
      </c>
      <c r="M1018" s="39"/>
      <c r="O1018" s="11" t="str">
        <f aca="false">IF($B1018="","",YEAR($B1018)*100+MONTH($B1018))</f>
        <v/>
      </c>
      <c r="P1018" s="11" t="str">
        <f aca="false">IF($B1018="","",IF($E1018="대체",0,1))</f>
        <v/>
      </c>
    </row>
    <row r="1019" customFormat="false" ht="15" hidden="false" customHeight="false" outlineLevel="0" collapsed="false">
      <c r="A1019" s="36" t="str">
        <f aca="false">IF($B1019="","",COUNT($B$15:$B1019))</f>
        <v/>
      </c>
      <c r="B1019" s="37"/>
      <c r="C1019" s="38"/>
      <c r="D1019" s="39"/>
      <c r="E1019" s="36" t="str">
        <f aca="false">IF($D1019="","",IFERROR(INDEX('통합 ④ 설정'!$A$6:$A$40,MATCH($D1019,'통합 ④ 설정'!$B$6:$B$40,0)),"※없는 과목"))</f>
        <v/>
      </c>
      <c r="F1019" s="36" t="str">
        <f aca="false">IF($D1019="","",IFERROR(INDEX('통합 ④ 설정'!$C$6:$C$40,MATCH($D1019,'통합 ④ 설정'!$B$6:$B$40,0)),""))</f>
        <v/>
      </c>
      <c r="G1019" s="39"/>
      <c r="H1019" s="39"/>
      <c r="I1019" s="40"/>
      <c r="J1019" s="41"/>
      <c r="K1019" s="38"/>
      <c r="L1019" s="42" t="str">
        <f aca="false">IF($B1019="","",IF(AND(N($I1019)=0,N($J1019)=0),"금액이 없습니다",IF(AND($I1019&gt;0,$J1019&gt;0),"수입·지출 둘 다 적혔습니다",IF($C1019="","결제수단을 고르십시오",IF(ISNA(MATCH($C1019,'통합 ③ 통장·카드'!$A$5:$A$11,0)),"③ 통장·카드에 없는 결제수단입니다",IF($D1019="","계정과목을 고르십시오",IF($E1019="※없는 과목","④ 설정에 없는 과목입니다",IF(AND($E1019="수입",$J1019&gt;0),"수입 과목인데 지출에 적혔습니다",IF(AND(LEFT($E1019,2)&lt;&gt;"수입",$E1019&lt;&gt;"대체",$I1019&gt;0),"지출 과목인데 수입에 적혔습니다",IF($K1019="","증빙을 고르십시오",IF(AND($C1019="바우처통장",$J1019&gt;0,IFERROR(INDEX('통합 ④ 설정'!$E$6:$E$40,MATCH($D1019,'통합 ④ 설정'!$B$6:$B$40,0)),"")&lt;&gt;"○"),"바우처통장 지출 — 목적 확인",IF($H1019="","적요를 적으십시오",""))))))))))))</f>
        <v/>
      </c>
      <c r="M1019" s="39"/>
      <c r="O1019" s="11" t="str">
        <f aca="false">IF($B1019="","",YEAR($B1019)*100+MONTH($B1019))</f>
        <v/>
      </c>
      <c r="P1019" s="11" t="str">
        <f aca="false">IF($B1019="","",IF($E1019="대체",0,1))</f>
        <v/>
      </c>
    </row>
    <row r="1020" customFormat="false" ht="15" hidden="false" customHeight="false" outlineLevel="0" collapsed="false">
      <c r="A1020" s="36" t="str">
        <f aca="false">IF($B1020="","",COUNT($B$15:$B1020))</f>
        <v/>
      </c>
      <c r="B1020" s="37"/>
      <c r="C1020" s="38"/>
      <c r="D1020" s="39"/>
      <c r="E1020" s="36" t="str">
        <f aca="false">IF($D1020="","",IFERROR(INDEX('통합 ④ 설정'!$A$6:$A$40,MATCH($D1020,'통합 ④ 설정'!$B$6:$B$40,0)),"※없는 과목"))</f>
        <v/>
      </c>
      <c r="F1020" s="36" t="str">
        <f aca="false">IF($D1020="","",IFERROR(INDEX('통합 ④ 설정'!$C$6:$C$40,MATCH($D1020,'통합 ④ 설정'!$B$6:$B$40,0)),""))</f>
        <v/>
      </c>
      <c r="G1020" s="39"/>
      <c r="H1020" s="39"/>
      <c r="I1020" s="40"/>
      <c r="J1020" s="41"/>
      <c r="K1020" s="38"/>
      <c r="L1020" s="42" t="str">
        <f aca="false">IF($B1020="","",IF(AND(N($I1020)=0,N($J1020)=0),"금액이 없습니다",IF(AND($I1020&gt;0,$J1020&gt;0),"수입·지출 둘 다 적혔습니다",IF($C1020="","결제수단을 고르십시오",IF(ISNA(MATCH($C1020,'통합 ③ 통장·카드'!$A$5:$A$11,0)),"③ 통장·카드에 없는 결제수단입니다",IF($D1020="","계정과목을 고르십시오",IF($E1020="※없는 과목","④ 설정에 없는 과목입니다",IF(AND($E1020="수입",$J1020&gt;0),"수입 과목인데 지출에 적혔습니다",IF(AND(LEFT($E1020,2)&lt;&gt;"수입",$E1020&lt;&gt;"대체",$I1020&gt;0),"지출 과목인데 수입에 적혔습니다",IF($K1020="","증빙을 고르십시오",IF(AND($C1020="바우처통장",$J1020&gt;0,IFERROR(INDEX('통합 ④ 설정'!$E$6:$E$40,MATCH($D1020,'통합 ④ 설정'!$B$6:$B$40,0)),"")&lt;&gt;"○"),"바우처통장 지출 — 목적 확인",IF($H1020="","적요를 적으십시오",""))))))))))))</f>
        <v/>
      </c>
      <c r="M1020" s="39"/>
      <c r="O1020" s="11" t="str">
        <f aca="false">IF($B1020="","",YEAR($B1020)*100+MONTH($B1020))</f>
        <v/>
      </c>
      <c r="P1020" s="11" t="str">
        <f aca="false">IF($B1020="","",IF($E1020="대체",0,1))</f>
        <v/>
      </c>
    </row>
    <row r="1021" customFormat="false" ht="15" hidden="false" customHeight="false" outlineLevel="0" collapsed="false">
      <c r="A1021" s="36" t="str">
        <f aca="false">IF($B1021="","",COUNT($B$15:$B1021))</f>
        <v/>
      </c>
      <c r="B1021" s="37"/>
      <c r="C1021" s="38"/>
      <c r="D1021" s="39"/>
      <c r="E1021" s="36" t="str">
        <f aca="false">IF($D1021="","",IFERROR(INDEX('통합 ④ 설정'!$A$6:$A$40,MATCH($D1021,'통합 ④ 설정'!$B$6:$B$40,0)),"※없는 과목"))</f>
        <v/>
      </c>
      <c r="F1021" s="36" t="str">
        <f aca="false">IF($D1021="","",IFERROR(INDEX('통합 ④ 설정'!$C$6:$C$40,MATCH($D1021,'통합 ④ 설정'!$B$6:$B$40,0)),""))</f>
        <v/>
      </c>
      <c r="G1021" s="39"/>
      <c r="H1021" s="39"/>
      <c r="I1021" s="40"/>
      <c r="J1021" s="41"/>
      <c r="K1021" s="38"/>
      <c r="L1021" s="42" t="str">
        <f aca="false">IF($B1021="","",IF(AND(N($I1021)=0,N($J1021)=0),"금액이 없습니다",IF(AND($I1021&gt;0,$J1021&gt;0),"수입·지출 둘 다 적혔습니다",IF($C1021="","결제수단을 고르십시오",IF(ISNA(MATCH($C1021,'통합 ③ 통장·카드'!$A$5:$A$11,0)),"③ 통장·카드에 없는 결제수단입니다",IF($D1021="","계정과목을 고르십시오",IF($E1021="※없는 과목","④ 설정에 없는 과목입니다",IF(AND($E1021="수입",$J1021&gt;0),"수입 과목인데 지출에 적혔습니다",IF(AND(LEFT($E1021,2)&lt;&gt;"수입",$E1021&lt;&gt;"대체",$I1021&gt;0),"지출 과목인데 수입에 적혔습니다",IF($K1021="","증빙을 고르십시오",IF(AND($C1021="바우처통장",$J1021&gt;0,IFERROR(INDEX('통합 ④ 설정'!$E$6:$E$40,MATCH($D1021,'통합 ④ 설정'!$B$6:$B$40,0)),"")&lt;&gt;"○"),"바우처통장 지출 — 목적 확인",IF($H1021="","적요를 적으십시오",""))))))))))))</f>
        <v/>
      </c>
      <c r="M1021" s="39"/>
      <c r="O1021" s="11" t="str">
        <f aca="false">IF($B1021="","",YEAR($B1021)*100+MONTH($B1021))</f>
        <v/>
      </c>
      <c r="P1021" s="11" t="str">
        <f aca="false">IF($B1021="","",IF($E1021="대체",0,1))</f>
        <v/>
      </c>
    </row>
    <row r="1022" customFormat="false" ht="15" hidden="false" customHeight="false" outlineLevel="0" collapsed="false">
      <c r="A1022" s="36" t="str">
        <f aca="false">IF($B1022="","",COUNT($B$15:$B1022))</f>
        <v/>
      </c>
      <c r="B1022" s="37"/>
      <c r="C1022" s="38"/>
      <c r="D1022" s="39"/>
      <c r="E1022" s="36" t="str">
        <f aca="false">IF($D1022="","",IFERROR(INDEX('통합 ④ 설정'!$A$6:$A$40,MATCH($D1022,'통합 ④ 설정'!$B$6:$B$40,0)),"※없는 과목"))</f>
        <v/>
      </c>
      <c r="F1022" s="36" t="str">
        <f aca="false">IF($D1022="","",IFERROR(INDEX('통합 ④ 설정'!$C$6:$C$40,MATCH($D1022,'통합 ④ 설정'!$B$6:$B$40,0)),""))</f>
        <v/>
      </c>
      <c r="G1022" s="39"/>
      <c r="H1022" s="39"/>
      <c r="I1022" s="40"/>
      <c r="J1022" s="41"/>
      <c r="K1022" s="38"/>
      <c r="L1022" s="42" t="str">
        <f aca="false">IF($B1022="","",IF(AND(N($I1022)=0,N($J1022)=0),"금액이 없습니다",IF(AND($I1022&gt;0,$J1022&gt;0),"수입·지출 둘 다 적혔습니다",IF($C1022="","결제수단을 고르십시오",IF(ISNA(MATCH($C1022,'통합 ③ 통장·카드'!$A$5:$A$11,0)),"③ 통장·카드에 없는 결제수단입니다",IF($D1022="","계정과목을 고르십시오",IF($E1022="※없는 과목","④ 설정에 없는 과목입니다",IF(AND($E1022="수입",$J1022&gt;0),"수입 과목인데 지출에 적혔습니다",IF(AND(LEFT($E1022,2)&lt;&gt;"수입",$E1022&lt;&gt;"대체",$I1022&gt;0),"지출 과목인데 수입에 적혔습니다",IF($K1022="","증빙을 고르십시오",IF(AND($C1022="바우처통장",$J1022&gt;0,IFERROR(INDEX('통합 ④ 설정'!$E$6:$E$40,MATCH($D1022,'통합 ④ 설정'!$B$6:$B$40,0)),"")&lt;&gt;"○"),"바우처통장 지출 — 목적 확인",IF($H1022="","적요를 적으십시오",""))))))))))))</f>
        <v/>
      </c>
      <c r="M1022" s="39"/>
      <c r="O1022" s="11" t="str">
        <f aca="false">IF($B1022="","",YEAR($B1022)*100+MONTH($B1022))</f>
        <v/>
      </c>
      <c r="P1022" s="11" t="str">
        <f aca="false">IF($B1022="","",IF($E1022="대체",0,1))</f>
        <v/>
      </c>
    </row>
    <row r="1023" customFormat="false" ht="15" hidden="false" customHeight="false" outlineLevel="0" collapsed="false">
      <c r="A1023" s="36" t="str">
        <f aca="false">IF($B1023="","",COUNT($B$15:$B1023))</f>
        <v/>
      </c>
      <c r="B1023" s="37"/>
      <c r="C1023" s="38"/>
      <c r="D1023" s="39"/>
      <c r="E1023" s="36" t="str">
        <f aca="false">IF($D1023="","",IFERROR(INDEX('통합 ④ 설정'!$A$6:$A$40,MATCH($D1023,'통합 ④ 설정'!$B$6:$B$40,0)),"※없는 과목"))</f>
        <v/>
      </c>
      <c r="F1023" s="36" t="str">
        <f aca="false">IF($D1023="","",IFERROR(INDEX('통합 ④ 설정'!$C$6:$C$40,MATCH($D1023,'통합 ④ 설정'!$B$6:$B$40,0)),""))</f>
        <v/>
      </c>
      <c r="G1023" s="39"/>
      <c r="H1023" s="39"/>
      <c r="I1023" s="40"/>
      <c r="J1023" s="41"/>
      <c r="K1023" s="38"/>
      <c r="L1023" s="42" t="str">
        <f aca="false">IF($B1023="","",IF(AND(N($I1023)=0,N($J1023)=0),"금액이 없습니다",IF(AND($I1023&gt;0,$J1023&gt;0),"수입·지출 둘 다 적혔습니다",IF($C1023="","결제수단을 고르십시오",IF(ISNA(MATCH($C1023,'통합 ③ 통장·카드'!$A$5:$A$11,0)),"③ 통장·카드에 없는 결제수단입니다",IF($D1023="","계정과목을 고르십시오",IF($E1023="※없는 과목","④ 설정에 없는 과목입니다",IF(AND($E1023="수입",$J1023&gt;0),"수입 과목인데 지출에 적혔습니다",IF(AND(LEFT($E1023,2)&lt;&gt;"수입",$E1023&lt;&gt;"대체",$I1023&gt;0),"지출 과목인데 수입에 적혔습니다",IF($K1023="","증빙을 고르십시오",IF(AND($C1023="바우처통장",$J1023&gt;0,IFERROR(INDEX('통합 ④ 설정'!$E$6:$E$40,MATCH($D1023,'통합 ④ 설정'!$B$6:$B$40,0)),"")&lt;&gt;"○"),"바우처통장 지출 — 목적 확인",IF($H1023="","적요를 적으십시오",""))))))))))))</f>
        <v/>
      </c>
      <c r="M1023" s="39"/>
      <c r="O1023" s="11" t="str">
        <f aca="false">IF($B1023="","",YEAR($B1023)*100+MONTH($B1023))</f>
        <v/>
      </c>
      <c r="P1023" s="11" t="str">
        <f aca="false">IF($B1023="","",IF($E1023="대체",0,1))</f>
        <v/>
      </c>
    </row>
    <row r="1024" customFormat="false" ht="15" hidden="false" customHeight="false" outlineLevel="0" collapsed="false">
      <c r="A1024" s="36" t="str">
        <f aca="false">IF($B1024="","",COUNT($B$15:$B1024))</f>
        <v/>
      </c>
      <c r="B1024" s="37"/>
      <c r="C1024" s="38"/>
      <c r="D1024" s="39"/>
      <c r="E1024" s="36" t="str">
        <f aca="false">IF($D1024="","",IFERROR(INDEX('통합 ④ 설정'!$A$6:$A$40,MATCH($D1024,'통합 ④ 설정'!$B$6:$B$40,0)),"※없는 과목"))</f>
        <v/>
      </c>
      <c r="F1024" s="36" t="str">
        <f aca="false">IF($D1024="","",IFERROR(INDEX('통합 ④ 설정'!$C$6:$C$40,MATCH($D1024,'통합 ④ 설정'!$B$6:$B$40,0)),""))</f>
        <v/>
      </c>
      <c r="G1024" s="39"/>
      <c r="H1024" s="39"/>
      <c r="I1024" s="40"/>
      <c r="J1024" s="41"/>
      <c r="K1024" s="38"/>
      <c r="L1024" s="42" t="str">
        <f aca="false">IF($B1024="","",IF(AND(N($I1024)=0,N($J1024)=0),"금액이 없습니다",IF(AND($I1024&gt;0,$J1024&gt;0),"수입·지출 둘 다 적혔습니다",IF($C1024="","결제수단을 고르십시오",IF(ISNA(MATCH($C1024,'통합 ③ 통장·카드'!$A$5:$A$11,0)),"③ 통장·카드에 없는 결제수단입니다",IF($D1024="","계정과목을 고르십시오",IF($E1024="※없는 과목","④ 설정에 없는 과목입니다",IF(AND($E1024="수입",$J1024&gt;0),"수입 과목인데 지출에 적혔습니다",IF(AND(LEFT($E1024,2)&lt;&gt;"수입",$E1024&lt;&gt;"대체",$I1024&gt;0),"지출 과목인데 수입에 적혔습니다",IF($K1024="","증빙을 고르십시오",IF(AND($C1024="바우처통장",$J1024&gt;0,IFERROR(INDEX('통합 ④ 설정'!$E$6:$E$40,MATCH($D1024,'통합 ④ 설정'!$B$6:$B$40,0)),"")&lt;&gt;"○"),"바우처통장 지출 — 목적 확인",IF($H1024="","적요를 적으십시오",""))))))))))))</f>
        <v/>
      </c>
      <c r="M1024" s="39"/>
      <c r="O1024" s="11" t="str">
        <f aca="false">IF($B1024="","",YEAR($B1024)*100+MONTH($B1024))</f>
        <v/>
      </c>
      <c r="P1024" s="11" t="str">
        <f aca="false">IF($B1024="","",IF($E1024="대체",0,1))</f>
        <v/>
      </c>
    </row>
    <row r="1025" customFormat="false" ht="15" hidden="false" customHeight="false" outlineLevel="0" collapsed="false">
      <c r="A1025" s="36" t="str">
        <f aca="false">IF($B1025="","",COUNT($B$15:$B1025))</f>
        <v/>
      </c>
      <c r="B1025" s="37"/>
      <c r="C1025" s="38"/>
      <c r="D1025" s="39"/>
      <c r="E1025" s="36" t="str">
        <f aca="false">IF($D1025="","",IFERROR(INDEX('통합 ④ 설정'!$A$6:$A$40,MATCH($D1025,'통합 ④ 설정'!$B$6:$B$40,0)),"※없는 과목"))</f>
        <v/>
      </c>
      <c r="F1025" s="36" t="str">
        <f aca="false">IF($D1025="","",IFERROR(INDEX('통합 ④ 설정'!$C$6:$C$40,MATCH($D1025,'통합 ④ 설정'!$B$6:$B$40,0)),""))</f>
        <v/>
      </c>
      <c r="G1025" s="39"/>
      <c r="H1025" s="39"/>
      <c r="I1025" s="40"/>
      <c r="J1025" s="41"/>
      <c r="K1025" s="38"/>
      <c r="L1025" s="42" t="str">
        <f aca="false">IF($B1025="","",IF(AND(N($I1025)=0,N($J1025)=0),"금액이 없습니다",IF(AND($I1025&gt;0,$J1025&gt;0),"수입·지출 둘 다 적혔습니다",IF($C1025="","결제수단을 고르십시오",IF(ISNA(MATCH($C1025,'통합 ③ 통장·카드'!$A$5:$A$11,0)),"③ 통장·카드에 없는 결제수단입니다",IF($D1025="","계정과목을 고르십시오",IF($E1025="※없는 과목","④ 설정에 없는 과목입니다",IF(AND($E1025="수입",$J1025&gt;0),"수입 과목인데 지출에 적혔습니다",IF(AND(LEFT($E1025,2)&lt;&gt;"수입",$E1025&lt;&gt;"대체",$I1025&gt;0),"지출 과목인데 수입에 적혔습니다",IF($K1025="","증빙을 고르십시오",IF(AND($C1025="바우처통장",$J1025&gt;0,IFERROR(INDEX('통합 ④ 설정'!$E$6:$E$40,MATCH($D1025,'통합 ④ 설정'!$B$6:$B$40,0)),"")&lt;&gt;"○"),"바우처통장 지출 — 목적 확인",IF($H1025="","적요를 적으십시오",""))))))))))))</f>
        <v/>
      </c>
      <c r="M1025" s="39"/>
      <c r="O1025" s="11" t="str">
        <f aca="false">IF($B1025="","",YEAR($B1025)*100+MONTH($B1025))</f>
        <v/>
      </c>
      <c r="P1025" s="11" t="str">
        <f aca="false">IF($B1025="","",IF($E1025="대체",0,1))</f>
        <v/>
      </c>
    </row>
    <row r="1026" customFormat="false" ht="15" hidden="false" customHeight="false" outlineLevel="0" collapsed="false">
      <c r="A1026" s="36" t="str">
        <f aca="false">IF($B1026="","",COUNT($B$15:$B1026))</f>
        <v/>
      </c>
      <c r="B1026" s="37"/>
      <c r="C1026" s="38"/>
      <c r="D1026" s="39"/>
      <c r="E1026" s="36" t="str">
        <f aca="false">IF($D1026="","",IFERROR(INDEX('통합 ④ 설정'!$A$6:$A$40,MATCH($D1026,'통합 ④ 설정'!$B$6:$B$40,0)),"※없는 과목"))</f>
        <v/>
      </c>
      <c r="F1026" s="36" t="str">
        <f aca="false">IF($D1026="","",IFERROR(INDEX('통합 ④ 설정'!$C$6:$C$40,MATCH($D1026,'통합 ④ 설정'!$B$6:$B$40,0)),""))</f>
        <v/>
      </c>
      <c r="G1026" s="39"/>
      <c r="H1026" s="39"/>
      <c r="I1026" s="40"/>
      <c r="J1026" s="41"/>
      <c r="K1026" s="38"/>
      <c r="L1026" s="42" t="str">
        <f aca="false">IF($B1026="","",IF(AND(N($I1026)=0,N($J1026)=0),"금액이 없습니다",IF(AND($I1026&gt;0,$J1026&gt;0),"수입·지출 둘 다 적혔습니다",IF($C1026="","결제수단을 고르십시오",IF(ISNA(MATCH($C1026,'통합 ③ 통장·카드'!$A$5:$A$11,0)),"③ 통장·카드에 없는 결제수단입니다",IF($D1026="","계정과목을 고르십시오",IF($E1026="※없는 과목","④ 설정에 없는 과목입니다",IF(AND($E1026="수입",$J1026&gt;0),"수입 과목인데 지출에 적혔습니다",IF(AND(LEFT($E1026,2)&lt;&gt;"수입",$E1026&lt;&gt;"대체",$I1026&gt;0),"지출 과목인데 수입에 적혔습니다",IF($K1026="","증빙을 고르십시오",IF(AND($C1026="바우처통장",$J1026&gt;0,IFERROR(INDEX('통합 ④ 설정'!$E$6:$E$40,MATCH($D1026,'통합 ④ 설정'!$B$6:$B$40,0)),"")&lt;&gt;"○"),"바우처통장 지출 — 목적 확인",IF($H1026="","적요를 적으십시오",""))))))))))))</f>
        <v/>
      </c>
      <c r="M1026" s="39"/>
      <c r="O1026" s="11" t="str">
        <f aca="false">IF($B1026="","",YEAR($B1026)*100+MONTH($B1026))</f>
        <v/>
      </c>
      <c r="P1026" s="11" t="str">
        <f aca="false">IF($B1026="","",IF($E1026="대체",0,1))</f>
        <v/>
      </c>
    </row>
    <row r="1027" customFormat="false" ht="15" hidden="false" customHeight="false" outlineLevel="0" collapsed="false">
      <c r="A1027" s="36" t="str">
        <f aca="false">IF($B1027="","",COUNT($B$15:$B1027))</f>
        <v/>
      </c>
      <c r="B1027" s="37"/>
      <c r="C1027" s="38"/>
      <c r="D1027" s="39"/>
      <c r="E1027" s="36" t="str">
        <f aca="false">IF($D1027="","",IFERROR(INDEX('통합 ④ 설정'!$A$6:$A$40,MATCH($D1027,'통합 ④ 설정'!$B$6:$B$40,0)),"※없는 과목"))</f>
        <v/>
      </c>
      <c r="F1027" s="36" t="str">
        <f aca="false">IF($D1027="","",IFERROR(INDEX('통합 ④ 설정'!$C$6:$C$40,MATCH($D1027,'통합 ④ 설정'!$B$6:$B$40,0)),""))</f>
        <v/>
      </c>
      <c r="G1027" s="39"/>
      <c r="H1027" s="39"/>
      <c r="I1027" s="40"/>
      <c r="J1027" s="41"/>
      <c r="K1027" s="38"/>
      <c r="L1027" s="42" t="str">
        <f aca="false">IF($B1027="","",IF(AND(N($I1027)=0,N($J1027)=0),"금액이 없습니다",IF(AND($I1027&gt;0,$J1027&gt;0),"수입·지출 둘 다 적혔습니다",IF($C1027="","결제수단을 고르십시오",IF(ISNA(MATCH($C1027,'통합 ③ 통장·카드'!$A$5:$A$11,0)),"③ 통장·카드에 없는 결제수단입니다",IF($D1027="","계정과목을 고르십시오",IF($E1027="※없는 과목","④ 설정에 없는 과목입니다",IF(AND($E1027="수입",$J1027&gt;0),"수입 과목인데 지출에 적혔습니다",IF(AND(LEFT($E1027,2)&lt;&gt;"수입",$E1027&lt;&gt;"대체",$I1027&gt;0),"지출 과목인데 수입에 적혔습니다",IF($K1027="","증빙을 고르십시오",IF(AND($C1027="바우처통장",$J1027&gt;0,IFERROR(INDEX('통합 ④ 설정'!$E$6:$E$40,MATCH($D1027,'통합 ④ 설정'!$B$6:$B$40,0)),"")&lt;&gt;"○"),"바우처통장 지출 — 목적 확인",IF($H1027="","적요를 적으십시오",""))))))))))))</f>
        <v/>
      </c>
      <c r="M1027" s="39"/>
      <c r="O1027" s="11" t="str">
        <f aca="false">IF($B1027="","",YEAR($B1027)*100+MONTH($B1027))</f>
        <v/>
      </c>
      <c r="P1027" s="11" t="str">
        <f aca="false">IF($B1027="","",IF($E1027="대체",0,1))</f>
        <v/>
      </c>
    </row>
    <row r="1028" customFormat="false" ht="15" hidden="false" customHeight="false" outlineLevel="0" collapsed="false">
      <c r="A1028" s="36" t="str">
        <f aca="false">IF($B1028="","",COUNT($B$15:$B1028))</f>
        <v/>
      </c>
      <c r="B1028" s="37"/>
      <c r="C1028" s="38"/>
      <c r="D1028" s="39"/>
      <c r="E1028" s="36" t="str">
        <f aca="false">IF($D1028="","",IFERROR(INDEX('통합 ④ 설정'!$A$6:$A$40,MATCH($D1028,'통합 ④ 설정'!$B$6:$B$40,0)),"※없는 과목"))</f>
        <v/>
      </c>
      <c r="F1028" s="36" t="str">
        <f aca="false">IF($D1028="","",IFERROR(INDEX('통합 ④ 설정'!$C$6:$C$40,MATCH($D1028,'통합 ④ 설정'!$B$6:$B$40,0)),""))</f>
        <v/>
      </c>
      <c r="G1028" s="39"/>
      <c r="H1028" s="39"/>
      <c r="I1028" s="40"/>
      <c r="J1028" s="41"/>
      <c r="K1028" s="38"/>
      <c r="L1028" s="42" t="str">
        <f aca="false">IF($B1028="","",IF(AND(N($I1028)=0,N($J1028)=0),"금액이 없습니다",IF(AND($I1028&gt;0,$J1028&gt;0),"수입·지출 둘 다 적혔습니다",IF($C1028="","결제수단을 고르십시오",IF(ISNA(MATCH($C1028,'통합 ③ 통장·카드'!$A$5:$A$11,0)),"③ 통장·카드에 없는 결제수단입니다",IF($D1028="","계정과목을 고르십시오",IF($E1028="※없는 과목","④ 설정에 없는 과목입니다",IF(AND($E1028="수입",$J1028&gt;0),"수입 과목인데 지출에 적혔습니다",IF(AND(LEFT($E1028,2)&lt;&gt;"수입",$E1028&lt;&gt;"대체",$I1028&gt;0),"지출 과목인데 수입에 적혔습니다",IF($K1028="","증빙을 고르십시오",IF(AND($C1028="바우처통장",$J1028&gt;0,IFERROR(INDEX('통합 ④ 설정'!$E$6:$E$40,MATCH($D1028,'통합 ④ 설정'!$B$6:$B$40,0)),"")&lt;&gt;"○"),"바우처통장 지출 — 목적 확인",IF($H1028="","적요를 적으십시오",""))))))))))))</f>
        <v/>
      </c>
      <c r="M1028" s="39"/>
      <c r="O1028" s="11" t="str">
        <f aca="false">IF($B1028="","",YEAR($B1028)*100+MONTH($B1028))</f>
        <v/>
      </c>
      <c r="P1028" s="11" t="str">
        <f aca="false">IF($B1028="","",IF($E1028="대체",0,1))</f>
        <v/>
      </c>
    </row>
    <row r="1029" customFormat="false" ht="15" hidden="false" customHeight="false" outlineLevel="0" collapsed="false">
      <c r="A1029" s="36" t="str">
        <f aca="false">IF($B1029="","",COUNT($B$15:$B1029))</f>
        <v/>
      </c>
      <c r="B1029" s="37"/>
      <c r="C1029" s="38"/>
      <c r="D1029" s="39"/>
      <c r="E1029" s="36" t="str">
        <f aca="false">IF($D1029="","",IFERROR(INDEX('통합 ④ 설정'!$A$6:$A$40,MATCH($D1029,'통합 ④ 설정'!$B$6:$B$40,0)),"※없는 과목"))</f>
        <v/>
      </c>
      <c r="F1029" s="36" t="str">
        <f aca="false">IF($D1029="","",IFERROR(INDEX('통합 ④ 설정'!$C$6:$C$40,MATCH($D1029,'통합 ④ 설정'!$B$6:$B$40,0)),""))</f>
        <v/>
      </c>
      <c r="G1029" s="39"/>
      <c r="H1029" s="39"/>
      <c r="I1029" s="40"/>
      <c r="J1029" s="41"/>
      <c r="K1029" s="38"/>
      <c r="L1029" s="42" t="str">
        <f aca="false">IF($B1029="","",IF(AND(N($I1029)=0,N($J1029)=0),"금액이 없습니다",IF(AND($I1029&gt;0,$J1029&gt;0),"수입·지출 둘 다 적혔습니다",IF($C1029="","결제수단을 고르십시오",IF(ISNA(MATCH($C1029,'통합 ③ 통장·카드'!$A$5:$A$11,0)),"③ 통장·카드에 없는 결제수단입니다",IF($D1029="","계정과목을 고르십시오",IF($E1029="※없는 과목","④ 설정에 없는 과목입니다",IF(AND($E1029="수입",$J1029&gt;0),"수입 과목인데 지출에 적혔습니다",IF(AND(LEFT($E1029,2)&lt;&gt;"수입",$E1029&lt;&gt;"대체",$I1029&gt;0),"지출 과목인데 수입에 적혔습니다",IF($K1029="","증빙을 고르십시오",IF(AND($C1029="바우처통장",$J1029&gt;0,IFERROR(INDEX('통합 ④ 설정'!$E$6:$E$40,MATCH($D1029,'통합 ④ 설정'!$B$6:$B$40,0)),"")&lt;&gt;"○"),"바우처통장 지출 — 목적 확인",IF($H1029="","적요를 적으십시오",""))))))))))))</f>
        <v/>
      </c>
      <c r="M1029" s="39"/>
      <c r="O1029" s="11" t="str">
        <f aca="false">IF($B1029="","",YEAR($B1029)*100+MONTH($B1029))</f>
        <v/>
      </c>
      <c r="P1029" s="11" t="str">
        <f aca="false">IF($B1029="","",IF($E1029="대체",0,1))</f>
        <v/>
      </c>
    </row>
    <row r="1030" customFormat="false" ht="15" hidden="false" customHeight="false" outlineLevel="0" collapsed="false">
      <c r="A1030" s="36" t="str">
        <f aca="false">IF($B1030="","",COUNT($B$15:$B1030))</f>
        <v/>
      </c>
      <c r="B1030" s="37"/>
      <c r="C1030" s="38"/>
      <c r="D1030" s="39"/>
      <c r="E1030" s="36" t="str">
        <f aca="false">IF($D1030="","",IFERROR(INDEX('통합 ④ 설정'!$A$6:$A$40,MATCH($D1030,'통합 ④ 설정'!$B$6:$B$40,0)),"※없는 과목"))</f>
        <v/>
      </c>
      <c r="F1030" s="36" t="str">
        <f aca="false">IF($D1030="","",IFERROR(INDEX('통합 ④ 설정'!$C$6:$C$40,MATCH($D1030,'통합 ④ 설정'!$B$6:$B$40,0)),""))</f>
        <v/>
      </c>
      <c r="G1030" s="39"/>
      <c r="H1030" s="39"/>
      <c r="I1030" s="40"/>
      <c r="J1030" s="41"/>
      <c r="K1030" s="38"/>
      <c r="L1030" s="42" t="str">
        <f aca="false">IF($B1030="","",IF(AND(N($I1030)=0,N($J1030)=0),"금액이 없습니다",IF(AND($I1030&gt;0,$J1030&gt;0),"수입·지출 둘 다 적혔습니다",IF($C1030="","결제수단을 고르십시오",IF(ISNA(MATCH($C1030,'통합 ③ 통장·카드'!$A$5:$A$11,0)),"③ 통장·카드에 없는 결제수단입니다",IF($D1030="","계정과목을 고르십시오",IF($E1030="※없는 과목","④ 설정에 없는 과목입니다",IF(AND($E1030="수입",$J1030&gt;0),"수입 과목인데 지출에 적혔습니다",IF(AND(LEFT($E1030,2)&lt;&gt;"수입",$E1030&lt;&gt;"대체",$I1030&gt;0),"지출 과목인데 수입에 적혔습니다",IF($K1030="","증빙을 고르십시오",IF(AND($C1030="바우처통장",$J1030&gt;0,IFERROR(INDEX('통합 ④ 설정'!$E$6:$E$40,MATCH($D1030,'통합 ④ 설정'!$B$6:$B$40,0)),"")&lt;&gt;"○"),"바우처통장 지출 — 목적 확인",IF($H1030="","적요를 적으십시오",""))))))))))))</f>
        <v/>
      </c>
      <c r="M1030" s="39"/>
      <c r="O1030" s="11" t="str">
        <f aca="false">IF($B1030="","",YEAR($B1030)*100+MONTH($B1030))</f>
        <v/>
      </c>
      <c r="P1030" s="11" t="str">
        <f aca="false">IF($B1030="","",IF($E1030="대체",0,1))</f>
        <v/>
      </c>
    </row>
    <row r="1031" customFormat="false" ht="15" hidden="false" customHeight="false" outlineLevel="0" collapsed="false">
      <c r="A1031" s="36" t="str">
        <f aca="false">IF($B1031="","",COUNT($B$15:$B1031))</f>
        <v/>
      </c>
      <c r="B1031" s="37"/>
      <c r="C1031" s="38"/>
      <c r="D1031" s="39"/>
      <c r="E1031" s="36" t="str">
        <f aca="false">IF($D1031="","",IFERROR(INDEX('통합 ④ 설정'!$A$6:$A$40,MATCH($D1031,'통합 ④ 설정'!$B$6:$B$40,0)),"※없는 과목"))</f>
        <v/>
      </c>
      <c r="F1031" s="36" t="str">
        <f aca="false">IF($D1031="","",IFERROR(INDEX('통합 ④ 설정'!$C$6:$C$40,MATCH($D1031,'통합 ④ 설정'!$B$6:$B$40,0)),""))</f>
        <v/>
      </c>
      <c r="G1031" s="39"/>
      <c r="H1031" s="39"/>
      <c r="I1031" s="40"/>
      <c r="J1031" s="41"/>
      <c r="K1031" s="38"/>
      <c r="L1031" s="42" t="str">
        <f aca="false">IF($B1031="","",IF(AND(N($I1031)=0,N($J1031)=0),"금액이 없습니다",IF(AND($I1031&gt;0,$J1031&gt;0),"수입·지출 둘 다 적혔습니다",IF($C1031="","결제수단을 고르십시오",IF(ISNA(MATCH($C1031,'통합 ③ 통장·카드'!$A$5:$A$11,0)),"③ 통장·카드에 없는 결제수단입니다",IF($D1031="","계정과목을 고르십시오",IF($E1031="※없는 과목","④ 설정에 없는 과목입니다",IF(AND($E1031="수입",$J1031&gt;0),"수입 과목인데 지출에 적혔습니다",IF(AND(LEFT($E1031,2)&lt;&gt;"수입",$E1031&lt;&gt;"대체",$I1031&gt;0),"지출 과목인데 수입에 적혔습니다",IF($K1031="","증빙을 고르십시오",IF(AND($C1031="바우처통장",$J1031&gt;0,IFERROR(INDEX('통합 ④ 설정'!$E$6:$E$40,MATCH($D1031,'통합 ④ 설정'!$B$6:$B$40,0)),"")&lt;&gt;"○"),"바우처통장 지출 — 목적 확인",IF($H1031="","적요를 적으십시오",""))))))))))))</f>
        <v/>
      </c>
      <c r="M1031" s="39"/>
      <c r="O1031" s="11" t="str">
        <f aca="false">IF($B1031="","",YEAR($B1031)*100+MONTH($B1031))</f>
        <v/>
      </c>
      <c r="P1031" s="11" t="str">
        <f aca="false">IF($B1031="","",IF($E1031="대체",0,1))</f>
        <v/>
      </c>
    </row>
    <row r="1032" customFormat="false" ht="15" hidden="false" customHeight="false" outlineLevel="0" collapsed="false">
      <c r="A1032" s="36" t="str">
        <f aca="false">IF($B1032="","",COUNT($B$15:$B1032))</f>
        <v/>
      </c>
      <c r="B1032" s="37"/>
      <c r="C1032" s="38"/>
      <c r="D1032" s="39"/>
      <c r="E1032" s="36" t="str">
        <f aca="false">IF($D1032="","",IFERROR(INDEX('통합 ④ 설정'!$A$6:$A$40,MATCH($D1032,'통합 ④ 설정'!$B$6:$B$40,0)),"※없는 과목"))</f>
        <v/>
      </c>
      <c r="F1032" s="36" t="str">
        <f aca="false">IF($D1032="","",IFERROR(INDEX('통합 ④ 설정'!$C$6:$C$40,MATCH($D1032,'통합 ④ 설정'!$B$6:$B$40,0)),""))</f>
        <v/>
      </c>
      <c r="G1032" s="39"/>
      <c r="H1032" s="39"/>
      <c r="I1032" s="40"/>
      <c r="J1032" s="41"/>
      <c r="K1032" s="38"/>
      <c r="L1032" s="42" t="str">
        <f aca="false">IF($B1032="","",IF(AND(N($I1032)=0,N($J1032)=0),"금액이 없습니다",IF(AND($I1032&gt;0,$J1032&gt;0),"수입·지출 둘 다 적혔습니다",IF($C1032="","결제수단을 고르십시오",IF(ISNA(MATCH($C1032,'통합 ③ 통장·카드'!$A$5:$A$11,0)),"③ 통장·카드에 없는 결제수단입니다",IF($D1032="","계정과목을 고르십시오",IF($E1032="※없는 과목","④ 설정에 없는 과목입니다",IF(AND($E1032="수입",$J1032&gt;0),"수입 과목인데 지출에 적혔습니다",IF(AND(LEFT($E1032,2)&lt;&gt;"수입",$E1032&lt;&gt;"대체",$I1032&gt;0),"지출 과목인데 수입에 적혔습니다",IF($K1032="","증빙을 고르십시오",IF(AND($C1032="바우처통장",$J1032&gt;0,IFERROR(INDEX('통합 ④ 설정'!$E$6:$E$40,MATCH($D1032,'통합 ④ 설정'!$B$6:$B$40,0)),"")&lt;&gt;"○"),"바우처통장 지출 — 목적 확인",IF($H1032="","적요를 적으십시오",""))))))))))))</f>
        <v/>
      </c>
      <c r="M1032" s="39"/>
      <c r="O1032" s="11" t="str">
        <f aca="false">IF($B1032="","",YEAR($B1032)*100+MONTH($B1032))</f>
        <v/>
      </c>
      <c r="P1032" s="11" t="str">
        <f aca="false">IF($B1032="","",IF($E1032="대체",0,1))</f>
        <v/>
      </c>
    </row>
    <row r="1033" customFormat="false" ht="15" hidden="false" customHeight="false" outlineLevel="0" collapsed="false">
      <c r="A1033" s="36" t="str">
        <f aca="false">IF($B1033="","",COUNT($B$15:$B1033))</f>
        <v/>
      </c>
      <c r="B1033" s="37"/>
      <c r="C1033" s="38"/>
      <c r="D1033" s="39"/>
      <c r="E1033" s="36" t="str">
        <f aca="false">IF($D1033="","",IFERROR(INDEX('통합 ④ 설정'!$A$6:$A$40,MATCH($D1033,'통합 ④ 설정'!$B$6:$B$40,0)),"※없는 과목"))</f>
        <v/>
      </c>
      <c r="F1033" s="36" t="str">
        <f aca="false">IF($D1033="","",IFERROR(INDEX('통합 ④ 설정'!$C$6:$C$40,MATCH($D1033,'통합 ④ 설정'!$B$6:$B$40,0)),""))</f>
        <v/>
      </c>
      <c r="G1033" s="39"/>
      <c r="H1033" s="39"/>
      <c r="I1033" s="40"/>
      <c r="J1033" s="41"/>
      <c r="K1033" s="38"/>
      <c r="L1033" s="42" t="str">
        <f aca="false">IF($B1033="","",IF(AND(N($I1033)=0,N($J1033)=0),"금액이 없습니다",IF(AND($I1033&gt;0,$J1033&gt;0),"수입·지출 둘 다 적혔습니다",IF($C1033="","결제수단을 고르십시오",IF(ISNA(MATCH($C1033,'통합 ③ 통장·카드'!$A$5:$A$11,0)),"③ 통장·카드에 없는 결제수단입니다",IF($D1033="","계정과목을 고르십시오",IF($E1033="※없는 과목","④ 설정에 없는 과목입니다",IF(AND($E1033="수입",$J1033&gt;0),"수입 과목인데 지출에 적혔습니다",IF(AND(LEFT($E1033,2)&lt;&gt;"수입",$E1033&lt;&gt;"대체",$I1033&gt;0),"지출 과목인데 수입에 적혔습니다",IF($K1033="","증빙을 고르십시오",IF(AND($C1033="바우처통장",$J1033&gt;0,IFERROR(INDEX('통합 ④ 설정'!$E$6:$E$40,MATCH($D1033,'통합 ④ 설정'!$B$6:$B$40,0)),"")&lt;&gt;"○"),"바우처통장 지출 — 목적 확인",IF($H1033="","적요를 적으십시오",""))))))))))))</f>
        <v/>
      </c>
      <c r="M1033" s="39"/>
      <c r="O1033" s="11" t="str">
        <f aca="false">IF($B1033="","",YEAR($B1033)*100+MONTH($B1033))</f>
        <v/>
      </c>
      <c r="P1033" s="11" t="str">
        <f aca="false">IF($B1033="","",IF($E1033="대체",0,1))</f>
        <v/>
      </c>
    </row>
    <row r="1034" customFormat="false" ht="15" hidden="false" customHeight="false" outlineLevel="0" collapsed="false">
      <c r="A1034" s="36" t="str">
        <f aca="false">IF($B1034="","",COUNT($B$15:$B1034))</f>
        <v/>
      </c>
      <c r="B1034" s="37"/>
      <c r="C1034" s="38"/>
      <c r="D1034" s="39"/>
      <c r="E1034" s="36" t="str">
        <f aca="false">IF($D1034="","",IFERROR(INDEX('통합 ④ 설정'!$A$6:$A$40,MATCH($D1034,'통합 ④ 설정'!$B$6:$B$40,0)),"※없는 과목"))</f>
        <v/>
      </c>
      <c r="F1034" s="36" t="str">
        <f aca="false">IF($D1034="","",IFERROR(INDEX('통합 ④ 설정'!$C$6:$C$40,MATCH($D1034,'통합 ④ 설정'!$B$6:$B$40,0)),""))</f>
        <v/>
      </c>
      <c r="G1034" s="39"/>
      <c r="H1034" s="39"/>
      <c r="I1034" s="40"/>
      <c r="J1034" s="41"/>
      <c r="K1034" s="38"/>
      <c r="L1034" s="42" t="str">
        <f aca="false">IF($B1034="","",IF(AND(N($I1034)=0,N($J1034)=0),"금액이 없습니다",IF(AND($I1034&gt;0,$J1034&gt;0),"수입·지출 둘 다 적혔습니다",IF($C1034="","결제수단을 고르십시오",IF(ISNA(MATCH($C1034,'통합 ③ 통장·카드'!$A$5:$A$11,0)),"③ 통장·카드에 없는 결제수단입니다",IF($D1034="","계정과목을 고르십시오",IF($E1034="※없는 과목","④ 설정에 없는 과목입니다",IF(AND($E1034="수입",$J1034&gt;0),"수입 과목인데 지출에 적혔습니다",IF(AND(LEFT($E1034,2)&lt;&gt;"수입",$E1034&lt;&gt;"대체",$I1034&gt;0),"지출 과목인데 수입에 적혔습니다",IF($K1034="","증빙을 고르십시오",IF(AND($C1034="바우처통장",$J1034&gt;0,IFERROR(INDEX('통합 ④ 설정'!$E$6:$E$40,MATCH($D1034,'통합 ④ 설정'!$B$6:$B$40,0)),"")&lt;&gt;"○"),"바우처통장 지출 — 목적 확인",IF($H1034="","적요를 적으십시오",""))))))))))))</f>
        <v/>
      </c>
      <c r="M1034" s="39"/>
      <c r="O1034" s="11" t="str">
        <f aca="false">IF($B1034="","",YEAR($B1034)*100+MONTH($B1034))</f>
        <v/>
      </c>
      <c r="P1034" s="11" t="str">
        <f aca="false">IF($B1034="","",IF($E1034="대체",0,1))</f>
        <v/>
      </c>
    </row>
    <row r="1035" customFormat="false" ht="15" hidden="false" customHeight="false" outlineLevel="0" collapsed="false">
      <c r="A1035" s="36" t="str">
        <f aca="false">IF($B1035="","",COUNT($B$15:$B1035))</f>
        <v/>
      </c>
      <c r="B1035" s="37"/>
      <c r="C1035" s="38"/>
      <c r="D1035" s="39"/>
      <c r="E1035" s="36" t="str">
        <f aca="false">IF($D1035="","",IFERROR(INDEX('통합 ④ 설정'!$A$6:$A$40,MATCH($D1035,'통합 ④ 설정'!$B$6:$B$40,0)),"※없는 과목"))</f>
        <v/>
      </c>
      <c r="F1035" s="36" t="str">
        <f aca="false">IF($D1035="","",IFERROR(INDEX('통합 ④ 설정'!$C$6:$C$40,MATCH($D1035,'통합 ④ 설정'!$B$6:$B$40,0)),""))</f>
        <v/>
      </c>
      <c r="G1035" s="39"/>
      <c r="H1035" s="39"/>
      <c r="I1035" s="40"/>
      <c r="J1035" s="41"/>
      <c r="K1035" s="38"/>
      <c r="L1035" s="42" t="str">
        <f aca="false">IF($B1035="","",IF(AND(N($I1035)=0,N($J1035)=0),"금액이 없습니다",IF(AND($I1035&gt;0,$J1035&gt;0),"수입·지출 둘 다 적혔습니다",IF($C1035="","결제수단을 고르십시오",IF(ISNA(MATCH($C1035,'통합 ③ 통장·카드'!$A$5:$A$11,0)),"③ 통장·카드에 없는 결제수단입니다",IF($D1035="","계정과목을 고르십시오",IF($E1035="※없는 과목","④ 설정에 없는 과목입니다",IF(AND($E1035="수입",$J1035&gt;0),"수입 과목인데 지출에 적혔습니다",IF(AND(LEFT($E1035,2)&lt;&gt;"수입",$E1035&lt;&gt;"대체",$I1035&gt;0),"지출 과목인데 수입에 적혔습니다",IF($K1035="","증빙을 고르십시오",IF(AND($C1035="바우처통장",$J1035&gt;0,IFERROR(INDEX('통합 ④ 설정'!$E$6:$E$40,MATCH($D1035,'통합 ④ 설정'!$B$6:$B$40,0)),"")&lt;&gt;"○"),"바우처통장 지출 — 목적 확인",IF($H1035="","적요를 적으십시오",""))))))))))))</f>
        <v/>
      </c>
      <c r="M1035" s="39"/>
      <c r="O1035" s="11" t="str">
        <f aca="false">IF($B1035="","",YEAR($B1035)*100+MONTH($B1035))</f>
        <v/>
      </c>
      <c r="P1035" s="11" t="str">
        <f aca="false">IF($B1035="","",IF($E1035="대체",0,1))</f>
        <v/>
      </c>
    </row>
    <row r="1036" customFormat="false" ht="15" hidden="false" customHeight="false" outlineLevel="0" collapsed="false">
      <c r="A1036" s="36" t="str">
        <f aca="false">IF($B1036="","",COUNT($B$15:$B1036))</f>
        <v/>
      </c>
      <c r="B1036" s="37"/>
      <c r="C1036" s="38"/>
      <c r="D1036" s="39"/>
      <c r="E1036" s="36" t="str">
        <f aca="false">IF($D1036="","",IFERROR(INDEX('통합 ④ 설정'!$A$6:$A$40,MATCH($D1036,'통합 ④ 설정'!$B$6:$B$40,0)),"※없는 과목"))</f>
        <v/>
      </c>
      <c r="F1036" s="36" t="str">
        <f aca="false">IF($D1036="","",IFERROR(INDEX('통합 ④ 설정'!$C$6:$C$40,MATCH($D1036,'통합 ④ 설정'!$B$6:$B$40,0)),""))</f>
        <v/>
      </c>
      <c r="G1036" s="39"/>
      <c r="H1036" s="39"/>
      <c r="I1036" s="40"/>
      <c r="J1036" s="41"/>
      <c r="K1036" s="38"/>
      <c r="L1036" s="42" t="str">
        <f aca="false">IF($B1036="","",IF(AND(N($I1036)=0,N($J1036)=0),"금액이 없습니다",IF(AND($I1036&gt;0,$J1036&gt;0),"수입·지출 둘 다 적혔습니다",IF($C1036="","결제수단을 고르십시오",IF(ISNA(MATCH($C1036,'통합 ③ 통장·카드'!$A$5:$A$11,0)),"③ 통장·카드에 없는 결제수단입니다",IF($D1036="","계정과목을 고르십시오",IF($E1036="※없는 과목","④ 설정에 없는 과목입니다",IF(AND($E1036="수입",$J1036&gt;0),"수입 과목인데 지출에 적혔습니다",IF(AND(LEFT($E1036,2)&lt;&gt;"수입",$E1036&lt;&gt;"대체",$I1036&gt;0),"지출 과목인데 수입에 적혔습니다",IF($K1036="","증빙을 고르십시오",IF(AND($C1036="바우처통장",$J1036&gt;0,IFERROR(INDEX('통합 ④ 설정'!$E$6:$E$40,MATCH($D1036,'통합 ④ 설정'!$B$6:$B$40,0)),"")&lt;&gt;"○"),"바우처통장 지출 — 목적 확인",IF($H1036="","적요를 적으십시오",""))))))))))))</f>
        <v/>
      </c>
      <c r="M1036" s="39"/>
      <c r="O1036" s="11" t="str">
        <f aca="false">IF($B1036="","",YEAR($B1036)*100+MONTH($B1036))</f>
        <v/>
      </c>
      <c r="P1036" s="11" t="str">
        <f aca="false">IF($B1036="","",IF($E1036="대체",0,1))</f>
        <v/>
      </c>
    </row>
    <row r="1037" customFormat="false" ht="15" hidden="false" customHeight="false" outlineLevel="0" collapsed="false">
      <c r="A1037" s="36" t="str">
        <f aca="false">IF($B1037="","",COUNT($B$15:$B1037))</f>
        <v/>
      </c>
      <c r="B1037" s="37"/>
      <c r="C1037" s="38"/>
      <c r="D1037" s="39"/>
      <c r="E1037" s="36" t="str">
        <f aca="false">IF($D1037="","",IFERROR(INDEX('통합 ④ 설정'!$A$6:$A$40,MATCH($D1037,'통합 ④ 설정'!$B$6:$B$40,0)),"※없는 과목"))</f>
        <v/>
      </c>
      <c r="F1037" s="36" t="str">
        <f aca="false">IF($D1037="","",IFERROR(INDEX('통합 ④ 설정'!$C$6:$C$40,MATCH($D1037,'통합 ④ 설정'!$B$6:$B$40,0)),""))</f>
        <v/>
      </c>
      <c r="G1037" s="39"/>
      <c r="H1037" s="39"/>
      <c r="I1037" s="40"/>
      <c r="J1037" s="41"/>
      <c r="K1037" s="38"/>
      <c r="L1037" s="42" t="str">
        <f aca="false">IF($B1037="","",IF(AND(N($I1037)=0,N($J1037)=0),"금액이 없습니다",IF(AND($I1037&gt;0,$J1037&gt;0),"수입·지출 둘 다 적혔습니다",IF($C1037="","결제수단을 고르십시오",IF(ISNA(MATCH($C1037,'통합 ③ 통장·카드'!$A$5:$A$11,0)),"③ 통장·카드에 없는 결제수단입니다",IF($D1037="","계정과목을 고르십시오",IF($E1037="※없는 과목","④ 설정에 없는 과목입니다",IF(AND($E1037="수입",$J1037&gt;0),"수입 과목인데 지출에 적혔습니다",IF(AND(LEFT($E1037,2)&lt;&gt;"수입",$E1037&lt;&gt;"대체",$I1037&gt;0),"지출 과목인데 수입에 적혔습니다",IF($K1037="","증빙을 고르십시오",IF(AND($C1037="바우처통장",$J1037&gt;0,IFERROR(INDEX('통합 ④ 설정'!$E$6:$E$40,MATCH($D1037,'통합 ④ 설정'!$B$6:$B$40,0)),"")&lt;&gt;"○"),"바우처통장 지출 — 목적 확인",IF($H1037="","적요를 적으십시오",""))))))))))))</f>
        <v/>
      </c>
      <c r="M1037" s="39"/>
      <c r="O1037" s="11" t="str">
        <f aca="false">IF($B1037="","",YEAR($B1037)*100+MONTH($B1037))</f>
        <v/>
      </c>
      <c r="P1037" s="11" t="str">
        <f aca="false">IF($B1037="","",IF($E1037="대체",0,1))</f>
        <v/>
      </c>
    </row>
    <row r="1038" customFormat="false" ht="15" hidden="false" customHeight="false" outlineLevel="0" collapsed="false">
      <c r="A1038" s="36" t="str">
        <f aca="false">IF($B1038="","",COUNT($B$15:$B1038))</f>
        <v/>
      </c>
      <c r="B1038" s="37"/>
      <c r="C1038" s="38"/>
      <c r="D1038" s="39"/>
      <c r="E1038" s="36" t="str">
        <f aca="false">IF($D1038="","",IFERROR(INDEX('통합 ④ 설정'!$A$6:$A$40,MATCH($D1038,'통합 ④ 설정'!$B$6:$B$40,0)),"※없는 과목"))</f>
        <v/>
      </c>
      <c r="F1038" s="36" t="str">
        <f aca="false">IF($D1038="","",IFERROR(INDEX('통합 ④ 설정'!$C$6:$C$40,MATCH($D1038,'통합 ④ 설정'!$B$6:$B$40,0)),""))</f>
        <v/>
      </c>
      <c r="G1038" s="39"/>
      <c r="H1038" s="39"/>
      <c r="I1038" s="40"/>
      <c r="J1038" s="41"/>
      <c r="K1038" s="38"/>
      <c r="L1038" s="42" t="str">
        <f aca="false">IF($B1038="","",IF(AND(N($I1038)=0,N($J1038)=0),"금액이 없습니다",IF(AND($I1038&gt;0,$J1038&gt;0),"수입·지출 둘 다 적혔습니다",IF($C1038="","결제수단을 고르십시오",IF(ISNA(MATCH($C1038,'통합 ③ 통장·카드'!$A$5:$A$11,0)),"③ 통장·카드에 없는 결제수단입니다",IF($D1038="","계정과목을 고르십시오",IF($E1038="※없는 과목","④ 설정에 없는 과목입니다",IF(AND($E1038="수입",$J1038&gt;0),"수입 과목인데 지출에 적혔습니다",IF(AND(LEFT($E1038,2)&lt;&gt;"수입",$E1038&lt;&gt;"대체",$I1038&gt;0),"지출 과목인데 수입에 적혔습니다",IF($K1038="","증빙을 고르십시오",IF(AND($C1038="바우처통장",$J1038&gt;0,IFERROR(INDEX('통합 ④ 설정'!$E$6:$E$40,MATCH($D1038,'통합 ④ 설정'!$B$6:$B$40,0)),"")&lt;&gt;"○"),"바우처통장 지출 — 목적 확인",IF($H1038="","적요를 적으십시오",""))))))))))))</f>
        <v/>
      </c>
      <c r="M1038" s="39"/>
      <c r="O1038" s="11" t="str">
        <f aca="false">IF($B1038="","",YEAR($B1038)*100+MONTH($B1038))</f>
        <v/>
      </c>
      <c r="P1038" s="11" t="str">
        <f aca="false">IF($B1038="","",IF($E1038="대체",0,1))</f>
        <v/>
      </c>
    </row>
    <row r="1039" customFormat="false" ht="15" hidden="false" customHeight="false" outlineLevel="0" collapsed="false">
      <c r="A1039" s="36" t="str">
        <f aca="false">IF($B1039="","",COUNT($B$15:$B1039))</f>
        <v/>
      </c>
      <c r="B1039" s="37"/>
      <c r="C1039" s="38"/>
      <c r="D1039" s="39"/>
      <c r="E1039" s="36" t="str">
        <f aca="false">IF($D1039="","",IFERROR(INDEX('통합 ④ 설정'!$A$6:$A$40,MATCH($D1039,'통합 ④ 설정'!$B$6:$B$40,0)),"※없는 과목"))</f>
        <v/>
      </c>
      <c r="F1039" s="36" t="str">
        <f aca="false">IF($D1039="","",IFERROR(INDEX('통합 ④ 설정'!$C$6:$C$40,MATCH($D1039,'통합 ④ 설정'!$B$6:$B$40,0)),""))</f>
        <v/>
      </c>
      <c r="G1039" s="39"/>
      <c r="H1039" s="39"/>
      <c r="I1039" s="40"/>
      <c r="J1039" s="41"/>
      <c r="K1039" s="38"/>
      <c r="L1039" s="42" t="str">
        <f aca="false">IF($B1039="","",IF(AND(N($I1039)=0,N($J1039)=0),"금액이 없습니다",IF(AND($I1039&gt;0,$J1039&gt;0),"수입·지출 둘 다 적혔습니다",IF($C1039="","결제수단을 고르십시오",IF(ISNA(MATCH($C1039,'통합 ③ 통장·카드'!$A$5:$A$11,0)),"③ 통장·카드에 없는 결제수단입니다",IF($D1039="","계정과목을 고르십시오",IF($E1039="※없는 과목","④ 설정에 없는 과목입니다",IF(AND($E1039="수입",$J1039&gt;0),"수입 과목인데 지출에 적혔습니다",IF(AND(LEFT($E1039,2)&lt;&gt;"수입",$E1039&lt;&gt;"대체",$I1039&gt;0),"지출 과목인데 수입에 적혔습니다",IF($K1039="","증빙을 고르십시오",IF(AND($C1039="바우처통장",$J1039&gt;0,IFERROR(INDEX('통합 ④ 설정'!$E$6:$E$40,MATCH($D1039,'통합 ④ 설정'!$B$6:$B$40,0)),"")&lt;&gt;"○"),"바우처통장 지출 — 목적 확인",IF($H1039="","적요를 적으십시오",""))))))))))))</f>
        <v/>
      </c>
      <c r="M1039" s="39"/>
      <c r="O1039" s="11" t="str">
        <f aca="false">IF($B1039="","",YEAR($B1039)*100+MONTH($B1039))</f>
        <v/>
      </c>
      <c r="P1039" s="11" t="str">
        <f aca="false">IF($B1039="","",IF($E1039="대체",0,1))</f>
        <v/>
      </c>
    </row>
    <row r="1040" customFormat="false" ht="15" hidden="false" customHeight="false" outlineLevel="0" collapsed="false">
      <c r="A1040" s="36" t="str">
        <f aca="false">IF($B1040="","",COUNT($B$15:$B1040))</f>
        <v/>
      </c>
      <c r="B1040" s="37"/>
      <c r="C1040" s="38"/>
      <c r="D1040" s="39"/>
      <c r="E1040" s="36" t="str">
        <f aca="false">IF($D1040="","",IFERROR(INDEX('통합 ④ 설정'!$A$6:$A$40,MATCH($D1040,'통합 ④ 설정'!$B$6:$B$40,0)),"※없는 과목"))</f>
        <v/>
      </c>
      <c r="F1040" s="36" t="str">
        <f aca="false">IF($D1040="","",IFERROR(INDEX('통합 ④ 설정'!$C$6:$C$40,MATCH($D1040,'통합 ④ 설정'!$B$6:$B$40,0)),""))</f>
        <v/>
      </c>
      <c r="G1040" s="39"/>
      <c r="H1040" s="39"/>
      <c r="I1040" s="40"/>
      <c r="J1040" s="41"/>
      <c r="K1040" s="38"/>
      <c r="L1040" s="42" t="str">
        <f aca="false">IF($B1040="","",IF(AND(N($I1040)=0,N($J1040)=0),"금액이 없습니다",IF(AND($I1040&gt;0,$J1040&gt;0),"수입·지출 둘 다 적혔습니다",IF($C1040="","결제수단을 고르십시오",IF(ISNA(MATCH($C1040,'통합 ③ 통장·카드'!$A$5:$A$11,0)),"③ 통장·카드에 없는 결제수단입니다",IF($D1040="","계정과목을 고르십시오",IF($E1040="※없는 과목","④ 설정에 없는 과목입니다",IF(AND($E1040="수입",$J1040&gt;0),"수입 과목인데 지출에 적혔습니다",IF(AND(LEFT($E1040,2)&lt;&gt;"수입",$E1040&lt;&gt;"대체",$I1040&gt;0),"지출 과목인데 수입에 적혔습니다",IF($K1040="","증빙을 고르십시오",IF(AND($C1040="바우처통장",$J1040&gt;0,IFERROR(INDEX('통합 ④ 설정'!$E$6:$E$40,MATCH($D1040,'통합 ④ 설정'!$B$6:$B$40,0)),"")&lt;&gt;"○"),"바우처통장 지출 — 목적 확인",IF($H1040="","적요를 적으십시오",""))))))))))))</f>
        <v/>
      </c>
      <c r="M1040" s="39"/>
      <c r="O1040" s="11" t="str">
        <f aca="false">IF($B1040="","",YEAR($B1040)*100+MONTH($B1040))</f>
        <v/>
      </c>
      <c r="P1040" s="11" t="str">
        <f aca="false">IF($B1040="","",IF($E1040="대체",0,1))</f>
        <v/>
      </c>
    </row>
    <row r="1041" customFormat="false" ht="15" hidden="false" customHeight="false" outlineLevel="0" collapsed="false">
      <c r="A1041" s="36" t="str">
        <f aca="false">IF($B1041="","",COUNT($B$15:$B1041))</f>
        <v/>
      </c>
      <c r="B1041" s="37"/>
      <c r="C1041" s="38"/>
      <c r="D1041" s="39"/>
      <c r="E1041" s="36" t="str">
        <f aca="false">IF($D1041="","",IFERROR(INDEX('통합 ④ 설정'!$A$6:$A$40,MATCH($D1041,'통합 ④ 설정'!$B$6:$B$40,0)),"※없는 과목"))</f>
        <v/>
      </c>
      <c r="F1041" s="36" t="str">
        <f aca="false">IF($D1041="","",IFERROR(INDEX('통합 ④ 설정'!$C$6:$C$40,MATCH($D1041,'통합 ④ 설정'!$B$6:$B$40,0)),""))</f>
        <v/>
      </c>
      <c r="G1041" s="39"/>
      <c r="H1041" s="39"/>
      <c r="I1041" s="40"/>
      <c r="J1041" s="41"/>
      <c r="K1041" s="38"/>
      <c r="L1041" s="42" t="str">
        <f aca="false">IF($B1041="","",IF(AND(N($I1041)=0,N($J1041)=0),"금액이 없습니다",IF(AND($I1041&gt;0,$J1041&gt;0),"수입·지출 둘 다 적혔습니다",IF($C1041="","결제수단을 고르십시오",IF(ISNA(MATCH($C1041,'통합 ③ 통장·카드'!$A$5:$A$11,0)),"③ 통장·카드에 없는 결제수단입니다",IF($D1041="","계정과목을 고르십시오",IF($E1041="※없는 과목","④ 설정에 없는 과목입니다",IF(AND($E1041="수입",$J1041&gt;0),"수입 과목인데 지출에 적혔습니다",IF(AND(LEFT($E1041,2)&lt;&gt;"수입",$E1041&lt;&gt;"대체",$I1041&gt;0),"지출 과목인데 수입에 적혔습니다",IF($K1041="","증빙을 고르십시오",IF(AND($C1041="바우처통장",$J1041&gt;0,IFERROR(INDEX('통합 ④ 설정'!$E$6:$E$40,MATCH($D1041,'통합 ④ 설정'!$B$6:$B$40,0)),"")&lt;&gt;"○"),"바우처통장 지출 — 목적 확인",IF($H1041="","적요를 적으십시오",""))))))))))))</f>
        <v/>
      </c>
      <c r="M1041" s="39"/>
      <c r="O1041" s="11" t="str">
        <f aca="false">IF($B1041="","",YEAR($B1041)*100+MONTH($B1041))</f>
        <v/>
      </c>
      <c r="P1041" s="11" t="str">
        <f aca="false">IF($B1041="","",IF($E1041="대체",0,1))</f>
        <v/>
      </c>
    </row>
    <row r="1042" customFormat="false" ht="15" hidden="false" customHeight="false" outlineLevel="0" collapsed="false">
      <c r="A1042" s="36" t="str">
        <f aca="false">IF($B1042="","",COUNT($B$15:$B1042))</f>
        <v/>
      </c>
      <c r="B1042" s="37"/>
      <c r="C1042" s="38"/>
      <c r="D1042" s="39"/>
      <c r="E1042" s="36" t="str">
        <f aca="false">IF($D1042="","",IFERROR(INDEX('통합 ④ 설정'!$A$6:$A$40,MATCH($D1042,'통합 ④ 설정'!$B$6:$B$40,0)),"※없는 과목"))</f>
        <v/>
      </c>
      <c r="F1042" s="36" t="str">
        <f aca="false">IF($D1042="","",IFERROR(INDEX('통합 ④ 설정'!$C$6:$C$40,MATCH($D1042,'통합 ④ 설정'!$B$6:$B$40,0)),""))</f>
        <v/>
      </c>
      <c r="G1042" s="39"/>
      <c r="H1042" s="39"/>
      <c r="I1042" s="40"/>
      <c r="J1042" s="41"/>
      <c r="K1042" s="38"/>
      <c r="L1042" s="42" t="str">
        <f aca="false">IF($B1042="","",IF(AND(N($I1042)=0,N($J1042)=0),"금액이 없습니다",IF(AND($I1042&gt;0,$J1042&gt;0),"수입·지출 둘 다 적혔습니다",IF($C1042="","결제수단을 고르십시오",IF(ISNA(MATCH($C1042,'통합 ③ 통장·카드'!$A$5:$A$11,0)),"③ 통장·카드에 없는 결제수단입니다",IF($D1042="","계정과목을 고르십시오",IF($E1042="※없는 과목","④ 설정에 없는 과목입니다",IF(AND($E1042="수입",$J1042&gt;0),"수입 과목인데 지출에 적혔습니다",IF(AND(LEFT($E1042,2)&lt;&gt;"수입",$E1042&lt;&gt;"대체",$I1042&gt;0),"지출 과목인데 수입에 적혔습니다",IF($K1042="","증빙을 고르십시오",IF(AND($C1042="바우처통장",$J1042&gt;0,IFERROR(INDEX('통합 ④ 설정'!$E$6:$E$40,MATCH($D1042,'통합 ④ 설정'!$B$6:$B$40,0)),"")&lt;&gt;"○"),"바우처통장 지출 — 목적 확인",IF($H1042="","적요를 적으십시오",""))))))))))))</f>
        <v/>
      </c>
      <c r="M1042" s="39"/>
      <c r="O1042" s="11" t="str">
        <f aca="false">IF($B1042="","",YEAR($B1042)*100+MONTH($B1042))</f>
        <v/>
      </c>
      <c r="P1042" s="11" t="str">
        <f aca="false">IF($B1042="","",IF($E1042="대체",0,1))</f>
        <v/>
      </c>
    </row>
    <row r="1043" customFormat="false" ht="15" hidden="false" customHeight="false" outlineLevel="0" collapsed="false">
      <c r="A1043" s="36" t="str">
        <f aca="false">IF($B1043="","",COUNT($B$15:$B1043))</f>
        <v/>
      </c>
      <c r="B1043" s="37"/>
      <c r="C1043" s="38"/>
      <c r="D1043" s="39"/>
      <c r="E1043" s="36" t="str">
        <f aca="false">IF($D1043="","",IFERROR(INDEX('통합 ④ 설정'!$A$6:$A$40,MATCH($D1043,'통합 ④ 설정'!$B$6:$B$40,0)),"※없는 과목"))</f>
        <v/>
      </c>
      <c r="F1043" s="36" t="str">
        <f aca="false">IF($D1043="","",IFERROR(INDEX('통합 ④ 설정'!$C$6:$C$40,MATCH($D1043,'통합 ④ 설정'!$B$6:$B$40,0)),""))</f>
        <v/>
      </c>
      <c r="G1043" s="39"/>
      <c r="H1043" s="39"/>
      <c r="I1043" s="40"/>
      <c r="J1043" s="41"/>
      <c r="K1043" s="38"/>
      <c r="L1043" s="42" t="str">
        <f aca="false">IF($B1043="","",IF(AND(N($I1043)=0,N($J1043)=0),"금액이 없습니다",IF(AND($I1043&gt;0,$J1043&gt;0),"수입·지출 둘 다 적혔습니다",IF($C1043="","결제수단을 고르십시오",IF(ISNA(MATCH($C1043,'통합 ③ 통장·카드'!$A$5:$A$11,0)),"③ 통장·카드에 없는 결제수단입니다",IF($D1043="","계정과목을 고르십시오",IF($E1043="※없는 과목","④ 설정에 없는 과목입니다",IF(AND($E1043="수입",$J1043&gt;0),"수입 과목인데 지출에 적혔습니다",IF(AND(LEFT($E1043,2)&lt;&gt;"수입",$E1043&lt;&gt;"대체",$I1043&gt;0),"지출 과목인데 수입에 적혔습니다",IF($K1043="","증빙을 고르십시오",IF(AND($C1043="바우처통장",$J1043&gt;0,IFERROR(INDEX('통합 ④ 설정'!$E$6:$E$40,MATCH($D1043,'통합 ④ 설정'!$B$6:$B$40,0)),"")&lt;&gt;"○"),"바우처통장 지출 — 목적 확인",IF($H1043="","적요를 적으십시오",""))))))))))))</f>
        <v/>
      </c>
      <c r="M1043" s="39"/>
      <c r="O1043" s="11" t="str">
        <f aca="false">IF($B1043="","",YEAR($B1043)*100+MONTH($B1043))</f>
        <v/>
      </c>
      <c r="P1043" s="11" t="str">
        <f aca="false">IF($B1043="","",IF($E1043="대체",0,1))</f>
        <v/>
      </c>
    </row>
    <row r="1044" customFormat="false" ht="15" hidden="false" customHeight="false" outlineLevel="0" collapsed="false">
      <c r="A1044" s="36" t="str">
        <f aca="false">IF($B1044="","",COUNT($B$15:$B1044))</f>
        <v/>
      </c>
      <c r="B1044" s="37"/>
      <c r="C1044" s="38"/>
      <c r="D1044" s="39"/>
      <c r="E1044" s="36" t="str">
        <f aca="false">IF($D1044="","",IFERROR(INDEX('통합 ④ 설정'!$A$6:$A$40,MATCH($D1044,'통합 ④ 설정'!$B$6:$B$40,0)),"※없는 과목"))</f>
        <v/>
      </c>
      <c r="F1044" s="36" t="str">
        <f aca="false">IF($D1044="","",IFERROR(INDEX('통합 ④ 설정'!$C$6:$C$40,MATCH($D1044,'통합 ④ 설정'!$B$6:$B$40,0)),""))</f>
        <v/>
      </c>
      <c r="G1044" s="39"/>
      <c r="H1044" s="39"/>
      <c r="I1044" s="40"/>
      <c r="J1044" s="41"/>
      <c r="K1044" s="38"/>
      <c r="L1044" s="42" t="str">
        <f aca="false">IF($B1044="","",IF(AND(N($I1044)=0,N($J1044)=0),"금액이 없습니다",IF(AND($I1044&gt;0,$J1044&gt;0),"수입·지출 둘 다 적혔습니다",IF($C1044="","결제수단을 고르십시오",IF(ISNA(MATCH($C1044,'통합 ③ 통장·카드'!$A$5:$A$11,0)),"③ 통장·카드에 없는 결제수단입니다",IF($D1044="","계정과목을 고르십시오",IF($E1044="※없는 과목","④ 설정에 없는 과목입니다",IF(AND($E1044="수입",$J1044&gt;0),"수입 과목인데 지출에 적혔습니다",IF(AND(LEFT($E1044,2)&lt;&gt;"수입",$E1044&lt;&gt;"대체",$I1044&gt;0),"지출 과목인데 수입에 적혔습니다",IF($K1044="","증빙을 고르십시오",IF(AND($C1044="바우처통장",$J1044&gt;0,IFERROR(INDEX('통합 ④ 설정'!$E$6:$E$40,MATCH($D1044,'통합 ④ 설정'!$B$6:$B$40,0)),"")&lt;&gt;"○"),"바우처통장 지출 — 목적 확인",IF($H1044="","적요를 적으십시오",""))))))))))))</f>
        <v/>
      </c>
      <c r="M1044" s="39"/>
      <c r="O1044" s="11" t="str">
        <f aca="false">IF($B1044="","",YEAR($B1044)*100+MONTH($B1044))</f>
        <v/>
      </c>
      <c r="P1044" s="11" t="str">
        <f aca="false">IF($B1044="","",IF($E1044="대체",0,1))</f>
        <v/>
      </c>
    </row>
    <row r="1045" customFormat="false" ht="15" hidden="false" customHeight="false" outlineLevel="0" collapsed="false">
      <c r="A1045" s="36" t="str">
        <f aca="false">IF($B1045="","",COUNT($B$15:$B1045))</f>
        <v/>
      </c>
      <c r="B1045" s="37"/>
      <c r="C1045" s="38"/>
      <c r="D1045" s="39"/>
      <c r="E1045" s="36" t="str">
        <f aca="false">IF($D1045="","",IFERROR(INDEX('통합 ④ 설정'!$A$6:$A$40,MATCH($D1045,'통합 ④ 설정'!$B$6:$B$40,0)),"※없는 과목"))</f>
        <v/>
      </c>
      <c r="F1045" s="36" t="str">
        <f aca="false">IF($D1045="","",IFERROR(INDEX('통합 ④ 설정'!$C$6:$C$40,MATCH($D1045,'통합 ④ 설정'!$B$6:$B$40,0)),""))</f>
        <v/>
      </c>
      <c r="G1045" s="39"/>
      <c r="H1045" s="39"/>
      <c r="I1045" s="40"/>
      <c r="J1045" s="41"/>
      <c r="K1045" s="38"/>
      <c r="L1045" s="42" t="str">
        <f aca="false">IF($B1045="","",IF(AND(N($I1045)=0,N($J1045)=0),"금액이 없습니다",IF(AND($I1045&gt;0,$J1045&gt;0),"수입·지출 둘 다 적혔습니다",IF($C1045="","결제수단을 고르십시오",IF(ISNA(MATCH($C1045,'통합 ③ 통장·카드'!$A$5:$A$11,0)),"③ 통장·카드에 없는 결제수단입니다",IF($D1045="","계정과목을 고르십시오",IF($E1045="※없는 과목","④ 설정에 없는 과목입니다",IF(AND($E1045="수입",$J1045&gt;0),"수입 과목인데 지출에 적혔습니다",IF(AND(LEFT($E1045,2)&lt;&gt;"수입",$E1045&lt;&gt;"대체",$I1045&gt;0),"지출 과목인데 수입에 적혔습니다",IF($K1045="","증빙을 고르십시오",IF(AND($C1045="바우처통장",$J1045&gt;0,IFERROR(INDEX('통합 ④ 설정'!$E$6:$E$40,MATCH($D1045,'통합 ④ 설정'!$B$6:$B$40,0)),"")&lt;&gt;"○"),"바우처통장 지출 — 목적 확인",IF($H1045="","적요를 적으십시오",""))))))))))))</f>
        <v/>
      </c>
      <c r="M1045" s="39"/>
      <c r="O1045" s="11" t="str">
        <f aca="false">IF($B1045="","",YEAR($B1045)*100+MONTH($B1045))</f>
        <v/>
      </c>
      <c r="P1045" s="11" t="str">
        <f aca="false">IF($B1045="","",IF($E1045="대체",0,1))</f>
        <v/>
      </c>
    </row>
    <row r="1046" customFormat="false" ht="15" hidden="false" customHeight="false" outlineLevel="0" collapsed="false">
      <c r="A1046" s="36" t="str">
        <f aca="false">IF($B1046="","",COUNT($B$15:$B1046))</f>
        <v/>
      </c>
      <c r="B1046" s="37"/>
      <c r="C1046" s="38"/>
      <c r="D1046" s="39"/>
      <c r="E1046" s="36" t="str">
        <f aca="false">IF($D1046="","",IFERROR(INDEX('통합 ④ 설정'!$A$6:$A$40,MATCH($D1046,'통합 ④ 설정'!$B$6:$B$40,0)),"※없는 과목"))</f>
        <v/>
      </c>
      <c r="F1046" s="36" t="str">
        <f aca="false">IF($D1046="","",IFERROR(INDEX('통합 ④ 설정'!$C$6:$C$40,MATCH($D1046,'통합 ④ 설정'!$B$6:$B$40,0)),""))</f>
        <v/>
      </c>
      <c r="G1046" s="39"/>
      <c r="H1046" s="39"/>
      <c r="I1046" s="40"/>
      <c r="J1046" s="41"/>
      <c r="K1046" s="38"/>
      <c r="L1046" s="42" t="str">
        <f aca="false">IF($B1046="","",IF(AND(N($I1046)=0,N($J1046)=0),"금액이 없습니다",IF(AND($I1046&gt;0,$J1046&gt;0),"수입·지출 둘 다 적혔습니다",IF($C1046="","결제수단을 고르십시오",IF(ISNA(MATCH($C1046,'통합 ③ 통장·카드'!$A$5:$A$11,0)),"③ 통장·카드에 없는 결제수단입니다",IF($D1046="","계정과목을 고르십시오",IF($E1046="※없는 과목","④ 설정에 없는 과목입니다",IF(AND($E1046="수입",$J1046&gt;0),"수입 과목인데 지출에 적혔습니다",IF(AND(LEFT($E1046,2)&lt;&gt;"수입",$E1046&lt;&gt;"대체",$I1046&gt;0),"지출 과목인데 수입에 적혔습니다",IF($K1046="","증빙을 고르십시오",IF(AND($C1046="바우처통장",$J1046&gt;0,IFERROR(INDEX('통합 ④ 설정'!$E$6:$E$40,MATCH($D1046,'통합 ④ 설정'!$B$6:$B$40,0)),"")&lt;&gt;"○"),"바우처통장 지출 — 목적 확인",IF($H1046="","적요를 적으십시오",""))))))))))))</f>
        <v/>
      </c>
      <c r="M1046" s="39"/>
      <c r="O1046" s="11" t="str">
        <f aca="false">IF($B1046="","",YEAR($B1046)*100+MONTH($B1046))</f>
        <v/>
      </c>
      <c r="P1046" s="11" t="str">
        <f aca="false">IF($B1046="","",IF($E1046="대체",0,1))</f>
        <v/>
      </c>
    </row>
    <row r="1047" customFormat="false" ht="15" hidden="false" customHeight="false" outlineLevel="0" collapsed="false">
      <c r="A1047" s="36" t="str">
        <f aca="false">IF($B1047="","",COUNT($B$15:$B1047))</f>
        <v/>
      </c>
      <c r="B1047" s="37"/>
      <c r="C1047" s="38"/>
      <c r="D1047" s="39"/>
      <c r="E1047" s="36" t="str">
        <f aca="false">IF($D1047="","",IFERROR(INDEX('통합 ④ 설정'!$A$6:$A$40,MATCH($D1047,'통합 ④ 설정'!$B$6:$B$40,0)),"※없는 과목"))</f>
        <v/>
      </c>
      <c r="F1047" s="36" t="str">
        <f aca="false">IF($D1047="","",IFERROR(INDEX('통합 ④ 설정'!$C$6:$C$40,MATCH($D1047,'통합 ④ 설정'!$B$6:$B$40,0)),""))</f>
        <v/>
      </c>
      <c r="G1047" s="39"/>
      <c r="H1047" s="39"/>
      <c r="I1047" s="40"/>
      <c r="J1047" s="41"/>
      <c r="K1047" s="38"/>
      <c r="L1047" s="42" t="str">
        <f aca="false">IF($B1047="","",IF(AND(N($I1047)=0,N($J1047)=0),"금액이 없습니다",IF(AND($I1047&gt;0,$J1047&gt;0),"수입·지출 둘 다 적혔습니다",IF($C1047="","결제수단을 고르십시오",IF(ISNA(MATCH($C1047,'통합 ③ 통장·카드'!$A$5:$A$11,0)),"③ 통장·카드에 없는 결제수단입니다",IF($D1047="","계정과목을 고르십시오",IF($E1047="※없는 과목","④ 설정에 없는 과목입니다",IF(AND($E1047="수입",$J1047&gt;0),"수입 과목인데 지출에 적혔습니다",IF(AND(LEFT($E1047,2)&lt;&gt;"수입",$E1047&lt;&gt;"대체",$I1047&gt;0),"지출 과목인데 수입에 적혔습니다",IF($K1047="","증빙을 고르십시오",IF(AND($C1047="바우처통장",$J1047&gt;0,IFERROR(INDEX('통합 ④ 설정'!$E$6:$E$40,MATCH($D1047,'통합 ④ 설정'!$B$6:$B$40,0)),"")&lt;&gt;"○"),"바우처통장 지출 — 목적 확인",IF($H1047="","적요를 적으십시오",""))))))))))))</f>
        <v/>
      </c>
      <c r="M1047" s="39"/>
      <c r="O1047" s="11" t="str">
        <f aca="false">IF($B1047="","",YEAR($B1047)*100+MONTH($B1047))</f>
        <v/>
      </c>
      <c r="P1047" s="11" t="str">
        <f aca="false">IF($B1047="","",IF($E1047="대체",0,1))</f>
        <v/>
      </c>
    </row>
    <row r="1048" customFormat="false" ht="15" hidden="false" customHeight="false" outlineLevel="0" collapsed="false">
      <c r="A1048" s="36" t="str">
        <f aca="false">IF($B1048="","",COUNT($B$15:$B1048))</f>
        <v/>
      </c>
      <c r="B1048" s="37"/>
      <c r="C1048" s="38"/>
      <c r="D1048" s="39"/>
      <c r="E1048" s="36" t="str">
        <f aca="false">IF($D1048="","",IFERROR(INDEX('통합 ④ 설정'!$A$6:$A$40,MATCH($D1048,'통합 ④ 설정'!$B$6:$B$40,0)),"※없는 과목"))</f>
        <v/>
      </c>
      <c r="F1048" s="36" t="str">
        <f aca="false">IF($D1048="","",IFERROR(INDEX('통합 ④ 설정'!$C$6:$C$40,MATCH($D1048,'통합 ④ 설정'!$B$6:$B$40,0)),""))</f>
        <v/>
      </c>
      <c r="G1048" s="39"/>
      <c r="H1048" s="39"/>
      <c r="I1048" s="40"/>
      <c r="J1048" s="41"/>
      <c r="K1048" s="38"/>
      <c r="L1048" s="42" t="str">
        <f aca="false">IF($B1048="","",IF(AND(N($I1048)=0,N($J1048)=0),"금액이 없습니다",IF(AND($I1048&gt;0,$J1048&gt;0),"수입·지출 둘 다 적혔습니다",IF($C1048="","결제수단을 고르십시오",IF(ISNA(MATCH($C1048,'통합 ③ 통장·카드'!$A$5:$A$11,0)),"③ 통장·카드에 없는 결제수단입니다",IF($D1048="","계정과목을 고르십시오",IF($E1048="※없는 과목","④ 설정에 없는 과목입니다",IF(AND($E1048="수입",$J1048&gt;0),"수입 과목인데 지출에 적혔습니다",IF(AND(LEFT($E1048,2)&lt;&gt;"수입",$E1048&lt;&gt;"대체",$I1048&gt;0),"지출 과목인데 수입에 적혔습니다",IF($K1048="","증빙을 고르십시오",IF(AND($C1048="바우처통장",$J1048&gt;0,IFERROR(INDEX('통합 ④ 설정'!$E$6:$E$40,MATCH($D1048,'통합 ④ 설정'!$B$6:$B$40,0)),"")&lt;&gt;"○"),"바우처통장 지출 — 목적 확인",IF($H1048="","적요를 적으십시오",""))))))))))))</f>
        <v/>
      </c>
      <c r="M1048" s="39"/>
      <c r="O1048" s="11" t="str">
        <f aca="false">IF($B1048="","",YEAR($B1048)*100+MONTH($B1048))</f>
        <v/>
      </c>
      <c r="P1048" s="11" t="str">
        <f aca="false">IF($B1048="","",IF($E1048="대체",0,1))</f>
        <v/>
      </c>
    </row>
    <row r="1049" customFormat="false" ht="15" hidden="false" customHeight="false" outlineLevel="0" collapsed="false">
      <c r="A1049" s="36" t="str">
        <f aca="false">IF($B1049="","",COUNT($B$15:$B1049))</f>
        <v/>
      </c>
      <c r="B1049" s="37"/>
      <c r="C1049" s="38"/>
      <c r="D1049" s="39"/>
      <c r="E1049" s="36" t="str">
        <f aca="false">IF($D1049="","",IFERROR(INDEX('통합 ④ 설정'!$A$6:$A$40,MATCH($D1049,'통합 ④ 설정'!$B$6:$B$40,0)),"※없는 과목"))</f>
        <v/>
      </c>
      <c r="F1049" s="36" t="str">
        <f aca="false">IF($D1049="","",IFERROR(INDEX('통합 ④ 설정'!$C$6:$C$40,MATCH($D1049,'통합 ④ 설정'!$B$6:$B$40,0)),""))</f>
        <v/>
      </c>
      <c r="G1049" s="39"/>
      <c r="H1049" s="39"/>
      <c r="I1049" s="40"/>
      <c r="J1049" s="41"/>
      <c r="K1049" s="38"/>
      <c r="L1049" s="42" t="str">
        <f aca="false">IF($B1049="","",IF(AND(N($I1049)=0,N($J1049)=0),"금액이 없습니다",IF(AND($I1049&gt;0,$J1049&gt;0),"수입·지출 둘 다 적혔습니다",IF($C1049="","결제수단을 고르십시오",IF(ISNA(MATCH($C1049,'통합 ③ 통장·카드'!$A$5:$A$11,0)),"③ 통장·카드에 없는 결제수단입니다",IF($D1049="","계정과목을 고르십시오",IF($E1049="※없는 과목","④ 설정에 없는 과목입니다",IF(AND($E1049="수입",$J1049&gt;0),"수입 과목인데 지출에 적혔습니다",IF(AND(LEFT($E1049,2)&lt;&gt;"수입",$E1049&lt;&gt;"대체",$I1049&gt;0),"지출 과목인데 수입에 적혔습니다",IF($K1049="","증빙을 고르십시오",IF(AND($C1049="바우처통장",$J1049&gt;0,IFERROR(INDEX('통합 ④ 설정'!$E$6:$E$40,MATCH($D1049,'통합 ④ 설정'!$B$6:$B$40,0)),"")&lt;&gt;"○"),"바우처통장 지출 — 목적 확인",IF($H1049="","적요를 적으십시오",""))))))))))))</f>
        <v/>
      </c>
      <c r="M1049" s="39"/>
      <c r="O1049" s="11" t="str">
        <f aca="false">IF($B1049="","",YEAR($B1049)*100+MONTH($B1049))</f>
        <v/>
      </c>
      <c r="P1049" s="11" t="str">
        <f aca="false">IF($B1049="","",IF($E1049="대체",0,1))</f>
        <v/>
      </c>
    </row>
    <row r="1050" customFormat="false" ht="15" hidden="false" customHeight="false" outlineLevel="0" collapsed="false">
      <c r="A1050" s="36" t="str">
        <f aca="false">IF($B1050="","",COUNT($B$15:$B1050))</f>
        <v/>
      </c>
      <c r="B1050" s="37"/>
      <c r="C1050" s="38"/>
      <c r="D1050" s="39"/>
      <c r="E1050" s="36" t="str">
        <f aca="false">IF($D1050="","",IFERROR(INDEX('통합 ④ 설정'!$A$6:$A$40,MATCH($D1050,'통합 ④ 설정'!$B$6:$B$40,0)),"※없는 과목"))</f>
        <v/>
      </c>
      <c r="F1050" s="36" t="str">
        <f aca="false">IF($D1050="","",IFERROR(INDEX('통합 ④ 설정'!$C$6:$C$40,MATCH($D1050,'통합 ④ 설정'!$B$6:$B$40,0)),""))</f>
        <v/>
      </c>
      <c r="G1050" s="39"/>
      <c r="H1050" s="39"/>
      <c r="I1050" s="40"/>
      <c r="J1050" s="41"/>
      <c r="K1050" s="38"/>
      <c r="L1050" s="42" t="str">
        <f aca="false">IF($B1050="","",IF(AND(N($I1050)=0,N($J1050)=0),"금액이 없습니다",IF(AND($I1050&gt;0,$J1050&gt;0),"수입·지출 둘 다 적혔습니다",IF($C1050="","결제수단을 고르십시오",IF(ISNA(MATCH($C1050,'통합 ③ 통장·카드'!$A$5:$A$11,0)),"③ 통장·카드에 없는 결제수단입니다",IF($D1050="","계정과목을 고르십시오",IF($E1050="※없는 과목","④ 설정에 없는 과목입니다",IF(AND($E1050="수입",$J1050&gt;0),"수입 과목인데 지출에 적혔습니다",IF(AND(LEFT($E1050,2)&lt;&gt;"수입",$E1050&lt;&gt;"대체",$I1050&gt;0),"지출 과목인데 수입에 적혔습니다",IF($K1050="","증빙을 고르십시오",IF(AND($C1050="바우처통장",$J1050&gt;0,IFERROR(INDEX('통합 ④ 설정'!$E$6:$E$40,MATCH($D1050,'통합 ④ 설정'!$B$6:$B$40,0)),"")&lt;&gt;"○"),"바우처통장 지출 — 목적 확인",IF($H1050="","적요를 적으십시오",""))))))))))))</f>
        <v/>
      </c>
      <c r="M1050" s="39"/>
      <c r="O1050" s="11" t="str">
        <f aca="false">IF($B1050="","",YEAR($B1050)*100+MONTH($B1050))</f>
        <v/>
      </c>
      <c r="P1050" s="11" t="str">
        <f aca="false">IF($B1050="","",IF($E1050="대체",0,1))</f>
        <v/>
      </c>
    </row>
    <row r="1051" customFormat="false" ht="15" hidden="false" customHeight="false" outlineLevel="0" collapsed="false">
      <c r="A1051" s="36" t="str">
        <f aca="false">IF($B1051="","",COUNT($B$15:$B1051))</f>
        <v/>
      </c>
      <c r="B1051" s="37"/>
      <c r="C1051" s="38"/>
      <c r="D1051" s="39"/>
      <c r="E1051" s="36" t="str">
        <f aca="false">IF($D1051="","",IFERROR(INDEX('통합 ④ 설정'!$A$6:$A$40,MATCH($D1051,'통합 ④ 설정'!$B$6:$B$40,0)),"※없는 과목"))</f>
        <v/>
      </c>
      <c r="F1051" s="36" t="str">
        <f aca="false">IF($D1051="","",IFERROR(INDEX('통합 ④ 설정'!$C$6:$C$40,MATCH($D1051,'통합 ④ 설정'!$B$6:$B$40,0)),""))</f>
        <v/>
      </c>
      <c r="G1051" s="39"/>
      <c r="H1051" s="39"/>
      <c r="I1051" s="40"/>
      <c r="J1051" s="41"/>
      <c r="K1051" s="38"/>
      <c r="L1051" s="42" t="str">
        <f aca="false">IF($B1051="","",IF(AND(N($I1051)=0,N($J1051)=0),"금액이 없습니다",IF(AND($I1051&gt;0,$J1051&gt;0),"수입·지출 둘 다 적혔습니다",IF($C1051="","결제수단을 고르십시오",IF(ISNA(MATCH($C1051,'통합 ③ 통장·카드'!$A$5:$A$11,0)),"③ 통장·카드에 없는 결제수단입니다",IF($D1051="","계정과목을 고르십시오",IF($E1051="※없는 과목","④ 설정에 없는 과목입니다",IF(AND($E1051="수입",$J1051&gt;0),"수입 과목인데 지출에 적혔습니다",IF(AND(LEFT($E1051,2)&lt;&gt;"수입",$E1051&lt;&gt;"대체",$I1051&gt;0),"지출 과목인데 수입에 적혔습니다",IF($K1051="","증빙을 고르십시오",IF(AND($C1051="바우처통장",$J1051&gt;0,IFERROR(INDEX('통합 ④ 설정'!$E$6:$E$40,MATCH($D1051,'통합 ④ 설정'!$B$6:$B$40,0)),"")&lt;&gt;"○"),"바우처통장 지출 — 목적 확인",IF($H1051="","적요를 적으십시오",""))))))))))))</f>
        <v/>
      </c>
      <c r="M1051" s="39"/>
      <c r="O1051" s="11" t="str">
        <f aca="false">IF($B1051="","",YEAR($B1051)*100+MONTH($B1051))</f>
        <v/>
      </c>
      <c r="P1051" s="11" t="str">
        <f aca="false">IF($B1051="","",IF($E1051="대체",0,1))</f>
        <v/>
      </c>
    </row>
    <row r="1052" customFormat="false" ht="15" hidden="false" customHeight="false" outlineLevel="0" collapsed="false">
      <c r="A1052" s="36" t="str">
        <f aca="false">IF($B1052="","",COUNT($B$15:$B1052))</f>
        <v/>
      </c>
      <c r="B1052" s="37"/>
      <c r="C1052" s="38"/>
      <c r="D1052" s="39"/>
      <c r="E1052" s="36" t="str">
        <f aca="false">IF($D1052="","",IFERROR(INDEX('통합 ④ 설정'!$A$6:$A$40,MATCH($D1052,'통합 ④ 설정'!$B$6:$B$40,0)),"※없는 과목"))</f>
        <v/>
      </c>
      <c r="F1052" s="36" t="str">
        <f aca="false">IF($D1052="","",IFERROR(INDEX('통합 ④ 설정'!$C$6:$C$40,MATCH($D1052,'통합 ④ 설정'!$B$6:$B$40,0)),""))</f>
        <v/>
      </c>
      <c r="G1052" s="39"/>
      <c r="H1052" s="39"/>
      <c r="I1052" s="40"/>
      <c r="J1052" s="41"/>
      <c r="K1052" s="38"/>
      <c r="L1052" s="42" t="str">
        <f aca="false">IF($B1052="","",IF(AND(N($I1052)=0,N($J1052)=0),"금액이 없습니다",IF(AND($I1052&gt;0,$J1052&gt;0),"수입·지출 둘 다 적혔습니다",IF($C1052="","결제수단을 고르십시오",IF(ISNA(MATCH($C1052,'통합 ③ 통장·카드'!$A$5:$A$11,0)),"③ 통장·카드에 없는 결제수단입니다",IF($D1052="","계정과목을 고르십시오",IF($E1052="※없는 과목","④ 설정에 없는 과목입니다",IF(AND($E1052="수입",$J1052&gt;0),"수입 과목인데 지출에 적혔습니다",IF(AND(LEFT($E1052,2)&lt;&gt;"수입",$E1052&lt;&gt;"대체",$I1052&gt;0),"지출 과목인데 수입에 적혔습니다",IF($K1052="","증빙을 고르십시오",IF(AND($C1052="바우처통장",$J1052&gt;0,IFERROR(INDEX('통합 ④ 설정'!$E$6:$E$40,MATCH($D1052,'통합 ④ 설정'!$B$6:$B$40,0)),"")&lt;&gt;"○"),"바우처통장 지출 — 목적 확인",IF($H1052="","적요를 적으십시오",""))))))))))))</f>
        <v/>
      </c>
      <c r="M1052" s="39"/>
      <c r="O1052" s="11" t="str">
        <f aca="false">IF($B1052="","",YEAR($B1052)*100+MONTH($B1052))</f>
        <v/>
      </c>
      <c r="P1052" s="11" t="str">
        <f aca="false">IF($B1052="","",IF($E1052="대체",0,1))</f>
        <v/>
      </c>
    </row>
    <row r="1053" customFormat="false" ht="15" hidden="false" customHeight="false" outlineLevel="0" collapsed="false">
      <c r="A1053" s="36" t="str">
        <f aca="false">IF($B1053="","",COUNT($B$15:$B1053))</f>
        <v/>
      </c>
      <c r="B1053" s="37"/>
      <c r="C1053" s="38"/>
      <c r="D1053" s="39"/>
      <c r="E1053" s="36" t="str">
        <f aca="false">IF($D1053="","",IFERROR(INDEX('통합 ④ 설정'!$A$6:$A$40,MATCH($D1053,'통합 ④ 설정'!$B$6:$B$40,0)),"※없는 과목"))</f>
        <v/>
      </c>
      <c r="F1053" s="36" t="str">
        <f aca="false">IF($D1053="","",IFERROR(INDEX('통합 ④ 설정'!$C$6:$C$40,MATCH($D1053,'통합 ④ 설정'!$B$6:$B$40,0)),""))</f>
        <v/>
      </c>
      <c r="G1053" s="39"/>
      <c r="H1053" s="39"/>
      <c r="I1053" s="40"/>
      <c r="J1053" s="41"/>
      <c r="K1053" s="38"/>
      <c r="L1053" s="42" t="str">
        <f aca="false">IF($B1053="","",IF(AND(N($I1053)=0,N($J1053)=0),"금액이 없습니다",IF(AND($I1053&gt;0,$J1053&gt;0),"수입·지출 둘 다 적혔습니다",IF($C1053="","결제수단을 고르십시오",IF(ISNA(MATCH($C1053,'통합 ③ 통장·카드'!$A$5:$A$11,0)),"③ 통장·카드에 없는 결제수단입니다",IF($D1053="","계정과목을 고르십시오",IF($E1053="※없는 과목","④ 설정에 없는 과목입니다",IF(AND($E1053="수입",$J1053&gt;0),"수입 과목인데 지출에 적혔습니다",IF(AND(LEFT($E1053,2)&lt;&gt;"수입",$E1053&lt;&gt;"대체",$I1053&gt;0),"지출 과목인데 수입에 적혔습니다",IF($K1053="","증빙을 고르십시오",IF(AND($C1053="바우처통장",$J1053&gt;0,IFERROR(INDEX('통합 ④ 설정'!$E$6:$E$40,MATCH($D1053,'통합 ④ 설정'!$B$6:$B$40,0)),"")&lt;&gt;"○"),"바우처통장 지출 — 목적 확인",IF($H1053="","적요를 적으십시오",""))))))))))))</f>
        <v/>
      </c>
      <c r="M1053" s="39"/>
      <c r="O1053" s="11" t="str">
        <f aca="false">IF($B1053="","",YEAR($B1053)*100+MONTH($B1053))</f>
        <v/>
      </c>
      <c r="P1053" s="11" t="str">
        <f aca="false">IF($B1053="","",IF($E1053="대체",0,1))</f>
        <v/>
      </c>
    </row>
    <row r="1054" customFormat="false" ht="15" hidden="false" customHeight="false" outlineLevel="0" collapsed="false">
      <c r="A1054" s="36" t="str">
        <f aca="false">IF($B1054="","",COUNT($B$15:$B1054))</f>
        <v/>
      </c>
      <c r="B1054" s="37"/>
      <c r="C1054" s="38"/>
      <c r="D1054" s="39"/>
      <c r="E1054" s="36" t="str">
        <f aca="false">IF($D1054="","",IFERROR(INDEX('통합 ④ 설정'!$A$6:$A$40,MATCH($D1054,'통합 ④ 설정'!$B$6:$B$40,0)),"※없는 과목"))</f>
        <v/>
      </c>
      <c r="F1054" s="36" t="str">
        <f aca="false">IF($D1054="","",IFERROR(INDEX('통합 ④ 설정'!$C$6:$C$40,MATCH($D1054,'통합 ④ 설정'!$B$6:$B$40,0)),""))</f>
        <v/>
      </c>
      <c r="G1054" s="39"/>
      <c r="H1054" s="39"/>
      <c r="I1054" s="40"/>
      <c r="J1054" s="41"/>
      <c r="K1054" s="38"/>
      <c r="L1054" s="42" t="str">
        <f aca="false">IF($B1054="","",IF(AND(N($I1054)=0,N($J1054)=0),"금액이 없습니다",IF(AND($I1054&gt;0,$J1054&gt;0),"수입·지출 둘 다 적혔습니다",IF($C1054="","결제수단을 고르십시오",IF(ISNA(MATCH($C1054,'통합 ③ 통장·카드'!$A$5:$A$11,0)),"③ 통장·카드에 없는 결제수단입니다",IF($D1054="","계정과목을 고르십시오",IF($E1054="※없는 과목","④ 설정에 없는 과목입니다",IF(AND($E1054="수입",$J1054&gt;0),"수입 과목인데 지출에 적혔습니다",IF(AND(LEFT($E1054,2)&lt;&gt;"수입",$E1054&lt;&gt;"대체",$I1054&gt;0),"지출 과목인데 수입에 적혔습니다",IF($K1054="","증빙을 고르십시오",IF(AND($C1054="바우처통장",$J1054&gt;0,IFERROR(INDEX('통합 ④ 설정'!$E$6:$E$40,MATCH($D1054,'통합 ④ 설정'!$B$6:$B$40,0)),"")&lt;&gt;"○"),"바우처통장 지출 — 목적 확인",IF($H1054="","적요를 적으십시오",""))))))))))))</f>
        <v/>
      </c>
      <c r="M1054" s="39"/>
      <c r="O1054" s="11" t="str">
        <f aca="false">IF($B1054="","",YEAR($B1054)*100+MONTH($B1054))</f>
        <v/>
      </c>
      <c r="P1054" s="11" t="str">
        <f aca="false">IF($B1054="","",IF($E1054="대체",0,1))</f>
        <v/>
      </c>
    </row>
    <row r="1055" customFormat="false" ht="15" hidden="false" customHeight="false" outlineLevel="0" collapsed="false">
      <c r="A1055" s="36" t="str">
        <f aca="false">IF($B1055="","",COUNT($B$15:$B1055))</f>
        <v/>
      </c>
      <c r="B1055" s="37"/>
      <c r="C1055" s="38"/>
      <c r="D1055" s="39"/>
      <c r="E1055" s="36" t="str">
        <f aca="false">IF($D1055="","",IFERROR(INDEX('통합 ④ 설정'!$A$6:$A$40,MATCH($D1055,'통합 ④ 설정'!$B$6:$B$40,0)),"※없는 과목"))</f>
        <v/>
      </c>
      <c r="F1055" s="36" t="str">
        <f aca="false">IF($D1055="","",IFERROR(INDEX('통합 ④ 설정'!$C$6:$C$40,MATCH($D1055,'통합 ④ 설정'!$B$6:$B$40,0)),""))</f>
        <v/>
      </c>
      <c r="G1055" s="39"/>
      <c r="H1055" s="39"/>
      <c r="I1055" s="40"/>
      <c r="J1055" s="41"/>
      <c r="K1055" s="38"/>
      <c r="L1055" s="42" t="str">
        <f aca="false">IF($B1055="","",IF(AND(N($I1055)=0,N($J1055)=0),"금액이 없습니다",IF(AND($I1055&gt;0,$J1055&gt;0),"수입·지출 둘 다 적혔습니다",IF($C1055="","결제수단을 고르십시오",IF(ISNA(MATCH($C1055,'통합 ③ 통장·카드'!$A$5:$A$11,0)),"③ 통장·카드에 없는 결제수단입니다",IF($D1055="","계정과목을 고르십시오",IF($E1055="※없는 과목","④ 설정에 없는 과목입니다",IF(AND($E1055="수입",$J1055&gt;0),"수입 과목인데 지출에 적혔습니다",IF(AND(LEFT($E1055,2)&lt;&gt;"수입",$E1055&lt;&gt;"대체",$I1055&gt;0),"지출 과목인데 수입에 적혔습니다",IF($K1055="","증빙을 고르십시오",IF(AND($C1055="바우처통장",$J1055&gt;0,IFERROR(INDEX('통합 ④ 설정'!$E$6:$E$40,MATCH($D1055,'통합 ④ 설정'!$B$6:$B$40,0)),"")&lt;&gt;"○"),"바우처통장 지출 — 목적 확인",IF($H1055="","적요를 적으십시오",""))))))))))))</f>
        <v/>
      </c>
      <c r="M1055" s="39"/>
      <c r="O1055" s="11" t="str">
        <f aca="false">IF($B1055="","",YEAR($B1055)*100+MONTH($B1055))</f>
        <v/>
      </c>
      <c r="P1055" s="11" t="str">
        <f aca="false">IF($B1055="","",IF($E1055="대체",0,1))</f>
        <v/>
      </c>
    </row>
    <row r="1056" customFormat="false" ht="15" hidden="false" customHeight="false" outlineLevel="0" collapsed="false">
      <c r="A1056" s="36" t="str">
        <f aca="false">IF($B1056="","",COUNT($B$15:$B1056))</f>
        <v/>
      </c>
      <c r="B1056" s="37"/>
      <c r="C1056" s="38"/>
      <c r="D1056" s="39"/>
      <c r="E1056" s="36" t="str">
        <f aca="false">IF($D1056="","",IFERROR(INDEX('통합 ④ 설정'!$A$6:$A$40,MATCH($D1056,'통합 ④ 설정'!$B$6:$B$40,0)),"※없는 과목"))</f>
        <v/>
      </c>
      <c r="F1056" s="36" t="str">
        <f aca="false">IF($D1056="","",IFERROR(INDEX('통합 ④ 설정'!$C$6:$C$40,MATCH($D1056,'통합 ④ 설정'!$B$6:$B$40,0)),""))</f>
        <v/>
      </c>
      <c r="G1056" s="39"/>
      <c r="H1056" s="39"/>
      <c r="I1056" s="40"/>
      <c r="J1056" s="41"/>
      <c r="K1056" s="38"/>
      <c r="L1056" s="42" t="str">
        <f aca="false">IF($B1056="","",IF(AND(N($I1056)=0,N($J1056)=0),"금액이 없습니다",IF(AND($I1056&gt;0,$J1056&gt;0),"수입·지출 둘 다 적혔습니다",IF($C1056="","결제수단을 고르십시오",IF(ISNA(MATCH($C1056,'통합 ③ 통장·카드'!$A$5:$A$11,0)),"③ 통장·카드에 없는 결제수단입니다",IF($D1056="","계정과목을 고르십시오",IF($E1056="※없는 과목","④ 설정에 없는 과목입니다",IF(AND($E1056="수입",$J1056&gt;0),"수입 과목인데 지출에 적혔습니다",IF(AND(LEFT($E1056,2)&lt;&gt;"수입",$E1056&lt;&gt;"대체",$I1056&gt;0),"지출 과목인데 수입에 적혔습니다",IF($K1056="","증빙을 고르십시오",IF(AND($C1056="바우처통장",$J1056&gt;0,IFERROR(INDEX('통합 ④ 설정'!$E$6:$E$40,MATCH($D1056,'통합 ④ 설정'!$B$6:$B$40,0)),"")&lt;&gt;"○"),"바우처통장 지출 — 목적 확인",IF($H1056="","적요를 적으십시오",""))))))))))))</f>
        <v/>
      </c>
      <c r="M1056" s="39"/>
      <c r="O1056" s="11" t="str">
        <f aca="false">IF($B1056="","",YEAR($B1056)*100+MONTH($B1056))</f>
        <v/>
      </c>
      <c r="P1056" s="11" t="str">
        <f aca="false">IF($B1056="","",IF($E1056="대체",0,1))</f>
        <v/>
      </c>
    </row>
    <row r="1057" customFormat="false" ht="15" hidden="false" customHeight="false" outlineLevel="0" collapsed="false">
      <c r="A1057" s="36" t="str">
        <f aca="false">IF($B1057="","",COUNT($B$15:$B1057))</f>
        <v/>
      </c>
      <c r="B1057" s="37"/>
      <c r="C1057" s="38"/>
      <c r="D1057" s="39"/>
      <c r="E1057" s="36" t="str">
        <f aca="false">IF($D1057="","",IFERROR(INDEX('통합 ④ 설정'!$A$6:$A$40,MATCH($D1057,'통합 ④ 설정'!$B$6:$B$40,0)),"※없는 과목"))</f>
        <v/>
      </c>
      <c r="F1057" s="36" t="str">
        <f aca="false">IF($D1057="","",IFERROR(INDEX('통합 ④ 설정'!$C$6:$C$40,MATCH($D1057,'통합 ④ 설정'!$B$6:$B$40,0)),""))</f>
        <v/>
      </c>
      <c r="G1057" s="39"/>
      <c r="H1057" s="39"/>
      <c r="I1057" s="40"/>
      <c r="J1057" s="41"/>
      <c r="K1057" s="38"/>
      <c r="L1057" s="42" t="str">
        <f aca="false">IF($B1057="","",IF(AND(N($I1057)=0,N($J1057)=0),"금액이 없습니다",IF(AND($I1057&gt;0,$J1057&gt;0),"수입·지출 둘 다 적혔습니다",IF($C1057="","결제수단을 고르십시오",IF(ISNA(MATCH($C1057,'통합 ③ 통장·카드'!$A$5:$A$11,0)),"③ 통장·카드에 없는 결제수단입니다",IF($D1057="","계정과목을 고르십시오",IF($E1057="※없는 과목","④ 설정에 없는 과목입니다",IF(AND($E1057="수입",$J1057&gt;0),"수입 과목인데 지출에 적혔습니다",IF(AND(LEFT($E1057,2)&lt;&gt;"수입",$E1057&lt;&gt;"대체",$I1057&gt;0),"지출 과목인데 수입에 적혔습니다",IF($K1057="","증빙을 고르십시오",IF(AND($C1057="바우처통장",$J1057&gt;0,IFERROR(INDEX('통합 ④ 설정'!$E$6:$E$40,MATCH($D1057,'통합 ④ 설정'!$B$6:$B$40,0)),"")&lt;&gt;"○"),"바우처통장 지출 — 목적 확인",IF($H1057="","적요를 적으십시오",""))))))))))))</f>
        <v/>
      </c>
      <c r="M1057" s="39"/>
      <c r="O1057" s="11" t="str">
        <f aca="false">IF($B1057="","",YEAR($B1057)*100+MONTH($B1057))</f>
        <v/>
      </c>
      <c r="P1057" s="11" t="str">
        <f aca="false">IF($B1057="","",IF($E1057="대체",0,1))</f>
        <v/>
      </c>
    </row>
    <row r="1058" customFormat="false" ht="15" hidden="false" customHeight="false" outlineLevel="0" collapsed="false">
      <c r="A1058" s="36" t="str">
        <f aca="false">IF($B1058="","",COUNT($B$15:$B1058))</f>
        <v/>
      </c>
      <c r="B1058" s="37"/>
      <c r="C1058" s="38"/>
      <c r="D1058" s="39"/>
      <c r="E1058" s="36" t="str">
        <f aca="false">IF($D1058="","",IFERROR(INDEX('통합 ④ 설정'!$A$6:$A$40,MATCH($D1058,'통합 ④ 설정'!$B$6:$B$40,0)),"※없는 과목"))</f>
        <v/>
      </c>
      <c r="F1058" s="36" t="str">
        <f aca="false">IF($D1058="","",IFERROR(INDEX('통합 ④ 설정'!$C$6:$C$40,MATCH($D1058,'통합 ④ 설정'!$B$6:$B$40,0)),""))</f>
        <v/>
      </c>
      <c r="G1058" s="39"/>
      <c r="H1058" s="39"/>
      <c r="I1058" s="40"/>
      <c r="J1058" s="41"/>
      <c r="K1058" s="38"/>
      <c r="L1058" s="42" t="str">
        <f aca="false">IF($B1058="","",IF(AND(N($I1058)=0,N($J1058)=0),"금액이 없습니다",IF(AND($I1058&gt;0,$J1058&gt;0),"수입·지출 둘 다 적혔습니다",IF($C1058="","결제수단을 고르십시오",IF(ISNA(MATCH($C1058,'통합 ③ 통장·카드'!$A$5:$A$11,0)),"③ 통장·카드에 없는 결제수단입니다",IF($D1058="","계정과목을 고르십시오",IF($E1058="※없는 과목","④ 설정에 없는 과목입니다",IF(AND($E1058="수입",$J1058&gt;0),"수입 과목인데 지출에 적혔습니다",IF(AND(LEFT($E1058,2)&lt;&gt;"수입",$E1058&lt;&gt;"대체",$I1058&gt;0),"지출 과목인데 수입에 적혔습니다",IF($K1058="","증빙을 고르십시오",IF(AND($C1058="바우처통장",$J1058&gt;0,IFERROR(INDEX('통합 ④ 설정'!$E$6:$E$40,MATCH($D1058,'통합 ④ 설정'!$B$6:$B$40,0)),"")&lt;&gt;"○"),"바우처통장 지출 — 목적 확인",IF($H1058="","적요를 적으십시오",""))))))))))))</f>
        <v/>
      </c>
      <c r="M1058" s="39"/>
      <c r="O1058" s="11" t="str">
        <f aca="false">IF($B1058="","",YEAR($B1058)*100+MONTH($B1058))</f>
        <v/>
      </c>
      <c r="P1058" s="11" t="str">
        <f aca="false">IF($B1058="","",IF($E1058="대체",0,1))</f>
        <v/>
      </c>
    </row>
    <row r="1059" customFormat="false" ht="15" hidden="false" customHeight="false" outlineLevel="0" collapsed="false">
      <c r="A1059" s="36" t="str">
        <f aca="false">IF($B1059="","",COUNT($B$15:$B1059))</f>
        <v/>
      </c>
      <c r="B1059" s="37"/>
      <c r="C1059" s="38"/>
      <c r="D1059" s="39"/>
      <c r="E1059" s="36" t="str">
        <f aca="false">IF($D1059="","",IFERROR(INDEX('통합 ④ 설정'!$A$6:$A$40,MATCH($D1059,'통합 ④ 설정'!$B$6:$B$40,0)),"※없는 과목"))</f>
        <v/>
      </c>
      <c r="F1059" s="36" t="str">
        <f aca="false">IF($D1059="","",IFERROR(INDEX('통합 ④ 설정'!$C$6:$C$40,MATCH($D1059,'통합 ④ 설정'!$B$6:$B$40,0)),""))</f>
        <v/>
      </c>
      <c r="G1059" s="39"/>
      <c r="H1059" s="39"/>
      <c r="I1059" s="40"/>
      <c r="J1059" s="41"/>
      <c r="K1059" s="38"/>
      <c r="L1059" s="42" t="str">
        <f aca="false">IF($B1059="","",IF(AND(N($I1059)=0,N($J1059)=0),"금액이 없습니다",IF(AND($I1059&gt;0,$J1059&gt;0),"수입·지출 둘 다 적혔습니다",IF($C1059="","결제수단을 고르십시오",IF(ISNA(MATCH($C1059,'통합 ③ 통장·카드'!$A$5:$A$11,0)),"③ 통장·카드에 없는 결제수단입니다",IF($D1059="","계정과목을 고르십시오",IF($E1059="※없는 과목","④ 설정에 없는 과목입니다",IF(AND($E1059="수입",$J1059&gt;0),"수입 과목인데 지출에 적혔습니다",IF(AND(LEFT($E1059,2)&lt;&gt;"수입",$E1059&lt;&gt;"대체",$I1059&gt;0),"지출 과목인데 수입에 적혔습니다",IF($K1059="","증빙을 고르십시오",IF(AND($C1059="바우처통장",$J1059&gt;0,IFERROR(INDEX('통합 ④ 설정'!$E$6:$E$40,MATCH($D1059,'통합 ④ 설정'!$B$6:$B$40,0)),"")&lt;&gt;"○"),"바우처통장 지출 — 목적 확인",IF($H1059="","적요를 적으십시오",""))))))))))))</f>
        <v/>
      </c>
      <c r="M1059" s="39"/>
      <c r="O1059" s="11" t="str">
        <f aca="false">IF($B1059="","",YEAR($B1059)*100+MONTH($B1059))</f>
        <v/>
      </c>
      <c r="P1059" s="11" t="str">
        <f aca="false">IF($B1059="","",IF($E1059="대체",0,1))</f>
        <v/>
      </c>
    </row>
    <row r="1060" customFormat="false" ht="15" hidden="false" customHeight="false" outlineLevel="0" collapsed="false">
      <c r="A1060" s="36" t="str">
        <f aca="false">IF($B1060="","",COUNT($B$15:$B1060))</f>
        <v/>
      </c>
      <c r="B1060" s="37"/>
      <c r="C1060" s="38"/>
      <c r="D1060" s="39"/>
      <c r="E1060" s="36" t="str">
        <f aca="false">IF($D1060="","",IFERROR(INDEX('통합 ④ 설정'!$A$6:$A$40,MATCH($D1060,'통합 ④ 설정'!$B$6:$B$40,0)),"※없는 과목"))</f>
        <v/>
      </c>
      <c r="F1060" s="36" t="str">
        <f aca="false">IF($D1060="","",IFERROR(INDEX('통합 ④ 설정'!$C$6:$C$40,MATCH($D1060,'통합 ④ 설정'!$B$6:$B$40,0)),""))</f>
        <v/>
      </c>
      <c r="G1060" s="39"/>
      <c r="H1060" s="39"/>
      <c r="I1060" s="40"/>
      <c r="J1060" s="41"/>
      <c r="K1060" s="38"/>
      <c r="L1060" s="42" t="str">
        <f aca="false">IF($B1060="","",IF(AND(N($I1060)=0,N($J1060)=0),"금액이 없습니다",IF(AND($I1060&gt;0,$J1060&gt;0),"수입·지출 둘 다 적혔습니다",IF($C1060="","결제수단을 고르십시오",IF(ISNA(MATCH($C1060,'통합 ③ 통장·카드'!$A$5:$A$11,0)),"③ 통장·카드에 없는 결제수단입니다",IF($D1060="","계정과목을 고르십시오",IF($E1060="※없는 과목","④ 설정에 없는 과목입니다",IF(AND($E1060="수입",$J1060&gt;0),"수입 과목인데 지출에 적혔습니다",IF(AND(LEFT($E1060,2)&lt;&gt;"수입",$E1060&lt;&gt;"대체",$I1060&gt;0),"지출 과목인데 수입에 적혔습니다",IF($K1060="","증빙을 고르십시오",IF(AND($C1060="바우처통장",$J1060&gt;0,IFERROR(INDEX('통합 ④ 설정'!$E$6:$E$40,MATCH($D1060,'통합 ④ 설정'!$B$6:$B$40,0)),"")&lt;&gt;"○"),"바우처통장 지출 — 목적 확인",IF($H1060="","적요를 적으십시오",""))))))))))))</f>
        <v/>
      </c>
      <c r="M1060" s="39"/>
      <c r="O1060" s="11" t="str">
        <f aca="false">IF($B1060="","",YEAR($B1060)*100+MONTH($B1060))</f>
        <v/>
      </c>
      <c r="P1060" s="11" t="str">
        <f aca="false">IF($B1060="","",IF($E1060="대체",0,1))</f>
        <v/>
      </c>
    </row>
    <row r="1061" customFormat="false" ht="15" hidden="false" customHeight="false" outlineLevel="0" collapsed="false">
      <c r="A1061" s="36" t="str">
        <f aca="false">IF($B1061="","",COUNT($B$15:$B1061))</f>
        <v/>
      </c>
      <c r="B1061" s="37"/>
      <c r="C1061" s="38"/>
      <c r="D1061" s="39"/>
      <c r="E1061" s="36" t="str">
        <f aca="false">IF($D1061="","",IFERROR(INDEX('통합 ④ 설정'!$A$6:$A$40,MATCH($D1061,'통합 ④ 설정'!$B$6:$B$40,0)),"※없는 과목"))</f>
        <v/>
      </c>
      <c r="F1061" s="36" t="str">
        <f aca="false">IF($D1061="","",IFERROR(INDEX('통합 ④ 설정'!$C$6:$C$40,MATCH($D1061,'통합 ④ 설정'!$B$6:$B$40,0)),""))</f>
        <v/>
      </c>
      <c r="G1061" s="39"/>
      <c r="H1061" s="39"/>
      <c r="I1061" s="40"/>
      <c r="J1061" s="41"/>
      <c r="K1061" s="38"/>
      <c r="L1061" s="42" t="str">
        <f aca="false">IF($B1061="","",IF(AND(N($I1061)=0,N($J1061)=0),"금액이 없습니다",IF(AND($I1061&gt;0,$J1061&gt;0),"수입·지출 둘 다 적혔습니다",IF($C1061="","결제수단을 고르십시오",IF(ISNA(MATCH($C1061,'통합 ③ 통장·카드'!$A$5:$A$11,0)),"③ 통장·카드에 없는 결제수단입니다",IF($D1061="","계정과목을 고르십시오",IF($E1061="※없는 과목","④ 설정에 없는 과목입니다",IF(AND($E1061="수입",$J1061&gt;0),"수입 과목인데 지출에 적혔습니다",IF(AND(LEFT($E1061,2)&lt;&gt;"수입",$E1061&lt;&gt;"대체",$I1061&gt;0),"지출 과목인데 수입에 적혔습니다",IF($K1061="","증빙을 고르십시오",IF(AND($C1061="바우처통장",$J1061&gt;0,IFERROR(INDEX('통합 ④ 설정'!$E$6:$E$40,MATCH($D1061,'통합 ④ 설정'!$B$6:$B$40,0)),"")&lt;&gt;"○"),"바우처통장 지출 — 목적 확인",IF($H1061="","적요를 적으십시오",""))))))))))))</f>
        <v/>
      </c>
      <c r="M1061" s="39"/>
      <c r="O1061" s="11" t="str">
        <f aca="false">IF($B1061="","",YEAR($B1061)*100+MONTH($B1061))</f>
        <v/>
      </c>
      <c r="P1061" s="11" t="str">
        <f aca="false">IF($B1061="","",IF($E1061="대체",0,1))</f>
        <v/>
      </c>
    </row>
    <row r="1062" customFormat="false" ht="15" hidden="false" customHeight="false" outlineLevel="0" collapsed="false">
      <c r="A1062" s="36" t="str">
        <f aca="false">IF($B1062="","",COUNT($B$15:$B1062))</f>
        <v/>
      </c>
      <c r="B1062" s="37"/>
      <c r="C1062" s="38"/>
      <c r="D1062" s="39"/>
      <c r="E1062" s="36" t="str">
        <f aca="false">IF($D1062="","",IFERROR(INDEX('통합 ④ 설정'!$A$6:$A$40,MATCH($D1062,'통합 ④ 설정'!$B$6:$B$40,0)),"※없는 과목"))</f>
        <v/>
      </c>
      <c r="F1062" s="36" t="str">
        <f aca="false">IF($D1062="","",IFERROR(INDEX('통합 ④ 설정'!$C$6:$C$40,MATCH($D1062,'통합 ④ 설정'!$B$6:$B$40,0)),""))</f>
        <v/>
      </c>
      <c r="G1062" s="39"/>
      <c r="H1062" s="39"/>
      <c r="I1062" s="40"/>
      <c r="J1062" s="41"/>
      <c r="K1062" s="38"/>
      <c r="L1062" s="42" t="str">
        <f aca="false">IF($B1062="","",IF(AND(N($I1062)=0,N($J1062)=0),"금액이 없습니다",IF(AND($I1062&gt;0,$J1062&gt;0),"수입·지출 둘 다 적혔습니다",IF($C1062="","결제수단을 고르십시오",IF(ISNA(MATCH($C1062,'통합 ③ 통장·카드'!$A$5:$A$11,0)),"③ 통장·카드에 없는 결제수단입니다",IF($D1062="","계정과목을 고르십시오",IF($E1062="※없는 과목","④ 설정에 없는 과목입니다",IF(AND($E1062="수입",$J1062&gt;0),"수입 과목인데 지출에 적혔습니다",IF(AND(LEFT($E1062,2)&lt;&gt;"수입",$E1062&lt;&gt;"대체",$I1062&gt;0),"지출 과목인데 수입에 적혔습니다",IF($K1062="","증빙을 고르십시오",IF(AND($C1062="바우처통장",$J1062&gt;0,IFERROR(INDEX('통합 ④ 설정'!$E$6:$E$40,MATCH($D1062,'통합 ④ 설정'!$B$6:$B$40,0)),"")&lt;&gt;"○"),"바우처통장 지출 — 목적 확인",IF($H1062="","적요를 적으십시오",""))))))))))))</f>
        <v/>
      </c>
      <c r="M1062" s="39"/>
      <c r="O1062" s="11" t="str">
        <f aca="false">IF($B1062="","",YEAR($B1062)*100+MONTH($B1062))</f>
        <v/>
      </c>
      <c r="P1062" s="11" t="str">
        <f aca="false">IF($B1062="","",IF($E1062="대체",0,1))</f>
        <v/>
      </c>
    </row>
    <row r="1063" customFormat="false" ht="15" hidden="false" customHeight="false" outlineLevel="0" collapsed="false">
      <c r="A1063" s="36" t="str">
        <f aca="false">IF($B1063="","",COUNT($B$15:$B1063))</f>
        <v/>
      </c>
      <c r="B1063" s="37"/>
      <c r="C1063" s="38"/>
      <c r="D1063" s="39"/>
      <c r="E1063" s="36" t="str">
        <f aca="false">IF($D1063="","",IFERROR(INDEX('통합 ④ 설정'!$A$6:$A$40,MATCH($D1063,'통합 ④ 설정'!$B$6:$B$40,0)),"※없는 과목"))</f>
        <v/>
      </c>
      <c r="F1063" s="36" t="str">
        <f aca="false">IF($D1063="","",IFERROR(INDEX('통합 ④ 설정'!$C$6:$C$40,MATCH($D1063,'통합 ④ 설정'!$B$6:$B$40,0)),""))</f>
        <v/>
      </c>
      <c r="G1063" s="39"/>
      <c r="H1063" s="39"/>
      <c r="I1063" s="40"/>
      <c r="J1063" s="41"/>
      <c r="K1063" s="38"/>
      <c r="L1063" s="42" t="str">
        <f aca="false">IF($B1063="","",IF(AND(N($I1063)=0,N($J1063)=0),"금액이 없습니다",IF(AND($I1063&gt;0,$J1063&gt;0),"수입·지출 둘 다 적혔습니다",IF($C1063="","결제수단을 고르십시오",IF(ISNA(MATCH($C1063,'통합 ③ 통장·카드'!$A$5:$A$11,0)),"③ 통장·카드에 없는 결제수단입니다",IF($D1063="","계정과목을 고르십시오",IF($E1063="※없는 과목","④ 설정에 없는 과목입니다",IF(AND($E1063="수입",$J1063&gt;0),"수입 과목인데 지출에 적혔습니다",IF(AND(LEFT($E1063,2)&lt;&gt;"수입",$E1063&lt;&gt;"대체",$I1063&gt;0),"지출 과목인데 수입에 적혔습니다",IF($K1063="","증빙을 고르십시오",IF(AND($C1063="바우처통장",$J1063&gt;0,IFERROR(INDEX('통합 ④ 설정'!$E$6:$E$40,MATCH($D1063,'통합 ④ 설정'!$B$6:$B$40,0)),"")&lt;&gt;"○"),"바우처통장 지출 — 목적 확인",IF($H1063="","적요를 적으십시오",""))))))))))))</f>
        <v/>
      </c>
      <c r="M1063" s="39"/>
      <c r="O1063" s="11" t="str">
        <f aca="false">IF($B1063="","",YEAR($B1063)*100+MONTH($B1063))</f>
        <v/>
      </c>
      <c r="P1063" s="11" t="str">
        <f aca="false">IF($B1063="","",IF($E1063="대체",0,1))</f>
        <v/>
      </c>
    </row>
    <row r="1064" customFormat="false" ht="15" hidden="false" customHeight="false" outlineLevel="0" collapsed="false">
      <c r="A1064" s="36" t="str">
        <f aca="false">IF($B1064="","",COUNT($B$15:$B1064))</f>
        <v/>
      </c>
      <c r="B1064" s="37"/>
      <c r="C1064" s="38"/>
      <c r="D1064" s="39"/>
      <c r="E1064" s="36" t="str">
        <f aca="false">IF($D1064="","",IFERROR(INDEX('통합 ④ 설정'!$A$6:$A$40,MATCH($D1064,'통합 ④ 설정'!$B$6:$B$40,0)),"※없는 과목"))</f>
        <v/>
      </c>
      <c r="F1064" s="36" t="str">
        <f aca="false">IF($D1064="","",IFERROR(INDEX('통합 ④ 설정'!$C$6:$C$40,MATCH($D1064,'통합 ④ 설정'!$B$6:$B$40,0)),""))</f>
        <v/>
      </c>
      <c r="G1064" s="39"/>
      <c r="H1064" s="39"/>
      <c r="I1064" s="40"/>
      <c r="J1064" s="41"/>
      <c r="K1064" s="38"/>
      <c r="L1064" s="42" t="str">
        <f aca="false">IF($B1064="","",IF(AND(N($I1064)=0,N($J1064)=0),"금액이 없습니다",IF(AND($I1064&gt;0,$J1064&gt;0),"수입·지출 둘 다 적혔습니다",IF($C1064="","결제수단을 고르십시오",IF(ISNA(MATCH($C1064,'통합 ③ 통장·카드'!$A$5:$A$11,0)),"③ 통장·카드에 없는 결제수단입니다",IF($D1064="","계정과목을 고르십시오",IF($E1064="※없는 과목","④ 설정에 없는 과목입니다",IF(AND($E1064="수입",$J1064&gt;0),"수입 과목인데 지출에 적혔습니다",IF(AND(LEFT($E1064,2)&lt;&gt;"수입",$E1064&lt;&gt;"대체",$I1064&gt;0),"지출 과목인데 수입에 적혔습니다",IF($K1064="","증빙을 고르십시오",IF(AND($C1064="바우처통장",$J1064&gt;0,IFERROR(INDEX('통합 ④ 설정'!$E$6:$E$40,MATCH($D1064,'통합 ④ 설정'!$B$6:$B$40,0)),"")&lt;&gt;"○"),"바우처통장 지출 — 목적 확인",IF($H1064="","적요를 적으십시오",""))))))))))))</f>
        <v/>
      </c>
      <c r="M1064" s="39"/>
      <c r="O1064" s="11" t="str">
        <f aca="false">IF($B1064="","",YEAR($B1064)*100+MONTH($B1064))</f>
        <v/>
      </c>
      <c r="P1064" s="11" t="str">
        <f aca="false">IF($B1064="","",IF($E1064="대체",0,1))</f>
        <v/>
      </c>
    </row>
    <row r="1065" customFormat="false" ht="15" hidden="false" customHeight="false" outlineLevel="0" collapsed="false">
      <c r="A1065" s="36" t="str">
        <f aca="false">IF($B1065="","",COUNT($B$15:$B1065))</f>
        <v/>
      </c>
      <c r="B1065" s="37"/>
      <c r="C1065" s="38"/>
      <c r="D1065" s="39"/>
      <c r="E1065" s="36" t="str">
        <f aca="false">IF($D1065="","",IFERROR(INDEX('통합 ④ 설정'!$A$6:$A$40,MATCH($D1065,'통합 ④ 설정'!$B$6:$B$40,0)),"※없는 과목"))</f>
        <v/>
      </c>
      <c r="F1065" s="36" t="str">
        <f aca="false">IF($D1065="","",IFERROR(INDEX('통합 ④ 설정'!$C$6:$C$40,MATCH($D1065,'통합 ④ 설정'!$B$6:$B$40,0)),""))</f>
        <v/>
      </c>
      <c r="G1065" s="39"/>
      <c r="H1065" s="39"/>
      <c r="I1065" s="40"/>
      <c r="J1065" s="41"/>
      <c r="K1065" s="38"/>
      <c r="L1065" s="42" t="str">
        <f aca="false">IF($B1065="","",IF(AND(N($I1065)=0,N($J1065)=0),"금액이 없습니다",IF(AND($I1065&gt;0,$J1065&gt;0),"수입·지출 둘 다 적혔습니다",IF($C1065="","결제수단을 고르십시오",IF(ISNA(MATCH($C1065,'통합 ③ 통장·카드'!$A$5:$A$11,0)),"③ 통장·카드에 없는 결제수단입니다",IF($D1065="","계정과목을 고르십시오",IF($E1065="※없는 과목","④ 설정에 없는 과목입니다",IF(AND($E1065="수입",$J1065&gt;0),"수입 과목인데 지출에 적혔습니다",IF(AND(LEFT($E1065,2)&lt;&gt;"수입",$E1065&lt;&gt;"대체",$I1065&gt;0),"지출 과목인데 수입에 적혔습니다",IF($K1065="","증빙을 고르십시오",IF(AND($C1065="바우처통장",$J1065&gt;0,IFERROR(INDEX('통합 ④ 설정'!$E$6:$E$40,MATCH($D1065,'통합 ④ 설정'!$B$6:$B$40,0)),"")&lt;&gt;"○"),"바우처통장 지출 — 목적 확인",IF($H1065="","적요를 적으십시오",""))))))))))))</f>
        <v/>
      </c>
      <c r="M1065" s="39"/>
      <c r="O1065" s="11" t="str">
        <f aca="false">IF($B1065="","",YEAR($B1065)*100+MONTH($B1065))</f>
        <v/>
      </c>
      <c r="P1065" s="11" t="str">
        <f aca="false">IF($B1065="","",IF($E1065="대체",0,1))</f>
        <v/>
      </c>
    </row>
    <row r="1066" customFormat="false" ht="15" hidden="false" customHeight="false" outlineLevel="0" collapsed="false">
      <c r="A1066" s="36" t="str">
        <f aca="false">IF($B1066="","",COUNT($B$15:$B1066))</f>
        <v/>
      </c>
      <c r="B1066" s="37"/>
      <c r="C1066" s="38"/>
      <c r="D1066" s="39"/>
      <c r="E1066" s="36" t="str">
        <f aca="false">IF($D1066="","",IFERROR(INDEX('통합 ④ 설정'!$A$6:$A$40,MATCH($D1066,'통합 ④ 설정'!$B$6:$B$40,0)),"※없는 과목"))</f>
        <v/>
      </c>
      <c r="F1066" s="36" t="str">
        <f aca="false">IF($D1066="","",IFERROR(INDEX('통합 ④ 설정'!$C$6:$C$40,MATCH($D1066,'통합 ④ 설정'!$B$6:$B$40,0)),""))</f>
        <v/>
      </c>
      <c r="G1066" s="39"/>
      <c r="H1066" s="39"/>
      <c r="I1066" s="40"/>
      <c r="J1066" s="41"/>
      <c r="K1066" s="38"/>
      <c r="L1066" s="42" t="str">
        <f aca="false">IF($B1066="","",IF(AND(N($I1066)=0,N($J1066)=0),"금액이 없습니다",IF(AND($I1066&gt;0,$J1066&gt;0),"수입·지출 둘 다 적혔습니다",IF($C1066="","결제수단을 고르십시오",IF(ISNA(MATCH($C1066,'통합 ③ 통장·카드'!$A$5:$A$11,0)),"③ 통장·카드에 없는 결제수단입니다",IF($D1066="","계정과목을 고르십시오",IF($E1066="※없는 과목","④ 설정에 없는 과목입니다",IF(AND($E1066="수입",$J1066&gt;0),"수입 과목인데 지출에 적혔습니다",IF(AND(LEFT($E1066,2)&lt;&gt;"수입",$E1066&lt;&gt;"대체",$I1066&gt;0),"지출 과목인데 수입에 적혔습니다",IF($K1066="","증빙을 고르십시오",IF(AND($C1066="바우처통장",$J1066&gt;0,IFERROR(INDEX('통합 ④ 설정'!$E$6:$E$40,MATCH($D1066,'통합 ④ 설정'!$B$6:$B$40,0)),"")&lt;&gt;"○"),"바우처통장 지출 — 목적 확인",IF($H1066="","적요를 적으십시오",""))))))))))))</f>
        <v/>
      </c>
      <c r="M1066" s="39"/>
      <c r="O1066" s="11" t="str">
        <f aca="false">IF($B1066="","",YEAR($B1066)*100+MONTH($B1066))</f>
        <v/>
      </c>
      <c r="P1066" s="11" t="str">
        <f aca="false">IF($B1066="","",IF($E1066="대체",0,1))</f>
        <v/>
      </c>
    </row>
    <row r="1067" customFormat="false" ht="15" hidden="false" customHeight="false" outlineLevel="0" collapsed="false">
      <c r="A1067" s="36" t="str">
        <f aca="false">IF($B1067="","",COUNT($B$15:$B1067))</f>
        <v/>
      </c>
      <c r="B1067" s="37"/>
      <c r="C1067" s="38"/>
      <c r="D1067" s="39"/>
      <c r="E1067" s="36" t="str">
        <f aca="false">IF($D1067="","",IFERROR(INDEX('통합 ④ 설정'!$A$6:$A$40,MATCH($D1067,'통합 ④ 설정'!$B$6:$B$40,0)),"※없는 과목"))</f>
        <v/>
      </c>
      <c r="F1067" s="36" t="str">
        <f aca="false">IF($D1067="","",IFERROR(INDEX('통합 ④ 설정'!$C$6:$C$40,MATCH($D1067,'통합 ④ 설정'!$B$6:$B$40,0)),""))</f>
        <v/>
      </c>
      <c r="G1067" s="39"/>
      <c r="H1067" s="39"/>
      <c r="I1067" s="40"/>
      <c r="J1067" s="41"/>
      <c r="K1067" s="38"/>
      <c r="L1067" s="42" t="str">
        <f aca="false">IF($B1067="","",IF(AND(N($I1067)=0,N($J1067)=0),"금액이 없습니다",IF(AND($I1067&gt;0,$J1067&gt;0),"수입·지출 둘 다 적혔습니다",IF($C1067="","결제수단을 고르십시오",IF(ISNA(MATCH($C1067,'통합 ③ 통장·카드'!$A$5:$A$11,0)),"③ 통장·카드에 없는 결제수단입니다",IF($D1067="","계정과목을 고르십시오",IF($E1067="※없는 과목","④ 설정에 없는 과목입니다",IF(AND($E1067="수입",$J1067&gt;0),"수입 과목인데 지출에 적혔습니다",IF(AND(LEFT($E1067,2)&lt;&gt;"수입",$E1067&lt;&gt;"대체",$I1067&gt;0),"지출 과목인데 수입에 적혔습니다",IF($K1067="","증빙을 고르십시오",IF(AND($C1067="바우처통장",$J1067&gt;0,IFERROR(INDEX('통합 ④ 설정'!$E$6:$E$40,MATCH($D1067,'통합 ④ 설정'!$B$6:$B$40,0)),"")&lt;&gt;"○"),"바우처통장 지출 — 목적 확인",IF($H1067="","적요를 적으십시오",""))))))))))))</f>
        <v/>
      </c>
      <c r="M1067" s="39"/>
      <c r="O1067" s="11" t="str">
        <f aca="false">IF($B1067="","",YEAR($B1067)*100+MONTH($B1067))</f>
        <v/>
      </c>
      <c r="P1067" s="11" t="str">
        <f aca="false">IF($B1067="","",IF($E1067="대체",0,1))</f>
        <v/>
      </c>
    </row>
    <row r="1068" customFormat="false" ht="15" hidden="false" customHeight="false" outlineLevel="0" collapsed="false">
      <c r="A1068" s="36" t="str">
        <f aca="false">IF($B1068="","",COUNT($B$15:$B1068))</f>
        <v/>
      </c>
      <c r="B1068" s="37"/>
      <c r="C1068" s="38"/>
      <c r="D1068" s="39"/>
      <c r="E1068" s="36" t="str">
        <f aca="false">IF($D1068="","",IFERROR(INDEX('통합 ④ 설정'!$A$6:$A$40,MATCH($D1068,'통합 ④ 설정'!$B$6:$B$40,0)),"※없는 과목"))</f>
        <v/>
      </c>
      <c r="F1068" s="36" t="str">
        <f aca="false">IF($D1068="","",IFERROR(INDEX('통합 ④ 설정'!$C$6:$C$40,MATCH($D1068,'통합 ④ 설정'!$B$6:$B$40,0)),""))</f>
        <v/>
      </c>
      <c r="G1068" s="39"/>
      <c r="H1068" s="39"/>
      <c r="I1068" s="40"/>
      <c r="J1068" s="41"/>
      <c r="K1068" s="38"/>
      <c r="L1068" s="42" t="str">
        <f aca="false">IF($B1068="","",IF(AND(N($I1068)=0,N($J1068)=0),"금액이 없습니다",IF(AND($I1068&gt;0,$J1068&gt;0),"수입·지출 둘 다 적혔습니다",IF($C1068="","결제수단을 고르십시오",IF(ISNA(MATCH($C1068,'통합 ③ 통장·카드'!$A$5:$A$11,0)),"③ 통장·카드에 없는 결제수단입니다",IF($D1068="","계정과목을 고르십시오",IF($E1068="※없는 과목","④ 설정에 없는 과목입니다",IF(AND($E1068="수입",$J1068&gt;0),"수입 과목인데 지출에 적혔습니다",IF(AND(LEFT($E1068,2)&lt;&gt;"수입",$E1068&lt;&gt;"대체",$I1068&gt;0),"지출 과목인데 수입에 적혔습니다",IF($K1068="","증빙을 고르십시오",IF(AND($C1068="바우처통장",$J1068&gt;0,IFERROR(INDEX('통합 ④ 설정'!$E$6:$E$40,MATCH($D1068,'통합 ④ 설정'!$B$6:$B$40,0)),"")&lt;&gt;"○"),"바우처통장 지출 — 목적 확인",IF($H1068="","적요를 적으십시오",""))))))))))))</f>
        <v/>
      </c>
      <c r="M1068" s="39"/>
      <c r="O1068" s="11" t="str">
        <f aca="false">IF($B1068="","",YEAR($B1068)*100+MONTH($B1068))</f>
        <v/>
      </c>
      <c r="P1068" s="11" t="str">
        <f aca="false">IF($B1068="","",IF($E1068="대체",0,1))</f>
        <v/>
      </c>
    </row>
    <row r="1069" customFormat="false" ht="15" hidden="false" customHeight="false" outlineLevel="0" collapsed="false">
      <c r="A1069" s="36" t="str">
        <f aca="false">IF($B1069="","",COUNT($B$15:$B1069))</f>
        <v/>
      </c>
      <c r="B1069" s="37"/>
      <c r="C1069" s="38"/>
      <c r="D1069" s="39"/>
      <c r="E1069" s="36" t="str">
        <f aca="false">IF($D1069="","",IFERROR(INDEX('통합 ④ 설정'!$A$6:$A$40,MATCH($D1069,'통합 ④ 설정'!$B$6:$B$40,0)),"※없는 과목"))</f>
        <v/>
      </c>
      <c r="F1069" s="36" t="str">
        <f aca="false">IF($D1069="","",IFERROR(INDEX('통합 ④ 설정'!$C$6:$C$40,MATCH($D1069,'통합 ④ 설정'!$B$6:$B$40,0)),""))</f>
        <v/>
      </c>
      <c r="G1069" s="39"/>
      <c r="H1069" s="39"/>
      <c r="I1069" s="40"/>
      <c r="J1069" s="41"/>
      <c r="K1069" s="38"/>
      <c r="L1069" s="42" t="str">
        <f aca="false">IF($B1069="","",IF(AND(N($I1069)=0,N($J1069)=0),"금액이 없습니다",IF(AND($I1069&gt;0,$J1069&gt;0),"수입·지출 둘 다 적혔습니다",IF($C1069="","결제수단을 고르십시오",IF(ISNA(MATCH($C1069,'통합 ③ 통장·카드'!$A$5:$A$11,0)),"③ 통장·카드에 없는 결제수단입니다",IF($D1069="","계정과목을 고르십시오",IF($E1069="※없는 과목","④ 설정에 없는 과목입니다",IF(AND($E1069="수입",$J1069&gt;0),"수입 과목인데 지출에 적혔습니다",IF(AND(LEFT($E1069,2)&lt;&gt;"수입",$E1069&lt;&gt;"대체",$I1069&gt;0),"지출 과목인데 수입에 적혔습니다",IF($K1069="","증빙을 고르십시오",IF(AND($C1069="바우처통장",$J1069&gt;0,IFERROR(INDEX('통합 ④ 설정'!$E$6:$E$40,MATCH($D1069,'통합 ④ 설정'!$B$6:$B$40,0)),"")&lt;&gt;"○"),"바우처통장 지출 — 목적 확인",IF($H1069="","적요를 적으십시오",""))))))))))))</f>
        <v/>
      </c>
      <c r="M1069" s="39"/>
      <c r="O1069" s="11" t="str">
        <f aca="false">IF($B1069="","",YEAR($B1069)*100+MONTH($B1069))</f>
        <v/>
      </c>
      <c r="P1069" s="11" t="str">
        <f aca="false">IF($B1069="","",IF($E1069="대체",0,1))</f>
        <v/>
      </c>
    </row>
    <row r="1070" customFormat="false" ht="15" hidden="false" customHeight="false" outlineLevel="0" collapsed="false">
      <c r="A1070" s="36" t="str">
        <f aca="false">IF($B1070="","",COUNT($B$15:$B1070))</f>
        <v/>
      </c>
      <c r="B1070" s="37"/>
      <c r="C1070" s="38"/>
      <c r="D1070" s="39"/>
      <c r="E1070" s="36" t="str">
        <f aca="false">IF($D1070="","",IFERROR(INDEX('통합 ④ 설정'!$A$6:$A$40,MATCH($D1070,'통합 ④ 설정'!$B$6:$B$40,0)),"※없는 과목"))</f>
        <v/>
      </c>
      <c r="F1070" s="36" t="str">
        <f aca="false">IF($D1070="","",IFERROR(INDEX('통합 ④ 설정'!$C$6:$C$40,MATCH($D1070,'통합 ④ 설정'!$B$6:$B$40,0)),""))</f>
        <v/>
      </c>
      <c r="G1070" s="39"/>
      <c r="H1070" s="39"/>
      <c r="I1070" s="40"/>
      <c r="J1070" s="41"/>
      <c r="K1070" s="38"/>
      <c r="L1070" s="42" t="str">
        <f aca="false">IF($B1070="","",IF(AND(N($I1070)=0,N($J1070)=0),"금액이 없습니다",IF(AND($I1070&gt;0,$J1070&gt;0),"수입·지출 둘 다 적혔습니다",IF($C1070="","결제수단을 고르십시오",IF(ISNA(MATCH($C1070,'통합 ③ 통장·카드'!$A$5:$A$11,0)),"③ 통장·카드에 없는 결제수단입니다",IF($D1070="","계정과목을 고르십시오",IF($E1070="※없는 과목","④ 설정에 없는 과목입니다",IF(AND($E1070="수입",$J1070&gt;0),"수입 과목인데 지출에 적혔습니다",IF(AND(LEFT($E1070,2)&lt;&gt;"수입",$E1070&lt;&gt;"대체",$I1070&gt;0),"지출 과목인데 수입에 적혔습니다",IF($K1070="","증빙을 고르십시오",IF(AND($C1070="바우처통장",$J1070&gt;0,IFERROR(INDEX('통합 ④ 설정'!$E$6:$E$40,MATCH($D1070,'통합 ④ 설정'!$B$6:$B$40,0)),"")&lt;&gt;"○"),"바우처통장 지출 — 목적 확인",IF($H1070="","적요를 적으십시오",""))))))))))))</f>
        <v/>
      </c>
      <c r="M1070" s="39"/>
      <c r="O1070" s="11" t="str">
        <f aca="false">IF($B1070="","",YEAR($B1070)*100+MONTH($B1070))</f>
        <v/>
      </c>
      <c r="P1070" s="11" t="str">
        <f aca="false">IF($B1070="","",IF($E1070="대체",0,1))</f>
        <v/>
      </c>
    </row>
    <row r="1071" customFormat="false" ht="15" hidden="false" customHeight="false" outlineLevel="0" collapsed="false">
      <c r="A1071" s="36" t="str">
        <f aca="false">IF($B1071="","",COUNT($B$15:$B1071))</f>
        <v/>
      </c>
      <c r="B1071" s="37"/>
      <c r="C1071" s="38"/>
      <c r="D1071" s="39"/>
      <c r="E1071" s="36" t="str">
        <f aca="false">IF($D1071="","",IFERROR(INDEX('통합 ④ 설정'!$A$6:$A$40,MATCH($D1071,'통합 ④ 설정'!$B$6:$B$40,0)),"※없는 과목"))</f>
        <v/>
      </c>
      <c r="F1071" s="36" t="str">
        <f aca="false">IF($D1071="","",IFERROR(INDEX('통합 ④ 설정'!$C$6:$C$40,MATCH($D1071,'통합 ④ 설정'!$B$6:$B$40,0)),""))</f>
        <v/>
      </c>
      <c r="G1071" s="39"/>
      <c r="H1071" s="39"/>
      <c r="I1071" s="40"/>
      <c r="J1071" s="41"/>
      <c r="K1071" s="38"/>
      <c r="L1071" s="42" t="str">
        <f aca="false">IF($B1071="","",IF(AND(N($I1071)=0,N($J1071)=0),"금액이 없습니다",IF(AND($I1071&gt;0,$J1071&gt;0),"수입·지출 둘 다 적혔습니다",IF($C1071="","결제수단을 고르십시오",IF(ISNA(MATCH($C1071,'통합 ③ 통장·카드'!$A$5:$A$11,0)),"③ 통장·카드에 없는 결제수단입니다",IF($D1071="","계정과목을 고르십시오",IF($E1071="※없는 과목","④ 설정에 없는 과목입니다",IF(AND($E1071="수입",$J1071&gt;0),"수입 과목인데 지출에 적혔습니다",IF(AND(LEFT($E1071,2)&lt;&gt;"수입",$E1071&lt;&gt;"대체",$I1071&gt;0),"지출 과목인데 수입에 적혔습니다",IF($K1071="","증빙을 고르십시오",IF(AND($C1071="바우처통장",$J1071&gt;0,IFERROR(INDEX('통합 ④ 설정'!$E$6:$E$40,MATCH($D1071,'통합 ④ 설정'!$B$6:$B$40,0)),"")&lt;&gt;"○"),"바우처통장 지출 — 목적 확인",IF($H1071="","적요를 적으십시오",""))))))))))))</f>
        <v/>
      </c>
      <c r="M1071" s="39"/>
      <c r="O1071" s="11" t="str">
        <f aca="false">IF($B1071="","",YEAR($B1071)*100+MONTH($B1071))</f>
        <v/>
      </c>
      <c r="P1071" s="11" t="str">
        <f aca="false">IF($B1071="","",IF($E1071="대체",0,1))</f>
        <v/>
      </c>
    </row>
    <row r="1072" customFormat="false" ht="15" hidden="false" customHeight="false" outlineLevel="0" collapsed="false">
      <c r="A1072" s="36" t="str">
        <f aca="false">IF($B1072="","",COUNT($B$15:$B1072))</f>
        <v/>
      </c>
      <c r="B1072" s="37"/>
      <c r="C1072" s="38"/>
      <c r="D1072" s="39"/>
      <c r="E1072" s="36" t="str">
        <f aca="false">IF($D1072="","",IFERROR(INDEX('통합 ④ 설정'!$A$6:$A$40,MATCH($D1072,'통합 ④ 설정'!$B$6:$B$40,0)),"※없는 과목"))</f>
        <v/>
      </c>
      <c r="F1072" s="36" t="str">
        <f aca="false">IF($D1072="","",IFERROR(INDEX('통합 ④ 설정'!$C$6:$C$40,MATCH($D1072,'통합 ④ 설정'!$B$6:$B$40,0)),""))</f>
        <v/>
      </c>
      <c r="G1072" s="39"/>
      <c r="H1072" s="39"/>
      <c r="I1072" s="40"/>
      <c r="J1072" s="41"/>
      <c r="K1072" s="38"/>
      <c r="L1072" s="42" t="str">
        <f aca="false">IF($B1072="","",IF(AND(N($I1072)=0,N($J1072)=0),"금액이 없습니다",IF(AND($I1072&gt;0,$J1072&gt;0),"수입·지출 둘 다 적혔습니다",IF($C1072="","결제수단을 고르십시오",IF(ISNA(MATCH($C1072,'통합 ③ 통장·카드'!$A$5:$A$11,0)),"③ 통장·카드에 없는 결제수단입니다",IF($D1072="","계정과목을 고르십시오",IF($E1072="※없는 과목","④ 설정에 없는 과목입니다",IF(AND($E1072="수입",$J1072&gt;0),"수입 과목인데 지출에 적혔습니다",IF(AND(LEFT($E1072,2)&lt;&gt;"수입",$E1072&lt;&gt;"대체",$I1072&gt;0),"지출 과목인데 수입에 적혔습니다",IF($K1072="","증빙을 고르십시오",IF(AND($C1072="바우처통장",$J1072&gt;0,IFERROR(INDEX('통합 ④ 설정'!$E$6:$E$40,MATCH($D1072,'통합 ④ 설정'!$B$6:$B$40,0)),"")&lt;&gt;"○"),"바우처통장 지출 — 목적 확인",IF($H1072="","적요를 적으십시오",""))))))))))))</f>
        <v/>
      </c>
      <c r="M1072" s="39"/>
      <c r="O1072" s="11" t="str">
        <f aca="false">IF($B1072="","",YEAR($B1072)*100+MONTH($B1072))</f>
        <v/>
      </c>
      <c r="P1072" s="11" t="str">
        <f aca="false">IF($B1072="","",IF($E1072="대체",0,1))</f>
        <v/>
      </c>
    </row>
    <row r="1073" customFormat="false" ht="15" hidden="false" customHeight="false" outlineLevel="0" collapsed="false">
      <c r="A1073" s="36" t="str">
        <f aca="false">IF($B1073="","",COUNT($B$15:$B1073))</f>
        <v/>
      </c>
      <c r="B1073" s="37"/>
      <c r="C1073" s="38"/>
      <c r="D1073" s="39"/>
      <c r="E1073" s="36" t="str">
        <f aca="false">IF($D1073="","",IFERROR(INDEX('통합 ④ 설정'!$A$6:$A$40,MATCH($D1073,'통합 ④ 설정'!$B$6:$B$40,0)),"※없는 과목"))</f>
        <v/>
      </c>
      <c r="F1073" s="36" t="str">
        <f aca="false">IF($D1073="","",IFERROR(INDEX('통합 ④ 설정'!$C$6:$C$40,MATCH($D1073,'통합 ④ 설정'!$B$6:$B$40,0)),""))</f>
        <v/>
      </c>
      <c r="G1073" s="39"/>
      <c r="H1073" s="39"/>
      <c r="I1073" s="40"/>
      <c r="J1073" s="41"/>
      <c r="K1073" s="38"/>
      <c r="L1073" s="42" t="str">
        <f aca="false">IF($B1073="","",IF(AND(N($I1073)=0,N($J1073)=0),"금액이 없습니다",IF(AND($I1073&gt;0,$J1073&gt;0),"수입·지출 둘 다 적혔습니다",IF($C1073="","결제수단을 고르십시오",IF(ISNA(MATCH($C1073,'통합 ③ 통장·카드'!$A$5:$A$11,0)),"③ 통장·카드에 없는 결제수단입니다",IF($D1073="","계정과목을 고르십시오",IF($E1073="※없는 과목","④ 설정에 없는 과목입니다",IF(AND($E1073="수입",$J1073&gt;0),"수입 과목인데 지출에 적혔습니다",IF(AND(LEFT($E1073,2)&lt;&gt;"수입",$E1073&lt;&gt;"대체",$I1073&gt;0),"지출 과목인데 수입에 적혔습니다",IF($K1073="","증빙을 고르십시오",IF(AND($C1073="바우처통장",$J1073&gt;0,IFERROR(INDEX('통합 ④ 설정'!$E$6:$E$40,MATCH($D1073,'통합 ④ 설정'!$B$6:$B$40,0)),"")&lt;&gt;"○"),"바우처통장 지출 — 목적 확인",IF($H1073="","적요를 적으십시오",""))))))))))))</f>
        <v/>
      </c>
      <c r="M1073" s="39"/>
      <c r="O1073" s="11" t="str">
        <f aca="false">IF($B1073="","",YEAR($B1073)*100+MONTH($B1073))</f>
        <v/>
      </c>
      <c r="P1073" s="11" t="str">
        <f aca="false">IF($B1073="","",IF($E1073="대체",0,1))</f>
        <v/>
      </c>
    </row>
    <row r="1074" customFormat="false" ht="15" hidden="false" customHeight="false" outlineLevel="0" collapsed="false">
      <c r="A1074" s="36" t="str">
        <f aca="false">IF($B1074="","",COUNT($B$15:$B1074))</f>
        <v/>
      </c>
      <c r="B1074" s="37"/>
      <c r="C1074" s="38"/>
      <c r="D1074" s="39"/>
      <c r="E1074" s="36" t="str">
        <f aca="false">IF($D1074="","",IFERROR(INDEX('통합 ④ 설정'!$A$6:$A$40,MATCH($D1074,'통합 ④ 설정'!$B$6:$B$40,0)),"※없는 과목"))</f>
        <v/>
      </c>
      <c r="F1074" s="36" t="str">
        <f aca="false">IF($D1074="","",IFERROR(INDEX('통합 ④ 설정'!$C$6:$C$40,MATCH($D1074,'통합 ④ 설정'!$B$6:$B$40,0)),""))</f>
        <v/>
      </c>
      <c r="G1074" s="39"/>
      <c r="H1074" s="39"/>
      <c r="I1074" s="40"/>
      <c r="J1074" s="41"/>
      <c r="K1074" s="38"/>
      <c r="L1074" s="42" t="str">
        <f aca="false">IF($B1074="","",IF(AND(N($I1074)=0,N($J1074)=0),"금액이 없습니다",IF(AND($I1074&gt;0,$J1074&gt;0),"수입·지출 둘 다 적혔습니다",IF($C1074="","결제수단을 고르십시오",IF(ISNA(MATCH($C1074,'통합 ③ 통장·카드'!$A$5:$A$11,0)),"③ 통장·카드에 없는 결제수단입니다",IF($D1074="","계정과목을 고르십시오",IF($E1074="※없는 과목","④ 설정에 없는 과목입니다",IF(AND($E1074="수입",$J1074&gt;0),"수입 과목인데 지출에 적혔습니다",IF(AND(LEFT($E1074,2)&lt;&gt;"수입",$E1074&lt;&gt;"대체",$I1074&gt;0),"지출 과목인데 수입에 적혔습니다",IF($K1074="","증빙을 고르십시오",IF(AND($C1074="바우처통장",$J1074&gt;0,IFERROR(INDEX('통합 ④ 설정'!$E$6:$E$40,MATCH($D1074,'통합 ④ 설정'!$B$6:$B$40,0)),"")&lt;&gt;"○"),"바우처통장 지출 — 목적 확인",IF($H1074="","적요를 적으십시오",""))))))))))))</f>
        <v/>
      </c>
      <c r="M1074" s="39"/>
      <c r="O1074" s="11" t="str">
        <f aca="false">IF($B1074="","",YEAR($B1074)*100+MONTH($B1074))</f>
        <v/>
      </c>
      <c r="P1074" s="11" t="str">
        <f aca="false">IF($B1074="","",IF($E1074="대체",0,1))</f>
        <v/>
      </c>
    </row>
    <row r="1075" customFormat="false" ht="15" hidden="false" customHeight="false" outlineLevel="0" collapsed="false">
      <c r="A1075" s="36" t="str">
        <f aca="false">IF($B1075="","",COUNT($B$15:$B1075))</f>
        <v/>
      </c>
      <c r="B1075" s="37"/>
      <c r="C1075" s="38"/>
      <c r="D1075" s="39"/>
      <c r="E1075" s="36" t="str">
        <f aca="false">IF($D1075="","",IFERROR(INDEX('통합 ④ 설정'!$A$6:$A$40,MATCH($D1075,'통합 ④ 설정'!$B$6:$B$40,0)),"※없는 과목"))</f>
        <v/>
      </c>
      <c r="F1075" s="36" t="str">
        <f aca="false">IF($D1075="","",IFERROR(INDEX('통합 ④ 설정'!$C$6:$C$40,MATCH($D1075,'통합 ④ 설정'!$B$6:$B$40,0)),""))</f>
        <v/>
      </c>
      <c r="G1075" s="39"/>
      <c r="H1075" s="39"/>
      <c r="I1075" s="40"/>
      <c r="J1075" s="41"/>
      <c r="K1075" s="38"/>
      <c r="L1075" s="42" t="str">
        <f aca="false">IF($B1075="","",IF(AND(N($I1075)=0,N($J1075)=0),"금액이 없습니다",IF(AND($I1075&gt;0,$J1075&gt;0),"수입·지출 둘 다 적혔습니다",IF($C1075="","결제수단을 고르십시오",IF(ISNA(MATCH($C1075,'통합 ③ 통장·카드'!$A$5:$A$11,0)),"③ 통장·카드에 없는 결제수단입니다",IF($D1075="","계정과목을 고르십시오",IF($E1075="※없는 과목","④ 설정에 없는 과목입니다",IF(AND($E1075="수입",$J1075&gt;0),"수입 과목인데 지출에 적혔습니다",IF(AND(LEFT($E1075,2)&lt;&gt;"수입",$E1075&lt;&gt;"대체",$I1075&gt;0),"지출 과목인데 수입에 적혔습니다",IF($K1075="","증빙을 고르십시오",IF(AND($C1075="바우처통장",$J1075&gt;0,IFERROR(INDEX('통합 ④ 설정'!$E$6:$E$40,MATCH($D1075,'통합 ④ 설정'!$B$6:$B$40,0)),"")&lt;&gt;"○"),"바우처통장 지출 — 목적 확인",IF($H1075="","적요를 적으십시오",""))))))))))))</f>
        <v/>
      </c>
      <c r="M1075" s="39"/>
      <c r="O1075" s="11" t="str">
        <f aca="false">IF($B1075="","",YEAR($B1075)*100+MONTH($B1075))</f>
        <v/>
      </c>
      <c r="P1075" s="11" t="str">
        <f aca="false">IF($B1075="","",IF($E1075="대체",0,1))</f>
        <v/>
      </c>
    </row>
    <row r="1076" customFormat="false" ht="15" hidden="false" customHeight="false" outlineLevel="0" collapsed="false">
      <c r="A1076" s="36" t="str">
        <f aca="false">IF($B1076="","",COUNT($B$15:$B1076))</f>
        <v/>
      </c>
      <c r="B1076" s="37"/>
      <c r="C1076" s="38"/>
      <c r="D1076" s="39"/>
      <c r="E1076" s="36" t="str">
        <f aca="false">IF($D1076="","",IFERROR(INDEX('통합 ④ 설정'!$A$6:$A$40,MATCH($D1076,'통합 ④ 설정'!$B$6:$B$40,0)),"※없는 과목"))</f>
        <v/>
      </c>
      <c r="F1076" s="36" t="str">
        <f aca="false">IF($D1076="","",IFERROR(INDEX('통합 ④ 설정'!$C$6:$C$40,MATCH($D1076,'통합 ④ 설정'!$B$6:$B$40,0)),""))</f>
        <v/>
      </c>
      <c r="G1076" s="39"/>
      <c r="H1076" s="39"/>
      <c r="I1076" s="40"/>
      <c r="J1076" s="41"/>
      <c r="K1076" s="38"/>
      <c r="L1076" s="42" t="str">
        <f aca="false">IF($B1076="","",IF(AND(N($I1076)=0,N($J1076)=0),"금액이 없습니다",IF(AND($I1076&gt;0,$J1076&gt;0),"수입·지출 둘 다 적혔습니다",IF($C1076="","결제수단을 고르십시오",IF(ISNA(MATCH($C1076,'통합 ③ 통장·카드'!$A$5:$A$11,0)),"③ 통장·카드에 없는 결제수단입니다",IF($D1076="","계정과목을 고르십시오",IF($E1076="※없는 과목","④ 설정에 없는 과목입니다",IF(AND($E1076="수입",$J1076&gt;0),"수입 과목인데 지출에 적혔습니다",IF(AND(LEFT($E1076,2)&lt;&gt;"수입",$E1076&lt;&gt;"대체",$I1076&gt;0),"지출 과목인데 수입에 적혔습니다",IF($K1076="","증빙을 고르십시오",IF(AND($C1076="바우처통장",$J1076&gt;0,IFERROR(INDEX('통합 ④ 설정'!$E$6:$E$40,MATCH($D1076,'통합 ④ 설정'!$B$6:$B$40,0)),"")&lt;&gt;"○"),"바우처통장 지출 — 목적 확인",IF($H1076="","적요를 적으십시오",""))))))))))))</f>
        <v/>
      </c>
      <c r="M1076" s="39"/>
      <c r="O1076" s="11" t="str">
        <f aca="false">IF($B1076="","",YEAR($B1076)*100+MONTH($B1076))</f>
        <v/>
      </c>
      <c r="P1076" s="11" t="str">
        <f aca="false">IF($B1076="","",IF($E1076="대체",0,1))</f>
        <v/>
      </c>
    </row>
    <row r="1077" customFormat="false" ht="15" hidden="false" customHeight="false" outlineLevel="0" collapsed="false">
      <c r="A1077" s="36" t="str">
        <f aca="false">IF($B1077="","",COUNT($B$15:$B1077))</f>
        <v/>
      </c>
      <c r="B1077" s="37"/>
      <c r="C1077" s="38"/>
      <c r="D1077" s="39"/>
      <c r="E1077" s="36" t="str">
        <f aca="false">IF($D1077="","",IFERROR(INDEX('통합 ④ 설정'!$A$6:$A$40,MATCH($D1077,'통합 ④ 설정'!$B$6:$B$40,0)),"※없는 과목"))</f>
        <v/>
      </c>
      <c r="F1077" s="36" t="str">
        <f aca="false">IF($D1077="","",IFERROR(INDEX('통합 ④ 설정'!$C$6:$C$40,MATCH($D1077,'통합 ④ 설정'!$B$6:$B$40,0)),""))</f>
        <v/>
      </c>
      <c r="G1077" s="39"/>
      <c r="H1077" s="39"/>
      <c r="I1077" s="40"/>
      <c r="J1077" s="41"/>
      <c r="K1077" s="38"/>
      <c r="L1077" s="42" t="str">
        <f aca="false">IF($B1077="","",IF(AND(N($I1077)=0,N($J1077)=0),"금액이 없습니다",IF(AND($I1077&gt;0,$J1077&gt;0),"수입·지출 둘 다 적혔습니다",IF($C1077="","결제수단을 고르십시오",IF(ISNA(MATCH($C1077,'통합 ③ 통장·카드'!$A$5:$A$11,0)),"③ 통장·카드에 없는 결제수단입니다",IF($D1077="","계정과목을 고르십시오",IF($E1077="※없는 과목","④ 설정에 없는 과목입니다",IF(AND($E1077="수입",$J1077&gt;0),"수입 과목인데 지출에 적혔습니다",IF(AND(LEFT($E1077,2)&lt;&gt;"수입",$E1077&lt;&gt;"대체",$I1077&gt;0),"지출 과목인데 수입에 적혔습니다",IF($K1077="","증빙을 고르십시오",IF(AND($C1077="바우처통장",$J1077&gt;0,IFERROR(INDEX('통합 ④ 설정'!$E$6:$E$40,MATCH($D1077,'통합 ④ 설정'!$B$6:$B$40,0)),"")&lt;&gt;"○"),"바우처통장 지출 — 목적 확인",IF($H1077="","적요를 적으십시오",""))))))))))))</f>
        <v/>
      </c>
      <c r="M1077" s="39"/>
      <c r="O1077" s="11" t="str">
        <f aca="false">IF($B1077="","",YEAR($B1077)*100+MONTH($B1077))</f>
        <v/>
      </c>
      <c r="P1077" s="11" t="str">
        <f aca="false">IF($B1077="","",IF($E1077="대체",0,1))</f>
        <v/>
      </c>
    </row>
    <row r="1078" customFormat="false" ht="15" hidden="false" customHeight="false" outlineLevel="0" collapsed="false">
      <c r="A1078" s="36" t="str">
        <f aca="false">IF($B1078="","",COUNT($B$15:$B1078))</f>
        <v/>
      </c>
      <c r="B1078" s="37"/>
      <c r="C1078" s="38"/>
      <c r="D1078" s="39"/>
      <c r="E1078" s="36" t="str">
        <f aca="false">IF($D1078="","",IFERROR(INDEX('통합 ④ 설정'!$A$6:$A$40,MATCH($D1078,'통합 ④ 설정'!$B$6:$B$40,0)),"※없는 과목"))</f>
        <v/>
      </c>
      <c r="F1078" s="36" t="str">
        <f aca="false">IF($D1078="","",IFERROR(INDEX('통합 ④ 설정'!$C$6:$C$40,MATCH($D1078,'통합 ④ 설정'!$B$6:$B$40,0)),""))</f>
        <v/>
      </c>
      <c r="G1078" s="39"/>
      <c r="H1078" s="39"/>
      <c r="I1078" s="40"/>
      <c r="J1078" s="41"/>
      <c r="K1078" s="38"/>
      <c r="L1078" s="42" t="str">
        <f aca="false">IF($B1078="","",IF(AND(N($I1078)=0,N($J1078)=0),"금액이 없습니다",IF(AND($I1078&gt;0,$J1078&gt;0),"수입·지출 둘 다 적혔습니다",IF($C1078="","결제수단을 고르십시오",IF(ISNA(MATCH($C1078,'통합 ③ 통장·카드'!$A$5:$A$11,0)),"③ 통장·카드에 없는 결제수단입니다",IF($D1078="","계정과목을 고르십시오",IF($E1078="※없는 과목","④ 설정에 없는 과목입니다",IF(AND($E1078="수입",$J1078&gt;0),"수입 과목인데 지출에 적혔습니다",IF(AND(LEFT($E1078,2)&lt;&gt;"수입",$E1078&lt;&gt;"대체",$I1078&gt;0),"지출 과목인데 수입에 적혔습니다",IF($K1078="","증빙을 고르십시오",IF(AND($C1078="바우처통장",$J1078&gt;0,IFERROR(INDEX('통합 ④ 설정'!$E$6:$E$40,MATCH($D1078,'통합 ④ 설정'!$B$6:$B$40,0)),"")&lt;&gt;"○"),"바우처통장 지출 — 목적 확인",IF($H1078="","적요를 적으십시오",""))))))))))))</f>
        <v/>
      </c>
      <c r="M1078" s="39"/>
      <c r="O1078" s="11" t="str">
        <f aca="false">IF($B1078="","",YEAR($B1078)*100+MONTH($B1078))</f>
        <v/>
      </c>
      <c r="P1078" s="11" t="str">
        <f aca="false">IF($B1078="","",IF($E1078="대체",0,1))</f>
        <v/>
      </c>
    </row>
    <row r="1079" customFormat="false" ht="15" hidden="false" customHeight="false" outlineLevel="0" collapsed="false">
      <c r="A1079" s="36" t="str">
        <f aca="false">IF($B1079="","",COUNT($B$15:$B1079))</f>
        <v/>
      </c>
      <c r="B1079" s="37"/>
      <c r="C1079" s="38"/>
      <c r="D1079" s="39"/>
      <c r="E1079" s="36" t="str">
        <f aca="false">IF($D1079="","",IFERROR(INDEX('통합 ④ 설정'!$A$6:$A$40,MATCH($D1079,'통합 ④ 설정'!$B$6:$B$40,0)),"※없는 과목"))</f>
        <v/>
      </c>
      <c r="F1079" s="36" t="str">
        <f aca="false">IF($D1079="","",IFERROR(INDEX('통합 ④ 설정'!$C$6:$C$40,MATCH($D1079,'통합 ④ 설정'!$B$6:$B$40,0)),""))</f>
        <v/>
      </c>
      <c r="G1079" s="39"/>
      <c r="H1079" s="39"/>
      <c r="I1079" s="40"/>
      <c r="J1079" s="41"/>
      <c r="K1079" s="38"/>
      <c r="L1079" s="42" t="str">
        <f aca="false">IF($B1079="","",IF(AND(N($I1079)=0,N($J1079)=0),"금액이 없습니다",IF(AND($I1079&gt;0,$J1079&gt;0),"수입·지출 둘 다 적혔습니다",IF($C1079="","결제수단을 고르십시오",IF(ISNA(MATCH($C1079,'통합 ③ 통장·카드'!$A$5:$A$11,0)),"③ 통장·카드에 없는 결제수단입니다",IF($D1079="","계정과목을 고르십시오",IF($E1079="※없는 과목","④ 설정에 없는 과목입니다",IF(AND($E1079="수입",$J1079&gt;0),"수입 과목인데 지출에 적혔습니다",IF(AND(LEFT($E1079,2)&lt;&gt;"수입",$E1079&lt;&gt;"대체",$I1079&gt;0),"지출 과목인데 수입에 적혔습니다",IF($K1079="","증빙을 고르십시오",IF(AND($C1079="바우처통장",$J1079&gt;0,IFERROR(INDEX('통합 ④ 설정'!$E$6:$E$40,MATCH($D1079,'통합 ④ 설정'!$B$6:$B$40,0)),"")&lt;&gt;"○"),"바우처통장 지출 — 목적 확인",IF($H1079="","적요를 적으십시오",""))))))))))))</f>
        <v/>
      </c>
      <c r="M1079" s="39"/>
      <c r="O1079" s="11" t="str">
        <f aca="false">IF($B1079="","",YEAR($B1079)*100+MONTH($B1079))</f>
        <v/>
      </c>
      <c r="P1079" s="11" t="str">
        <f aca="false">IF($B1079="","",IF($E1079="대체",0,1))</f>
        <v/>
      </c>
    </row>
    <row r="1080" customFormat="false" ht="15" hidden="false" customHeight="false" outlineLevel="0" collapsed="false">
      <c r="A1080" s="36" t="str">
        <f aca="false">IF($B1080="","",COUNT($B$15:$B1080))</f>
        <v/>
      </c>
      <c r="B1080" s="37"/>
      <c r="C1080" s="38"/>
      <c r="D1080" s="39"/>
      <c r="E1080" s="36" t="str">
        <f aca="false">IF($D1080="","",IFERROR(INDEX('통합 ④ 설정'!$A$6:$A$40,MATCH($D1080,'통합 ④ 설정'!$B$6:$B$40,0)),"※없는 과목"))</f>
        <v/>
      </c>
      <c r="F1080" s="36" t="str">
        <f aca="false">IF($D1080="","",IFERROR(INDEX('통합 ④ 설정'!$C$6:$C$40,MATCH($D1080,'통합 ④ 설정'!$B$6:$B$40,0)),""))</f>
        <v/>
      </c>
      <c r="G1080" s="39"/>
      <c r="H1080" s="39"/>
      <c r="I1080" s="40"/>
      <c r="J1080" s="41"/>
      <c r="K1080" s="38"/>
      <c r="L1080" s="42" t="str">
        <f aca="false">IF($B1080="","",IF(AND(N($I1080)=0,N($J1080)=0),"금액이 없습니다",IF(AND($I1080&gt;0,$J1080&gt;0),"수입·지출 둘 다 적혔습니다",IF($C1080="","결제수단을 고르십시오",IF(ISNA(MATCH($C1080,'통합 ③ 통장·카드'!$A$5:$A$11,0)),"③ 통장·카드에 없는 결제수단입니다",IF($D1080="","계정과목을 고르십시오",IF($E1080="※없는 과목","④ 설정에 없는 과목입니다",IF(AND($E1080="수입",$J1080&gt;0),"수입 과목인데 지출에 적혔습니다",IF(AND(LEFT($E1080,2)&lt;&gt;"수입",$E1080&lt;&gt;"대체",$I1080&gt;0),"지출 과목인데 수입에 적혔습니다",IF($K1080="","증빙을 고르십시오",IF(AND($C1080="바우처통장",$J1080&gt;0,IFERROR(INDEX('통합 ④ 설정'!$E$6:$E$40,MATCH($D1080,'통합 ④ 설정'!$B$6:$B$40,0)),"")&lt;&gt;"○"),"바우처통장 지출 — 목적 확인",IF($H1080="","적요를 적으십시오",""))))))))))))</f>
        <v/>
      </c>
      <c r="M1080" s="39"/>
      <c r="O1080" s="11" t="str">
        <f aca="false">IF($B1080="","",YEAR($B1080)*100+MONTH($B1080))</f>
        <v/>
      </c>
      <c r="P1080" s="11" t="str">
        <f aca="false">IF($B1080="","",IF($E1080="대체",0,1))</f>
        <v/>
      </c>
    </row>
    <row r="1081" customFormat="false" ht="15" hidden="false" customHeight="false" outlineLevel="0" collapsed="false">
      <c r="A1081" s="36" t="str">
        <f aca="false">IF($B1081="","",COUNT($B$15:$B1081))</f>
        <v/>
      </c>
      <c r="B1081" s="37"/>
      <c r="C1081" s="38"/>
      <c r="D1081" s="39"/>
      <c r="E1081" s="36" t="str">
        <f aca="false">IF($D1081="","",IFERROR(INDEX('통합 ④ 설정'!$A$6:$A$40,MATCH($D1081,'통합 ④ 설정'!$B$6:$B$40,0)),"※없는 과목"))</f>
        <v/>
      </c>
      <c r="F1081" s="36" t="str">
        <f aca="false">IF($D1081="","",IFERROR(INDEX('통합 ④ 설정'!$C$6:$C$40,MATCH($D1081,'통합 ④ 설정'!$B$6:$B$40,0)),""))</f>
        <v/>
      </c>
      <c r="G1081" s="39"/>
      <c r="H1081" s="39"/>
      <c r="I1081" s="40"/>
      <c r="J1081" s="41"/>
      <c r="K1081" s="38"/>
      <c r="L1081" s="42" t="str">
        <f aca="false">IF($B1081="","",IF(AND(N($I1081)=0,N($J1081)=0),"금액이 없습니다",IF(AND($I1081&gt;0,$J1081&gt;0),"수입·지출 둘 다 적혔습니다",IF($C1081="","결제수단을 고르십시오",IF(ISNA(MATCH($C1081,'통합 ③ 통장·카드'!$A$5:$A$11,0)),"③ 통장·카드에 없는 결제수단입니다",IF($D1081="","계정과목을 고르십시오",IF($E1081="※없는 과목","④ 설정에 없는 과목입니다",IF(AND($E1081="수입",$J1081&gt;0),"수입 과목인데 지출에 적혔습니다",IF(AND(LEFT($E1081,2)&lt;&gt;"수입",$E1081&lt;&gt;"대체",$I1081&gt;0),"지출 과목인데 수입에 적혔습니다",IF($K1081="","증빙을 고르십시오",IF(AND($C1081="바우처통장",$J1081&gt;0,IFERROR(INDEX('통합 ④ 설정'!$E$6:$E$40,MATCH($D1081,'통합 ④ 설정'!$B$6:$B$40,0)),"")&lt;&gt;"○"),"바우처통장 지출 — 목적 확인",IF($H1081="","적요를 적으십시오",""))))))))))))</f>
        <v/>
      </c>
      <c r="M1081" s="39"/>
      <c r="O1081" s="11" t="str">
        <f aca="false">IF($B1081="","",YEAR($B1081)*100+MONTH($B1081))</f>
        <v/>
      </c>
      <c r="P1081" s="11" t="str">
        <f aca="false">IF($B1081="","",IF($E1081="대체",0,1))</f>
        <v/>
      </c>
    </row>
    <row r="1082" customFormat="false" ht="15" hidden="false" customHeight="false" outlineLevel="0" collapsed="false">
      <c r="A1082" s="36" t="str">
        <f aca="false">IF($B1082="","",COUNT($B$15:$B1082))</f>
        <v/>
      </c>
      <c r="B1082" s="37"/>
      <c r="C1082" s="38"/>
      <c r="D1082" s="39"/>
      <c r="E1082" s="36" t="str">
        <f aca="false">IF($D1082="","",IFERROR(INDEX('통합 ④ 설정'!$A$6:$A$40,MATCH($D1082,'통합 ④ 설정'!$B$6:$B$40,0)),"※없는 과목"))</f>
        <v/>
      </c>
      <c r="F1082" s="36" t="str">
        <f aca="false">IF($D1082="","",IFERROR(INDEX('통합 ④ 설정'!$C$6:$C$40,MATCH($D1082,'통합 ④ 설정'!$B$6:$B$40,0)),""))</f>
        <v/>
      </c>
      <c r="G1082" s="39"/>
      <c r="H1082" s="39"/>
      <c r="I1082" s="40"/>
      <c r="J1082" s="41"/>
      <c r="K1082" s="38"/>
      <c r="L1082" s="42" t="str">
        <f aca="false">IF($B1082="","",IF(AND(N($I1082)=0,N($J1082)=0),"금액이 없습니다",IF(AND($I1082&gt;0,$J1082&gt;0),"수입·지출 둘 다 적혔습니다",IF($C1082="","결제수단을 고르십시오",IF(ISNA(MATCH($C1082,'통합 ③ 통장·카드'!$A$5:$A$11,0)),"③ 통장·카드에 없는 결제수단입니다",IF($D1082="","계정과목을 고르십시오",IF($E1082="※없는 과목","④ 설정에 없는 과목입니다",IF(AND($E1082="수입",$J1082&gt;0),"수입 과목인데 지출에 적혔습니다",IF(AND(LEFT($E1082,2)&lt;&gt;"수입",$E1082&lt;&gt;"대체",$I1082&gt;0),"지출 과목인데 수입에 적혔습니다",IF($K1082="","증빙을 고르십시오",IF(AND($C1082="바우처통장",$J1082&gt;0,IFERROR(INDEX('통합 ④ 설정'!$E$6:$E$40,MATCH($D1082,'통합 ④ 설정'!$B$6:$B$40,0)),"")&lt;&gt;"○"),"바우처통장 지출 — 목적 확인",IF($H1082="","적요를 적으십시오",""))))))))))))</f>
        <v/>
      </c>
      <c r="M1082" s="39"/>
      <c r="O1082" s="11" t="str">
        <f aca="false">IF($B1082="","",YEAR($B1082)*100+MONTH($B1082))</f>
        <v/>
      </c>
      <c r="P1082" s="11" t="str">
        <f aca="false">IF($B1082="","",IF($E1082="대체",0,1))</f>
        <v/>
      </c>
    </row>
    <row r="1083" customFormat="false" ht="15" hidden="false" customHeight="false" outlineLevel="0" collapsed="false">
      <c r="A1083" s="36" t="str">
        <f aca="false">IF($B1083="","",COUNT($B$15:$B1083))</f>
        <v/>
      </c>
      <c r="B1083" s="37"/>
      <c r="C1083" s="38"/>
      <c r="D1083" s="39"/>
      <c r="E1083" s="36" t="str">
        <f aca="false">IF($D1083="","",IFERROR(INDEX('통합 ④ 설정'!$A$6:$A$40,MATCH($D1083,'통합 ④ 설정'!$B$6:$B$40,0)),"※없는 과목"))</f>
        <v/>
      </c>
      <c r="F1083" s="36" t="str">
        <f aca="false">IF($D1083="","",IFERROR(INDEX('통합 ④ 설정'!$C$6:$C$40,MATCH($D1083,'통합 ④ 설정'!$B$6:$B$40,0)),""))</f>
        <v/>
      </c>
      <c r="G1083" s="39"/>
      <c r="H1083" s="39"/>
      <c r="I1083" s="40"/>
      <c r="J1083" s="41"/>
      <c r="K1083" s="38"/>
      <c r="L1083" s="42" t="str">
        <f aca="false">IF($B1083="","",IF(AND(N($I1083)=0,N($J1083)=0),"금액이 없습니다",IF(AND($I1083&gt;0,$J1083&gt;0),"수입·지출 둘 다 적혔습니다",IF($C1083="","결제수단을 고르십시오",IF(ISNA(MATCH($C1083,'통합 ③ 통장·카드'!$A$5:$A$11,0)),"③ 통장·카드에 없는 결제수단입니다",IF($D1083="","계정과목을 고르십시오",IF($E1083="※없는 과목","④ 설정에 없는 과목입니다",IF(AND($E1083="수입",$J1083&gt;0),"수입 과목인데 지출에 적혔습니다",IF(AND(LEFT($E1083,2)&lt;&gt;"수입",$E1083&lt;&gt;"대체",$I1083&gt;0),"지출 과목인데 수입에 적혔습니다",IF($K1083="","증빙을 고르십시오",IF(AND($C1083="바우처통장",$J1083&gt;0,IFERROR(INDEX('통합 ④ 설정'!$E$6:$E$40,MATCH($D1083,'통합 ④ 설정'!$B$6:$B$40,0)),"")&lt;&gt;"○"),"바우처통장 지출 — 목적 확인",IF($H1083="","적요를 적으십시오",""))))))))))))</f>
        <v/>
      </c>
      <c r="M1083" s="39"/>
      <c r="O1083" s="11" t="str">
        <f aca="false">IF($B1083="","",YEAR($B1083)*100+MONTH($B1083))</f>
        <v/>
      </c>
      <c r="P1083" s="11" t="str">
        <f aca="false">IF($B1083="","",IF($E1083="대체",0,1))</f>
        <v/>
      </c>
    </row>
    <row r="1084" customFormat="false" ht="15" hidden="false" customHeight="false" outlineLevel="0" collapsed="false">
      <c r="A1084" s="36" t="str">
        <f aca="false">IF($B1084="","",COUNT($B$15:$B1084))</f>
        <v/>
      </c>
      <c r="B1084" s="37"/>
      <c r="C1084" s="38"/>
      <c r="D1084" s="39"/>
      <c r="E1084" s="36" t="str">
        <f aca="false">IF($D1084="","",IFERROR(INDEX('통합 ④ 설정'!$A$6:$A$40,MATCH($D1084,'통합 ④ 설정'!$B$6:$B$40,0)),"※없는 과목"))</f>
        <v/>
      </c>
      <c r="F1084" s="36" t="str">
        <f aca="false">IF($D1084="","",IFERROR(INDEX('통합 ④ 설정'!$C$6:$C$40,MATCH($D1084,'통합 ④ 설정'!$B$6:$B$40,0)),""))</f>
        <v/>
      </c>
      <c r="G1084" s="39"/>
      <c r="H1084" s="39"/>
      <c r="I1084" s="40"/>
      <c r="J1084" s="41"/>
      <c r="K1084" s="38"/>
      <c r="L1084" s="42" t="str">
        <f aca="false">IF($B1084="","",IF(AND(N($I1084)=0,N($J1084)=0),"금액이 없습니다",IF(AND($I1084&gt;0,$J1084&gt;0),"수입·지출 둘 다 적혔습니다",IF($C1084="","결제수단을 고르십시오",IF(ISNA(MATCH($C1084,'통합 ③ 통장·카드'!$A$5:$A$11,0)),"③ 통장·카드에 없는 결제수단입니다",IF($D1084="","계정과목을 고르십시오",IF($E1084="※없는 과목","④ 설정에 없는 과목입니다",IF(AND($E1084="수입",$J1084&gt;0),"수입 과목인데 지출에 적혔습니다",IF(AND(LEFT($E1084,2)&lt;&gt;"수입",$E1084&lt;&gt;"대체",$I1084&gt;0),"지출 과목인데 수입에 적혔습니다",IF($K1084="","증빙을 고르십시오",IF(AND($C1084="바우처통장",$J1084&gt;0,IFERROR(INDEX('통합 ④ 설정'!$E$6:$E$40,MATCH($D1084,'통합 ④ 설정'!$B$6:$B$40,0)),"")&lt;&gt;"○"),"바우처통장 지출 — 목적 확인",IF($H1084="","적요를 적으십시오",""))))))))))))</f>
        <v/>
      </c>
      <c r="M1084" s="39"/>
      <c r="O1084" s="11" t="str">
        <f aca="false">IF($B1084="","",YEAR($B1084)*100+MONTH($B1084))</f>
        <v/>
      </c>
      <c r="P1084" s="11" t="str">
        <f aca="false">IF($B1084="","",IF($E1084="대체",0,1))</f>
        <v/>
      </c>
    </row>
    <row r="1085" customFormat="false" ht="15" hidden="false" customHeight="false" outlineLevel="0" collapsed="false">
      <c r="A1085" s="36" t="str">
        <f aca="false">IF($B1085="","",COUNT($B$15:$B1085))</f>
        <v/>
      </c>
      <c r="B1085" s="37"/>
      <c r="C1085" s="38"/>
      <c r="D1085" s="39"/>
      <c r="E1085" s="36" t="str">
        <f aca="false">IF($D1085="","",IFERROR(INDEX('통합 ④ 설정'!$A$6:$A$40,MATCH($D1085,'통합 ④ 설정'!$B$6:$B$40,0)),"※없는 과목"))</f>
        <v/>
      </c>
      <c r="F1085" s="36" t="str">
        <f aca="false">IF($D1085="","",IFERROR(INDEX('통합 ④ 설정'!$C$6:$C$40,MATCH($D1085,'통합 ④ 설정'!$B$6:$B$40,0)),""))</f>
        <v/>
      </c>
      <c r="G1085" s="39"/>
      <c r="H1085" s="39"/>
      <c r="I1085" s="40"/>
      <c r="J1085" s="41"/>
      <c r="K1085" s="38"/>
      <c r="L1085" s="42" t="str">
        <f aca="false">IF($B1085="","",IF(AND(N($I1085)=0,N($J1085)=0),"금액이 없습니다",IF(AND($I1085&gt;0,$J1085&gt;0),"수입·지출 둘 다 적혔습니다",IF($C1085="","결제수단을 고르십시오",IF(ISNA(MATCH($C1085,'통합 ③ 통장·카드'!$A$5:$A$11,0)),"③ 통장·카드에 없는 결제수단입니다",IF($D1085="","계정과목을 고르십시오",IF($E1085="※없는 과목","④ 설정에 없는 과목입니다",IF(AND($E1085="수입",$J1085&gt;0),"수입 과목인데 지출에 적혔습니다",IF(AND(LEFT($E1085,2)&lt;&gt;"수입",$E1085&lt;&gt;"대체",$I1085&gt;0),"지출 과목인데 수입에 적혔습니다",IF($K1085="","증빙을 고르십시오",IF(AND($C1085="바우처통장",$J1085&gt;0,IFERROR(INDEX('통합 ④ 설정'!$E$6:$E$40,MATCH($D1085,'통합 ④ 설정'!$B$6:$B$40,0)),"")&lt;&gt;"○"),"바우처통장 지출 — 목적 확인",IF($H1085="","적요를 적으십시오",""))))))))))))</f>
        <v/>
      </c>
      <c r="M1085" s="39"/>
      <c r="O1085" s="11" t="str">
        <f aca="false">IF($B1085="","",YEAR($B1085)*100+MONTH($B1085))</f>
        <v/>
      </c>
      <c r="P1085" s="11" t="str">
        <f aca="false">IF($B1085="","",IF($E1085="대체",0,1))</f>
        <v/>
      </c>
    </row>
    <row r="1086" customFormat="false" ht="15" hidden="false" customHeight="false" outlineLevel="0" collapsed="false">
      <c r="A1086" s="36" t="str">
        <f aca="false">IF($B1086="","",COUNT($B$15:$B1086))</f>
        <v/>
      </c>
      <c r="B1086" s="37"/>
      <c r="C1086" s="38"/>
      <c r="D1086" s="39"/>
      <c r="E1086" s="36" t="str">
        <f aca="false">IF($D1086="","",IFERROR(INDEX('통합 ④ 설정'!$A$6:$A$40,MATCH($D1086,'통합 ④ 설정'!$B$6:$B$40,0)),"※없는 과목"))</f>
        <v/>
      </c>
      <c r="F1086" s="36" t="str">
        <f aca="false">IF($D1086="","",IFERROR(INDEX('통합 ④ 설정'!$C$6:$C$40,MATCH($D1086,'통합 ④ 설정'!$B$6:$B$40,0)),""))</f>
        <v/>
      </c>
      <c r="G1086" s="39"/>
      <c r="H1086" s="39"/>
      <c r="I1086" s="40"/>
      <c r="J1086" s="41"/>
      <c r="K1086" s="38"/>
      <c r="L1086" s="42" t="str">
        <f aca="false">IF($B1086="","",IF(AND(N($I1086)=0,N($J1086)=0),"금액이 없습니다",IF(AND($I1086&gt;0,$J1086&gt;0),"수입·지출 둘 다 적혔습니다",IF($C1086="","결제수단을 고르십시오",IF(ISNA(MATCH($C1086,'통합 ③ 통장·카드'!$A$5:$A$11,0)),"③ 통장·카드에 없는 결제수단입니다",IF($D1086="","계정과목을 고르십시오",IF($E1086="※없는 과목","④ 설정에 없는 과목입니다",IF(AND($E1086="수입",$J1086&gt;0),"수입 과목인데 지출에 적혔습니다",IF(AND(LEFT($E1086,2)&lt;&gt;"수입",$E1086&lt;&gt;"대체",$I1086&gt;0),"지출 과목인데 수입에 적혔습니다",IF($K1086="","증빙을 고르십시오",IF(AND($C1086="바우처통장",$J1086&gt;0,IFERROR(INDEX('통합 ④ 설정'!$E$6:$E$40,MATCH($D1086,'통합 ④ 설정'!$B$6:$B$40,0)),"")&lt;&gt;"○"),"바우처통장 지출 — 목적 확인",IF($H1086="","적요를 적으십시오",""))))))))))))</f>
        <v/>
      </c>
      <c r="M1086" s="39"/>
      <c r="O1086" s="11" t="str">
        <f aca="false">IF($B1086="","",YEAR($B1086)*100+MONTH($B1086))</f>
        <v/>
      </c>
      <c r="P1086" s="11" t="str">
        <f aca="false">IF($B1086="","",IF($E1086="대체",0,1))</f>
        <v/>
      </c>
    </row>
    <row r="1087" customFormat="false" ht="15" hidden="false" customHeight="false" outlineLevel="0" collapsed="false">
      <c r="A1087" s="36" t="str">
        <f aca="false">IF($B1087="","",COUNT($B$15:$B1087))</f>
        <v/>
      </c>
      <c r="B1087" s="37"/>
      <c r="C1087" s="38"/>
      <c r="D1087" s="39"/>
      <c r="E1087" s="36" t="str">
        <f aca="false">IF($D1087="","",IFERROR(INDEX('통합 ④ 설정'!$A$6:$A$40,MATCH($D1087,'통합 ④ 설정'!$B$6:$B$40,0)),"※없는 과목"))</f>
        <v/>
      </c>
      <c r="F1087" s="36" t="str">
        <f aca="false">IF($D1087="","",IFERROR(INDEX('통합 ④ 설정'!$C$6:$C$40,MATCH($D1087,'통합 ④ 설정'!$B$6:$B$40,0)),""))</f>
        <v/>
      </c>
      <c r="G1087" s="39"/>
      <c r="H1087" s="39"/>
      <c r="I1087" s="40"/>
      <c r="J1087" s="41"/>
      <c r="K1087" s="38"/>
      <c r="L1087" s="42" t="str">
        <f aca="false">IF($B1087="","",IF(AND(N($I1087)=0,N($J1087)=0),"금액이 없습니다",IF(AND($I1087&gt;0,$J1087&gt;0),"수입·지출 둘 다 적혔습니다",IF($C1087="","결제수단을 고르십시오",IF(ISNA(MATCH($C1087,'통합 ③ 통장·카드'!$A$5:$A$11,0)),"③ 통장·카드에 없는 결제수단입니다",IF($D1087="","계정과목을 고르십시오",IF($E1087="※없는 과목","④ 설정에 없는 과목입니다",IF(AND($E1087="수입",$J1087&gt;0),"수입 과목인데 지출에 적혔습니다",IF(AND(LEFT($E1087,2)&lt;&gt;"수입",$E1087&lt;&gt;"대체",$I1087&gt;0),"지출 과목인데 수입에 적혔습니다",IF($K1087="","증빙을 고르십시오",IF(AND($C1087="바우처통장",$J1087&gt;0,IFERROR(INDEX('통합 ④ 설정'!$E$6:$E$40,MATCH($D1087,'통합 ④ 설정'!$B$6:$B$40,0)),"")&lt;&gt;"○"),"바우처통장 지출 — 목적 확인",IF($H1087="","적요를 적으십시오",""))))))))))))</f>
        <v/>
      </c>
      <c r="M1087" s="39"/>
      <c r="O1087" s="11" t="str">
        <f aca="false">IF($B1087="","",YEAR($B1087)*100+MONTH($B1087))</f>
        <v/>
      </c>
      <c r="P1087" s="11" t="str">
        <f aca="false">IF($B1087="","",IF($E1087="대체",0,1))</f>
        <v/>
      </c>
    </row>
    <row r="1088" customFormat="false" ht="15" hidden="false" customHeight="false" outlineLevel="0" collapsed="false">
      <c r="A1088" s="36" t="str">
        <f aca="false">IF($B1088="","",COUNT($B$15:$B1088))</f>
        <v/>
      </c>
      <c r="B1088" s="37"/>
      <c r="C1088" s="38"/>
      <c r="D1088" s="39"/>
      <c r="E1088" s="36" t="str">
        <f aca="false">IF($D1088="","",IFERROR(INDEX('통합 ④ 설정'!$A$6:$A$40,MATCH($D1088,'통합 ④ 설정'!$B$6:$B$40,0)),"※없는 과목"))</f>
        <v/>
      </c>
      <c r="F1088" s="36" t="str">
        <f aca="false">IF($D1088="","",IFERROR(INDEX('통합 ④ 설정'!$C$6:$C$40,MATCH($D1088,'통합 ④ 설정'!$B$6:$B$40,0)),""))</f>
        <v/>
      </c>
      <c r="G1088" s="39"/>
      <c r="H1088" s="39"/>
      <c r="I1088" s="40"/>
      <c r="J1088" s="41"/>
      <c r="K1088" s="38"/>
      <c r="L1088" s="42" t="str">
        <f aca="false">IF($B1088="","",IF(AND(N($I1088)=0,N($J1088)=0),"금액이 없습니다",IF(AND($I1088&gt;0,$J1088&gt;0),"수입·지출 둘 다 적혔습니다",IF($C1088="","결제수단을 고르십시오",IF(ISNA(MATCH($C1088,'통합 ③ 통장·카드'!$A$5:$A$11,0)),"③ 통장·카드에 없는 결제수단입니다",IF($D1088="","계정과목을 고르십시오",IF($E1088="※없는 과목","④ 설정에 없는 과목입니다",IF(AND($E1088="수입",$J1088&gt;0),"수입 과목인데 지출에 적혔습니다",IF(AND(LEFT($E1088,2)&lt;&gt;"수입",$E1088&lt;&gt;"대체",$I1088&gt;0),"지출 과목인데 수입에 적혔습니다",IF($K1088="","증빙을 고르십시오",IF(AND($C1088="바우처통장",$J1088&gt;0,IFERROR(INDEX('통합 ④ 설정'!$E$6:$E$40,MATCH($D1088,'통합 ④ 설정'!$B$6:$B$40,0)),"")&lt;&gt;"○"),"바우처통장 지출 — 목적 확인",IF($H1088="","적요를 적으십시오",""))))))))))))</f>
        <v/>
      </c>
      <c r="M1088" s="39"/>
      <c r="O1088" s="11" t="str">
        <f aca="false">IF($B1088="","",YEAR($B1088)*100+MONTH($B1088))</f>
        <v/>
      </c>
      <c r="P1088" s="11" t="str">
        <f aca="false">IF($B1088="","",IF($E1088="대체",0,1))</f>
        <v/>
      </c>
    </row>
    <row r="1089" customFormat="false" ht="15" hidden="false" customHeight="false" outlineLevel="0" collapsed="false">
      <c r="A1089" s="36" t="str">
        <f aca="false">IF($B1089="","",COUNT($B$15:$B1089))</f>
        <v/>
      </c>
      <c r="B1089" s="37"/>
      <c r="C1089" s="38"/>
      <c r="D1089" s="39"/>
      <c r="E1089" s="36" t="str">
        <f aca="false">IF($D1089="","",IFERROR(INDEX('통합 ④ 설정'!$A$6:$A$40,MATCH($D1089,'통합 ④ 설정'!$B$6:$B$40,0)),"※없는 과목"))</f>
        <v/>
      </c>
      <c r="F1089" s="36" t="str">
        <f aca="false">IF($D1089="","",IFERROR(INDEX('통합 ④ 설정'!$C$6:$C$40,MATCH($D1089,'통합 ④ 설정'!$B$6:$B$40,0)),""))</f>
        <v/>
      </c>
      <c r="G1089" s="39"/>
      <c r="H1089" s="39"/>
      <c r="I1089" s="40"/>
      <c r="J1089" s="41"/>
      <c r="K1089" s="38"/>
      <c r="L1089" s="42" t="str">
        <f aca="false">IF($B1089="","",IF(AND(N($I1089)=0,N($J1089)=0),"금액이 없습니다",IF(AND($I1089&gt;0,$J1089&gt;0),"수입·지출 둘 다 적혔습니다",IF($C1089="","결제수단을 고르십시오",IF(ISNA(MATCH($C1089,'통합 ③ 통장·카드'!$A$5:$A$11,0)),"③ 통장·카드에 없는 결제수단입니다",IF($D1089="","계정과목을 고르십시오",IF($E1089="※없는 과목","④ 설정에 없는 과목입니다",IF(AND($E1089="수입",$J1089&gt;0),"수입 과목인데 지출에 적혔습니다",IF(AND(LEFT($E1089,2)&lt;&gt;"수입",$E1089&lt;&gt;"대체",$I1089&gt;0),"지출 과목인데 수입에 적혔습니다",IF($K1089="","증빙을 고르십시오",IF(AND($C1089="바우처통장",$J1089&gt;0,IFERROR(INDEX('통합 ④ 설정'!$E$6:$E$40,MATCH($D1089,'통합 ④ 설정'!$B$6:$B$40,0)),"")&lt;&gt;"○"),"바우처통장 지출 — 목적 확인",IF($H1089="","적요를 적으십시오",""))))))))))))</f>
        <v/>
      </c>
      <c r="M1089" s="39"/>
      <c r="O1089" s="11" t="str">
        <f aca="false">IF($B1089="","",YEAR($B1089)*100+MONTH($B1089))</f>
        <v/>
      </c>
      <c r="P1089" s="11" t="str">
        <f aca="false">IF($B1089="","",IF($E1089="대체",0,1))</f>
        <v/>
      </c>
    </row>
    <row r="1090" customFormat="false" ht="15" hidden="false" customHeight="false" outlineLevel="0" collapsed="false">
      <c r="A1090" s="36" t="str">
        <f aca="false">IF($B1090="","",COUNT($B$15:$B1090))</f>
        <v/>
      </c>
      <c r="B1090" s="37"/>
      <c r="C1090" s="38"/>
      <c r="D1090" s="39"/>
      <c r="E1090" s="36" t="str">
        <f aca="false">IF($D1090="","",IFERROR(INDEX('통합 ④ 설정'!$A$6:$A$40,MATCH($D1090,'통합 ④ 설정'!$B$6:$B$40,0)),"※없는 과목"))</f>
        <v/>
      </c>
      <c r="F1090" s="36" t="str">
        <f aca="false">IF($D1090="","",IFERROR(INDEX('통합 ④ 설정'!$C$6:$C$40,MATCH($D1090,'통합 ④ 설정'!$B$6:$B$40,0)),""))</f>
        <v/>
      </c>
      <c r="G1090" s="39"/>
      <c r="H1090" s="39"/>
      <c r="I1090" s="40"/>
      <c r="J1090" s="41"/>
      <c r="K1090" s="38"/>
      <c r="L1090" s="42" t="str">
        <f aca="false">IF($B1090="","",IF(AND(N($I1090)=0,N($J1090)=0),"금액이 없습니다",IF(AND($I1090&gt;0,$J1090&gt;0),"수입·지출 둘 다 적혔습니다",IF($C1090="","결제수단을 고르십시오",IF(ISNA(MATCH($C1090,'통합 ③ 통장·카드'!$A$5:$A$11,0)),"③ 통장·카드에 없는 결제수단입니다",IF($D1090="","계정과목을 고르십시오",IF($E1090="※없는 과목","④ 설정에 없는 과목입니다",IF(AND($E1090="수입",$J1090&gt;0),"수입 과목인데 지출에 적혔습니다",IF(AND(LEFT($E1090,2)&lt;&gt;"수입",$E1090&lt;&gt;"대체",$I1090&gt;0),"지출 과목인데 수입에 적혔습니다",IF($K1090="","증빙을 고르십시오",IF(AND($C1090="바우처통장",$J1090&gt;0,IFERROR(INDEX('통합 ④ 설정'!$E$6:$E$40,MATCH($D1090,'통합 ④ 설정'!$B$6:$B$40,0)),"")&lt;&gt;"○"),"바우처통장 지출 — 목적 확인",IF($H1090="","적요를 적으십시오",""))))))))))))</f>
        <v/>
      </c>
      <c r="M1090" s="39"/>
      <c r="O1090" s="11" t="str">
        <f aca="false">IF($B1090="","",YEAR($B1090)*100+MONTH($B1090))</f>
        <v/>
      </c>
      <c r="P1090" s="11" t="str">
        <f aca="false">IF($B1090="","",IF($E1090="대체",0,1))</f>
        <v/>
      </c>
    </row>
    <row r="1091" customFormat="false" ht="15" hidden="false" customHeight="false" outlineLevel="0" collapsed="false">
      <c r="A1091" s="36" t="str">
        <f aca="false">IF($B1091="","",COUNT($B$15:$B1091))</f>
        <v/>
      </c>
      <c r="B1091" s="37"/>
      <c r="C1091" s="38"/>
      <c r="D1091" s="39"/>
      <c r="E1091" s="36" t="str">
        <f aca="false">IF($D1091="","",IFERROR(INDEX('통합 ④ 설정'!$A$6:$A$40,MATCH($D1091,'통합 ④ 설정'!$B$6:$B$40,0)),"※없는 과목"))</f>
        <v/>
      </c>
      <c r="F1091" s="36" t="str">
        <f aca="false">IF($D1091="","",IFERROR(INDEX('통합 ④ 설정'!$C$6:$C$40,MATCH($D1091,'통합 ④ 설정'!$B$6:$B$40,0)),""))</f>
        <v/>
      </c>
      <c r="G1091" s="39"/>
      <c r="H1091" s="39"/>
      <c r="I1091" s="40"/>
      <c r="J1091" s="41"/>
      <c r="K1091" s="38"/>
      <c r="L1091" s="42" t="str">
        <f aca="false">IF($B1091="","",IF(AND(N($I1091)=0,N($J1091)=0),"금액이 없습니다",IF(AND($I1091&gt;0,$J1091&gt;0),"수입·지출 둘 다 적혔습니다",IF($C1091="","결제수단을 고르십시오",IF(ISNA(MATCH($C1091,'통합 ③ 통장·카드'!$A$5:$A$11,0)),"③ 통장·카드에 없는 결제수단입니다",IF($D1091="","계정과목을 고르십시오",IF($E1091="※없는 과목","④ 설정에 없는 과목입니다",IF(AND($E1091="수입",$J1091&gt;0),"수입 과목인데 지출에 적혔습니다",IF(AND(LEFT($E1091,2)&lt;&gt;"수입",$E1091&lt;&gt;"대체",$I1091&gt;0),"지출 과목인데 수입에 적혔습니다",IF($K1091="","증빙을 고르십시오",IF(AND($C1091="바우처통장",$J1091&gt;0,IFERROR(INDEX('통합 ④ 설정'!$E$6:$E$40,MATCH($D1091,'통합 ④ 설정'!$B$6:$B$40,0)),"")&lt;&gt;"○"),"바우처통장 지출 — 목적 확인",IF($H1091="","적요를 적으십시오",""))))))))))))</f>
        <v/>
      </c>
      <c r="M1091" s="39"/>
      <c r="O1091" s="11" t="str">
        <f aca="false">IF($B1091="","",YEAR($B1091)*100+MONTH($B1091))</f>
        <v/>
      </c>
      <c r="P1091" s="11" t="str">
        <f aca="false">IF($B1091="","",IF($E1091="대체",0,1))</f>
        <v/>
      </c>
    </row>
    <row r="1092" customFormat="false" ht="15" hidden="false" customHeight="false" outlineLevel="0" collapsed="false">
      <c r="A1092" s="36" t="str">
        <f aca="false">IF($B1092="","",COUNT($B$15:$B1092))</f>
        <v/>
      </c>
      <c r="B1092" s="37"/>
      <c r="C1092" s="38"/>
      <c r="D1092" s="39"/>
      <c r="E1092" s="36" t="str">
        <f aca="false">IF($D1092="","",IFERROR(INDEX('통합 ④ 설정'!$A$6:$A$40,MATCH($D1092,'통합 ④ 설정'!$B$6:$B$40,0)),"※없는 과목"))</f>
        <v/>
      </c>
      <c r="F1092" s="36" t="str">
        <f aca="false">IF($D1092="","",IFERROR(INDEX('통합 ④ 설정'!$C$6:$C$40,MATCH($D1092,'통합 ④ 설정'!$B$6:$B$40,0)),""))</f>
        <v/>
      </c>
      <c r="G1092" s="39"/>
      <c r="H1092" s="39"/>
      <c r="I1092" s="40"/>
      <c r="J1092" s="41"/>
      <c r="K1092" s="38"/>
      <c r="L1092" s="42" t="str">
        <f aca="false">IF($B1092="","",IF(AND(N($I1092)=0,N($J1092)=0),"금액이 없습니다",IF(AND($I1092&gt;0,$J1092&gt;0),"수입·지출 둘 다 적혔습니다",IF($C1092="","결제수단을 고르십시오",IF(ISNA(MATCH($C1092,'통합 ③ 통장·카드'!$A$5:$A$11,0)),"③ 통장·카드에 없는 결제수단입니다",IF($D1092="","계정과목을 고르십시오",IF($E1092="※없는 과목","④ 설정에 없는 과목입니다",IF(AND($E1092="수입",$J1092&gt;0),"수입 과목인데 지출에 적혔습니다",IF(AND(LEFT($E1092,2)&lt;&gt;"수입",$E1092&lt;&gt;"대체",$I1092&gt;0),"지출 과목인데 수입에 적혔습니다",IF($K1092="","증빙을 고르십시오",IF(AND($C1092="바우처통장",$J1092&gt;0,IFERROR(INDEX('통합 ④ 설정'!$E$6:$E$40,MATCH($D1092,'통합 ④ 설정'!$B$6:$B$40,0)),"")&lt;&gt;"○"),"바우처통장 지출 — 목적 확인",IF($H1092="","적요를 적으십시오",""))))))))))))</f>
        <v/>
      </c>
      <c r="M1092" s="39"/>
      <c r="O1092" s="11" t="str">
        <f aca="false">IF($B1092="","",YEAR($B1092)*100+MONTH($B1092))</f>
        <v/>
      </c>
      <c r="P1092" s="11" t="str">
        <f aca="false">IF($B1092="","",IF($E1092="대체",0,1))</f>
        <v/>
      </c>
    </row>
    <row r="1093" customFormat="false" ht="15" hidden="false" customHeight="false" outlineLevel="0" collapsed="false">
      <c r="A1093" s="36" t="str">
        <f aca="false">IF($B1093="","",COUNT($B$15:$B1093))</f>
        <v/>
      </c>
      <c r="B1093" s="37"/>
      <c r="C1093" s="38"/>
      <c r="D1093" s="39"/>
      <c r="E1093" s="36" t="str">
        <f aca="false">IF($D1093="","",IFERROR(INDEX('통합 ④ 설정'!$A$6:$A$40,MATCH($D1093,'통합 ④ 설정'!$B$6:$B$40,0)),"※없는 과목"))</f>
        <v/>
      </c>
      <c r="F1093" s="36" t="str">
        <f aca="false">IF($D1093="","",IFERROR(INDEX('통합 ④ 설정'!$C$6:$C$40,MATCH($D1093,'통합 ④ 설정'!$B$6:$B$40,0)),""))</f>
        <v/>
      </c>
      <c r="G1093" s="39"/>
      <c r="H1093" s="39"/>
      <c r="I1093" s="40"/>
      <c r="J1093" s="41"/>
      <c r="K1093" s="38"/>
      <c r="L1093" s="42" t="str">
        <f aca="false">IF($B1093="","",IF(AND(N($I1093)=0,N($J1093)=0),"금액이 없습니다",IF(AND($I1093&gt;0,$J1093&gt;0),"수입·지출 둘 다 적혔습니다",IF($C1093="","결제수단을 고르십시오",IF(ISNA(MATCH($C1093,'통합 ③ 통장·카드'!$A$5:$A$11,0)),"③ 통장·카드에 없는 결제수단입니다",IF($D1093="","계정과목을 고르십시오",IF($E1093="※없는 과목","④ 설정에 없는 과목입니다",IF(AND($E1093="수입",$J1093&gt;0),"수입 과목인데 지출에 적혔습니다",IF(AND(LEFT($E1093,2)&lt;&gt;"수입",$E1093&lt;&gt;"대체",$I1093&gt;0),"지출 과목인데 수입에 적혔습니다",IF($K1093="","증빙을 고르십시오",IF(AND($C1093="바우처통장",$J1093&gt;0,IFERROR(INDEX('통합 ④ 설정'!$E$6:$E$40,MATCH($D1093,'통합 ④ 설정'!$B$6:$B$40,0)),"")&lt;&gt;"○"),"바우처통장 지출 — 목적 확인",IF($H1093="","적요를 적으십시오",""))))))))))))</f>
        <v/>
      </c>
      <c r="M1093" s="39"/>
      <c r="O1093" s="11" t="str">
        <f aca="false">IF($B1093="","",YEAR($B1093)*100+MONTH($B1093))</f>
        <v/>
      </c>
      <c r="P1093" s="11" t="str">
        <f aca="false">IF($B1093="","",IF($E1093="대체",0,1))</f>
        <v/>
      </c>
    </row>
    <row r="1094" customFormat="false" ht="15" hidden="false" customHeight="false" outlineLevel="0" collapsed="false">
      <c r="A1094" s="36" t="str">
        <f aca="false">IF($B1094="","",COUNT($B$15:$B1094))</f>
        <v/>
      </c>
      <c r="B1094" s="37"/>
      <c r="C1094" s="38"/>
      <c r="D1094" s="39"/>
      <c r="E1094" s="36" t="str">
        <f aca="false">IF($D1094="","",IFERROR(INDEX('통합 ④ 설정'!$A$6:$A$40,MATCH($D1094,'통합 ④ 설정'!$B$6:$B$40,0)),"※없는 과목"))</f>
        <v/>
      </c>
      <c r="F1094" s="36" t="str">
        <f aca="false">IF($D1094="","",IFERROR(INDEX('통합 ④ 설정'!$C$6:$C$40,MATCH($D1094,'통합 ④ 설정'!$B$6:$B$40,0)),""))</f>
        <v/>
      </c>
      <c r="G1094" s="39"/>
      <c r="H1094" s="39"/>
      <c r="I1094" s="40"/>
      <c r="J1094" s="41"/>
      <c r="K1094" s="38"/>
      <c r="L1094" s="42" t="str">
        <f aca="false">IF($B1094="","",IF(AND(N($I1094)=0,N($J1094)=0),"금액이 없습니다",IF(AND($I1094&gt;0,$J1094&gt;0),"수입·지출 둘 다 적혔습니다",IF($C1094="","결제수단을 고르십시오",IF(ISNA(MATCH($C1094,'통합 ③ 통장·카드'!$A$5:$A$11,0)),"③ 통장·카드에 없는 결제수단입니다",IF($D1094="","계정과목을 고르십시오",IF($E1094="※없는 과목","④ 설정에 없는 과목입니다",IF(AND($E1094="수입",$J1094&gt;0),"수입 과목인데 지출에 적혔습니다",IF(AND(LEFT($E1094,2)&lt;&gt;"수입",$E1094&lt;&gt;"대체",$I1094&gt;0),"지출 과목인데 수입에 적혔습니다",IF($K1094="","증빙을 고르십시오",IF(AND($C1094="바우처통장",$J1094&gt;0,IFERROR(INDEX('통합 ④ 설정'!$E$6:$E$40,MATCH($D1094,'통합 ④ 설정'!$B$6:$B$40,0)),"")&lt;&gt;"○"),"바우처통장 지출 — 목적 확인",IF($H1094="","적요를 적으십시오",""))))))))))))</f>
        <v/>
      </c>
      <c r="M1094" s="39"/>
      <c r="O1094" s="11" t="str">
        <f aca="false">IF($B1094="","",YEAR($B1094)*100+MONTH($B1094))</f>
        <v/>
      </c>
      <c r="P1094" s="11" t="str">
        <f aca="false">IF($B1094="","",IF($E1094="대체",0,1))</f>
        <v/>
      </c>
    </row>
    <row r="1095" customFormat="false" ht="15" hidden="false" customHeight="false" outlineLevel="0" collapsed="false">
      <c r="A1095" s="36" t="str">
        <f aca="false">IF($B1095="","",COUNT($B$15:$B1095))</f>
        <v/>
      </c>
      <c r="B1095" s="37"/>
      <c r="C1095" s="38"/>
      <c r="D1095" s="39"/>
      <c r="E1095" s="36" t="str">
        <f aca="false">IF($D1095="","",IFERROR(INDEX('통합 ④ 설정'!$A$6:$A$40,MATCH($D1095,'통합 ④ 설정'!$B$6:$B$40,0)),"※없는 과목"))</f>
        <v/>
      </c>
      <c r="F1095" s="36" t="str">
        <f aca="false">IF($D1095="","",IFERROR(INDEX('통합 ④ 설정'!$C$6:$C$40,MATCH($D1095,'통합 ④ 설정'!$B$6:$B$40,0)),""))</f>
        <v/>
      </c>
      <c r="G1095" s="39"/>
      <c r="H1095" s="39"/>
      <c r="I1095" s="40"/>
      <c r="J1095" s="41"/>
      <c r="K1095" s="38"/>
      <c r="L1095" s="42" t="str">
        <f aca="false">IF($B1095="","",IF(AND(N($I1095)=0,N($J1095)=0),"금액이 없습니다",IF(AND($I1095&gt;0,$J1095&gt;0),"수입·지출 둘 다 적혔습니다",IF($C1095="","결제수단을 고르십시오",IF(ISNA(MATCH($C1095,'통합 ③ 통장·카드'!$A$5:$A$11,0)),"③ 통장·카드에 없는 결제수단입니다",IF($D1095="","계정과목을 고르십시오",IF($E1095="※없는 과목","④ 설정에 없는 과목입니다",IF(AND($E1095="수입",$J1095&gt;0),"수입 과목인데 지출에 적혔습니다",IF(AND(LEFT($E1095,2)&lt;&gt;"수입",$E1095&lt;&gt;"대체",$I1095&gt;0),"지출 과목인데 수입에 적혔습니다",IF($K1095="","증빙을 고르십시오",IF(AND($C1095="바우처통장",$J1095&gt;0,IFERROR(INDEX('통합 ④ 설정'!$E$6:$E$40,MATCH($D1095,'통합 ④ 설정'!$B$6:$B$40,0)),"")&lt;&gt;"○"),"바우처통장 지출 — 목적 확인",IF($H1095="","적요를 적으십시오",""))))))))))))</f>
        <v/>
      </c>
      <c r="M1095" s="39"/>
      <c r="O1095" s="11" t="str">
        <f aca="false">IF($B1095="","",YEAR($B1095)*100+MONTH($B1095))</f>
        <v/>
      </c>
      <c r="P1095" s="11" t="str">
        <f aca="false">IF($B1095="","",IF($E1095="대체",0,1))</f>
        <v/>
      </c>
    </row>
    <row r="1096" customFormat="false" ht="15" hidden="false" customHeight="false" outlineLevel="0" collapsed="false">
      <c r="A1096" s="36" t="str">
        <f aca="false">IF($B1096="","",COUNT($B$15:$B1096))</f>
        <v/>
      </c>
      <c r="B1096" s="37"/>
      <c r="C1096" s="38"/>
      <c r="D1096" s="39"/>
      <c r="E1096" s="36" t="str">
        <f aca="false">IF($D1096="","",IFERROR(INDEX('통합 ④ 설정'!$A$6:$A$40,MATCH($D1096,'통합 ④ 설정'!$B$6:$B$40,0)),"※없는 과목"))</f>
        <v/>
      </c>
      <c r="F1096" s="36" t="str">
        <f aca="false">IF($D1096="","",IFERROR(INDEX('통합 ④ 설정'!$C$6:$C$40,MATCH($D1096,'통합 ④ 설정'!$B$6:$B$40,0)),""))</f>
        <v/>
      </c>
      <c r="G1096" s="39"/>
      <c r="H1096" s="39"/>
      <c r="I1096" s="40"/>
      <c r="J1096" s="41"/>
      <c r="K1096" s="38"/>
      <c r="L1096" s="42" t="str">
        <f aca="false">IF($B1096="","",IF(AND(N($I1096)=0,N($J1096)=0),"금액이 없습니다",IF(AND($I1096&gt;0,$J1096&gt;0),"수입·지출 둘 다 적혔습니다",IF($C1096="","결제수단을 고르십시오",IF(ISNA(MATCH($C1096,'통합 ③ 통장·카드'!$A$5:$A$11,0)),"③ 통장·카드에 없는 결제수단입니다",IF($D1096="","계정과목을 고르십시오",IF($E1096="※없는 과목","④ 설정에 없는 과목입니다",IF(AND($E1096="수입",$J1096&gt;0),"수입 과목인데 지출에 적혔습니다",IF(AND(LEFT($E1096,2)&lt;&gt;"수입",$E1096&lt;&gt;"대체",$I1096&gt;0),"지출 과목인데 수입에 적혔습니다",IF($K1096="","증빙을 고르십시오",IF(AND($C1096="바우처통장",$J1096&gt;0,IFERROR(INDEX('통합 ④ 설정'!$E$6:$E$40,MATCH($D1096,'통합 ④ 설정'!$B$6:$B$40,0)),"")&lt;&gt;"○"),"바우처통장 지출 — 목적 확인",IF($H1096="","적요를 적으십시오",""))))))))))))</f>
        <v/>
      </c>
      <c r="M1096" s="39"/>
      <c r="O1096" s="11" t="str">
        <f aca="false">IF($B1096="","",YEAR($B1096)*100+MONTH($B1096))</f>
        <v/>
      </c>
      <c r="P1096" s="11" t="str">
        <f aca="false">IF($B1096="","",IF($E1096="대체",0,1))</f>
        <v/>
      </c>
    </row>
    <row r="1097" customFormat="false" ht="15" hidden="false" customHeight="false" outlineLevel="0" collapsed="false">
      <c r="A1097" s="36" t="str">
        <f aca="false">IF($B1097="","",COUNT($B$15:$B1097))</f>
        <v/>
      </c>
      <c r="B1097" s="37"/>
      <c r="C1097" s="38"/>
      <c r="D1097" s="39"/>
      <c r="E1097" s="36" t="str">
        <f aca="false">IF($D1097="","",IFERROR(INDEX('통합 ④ 설정'!$A$6:$A$40,MATCH($D1097,'통합 ④ 설정'!$B$6:$B$40,0)),"※없는 과목"))</f>
        <v/>
      </c>
      <c r="F1097" s="36" t="str">
        <f aca="false">IF($D1097="","",IFERROR(INDEX('통합 ④ 설정'!$C$6:$C$40,MATCH($D1097,'통합 ④ 설정'!$B$6:$B$40,0)),""))</f>
        <v/>
      </c>
      <c r="G1097" s="39"/>
      <c r="H1097" s="39"/>
      <c r="I1097" s="40"/>
      <c r="J1097" s="41"/>
      <c r="K1097" s="38"/>
      <c r="L1097" s="42" t="str">
        <f aca="false">IF($B1097="","",IF(AND(N($I1097)=0,N($J1097)=0),"금액이 없습니다",IF(AND($I1097&gt;0,$J1097&gt;0),"수입·지출 둘 다 적혔습니다",IF($C1097="","결제수단을 고르십시오",IF(ISNA(MATCH($C1097,'통합 ③ 통장·카드'!$A$5:$A$11,0)),"③ 통장·카드에 없는 결제수단입니다",IF($D1097="","계정과목을 고르십시오",IF($E1097="※없는 과목","④ 설정에 없는 과목입니다",IF(AND($E1097="수입",$J1097&gt;0),"수입 과목인데 지출에 적혔습니다",IF(AND(LEFT($E1097,2)&lt;&gt;"수입",$E1097&lt;&gt;"대체",$I1097&gt;0),"지출 과목인데 수입에 적혔습니다",IF($K1097="","증빙을 고르십시오",IF(AND($C1097="바우처통장",$J1097&gt;0,IFERROR(INDEX('통합 ④ 설정'!$E$6:$E$40,MATCH($D1097,'통합 ④ 설정'!$B$6:$B$40,0)),"")&lt;&gt;"○"),"바우처통장 지출 — 목적 확인",IF($H1097="","적요를 적으십시오",""))))))))))))</f>
        <v/>
      </c>
      <c r="M1097" s="39"/>
      <c r="O1097" s="11" t="str">
        <f aca="false">IF($B1097="","",YEAR($B1097)*100+MONTH($B1097))</f>
        <v/>
      </c>
      <c r="P1097" s="11" t="str">
        <f aca="false">IF($B1097="","",IF($E1097="대체",0,1))</f>
        <v/>
      </c>
    </row>
    <row r="1098" customFormat="false" ht="15" hidden="false" customHeight="false" outlineLevel="0" collapsed="false">
      <c r="A1098" s="36" t="str">
        <f aca="false">IF($B1098="","",COUNT($B$15:$B1098))</f>
        <v/>
      </c>
      <c r="B1098" s="37"/>
      <c r="C1098" s="38"/>
      <c r="D1098" s="39"/>
      <c r="E1098" s="36" t="str">
        <f aca="false">IF($D1098="","",IFERROR(INDEX('통합 ④ 설정'!$A$6:$A$40,MATCH($D1098,'통합 ④ 설정'!$B$6:$B$40,0)),"※없는 과목"))</f>
        <v/>
      </c>
      <c r="F1098" s="36" t="str">
        <f aca="false">IF($D1098="","",IFERROR(INDEX('통합 ④ 설정'!$C$6:$C$40,MATCH($D1098,'통합 ④ 설정'!$B$6:$B$40,0)),""))</f>
        <v/>
      </c>
      <c r="G1098" s="39"/>
      <c r="H1098" s="39"/>
      <c r="I1098" s="40"/>
      <c r="J1098" s="41"/>
      <c r="K1098" s="38"/>
      <c r="L1098" s="42" t="str">
        <f aca="false">IF($B1098="","",IF(AND(N($I1098)=0,N($J1098)=0),"금액이 없습니다",IF(AND($I1098&gt;0,$J1098&gt;0),"수입·지출 둘 다 적혔습니다",IF($C1098="","결제수단을 고르십시오",IF(ISNA(MATCH($C1098,'통합 ③ 통장·카드'!$A$5:$A$11,0)),"③ 통장·카드에 없는 결제수단입니다",IF($D1098="","계정과목을 고르십시오",IF($E1098="※없는 과목","④ 설정에 없는 과목입니다",IF(AND($E1098="수입",$J1098&gt;0),"수입 과목인데 지출에 적혔습니다",IF(AND(LEFT($E1098,2)&lt;&gt;"수입",$E1098&lt;&gt;"대체",$I1098&gt;0),"지출 과목인데 수입에 적혔습니다",IF($K1098="","증빙을 고르십시오",IF(AND($C1098="바우처통장",$J1098&gt;0,IFERROR(INDEX('통합 ④ 설정'!$E$6:$E$40,MATCH($D1098,'통합 ④ 설정'!$B$6:$B$40,0)),"")&lt;&gt;"○"),"바우처통장 지출 — 목적 확인",IF($H1098="","적요를 적으십시오",""))))))))))))</f>
        <v/>
      </c>
      <c r="M1098" s="39"/>
      <c r="O1098" s="11" t="str">
        <f aca="false">IF($B1098="","",YEAR($B1098)*100+MONTH($B1098))</f>
        <v/>
      </c>
      <c r="P1098" s="11" t="str">
        <f aca="false">IF($B1098="","",IF($E1098="대체",0,1))</f>
        <v/>
      </c>
    </row>
    <row r="1099" customFormat="false" ht="15" hidden="false" customHeight="false" outlineLevel="0" collapsed="false">
      <c r="A1099" s="36" t="str">
        <f aca="false">IF($B1099="","",COUNT($B$15:$B1099))</f>
        <v/>
      </c>
      <c r="B1099" s="37"/>
      <c r="C1099" s="38"/>
      <c r="D1099" s="39"/>
      <c r="E1099" s="36" t="str">
        <f aca="false">IF($D1099="","",IFERROR(INDEX('통합 ④ 설정'!$A$6:$A$40,MATCH($D1099,'통합 ④ 설정'!$B$6:$B$40,0)),"※없는 과목"))</f>
        <v/>
      </c>
      <c r="F1099" s="36" t="str">
        <f aca="false">IF($D1099="","",IFERROR(INDEX('통합 ④ 설정'!$C$6:$C$40,MATCH($D1099,'통합 ④ 설정'!$B$6:$B$40,0)),""))</f>
        <v/>
      </c>
      <c r="G1099" s="39"/>
      <c r="H1099" s="39"/>
      <c r="I1099" s="40"/>
      <c r="J1099" s="41"/>
      <c r="K1099" s="38"/>
      <c r="L1099" s="42" t="str">
        <f aca="false">IF($B1099="","",IF(AND(N($I1099)=0,N($J1099)=0),"금액이 없습니다",IF(AND($I1099&gt;0,$J1099&gt;0),"수입·지출 둘 다 적혔습니다",IF($C1099="","결제수단을 고르십시오",IF(ISNA(MATCH($C1099,'통합 ③ 통장·카드'!$A$5:$A$11,0)),"③ 통장·카드에 없는 결제수단입니다",IF($D1099="","계정과목을 고르십시오",IF($E1099="※없는 과목","④ 설정에 없는 과목입니다",IF(AND($E1099="수입",$J1099&gt;0),"수입 과목인데 지출에 적혔습니다",IF(AND(LEFT($E1099,2)&lt;&gt;"수입",$E1099&lt;&gt;"대체",$I1099&gt;0),"지출 과목인데 수입에 적혔습니다",IF($K1099="","증빙을 고르십시오",IF(AND($C1099="바우처통장",$J1099&gt;0,IFERROR(INDEX('통합 ④ 설정'!$E$6:$E$40,MATCH($D1099,'통합 ④ 설정'!$B$6:$B$40,0)),"")&lt;&gt;"○"),"바우처통장 지출 — 목적 확인",IF($H1099="","적요를 적으십시오",""))))))))))))</f>
        <v/>
      </c>
      <c r="M1099" s="39"/>
      <c r="O1099" s="11" t="str">
        <f aca="false">IF($B1099="","",YEAR($B1099)*100+MONTH($B1099))</f>
        <v/>
      </c>
      <c r="P1099" s="11" t="str">
        <f aca="false">IF($B1099="","",IF($E1099="대체",0,1))</f>
        <v/>
      </c>
    </row>
    <row r="1100" customFormat="false" ht="15" hidden="false" customHeight="false" outlineLevel="0" collapsed="false">
      <c r="A1100" s="36" t="str">
        <f aca="false">IF($B1100="","",COUNT($B$15:$B1100))</f>
        <v/>
      </c>
      <c r="B1100" s="37"/>
      <c r="C1100" s="38"/>
      <c r="D1100" s="39"/>
      <c r="E1100" s="36" t="str">
        <f aca="false">IF($D1100="","",IFERROR(INDEX('통합 ④ 설정'!$A$6:$A$40,MATCH($D1100,'통합 ④ 설정'!$B$6:$B$40,0)),"※없는 과목"))</f>
        <v/>
      </c>
      <c r="F1100" s="36" t="str">
        <f aca="false">IF($D1100="","",IFERROR(INDEX('통합 ④ 설정'!$C$6:$C$40,MATCH($D1100,'통합 ④ 설정'!$B$6:$B$40,0)),""))</f>
        <v/>
      </c>
      <c r="G1100" s="39"/>
      <c r="H1100" s="39"/>
      <c r="I1100" s="40"/>
      <c r="J1100" s="41"/>
      <c r="K1100" s="38"/>
      <c r="L1100" s="42" t="str">
        <f aca="false">IF($B1100="","",IF(AND(N($I1100)=0,N($J1100)=0),"금액이 없습니다",IF(AND($I1100&gt;0,$J1100&gt;0),"수입·지출 둘 다 적혔습니다",IF($C1100="","결제수단을 고르십시오",IF(ISNA(MATCH($C1100,'통합 ③ 통장·카드'!$A$5:$A$11,0)),"③ 통장·카드에 없는 결제수단입니다",IF($D1100="","계정과목을 고르십시오",IF($E1100="※없는 과목","④ 설정에 없는 과목입니다",IF(AND($E1100="수입",$J1100&gt;0),"수입 과목인데 지출에 적혔습니다",IF(AND(LEFT($E1100,2)&lt;&gt;"수입",$E1100&lt;&gt;"대체",$I1100&gt;0),"지출 과목인데 수입에 적혔습니다",IF($K1100="","증빙을 고르십시오",IF(AND($C1100="바우처통장",$J1100&gt;0,IFERROR(INDEX('통합 ④ 설정'!$E$6:$E$40,MATCH($D1100,'통합 ④ 설정'!$B$6:$B$40,0)),"")&lt;&gt;"○"),"바우처통장 지출 — 목적 확인",IF($H1100="","적요를 적으십시오",""))))))))))))</f>
        <v/>
      </c>
      <c r="M1100" s="39"/>
      <c r="O1100" s="11" t="str">
        <f aca="false">IF($B1100="","",YEAR($B1100)*100+MONTH($B1100))</f>
        <v/>
      </c>
      <c r="P1100" s="11" t="str">
        <f aca="false">IF($B1100="","",IF($E1100="대체",0,1))</f>
        <v/>
      </c>
    </row>
    <row r="1101" customFormat="false" ht="15" hidden="false" customHeight="false" outlineLevel="0" collapsed="false">
      <c r="A1101" s="36" t="str">
        <f aca="false">IF($B1101="","",COUNT($B$15:$B1101))</f>
        <v/>
      </c>
      <c r="B1101" s="37"/>
      <c r="C1101" s="38"/>
      <c r="D1101" s="39"/>
      <c r="E1101" s="36" t="str">
        <f aca="false">IF($D1101="","",IFERROR(INDEX('통합 ④ 설정'!$A$6:$A$40,MATCH($D1101,'통합 ④ 설정'!$B$6:$B$40,0)),"※없는 과목"))</f>
        <v/>
      </c>
      <c r="F1101" s="36" t="str">
        <f aca="false">IF($D1101="","",IFERROR(INDEX('통합 ④ 설정'!$C$6:$C$40,MATCH($D1101,'통합 ④ 설정'!$B$6:$B$40,0)),""))</f>
        <v/>
      </c>
      <c r="G1101" s="39"/>
      <c r="H1101" s="39"/>
      <c r="I1101" s="40"/>
      <c r="J1101" s="41"/>
      <c r="K1101" s="38"/>
      <c r="L1101" s="42" t="str">
        <f aca="false">IF($B1101="","",IF(AND(N($I1101)=0,N($J1101)=0),"금액이 없습니다",IF(AND($I1101&gt;0,$J1101&gt;0),"수입·지출 둘 다 적혔습니다",IF($C1101="","결제수단을 고르십시오",IF(ISNA(MATCH($C1101,'통합 ③ 통장·카드'!$A$5:$A$11,0)),"③ 통장·카드에 없는 결제수단입니다",IF($D1101="","계정과목을 고르십시오",IF($E1101="※없는 과목","④ 설정에 없는 과목입니다",IF(AND($E1101="수입",$J1101&gt;0),"수입 과목인데 지출에 적혔습니다",IF(AND(LEFT($E1101,2)&lt;&gt;"수입",$E1101&lt;&gt;"대체",$I1101&gt;0),"지출 과목인데 수입에 적혔습니다",IF($K1101="","증빙을 고르십시오",IF(AND($C1101="바우처통장",$J1101&gt;0,IFERROR(INDEX('통합 ④ 설정'!$E$6:$E$40,MATCH($D1101,'통합 ④ 설정'!$B$6:$B$40,0)),"")&lt;&gt;"○"),"바우처통장 지출 — 목적 확인",IF($H1101="","적요를 적으십시오",""))))))))))))</f>
        <v/>
      </c>
      <c r="M1101" s="39"/>
      <c r="O1101" s="11" t="str">
        <f aca="false">IF($B1101="","",YEAR($B1101)*100+MONTH($B1101))</f>
        <v/>
      </c>
      <c r="P1101" s="11" t="str">
        <f aca="false">IF($B1101="","",IF($E1101="대체",0,1))</f>
        <v/>
      </c>
    </row>
    <row r="1102" customFormat="false" ht="15" hidden="false" customHeight="false" outlineLevel="0" collapsed="false">
      <c r="A1102" s="36" t="str">
        <f aca="false">IF($B1102="","",COUNT($B$15:$B1102))</f>
        <v/>
      </c>
      <c r="B1102" s="37"/>
      <c r="C1102" s="38"/>
      <c r="D1102" s="39"/>
      <c r="E1102" s="36" t="str">
        <f aca="false">IF($D1102="","",IFERROR(INDEX('통합 ④ 설정'!$A$6:$A$40,MATCH($D1102,'통합 ④ 설정'!$B$6:$B$40,0)),"※없는 과목"))</f>
        <v/>
      </c>
      <c r="F1102" s="36" t="str">
        <f aca="false">IF($D1102="","",IFERROR(INDEX('통합 ④ 설정'!$C$6:$C$40,MATCH($D1102,'통합 ④ 설정'!$B$6:$B$40,0)),""))</f>
        <v/>
      </c>
      <c r="G1102" s="39"/>
      <c r="H1102" s="39"/>
      <c r="I1102" s="40"/>
      <c r="J1102" s="41"/>
      <c r="K1102" s="38"/>
      <c r="L1102" s="42" t="str">
        <f aca="false">IF($B1102="","",IF(AND(N($I1102)=0,N($J1102)=0),"금액이 없습니다",IF(AND($I1102&gt;0,$J1102&gt;0),"수입·지출 둘 다 적혔습니다",IF($C1102="","결제수단을 고르십시오",IF(ISNA(MATCH($C1102,'통합 ③ 통장·카드'!$A$5:$A$11,0)),"③ 통장·카드에 없는 결제수단입니다",IF($D1102="","계정과목을 고르십시오",IF($E1102="※없는 과목","④ 설정에 없는 과목입니다",IF(AND($E1102="수입",$J1102&gt;0),"수입 과목인데 지출에 적혔습니다",IF(AND(LEFT($E1102,2)&lt;&gt;"수입",$E1102&lt;&gt;"대체",$I1102&gt;0),"지출 과목인데 수입에 적혔습니다",IF($K1102="","증빙을 고르십시오",IF(AND($C1102="바우처통장",$J1102&gt;0,IFERROR(INDEX('통합 ④ 설정'!$E$6:$E$40,MATCH($D1102,'통합 ④ 설정'!$B$6:$B$40,0)),"")&lt;&gt;"○"),"바우처통장 지출 — 목적 확인",IF($H1102="","적요를 적으십시오",""))))))))))))</f>
        <v/>
      </c>
      <c r="M1102" s="39"/>
      <c r="O1102" s="11" t="str">
        <f aca="false">IF($B1102="","",YEAR($B1102)*100+MONTH($B1102))</f>
        <v/>
      </c>
      <c r="P1102" s="11" t="str">
        <f aca="false">IF($B1102="","",IF($E1102="대체",0,1))</f>
        <v/>
      </c>
    </row>
    <row r="1103" customFormat="false" ht="15" hidden="false" customHeight="false" outlineLevel="0" collapsed="false">
      <c r="A1103" s="36" t="str">
        <f aca="false">IF($B1103="","",COUNT($B$15:$B1103))</f>
        <v/>
      </c>
      <c r="B1103" s="37"/>
      <c r="C1103" s="38"/>
      <c r="D1103" s="39"/>
      <c r="E1103" s="36" t="str">
        <f aca="false">IF($D1103="","",IFERROR(INDEX('통합 ④ 설정'!$A$6:$A$40,MATCH($D1103,'통합 ④ 설정'!$B$6:$B$40,0)),"※없는 과목"))</f>
        <v/>
      </c>
      <c r="F1103" s="36" t="str">
        <f aca="false">IF($D1103="","",IFERROR(INDEX('통합 ④ 설정'!$C$6:$C$40,MATCH($D1103,'통합 ④ 설정'!$B$6:$B$40,0)),""))</f>
        <v/>
      </c>
      <c r="G1103" s="39"/>
      <c r="H1103" s="39"/>
      <c r="I1103" s="40"/>
      <c r="J1103" s="41"/>
      <c r="K1103" s="38"/>
      <c r="L1103" s="42" t="str">
        <f aca="false">IF($B1103="","",IF(AND(N($I1103)=0,N($J1103)=0),"금액이 없습니다",IF(AND($I1103&gt;0,$J1103&gt;0),"수입·지출 둘 다 적혔습니다",IF($C1103="","결제수단을 고르십시오",IF(ISNA(MATCH($C1103,'통합 ③ 통장·카드'!$A$5:$A$11,0)),"③ 통장·카드에 없는 결제수단입니다",IF($D1103="","계정과목을 고르십시오",IF($E1103="※없는 과목","④ 설정에 없는 과목입니다",IF(AND($E1103="수입",$J1103&gt;0),"수입 과목인데 지출에 적혔습니다",IF(AND(LEFT($E1103,2)&lt;&gt;"수입",$E1103&lt;&gt;"대체",$I1103&gt;0),"지출 과목인데 수입에 적혔습니다",IF($K1103="","증빙을 고르십시오",IF(AND($C1103="바우처통장",$J1103&gt;0,IFERROR(INDEX('통합 ④ 설정'!$E$6:$E$40,MATCH($D1103,'통합 ④ 설정'!$B$6:$B$40,0)),"")&lt;&gt;"○"),"바우처통장 지출 — 목적 확인",IF($H1103="","적요를 적으십시오",""))))))))))))</f>
        <v/>
      </c>
      <c r="M1103" s="39"/>
      <c r="O1103" s="11" t="str">
        <f aca="false">IF($B1103="","",YEAR($B1103)*100+MONTH($B1103))</f>
        <v/>
      </c>
      <c r="P1103" s="11" t="str">
        <f aca="false">IF($B1103="","",IF($E1103="대체",0,1))</f>
        <v/>
      </c>
    </row>
    <row r="1104" customFormat="false" ht="15" hidden="false" customHeight="false" outlineLevel="0" collapsed="false">
      <c r="A1104" s="36" t="str">
        <f aca="false">IF($B1104="","",COUNT($B$15:$B1104))</f>
        <v/>
      </c>
      <c r="B1104" s="37"/>
      <c r="C1104" s="38"/>
      <c r="D1104" s="39"/>
      <c r="E1104" s="36" t="str">
        <f aca="false">IF($D1104="","",IFERROR(INDEX('통합 ④ 설정'!$A$6:$A$40,MATCH($D1104,'통합 ④ 설정'!$B$6:$B$40,0)),"※없는 과목"))</f>
        <v/>
      </c>
      <c r="F1104" s="36" t="str">
        <f aca="false">IF($D1104="","",IFERROR(INDEX('통합 ④ 설정'!$C$6:$C$40,MATCH($D1104,'통합 ④ 설정'!$B$6:$B$40,0)),""))</f>
        <v/>
      </c>
      <c r="G1104" s="39"/>
      <c r="H1104" s="39"/>
      <c r="I1104" s="40"/>
      <c r="J1104" s="41"/>
      <c r="K1104" s="38"/>
      <c r="L1104" s="42" t="str">
        <f aca="false">IF($B1104="","",IF(AND(N($I1104)=0,N($J1104)=0),"금액이 없습니다",IF(AND($I1104&gt;0,$J1104&gt;0),"수입·지출 둘 다 적혔습니다",IF($C1104="","결제수단을 고르십시오",IF(ISNA(MATCH($C1104,'통합 ③ 통장·카드'!$A$5:$A$11,0)),"③ 통장·카드에 없는 결제수단입니다",IF($D1104="","계정과목을 고르십시오",IF($E1104="※없는 과목","④ 설정에 없는 과목입니다",IF(AND($E1104="수입",$J1104&gt;0),"수입 과목인데 지출에 적혔습니다",IF(AND(LEFT($E1104,2)&lt;&gt;"수입",$E1104&lt;&gt;"대체",$I1104&gt;0),"지출 과목인데 수입에 적혔습니다",IF($K1104="","증빙을 고르십시오",IF(AND($C1104="바우처통장",$J1104&gt;0,IFERROR(INDEX('통합 ④ 설정'!$E$6:$E$40,MATCH($D1104,'통합 ④ 설정'!$B$6:$B$40,0)),"")&lt;&gt;"○"),"바우처통장 지출 — 목적 확인",IF($H1104="","적요를 적으십시오",""))))))))))))</f>
        <v/>
      </c>
      <c r="M1104" s="39"/>
      <c r="O1104" s="11" t="str">
        <f aca="false">IF($B1104="","",YEAR($B1104)*100+MONTH($B1104))</f>
        <v/>
      </c>
      <c r="P1104" s="11" t="str">
        <f aca="false">IF($B1104="","",IF($E1104="대체",0,1))</f>
        <v/>
      </c>
    </row>
    <row r="1105" customFormat="false" ht="15" hidden="false" customHeight="false" outlineLevel="0" collapsed="false">
      <c r="A1105" s="36" t="str">
        <f aca="false">IF($B1105="","",COUNT($B$15:$B1105))</f>
        <v/>
      </c>
      <c r="B1105" s="37"/>
      <c r="C1105" s="38"/>
      <c r="D1105" s="39"/>
      <c r="E1105" s="36" t="str">
        <f aca="false">IF($D1105="","",IFERROR(INDEX('통합 ④ 설정'!$A$6:$A$40,MATCH($D1105,'통합 ④ 설정'!$B$6:$B$40,0)),"※없는 과목"))</f>
        <v/>
      </c>
      <c r="F1105" s="36" t="str">
        <f aca="false">IF($D1105="","",IFERROR(INDEX('통합 ④ 설정'!$C$6:$C$40,MATCH($D1105,'통합 ④ 설정'!$B$6:$B$40,0)),""))</f>
        <v/>
      </c>
      <c r="G1105" s="39"/>
      <c r="H1105" s="39"/>
      <c r="I1105" s="40"/>
      <c r="J1105" s="41"/>
      <c r="K1105" s="38"/>
      <c r="L1105" s="42" t="str">
        <f aca="false">IF($B1105="","",IF(AND(N($I1105)=0,N($J1105)=0),"금액이 없습니다",IF(AND($I1105&gt;0,$J1105&gt;0),"수입·지출 둘 다 적혔습니다",IF($C1105="","결제수단을 고르십시오",IF(ISNA(MATCH($C1105,'통합 ③ 통장·카드'!$A$5:$A$11,0)),"③ 통장·카드에 없는 결제수단입니다",IF($D1105="","계정과목을 고르십시오",IF($E1105="※없는 과목","④ 설정에 없는 과목입니다",IF(AND($E1105="수입",$J1105&gt;0),"수입 과목인데 지출에 적혔습니다",IF(AND(LEFT($E1105,2)&lt;&gt;"수입",$E1105&lt;&gt;"대체",$I1105&gt;0),"지출 과목인데 수입에 적혔습니다",IF($K1105="","증빙을 고르십시오",IF(AND($C1105="바우처통장",$J1105&gt;0,IFERROR(INDEX('통합 ④ 설정'!$E$6:$E$40,MATCH($D1105,'통합 ④ 설정'!$B$6:$B$40,0)),"")&lt;&gt;"○"),"바우처통장 지출 — 목적 확인",IF($H1105="","적요를 적으십시오",""))))))))))))</f>
        <v/>
      </c>
      <c r="M1105" s="39"/>
      <c r="O1105" s="11" t="str">
        <f aca="false">IF($B1105="","",YEAR($B1105)*100+MONTH($B1105))</f>
        <v/>
      </c>
      <c r="P1105" s="11" t="str">
        <f aca="false">IF($B1105="","",IF($E1105="대체",0,1))</f>
        <v/>
      </c>
    </row>
    <row r="1106" customFormat="false" ht="15" hidden="false" customHeight="false" outlineLevel="0" collapsed="false">
      <c r="A1106" s="36" t="str">
        <f aca="false">IF($B1106="","",COUNT($B$15:$B1106))</f>
        <v/>
      </c>
      <c r="B1106" s="37"/>
      <c r="C1106" s="38"/>
      <c r="D1106" s="39"/>
      <c r="E1106" s="36" t="str">
        <f aca="false">IF($D1106="","",IFERROR(INDEX('통합 ④ 설정'!$A$6:$A$40,MATCH($D1106,'통합 ④ 설정'!$B$6:$B$40,0)),"※없는 과목"))</f>
        <v/>
      </c>
      <c r="F1106" s="36" t="str">
        <f aca="false">IF($D1106="","",IFERROR(INDEX('통합 ④ 설정'!$C$6:$C$40,MATCH($D1106,'통합 ④ 설정'!$B$6:$B$40,0)),""))</f>
        <v/>
      </c>
      <c r="G1106" s="39"/>
      <c r="H1106" s="39"/>
      <c r="I1106" s="40"/>
      <c r="J1106" s="41"/>
      <c r="K1106" s="38"/>
      <c r="L1106" s="42" t="str">
        <f aca="false">IF($B1106="","",IF(AND(N($I1106)=0,N($J1106)=0),"금액이 없습니다",IF(AND($I1106&gt;0,$J1106&gt;0),"수입·지출 둘 다 적혔습니다",IF($C1106="","결제수단을 고르십시오",IF(ISNA(MATCH($C1106,'통합 ③ 통장·카드'!$A$5:$A$11,0)),"③ 통장·카드에 없는 결제수단입니다",IF($D1106="","계정과목을 고르십시오",IF($E1106="※없는 과목","④ 설정에 없는 과목입니다",IF(AND($E1106="수입",$J1106&gt;0),"수입 과목인데 지출에 적혔습니다",IF(AND(LEFT($E1106,2)&lt;&gt;"수입",$E1106&lt;&gt;"대체",$I1106&gt;0),"지출 과목인데 수입에 적혔습니다",IF($K1106="","증빙을 고르십시오",IF(AND($C1106="바우처통장",$J1106&gt;0,IFERROR(INDEX('통합 ④ 설정'!$E$6:$E$40,MATCH($D1106,'통합 ④ 설정'!$B$6:$B$40,0)),"")&lt;&gt;"○"),"바우처통장 지출 — 목적 확인",IF($H1106="","적요를 적으십시오",""))))))))))))</f>
        <v/>
      </c>
      <c r="M1106" s="39"/>
      <c r="O1106" s="11" t="str">
        <f aca="false">IF($B1106="","",YEAR($B1106)*100+MONTH($B1106))</f>
        <v/>
      </c>
      <c r="P1106" s="11" t="str">
        <f aca="false">IF($B1106="","",IF($E1106="대체",0,1))</f>
        <v/>
      </c>
    </row>
    <row r="1107" customFormat="false" ht="15" hidden="false" customHeight="false" outlineLevel="0" collapsed="false">
      <c r="A1107" s="36" t="str">
        <f aca="false">IF($B1107="","",COUNT($B$15:$B1107))</f>
        <v/>
      </c>
      <c r="B1107" s="37"/>
      <c r="C1107" s="38"/>
      <c r="D1107" s="39"/>
      <c r="E1107" s="36" t="str">
        <f aca="false">IF($D1107="","",IFERROR(INDEX('통합 ④ 설정'!$A$6:$A$40,MATCH($D1107,'통합 ④ 설정'!$B$6:$B$40,0)),"※없는 과목"))</f>
        <v/>
      </c>
      <c r="F1107" s="36" t="str">
        <f aca="false">IF($D1107="","",IFERROR(INDEX('통합 ④ 설정'!$C$6:$C$40,MATCH($D1107,'통합 ④ 설정'!$B$6:$B$40,0)),""))</f>
        <v/>
      </c>
      <c r="G1107" s="39"/>
      <c r="H1107" s="39"/>
      <c r="I1107" s="40"/>
      <c r="J1107" s="41"/>
      <c r="K1107" s="38"/>
      <c r="L1107" s="42" t="str">
        <f aca="false">IF($B1107="","",IF(AND(N($I1107)=0,N($J1107)=0),"금액이 없습니다",IF(AND($I1107&gt;0,$J1107&gt;0),"수입·지출 둘 다 적혔습니다",IF($C1107="","결제수단을 고르십시오",IF(ISNA(MATCH($C1107,'통합 ③ 통장·카드'!$A$5:$A$11,0)),"③ 통장·카드에 없는 결제수단입니다",IF($D1107="","계정과목을 고르십시오",IF($E1107="※없는 과목","④ 설정에 없는 과목입니다",IF(AND($E1107="수입",$J1107&gt;0),"수입 과목인데 지출에 적혔습니다",IF(AND(LEFT($E1107,2)&lt;&gt;"수입",$E1107&lt;&gt;"대체",$I1107&gt;0),"지출 과목인데 수입에 적혔습니다",IF($K1107="","증빙을 고르십시오",IF(AND($C1107="바우처통장",$J1107&gt;0,IFERROR(INDEX('통합 ④ 설정'!$E$6:$E$40,MATCH($D1107,'통합 ④ 설정'!$B$6:$B$40,0)),"")&lt;&gt;"○"),"바우처통장 지출 — 목적 확인",IF($H1107="","적요를 적으십시오",""))))))))))))</f>
        <v/>
      </c>
      <c r="M1107" s="39"/>
      <c r="O1107" s="11" t="str">
        <f aca="false">IF($B1107="","",YEAR($B1107)*100+MONTH($B1107))</f>
        <v/>
      </c>
      <c r="P1107" s="11" t="str">
        <f aca="false">IF($B1107="","",IF($E1107="대체",0,1))</f>
        <v/>
      </c>
    </row>
    <row r="1108" customFormat="false" ht="15" hidden="false" customHeight="false" outlineLevel="0" collapsed="false">
      <c r="A1108" s="36" t="str">
        <f aca="false">IF($B1108="","",COUNT($B$15:$B1108))</f>
        <v/>
      </c>
      <c r="B1108" s="37"/>
      <c r="C1108" s="38"/>
      <c r="D1108" s="39"/>
      <c r="E1108" s="36" t="str">
        <f aca="false">IF($D1108="","",IFERROR(INDEX('통합 ④ 설정'!$A$6:$A$40,MATCH($D1108,'통합 ④ 설정'!$B$6:$B$40,0)),"※없는 과목"))</f>
        <v/>
      </c>
      <c r="F1108" s="36" t="str">
        <f aca="false">IF($D1108="","",IFERROR(INDEX('통합 ④ 설정'!$C$6:$C$40,MATCH($D1108,'통합 ④ 설정'!$B$6:$B$40,0)),""))</f>
        <v/>
      </c>
      <c r="G1108" s="39"/>
      <c r="H1108" s="39"/>
      <c r="I1108" s="40"/>
      <c r="J1108" s="41"/>
      <c r="K1108" s="38"/>
      <c r="L1108" s="42" t="str">
        <f aca="false">IF($B1108="","",IF(AND(N($I1108)=0,N($J1108)=0),"금액이 없습니다",IF(AND($I1108&gt;0,$J1108&gt;0),"수입·지출 둘 다 적혔습니다",IF($C1108="","결제수단을 고르십시오",IF(ISNA(MATCH($C1108,'통합 ③ 통장·카드'!$A$5:$A$11,0)),"③ 통장·카드에 없는 결제수단입니다",IF($D1108="","계정과목을 고르십시오",IF($E1108="※없는 과목","④ 설정에 없는 과목입니다",IF(AND($E1108="수입",$J1108&gt;0),"수입 과목인데 지출에 적혔습니다",IF(AND(LEFT($E1108,2)&lt;&gt;"수입",$E1108&lt;&gt;"대체",$I1108&gt;0),"지출 과목인데 수입에 적혔습니다",IF($K1108="","증빙을 고르십시오",IF(AND($C1108="바우처통장",$J1108&gt;0,IFERROR(INDEX('통합 ④ 설정'!$E$6:$E$40,MATCH($D1108,'통합 ④ 설정'!$B$6:$B$40,0)),"")&lt;&gt;"○"),"바우처통장 지출 — 목적 확인",IF($H1108="","적요를 적으십시오",""))))))))))))</f>
        <v/>
      </c>
      <c r="M1108" s="39"/>
      <c r="O1108" s="11" t="str">
        <f aca="false">IF($B1108="","",YEAR($B1108)*100+MONTH($B1108))</f>
        <v/>
      </c>
      <c r="P1108" s="11" t="str">
        <f aca="false">IF($B1108="","",IF($E1108="대체",0,1))</f>
        <v/>
      </c>
    </row>
    <row r="1109" customFormat="false" ht="15" hidden="false" customHeight="false" outlineLevel="0" collapsed="false">
      <c r="A1109" s="36" t="str">
        <f aca="false">IF($B1109="","",COUNT($B$15:$B1109))</f>
        <v/>
      </c>
      <c r="B1109" s="37"/>
      <c r="C1109" s="38"/>
      <c r="D1109" s="39"/>
      <c r="E1109" s="36" t="str">
        <f aca="false">IF($D1109="","",IFERROR(INDEX('통합 ④ 설정'!$A$6:$A$40,MATCH($D1109,'통합 ④ 설정'!$B$6:$B$40,0)),"※없는 과목"))</f>
        <v/>
      </c>
      <c r="F1109" s="36" t="str">
        <f aca="false">IF($D1109="","",IFERROR(INDEX('통합 ④ 설정'!$C$6:$C$40,MATCH($D1109,'통합 ④ 설정'!$B$6:$B$40,0)),""))</f>
        <v/>
      </c>
      <c r="G1109" s="39"/>
      <c r="H1109" s="39"/>
      <c r="I1109" s="40"/>
      <c r="J1109" s="41"/>
      <c r="K1109" s="38"/>
      <c r="L1109" s="42" t="str">
        <f aca="false">IF($B1109="","",IF(AND(N($I1109)=0,N($J1109)=0),"금액이 없습니다",IF(AND($I1109&gt;0,$J1109&gt;0),"수입·지출 둘 다 적혔습니다",IF($C1109="","결제수단을 고르십시오",IF(ISNA(MATCH($C1109,'통합 ③ 통장·카드'!$A$5:$A$11,0)),"③ 통장·카드에 없는 결제수단입니다",IF($D1109="","계정과목을 고르십시오",IF($E1109="※없는 과목","④ 설정에 없는 과목입니다",IF(AND($E1109="수입",$J1109&gt;0),"수입 과목인데 지출에 적혔습니다",IF(AND(LEFT($E1109,2)&lt;&gt;"수입",$E1109&lt;&gt;"대체",$I1109&gt;0),"지출 과목인데 수입에 적혔습니다",IF($K1109="","증빙을 고르십시오",IF(AND($C1109="바우처통장",$J1109&gt;0,IFERROR(INDEX('통합 ④ 설정'!$E$6:$E$40,MATCH($D1109,'통합 ④ 설정'!$B$6:$B$40,0)),"")&lt;&gt;"○"),"바우처통장 지출 — 목적 확인",IF($H1109="","적요를 적으십시오",""))))))))))))</f>
        <v/>
      </c>
      <c r="M1109" s="39"/>
      <c r="O1109" s="11" t="str">
        <f aca="false">IF($B1109="","",YEAR($B1109)*100+MONTH($B1109))</f>
        <v/>
      </c>
      <c r="P1109" s="11" t="str">
        <f aca="false">IF($B1109="","",IF($E1109="대체",0,1))</f>
        <v/>
      </c>
    </row>
    <row r="1110" customFormat="false" ht="15" hidden="false" customHeight="false" outlineLevel="0" collapsed="false">
      <c r="A1110" s="36" t="str">
        <f aca="false">IF($B1110="","",COUNT($B$15:$B1110))</f>
        <v/>
      </c>
      <c r="B1110" s="37"/>
      <c r="C1110" s="38"/>
      <c r="D1110" s="39"/>
      <c r="E1110" s="36" t="str">
        <f aca="false">IF($D1110="","",IFERROR(INDEX('통합 ④ 설정'!$A$6:$A$40,MATCH($D1110,'통합 ④ 설정'!$B$6:$B$40,0)),"※없는 과목"))</f>
        <v/>
      </c>
      <c r="F1110" s="36" t="str">
        <f aca="false">IF($D1110="","",IFERROR(INDEX('통합 ④ 설정'!$C$6:$C$40,MATCH($D1110,'통합 ④ 설정'!$B$6:$B$40,0)),""))</f>
        <v/>
      </c>
      <c r="G1110" s="39"/>
      <c r="H1110" s="39"/>
      <c r="I1110" s="40"/>
      <c r="J1110" s="41"/>
      <c r="K1110" s="38"/>
      <c r="L1110" s="42" t="str">
        <f aca="false">IF($B1110="","",IF(AND(N($I1110)=0,N($J1110)=0),"금액이 없습니다",IF(AND($I1110&gt;0,$J1110&gt;0),"수입·지출 둘 다 적혔습니다",IF($C1110="","결제수단을 고르십시오",IF(ISNA(MATCH($C1110,'통합 ③ 통장·카드'!$A$5:$A$11,0)),"③ 통장·카드에 없는 결제수단입니다",IF($D1110="","계정과목을 고르십시오",IF($E1110="※없는 과목","④ 설정에 없는 과목입니다",IF(AND($E1110="수입",$J1110&gt;0),"수입 과목인데 지출에 적혔습니다",IF(AND(LEFT($E1110,2)&lt;&gt;"수입",$E1110&lt;&gt;"대체",$I1110&gt;0),"지출 과목인데 수입에 적혔습니다",IF($K1110="","증빙을 고르십시오",IF(AND($C1110="바우처통장",$J1110&gt;0,IFERROR(INDEX('통합 ④ 설정'!$E$6:$E$40,MATCH($D1110,'통합 ④ 설정'!$B$6:$B$40,0)),"")&lt;&gt;"○"),"바우처통장 지출 — 목적 확인",IF($H1110="","적요를 적으십시오",""))))))))))))</f>
        <v/>
      </c>
      <c r="M1110" s="39"/>
      <c r="O1110" s="11" t="str">
        <f aca="false">IF($B1110="","",YEAR($B1110)*100+MONTH($B1110))</f>
        <v/>
      </c>
      <c r="P1110" s="11" t="str">
        <f aca="false">IF($B1110="","",IF($E1110="대체",0,1))</f>
        <v/>
      </c>
    </row>
    <row r="1111" customFormat="false" ht="15" hidden="false" customHeight="false" outlineLevel="0" collapsed="false">
      <c r="A1111" s="36" t="str">
        <f aca="false">IF($B1111="","",COUNT($B$15:$B1111))</f>
        <v/>
      </c>
      <c r="B1111" s="37"/>
      <c r="C1111" s="38"/>
      <c r="D1111" s="39"/>
      <c r="E1111" s="36" t="str">
        <f aca="false">IF($D1111="","",IFERROR(INDEX('통합 ④ 설정'!$A$6:$A$40,MATCH($D1111,'통합 ④ 설정'!$B$6:$B$40,0)),"※없는 과목"))</f>
        <v/>
      </c>
      <c r="F1111" s="36" t="str">
        <f aca="false">IF($D1111="","",IFERROR(INDEX('통합 ④ 설정'!$C$6:$C$40,MATCH($D1111,'통합 ④ 설정'!$B$6:$B$40,0)),""))</f>
        <v/>
      </c>
      <c r="G1111" s="39"/>
      <c r="H1111" s="39"/>
      <c r="I1111" s="40"/>
      <c r="J1111" s="41"/>
      <c r="K1111" s="38"/>
      <c r="L1111" s="42" t="str">
        <f aca="false">IF($B1111="","",IF(AND(N($I1111)=0,N($J1111)=0),"금액이 없습니다",IF(AND($I1111&gt;0,$J1111&gt;0),"수입·지출 둘 다 적혔습니다",IF($C1111="","결제수단을 고르십시오",IF(ISNA(MATCH($C1111,'통합 ③ 통장·카드'!$A$5:$A$11,0)),"③ 통장·카드에 없는 결제수단입니다",IF($D1111="","계정과목을 고르십시오",IF($E1111="※없는 과목","④ 설정에 없는 과목입니다",IF(AND($E1111="수입",$J1111&gt;0),"수입 과목인데 지출에 적혔습니다",IF(AND(LEFT($E1111,2)&lt;&gt;"수입",$E1111&lt;&gt;"대체",$I1111&gt;0),"지출 과목인데 수입에 적혔습니다",IF($K1111="","증빙을 고르십시오",IF(AND($C1111="바우처통장",$J1111&gt;0,IFERROR(INDEX('통합 ④ 설정'!$E$6:$E$40,MATCH($D1111,'통합 ④ 설정'!$B$6:$B$40,0)),"")&lt;&gt;"○"),"바우처통장 지출 — 목적 확인",IF($H1111="","적요를 적으십시오",""))))))))))))</f>
        <v/>
      </c>
      <c r="M1111" s="39"/>
      <c r="O1111" s="11" t="str">
        <f aca="false">IF($B1111="","",YEAR($B1111)*100+MONTH($B1111))</f>
        <v/>
      </c>
      <c r="P1111" s="11" t="str">
        <f aca="false">IF($B1111="","",IF($E1111="대체",0,1))</f>
        <v/>
      </c>
    </row>
    <row r="1112" customFormat="false" ht="15" hidden="false" customHeight="false" outlineLevel="0" collapsed="false">
      <c r="A1112" s="36" t="str">
        <f aca="false">IF($B1112="","",COUNT($B$15:$B1112))</f>
        <v/>
      </c>
      <c r="B1112" s="37"/>
      <c r="C1112" s="38"/>
      <c r="D1112" s="39"/>
      <c r="E1112" s="36" t="str">
        <f aca="false">IF($D1112="","",IFERROR(INDEX('통합 ④ 설정'!$A$6:$A$40,MATCH($D1112,'통합 ④ 설정'!$B$6:$B$40,0)),"※없는 과목"))</f>
        <v/>
      </c>
      <c r="F1112" s="36" t="str">
        <f aca="false">IF($D1112="","",IFERROR(INDEX('통합 ④ 설정'!$C$6:$C$40,MATCH($D1112,'통합 ④ 설정'!$B$6:$B$40,0)),""))</f>
        <v/>
      </c>
      <c r="G1112" s="39"/>
      <c r="H1112" s="39"/>
      <c r="I1112" s="40"/>
      <c r="J1112" s="41"/>
      <c r="K1112" s="38"/>
      <c r="L1112" s="42" t="str">
        <f aca="false">IF($B1112="","",IF(AND(N($I1112)=0,N($J1112)=0),"금액이 없습니다",IF(AND($I1112&gt;0,$J1112&gt;0),"수입·지출 둘 다 적혔습니다",IF($C1112="","결제수단을 고르십시오",IF(ISNA(MATCH($C1112,'통합 ③ 통장·카드'!$A$5:$A$11,0)),"③ 통장·카드에 없는 결제수단입니다",IF($D1112="","계정과목을 고르십시오",IF($E1112="※없는 과목","④ 설정에 없는 과목입니다",IF(AND($E1112="수입",$J1112&gt;0),"수입 과목인데 지출에 적혔습니다",IF(AND(LEFT($E1112,2)&lt;&gt;"수입",$E1112&lt;&gt;"대체",$I1112&gt;0),"지출 과목인데 수입에 적혔습니다",IF($K1112="","증빙을 고르십시오",IF(AND($C1112="바우처통장",$J1112&gt;0,IFERROR(INDEX('통합 ④ 설정'!$E$6:$E$40,MATCH($D1112,'통합 ④ 설정'!$B$6:$B$40,0)),"")&lt;&gt;"○"),"바우처통장 지출 — 목적 확인",IF($H1112="","적요를 적으십시오",""))))))))))))</f>
        <v/>
      </c>
      <c r="M1112" s="39"/>
      <c r="O1112" s="11" t="str">
        <f aca="false">IF($B1112="","",YEAR($B1112)*100+MONTH($B1112))</f>
        <v/>
      </c>
      <c r="P1112" s="11" t="str">
        <f aca="false">IF($B1112="","",IF($E1112="대체",0,1))</f>
        <v/>
      </c>
    </row>
    <row r="1113" customFormat="false" ht="15" hidden="false" customHeight="false" outlineLevel="0" collapsed="false">
      <c r="A1113" s="36" t="str">
        <f aca="false">IF($B1113="","",COUNT($B$15:$B1113))</f>
        <v/>
      </c>
      <c r="B1113" s="37"/>
      <c r="C1113" s="38"/>
      <c r="D1113" s="39"/>
      <c r="E1113" s="36" t="str">
        <f aca="false">IF($D1113="","",IFERROR(INDEX('통합 ④ 설정'!$A$6:$A$40,MATCH($D1113,'통합 ④ 설정'!$B$6:$B$40,0)),"※없는 과목"))</f>
        <v/>
      </c>
      <c r="F1113" s="36" t="str">
        <f aca="false">IF($D1113="","",IFERROR(INDEX('통합 ④ 설정'!$C$6:$C$40,MATCH($D1113,'통합 ④ 설정'!$B$6:$B$40,0)),""))</f>
        <v/>
      </c>
      <c r="G1113" s="39"/>
      <c r="H1113" s="39"/>
      <c r="I1113" s="40"/>
      <c r="J1113" s="41"/>
      <c r="K1113" s="38"/>
      <c r="L1113" s="42" t="str">
        <f aca="false">IF($B1113="","",IF(AND(N($I1113)=0,N($J1113)=0),"금액이 없습니다",IF(AND($I1113&gt;0,$J1113&gt;0),"수입·지출 둘 다 적혔습니다",IF($C1113="","결제수단을 고르십시오",IF(ISNA(MATCH($C1113,'통합 ③ 통장·카드'!$A$5:$A$11,0)),"③ 통장·카드에 없는 결제수단입니다",IF($D1113="","계정과목을 고르십시오",IF($E1113="※없는 과목","④ 설정에 없는 과목입니다",IF(AND($E1113="수입",$J1113&gt;0),"수입 과목인데 지출에 적혔습니다",IF(AND(LEFT($E1113,2)&lt;&gt;"수입",$E1113&lt;&gt;"대체",$I1113&gt;0),"지출 과목인데 수입에 적혔습니다",IF($K1113="","증빙을 고르십시오",IF(AND($C1113="바우처통장",$J1113&gt;0,IFERROR(INDEX('통합 ④ 설정'!$E$6:$E$40,MATCH($D1113,'통합 ④ 설정'!$B$6:$B$40,0)),"")&lt;&gt;"○"),"바우처통장 지출 — 목적 확인",IF($H1113="","적요를 적으십시오",""))))))))))))</f>
        <v/>
      </c>
      <c r="M1113" s="39"/>
      <c r="O1113" s="11" t="str">
        <f aca="false">IF($B1113="","",YEAR($B1113)*100+MONTH($B1113))</f>
        <v/>
      </c>
      <c r="P1113" s="11" t="str">
        <f aca="false">IF($B1113="","",IF($E1113="대체",0,1))</f>
        <v/>
      </c>
    </row>
    <row r="1114" customFormat="false" ht="15" hidden="false" customHeight="false" outlineLevel="0" collapsed="false">
      <c r="A1114" s="36" t="str">
        <f aca="false">IF($B1114="","",COUNT($B$15:$B1114))</f>
        <v/>
      </c>
      <c r="B1114" s="37"/>
      <c r="C1114" s="38"/>
      <c r="D1114" s="39"/>
      <c r="E1114" s="36" t="str">
        <f aca="false">IF($D1114="","",IFERROR(INDEX('통합 ④ 설정'!$A$6:$A$40,MATCH($D1114,'통합 ④ 설정'!$B$6:$B$40,0)),"※없는 과목"))</f>
        <v/>
      </c>
      <c r="F1114" s="36" t="str">
        <f aca="false">IF($D1114="","",IFERROR(INDEX('통합 ④ 설정'!$C$6:$C$40,MATCH($D1114,'통합 ④ 설정'!$B$6:$B$40,0)),""))</f>
        <v/>
      </c>
      <c r="G1114" s="39"/>
      <c r="H1114" s="39"/>
      <c r="I1114" s="40"/>
      <c r="J1114" s="41"/>
      <c r="K1114" s="38"/>
      <c r="L1114" s="42" t="str">
        <f aca="false">IF($B1114="","",IF(AND(N($I1114)=0,N($J1114)=0),"금액이 없습니다",IF(AND($I1114&gt;0,$J1114&gt;0),"수입·지출 둘 다 적혔습니다",IF($C1114="","결제수단을 고르십시오",IF(ISNA(MATCH($C1114,'통합 ③ 통장·카드'!$A$5:$A$11,0)),"③ 통장·카드에 없는 결제수단입니다",IF($D1114="","계정과목을 고르십시오",IF($E1114="※없는 과목","④ 설정에 없는 과목입니다",IF(AND($E1114="수입",$J1114&gt;0),"수입 과목인데 지출에 적혔습니다",IF(AND(LEFT($E1114,2)&lt;&gt;"수입",$E1114&lt;&gt;"대체",$I1114&gt;0),"지출 과목인데 수입에 적혔습니다",IF($K1114="","증빙을 고르십시오",IF(AND($C1114="바우처통장",$J1114&gt;0,IFERROR(INDEX('통합 ④ 설정'!$E$6:$E$40,MATCH($D1114,'통합 ④ 설정'!$B$6:$B$40,0)),"")&lt;&gt;"○"),"바우처통장 지출 — 목적 확인",IF($H1114="","적요를 적으십시오",""))))))))))))</f>
        <v/>
      </c>
      <c r="M1114" s="39"/>
      <c r="O1114" s="11" t="str">
        <f aca="false">IF($B1114="","",YEAR($B1114)*100+MONTH($B1114))</f>
        <v/>
      </c>
      <c r="P1114" s="11" t="str">
        <f aca="false">IF($B1114="","",IF($E1114="대체",0,1))</f>
        <v/>
      </c>
    </row>
    <row r="1115" customFormat="false" ht="15" hidden="false" customHeight="false" outlineLevel="0" collapsed="false">
      <c r="A1115" s="36" t="str">
        <f aca="false">IF($B1115="","",COUNT($B$15:$B1115))</f>
        <v/>
      </c>
      <c r="B1115" s="37"/>
      <c r="C1115" s="38"/>
      <c r="D1115" s="39"/>
      <c r="E1115" s="36" t="str">
        <f aca="false">IF($D1115="","",IFERROR(INDEX('통합 ④ 설정'!$A$6:$A$40,MATCH($D1115,'통합 ④ 설정'!$B$6:$B$40,0)),"※없는 과목"))</f>
        <v/>
      </c>
      <c r="F1115" s="36" t="str">
        <f aca="false">IF($D1115="","",IFERROR(INDEX('통합 ④ 설정'!$C$6:$C$40,MATCH($D1115,'통합 ④ 설정'!$B$6:$B$40,0)),""))</f>
        <v/>
      </c>
      <c r="G1115" s="39"/>
      <c r="H1115" s="39"/>
      <c r="I1115" s="40"/>
      <c r="J1115" s="41"/>
      <c r="K1115" s="38"/>
      <c r="L1115" s="42" t="str">
        <f aca="false">IF($B1115="","",IF(AND(N($I1115)=0,N($J1115)=0),"금액이 없습니다",IF(AND($I1115&gt;0,$J1115&gt;0),"수입·지출 둘 다 적혔습니다",IF($C1115="","결제수단을 고르십시오",IF(ISNA(MATCH($C1115,'통합 ③ 통장·카드'!$A$5:$A$11,0)),"③ 통장·카드에 없는 결제수단입니다",IF($D1115="","계정과목을 고르십시오",IF($E1115="※없는 과목","④ 설정에 없는 과목입니다",IF(AND($E1115="수입",$J1115&gt;0),"수입 과목인데 지출에 적혔습니다",IF(AND(LEFT($E1115,2)&lt;&gt;"수입",$E1115&lt;&gt;"대체",$I1115&gt;0),"지출 과목인데 수입에 적혔습니다",IF($K1115="","증빙을 고르십시오",IF(AND($C1115="바우처통장",$J1115&gt;0,IFERROR(INDEX('통합 ④ 설정'!$E$6:$E$40,MATCH($D1115,'통합 ④ 설정'!$B$6:$B$40,0)),"")&lt;&gt;"○"),"바우처통장 지출 — 목적 확인",IF($H1115="","적요를 적으십시오",""))))))))))))</f>
        <v/>
      </c>
      <c r="M1115" s="39"/>
      <c r="O1115" s="11" t="str">
        <f aca="false">IF($B1115="","",YEAR($B1115)*100+MONTH($B1115))</f>
        <v/>
      </c>
      <c r="P1115" s="11" t="str">
        <f aca="false">IF($B1115="","",IF($E1115="대체",0,1))</f>
        <v/>
      </c>
    </row>
    <row r="1116" customFormat="false" ht="15" hidden="false" customHeight="false" outlineLevel="0" collapsed="false">
      <c r="A1116" s="36" t="str">
        <f aca="false">IF($B1116="","",COUNT($B$15:$B1116))</f>
        <v/>
      </c>
      <c r="B1116" s="37"/>
      <c r="C1116" s="38"/>
      <c r="D1116" s="39"/>
      <c r="E1116" s="36" t="str">
        <f aca="false">IF($D1116="","",IFERROR(INDEX('통합 ④ 설정'!$A$6:$A$40,MATCH($D1116,'통합 ④ 설정'!$B$6:$B$40,0)),"※없는 과목"))</f>
        <v/>
      </c>
      <c r="F1116" s="36" t="str">
        <f aca="false">IF($D1116="","",IFERROR(INDEX('통합 ④ 설정'!$C$6:$C$40,MATCH($D1116,'통합 ④ 설정'!$B$6:$B$40,0)),""))</f>
        <v/>
      </c>
      <c r="G1116" s="39"/>
      <c r="H1116" s="39"/>
      <c r="I1116" s="40"/>
      <c r="J1116" s="41"/>
      <c r="K1116" s="38"/>
      <c r="L1116" s="42" t="str">
        <f aca="false">IF($B1116="","",IF(AND(N($I1116)=0,N($J1116)=0),"금액이 없습니다",IF(AND($I1116&gt;0,$J1116&gt;0),"수입·지출 둘 다 적혔습니다",IF($C1116="","결제수단을 고르십시오",IF(ISNA(MATCH($C1116,'통합 ③ 통장·카드'!$A$5:$A$11,0)),"③ 통장·카드에 없는 결제수단입니다",IF($D1116="","계정과목을 고르십시오",IF($E1116="※없는 과목","④ 설정에 없는 과목입니다",IF(AND($E1116="수입",$J1116&gt;0),"수입 과목인데 지출에 적혔습니다",IF(AND(LEFT($E1116,2)&lt;&gt;"수입",$E1116&lt;&gt;"대체",$I1116&gt;0),"지출 과목인데 수입에 적혔습니다",IF($K1116="","증빙을 고르십시오",IF(AND($C1116="바우처통장",$J1116&gt;0,IFERROR(INDEX('통합 ④ 설정'!$E$6:$E$40,MATCH($D1116,'통합 ④ 설정'!$B$6:$B$40,0)),"")&lt;&gt;"○"),"바우처통장 지출 — 목적 확인",IF($H1116="","적요를 적으십시오",""))))))))))))</f>
        <v/>
      </c>
      <c r="M1116" s="39"/>
      <c r="O1116" s="11" t="str">
        <f aca="false">IF($B1116="","",YEAR($B1116)*100+MONTH($B1116))</f>
        <v/>
      </c>
      <c r="P1116" s="11" t="str">
        <f aca="false">IF($B1116="","",IF($E1116="대체",0,1))</f>
        <v/>
      </c>
    </row>
    <row r="1117" customFormat="false" ht="15" hidden="false" customHeight="false" outlineLevel="0" collapsed="false">
      <c r="A1117" s="36" t="str">
        <f aca="false">IF($B1117="","",COUNT($B$15:$B1117))</f>
        <v/>
      </c>
      <c r="B1117" s="37"/>
      <c r="C1117" s="38"/>
      <c r="D1117" s="39"/>
      <c r="E1117" s="36" t="str">
        <f aca="false">IF($D1117="","",IFERROR(INDEX('통합 ④ 설정'!$A$6:$A$40,MATCH($D1117,'통합 ④ 설정'!$B$6:$B$40,0)),"※없는 과목"))</f>
        <v/>
      </c>
      <c r="F1117" s="36" t="str">
        <f aca="false">IF($D1117="","",IFERROR(INDEX('통합 ④ 설정'!$C$6:$C$40,MATCH($D1117,'통합 ④ 설정'!$B$6:$B$40,0)),""))</f>
        <v/>
      </c>
      <c r="G1117" s="39"/>
      <c r="H1117" s="39"/>
      <c r="I1117" s="40"/>
      <c r="J1117" s="41"/>
      <c r="K1117" s="38"/>
      <c r="L1117" s="42" t="str">
        <f aca="false">IF($B1117="","",IF(AND(N($I1117)=0,N($J1117)=0),"금액이 없습니다",IF(AND($I1117&gt;0,$J1117&gt;0),"수입·지출 둘 다 적혔습니다",IF($C1117="","결제수단을 고르십시오",IF(ISNA(MATCH($C1117,'통합 ③ 통장·카드'!$A$5:$A$11,0)),"③ 통장·카드에 없는 결제수단입니다",IF($D1117="","계정과목을 고르십시오",IF($E1117="※없는 과목","④ 설정에 없는 과목입니다",IF(AND($E1117="수입",$J1117&gt;0),"수입 과목인데 지출에 적혔습니다",IF(AND(LEFT($E1117,2)&lt;&gt;"수입",$E1117&lt;&gt;"대체",$I1117&gt;0),"지출 과목인데 수입에 적혔습니다",IF($K1117="","증빙을 고르십시오",IF(AND($C1117="바우처통장",$J1117&gt;0,IFERROR(INDEX('통합 ④ 설정'!$E$6:$E$40,MATCH($D1117,'통합 ④ 설정'!$B$6:$B$40,0)),"")&lt;&gt;"○"),"바우처통장 지출 — 목적 확인",IF($H1117="","적요를 적으십시오",""))))))))))))</f>
        <v/>
      </c>
      <c r="M1117" s="39"/>
      <c r="O1117" s="11" t="str">
        <f aca="false">IF($B1117="","",YEAR($B1117)*100+MONTH($B1117))</f>
        <v/>
      </c>
      <c r="P1117" s="11" t="str">
        <f aca="false">IF($B1117="","",IF($E1117="대체",0,1))</f>
        <v/>
      </c>
    </row>
    <row r="1118" customFormat="false" ht="15" hidden="false" customHeight="false" outlineLevel="0" collapsed="false">
      <c r="A1118" s="36" t="str">
        <f aca="false">IF($B1118="","",COUNT($B$15:$B1118))</f>
        <v/>
      </c>
      <c r="B1118" s="37"/>
      <c r="C1118" s="38"/>
      <c r="D1118" s="39"/>
      <c r="E1118" s="36" t="str">
        <f aca="false">IF($D1118="","",IFERROR(INDEX('통합 ④ 설정'!$A$6:$A$40,MATCH($D1118,'통합 ④ 설정'!$B$6:$B$40,0)),"※없는 과목"))</f>
        <v/>
      </c>
      <c r="F1118" s="36" t="str">
        <f aca="false">IF($D1118="","",IFERROR(INDEX('통합 ④ 설정'!$C$6:$C$40,MATCH($D1118,'통합 ④ 설정'!$B$6:$B$40,0)),""))</f>
        <v/>
      </c>
      <c r="G1118" s="39"/>
      <c r="H1118" s="39"/>
      <c r="I1118" s="40"/>
      <c r="J1118" s="41"/>
      <c r="K1118" s="38"/>
      <c r="L1118" s="42" t="str">
        <f aca="false">IF($B1118="","",IF(AND(N($I1118)=0,N($J1118)=0),"금액이 없습니다",IF(AND($I1118&gt;0,$J1118&gt;0),"수입·지출 둘 다 적혔습니다",IF($C1118="","결제수단을 고르십시오",IF(ISNA(MATCH($C1118,'통합 ③ 통장·카드'!$A$5:$A$11,0)),"③ 통장·카드에 없는 결제수단입니다",IF($D1118="","계정과목을 고르십시오",IF($E1118="※없는 과목","④ 설정에 없는 과목입니다",IF(AND($E1118="수입",$J1118&gt;0),"수입 과목인데 지출에 적혔습니다",IF(AND(LEFT($E1118,2)&lt;&gt;"수입",$E1118&lt;&gt;"대체",$I1118&gt;0),"지출 과목인데 수입에 적혔습니다",IF($K1118="","증빙을 고르십시오",IF(AND($C1118="바우처통장",$J1118&gt;0,IFERROR(INDEX('통합 ④ 설정'!$E$6:$E$40,MATCH($D1118,'통합 ④ 설정'!$B$6:$B$40,0)),"")&lt;&gt;"○"),"바우처통장 지출 — 목적 확인",IF($H1118="","적요를 적으십시오",""))))))))))))</f>
        <v/>
      </c>
      <c r="M1118" s="39"/>
      <c r="O1118" s="11" t="str">
        <f aca="false">IF($B1118="","",YEAR($B1118)*100+MONTH($B1118))</f>
        <v/>
      </c>
      <c r="P1118" s="11" t="str">
        <f aca="false">IF($B1118="","",IF($E1118="대체",0,1))</f>
        <v/>
      </c>
    </row>
    <row r="1119" customFormat="false" ht="15" hidden="false" customHeight="false" outlineLevel="0" collapsed="false">
      <c r="A1119" s="36" t="str">
        <f aca="false">IF($B1119="","",COUNT($B$15:$B1119))</f>
        <v/>
      </c>
      <c r="B1119" s="37"/>
      <c r="C1119" s="38"/>
      <c r="D1119" s="39"/>
      <c r="E1119" s="36" t="str">
        <f aca="false">IF($D1119="","",IFERROR(INDEX('통합 ④ 설정'!$A$6:$A$40,MATCH($D1119,'통합 ④ 설정'!$B$6:$B$40,0)),"※없는 과목"))</f>
        <v/>
      </c>
      <c r="F1119" s="36" t="str">
        <f aca="false">IF($D1119="","",IFERROR(INDEX('통합 ④ 설정'!$C$6:$C$40,MATCH($D1119,'통합 ④ 설정'!$B$6:$B$40,0)),""))</f>
        <v/>
      </c>
      <c r="G1119" s="39"/>
      <c r="H1119" s="39"/>
      <c r="I1119" s="40"/>
      <c r="J1119" s="41"/>
      <c r="K1119" s="38"/>
      <c r="L1119" s="42" t="str">
        <f aca="false">IF($B1119="","",IF(AND(N($I1119)=0,N($J1119)=0),"금액이 없습니다",IF(AND($I1119&gt;0,$J1119&gt;0),"수입·지출 둘 다 적혔습니다",IF($C1119="","결제수단을 고르십시오",IF(ISNA(MATCH($C1119,'통합 ③ 통장·카드'!$A$5:$A$11,0)),"③ 통장·카드에 없는 결제수단입니다",IF($D1119="","계정과목을 고르십시오",IF($E1119="※없는 과목","④ 설정에 없는 과목입니다",IF(AND($E1119="수입",$J1119&gt;0),"수입 과목인데 지출에 적혔습니다",IF(AND(LEFT($E1119,2)&lt;&gt;"수입",$E1119&lt;&gt;"대체",$I1119&gt;0),"지출 과목인데 수입에 적혔습니다",IF($K1119="","증빙을 고르십시오",IF(AND($C1119="바우처통장",$J1119&gt;0,IFERROR(INDEX('통합 ④ 설정'!$E$6:$E$40,MATCH($D1119,'통합 ④ 설정'!$B$6:$B$40,0)),"")&lt;&gt;"○"),"바우처통장 지출 — 목적 확인",IF($H1119="","적요를 적으십시오",""))))))))))))</f>
        <v/>
      </c>
      <c r="M1119" s="39"/>
      <c r="O1119" s="11" t="str">
        <f aca="false">IF($B1119="","",YEAR($B1119)*100+MONTH($B1119))</f>
        <v/>
      </c>
      <c r="P1119" s="11" t="str">
        <f aca="false">IF($B1119="","",IF($E1119="대체",0,1))</f>
        <v/>
      </c>
    </row>
    <row r="1120" customFormat="false" ht="15" hidden="false" customHeight="false" outlineLevel="0" collapsed="false">
      <c r="A1120" s="36" t="str">
        <f aca="false">IF($B1120="","",COUNT($B$15:$B1120))</f>
        <v/>
      </c>
      <c r="B1120" s="37"/>
      <c r="C1120" s="38"/>
      <c r="D1120" s="39"/>
      <c r="E1120" s="36" t="str">
        <f aca="false">IF($D1120="","",IFERROR(INDEX('통합 ④ 설정'!$A$6:$A$40,MATCH($D1120,'통합 ④ 설정'!$B$6:$B$40,0)),"※없는 과목"))</f>
        <v/>
      </c>
      <c r="F1120" s="36" t="str">
        <f aca="false">IF($D1120="","",IFERROR(INDEX('통합 ④ 설정'!$C$6:$C$40,MATCH($D1120,'통합 ④ 설정'!$B$6:$B$40,0)),""))</f>
        <v/>
      </c>
      <c r="G1120" s="39"/>
      <c r="H1120" s="39"/>
      <c r="I1120" s="40"/>
      <c r="J1120" s="41"/>
      <c r="K1120" s="38"/>
      <c r="L1120" s="42" t="str">
        <f aca="false">IF($B1120="","",IF(AND(N($I1120)=0,N($J1120)=0),"금액이 없습니다",IF(AND($I1120&gt;0,$J1120&gt;0),"수입·지출 둘 다 적혔습니다",IF($C1120="","결제수단을 고르십시오",IF(ISNA(MATCH($C1120,'통합 ③ 통장·카드'!$A$5:$A$11,0)),"③ 통장·카드에 없는 결제수단입니다",IF($D1120="","계정과목을 고르십시오",IF($E1120="※없는 과목","④ 설정에 없는 과목입니다",IF(AND($E1120="수입",$J1120&gt;0),"수입 과목인데 지출에 적혔습니다",IF(AND(LEFT($E1120,2)&lt;&gt;"수입",$E1120&lt;&gt;"대체",$I1120&gt;0),"지출 과목인데 수입에 적혔습니다",IF($K1120="","증빙을 고르십시오",IF(AND($C1120="바우처통장",$J1120&gt;0,IFERROR(INDEX('통합 ④ 설정'!$E$6:$E$40,MATCH($D1120,'통합 ④ 설정'!$B$6:$B$40,0)),"")&lt;&gt;"○"),"바우처통장 지출 — 목적 확인",IF($H1120="","적요를 적으십시오",""))))))))))))</f>
        <v/>
      </c>
      <c r="M1120" s="39"/>
      <c r="O1120" s="11" t="str">
        <f aca="false">IF($B1120="","",YEAR($B1120)*100+MONTH($B1120))</f>
        <v/>
      </c>
      <c r="P1120" s="11" t="str">
        <f aca="false">IF($B1120="","",IF($E1120="대체",0,1))</f>
        <v/>
      </c>
    </row>
    <row r="1121" customFormat="false" ht="15" hidden="false" customHeight="false" outlineLevel="0" collapsed="false">
      <c r="A1121" s="36" t="str">
        <f aca="false">IF($B1121="","",COUNT($B$15:$B1121))</f>
        <v/>
      </c>
      <c r="B1121" s="37"/>
      <c r="C1121" s="38"/>
      <c r="D1121" s="39"/>
      <c r="E1121" s="36" t="str">
        <f aca="false">IF($D1121="","",IFERROR(INDEX('통합 ④ 설정'!$A$6:$A$40,MATCH($D1121,'통합 ④ 설정'!$B$6:$B$40,0)),"※없는 과목"))</f>
        <v/>
      </c>
      <c r="F1121" s="36" t="str">
        <f aca="false">IF($D1121="","",IFERROR(INDEX('통합 ④ 설정'!$C$6:$C$40,MATCH($D1121,'통합 ④ 설정'!$B$6:$B$40,0)),""))</f>
        <v/>
      </c>
      <c r="G1121" s="39"/>
      <c r="H1121" s="39"/>
      <c r="I1121" s="40"/>
      <c r="J1121" s="41"/>
      <c r="K1121" s="38"/>
      <c r="L1121" s="42" t="str">
        <f aca="false">IF($B1121="","",IF(AND(N($I1121)=0,N($J1121)=0),"금액이 없습니다",IF(AND($I1121&gt;0,$J1121&gt;0),"수입·지출 둘 다 적혔습니다",IF($C1121="","결제수단을 고르십시오",IF(ISNA(MATCH($C1121,'통합 ③ 통장·카드'!$A$5:$A$11,0)),"③ 통장·카드에 없는 결제수단입니다",IF($D1121="","계정과목을 고르십시오",IF($E1121="※없는 과목","④ 설정에 없는 과목입니다",IF(AND($E1121="수입",$J1121&gt;0),"수입 과목인데 지출에 적혔습니다",IF(AND(LEFT($E1121,2)&lt;&gt;"수입",$E1121&lt;&gt;"대체",$I1121&gt;0),"지출 과목인데 수입에 적혔습니다",IF($K1121="","증빙을 고르십시오",IF(AND($C1121="바우처통장",$J1121&gt;0,IFERROR(INDEX('통합 ④ 설정'!$E$6:$E$40,MATCH($D1121,'통합 ④ 설정'!$B$6:$B$40,0)),"")&lt;&gt;"○"),"바우처통장 지출 — 목적 확인",IF($H1121="","적요를 적으십시오",""))))))))))))</f>
        <v/>
      </c>
      <c r="M1121" s="39"/>
      <c r="O1121" s="11" t="str">
        <f aca="false">IF($B1121="","",YEAR($B1121)*100+MONTH($B1121))</f>
        <v/>
      </c>
      <c r="P1121" s="11" t="str">
        <f aca="false">IF($B1121="","",IF($E1121="대체",0,1))</f>
        <v/>
      </c>
    </row>
    <row r="1122" customFormat="false" ht="15" hidden="false" customHeight="false" outlineLevel="0" collapsed="false">
      <c r="A1122" s="36" t="str">
        <f aca="false">IF($B1122="","",COUNT($B$15:$B1122))</f>
        <v/>
      </c>
      <c r="B1122" s="37"/>
      <c r="C1122" s="38"/>
      <c r="D1122" s="39"/>
      <c r="E1122" s="36" t="str">
        <f aca="false">IF($D1122="","",IFERROR(INDEX('통합 ④ 설정'!$A$6:$A$40,MATCH($D1122,'통합 ④ 설정'!$B$6:$B$40,0)),"※없는 과목"))</f>
        <v/>
      </c>
      <c r="F1122" s="36" t="str">
        <f aca="false">IF($D1122="","",IFERROR(INDEX('통합 ④ 설정'!$C$6:$C$40,MATCH($D1122,'통합 ④ 설정'!$B$6:$B$40,0)),""))</f>
        <v/>
      </c>
      <c r="G1122" s="39"/>
      <c r="H1122" s="39"/>
      <c r="I1122" s="40"/>
      <c r="J1122" s="41"/>
      <c r="K1122" s="38"/>
      <c r="L1122" s="42" t="str">
        <f aca="false">IF($B1122="","",IF(AND(N($I1122)=0,N($J1122)=0),"금액이 없습니다",IF(AND($I1122&gt;0,$J1122&gt;0),"수입·지출 둘 다 적혔습니다",IF($C1122="","결제수단을 고르십시오",IF(ISNA(MATCH($C1122,'통합 ③ 통장·카드'!$A$5:$A$11,0)),"③ 통장·카드에 없는 결제수단입니다",IF($D1122="","계정과목을 고르십시오",IF($E1122="※없는 과목","④ 설정에 없는 과목입니다",IF(AND($E1122="수입",$J1122&gt;0),"수입 과목인데 지출에 적혔습니다",IF(AND(LEFT($E1122,2)&lt;&gt;"수입",$E1122&lt;&gt;"대체",$I1122&gt;0),"지출 과목인데 수입에 적혔습니다",IF($K1122="","증빙을 고르십시오",IF(AND($C1122="바우처통장",$J1122&gt;0,IFERROR(INDEX('통합 ④ 설정'!$E$6:$E$40,MATCH($D1122,'통합 ④ 설정'!$B$6:$B$40,0)),"")&lt;&gt;"○"),"바우처통장 지출 — 목적 확인",IF($H1122="","적요를 적으십시오",""))))))))))))</f>
        <v/>
      </c>
      <c r="M1122" s="39"/>
      <c r="O1122" s="11" t="str">
        <f aca="false">IF($B1122="","",YEAR($B1122)*100+MONTH($B1122))</f>
        <v/>
      </c>
      <c r="P1122" s="11" t="str">
        <f aca="false">IF($B1122="","",IF($E1122="대체",0,1))</f>
        <v/>
      </c>
    </row>
    <row r="1123" customFormat="false" ht="15" hidden="false" customHeight="false" outlineLevel="0" collapsed="false">
      <c r="A1123" s="36" t="str">
        <f aca="false">IF($B1123="","",COUNT($B$15:$B1123))</f>
        <v/>
      </c>
      <c r="B1123" s="37"/>
      <c r="C1123" s="38"/>
      <c r="D1123" s="39"/>
      <c r="E1123" s="36" t="str">
        <f aca="false">IF($D1123="","",IFERROR(INDEX('통합 ④ 설정'!$A$6:$A$40,MATCH($D1123,'통합 ④ 설정'!$B$6:$B$40,0)),"※없는 과목"))</f>
        <v/>
      </c>
      <c r="F1123" s="36" t="str">
        <f aca="false">IF($D1123="","",IFERROR(INDEX('통합 ④ 설정'!$C$6:$C$40,MATCH($D1123,'통합 ④ 설정'!$B$6:$B$40,0)),""))</f>
        <v/>
      </c>
      <c r="G1123" s="39"/>
      <c r="H1123" s="39"/>
      <c r="I1123" s="40"/>
      <c r="J1123" s="41"/>
      <c r="K1123" s="38"/>
      <c r="L1123" s="42" t="str">
        <f aca="false">IF($B1123="","",IF(AND(N($I1123)=0,N($J1123)=0),"금액이 없습니다",IF(AND($I1123&gt;0,$J1123&gt;0),"수입·지출 둘 다 적혔습니다",IF($C1123="","결제수단을 고르십시오",IF(ISNA(MATCH($C1123,'통합 ③ 통장·카드'!$A$5:$A$11,0)),"③ 통장·카드에 없는 결제수단입니다",IF($D1123="","계정과목을 고르십시오",IF($E1123="※없는 과목","④ 설정에 없는 과목입니다",IF(AND($E1123="수입",$J1123&gt;0),"수입 과목인데 지출에 적혔습니다",IF(AND(LEFT($E1123,2)&lt;&gt;"수입",$E1123&lt;&gt;"대체",$I1123&gt;0),"지출 과목인데 수입에 적혔습니다",IF($K1123="","증빙을 고르십시오",IF(AND($C1123="바우처통장",$J1123&gt;0,IFERROR(INDEX('통합 ④ 설정'!$E$6:$E$40,MATCH($D1123,'통합 ④ 설정'!$B$6:$B$40,0)),"")&lt;&gt;"○"),"바우처통장 지출 — 목적 확인",IF($H1123="","적요를 적으십시오",""))))))))))))</f>
        <v/>
      </c>
      <c r="M1123" s="39"/>
      <c r="O1123" s="11" t="str">
        <f aca="false">IF($B1123="","",YEAR($B1123)*100+MONTH($B1123))</f>
        <v/>
      </c>
      <c r="P1123" s="11" t="str">
        <f aca="false">IF($B1123="","",IF($E1123="대체",0,1))</f>
        <v/>
      </c>
    </row>
    <row r="1124" customFormat="false" ht="15" hidden="false" customHeight="false" outlineLevel="0" collapsed="false">
      <c r="A1124" s="36" t="str">
        <f aca="false">IF($B1124="","",COUNT($B$15:$B1124))</f>
        <v/>
      </c>
      <c r="B1124" s="37"/>
      <c r="C1124" s="38"/>
      <c r="D1124" s="39"/>
      <c r="E1124" s="36" t="str">
        <f aca="false">IF($D1124="","",IFERROR(INDEX('통합 ④ 설정'!$A$6:$A$40,MATCH($D1124,'통합 ④ 설정'!$B$6:$B$40,0)),"※없는 과목"))</f>
        <v/>
      </c>
      <c r="F1124" s="36" t="str">
        <f aca="false">IF($D1124="","",IFERROR(INDEX('통합 ④ 설정'!$C$6:$C$40,MATCH($D1124,'통합 ④ 설정'!$B$6:$B$40,0)),""))</f>
        <v/>
      </c>
      <c r="G1124" s="39"/>
      <c r="H1124" s="39"/>
      <c r="I1124" s="40"/>
      <c r="J1124" s="41"/>
      <c r="K1124" s="38"/>
      <c r="L1124" s="42" t="str">
        <f aca="false">IF($B1124="","",IF(AND(N($I1124)=0,N($J1124)=0),"금액이 없습니다",IF(AND($I1124&gt;0,$J1124&gt;0),"수입·지출 둘 다 적혔습니다",IF($C1124="","결제수단을 고르십시오",IF(ISNA(MATCH($C1124,'통합 ③ 통장·카드'!$A$5:$A$11,0)),"③ 통장·카드에 없는 결제수단입니다",IF($D1124="","계정과목을 고르십시오",IF($E1124="※없는 과목","④ 설정에 없는 과목입니다",IF(AND($E1124="수입",$J1124&gt;0),"수입 과목인데 지출에 적혔습니다",IF(AND(LEFT($E1124,2)&lt;&gt;"수입",$E1124&lt;&gt;"대체",$I1124&gt;0),"지출 과목인데 수입에 적혔습니다",IF($K1124="","증빙을 고르십시오",IF(AND($C1124="바우처통장",$J1124&gt;0,IFERROR(INDEX('통합 ④ 설정'!$E$6:$E$40,MATCH($D1124,'통합 ④ 설정'!$B$6:$B$40,0)),"")&lt;&gt;"○"),"바우처통장 지출 — 목적 확인",IF($H1124="","적요를 적으십시오",""))))))))))))</f>
        <v/>
      </c>
      <c r="M1124" s="39"/>
      <c r="O1124" s="11" t="str">
        <f aca="false">IF($B1124="","",YEAR($B1124)*100+MONTH($B1124))</f>
        <v/>
      </c>
      <c r="P1124" s="11" t="str">
        <f aca="false">IF($B1124="","",IF($E1124="대체",0,1))</f>
        <v/>
      </c>
    </row>
    <row r="1125" customFormat="false" ht="15" hidden="false" customHeight="false" outlineLevel="0" collapsed="false">
      <c r="A1125" s="36" t="str">
        <f aca="false">IF($B1125="","",COUNT($B$15:$B1125))</f>
        <v/>
      </c>
      <c r="B1125" s="37"/>
      <c r="C1125" s="38"/>
      <c r="D1125" s="39"/>
      <c r="E1125" s="36" t="str">
        <f aca="false">IF($D1125="","",IFERROR(INDEX('통합 ④ 설정'!$A$6:$A$40,MATCH($D1125,'통합 ④ 설정'!$B$6:$B$40,0)),"※없는 과목"))</f>
        <v/>
      </c>
      <c r="F1125" s="36" t="str">
        <f aca="false">IF($D1125="","",IFERROR(INDEX('통합 ④ 설정'!$C$6:$C$40,MATCH($D1125,'통합 ④ 설정'!$B$6:$B$40,0)),""))</f>
        <v/>
      </c>
      <c r="G1125" s="39"/>
      <c r="H1125" s="39"/>
      <c r="I1125" s="40"/>
      <c r="J1125" s="41"/>
      <c r="K1125" s="38"/>
      <c r="L1125" s="42" t="str">
        <f aca="false">IF($B1125="","",IF(AND(N($I1125)=0,N($J1125)=0),"금액이 없습니다",IF(AND($I1125&gt;0,$J1125&gt;0),"수입·지출 둘 다 적혔습니다",IF($C1125="","결제수단을 고르십시오",IF(ISNA(MATCH($C1125,'통합 ③ 통장·카드'!$A$5:$A$11,0)),"③ 통장·카드에 없는 결제수단입니다",IF($D1125="","계정과목을 고르십시오",IF($E1125="※없는 과목","④ 설정에 없는 과목입니다",IF(AND($E1125="수입",$J1125&gt;0),"수입 과목인데 지출에 적혔습니다",IF(AND(LEFT($E1125,2)&lt;&gt;"수입",$E1125&lt;&gt;"대체",$I1125&gt;0),"지출 과목인데 수입에 적혔습니다",IF($K1125="","증빙을 고르십시오",IF(AND($C1125="바우처통장",$J1125&gt;0,IFERROR(INDEX('통합 ④ 설정'!$E$6:$E$40,MATCH($D1125,'통합 ④ 설정'!$B$6:$B$40,0)),"")&lt;&gt;"○"),"바우처통장 지출 — 목적 확인",IF($H1125="","적요를 적으십시오",""))))))))))))</f>
        <v/>
      </c>
      <c r="M1125" s="39"/>
      <c r="O1125" s="11" t="str">
        <f aca="false">IF($B1125="","",YEAR($B1125)*100+MONTH($B1125))</f>
        <v/>
      </c>
      <c r="P1125" s="11" t="str">
        <f aca="false">IF($B1125="","",IF($E1125="대체",0,1))</f>
        <v/>
      </c>
    </row>
    <row r="1126" customFormat="false" ht="15" hidden="false" customHeight="false" outlineLevel="0" collapsed="false">
      <c r="A1126" s="36" t="str">
        <f aca="false">IF($B1126="","",COUNT($B$15:$B1126))</f>
        <v/>
      </c>
      <c r="B1126" s="37"/>
      <c r="C1126" s="38"/>
      <c r="D1126" s="39"/>
      <c r="E1126" s="36" t="str">
        <f aca="false">IF($D1126="","",IFERROR(INDEX('통합 ④ 설정'!$A$6:$A$40,MATCH($D1126,'통합 ④ 설정'!$B$6:$B$40,0)),"※없는 과목"))</f>
        <v/>
      </c>
      <c r="F1126" s="36" t="str">
        <f aca="false">IF($D1126="","",IFERROR(INDEX('통합 ④ 설정'!$C$6:$C$40,MATCH($D1126,'통합 ④ 설정'!$B$6:$B$40,0)),""))</f>
        <v/>
      </c>
      <c r="G1126" s="39"/>
      <c r="H1126" s="39"/>
      <c r="I1126" s="40"/>
      <c r="J1126" s="41"/>
      <c r="K1126" s="38"/>
      <c r="L1126" s="42" t="str">
        <f aca="false">IF($B1126="","",IF(AND(N($I1126)=0,N($J1126)=0),"금액이 없습니다",IF(AND($I1126&gt;0,$J1126&gt;0),"수입·지출 둘 다 적혔습니다",IF($C1126="","결제수단을 고르십시오",IF(ISNA(MATCH($C1126,'통합 ③ 통장·카드'!$A$5:$A$11,0)),"③ 통장·카드에 없는 결제수단입니다",IF($D1126="","계정과목을 고르십시오",IF($E1126="※없는 과목","④ 설정에 없는 과목입니다",IF(AND($E1126="수입",$J1126&gt;0),"수입 과목인데 지출에 적혔습니다",IF(AND(LEFT($E1126,2)&lt;&gt;"수입",$E1126&lt;&gt;"대체",$I1126&gt;0),"지출 과목인데 수입에 적혔습니다",IF($K1126="","증빙을 고르십시오",IF(AND($C1126="바우처통장",$J1126&gt;0,IFERROR(INDEX('통합 ④ 설정'!$E$6:$E$40,MATCH($D1126,'통합 ④ 설정'!$B$6:$B$40,0)),"")&lt;&gt;"○"),"바우처통장 지출 — 목적 확인",IF($H1126="","적요를 적으십시오",""))))))))))))</f>
        <v/>
      </c>
      <c r="M1126" s="39"/>
      <c r="O1126" s="11" t="str">
        <f aca="false">IF($B1126="","",YEAR($B1126)*100+MONTH($B1126))</f>
        <v/>
      </c>
      <c r="P1126" s="11" t="str">
        <f aca="false">IF($B1126="","",IF($E1126="대체",0,1))</f>
        <v/>
      </c>
    </row>
    <row r="1127" customFormat="false" ht="15" hidden="false" customHeight="false" outlineLevel="0" collapsed="false">
      <c r="A1127" s="36" t="str">
        <f aca="false">IF($B1127="","",COUNT($B$15:$B1127))</f>
        <v/>
      </c>
      <c r="B1127" s="37"/>
      <c r="C1127" s="38"/>
      <c r="D1127" s="39"/>
      <c r="E1127" s="36" t="str">
        <f aca="false">IF($D1127="","",IFERROR(INDEX('통합 ④ 설정'!$A$6:$A$40,MATCH($D1127,'통합 ④ 설정'!$B$6:$B$40,0)),"※없는 과목"))</f>
        <v/>
      </c>
      <c r="F1127" s="36" t="str">
        <f aca="false">IF($D1127="","",IFERROR(INDEX('통합 ④ 설정'!$C$6:$C$40,MATCH($D1127,'통합 ④ 설정'!$B$6:$B$40,0)),""))</f>
        <v/>
      </c>
      <c r="G1127" s="39"/>
      <c r="H1127" s="39"/>
      <c r="I1127" s="40"/>
      <c r="J1127" s="41"/>
      <c r="K1127" s="38"/>
      <c r="L1127" s="42" t="str">
        <f aca="false">IF($B1127="","",IF(AND(N($I1127)=0,N($J1127)=0),"금액이 없습니다",IF(AND($I1127&gt;0,$J1127&gt;0),"수입·지출 둘 다 적혔습니다",IF($C1127="","결제수단을 고르십시오",IF(ISNA(MATCH($C1127,'통합 ③ 통장·카드'!$A$5:$A$11,0)),"③ 통장·카드에 없는 결제수단입니다",IF($D1127="","계정과목을 고르십시오",IF($E1127="※없는 과목","④ 설정에 없는 과목입니다",IF(AND($E1127="수입",$J1127&gt;0),"수입 과목인데 지출에 적혔습니다",IF(AND(LEFT($E1127,2)&lt;&gt;"수입",$E1127&lt;&gt;"대체",$I1127&gt;0),"지출 과목인데 수입에 적혔습니다",IF($K1127="","증빙을 고르십시오",IF(AND($C1127="바우처통장",$J1127&gt;0,IFERROR(INDEX('통합 ④ 설정'!$E$6:$E$40,MATCH($D1127,'통합 ④ 설정'!$B$6:$B$40,0)),"")&lt;&gt;"○"),"바우처통장 지출 — 목적 확인",IF($H1127="","적요를 적으십시오",""))))))))))))</f>
        <v/>
      </c>
      <c r="M1127" s="39"/>
      <c r="O1127" s="11" t="str">
        <f aca="false">IF($B1127="","",YEAR($B1127)*100+MONTH($B1127))</f>
        <v/>
      </c>
      <c r="P1127" s="11" t="str">
        <f aca="false">IF($B1127="","",IF($E1127="대체",0,1))</f>
        <v/>
      </c>
    </row>
    <row r="1128" customFormat="false" ht="15" hidden="false" customHeight="false" outlineLevel="0" collapsed="false">
      <c r="A1128" s="36" t="str">
        <f aca="false">IF($B1128="","",COUNT($B$15:$B1128))</f>
        <v/>
      </c>
      <c r="B1128" s="37"/>
      <c r="C1128" s="38"/>
      <c r="D1128" s="39"/>
      <c r="E1128" s="36" t="str">
        <f aca="false">IF($D1128="","",IFERROR(INDEX('통합 ④ 설정'!$A$6:$A$40,MATCH($D1128,'통합 ④ 설정'!$B$6:$B$40,0)),"※없는 과목"))</f>
        <v/>
      </c>
      <c r="F1128" s="36" t="str">
        <f aca="false">IF($D1128="","",IFERROR(INDEX('통합 ④ 설정'!$C$6:$C$40,MATCH($D1128,'통합 ④ 설정'!$B$6:$B$40,0)),""))</f>
        <v/>
      </c>
      <c r="G1128" s="39"/>
      <c r="H1128" s="39"/>
      <c r="I1128" s="40"/>
      <c r="J1128" s="41"/>
      <c r="K1128" s="38"/>
      <c r="L1128" s="42" t="str">
        <f aca="false">IF($B1128="","",IF(AND(N($I1128)=0,N($J1128)=0),"금액이 없습니다",IF(AND($I1128&gt;0,$J1128&gt;0),"수입·지출 둘 다 적혔습니다",IF($C1128="","결제수단을 고르십시오",IF(ISNA(MATCH($C1128,'통합 ③ 통장·카드'!$A$5:$A$11,0)),"③ 통장·카드에 없는 결제수단입니다",IF($D1128="","계정과목을 고르십시오",IF($E1128="※없는 과목","④ 설정에 없는 과목입니다",IF(AND($E1128="수입",$J1128&gt;0),"수입 과목인데 지출에 적혔습니다",IF(AND(LEFT($E1128,2)&lt;&gt;"수입",$E1128&lt;&gt;"대체",$I1128&gt;0),"지출 과목인데 수입에 적혔습니다",IF($K1128="","증빙을 고르십시오",IF(AND($C1128="바우처통장",$J1128&gt;0,IFERROR(INDEX('통합 ④ 설정'!$E$6:$E$40,MATCH($D1128,'통합 ④ 설정'!$B$6:$B$40,0)),"")&lt;&gt;"○"),"바우처통장 지출 — 목적 확인",IF($H1128="","적요를 적으십시오",""))))))))))))</f>
        <v/>
      </c>
      <c r="M1128" s="39"/>
      <c r="O1128" s="11" t="str">
        <f aca="false">IF($B1128="","",YEAR($B1128)*100+MONTH($B1128))</f>
        <v/>
      </c>
      <c r="P1128" s="11" t="str">
        <f aca="false">IF($B1128="","",IF($E1128="대체",0,1))</f>
        <v/>
      </c>
    </row>
    <row r="1129" customFormat="false" ht="15" hidden="false" customHeight="false" outlineLevel="0" collapsed="false">
      <c r="A1129" s="36" t="str">
        <f aca="false">IF($B1129="","",COUNT($B$15:$B1129))</f>
        <v/>
      </c>
      <c r="B1129" s="37"/>
      <c r="C1129" s="38"/>
      <c r="D1129" s="39"/>
      <c r="E1129" s="36" t="str">
        <f aca="false">IF($D1129="","",IFERROR(INDEX('통합 ④ 설정'!$A$6:$A$40,MATCH($D1129,'통합 ④ 설정'!$B$6:$B$40,0)),"※없는 과목"))</f>
        <v/>
      </c>
      <c r="F1129" s="36" t="str">
        <f aca="false">IF($D1129="","",IFERROR(INDEX('통합 ④ 설정'!$C$6:$C$40,MATCH($D1129,'통합 ④ 설정'!$B$6:$B$40,0)),""))</f>
        <v/>
      </c>
      <c r="G1129" s="39"/>
      <c r="H1129" s="39"/>
      <c r="I1129" s="40"/>
      <c r="J1129" s="41"/>
      <c r="K1129" s="38"/>
      <c r="L1129" s="42" t="str">
        <f aca="false">IF($B1129="","",IF(AND(N($I1129)=0,N($J1129)=0),"금액이 없습니다",IF(AND($I1129&gt;0,$J1129&gt;0),"수입·지출 둘 다 적혔습니다",IF($C1129="","결제수단을 고르십시오",IF(ISNA(MATCH($C1129,'통합 ③ 통장·카드'!$A$5:$A$11,0)),"③ 통장·카드에 없는 결제수단입니다",IF($D1129="","계정과목을 고르십시오",IF($E1129="※없는 과목","④ 설정에 없는 과목입니다",IF(AND($E1129="수입",$J1129&gt;0),"수입 과목인데 지출에 적혔습니다",IF(AND(LEFT($E1129,2)&lt;&gt;"수입",$E1129&lt;&gt;"대체",$I1129&gt;0),"지출 과목인데 수입에 적혔습니다",IF($K1129="","증빙을 고르십시오",IF(AND($C1129="바우처통장",$J1129&gt;0,IFERROR(INDEX('통합 ④ 설정'!$E$6:$E$40,MATCH($D1129,'통합 ④ 설정'!$B$6:$B$40,0)),"")&lt;&gt;"○"),"바우처통장 지출 — 목적 확인",IF($H1129="","적요를 적으십시오",""))))))))))))</f>
        <v/>
      </c>
      <c r="M1129" s="39"/>
      <c r="O1129" s="11" t="str">
        <f aca="false">IF($B1129="","",YEAR($B1129)*100+MONTH($B1129))</f>
        <v/>
      </c>
      <c r="P1129" s="11" t="str">
        <f aca="false">IF($B1129="","",IF($E1129="대체",0,1))</f>
        <v/>
      </c>
    </row>
    <row r="1130" customFormat="false" ht="15" hidden="false" customHeight="false" outlineLevel="0" collapsed="false">
      <c r="A1130" s="36" t="str">
        <f aca="false">IF($B1130="","",COUNT($B$15:$B1130))</f>
        <v/>
      </c>
      <c r="B1130" s="37"/>
      <c r="C1130" s="38"/>
      <c r="D1130" s="39"/>
      <c r="E1130" s="36" t="str">
        <f aca="false">IF($D1130="","",IFERROR(INDEX('통합 ④ 설정'!$A$6:$A$40,MATCH($D1130,'통합 ④ 설정'!$B$6:$B$40,0)),"※없는 과목"))</f>
        <v/>
      </c>
      <c r="F1130" s="36" t="str">
        <f aca="false">IF($D1130="","",IFERROR(INDEX('통합 ④ 설정'!$C$6:$C$40,MATCH($D1130,'통합 ④ 설정'!$B$6:$B$40,0)),""))</f>
        <v/>
      </c>
      <c r="G1130" s="39"/>
      <c r="H1130" s="39"/>
      <c r="I1130" s="40"/>
      <c r="J1130" s="41"/>
      <c r="K1130" s="38"/>
      <c r="L1130" s="42" t="str">
        <f aca="false">IF($B1130="","",IF(AND(N($I1130)=0,N($J1130)=0),"금액이 없습니다",IF(AND($I1130&gt;0,$J1130&gt;0),"수입·지출 둘 다 적혔습니다",IF($C1130="","결제수단을 고르십시오",IF(ISNA(MATCH($C1130,'통합 ③ 통장·카드'!$A$5:$A$11,0)),"③ 통장·카드에 없는 결제수단입니다",IF($D1130="","계정과목을 고르십시오",IF($E1130="※없는 과목","④ 설정에 없는 과목입니다",IF(AND($E1130="수입",$J1130&gt;0),"수입 과목인데 지출에 적혔습니다",IF(AND(LEFT($E1130,2)&lt;&gt;"수입",$E1130&lt;&gt;"대체",$I1130&gt;0),"지출 과목인데 수입에 적혔습니다",IF($K1130="","증빙을 고르십시오",IF(AND($C1130="바우처통장",$J1130&gt;0,IFERROR(INDEX('통합 ④ 설정'!$E$6:$E$40,MATCH($D1130,'통합 ④ 설정'!$B$6:$B$40,0)),"")&lt;&gt;"○"),"바우처통장 지출 — 목적 확인",IF($H1130="","적요를 적으십시오",""))))))))))))</f>
        <v/>
      </c>
      <c r="M1130" s="39"/>
      <c r="O1130" s="11" t="str">
        <f aca="false">IF($B1130="","",YEAR($B1130)*100+MONTH($B1130))</f>
        <v/>
      </c>
      <c r="P1130" s="11" t="str">
        <f aca="false">IF($B1130="","",IF($E1130="대체",0,1))</f>
        <v/>
      </c>
    </row>
    <row r="1131" customFormat="false" ht="15" hidden="false" customHeight="false" outlineLevel="0" collapsed="false">
      <c r="A1131" s="36" t="str">
        <f aca="false">IF($B1131="","",COUNT($B$15:$B1131))</f>
        <v/>
      </c>
      <c r="B1131" s="37"/>
      <c r="C1131" s="38"/>
      <c r="D1131" s="39"/>
      <c r="E1131" s="36" t="str">
        <f aca="false">IF($D1131="","",IFERROR(INDEX('통합 ④ 설정'!$A$6:$A$40,MATCH($D1131,'통합 ④ 설정'!$B$6:$B$40,0)),"※없는 과목"))</f>
        <v/>
      </c>
      <c r="F1131" s="36" t="str">
        <f aca="false">IF($D1131="","",IFERROR(INDEX('통합 ④ 설정'!$C$6:$C$40,MATCH($D1131,'통합 ④ 설정'!$B$6:$B$40,0)),""))</f>
        <v/>
      </c>
      <c r="G1131" s="39"/>
      <c r="H1131" s="39"/>
      <c r="I1131" s="40"/>
      <c r="J1131" s="41"/>
      <c r="K1131" s="38"/>
      <c r="L1131" s="42" t="str">
        <f aca="false">IF($B1131="","",IF(AND(N($I1131)=0,N($J1131)=0),"금액이 없습니다",IF(AND($I1131&gt;0,$J1131&gt;0),"수입·지출 둘 다 적혔습니다",IF($C1131="","결제수단을 고르십시오",IF(ISNA(MATCH($C1131,'통합 ③ 통장·카드'!$A$5:$A$11,0)),"③ 통장·카드에 없는 결제수단입니다",IF($D1131="","계정과목을 고르십시오",IF($E1131="※없는 과목","④ 설정에 없는 과목입니다",IF(AND($E1131="수입",$J1131&gt;0),"수입 과목인데 지출에 적혔습니다",IF(AND(LEFT($E1131,2)&lt;&gt;"수입",$E1131&lt;&gt;"대체",$I1131&gt;0),"지출 과목인데 수입에 적혔습니다",IF($K1131="","증빙을 고르십시오",IF(AND($C1131="바우처통장",$J1131&gt;0,IFERROR(INDEX('통합 ④ 설정'!$E$6:$E$40,MATCH($D1131,'통합 ④ 설정'!$B$6:$B$40,0)),"")&lt;&gt;"○"),"바우처통장 지출 — 목적 확인",IF($H1131="","적요를 적으십시오",""))))))))))))</f>
        <v/>
      </c>
      <c r="M1131" s="39"/>
      <c r="O1131" s="11" t="str">
        <f aca="false">IF($B1131="","",YEAR($B1131)*100+MONTH($B1131))</f>
        <v/>
      </c>
      <c r="P1131" s="11" t="str">
        <f aca="false">IF($B1131="","",IF($E1131="대체",0,1))</f>
        <v/>
      </c>
    </row>
    <row r="1132" customFormat="false" ht="15" hidden="false" customHeight="false" outlineLevel="0" collapsed="false">
      <c r="A1132" s="36" t="str">
        <f aca="false">IF($B1132="","",COUNT($B$15:$B1132))</f>
        <v/>
      </c>
      <c r="B1132" s="37"/>
      <c r="C1132" s="38"/>
      <c r="D1132" s="39"/>
      <c r="E1132" s="36" t="str">
        <f aca="false">IF($D1132="","",IFERROR(INDEX('통합 ④ 설정'!$A$6:$A$40,MATCH($D1132,'통합 ④ 설정'!$B$6:$B$40,0)),"※없는 과목"))</f>
        <v/>
      </c>
      <c r="F1132" s="36" t="str">
        <f aca="false">IF($D1132="","",IFERROR(INDEX('통합 ④ 설정'!$C$6:$C$40,MATCH($D1132,'통합 ④ 설정'!$B$6:$B$40,0)),""))</f>
        <v/>
      </c>
      <c r="G1132" s="39"/>
      <c r="H1132" s="39"/>
      <c r="I1132" s="40"/>
      <c r="J1132" s="41"/>
      <c r="K1132" s="38"/>
      <c r="L1132" s="42" t="str">
        <f aca="false">IF($B1132="","",IF(AND(N($I1132)=0,N($J1132)=0),"금액이 없습니다",IF(AND($I1132&gt;0,$J1132&gt;0),"수입·지출 둘 다 적혔습니다",IF($C1132="","결제수단을 고르십시오",IF(ISNA(MATCH($C1132,'통합 ③ 통장·카드'!$A$5:$A$11,0)),"③ 통장·카드에 없는 결제수단입니다",IF($D1132="","계정과목을 고르십시오",IF($E1132="※없는 과목","④ 설정에 없는 과목입니다",IF(AND($E1132="수입",$J1132&gt;0),"수입 과목인데 지출에 적혔습니다",IF(AND(LEFT($E1132,2)&lt;&gt;"수입",$E1132&lt;&gt;"대체",$I1132&gt;0),"지출 과목인데 수입에 적혔습니다",IF($K1132="","증빙을 고르십시오",IF(AND($C1132="바우처통장",$J1132&gt;0,IFERROR(INDEX('통합 ④ 설정'!$E$6:$E$40,MATCH($D1132,'통합 ④ 설정'!$B$6:$B$40,0)),"")&lt;&gt;"○"),"바우처통장 지출 — 목적 확인",IF($H1132="","적요를 적으십시오",""))))))))))))</f>
        <v/>
      </c>
      <c r="M1132" s="39"/>
      <c r="O1132" s="11" t="str">
        <f aca="false">IF($B1132="","",YEAR($B1132)*100+MONTH($B1132))</f>
        <v/>
      </c>
      <c r="P1132" s="11" t="str">
        <f aca="false">IF($B1132="","",IF($E1132="대체",0,1))</f>
        <v/>
      </c>
    </row>
    <row r="1133" customFormat="false" ht="15" hidden="false" customHeight="false" outlineLevel="0" collapsed="false">
      <c r="A1133" s="36" t="str">
        <f aca="false">IF($B1133="","",COUNT($B$15:$B1133))</f>
        <v/>
      </c>
      <c r="B1133" s="37"/>
      <c r="C1133" s="38"/>
      <c r="D1133" s="39"/>
      <c r="E1133" s="36" t="str">
        <f aca="false">IF($D1133="","",IFERROR(INDEX('통합 ④ 설정'!$A$6:$A$40,MATCH($D1133,'통합 ④ 설정'!$B$6:$B$40,0)),"※없는 과목"))</f>
        <v/>
      </c>
      <c r="F1133" s="36" t="str">
        <f aca="false">IF($D1133="","",IFERROR(INDEX('통합 ④ 설정'!$C$6:$C$40,MATCH($D1133,'통합 ④ 설정'!$B$6:$B$40,0)),""))</f>
        <v/>
      </c>
      <c r="G1133" s="39"/>
      <c r="H1133" s="39"/>
      <c r="I1133" s="40"/>
      <c r="J1133" s="41"/>
      <c r="K1133" s="38"/>
      <c r="L1133" s="42" t="str">
        <f aca="false">IF($B1133="","",IF(AND(N($I1133)=0,N($J1133)=0),"금액이 없습니다",IF(AND($I1133&gt;0,$J1133&gt;0),"수입·지출 둘 다 적혔습니다",IF($C1133="","결제수단을 고르십시오",IF(ISNA(MATCH($C1133,'통합 ③ 통장·카드'!$A$5:$A$11,0)),"③ 통장·카드에 없는 결제수단입니다",IF($D1133="","계정과목을 고르십시오",IF($E1133="※없는 과목","④ 설정에 없는 과목입니다",IF(AND($E1133="수입",$J1133&gt;0),"수입 과목인데 지출에 적혔습니다",IF(AND(LEFT($E1133,2)&lt;&gt;"수입",$E1133&lt;&gt;"대체",$I1133&gt;0),"지출 과목인데 수입에 적혔습니다",IF($K1133="","증빙을 고르십시오",IF(AND($C1133="바우처통장",$J1133&gt;0,IFERROR(INDEX('통합 ④ 설정'!$E$6:$E$40,MATCH($D1133,'통합 ④ 설정'!$B$6:$B$40,0)),"")&lt;&gt;"○"),"바우처통장 지출 — 목적 확인",IF($H1133="","적요를 적으십시오",""))))))))))))</f>
        <v/>
      </c>
      <c r="M1133" s="39"/>
      <c r="O1133" s="11" t="str">
        <f aca="false">IF($B1133="","",YEAR($B1133)*100+MONTH($B1133))</f>
        <v/>
      </c>
      <c r="P1133" s="11" t="str">
        <f aca="false">IF($B1133="","",IF($E1133="대체",0,1))</f>
        <v/>
      </c>
    </row>
    <row r="1134" customFormat="false" ht="15" hidden="false" customHeight="false" outlineLevel="0" collapsed="false">
      <c r="A1134" s="36" t="str">
        <f aca="false">IF($B1134="","",COUNT($B$15:$B1134))</f>
        <v/>
      </c>
      <c r="B1134" s="37"/>
      <c r="C1134" s="38"/>
      <c r="D1134" s="39"/>
      <c r="E1134" s="36" t="str">
        <f aca="false">IF($D1134="","",IFERROR(INDEX('통합 ④ 설정'!$A$6:$A$40,MATCH($D1134,'통합 ④ 설정'!$B$6:$B$40,0)),"※없는 과목"))</f>
        <v/>
      </c>
      <c r="F1134" s="36" t="str">
        <f aca="false">IF($D1134="","",IFERROR(INDEX('통합 ④ 설정'!$C$6:$C$40,MATCH($D1134,'통합 ④ 설정'!$B$6:$B$40,0)),""))</f>
        <v/>
      </c>
      <c r="G1134" s="39"/>
      <c r="H1134" s="39"/>
      <c r="I1134" s="40"/>
      <c r="J1134" s="41"/>
      <c r="K1134" s="38"/>
      <c r="L1134" s="42" t="str">
        <f aca="false">IF($B1134="","",IF(AND(N($I1134)=0,N($J1134)=0),"금액이 없습니다",IF(AND($I1134&gt;0,$J1134&gt;0),"수입·지출 둘 다 적혔습니다",IF($C1134="","결제수단을 고르십시오",IF(ISNA(MATCH($C1134,'통합 ③ 통장·카드'!$A$5:$A$11,0)),"③ 통장·카드에 없는 결제수단입니다",IF($D1134="","계정과목을 고르십시오",IF($E1134="※없는 과목","④ 설정에 없는 과목입니다",IF(AND($E1134="수입",$J1134&gt;0),"수입 과목인데 지출에 적혔습니다",IF(AND(LEFT($E1134,2)&lt;&gt;"수입",$E1134&lt;&gt;"대체",$I1134&gt;0),"지출 과목인데 수입에 적혔습니다",IF($K1134="","증빙을 고르십시오",IF(AND($C1134="바우처통장",$J1134&gt;0,IFERROR(INDEX('통합 ④ 설정'!$E$6:$E$40,MATCH($D1134,'통합 ④ 설정'!$B$6:$B$40,0)),"")&lt;&gt;"○"),"바우처통장 지출 — 목적 확인",IF($H1134="","적요를 적으십시오",""))))))))))))</f>
        <v/>
      </c>
      <c r="M1134" s="39"/>
      <c r="O1134" s="11" t="str">
        <f aca="false">IF($B1134="","",YEAR($B1134)*100+MONTH($B1134))</f>
        <v/>
      </c>
      <c r="P1134" s="11" t="str">
        <f aca="false">IF($B1134="","",IF($E1134="대체",0,1))</f>
        <v/>
      </c>
    </row>
    <row r="1135" customFormat="false" ht="15" hidden="false" customHeight="false" outlineLevel="0" collapsed="false">
      <c r="A1135" s="36" t="str">
        <f aca="false">IF($B1135="","",COUNT($B$15:$B1135))</f>
        <v/>
      </c>
      <c r="B1135" s="37"/>
      <c r="C1135" s="38"/>
      <c r="D1135" s="39"/>
      <c r="E1135" s="36" t="str">
        <f aca="false">IF($D1135="","",IFERROR(INDEX('통합 ④ 설정'!$A$6:$A$40,MATCH($D1135,'통합 ④ 설정'!$B$6:$B$40,0)),"※없는 과목"))</f>
        <v/>
      </c>
      <c r="F1135" s="36" t="str">
        <f aca="false">IF($D1135="","",IFERROR(INDEX('통합 ④ 설정'!$C$6:$C$40,MATCH($D1135,'통합 ④ 설정'!$B$6:$B$40,0)),""))</f>
        <v/>
      </c>
      <c r="G1135" s="39"/>
      <c r="H1135" s="39"/>
      <c r="I1135" s="40"/>
      <c r="J1135" s="41"/>
      <c r="K1135" s="38"/>
      <c r="L1135" s="42" t="str">
        <f aca="false">IF($B1135="","",IF(AND(N($I1135)=0,N($J1135)=0),"금액이 없습니다",IF(AND($I1135&gt;0,$J1135&gt;0),"수입·지출 둘 다 적혔습니다",IF($C1135="","결제수단을 고르십시오",IF(ISNA(MATCH($C1135,'통합 ③ 통장·카드'!$A$5:$A$11,0)),"③ 통장·카드에 없는 결제수단입니다",IF($D1135="","계정과목을 고르십시오",IF($E1135="※없는 과목","④ 설정에 없는 과목입니다",IF(AND($E1135="수입",$J1135&gt;0),"수입 과목인데 지출에 적혔습니다",IF(AND(LEFT($E1135,2)&lt;&gt;"수입",$E1135&lt;&gt;"대체",$I1135&gt;0),"지출 과목인데 수입에 적혔습니다",IF($K1135="","증빙을 고르십시오",IF(AND($C1135="바우처통장",$J1135&gt;0,IFERROR(INDEX('통합 ④ 설정'!$E$6:$E$40,MATCH($D1135,'통합 ④ 설정'!$B$6:$B$40,0)),"")&lt;&gt;"○"),"바우처통장 지출 — 목적 확인",IF($H1135="","적요를 적으십시오",""))))))))))))</f>
        <v/>
      </c>
      <c r="M1135" s="39"/>
      <c r="O1135" s="11" t="str">
        <f aca="false">IF($B1135="","",YEAR($B1135)*100+MONTH($B1135))</f>
        <v/>
      </c>
      <c r="P1135" s="11" t="str">
        <f aca="false">IF($B1135="","",IF($E1135="대체",0,1))</f>
        <v/>
      </c>
    </row>
    <row r="1136" customFormat="false" ht="15" hidden="false" customHeight="false" outlineLevel="0" collapsed="false">
      <c r="A1136" s="36" t="str">
        <f aca="false">IF($B1136="","",COUNT($B$15:$B1136))</f>
        <v/>
      </c>
      <c r="B1136" s="37"/>
      <c r="C1136" s="38"/>
      <c r="D1136" s="39"/>
      <c r="E1136" s="36" t="str">
        <f aca="false">IF($D1136="","",IFERROR(INDEX('통합 ④ 설정'!$A$6:$A$40,MATCH($D1136,'통합 ④ 설정'!$B$6:$B$40,0)),"※없는 과목"))</f>
        <v/>
      </c>
      <c r="F1136" s="36" t="str">
        <f aca="false">IF($D1136="","",IFERROR(INDEX('통합 ④ 설정'!$C$6:$C$40,MATCH($D1136,'통합 ④ 설정'!$B$6:$B$40,0)),""))</f>
        <v/>
      </c>
      <c r="G1136" s="39"/>
      <c r="H1136" s="39"/>
      <c r="I1136" s="40"/>
      <c r="J1136" s="41"/>
      <c r="K1136" s="38"/>
      <c r="L1136" s="42" t="str">
        <f aca="false">IF($B1136="","",IF(AND(N($I1136)=0,N($J1136)=0),"금액이 없습니다",IF(AND($I1136&gt;0,$J1136&gt;0),"수입·지출 둘 다 적혔습니다",IF($C1136="","결제수단을 고르십시오",IF(ISNA(MATCH($C1136,'통합 ③ 통장·카드'!$A$5:$A$11,0)),"③ 통장·카드에 없는 결제수단입니다",IF($D1136="","계정과목을 고르십시오",IF($E1136="※없는 과목","④ 설정에 없는 과목입니다",IF(AND($E1136="수입",$J1136&gt;0),"수입 과목인데 지출에 적혔습니다",IF(AND(LEFT($E1136,2)&lt;&gt;"수입",$E1136&lt;&gt;"대체",$I1136&gt;0),"지출 과목인데 수입에 적혔습니다",IF($K1136="","증빙을 고르십시오",IF(AND($C1136="바우처통장",$J1136&gt;0,IFERROR(INDEX('통합 ④ 설정'!$E$6:$E$40,MATCH($D1136,'통합 ④ 설정'!$B$6:$B$40,0)),"")&lt;&gt;"○"),"바우처통장 지출 — 목적 확인",IF($H1136="","적요를 적으십시오",""))))))))))))</f>
        <v/>
      </c>
      <c r="M1136" s="39"/>
      <c r="O1136" s="11" t="str">
        <f aca="false">IF($B1136="","",YEAR($B1136)*100+MONTH($B1136))</f>
        <v/>
      </c>
      <c r="P1136" s="11" t="str">
        <f aca="false">IF($B1136="","",IF($E1136="대체",0,1))</f>
        <v/>
      </c>
    </row>
    <row r="1137" customFormat="false" ht="15" hidden="false" customHeight="false" outlineLevel="0" collapsed="false">
      <c r="A1137" s="36" t="str">
        <f aca="false">IF($B1137="","",COUNT($B$15:$B1137))</f>
        <v/>
      </c>
      <c r="B1137" s="37"/>
      <c r="C1137" s="38"/>
      <c r="D1137" s="39"/>
      <c r="E1137" s="36" t="str">
        <f aca="false">IF($D1137="","",IFERROR(INDEX('통합 ④ 설정'!$A$6:$A$40,MATCH($D1137,'통합 ④ 설정'!$B$6:$B$40,0)),"※없는 과목"))</f>
        <v/>
      </c>
      <c r="F1137" s="36" t="str">
        <f aca="false">IF($D1137="","",IFERROR(INDEX('통합 ④ 설정'!$C$6:$C$40,MATCH($D1137,'통합 ④ 설정'!$B$6:$B$40,0)),""))</f>
        <v/>
      </c>
      <c r="G1137" s="39"/>
      <c r="H1137" s="39"/>
      <c r="I1137" s="40"/>
      <c r="J1137" s="41"/>
      <c r="K1137" s="38"/>
      <c r="L1137" s="42" t="str">
        <f aca="false">IF($B1137="","",IF(AND(N($I1137)=0,N($J1137)=0),"금액이 없습니다",IF(AND($I1137&gt;0,$J1137&gt;0),"수입·지출 둘 다 적혔습니다",IF($C1137="","결제수단을 고르십시오",IF(ISNA(MATCH($C1137,'통합 ③ 통장·카드'!$A$5:$A$11,0)),"③ 통장·카드에 없는 결제수단입니다",IF($D1137="","계정과목을 고르십시오",IF($E1137="※없는 과목","④ 설정에 없는 과목입니다",IF(AND($E1137="수입",$J1137&gt;0),"수입 과목인데 지출에 적혔습니다",IF(AND(LEFT($E1137,2)&lt;&gt;"수입",$E1137&lt;&gt;"대체",$I1137&gt;0),"지출 과목인데 수입에 적혔습니다",IF($K1137="","증빙을 고르십시오",IF(AND($C1137="바우처통장",$J1137&gt;0,IFERROR(INDEX('통합 ④ 설정'!$E$6:$E$40,MATCH($D1137,'통합 ④ 설정'!$B$6:$B$40,0)),"")&lt;&gt;"○"),"바우처통장 지출 — 목적 확인",IF($H1137="","적요를 적으십시오",""))))))))))))</f>
        <v/>
      </c>
      <c r="M1137" s="39"/>
      <c r="O1137" s="11" t="str">
        <f aca="false">IF($B1137="","",YEAR($B1137)*100+MONTH($B1137))</f>
        <v/>
      </c>
      <c r="P1137" s="11" t="str">
        <f aca="false">IF($B1137="","",IF($E1137="대체",0,1))</f>
        <v/>
      </c>
    </row>
    <row r="1138" customFormat="false" ht="15" hidden="false" customHeight="false" outlineLevel="0" collapsed="false">
      <c r="A1138" s="36" t="str">
        <f aca="false">IF($B1138="","",COUNT($B$15:$B1138))</f>
        <v/>
      </c>
      <c r="B1138" s="37"/>
      <c r="C1138" s="38"/>
      <c r="D1138" s="39"/>
      <c r="E1138" s="36" t="str">
        <f aca="false">IF($D1138="","",IFERROR(INDEX('통합 ④ 설정'!$A$6:$A$40,MATCH($D1138,'통합 ④ 설정'!$B$6:$B$40,0)),"※없는 과목"))</f>
        <v/>
      </c>
      <c r="F1138" s="36" t="str">
        <f aca="false">IF($D1138="","",IFERROR(INDEX('통합 ④ 설정'!$C$6:$C$40,MATCH($D1138,'통합 ④ 설정'!$B$6:$B$40,0)),""))</f>
        <v/>
      </c>
      <c r="G1138" s="39"/>
      <c r="H1138" s="39"/>
      <c r="I1138" s="40"/>
      <c r="J1138" s="41"/>
      <c r="K1138" s="38"/>
      <c r="L1138" s="42" t="str">
        <f aca="false">IF($B1138="","",IF(AND(N($I1138)=0,N($J1138)=0),"금액이 없습니다",IF(AND($I1138&gt;0,$J1138&gt;0),"수입·지출 둘 다 적혔습니다",IF($C1138="","결제수단을 고르십시오",IF(ISNA(MATCH($C1138,'통합 ③ 통장·카드'!$A$5:$A$11,0)),"③ 통장·카드에 없는 결제수단입니다",IF($D1138="","계정과목을 고르십시오",IF($E1138="※없는 과목","④ 설정에 없는 과목입니다",IF(AND($E1138="수입",$J1138&gt;0),"수입 과목인데 지출에 적혔습니다",IF(AND(LEFT($E1138,2)&lt;&gt;"수입",$E1138&lt;&gt;"대체",$I1138&gt;0),"지출 과목인데 수입에 적혔습니다",IF($K1138="","증빙을 고르십시오",IF(AND($C1138="바우처통장",$J1138&gt;0,IFERROR(INDEX('통합 ④ 설정'!$E$6:$E$40,MATCH($D1138,'통합 ④ 설정'!$B$6:$B$40,0)),"")&lt;&gt;"○"),"바우처통장 지출 — 목적 확인",IF($H1138="","적요를 적으십시오",""))))))))))))</f>
        <v/>
      </c>
      <c r="M1138" s="39"/>
      <c r="O1138" s="11" t="str">
        <f aca="false">IF($B1138="","",YEAR($B1138)*100+MONTH($B1138))</f>
        <v/>
      </c>
      <c r="P1138" s="11" t="str">
        <f aca="false">IF($B1138="","",IF($E1138="대체",0,1))</f>
        <v/>
      </c>
    </row>
    <row r="1139" customFormat="false" ht="15" hidden="false" customHeight="false" outlineLevel="0" collapsed="false">
      <c r="A1139" s="36" t="str">
        <f aca="false">IF($B1139="","",COUNT($B$15:$B1139))</f>
        <v/>
      </c>
      <c r="B1139" s="37"/>
      <c r="C1139" s="38"/>
      <c r="D1139" s="39"/>
      <c r="E1139" s="36" t="str">
        <f aca="false">IF($D1139="","",IFERROR(INDEX('통합 ④ 설정'!$A$6:$A$40,MATCH($D1139,'통합 ④ 설정'!$B$6:$B$40,0)),"※없는 과목"))</f>
        <v/>
      </c>
      <c r="F1139" s="36" t="str">
        <f aca="false">IF($D1139="","",IFERROR(INDEX('통합 ④ 설정'!$C$6:$C$40,MATCH($D1139,'통합 ④ 설정'!$B$6:$B$40,0)),""))</f>
        <v/>
      </c>
      <c r="G1139" s="39"/>
      <c r="H1139" s="39"/>
      <c r="I1139" s="40"/>
      <c r="J1139" s="41"/>
      <c r="K1139" s="38"/>
      <c r="L1139" s="42" t="str">
        <f aca="false">IF($B1139="","",IF(AND(N($I1139)=0,N($J1139)=0),"금액이 없습니다",IF(AND($I1139&gt;0,$J1139&gt;0),"수입·지출 둘 다 적혔습니다",IF($C1139="","결제수단을 고르십시오",IF(ISNA(MATCH($C1139,'통합 ③ 통장·카드'!$A$5:$A$11,0)),"③ 통장·카드에 없는 결제수단입니다",IF($D1139="","계정과목을 고르십시오",IF($E1139="※없는 과목","④ 설정에 없는 과목입니다",IF(AND($E1139="수입",$J1139&gt;0),"수입 과목인데 지출에 적혔습니다",IF(AND(LEFT($E1139,2)&lt;&gt;"수입",$E1139&lt;&gt;"대체",$I1139&gt;0),"지출 과목인데 수입에 적혔습니다",IF($K1139="","증빙을 고르십시오",IF(AND($C1139="바우처통장",$J1139&gt;0,IFERROR(INDEX('통합 ④ 설정'!$E$6:$E$40,MATCH($D1139,'통합 ④ 설정'!$B$6:$B$40,0)),"")&lt;&gt;"○"),"바우처통장 지출 — 목적 확인",IF($H1139="","적요를 적으십시오",""))))))))))))</f>
        <v/>
      </c>
      <c r="M1139" s="39"/>
      <c r="O1139" s="11" t="str">
        <f aca="false">IF($B1139="","",YEAR($B1139)*100+MONTH($B1139))</f>
        <v/>
      </c>
      <c r="P1139" s="11" t="str">
        <f aca="false">IF($B1139="","",IF($E1139="대체",0,1))</f>
        <v/>
      </c>
    </row>
    <row r="1140" customFormat="false" ht="15" hidden="false" customHeight="false" outlineLevel="0" collapsed="false">
      <c r="A1140" s="36" t="str">
        <f aca="false">IF($B1140="","",COUNT($B$15:$B1140))</f>
        <v/>
      </c>
      <c r="B1140" s="37"/>
      <c r="C1140" s="38"/>
      <c r="D1140" s="39"/>
      <c r="E1140" s="36" t="str">
        <f aca="false">IF($D1140="","",IFERROR(INDEX('통합 ④ 설정'!$A$6:$A$40,MATCH($D1140,'통합 ④ 설정'!$B$6:$B$40,0)),"※없는 과목"))</f>
        <v/>
      </c>
      <c r="F1140" s="36" t="str">
        <f aca="false">IF($D1140="","",IFERROR(INDEX('통합 ④ 설정'!$C$6:$C$40,MATCH($D1140,'통합 ④ 설정'!$B$6:$B$40,0)),""))</f>
        <v/>
      </c>
      <c r="G1140" s="39"/>
      <c r="H1140" s="39"/>
      <c r="I1140" s="40"/>
      <c r="J1140" s="41"/>
      <c r="K1140" s="38"/>
      <c r="L1140" s="42" t="str">
        <f aca="false">IF($B1140="","",IF(AND(N($I1140)=0,N($J1140)=0),"금액이 없습니다",IF(AND($I1140&gt;0,$J1140&gt;0),"수입·지출 둘 다 적혔습니다",IF($C1140="","결제수단을 고르십시오",IF(ISNA(MATCH($C1140,'통합 ③ 통장·카드'!$A$5:$A$11,0)),"③ 통장·카드에 없는 결제수단입니다",IF($D1140="","계정과목을 고르십시오",IF($E1140="※없는 과목","④ 설정에 없는 과목입니다",IF(AND($E1140="수입",$J1140&gt;0),"수입 과목인데 지출에 적혔습니다",IF(AND(LEFT($E1140,2)&lt;&gt;"수입",$E1140&lt;&gt;"대체",$I1140&gt;0),"지출 과목인데 수입에 적혔습니다",IF($K1140="","증빙을 고르십시오",IF(AND($C1140="바우처통장",$J1140&gt;0,IFERROR(INDEX('통합 ④ 설정'!$E$6:$E$40,MATCH($D1140,'통합 ④ 설정'!$B$6:$B$40,0)),"")&lt;&gt;"○"),"바우처통장 지출 — 목적 확인",IF($H1140="","적요를 적으십시오",""))))))))))))</f>
        <v/>
      </c>
      <c r="M1140" s="39"/>
      <c r="O1140" s="11" t="str">
        <f aca="false">IF($B1140="","",YEAR($B1140)*100+MONTH($B1140))</f>
        <v/>
      </c>
      <c r="P1140" s="11" t="str">
        <f aca="false">IF($B1140="","",IF($E1140="대체",0,1))</f>
        <v/>
      </c>
    </row>
    <row r="1141" customFormat="false" ht="15" hidden="false" customHeight="false" outlineLevel="0" collapsed="false">
      <c r="A1141" s="36" t="str">
        <f aca="false">IF($B1141="","",COUNT($B$15:$B1141))</f>
        <v/>
      </c>
      <c r="B1141" s="37"/>
      <c r="C1141" s="38"/>
      <c r="D1141" s="39"/>
      <c r="E1141" s="36" t="str">
        <f aca="false">IF($D1141="","",IFERROR(INDEX('통합 ④ 설정'!$A$6:$A$40,MATCH($D1141,'통합 ④ 설정'!$B$6:$B$40,0)),"※없는 과목"))</f>
        <v/>
      </c>
      <c r="F1141" s="36" t="str">
        <f aca="false">IF($D1141="","",IFERROR(INDEX('통합 ④ 설정'!$C$6:$C$40,MATCH($D1141,'통합 ④ 설정'!$B$6:$B$40,0)),""))</f>
        <v/>
      </c>
      <c r="G1141" s="39"/>
      <c r="H1141" s="39"/>
      <c r="I1141" s="40"/>
      <c r="J1141" s="41"/>
      <c r="K1141" s="38"/>
      <c r="L1141" s="42" t="str">
        <f aca="false">IF($B1141="","",IF(AND(N($I1141)=0,N($J1141)=0),"금액이 없습니다",IF(AND($I1141&gt;0,$J1141&gt;0),"수입·지출 둘 다 적혔습니다",IF($C1141="","결제수단을 고르십시오",IF(ISNA(MATCH($C1141,'통합 ③ 통장·카드'!$A$5:$A$11,0)),"③ 통장·카드에 없는 결제수단입니다",IF($D1141="","계정과목을 고르십시오",IF($E1141="※없는 과목","④ 설정에 없는 과목입니다",IF(AND($E1141="수입",$J1141&gt;0),"수입 과목인데 지출에 적혔습니다",IF(AND(LEFT($E1141,2)&lt;&gt;"수입",$E1141&lt;&gt;"대체",$I1141&gt;0),"지출 과목인데 수입에 적혔습니다",IF($K1141="","증빙을 고르십시오",IF(AND($C1141="바우처통장",$J1141&gt;0,IFERROR(INDEX('통합 ④ 설정'!$E$6:$E$40,MATCH($D1141,'통합 ④ 설정'!$B$6:$B$40,0)),"")&lt;&gt;"○"),"바우처통장 지출 — 목적 확인",IF($H1141="","적요를 적으십시오",""))))))))))))</f>
        <v/>
      </c>
      <c r="M1141" s="39"/>
      <c r="O1141" s="11" t="str">
        <f aca="false">IF($B1141="","",YEAR($B1141)*100+MONTH($B1141))</f>
        <v/>
      </c>
      <c r="P1141" s="11" t="str">
        <f aca="false">IF($B1141="","",IF($E1141="대체",0,1))</f>
        <v/>
      </c>
    </row>
    <row r="1142" customFormat="false" ht="15" hidden="false" customHeight="false" outlineLevel="0" collapsed="false">
      <c r="A1142" s="36" t="str">
        <f aca="false">IF($B1142="","",COUNT($B$15:$B1142))</f>
        <v/>
      </c>
      <c r="B1142" s="37"/>
      <c r="C1142" s="38"/>
      <c r="D1142" s="39"/>
      <c r="E1142" s="36" t="str">
        <f aca="false">IF($D1142="","",IFERROR(INDEX('통합 ④ 설정'!$A$6:$A$40,MATCH($D1142,'통합 ④ 설정'!$B$6:$B$40,0)),"※없는 과목"))</f>
        <v/>
      </c>
      <c r="F1142" s="36" t="str">
        <f aca="false">IF($D1142="","",IFERROR(INDEX('통합 ④ 설정'!$C$6:$C$40,MATCH($D1142,'통합 ④ 설정'!$B$6:$B$40,0)),""))</f>
        <v/>
      </c>
      <c r="G1142" s="39"/>
      <c r="H1142" s="39"/>
      <c r="I1142" s="40"/>
      <c r="J1142" s="41"/>
      <c r="K1142" s="38"/>
      <c r="L1142" s="42" t="str">
        <f aca="false">IF($B1142="","",IF(AND(N($I1142)=0,N($J1142)=0),"금액이 없습니다",IF(AND($I1142&gt;0,$J1142&gt;0),"수입·지출 둘 다 적혔습니다",IF($C1142="","결제수단을 고르십시오",IF(ISNA(MATCH($C1142,'통합 ③ 통장·카드'!$A$5:$A$11,0)),"③ 통장·카드에 없는 결제수단입니다",IF($D1142="","계정과목을 고르십시오",IF($E1142="※없는 과목","④ 설정에 없는 과목입니다",IF(AND($E1142="수입",$J1142&gt;0),"수입 과목인데 지출에 적혔습니다",IF(AND(LEFT($E1142,2)&lt;&gt;"수입",$E1142&lt;&gt;"대체",$I1142&gt;0),"지출 과목인데 수입에 적혔습니다",IF($K1142="","증빙을 고르십시오",IF(AND($C1142="바우처통장",$J1142&gt;0,IFERROR(INDEX('통합 ④ 설정'!$E$6:$E$40,MATCH($D1142,'통합 ④ 설정'!$B$6:$B$40,0)),"")&lt;&gt;"○"),"바우처통장 지출 — 목적 확인",IF($H1142="","적요를 적으십시오",""))))))))))))</f>
        <v/>
      </c>
      <c r="M1142" s="39"/>
      <c r="O1142" s="11" t="str">
        <f aca="false">IF($B1142="","",YEAR($B1142)*100+MONTH($B1142))</f>
        <v/>
      </c>
      <c r="P1142" s="11" t="str">
        <f aca="false">IF($B1142="","",IF($E1142="대체",0,1))</f>
        <v/>
      </c>
    </row>
    <row r="1143" customFormat="false" ht="15" hidden="false" customHeight="false" outlineLevel="0" collapsed="false">
      <c r="A1143" s="36" t="str">
        <f aca="false">IF($B1143="","",COUNT($B$15:$B1143))</f>
        <v/>
      </c>
      <c r="B1143" s="37"/>
      <c r="C1143" s="38"/>
      <c r="D1143" s="39"/>
      <c r="E1143" s="36" t="str">
        <f aca="false">IF($D1143="","",IFERROR(INDEX('통합 ④ 설정'!$A$6:$A$40,MATCH($D1143,'통합 ④ 설정'!$B$6:$B$40,0)),"※없는 과목"))</f>
        <v/>
      </c>
      <c r="F1143" s="36" t="str">
        <f aca="false">IF($D1143="","",IFERROR(INDEX('통합 ④ 설정'!$C$6:$C$40,MATCH($D1143,'통합 ④ 설정'!$B$6:$B$40,0)),""))</f>
        <v/>
      </c>
      <c r="G1143" s="39"/>
      <c r="H1143" s="39"/>
      <c r="I1143" s="40"/>
      <c r="J1143" s="41"/>
      <c r="K1143" s="38"/>
      <c r="L1143" s="42" t="str">
        <f aca="false">IF($B1143="","",IF(AND(N($I1143)=0,N($J1143)=0),"금액이 없습니다",IF(AND($I1143&gt;0,$J1143&gt;0),"수입·지출 둘 다 적혔습니다",IF($C1143="","결제수단을 고르십시오",IF(ISNA(MATCH($C1143,'통합 ③ 통장·카드'!$A$5:$A$11,0)),"③ 통장·카드에 없는 결제수단입니다",IF($D1143="","계정과목을 고르십시오",IF($E1143="※없는 과목","④ 설정에 없는 과목입니다",IF(AND($E1143="수입",$J1143&gt;0),"수입 과목인데 지출에 적혔습니다",IF(AND(LEFT($E1143,2)&lt;&gt;"수입",$E1143&lt;&gt;"대체",$I1143&gt;0),"지출 과목인데 수입에 적혔습니다",IF($K1143="","증빙을 고르십시오",IF(AND($C1143="바우처통장",$J1143&gt;0,IFERROR(INDEX('통합 ④ 설정'!$E$6:$E$40,MATCH($D1143,'통합 ④ 설정'!$B$6:$B$40,0)),"")&lt;&gt;"○"),"바우처통장 지출 — 목적 확인",IF($H1143="","적요를 적으십시오",""))))))))))))</f>
        <v/>
      </c>
      <c r="M1143" s="39"/>
      <c r="O1143" s="11" t="str">
        <f aca="false">IF($B1143="","",YEAR($B1143)*100+MONTH($B1143))</f>
        <v/>
      </c>
      <c r="P1143" s="11" t="str">
        <f aca="false">IF($B1143="","",IF($E1143="대체",0,1))</f>
        <v/>
      </c>
    </row>
    <row r="1144" customFormat="false" ht="15" hidden="false" customHeight="false" outlineLevel="0" collapsed="false">
      <c r="A1144" s="36" t="str">
        <f aca="false">IF($B1144="","",COUNT($B$15:$B1144))</f>
        <v/>
      </c>
      <c r="B1144" s="37"/>
      <c r="C1144" s="38"/>
      <c r="D1144" s="39"/>
      <c r="E1144" s="36" t="str">
        <f aca="false">IF($D1144="","",IFERROR(INDEX('통합 ④ 설정'!$A$6:$A$40,MATCH($D1144,'통합 ④ 설정'!$B$6:$B$40,0)),"※없는 과목"))</f>
        <v/>
      </c>
      <c r="F1144" s="36" t="str">
        <f aca="false">IF($D1144="","",IFERROR(INDEX('통합 ④ 설정'!$C$6:$C$40,MATCH($D1144,'통합 ④ 설정'!$B$6:$B$40,0)),""))</f>
        <v/>
      </c>
      <c r="G1144" s="39"/>
      <c r="H1144" s="39"/>
      <c r="I1144" s="40"/>
      <c r="J1144" s="41"/>
      <c r="K1144" s="38"/>
      <c r="L1144" s="42" t="str">
        <f aca="false">IF($B1144="","",IF(AND(N($I1144)=0,N($J1144)=0),"금액이 없습니다",IF(AND($I1144&gt;0,$J1144&gt;0),"수입·지출 둘 다 적혔습니다",IF($C1144="","결제수단을 고르십시오",IF(ISNA(MATCH($C1144,'통합 ③ 통장·카드'!$A$5:$A$11,0)),"③ 통장·카드에 없는 결제수단입니다",IF($D1144="","계정과목을 고르십시오",IF($E1144="※없는 과목","④ 설정에 없는 과목입니다",IF(AND($E1144="수입",$J1144&gt;0),"수입 과목인데 지출에 적혔습니다",IF(AND(LEFT($E1144,2)&lt;&gt;"수입",$E1144&lt;&gt;"대체",$I1144&gt;0),"지출 과목인데 수입에 적혔습니다",IF($K1144="","증빙을 고르십시오",IF(AND($C1144="바우처통장",$J1144&gt;0,IFERROR(INDEX('통합 ④ 설정'!$E$6:$E$40,MATCH($D1144,'통합 ④ 설정'!$B$6:$B$40,0)),"")&lt;&gt;"○"),"바우처통장 지출 — 목적 확인",IF($H1144="","적요를 적으십시오",""))))))))))))</f>
        <v/>
      </c>
      <c r="M1144" s="39"/>
      <c r="O1144" s="11" t="str">
        <f aca="false">IF($B1144="","",YEAR($B1144)*100+MONTH($B1144))</f>
        <v/>
      </c>
      <c r="P1144" s="11" t="str">
        <f aca="false">IF($B1144="","",IF($E1144="대체",0,1))</f>
        <v/>
      </c>
    </row>
    <row r="1145" customFormat="false" ht="15" hidden="false" customHeight="false" outlineLevel="0" collapsed="false">
      <c r="A1145" s="36" t="str">
        <f aca="false">IF($B1145="","",COUNT($B$15:$B1145))</f>
        <v/>
      </c>
      <c r="B1145" s="37"/>
      <c r="C1145" s="38"/>
      <c r="D1145" s="39"/>
      <c r="E1145" s="36" t="str">
        <f aca="false">IF($D1145="","",IFERROR(INDEX('통합 ④ 설정'!$A$6:$A$40,MATCH($D1145,'통합 ④ 설정'!$B$6:$B$40,0)),"※없는 과목"))</f>
        <v/>
      </c>
      <c r="F1145" s="36" t="str">
        <f aca="false">IF($D1145="","",IFERROR(INDEX('통합 ④ 설정'!$C$6:$C$40,MATCH($D1145,'통합 ④ 설정'!$B$6:$B$40,0)),""))</f>
        <v/>
      </c>
      <c r="G1145" s="39"/>
      <c r="H1145" s="39"/>
      <c r="I1145" s="40"/>
      <c r="J1145" s="41"/>
      <c r="K1145" s="38"/>
      <c r="L1145" s="42" t="str">
        <f aca="false">IF($B1145="","",IF(AND(N($I1145)=0,N($J1145)=0),"금액이 없습니다",IF(AND($I1145&gt;0,$J1145&gt;0),"수입·지출 둘 다 적혔습니다",IF($C1145="","결제수단을 고르십시오",IF(ISNA(MATCH($C1145,'통합 ③ 통장·카드'!$A$5:$A$11,0)),"③ 통장·카드에 없는 결제수단입니다",IF($D1145="","계정과목을 고르십시오",IF($E1145="※없는 과목","④ 설정에 없는 과목입니다",IF(AND($E1145="수입",$J1145&gt;0),"수입 과목인데 지출에 적혔습니다",IF(AND(LEFT($E1145,2)&lt;&gt;"수입",$E1145&lt;&gt;"대체",$I1145&gt;0),"지출 과목인데 수입에 적혔습니다",IF($K1145="","증빙을 고르십시오",IF(AND($C1145="바우처통장",$J1145&gt;0,IFERROR(INDEX('통합 ④ 설정'!$E$6:$E$40,MATCH($D1145,'통합 ④ 설정'!$B$6:$B$40,0)),"")&lt;&gt;"○"),"바우처통장 지출 — 목적 확인",IF($H1145="","적요를 적으십시오",""))))))))))))</f>
        <v/>
      </c>
      <c r="M1145" s="39"/>
      <c r="O1145" s="11" t="str">
        <f aca="false">IF($B1145="","",YEAR($B1145)*100+MONTH($B1145))</f>
        <v/>
      </c>
      <c r="P1145" s="11" t="str">
        <f aca="false">IF($B1145="","",IF($E1145="대체",0,1))</f>
        <v/>
      </c>
    </row>
    <row r="1146" customFormat="false" ht="15" hidden="false" customHeight="false" outlineLevel="0" collapsed="false">
      <c r="A1146" s="36" t="str">
        <f aca="false">IF($B1146="","",COUNT($B$15:$B1146))</f>
        <v/>
      </c>
      <c r="B1146" s="37"/>
      <c r="C1146" s="38"/>
      <c r="D1146" s="39"/>
      <c r="E1146" s="36" t="str">
        <f aca="false">IF($D1146="","",IFERROR(INDEX('통합 ④ 설정'!$A$6:$A$40,MATCH($D1146,'통합 ④ 설정'!$B$6:$B$40,0)),"※없는 과목"))</f>
        <v/>
      </c>
      <c r="F1146" s="36" t="str">
        <f aca="false">IF($D1146="","",IFERROR(INDEX('통합 ④ 설정'!$C$6:$C$40,MATCH($D1146,'통합 ④ 설정'!$B$6:$B$40,0)),""))</f>
        <v/>
      </c>
      <c r="G1146" s="39"/>
      <c r="H1146" s="39"/>
      <c r="I1146" s="40"/>
      <c r="J1146" s="41"/>
      <c r="K1146" s="38"/>
      <c r="L1146" s="42" t="str">
        <f aca="false">IF($B1146="","",IF(AND(N($I1146)=0,N($J1146)=0),"금액이 없습니다",IF(AND($I1146&gt;0,$J1146&gt;0),"수입·지출 둘 다 적혔습니다",IF($C1146="","결제수단을 고르십시오",IF(ISNA(MATCH($C1146,'통합 ③ 통장·카드'!$A$5:$A$11,0)),"③ 통장·카드에 없는 결제수단입니다",IF($D1146="","계정과목을 고르십시오",IF($E1146="※없는 과목","④ 설정에 없는 과목입니다",IF(AND($E1146="수입",$J1146&gt;0),"수입 과목인데 지출에 적혔습니다",IF(AND(LEFT($E1146,2)&lt;&gt;"수입",$E1146&lt;&gt;"대체",$I1146&gt;0),"지출 과목인데 수입에 적혔습니다",IF($K1146="","증빙을 고르십시오",IF(AND($C1146="바우처통장",$J1146&gt;0,IFERROR(INDEX('통합 ④ 설정'!$E$6:$E$40,MATCH($D1146,'통합 ④ 설정'!$B$6:$B$40,0)),"")&lt;&gt;"○"),"바우처통장 지출 — 목적 확인",IF($H1146="","적요를 적으십시오",""))))))))))))</f>
        <v/>
      </c>
      <c r="M1146" s="39"/>
      <c r="O1146" s="11" t="str">
        <f aca="false">IF($B1146="","",YEAR($B1146)*100+MONTH($B1146))</f>
        <v/>
      </c>
      <c r="P1146" s="11" t="str">
        <f aca="false">IF($B1146="","",IF($E1146="대체",0,1))</f>
        <v/>
      </c>
    </row>
    <row r="1147" customFormat="false" ht="15" hidden="false" customHeight="false" outlineLevel="0" collapsed="false">
      <c r="A1147" s="36" t="str">
        <f aca="false">IF($B1147="","",COUNT($B$15:$B1147))</f>
        <v/>
      </c>
      <c r="B1147" s="37"/>
      <c r="C1147" s="38"/>
      <c r="D1147" s="39"/>
      <c r="E1147" s="36" t="str">
        <f aca="false">IF($D1147="","",IFERROR(INDEX('통합 ④ 설정'!$A$6:$A$40,MATCH($D1147,'통합 ④ 설정'!$B$6:$B$40,0)),"※없는 과목"))</f>
        <v/>
      </c>
      <c r="F1147" s="36" t="str">
        <f aca="false">IF($D1147="","",IFERROR(INDEX('통합 ④ 설정'!$C$6:$C$40,MATCH($D1147,'통합 ④ 설정'!$B$6:$B$40,0)),""))</f>
        <v/>
      </c>
      <c r="G1147" s="39"/>
      <c r="H1147" s="39"/>
      <c r="I1147" s="40"/>
      <c r="J1147" s="41"/>
      <c r="K1147" s="38"/>
      <c r="L1147" s="42" t="str">
        <f aca="false">IF($B1147="","",IF(AND(N($I1147)=0,N($J1147)=0),"금액이 없습니다",IF(AND($I1147&gt;0,$J1147&gt;0),"수입·지출 둘 다 적혔습니다",IF($C1147="","결제수단을 고르십시오",IF(ISNA(MATCH($C1147,'통합 ③ 통장·카드'!$A$5:$A$11,0)),"③ 통장·카드에 없는 결제수단입니다",IF($D1147="","계정과목을 고르십시오",IF($E1147="※없는 과목","④ 설정에 없는 과목입니다",IF(AND($E1147="수입",$J1147&gt;0),"수입 과목인데 지출에 적혔습니다",IF(AND(LEFT($E1147,2)&lt;&gt;"수입",$E1147&lt;&gt;"대체",$I1147&gt;0),"지출 과목인데 수입에 적혔습니다",IF($K1147="","증빙을 고르십시오",IF(AND($C1147="바우처통장",$J1147&gt;0,IFERROR(INDEX('통합 ④ 설정'!$E$6:$E$40,MATCH($D1147,'통합 ④ 설정'!$B$6:$B$40,0)),"")&lt;&gt;"○"),"바우처통장 지출 — 목적 확인",IF($H1147="","적요를 적으십시오",""))))))))))))</f>
        <v/>
      </c>
      <c r="M1147" s="39"/>
      <c r="O1147" s="11" t="str">
        <f aca="false">IF($B1147="","",YEAR($B1147)*100+MONTH($B1147))</f>
        <v/>
      </c>
      <c r="P1147" s="11" t="str">
        <f aca="false">IF($B1147="","",IF($E1147="대체",0,1))</f>
        <v/>
      </c>
    </row>
    <row r="1148" customFormat="false" ht="15" hidden="false" customHeight="false" outlineLevel="0" collapsed="false">
      <c r="A1148" s="36" t="str">
        <f aca="false">IF($B1148="","",COUNT($B$15:$B1148))</f>
        <v/>
      </c>
      <c r="B1148" s="37"/>
      <c r="C1148" s="38"/>
      <c r="D1148" s="39"/>
      <c r="E1148" s="36" t="str">
        <f aca="false">IF($D1148="","",IFERROR(INDEX('통합 ④ 설정'!$A$6:$A$40,MATCH($D1148,'통합 ④ 설정'!$B$6:$B$40,0)),"※없는 과목"))</f>
        <v/>
      </c>
      <c r="F1148" s="36" t="str">
        <f aca="false">IF($D1148="","",IFERROR(INDEX('통합 ④ 설정'!$C$6:$C$40,MATCH($D1148,'통합 ④ 설정'!$B$6:$B$40,0)),""))</f>
        <v/>
      </c>
      <c r="G1148" s="39"/>
      <c r="H1148" s="39"/>
      <c r="I1148" s="40"/>
      <c r="J1148" s="41"/>
      <c r="K1148" s="38"/>
      <c r="L1148" s="42" t="str">
        <f aca="false">IF($B1148="","",IF(AND(N($I1148)=0,N($J1148)=0),"금액이 없습니다",IF(AND($I1148&gt;0,$J1148&gt;0),"수입·지출 둘 다 적혔습니다",IF($C1148="","결제수단을 고르십시오",IF(ISNA(MATCH($C1148,'통합 ③ 통장·카드'!$A$5:$A$11,0)),"③ 통장·카드에 없는 결제수단입니다",IF($D1148="","계정과목을 고르십시오",IF($E1148="※없는 과목","④ 설정에 없는 과목입니다",IF(AND($E1148="수입",$J1148&gt;0),"수입 과목인데 지출에 적혔습니다",IF(AND(LEFT($E1148,2)&lt;&gt;"수입",$E1148&lt;&gt;"대체",$I1148&gt;0),"지출 과목인데 수입에 적혔습니다",IF($K1148="","증빙을 고르십시오",IF(AND($C1148="바우처통장",$J1148&gt;0,IFERROR(INDEX('통합 ④ 설정'!$E$6:$E$40,MATCH($D1148,'통합 ④ 설정'!$B$6:$B$40,0)),"")&lt;&gt;"○"),"바우처통장 지출 — 목적 확인",IF($H1148="","적요를 적으십시오",""))))))))))))</f>
        <v/>
      </c>
      <c r="M1148" s="39"/>
      <c r="O1148" s="11" t="str">
        <f aca="false">IF($B1148="","",YEAR($B1148)*100+MONTH($B1148))</f>
        <v/>
      </c>
      <c r="P1148" s="11" t="str">
        <f aca="false">IF($B1148="","",IF($E1148="대체",0,1))</f>
        <v/>
      </c>
    </row>
    <row r="1149" customFormat="false" ht="15" hidden="false" customHeight="false" outlineLevel="0" collapsed="false">
      <c r="A1149" s="36" t="str">
        <f aca="false">IF($B1149="","",COUNT($B$15:$B1149))</f>
        <v/>
      </c>
      <c r="B1149" s="37"/>
      <c r="C1149" s="38"/>
      <c r="D1149" s="39"/>
      <c r="E1149" s="36" t="str">
        <f aca="false">IF($D1149="","",IFERROR(INDEX('통합 ④ 설정'!$A$6:$A$40,MATCH($D1149,'통합 ④ 설정'!$B$6:$B$40,0)),"※없는 과목"))</f>
        <v/>
      </c>
      <c r="F1149" s="36" t="str">
        <f aca="false">IF($D1149="","",IFERROR(INDEX('통합 ④ 설정'!$C$6:$C$40,MATCH($D1149,'통합 ④ 설정'!$B$6:$B$40,0)),""))</f>
        <v/>
      </c>
      <c r="G1149" s="39"/>
      <c r="H1149" s="39"/>
      <c r="I1149" s="40"/>
      <c r="J1149" s="41"/>
      <c r="K1149" s="38"/>
      <c r="L1149" s="42" t="str">
        <f aca="false">IF($B1149="","",IF(AND(N($I1149)=0,N($J1149)=0),"금액이 없습니다",IF(AND($I1149&gt;0,$J1149&gt;0),"수입·지출 둘 다 적혔습니다",IF($C1149="","결제수단을 고르십시오",IF(ISNA(MATCH($C1149,'통합 ③ 통장·카드'!$A$5:$A$11,0)),"③ 통장·카드에 없는 결제수단입니다",IF($D1149="","계정과목을 고르십시오",IF($E1149="※없는 과목","④ 설정에 없는 과목입니다",IF(AND($E1149="수입",$J1149&gt;0),"수입 과목인데 지출에 적혔습니다",IF(AND(LEFT($E1149,2)&lt;&gt;"수입",$E1149&lt;&gt;"대체",$I1149&gt;0),"지출 과목인데 수입에 적혔습니다",IF($K1149="","증빙을 고르십시오",IF(AND($C1149="바우처통장",$J1149&gt;0,IFERROR(INDEX('통합 ④ 설정'!$E$6:$E$40,MATCH($D1149,'통합 ④ 설정'!$B$6:$B$40,0)),"")&lt;&gt;"○"),"바우처통장 지출 — 목적 확인",IF($H1149="","적요를 적으십시오",""))))))))))))</f>
        <v/>
      </c>
      <c r="M1149" s="39"/>
      <c r="O1149" s="11" t="str">
        <f aca="false">IF($B1149="","",YEAR($B1149)*100+MONTH($B1149))</f>
        <v/>
      </c>
      <c r="P1149" s="11" t="str">
        <f aca="false">IF($B1149="","",IF($E1149="대체",0,1))</f>
        <v/>
      </c>
    </row>
    <row r="1150" customFormat="false" ht="15" hidden="false" customHeight="false" outlineLevel="0" collapsed="false">
      <c r="A1150" s="36" t="str">
        <f aca="false">IF($B1150="","",COUNT($B$15:$B1150))</f>
        <v/>
      </c>
      <c r="B1150" s="37"/>
      <c r="C1150" s="38"/>
      <c r="D1150" s="39"/>
      <c r="E1150" s="36" t="str">
        <f aca="false">IF($D1150="","",IFERROR(INDEX('통합 ④ 설정'!$A$6:$A$40,MATCH($D1150,'통합 ④ 설정'!$B$6:$B$40,0)),"※없는 과목"))</f>
        <v/>
      </c>
      <c r="F1150" s="36" t="str">
        <f aca="false">IF($D1150="","",IFERROR(INDEX('통합 ④ 설정'!$C$6:$C$40,MATCH($D1150,'통합 ④ 설정'!$B$6:$B$40,0)),""))</f>
        <v/>
      </c>
      <c r="G1150" s="39"/>
      <c r="H1150" s="39"/>
      <c r="I1150" s="40"/>
      <c r="J1150" s="41"/>
      <c r="K1150" s="38"/>
      <c r="L1150" s="42" t="str">
        <f aca="false">IF($B1150="","",IF(AND(N($I1150)=0,N($J1150)=0),"금액이 없습니다",IF(AND($I1150&gt;0,$J1150&gt;0),"수입·지출 둘 다 적혔습니다",IF($C1150="","결제수단을 고르십시오",IF(ISNA(MATCH($C1150,'통합 ③ 통장·카드'!$A$5:$A$11,0)),"③ 통장·카드에 없는 결제수단입니다",IF($D1150="","계정과목을 고르십시오",IF($E1150="※없는 과목","④ 설정에 없는 과목입니다",IF(AND($E1150="수입",$J1150&gt;0),"수입 과목인데 지출에 적혔습니다",IF(AND(LEFT($E1150,2)&lt;&gt;"수입",$E1150&lt;&gt;"대체",$I1150&gt;0),"지출 과목인데 수입에 적혔습니다",IF($K1150="","증빙을 고르십시오",IF(AND($C1150="바우처통장",$J1150&gt;0,IFERROR(INDEX('통합 ④ 설정'!$E$6:$E$40,MATCH($D1150,'통합 ④ 설정'!$B$6:$B$40,0)),"")&lt;&gt;"○"),"바우처통장 지출 — 목적 확인",IF($H1150="","적요를 적으십시오",""))))))))))))</f>
        <v/>
      </c>
      <c r="M1150" s="39"/>
      <c r="O1150" s="11" t="str">
        <f aca="false">IF($B1150="","",YEAR($B1150)*100+MONTH($B1150))</f>
        <v/>
      </c>
      <c r="P1150" s="11" t="str">
        <f aca="false">IF($B1150="","",IF($E1150="대체",0,1))</f>
        <v/>
      </c>
    </row>
    <row r="1151" customFormat="false" ht="15" hidden="false" customHeight="false" outlineLevel="0" collapsed="false">
      <c r="A1151" s="36" t="str">
        <f aca="false">IF($B1151="","",COUNT($B$15:$B1151))</f>
        <v/>
      </c>
      <c r="B1151" s="37"/>
      <c r="C1151" s="38"/>
      <c r="D1151" s="39"/>
      <c r="E1151" s="36" t="str">
        <f aca="false">IF($D1151="","",IFERROR(INDEX('통합 ④ 설정'!$A$6:$A$40,MATCH($D1151,'통합 ④ 설정'!$B$6:$B$40,0)),"※없는 과목"))</f>
        <v/>
      </c>
      <c r="F1151" s="36" t="str">
        <f aca="false">IF($D1151="","",IFERROR(INDEX('통합 ④ 설정'!$C$6:$C$40,MATCH($D1151,'통합 ④ 설정'!$B$6:$B$40,0)),""))</f>
        <v/>
      </c>
      <c r="G1151" s="39"/>
      <c r="H1151" s="39"/>
      <c r="I1151" s="40"/>
      <c r="J1151" s="41"/>
      <c r="K1151" s="38"/>
      <c r="L1151" s="42" t="str">
        <f aca="false">IF($B1151="","",IF(AND(N($I1151)=0,N($J1151)=0),"금액이 없습니다",IF(AND($I1151&gt;0,$J1151&gt;0),"수입·지출 둘 다 적혔습니다",IF($C1151="","결제수단을 고르십시오",IF(ISNA(MATCH($C1151,'통합 ③ 통장·카드'!$A$5:$A$11,0)),"③ 통장·카드에 없는 결제수단입니다",IF($D1151="","계정과목을 고르십시오",IF($E1151="※없는 과목","④ 설정에 없는 과목입니다",IF(AND($E1151="수입",$J1151&gt;0),"수입 과목인데 지출에 적혔습니다",IF(AND(LEFT($E1151,2)&lt;&gt;"수입",$E1151&lt;&gt;"대체",$I1151&gt;0),"지출 과목인데 수입에 적혔습니다",IF($K1151="","증빙을 고르십시오",IF(AND($C1151="바우처통장",$J1151&gt;0,IFERROR(INDEX('통합 ④ 설정'!$E$6:$E$40,MATCH($D1151,'통합 ④ 설정'!$B$6:$B$40,0)),"")&lt;&gt;"○"),"바우처통장 지출 — 목적 확인",IF($H1151="","적요를 적으십시오",""))))))))))))</f>
        <v/>
      </c>
      <c r="M1151" s="39"/>
      <c r="O1151" s="11" t="str">
        <f aca="false">IF($B1151="","",YEAR($B1151)*100+MONTH($B1151))</f>
        <v/>
      </c>
      <c r="P1151" s="11" t="str">
        <f aca="false">IF($B1151="","",IF($E1151="대체",0,1))</f>
        <v/>
      </c>
    </row>
    <row r="1152" customFormat="false" ht="15" hidden="false" customHeight="false" outlineLevel="0" collapsed="false">
      <c r="A1152" s="36" t="str">
        <f aca="false">IF($B1152="","",COUNT($B$15:$B1152))</f>
        <v/>
      </c>
      <c r="B1152" s="37"/>
      <c r="C1152" s="38"/>
      <c r="D1152" s="39"/>
      <c r="E1152" s="36" t="str">
        <f aca="false">IF($D1152="","",IFERROR(INDEX('통합 ④ 설정'!$A$6:$A$40,MATCH($D1152,'통합 ④ 설정'!$B$6:$B$40,0)),"※없는 과목"))</f>
        <v/>
      </c>
      <c r="F1152" s="36" t="str">
        <f aca="false">IF($D1152="","",IFERROR(INDEX('통합 ④ 설정'!$C$6:$C$40,MATCH($D1152,'통합 ④ 설정'!$B$6:$B$40,0)),""))</f>
        <v/>
      </c>
      <c r="G1152" s="39"/>
      <c r="H1152" s="39"/>
      <c r="I1152" s="40"/>
      <c r="J1152" s="41"/>
      <c r="K1152" s="38"/>
      <c r="L1152" s="42" t="str">
        <f aca="false">IF($B1152="","",IF(AND(N($I1152)=0,N($J1152)=0),"금액이 없습니다",IF(AND($I1152&gt;0,$J1152&gt;0),"수입·지출 둘 다 적혔습니다",IF($C1152="","결제수단을 고르십시오",IF(ISNA(MATCH($C1152,'통합 ③ 통장·카드'!$A$5:$A$11,0)),"③ 통장·카드에 없는 결제수단입니다",IF($D1152="","계정과목을 고르십시오",IF($E1152="※없는 과목","④ 설정에 없는 과목입니다",IF(AND($E1152="수입",$J1152&gt;0),"수입 과목인데 지출에 적혔습니다",IF(AND(LEFT($E1152,2)&lt;&gt;"수입",$E1152&lt;&gt;"대체",$I1152&gt;0),"지출 과목인데 수입에 적혔습니다",IF($K1152="","증빙을 고르십시오",IF(AND($C1152="바우처통장",$J1152&gt;0,IFERROR(INDEX('통합 ④ 설정'!$E$6:$E$40,MATCH($D1152,'통합 ④ 설정'!$B$6:$B$40,0)),"")&lt;&gt;"○"),"바우처통장 지출 — 목적 확인",IF($H1152="","적요를 적으십시오",""))))))))))))</f>
        <v/>
      </c>
      <c r="M1152" s="39"/>
      <c r="O1152" s="11" t="str">
        <f aca="false">IF($B1152="","",YEAR($B1152)*100+MONTH($B1152))</f>
        <v/>
      </c>
      <c r="P1152" s="11" t="str">
        <f aca="false">IF($B1152="","",IF($E1152="대체",0,1))</f>
        <v/>
      </c>
    </row>
    <row r="1153" customFormat="false" ht="15" hidden="false" customHeight="false" outlineLevel="0" collapsed="false">
      <c r="A1153" s="36" t="str">
        <f aca="false">IF($B1153="","",COUNT($B$15:$B1153))</f>
        <v/>
      </c>
      <c r="B1153" s="37"/>
      <c r="C1153" s="38"/>
      <c r="D1153" s="39"/>
      <c r="E1153" s="36" t="str">
        <f aca="false">IF($D1153="","",IFERROR(INDEX('통합 ④ 설정'!$A$6:$A$40,MATCH($D1153,'통합 ④ 설정'!$B$6:$B$40,0)),"※없는 과목"))</f>
        <v/>
      </c>
      <c r="F1153" s="36" t="str">
        <f aca="false">IF($D1153="","",IFERROR(INDEX('통합 ④ 설정'!$C$6:$C$40,MATCH($D1153,'통합 ④ 설정'!$B$6:$B$40,0)),""))</f>
        <v/>
      </c>
      <c r="G1153" s="39"/>
      <c r="H1153" s="39"/>
      <c r="I1153" s="40"/>
      <c r="J1153" s="41"/>
      <c r="K1153" s="38"/>
      <c r="L1153" s="42" t="str">
        <f aca="false">IF($B1153="","",IF(AND(N($I1153)=0,N($J1153)=0),"금액이 없습니다",IF(AND($I1153&gt;0,$J1153&gt;0),"수입·지출 둘 다 적혔습니다",IF($C1153="","결제수단을 고르십시오",IF(ISNA(MATCH($C1153,'통합 ③ 통장·카드'!$A$5:$A$11,0)),"③ 통장·카드에 없는 결제수단입니다",IF($D1153="","계정과목을 고르십시오",IF($E1153="※없는 과목","④ 설정에 없는 과목입니다",IF(AND($E1153="수입",$J1153&gt;0),"수입 과목인데 지출에 적혔습니다",IF(AND(LEFT($E1153,2)&lt;&gt;"수입",$E1153&lt;&gt;"대체",$I1153&gt;0),"지출 과목인데 수입에 적혔습니다",IF($K1153="","증빙을 고르십시오",IF(AND($C1153="바우처통장",$J1153&gt;0,IFERROR(INDEX('통합 ④ 설정'!$E$6:$E$40,MATCH($D1153,'통합 ④ 설정'!$B$6:$B$40,0)),"")&lt;&gt;"○"),"바우처통장 지출 — 목적 확인",IF($H1153="","적요를 적으십시오",""))))))))))))</f>
        <v/>
      </c>
      <c r="M1153" s="39"/>
      <c r="O1153" s="11" t="str">
        <f aca="false">IF($B1153="","",YEAR($B1153)*100+MONTH($B1153))</f>
        <v/>
      </c>
      <c r="P1153" s="11" t="str">
        <f aca="false">IF($B1153="","",IF($E1153="대체",0,1))</f>
        <v/>
      </c>
    </row>
    <row r="1154" customFormat="false" ht="15" hidden="false" customHeight="false" outlineLevel="0" collapsed="false">
      <c r="A1154" s="36" t="str">
        <f aca="false">IF($B1154="","",COUNT($B$15:$B1154))</f>
        <v/>
      </c>
      <c r="B1154" s="37"/>
      <c r="C1154" s="38"/>
      <c r="D1154" s="39"/>
      <c r="E1154" s="36" t="str">
        <f aca="false">IF($D1154="","",IFERROR(INDEX('통합 ④ 설정'!$A$6:$A$40,MATCH($D1154,'통합 ④ 설정'!$B$6:$B$40,0)),"※없는 과목"))</f>
        <v/>
      </c>
      <c r="F1154" s="36" t="str">
        <f aca="false">IF($D1154="","",IFERROR(INDEX('통합 ④ 설정'!$C$6:$C$40,MATCH($D1154,'통합 ④ 설정'!$B$6:$B$40,0)),""))</f>
        <v/>
      </c>
      <c r="G1154" s="39"/>
      <c r="H1154" s="39"/>
      <c r="I1154" s="40"/>
      <c r="J1154" s="41"/>
      <c r="K1154" s="38"/>
      <c r="L1154" s="42" t="str">
        <f aca="false">IF($B1154="","",IF(AND(N($I1154)=0,N($J1154)=0),"금액이 없습니다",IF(AND($I1154&gt;0,$J1154&gt;0),"수입·지출 둘 다 적혔습니다",IF($C1154="","결제수단을 고르십시오",IF(ISNA(MATCH($C1154,'통합 ③ 통장·카드'!$A$5:$A$11,0)),"③ 통장·카드에 없는 결제수단입니다",IF($D1154="","계정과목을 고르십시오",IF($E1154="※없는 과목","④ 설정에 없는 과목입니다",IF(AND($E1154="수입",$J1154&gt;0),"수입 과목인데 지출에 적혔습니다",IF(AND(LEFT($E1154,2)&lt;&gt;"수입",$E1154&lt;&gt;"대체",$I1154&gt;0),"지출 과목인데 수입에 적혔습니다",IF($K1154="","증빙을 고르십시오",IF(AND($C1154="바우처통장",$J1154&gt;0,IFERROR(INDEX('통합 ④ 설정'!$E$6:$E$40,MATCH($D1154,'통합 ④ 설정'!$B$6:$B$40,0)),"")&lt;&gt;"○"),"바우처통장 지출 — 목적 확인",IF($H1154="","적요를 적으십시오",""))))))))))))</f>
        <v/>
      </c>
      <c r="M1154" s="39"/>
      <c r="O1154" s="11" t="str">
        <f aca="false">IF($B1154="","",YEAR($B1154)*100+MONTH($B1154))</f>
        <v/>
      </c>
      <c r="P1154" s="11" t="str">
        <f aca="false">IF($B1154="","",IF($E1154="대체",0,1))</f>
        <v/>
      </c>
    </row>
    <row r="1155" customFormat="false" ht="15" hidden="false" customHeight="false" outlineLevel="0" collapsed="false">
      <c r="A1155" s="36" t="str">
        <f aca="false">IF($B1155="","",COUNT($B$15:$B1155))</f>
        <v/>
      </c>
      <c r="B1155" s="37"/>
      <c r="C1155" s="38"/>
      <c r="D1155" s="39"/>
      <c r="E1155" s="36" t="str">
        <f aca="false">IF($D1155="","",IFERROR(INDEX('통합 ④ 설정'!$A$6:$A$40,MATCH($D1155,'통합 ④ 설정'!$B$6:$B$40,0)),"※없는 과목"))</f>
        <v/>
      </c>
      <c r="F1155" s="36" t="str">
        <f aca="false">IF($D1155="","",IFERROR(INDEX('통합 ④ 설정'!$C$6:$C$40,MATCH($D1155,'통합 ④ 설정'!$B$6:$B$40,0)),""))</f>
        <v/>
      </c>
      <c r="G1155" s="39"/>
      <c r="H1155" s="39"/>
      <c r="I1155" s="40"/>
      <c r="J1155" s="41"/>
      <c r="K1155" s="38"/>
      <c r="L1155" s="42" t="str">
        <f aca="false">IF($B1155="","",IF(AND(N($I1155)=0,N($J1155)=0),"금액이 없습니다",IF(AND($I1155&gt;0,$J1155&gt;0),"수입·지출 둘 다 적혔습니다",IF($C1155="","결제수단을 고르십시오",IF(ISNA(MATCH($C1155,'통합 ③ 통장·카드'!$A$5:$A$11,0)),"③ 통장·카드에 없는 결제수단입니다",IF($D1155="","계정과목을 고르십시오",IF($E1155="※없는 과목","④ 설정에 없는 과목입니다",IF(AND($E1155="수입",$J1155&gt;0),"수입 과목인데 지출에 적혔습니다",IF(AND(LEFT($E1155,2)&lt;&gt;"수입",$E1155&lt;&gt;"대체",$I1155&gt;0),"지출 과목인데 수입에 적혔습니다",IF($K1155="","증빙을 고르십시오",IF(AND($C1155="바우처통장",$J1155&gt;0,IFERROR(INDEX('통합 ④ 설정'!$E$6:$E$40,MATCH($D1155,'통합 ④ 설정'!$B$6:$B$40,0)),"")&lt;&gt;"○"),"바우처통장 지출 — 목적 확인",IF($H1155="","적요를 적으십시오",""))))))))))))</f>
        <v/>
      </c>
      <c r="M1155" s="39"/>
      <c r="O1155" s="11" t="str">
        <f aca="false">IF($B1155="","",YEAR($B1155)*100+MONTH($B1155))</f>
        <v/>
      </c>
      <c r="P1155" s="11" t="str">
        <f aca="false">IF($B1155="","",IF($E1155="대체",0,1))</f>
        <v/>
      </c>
    </row>
    <row r="1156" customFormat="false" ht="15" hidden="false" customHeight="false" outlineLevel="0" collapsed="false">
      <c r="A1156" s="36" t="str">
        <f aca="false">IF($B1156="","",COUNT($B$15:$B1156))</f>
        <v/>
      </c>
      <c r="B1156" s="37"/>
      <c r="C1156" s="38"/>
      <c r="D1156" s="39"/>
      <c r="E1156" s="36" t="str">
        <f aca="false">IF($D1156="","",IFERROR(INDEX('통합 ④ 설정'!$A$6:$A$40,MATCH($D1156,'통합 ④ 설정'!$B$6:$B$40,0)),"※없는 과목"))</f>
        <v/>
      </c>
      <c r="F1156" s="36" t="str">
        <f aca="false">IF($D1156="","",IFERROR(INDEX('통합 ④ 설정'!$C$6:$C$40,MATCH($D1156,'통합 ④ 설정'!$B$6:$B$40,0)),""))</f>
        <v/>
      </c>
      <c r="G1156" s="39"/>
      <c r="H1156" s="39"/>
      <c r="I1156" s="40"/>
      <c r="J1156" s="41"/>
      <c r="K1156" s="38"/>
      <c r="L1156" s="42" t="str">
        <f aca="false">IF($B1156="","",IF(AND(N($I1156)=0,N($J1156)=0),"금액이 없습니다",IF(AND($I1156&gt;0,$J1156&gt;0),"수입·지출 둘 다 적혔습니다",IF($C1156="","결제수단을 고르십시오",IF(ISNA(MATCH($C1156,'통합 ③ 통장·카드'!$A$5:$A$11,0)),"③ 통장·카드에 없는 결제수단입니다",IF($D1156="","계정과목을 고르십시오",IF($E1156="※없는 과목","④ 설정에 없는 과목입니다",IF(AND($E1156="수입",$J1156&gt;0),"수입 과목인데 지출에 적혔습니다",IF(AND(LEFT($E1156,2)&lt;&gt;"수입",$E1156&lt;&gt;"대체",$I1156&gt;0),"지출 과목인데 수입에 적혔습니다",IF($K1156="","증빙을 고르십시오",IF(AND($C1156="바우처통장",$J1156&gt;0,IFERROR(INDEX('통합 ④ 설정'!$E$6:$E$40,MATCH($D1156,'통합 ④ 설정'!$B$6:$B$40,0)),"")&lt;&gt;"○"),"바우처통장 지출 — 목적 확인",IF($H1156="","적요를 적으십시오",""))))))))))))</f>
        <v/>
      </c>
      <c r="M1156" s="39"/>
      <c r="O1156" s="11" t="str">
        <f aca="false">IF($B1156="","",YEAR($B1156)*100+MONTH($B1156))</f>
        <v/>
      </c>
      <c r="P1156" s="11" t="str">
        <f aca="false">IF($B1156="","",IF($E1156="대체",0,1))</f>
        <v/>
      </c>
    </row>
    <row r="1157" customFormat="false" ht="15" hidden="false" customHeight="false" outlineLevel="0" collapsed="false">
      <c r="A1157" s="36" t="str">
        <f aca="false">IF($B1157="","",COUNT($B$15:$B1157))</f>
        <v/>
      </c>
      <c r="B1157" s="37"/>
      <c r="C1157" s="38"/>
      <c r="D1157" s="39"/>
      <c r="E1157" s="36" t="str">
        <f aca="false">IF($D1157="","",IFERROR(INDEX('통합 ④ 설정'!$A$6:$A$40,MATCH($D1157,'통합 ④ 설정'!$B$6:$B$40,0)),"※없는 과목"))</f>
        <v/>
      </c>
      <c r="F1157" s="36" t="str">
        <f aca="false">IF($D1157="","",IFERROR(INDEX('통합 ④ 설정'!$C$6:$C$40,MATCH($D1157,'통합 ④ 설정'!$B$6:$B$40,0)),""))</f>
        <v/>
      </c>
      <c r="G1157" s="39"/>
      <c r="H1157" s="39"/>
      <c r="I1157" s="40"/>
      <c r="J1157" s="41"/>
      <c r="K1157" s="38"/>
      <c r="L1157" s="42" t="str">
        <f aca="false">IF($B1157="","",IF(AND(N($I1157)=0,N($J1157)=0),"금액이 없습니다",IF(AND($I1157&gt;0,$J1157&gt;0),"수입·지출 둘 다 적혔습니다",IF($C1157="","결제수단을 고르십시오",IF(ISNA(MATCH($C1157,'통합 ③ 통장·카드'!$A$5:$A$11,0)),"③ 통장·카드에 없는 결제수단입니다",IF($D1157="","계정과목을 고르십시오",IF($E1157="※없는 과목","④ 설정에 없는 과목입니다",IF(AND($E1157="수입",$J1157&gt;0),"수입 과목인데 지출에 적혔습니다",IF(AND(LEFT($E1157,2)&lt;&gt;"수입",$E1157&lt;&gt;"대체",$I1157&gt;0),"지출 과목인데 수입에 적혔습니다",IF($K1157="","증빙을 고르십시오",IF(AND($C1157="바우처통장",$J1157&gt;0,IFERROR(INDEX('통합 ④ 설정'!$E$6:$E$40,MATCH($D1157,'통합 ④ 설정'!$B$6:$B$40,0)),"")&lt;&gt;"○"),"바우처통장 지출 — 목적 확인",IF($H1157="","적요를 적으십시오",""))))))))))))</f>
        <v/>
      </c>
      <c r="M1157" s="39"/>
      <c r="O1157" s="11" t="str">
        <f aca="false">IF($B1157="","",YEAR($B1157)*100+MONTH($B1157))</f>
        <v/>
      </c>
      <c r="P1157" s="11" t="str">
        <f aca="false">IF($B1157="","",IF($E1157="대체",0,1))</f>
        <v/>
      </c>
    </row>
    <row r="1158" customFormat="false" ht="15" hidden="false" customHeight="false" outlineLevel="0" collapsed="false">
      <c r="A1158" s="36" t="str">
        <f aca="false">IF($B1158="","",COUNT($B$15:$B1158))</f>
        <v/>
      </c>
      <c r="B1158" s="37"/>
      <c r="C1158" s="38"/>
      <c r="D1158" s="39"/>
      <c r="E1158" s="36" t="str">
        <f aca="false">IF($D1158="","",IFERROR(INDEX('통합 ④ 설정'!$A$6:$A$40,MATCH($D1158,'통합 ④ 설정'!$B$6:$B$40,0)),"※없는 과목"))</f>
        <v/>
      </c>
      <c r="F1158" s="36" t="str">
        <f aca="false">IF($D1158="","",IFERROR(INDEX('통합 ④ 설정'!$C$6:$C$40,MATCH($D1158,'통합 ④ 설정'!$B$6:$B$40,0)),""))</f>
        <v/>
      </c>
      <c r="G1158" s="39"/>
      <c r="H1158" s="39"/>
      <c r="I1158" s="40"/>
      <c r="J1158" s="41"/>
      <c r="K1158" s="38"/>
      <c r="L1158" s="42" t="str">
        <f aca="false">IF($B1158="","",IF(AND(N($I1158)=0,N($J1158)=0),"금액이 없습니다",IF(AND($I1158&gt;0,$J1158&gt;0),"수입·지출 둘 다 적혔습니다",IF($C1158="","결제수단을 고르십시오",IF(ISNA(MATCH($C1158,'통합 ③ 통장·카드'!$A$5:$A$11,0)),"③ 통장·카드에 없는 결제수단입니다",IF($D1158="","계정과목을 고르십시오",IF($E1158="※없는 과목","④ 설정에 없는 과목입니다",IF(AND($E1158="수입",$J1158&gt;0),"수입 과목인데 지출에 적혔습니다",IF(AND(LEFT($E1158,2)&lt;&gt;"수입",$E1158&lt;&gt;"대체",$I1158&gt;0),"지출 과목인데 수입에 적혔습니다",IF($K1158="","증빙을 고르십시오",IF(AND($C1158="바우처통장",$J1158&gt;0,IFERROR(INDEX('통합 ④ 설정'!$E$6:$E$40,MATCH($D1158,'통합 ④ 설정'!$B$6:$B$40,0)),"")&lt;&gt;"○"),"바우처통장 지출 — 목적 확인",IF($H1158="","적요를 적으십시오",""))))))))))))</f>
        <v/>
      </c>
      <c r="M1158" s="39"/>
      <c r="O1158" s="11" t="str">
        <f aca="false">IF($B1158="","",YEAR($B1158)*100+MONTH($B1158))</f>
        <v/>
      </c>
      <c r="P1158" s="11" t="str">
        <f aca="false">IF($B1158="","",IF($E1158="대체",0,1))</f>
        <v/>
      </c>
    </row>
    <row r="1159" customFormat="false" ht="15" hidden="false" customHeight="false" outlineLevel="0" collapsed="false">
      <c r="A1159" s="36" t="str">
        <f aca="false">IF($B1159="","",COUNT($B$15:$B1159))</f>
        <v/>
      </c>
      <c r="B1159" s="37"/>
      <c r="C1159" s="38"/>
      <c r="D1159" s="39"/>
      <c r="E1159" s="36" t="str">
        <f aca="false">IF($D1159="","",IFERROR(INDEX('통합 ④ 설정'!$A$6:$A$40,MATCH($D1159,'통합 ④ 설정'!$B$6:$B$40,0)),"※없는 과목"))</f>
        <v/>
      </c>
      <c r="F1159" s="36" t="str">
        <f aca="false">IF($D1159="","",IFERROR(INDEX('통합 ④ 설정'!$C$6:$C$40,MATCH($D1159,'통합 ④ 설정'!$B$6:$B$40,0)),""))</f>
        <v/>
      </c>
      <c r="G1159" s="39"/>
      <c r="H1159" s="39"/>
      <c r="I1159" s="40"/>
      <c r="J1159" s="41"/>
      <c r="K1159" s="38"/>
      <c r="L1159" s="42" t="str">
        <f aca="false">IF($B1159="","",IF(AND(N($I1159)=0,N($J1159)=0),"금액이 없습니다",IF(AND($I1159&gt;0,$J1159&gt;0),"수입·지출 둘 다 적혔습니다",IF($C1159="","결제수단을 고르십시오",IF(ISNA(MATCH($C1159,'통합 ③ 통장·카드'!$A$5:$A$11,0)),"③ 통장·카드에 없는 결제수단입니다",IF($D1159="","계정과목을 고르십시오",IF($E1159="※없는 과목","④ 설정에 없는 과목입니다",IF(AND($E1159="수입",$J1159&gt;0),"수입 과목인데 지출에 적혔습니다",IF(AND(LEFT($E1159,2)&lt;&gt;"수입",$E1159&lt;&gt;"대체",$I1159&gt;0),"지출 과목인데 수입에 적혔습니다",IF($K1159="","증빙을 고르십시오",IF(AND($C1159="바우처통장",$J1159&gt;0,IFERROR(INDEX('통합 ④ 설정'!$E$6:$E$40,MATCH($D1159,'통합 ④ 설정'!$B$6:$B$40,0)),"")&lt;&gt;"○"),"바우처통장 지출 — 목적 확인",IF($H1159="","적요를 적으십시오",""))))))))))))</f>
        <v/>
      </c>
      <c r="M1159" s="39"/>
      <c r="O1159" s="11" t="str">
        <f aca="false">IF($B1159="","",YEAR($B1159)*100+MONTH($B1159))</f>
        <v/>
      </c>
      <c r="P1159" s="11" t="str">
        <f aca="false">IF($B1159="","",IF($E1159="대체",0,1))</f>
        <v/>
      </c>
    </row>
    <row r="1160" customFormat="false" ht="15" hidden="false" customHeight="false" outlineLevel="0" collapsed="false">
      <c r="A1160" s="36" t="str">
        <f aca="false">IF($B1160="","",COUNT($B$15:$B1160))</f>
        <v/>
      </c>
      <c r="B1160" s="37"/>
      <c r="C1160" s="38"/>
      <c r="D1160" s="39"/>
      <c r="E1160" s="36" t="str">
        <f aca="false">IF($D1160="","",IFERROR(INDEX('통합 ④ 설정'!$A$6:$A$40,MATCH($D1160,'통합 ④ 설정'!$B$6:$B$40,0)),"※없는 과목"))</f>
        <v/>
      </c>
      <c r="F1160" s="36" t="str">
        <f aca="false">IF($D1160="","",IFERROR(INDEX('통합 ④ 설정'!$C$6:$C$40,MATCH($D1160,'통합 ④ 설정'!$B$6:$B$40,0)),""))</f>
        <v/>
      </c>
      <c r="G1160" s="39"/>
      <c r="H1160" s="39"/>
      <c r="I1160" s="40"/>
      <c r="J1160" s="41"/>
      <c r="K1160" s="38"/>
      <c r="L1160" s="42" t="str">
        <f aca="false">IF($B1160="","",IF(AND(N($I1160)=0,N($J1160)=0),"금액이 없습니다",IF(AND($I1160&gt;0,$J1160&gt;0),"수입·지출 둘 다 적혔습니다",IF($C1160="","결제수단을 고르십시오",IF(ISNA(MATCH($C1160,'통합 ③ 통장·카드'!$A$5:$A$11,0)),"③ 통장·카드에 없는 결제수단입니다",IF($D1160="","계정과목을 고르십시오",IF($E1160="※없는 과목","④ 설정에 없는 과목입니다",IF(AND($E1160="수입",$J1160&gt;0),"수입 과목인데 지출에 적혔습니다",IF(AND(LEFT($E1160,2)&lt;&gt;"수입",$E1160&lt;&gt;"대체",$I1160&gt;0),"지출 과목인데 수입에 적혔습니다",IF($K1160="","증빙을 고르십시오",IF(AND($C1160="바우처통장",$J1160&gt;0,IFERROR(INDEX('통합 ④ 설정'!$E$6:$E$40,MATCH($D1160,'통합 ④ 설정'!$B$6:$B$40,0)),"")&lt;&gt;"○"),"바우처통장 지출 — 목적 확인",IF($H1160="","적요를 적으십시오",""))))))))))))</f>
        <v/>
      </c>
      <c r="M1160" s="39"/>
      <c r="O1160" s="11" t="str">
        <f aca="false">IF($B1160="","",YEAR($B1160)*100+MONTH($B1160))</f>
        <v/>
      </c>
      <c r="P1160" s="11" t="str">
        <f aca="false">IF($B1160="","",IF($E1160="대체",0,1))</f>
        <v/>
      </c>
    </row>
    <row r="1161" customFormat="false" ht="15" hidden="false" customHeight="false" outlineLevel="0" collapsed="false">
      <c r="A1161" s="36" t="str">
        <f aca="false">IF($B1161="","",COUNT($B$15:$B1161))</f>
        <v/>
      </c>
      <c r="B1161" s="37"/>
      <c r="C1161" s="38"/>
      <c r="D1161" s="39"/>
      <c r="E1161" s="36" t="str">
        <f aca="false">IF($D1161="","",IFERROR(INDEX('통합 ④ 설정'!$A$6:$A$40,MATCH($D1161,'통합 ④ 설정'!$B$6:$B$40,0)),"※없는 과목"))</f>
        <v/>
      </c>
      <c r="F1161" s="36" t="str">
        <f aca="false">IF($D1161="","",IFERROR(INDEX('통합 ④ 설정'!$C$6:$C$40,MATCH($D1161,'통합 ④ 설정'!$B$6:$B$40,0)),""))</f>
        <v/>
      </c>
      <c r="G1161" s="39"/>
      <c r="H1161" s="39"/>
      <c r="I1161" s="40"/>
      <c r="J1161" s="41"/>
      <c r="K1161" s="38"/>
      <c r="L1161" s="42" t="str">
        <f aca="false">IF($B1161="","",IF(AND(N($I1161)=0,N($J1161)=0),"금액이 없습니다",IF(AND($I1161&gt;0,$J1161&gt;0),"수입·지출 둘 다 적혔습니다",IF($C1161="","결제수단을 고르십시오",IF(ISNA(MATCH($C1161,'통합 ③ 통장·카드'!$A$5:$A$11,0)),"③ 통장·카드에 없는 결제수단입니다",IF($D1161="","계정과목을 고르십시오",IF($E1161="※없는 과목","④ 설정에 없는 과목입니다",IF(AND($E1161="수입",$J1161&gt;0),"수입 과목인데 지출에 적혔습니다",IF(AND(LEFT($E1161,2)&lt;&gt;"수입",$E1161&lt;&gt;"대체",$I1161&gt;0),"지출 과목인데 수입에 적혔습니다",IF($K1161="","증빙을 고르십시오",IF(AND($C1161="바우처통장",$J1161&gt;0,IFERROR(INDEX('통합 ④ 설정'!$E$6:$E$40,MATCH($D1161,'통합 ④ 설정'!$B$6:$B$40,0)),"")&lt;&gt;"○"),"바우처통장 지출 — 목적 확인",IF($H1161="","적요를 적으십시오",""))))))))))))</f>
        <v/>
      </c>
      <c r="M1161" s="39"/>
      <c r="O1161" s="11" t="str">
        <f aca="false">IF($B1161="","",YEAR($B1161)*100+MONTH($B1161))</f>
        <v/>
      </c>
      <c r="P1161" s="11" t="str">
        <f aca="false">IF($B1161="","",IF($E1161="대체",0,1))</f>
        <v/>
      </c>
    </row>
    <row r="1162" customFormat="false" ht="15" hidden="false" customHeight="false" outlineLevel="0" collapsed="false">
      <c r="A1162" s="36" t="str">
        <f aca="false">IF($B1162="","",COUNT($B$15:$B1162))</f>
        <v/>
      </c>
      <c r="B1162" s="37"/>
      <c r="C1162" s="38"/>
      <c r="D1162" s="39"/>
      <c r="E1162" s="36" t="str">
        <f aca="false">IF($D1162="","",IFERROR(INDEX('통합 ④ 설정'!$A$6:$A$40,MATCH($D1162,'통합 ④ 설정'!$B$6:$B$40,0)),"※없는 과목"))</f>
        <v/>
      </c>
      <c r="F1162" s="36" t="str">
        <f aca="false">IF($D1162="","",IFERROR(INDEX('통합 ④ 설정'!$C$6:$C$40,MATCH($D1162,'통합 ④ 설정'!$B$6:$B$40,0)),""))</f>
        <v/>
      </c>
      <c r="G1162" s="39"/>
      <c r="H1162" s="39"/>
      <c r="I1162" s="40"/>
      <c r="J1162" s="41"/>
      <c r="K1162" s="38"/>
      <c r="L1162" s="42" t="str">
        <f aca="false">IF($B1162="","",IF(AND(N($I1162)=0,N($J1162)=0),"금액이 없습니다",IF(AND($I1162&gt;0,$J1162&gt;0),"수입·지출 둘 다 적혔습니다",IF($C1162="","결제수단을 고르십시오",IF(ISNA(MATCH($C1162,'통합 ③ 통장·카드'!$A$5:$A$11,0)),"③ 통장·카드에 없는 결제수단입니다",IF($D1162="","계정과목을 고르십시오",IF($E1162="※없는 과목","④ 설정에 없는 과목입니다",IF(AND($E1162="수입",$J1162&gt;0),"수입 과목인데 지출에 적혔습니다",IF(AND(LEFT($E1162,2)&lt;&gt;"수입",$E1162&lt;&gt;"대체",$I1162&gt;0),"지출 과목인데 수입에 적혔습니다",IF($K1162="","증빙을 고르십시오",IF(AND($C1162="바우처통장",$J1162&gt;0,IFERROR(INDEX('통합 ④ 설정'!$E$6:$E$40,MATCH($D1162,'통합 ④ 설정'!$B$6:$B$40,0)),"")&lt;&gt;"○"),"바우처통장 지출 — 목적 확인",IF($H1162="","적요를 적으십시오",""))))))))))))</f>
        <v/>
      </c>
      <c r="M1162" s="39"/>
      <c r="O1162" s="11" t="str">
        <f aca="false">IF($B1162="","",YEAR($B1162)*100+MONTH($B1162))</f>
        <v/>
      </c>
      <c r="P1162" s="11" t="str">
        <f aca="false">IF($B1162="","",IF($E1162="대체",0,1))</f>
        <v/>
      </c>
    </row>
    <row r="1163" customFormat="false" ht="15" hidden="false" customHeight="false" outlineLevel="0" collapsed="false">
      <c r="A1163" s="36" t="str">
        <f aca="false">IF($B1163="","",COUNT($B$15:$B1163))</f>
        <v/>
      </c>
      <c r="B1163" s="37"/>
      <c r="C1163" s="38"/>
      <c r="D1163" s="39"/>
      <c r="E1163" s="36" t="str">
        <f aca="false">IF($D1163="","",IFERROR(INDEX('통합 ④ 설정'!$A$6:$A$40,MATCH($D1163,'통합 ④ 설정'!$B$6:$B$40,0)),"※없는 과목"))</f>
        <v/>
      </c>
      <c r="F1163" s="36" t="str">
        <f aca="false">IF($D1163="","",IFERROR(INDEX('통합 ④ 설정'!$C$6:$C$40,MATCH($D1163,'통합 ④ 설정'!$B$6:$B$40,0)),""))</f>
        <v/>
      </c>
      <c r="G1163" s="39"/>
      <c r="H1163" s="39"/>
      <c r="I1163" s="40"/>
      <c r="J1163" s="41"/>
      <c r="K1163" s="38"/>
      <c r="L1163" s="42" t="str">
        <f aca="false">IF($B1163="","",IF(AND(N($I1163)=0,N($J1163)=0),"금액이 없습니다",IF(AND($I1163&gt;0,$J1163&gt;0),"수입·지출 둘 다 적혔습니다",IF($C1163="","결제수단을 고르십시오",IF(ISNA(MATCH($C1163,'통합 ③ 통장·카드'!$A$5:$A$11,0)),"③ 통장·카드에 없는 결제수단입니다",IF($D1163="","계정과목을 고르십시오",IF($E1163="※없는 과목","④ 설정에 없는 과목입니다",IF(AND($E1163="수입",$J1163&gt;0),"수입 과목인데 지출에 적혔습니다",IF(AND(LEFT($E1163,2)&lt;&gt;"수입",$E1163&lt;&gt;"대체",$I1163&gt;0),"지출 과목인데 수입에 적혔습니다",IF($K1163="","증빙을 고르십시오",IF(AND($C1163="바우처통장",$J1163&gt;0,IFERROR(INDEX('통합 ④ 설정'!$E$6:$E$40,MATCH($D1163,'통합 ④ 설정'!$B$6:$B$40,0)),"")&lt;&gt;"○"),"바우처통장 지출 — 목적 확인",IF($H1163="","적요를 적으십시오",""))))))))))))</f>
        <v/>
      </c>
      <c r="M1163" s="39"/>
      <c r="O1163" s="11" t="str">
        <f aca="false">IF($B1163="","",YEAR($B1163)*100+MONTH($B1163))</f>
        <v/>
      </c>
      <c r="P1163" s="11" t="str">
        <f aca="false">IF($B1163="","",IF($E1163="대체",0,1))</f>
        <v/>
      </c>
    </row>
    <row r="1164" customFormat="false" ht="15" hidden="false" customHeight="false" outlineLevel="0" collapsed="false">
      <c r="A1164" s="36" t="str">
        <f aca="false">IF($B1164="","",COUNT($B$15:$B1164))</f>
        <v/>
      </c>
      <c r="B1164" s="37"/>
      <c r="C1164" s="38"/>
      <c r="D1164" s="39"/>
      <c r="E1164" s="36" t="str">
        <f aca="false">IF($D1164="","",IFERROR(INDEX('통합 ④ 설정'!$A$6:$A$40,MATCH($D1164,'통합 ④ 설정'!$B$6:$B$40,0)),"※없는 과목"))</f>
        <v/>
      </c>
      <c r="F1164" s="36" t="str">
        <f aca="false">IF($D1164="","",IFERROR(INDEX('통합 ④ 설정'!$C$6:$C$40,MATCH($D1164,'통합 ④ 설정'!$B$6:$B$40,0)),""))</f>
        <v/>
      </c>
      <c r="G1164" s="39"/>
      <c r="H1164" s="39"/>
      <c r="I1164" s="40"/>
      <c r="J1164" s="41"/>
      <c r="K1164" s="38"/>
      <c r="L1164" s="42" t="str">
        <f aca="false">IF($B1164="","",IF(AND(N($I1164)=0,N($J1164)=0),"금액이 없습니다",IF(AND($I1164&gt;0,$J1164&gt;0),"수입·지출 둘 다 적혔습니다",IF($C1164="","결제수단을 고르십시오",IF(ISNA(MATCH($C1164,'통합 ③ 통장·카드'!$A$5:$A$11,0)),"③ 통장·카드에 없는 결제수단입니다",IF($D1164="","계정과목을 고르십시오",IF($E1164="※없는 과목","④ 설정에 없는 과목입니다",IF(AND($E1164="수입",$J1164&gt;0),"수입 과목인데 지출에 적혔습니다",IF(AND(LEFT($E1164,2)&lt;&gt;"수입",$E1164&lt;&gt;"대체",$I1164&gt;0),"지출 과목인데 수입에 적혔습니다",IF($K1164="","증빙을 고르십시오",IF(AND($C1164="바우처통장",$J1164&gt;0,IFERROR(INDEX('통합 ④ 설정'!$E$6:$E$40,MATCH($D1164,'통합 ④ 설정'!$B$6:$B$40,0)),"")&lt;&gt;"○"),"바우처통장 지출 — 목적 확인",IF($H1164="","적요를 적으십시오",""))))))))))))</f>
        <v/>
      </c>
      <c r="M1164" s="39"/>
      <c r="O1164" s="11" t="str">
        <f aca="false">IF($B1164="","",YEAR($B1164)*100+MONTH($B1164))</f>
        <v/>
      </c>
      <c r="P1164" s="11" t="str">
        <f aca="false">IF($B1164="","",IF($E1164="대체",0,1))</f>
        <v/>
      </c>
    </row>
    <row r="1165" customFormat="false" ht="15" hidden="false" customHeight="false" outlineLevel="0" collapsed="false">
      <c r="A1165" s="36" t="str">
        <f aca="false">IF($B1165="","",COUNT($B$15:$B1165))</f>
        <v/>
      </c>
      <c r="B1165" s="37"/>
      <c r="C1165" s="38"/>
      <c r="D1165" s="39"/>
      <c r="E1165" s="36" t="str">
        <f aca="false">IF($D1165="","",IFERROR(INDEX('통합 ④ 설정'!$A$6:$A$40,MATCH($D1165,'통합 ④ 설정'!$B$6:$B$40,0)),"※없는 과목"))</f>
        <v/>
      </c>
      <c r="F1165" s="36" t="str">
        <f aca="false">IF($D1165="","",IFERROR(INDEX('통합 ④ 설정'!$C$6:$C$40,MATCH($D1165,'통합 ④ 설정'!$B$6:$B$40,0)),""))</f>
        <v/>
      </c>
      <c r="G1165" s="39"/>
      <c r="H1165" s="39"/>
      <c r="I1165" s="40"/>
      <c r="J1165" s="41"/>
      <c r="K1165" s="38"/>
      <c r="L1165" s="42" t="str">
        <f aca="false">IF($B1165="","",IF(AND(N($I1165)=0,N($J1165)=0),"금액이 없습니다",IF(AND($I1165&gt;0,$J1165&gt;0),"수입·지출 둘 다 적혔습니다",IF($C1165="","결제수단을 고르십시오",IF(ISNA(MATCH($C1165,'통합 ③ 통장·카드'!$A$5:$A$11,0)),"③ 통장·카드에 없는 결제수단입니다",IF($D1165="","계정과목을 고르십시오",IF($E1165="※없는 과목","④ 설정에 없는 과목입니다",IF(AND($E1165="수입",$J1165&gt;0),"수입 과목인데 지출에 적혔습니다",IF(AND(LEFT($E1165,2)&lt;&gt;"수입",$E1165&lt;&gt;"대체",$I1165&gt;0),"지출 과목인데 수입에 적혔습니다",IF($K1165="","증빙을 고르십시오",IF(AND($C1165="바우처통장",$J1165&gt;0,IFERROR(INDEX('통합 ④ 설정'!$E$6:$E$40,MATCH($D1165,'통합 ④ 설정'!$B$6:$B$40,0)),"")&lt;&gt;"○"),"바우처통장 지출 — 목적 확인",IF($H1165="","적요를 적으십시오",""))))))))))))</f>
        <v/>
      </c>
      <c r="M1165" s="39"/>
      <c r="O1165" s="11" t="str">
        <f aca="false">IF($B1165="","",YEAR($B1165)*100+MONTH($B1165))</f>
        <v/>
      </c>
      <c r="P1165" s="11" t="str">
        <f aca="false">IF($B1165="","",IF($E1165="대체",0,1))</f>
        <v/>
      </c>
    </row>
    <row r="1166" customFormat="false" ht="15" hidden="false" customHeight="false" outlineLevel="0" collapsed="false">
      <c r="A1166" s="36" t="str">
        <f aca="false">IF($B1166="","",COUNT($B$15:$B1166))</f>
        <v/>
      </c>
      <c r="B1166" s="37"/>
      <c r="C1166" s="38"/>
      <c r="D1166" s="39"/>
      <c r="E1166" s="36" t="str">
        <f aca="false">IF($D1166="","",IFERROR(INDEX('통합 ④ 설정'!$A$6:$A$40,MATCH($D1166,'통합 ④ 설정'!$B$6:$B$40,0)),"※없는 과목"))</f>
        <v/>
      </c>
      <c r="F1166" s="36" t="str">
        <f aca="false">IF($D1166="","",IFERROR(INDEX('통합 ④ 설정'!$C$6:$C$40,MATCH($D1166,'통합 ④ 설정'!$B$6:$B$40,0)),""))</f>
        <v/>
      </c>
      <c r="G1166" s="39"/>
      <c r="H1166" s="39"/>
      <c r="I1166" s="40"/>
      <c r="J1166" s="41"/>
      <c r="K1166" s="38"/>
      <c r="L1166" s="42" t="str">
        <f aca="false">IF($B1166="","",IF(AND(N($I1166)=0,N($J1166)=0),"금액이 없습니다",IF(AND($I1166&gt;0,$J1166&gt;0),"수입·지출 둘 다 적혔습니다",IF($C1166="","결제수단을 고르십시오",IF(ISNA(MATCH($C1166,'통합 ③ 통장·카드'!$A$5:$A$11,0)),"③ 통장·카드에 없는 결제수단입니다",IF($D1166="","계정과목을 고르십시오",IF($E1166="※없는 과목","④ 설정에 없는 과목입니다",IF(AND($E1166="수입",$J1166&gt;0),"수입 과목인데 지출에 적혔습니다",IF(AND(LEFT($E1166,2)&lt;&gt;"수입",$E1166&lt;&gt;"대체",$I1166&gt;0),"지출 과목인데 수입에 적혔습니다",IF($K1166="","증빙을 고르십시오",IF(AND($C1166="바우처통장",$J1166&gt;0,IFERROR(INDEX('통합 ④ 설정'!$E$6:$E$40,MATCH($D1166,'통합 ④ 설정'!$B$6:$B$40,0)),"")&lt;&gt;"○"),"바우처통장 지출 — 목적 확인",IF($H1166="","적요를 적으십시오",""))))))))))))</f>
        <v/>
      </c>
      <c r="M1166" s="39"/>
      <c r="O1166" s="11" t="str">
        <f aca="false">IF($B1166="","",YEAR($B1166)*100+MONTH($B1166))</f>
        <v/>
      </c>
      <c r="P1166" s="11" t="str">
        <f aca="false">IF($B1166="","",IF($E1166="대체",0,1))</f>
        <v/>
      </c>
    </row>
    <row r="1167" customFormat="false" ht="15" hidden="false" customHeight="false" outlineLevel="0" collapsed="false">
      <c r="A1167" s="36" t="str">
        <f aca="false">IF($B1167="","",COUNT($B$15:$B1167))</f>
        <v/>
      </c>
      <c r="B1167" s="37"/>
      <c r="C1167" s="38"/>
      <c r="D1167" s="39"/>
      <c r="E1167" s="36" t="str">
        <f aca="false">IF($D1167="","",IFERROR(INDEX('통합 ④ 설정'!$A$6:$A$40,MATCH($D1167,'통합 ④ 설정'!$B$6:$B$40,0)),"※없는 과목"))</f>
        <v/>
      </c>
      <c r="F1167" s="36" t="str">
        <f aca="false">IF($D1167="","",IFERROR(INDEX('통합 ④ 설정'!$C$6:$C$40,MATCH($D1167,'통합 ④ 설정'!$B$6:$B$40,0)),""))</f>
        <v/>
      </c>
      <c r="G1167" s="39"/>
      <c r="H1167" s="39"/>
      <c r="I1167" s="40"/>
      <c r="J1167" s="41"/>
      <c r="K1167" s="38"/>
      <c r="L1167" s="42" t="str">
        <f aca="false">IF($B1167="","",IF(AND(N($I1167)=0,N($J1167)=0),"금액이 없습니다",IF(AND($I1167&gt;0,$J1167&gt;0),"수입·지출 둘 다 적혔습니다",IF($C1167="","결제수단을 고르십시오",IF(ISNA(MATCH($C1167,'통합 ③ 통장·카드'!$A$5:$A$11,0)),"③ 통장·카드에 없는 결제수단입니다",IF($D1167="","계정과목을 고르십시오",IF($E1167="※없는 과목","④ 설정에 없는 과목입니다",IF(AND($E1167="수입",$J1167&gt;0),"수입 과목인데 지출에 적혔습니다",IF(AND(LEFT($E1167,2)&lt;&gt;"수입",$E1167&lt;&gt;"대체",$I1167&gt;0),"지출 과목인데 수입에 적혔습니다",IF($K1167="","증빙을 고르십시오",IF(AND($C1167="바우처통장",$J1167&gt;0,IFERROR(INDEX('통합 ④ 설정'!$E$6:$E$40,MATCH($D1167,'통합 ④ 설정'!$B$6:$B$40,0)),"")&lt;&gt;"○"),"바우처통장 지출 — 목적 확인",IF($H1167="","적요를 적으십시오",""))))))))))))</f>
        <v/>
      </c>
      <c r="M1167" s="39"/>
      <c r="O1167" s="11" t="str">
        <f aca="false">IF($B1167="","",YEAR($B1167)*100+MONTH($B1167))</f>
        <v/>
      </c>
      <c r="P1167" s="11" t="str">
        <f aca="false">IF($B1167="","",IF($E1167="대체",0,1))</f>
        <v/>
      </c>
    </row>
    <row r="1168" customFormat="false" ht="15" hidden="false" customHeight="false" outlineLevel="0" collapsed="false">
      <c r="A1168" s="36" t="str">
        <f aca="false">IF($B1168="","",COUNT($B$15:$B1168))</f>
        <v/>
      </c>
      <c r="B1168" s="37"/>
      <c r="C1168" s="38"/>
      <c r="D1168" s="39"/>
      <c r="E1168" s="36" t="str">
        <f aca="false">IF($D1168="","",IFERROR(INDEX('통합 ④ 설정'!$A$6:$A$40,MATCH($D1168,'통합 ④ 설정'!$B$6:$B$40,0)),"※없는 과목"))</f>
        <v/>
      </c>
      <c r="F1168" s="36" t="str">
        <f aca="false">IF($D1168="","",IFERROR(INDEX('통합 ④ 설정'!$C$6:$C$40,MATCH($D1168,'통합 ④ 설정'!$B$6:$B$40,0)),""))</f>
        <v/>
      </c>
      <c r="G1168" s="39"/>
      <c r="H1168" s="39"/>
      <c r="I1168" s="40"/>
      <c r="J1168" s="41"/>
      <c r="K1168" s="38"/>
      <c r="L1168" s="42" t="str">
        <f aca="false">IF($B1168="","",IF(AND(N($I1168)=0,N($J1168)=0),"금액이 없습니다",IF(AND($I1168&gt;0,$J1168&gt;0),"수입·지출 둘 다 적혔습니다",IF($C1168="","결제수단을 고르십시오",IF(ISNA(MATCH($C1168,'통합 ③ 통장·카드'!$A$5:$A$11,0)),"③ 통장·카드에 없는 결제수단입니다",IF($D1168="","계정과목을 고르십시오",IF($E1168="※없는 과목","④ 설정에 없는 과목입니다",IF(AND($E1168="수입",$J1168&gt;0),"수입 과목인데 지출에 적혔습니다",IF(AND(LEFT($E1168,2)&lt;&gt;"수입",$E1168&lt;&gt;"대체",$I1168&gt;0),"지출 과목인데 수입에 적혔습니다",IF($K1168="","증빙을 고르십시오",IF(AND($C1168="바우처통장",$J1168&gt;0,IFERROR(INDEX('통합 ④ 설정'!$E$6:$E$40,MATCH($D1168,'통합 ④ 설정'!$B$6:$B$40,0)),"")&lt;&gt;"○"),"바우처통장 지출 — 목적 확인",IF($H1168="","적요를 적으십시오",""))))))))))))</f>
        <v/>
      </c>
      <c r="M1168" s="39"/>
      <c r="O1168" s="11" t="str">
        <f aca="false">IF($B1168="","",YEAR($B1168)*100+MONTH($B1168))</f>
        <v/>
      </c>
      <c r="P1168" s="11" t="str">
        <f aca="false">IF($B1168="","",IF($E1168="대체",0,1))</f>
        <v/>
      </c>
    </row>
    <row r="1169" customFormat="false" ht="15" hidden="false" customHeight="false" outlineLevel="0" collapsed="false">
      <c r="A1169" s="36" t="str">
        <f aca="false">IF($B1169="","",COUNT($B$15:$B1169))</f>
        <v/>
      </c>
      <c r="B1169" s="37"/>
      <c r="C1169" s="38"/>
      <c r="D1169" s="39"/>
      <c r="E1169" s="36" t="str">
        <f aca="false">IF($D1169="","",IFERROR(INDEX('통합 ④ 설정'!$A$6:$A$40,MATCH($D1169,'통합 ④ 설정'!$B$6:$B$40,0)),"※없는 과목"))</f>
        <v/>
      </c>
      <c r="F1169" s="36" t="str">
        <f aca="false">IF($D1169="","",IFERROR(INDEX('통합 ④ 설정'!$C$6:$C$40,MATCH($D1169,'통합 ④ 설정'!$B$6:$B$40,0)),""))</f>
        <v/>
      </c>
      <c r="G1169" s="39"/>
      <c r="H1169" s="39"/>
      <c r="I1169" s="40"/>
      <c r="J1169" s="41"/>
      <c r="K1169" s="38"/>
      <c r="L1169" s="42" t="str">
        <f aca="false">IF($B1169="","",IF(AND(N($I1169)=0,N($J1169)=0),"금액이 없습니다",IF(AND($I1169&gt;0,$J1169&gt;0),"수입·지출 둘 다 적혔습니다",IF($C1169="","결제수단을 고르십시오",IF(ISNA(MATCH($C1169,'통합 ③ 통장·카드'!$A$5:$A$11,0)),"③ 통장·카드에 없는 결제수단입니다",IF($D1169="","계정과목을 고르십시오",IF($E1169="※없는 과목","④ 설정에 없는 과목입니다",IF(AND($E1169="수입",$J1169&gt;0),"수입 과목인데 지출에 적혔습니다",IF(AND(LEFT($E1169,2)&lt;&gt;"수입",$E1169&lt;&gt;"대체",$I1169&gt;0),"지출 과목인데 수입에 적혔습니다",IF($K1169="","증빙을 고르십시오",IF(AND($C1169="바우처통장",$J1169&gt;0,IFERROR(INDEX('통합 ④ 설정'!$E$6:$E$40,MATCH($D1169,'통합 ④ 설정'!$B$6:$B$40,0)),"")&lt;&gt;"○"),"바우처통장 지출 — 목적 확인",IF($H1169="","적요를 적으십시오",""))))))))))))</f>
        <v/>
      </c>
      <c r="M1169" s="39"/>
      <c r="O1169" s="11" t="str">
        <f aca="false">IF($B1169="","",YEAR($B1169)*100+MONTH($B1169))</f>
        <v/>
      </c>
      <c r="P1169" s="11" t="str">
        <f aca="false">IF($B1169="","",IF($E1169="대체",0,1))</f>
        <v/>
      </c>
    </row>
    <row r="1170" customFormat="false" ht="15" hidden="false" customHeight="false" outlineLevel="0" collapsed="false">
      <c r="A1170" s="36" t="str">
        <f aca="false">IF($B1170="","",COUNT($B$15:$B1170))</f>
        <v/>
      </c>
      <c r="B1170" s="37"/>
      <c r="C1170" s="38"/>
      <c r="D1170" s="39"/>
      <c r="E1170" s="36" t="str">
        <f aca="false">IF($D1170="","",IFERROR(INDEX('통합 ④ 설정'!$A$6:$A$40,MATCH($D1170,'통합 ④ 설정'!$B$6:$B$40,0)),"※없는 과목"))</f>
        <v/>
      </c>
      <c r="F1170" s="36" t="str">
        <f aca="false">IF($D1170="","",IFERROR(INDEX('통합 ④ 설정'!$C$6:$C$40,MATCH($D1170,'통합 ④ 설정'!$B$6:$B$40,0)),""))</f>
        <v/>
      </c>
      <c r="G1170" s="39"/>
      <c r="H1170" s="39"/>
      <c r="I1170" s="40"/>
      <c r="J1170" s="41"/>
      <c r="K1170" s="38"/>
      <c r="L1170" s="42" t="str">
        <f aca="false">IF($B1170="","",IF(AND(N($I1170)=0,N($J1170)=0),"금액이 없습니다",IF(AND($I1170&gt;0,$J1170&gt;0),"수입·지출 둘 다 적혔습니다",IF($C1170="","결제수단을 고르십시오",IF(ISNA(MATCH($C1170,'통합 ③ 통장·카드'!$A$5:$A$11,0)),"③ 통장·카드에 없는 결제수단입니다",IF($D1170="","계정과목을 고르십시오",IF($E1170="※없는 과목","④ 설정에 없는 과목입니다",IF(AND($E1170="수입",$J1170&gt;0),"수입 과목인데 지출에 적혔습니다",IF(AND(LEFT($E1170,2)&lt;&gt;"수입",$E1170&lt;&gt;"대체",$I1170&gt;0),"지출 과목인데 수입에 적혔습니다",IF($K1170="","증빙을 고르십시오",IF(AND($C1170="바우처통장",$J1170&gt;0,IFERROR(INDEX('통합 ④ 설정'!$E$6:$E$40,MATCH($D1170,'통합 ④ 설정'!$B$6:$B$40,0)),"")&lt;&gt;"○"),"바우처통장 지출 — 목적 확인",IF($H1170="","적요를 적으십시오",""))))))))))))</f>
        <v/>
      </c>
      <c r="M1170" s="39"/>
      <c r="O1170" s="11" t="str">
        <f aca="false">IF($B1170="","",YEAR($B1170)*100+MONTH($B1170))</f>
        <v/>
      </c>
      <c r="P1170" s="11" t="str">
        <f aca="false">IF($B1170="","",IF($E1170="대체",0,1))</f>
        <v/>
      </c>
    </row>
    <row r="1171" customFormat="false" ht="15" hidden="false" customHeight="false" outlineLevel="0" collapsed="false">
      <c r="A1171" s="36" t="str">
        <f aca="false">IF($B1171="","",COUNT($B$15:$B1171))</f>
        <v/>
      </c>
      <c r="B1171" s="37"/>
      <c r="C1171" s="38"/>
      <c r="D1171" s="39"/>
      <c r="E1171" s="36" t="str">
        <f aca="false">IF($D1171="","",IFERROR(INDEX('통합 ④ 설정'!$A$6:$A$40,MATCH($D1171,'통합 ④ 설정'!$B$6:$B$40,0)),"※없는 과목"))</f>
        <v/>
      </c>
      <c r="F1171" s="36" t="str">
        <f aca="false">IF($D1171="","",IFERROR(INDEX('통합 ④ 설정'!$C$6:$C$40,MATCH($D1171,'통합 ④ 설정'!$B$6:$B$40,0)),""))</f>
        <v/>
      </c>
      <c r="G1171" s="39"/>
      <c r="H1171" s="39"/>
      <c r="I1171" s="40"/>
      <c r="J1171" s="41"/>
      <c r="K1171" s="38"/>
      <c r="L1171" s="42" t="str">
        <f aca="false">IF($B1171="","",IF(AND(N($I1171)=0,N($J1171)=0),"금액이 없습니다",IF(AND($I1171&gt;0,$J1171&gt;0),"수입·지출 둘 다 적혔습니다",IF($C1171="","결제수단을 고르십시오",IF(ISNA(MATCH($C1171,'통합 ③ 통장·카드'!$A$5:$A$11,0)),"③ 통장·카드에 없는 결제수단입니다",IF($D1171="","계정과목을 고르십시오",IF($E1171="※없는 과목","④ 설정에 없는 과목입니다",IF(AND($E1171="수입",$J1171&gt;0),"수입 과목인데 지출에 적혔습니다",IF(AND(LEFT($E1171,2)&lt;&gt;"수입",$E1171&lt;&gt;"대체",$I1171&gt;0),"지출 과목인데 수입에 적혔습니다",IF($K1171="","증빙을 고르십시오",IF(AND($C1171="바우처통장",$J1171&gt;0,IFERROR(INDEX('통합 ④ 설정'!$E$6:$E$40,MATCH($D1171,'통합 ④ 설정'!$B$6:$B$40,0)),"")&lt;&gt;"○"),"바우처통장 지출 — 목적 확인",IF($H1171="","적요를 적으십시오",""))))))))))))</f>
        <v/>
      </c>
      <c r="M1171" s="39"/>
      <c r="O1171" s="11" t="str">
        <f aca="false">IF($B1171="","",YEAR($B1171)*100+MONTH($B1171))</f>
        <v/>
      </c>
      <c r="P1171" s="11" t="str">
        <f aca="false">IF($B1171="","",IF($E1171="대체",0,1))</f>
        <v/>
      </c>
    </row>
    <row r="1172" customFormat="false" ht="15" hidden="false" customHeight="false" outlineLevel="0" collapsed="false">
      <c r="A1172" s="36" t="str">
        <f aca="false">IF($B1172="","",COUNT($B$15:$B1172))</f>
        <v/>
      </c>
      <c r="B1172" s="37"/>
      <c r="C1172" s="38"/>
      <c r="D1172" s="39"/>
      <c r="E1172" s="36" t="str">
        <f aca="false">IF($D1172="","",IFERROR(INDEX('통합 ④ 설정'!$A$6:$A$40,MATCH($D1172,'통합 ④ 설정'!$B$6:$B$40,0)),"※없는 과목"))</f>
        <v/>
      </c>
      <c r="F1172" s="36" t="str">
        <f aca="false">IF($D1172="","",IFERROR(INDEX('통합 ④ 설정'!$C$6:$C$40,MATCH($D1172,'통합 ④ 설정'!$B$6:$B$40,0)),""))</f>
        <v/>
      </c>
      <c r="G1172" s="39"/>
      <c r="H1172" s="39"/>
      <c r="I1172" s="40"/>
      <c r="J1172" s="41"/>
      <c r="K1172" s="38"/>
      <c r="L1172" s="42" t="str">
        <f aca="false">IF($B1172="","",IF(AND(N($I1172)=0,N($J1172)=0),"금액이 없습니다",IF(AND($I1172&gt;0,$J1172&gt;0),"수입·지출 둘 다 적혔습니다",IF($C1172="","결제수단을 고르십시오",IF(ISNA(MATCH($C1172,'통합 ③ 통장·카드'!$A$5:$A$11,0)),"③ 통장·카드에 없는 결제수단입니다",IF($D1172="","계정과목을 고르십시오",IF($E1172="※없는 과목","④ 설정에 없는 과목입니다",IF(AND($E1172="수입",$J1172&gt;0),"수입 과목인데 지출에 적혔습니다",IF(AND(LEFT($E1172,2)&lt;&gt;"수입",$E1172&lt;&gt;"대체",$I1172&gt;0),"지출 과목인데 수입에 적혔습니다",IF($K1172="","증빙을 고르십시오",IF(AND($C1172="바우처통장",$J1172&gt;0,IFERROR(INDEX('통합 ④ 설정'!$E$6:$E$40,MATCH($D1172,'통합 ④ 설정'!$B$6:$B$40,0)),"")&lt;&gt;"○"),"바우처통장 지출 — 목적 확인",IF($H1172="","적요를 적으십시오",""))))))))))))</f>
        <v/>
      </c>
      <c r="M1172" s="39"/>
      <c r="O1172" s="11" t="str">
        <f aca="false">IF($B1172="","",YEAR($B1172)*100+MONTH($B1172))</f>
        <v/>
      </c>
      <c r="P1172" s="11" t="str">
        <f aca="false">IF($B1172="","",IF($E1172="대체",0,1))</f>
        <v/>
      </c>
    </row>
    <row r="1173" customFormat="false" ht="15" hidden="false" customHeight="false" outlineLevel="0" collapsed="false">
      <c r="A1173" s="36" t="str">
        <f aca="false">IF($B1173="","",COUNT($B$15:$B1173))</f>
        <v/>
      </c>
      <c r="B1173" s="37"/>
      <c r="C1173" s="38"/>
      <c r="D1173" s="39"/>
      <c r="E1173" s="36" t="str">
        <f aca="false">IF($D1173="","",IFERROR(INDEX('통합 ④ 설정'!$A$6:$A$40,MATCH($D1173,'통합 ④ 설정'!$B$6:$B$40,0)),"※없는 과목"))</f>
        <v/>
      </c>
      <c r="F1173" s="36" t="str">
        <f aca="false">IF($D1173="","",IFERROR(INDEX('통합 ④ 설정'!$C$6:$C$40,MATCH($D1173,'통합 ④ 설정'!$B$6:$B$40,0)),""))</f>
        <v/>
      </c>
      <c r="G1173" s="39"/>
      <c r="H1173" s="39"/>
      <c r="I1173" s="40"/>
      <c r="J1173" s="41"/>
      <c r="K1173" s="38"/>
      <c r="L1173" s="42" t="str">
        <f aca="false">IF($B1173="","",IF(AND(N($I1173)=0,N($J1173)=0),"금액이 없습니다",IF(AND($I1173&gt;0,$J1173&gt;0),"수입·지출 둘 다 적혔습니다",IF($C1173="","결제수단을 고르십시오",IF(ISNA(MATCH($C1173,'통합 ③ 통장·카드'!$A$5:$A$11,0)),"③ 통장·카드에 없는 결제수단입니다",IF($D1173="","계정과목을 고르십시오",IF($E1173="※없는 과목","④ 설정에 없는 과목입니다",IF(AND($E1173="수입",$J1173&gt;0),"수입 과목인데 지출에 적혔습니다",IF(AND(LEFT($E1173,2)&lt;&gt;"수입",$E1173&lt;&gt;"대체",$I1173&gt;0),"지출 과목인데 수입에 적혔습니다",IF($K1173="","증빙을 고르십시오",IF(AND($C1173="바우처통장",$J1173&gt;0,IFERROR(INDEX('통합 ④ 설정'!$E$6:$E$40,MATCH($D1173,'통합 ④ 설정'!$B$6:$B$40,0)),"")&lt;&gt;"○"),"바우처통장 지출 — 목적 확인",IF($H1173="","적요를 적으십시오",""))))))))))))</f>
        <v/>
      </c>
      <c r="M1173" s="39"/>
      <c r="O1173" s="11" t="str">
        <f aca="false">IF($B1173="","",YEAR($B1173)*100+MONTH($B1173))</f>
        <v/>
      </c>
      <c r="P1173" s="11" t="str">
        <f aca="false">IF($B1173="","",IF($E1173="대체",0,1))</f>
        <v/>
      </c>
    </row>
    <row r="1174" customFormat="false" ht="15" hidden="false" customHeight="false" outlineLevel="0" collapsed="false">
      <c r="A1174" s="36" t="str">
        <f aca="false">IF($B1174="","",COUNT($B$15:$B1174))</f>
        <v/>
      </c>
      <c r="B1174" s="37"/>
      <c r="C1174" s="38"/>
      <c r="D1174" s="39"/>
      <c r="E1174" s="36" t="str">
        <f aca="false">IF($D1174="","",IFERROR(INDEX('통합 ④ 설정'!$A$6:$A$40,MATCH($D1174,'통합 ④ 설정'!$B$6:$B$40,0)),"※없는 과목"))</f>
        <v/>
      </c>
      <c r="F1174" s="36" t="str">
        <f aca="false">IF($D1174="","",IFERROR(INDEX('통합 ④ 설정'!$C$6:$C$40,MATCH($D1174,'통합 ④ 설정'!$B$6:$B$40,0)),""))</f>
        <v/>
      </c>
      <c r="G1174" s="39"/>
      <c r="H1174" s="39"/>
      <c r="I1174" s="40"/>
      <c r="J1174" s="41"/>
      <c r="K1174" s="38"/>
      <c r="L1174" s="42" t="str">
        <f aca="false">IF($B1174="","",IF(AND(N($I1174)=0,N($J1174)=0),"금액이 없습니다",IF(AND($I1174&gt;0,$J1174&gt;0),"수입·지출 둘 다 적혔습니다",IF($C1174="","결제수단을 고르십시오",IF(ISNA(MATCH($C1174,'통합 ③ 통장·카드'!$A$5:$A$11,0)),"③ 통장·카드에 없는 결제수단입니다",IF($D1174="","계정과목을 고르십시오",IF($E1174="※없는 과목","④ 설정에 없는 과목입니다",IF(AND($E1174="수입",$J1174&gt;0),"수입 과목인데 지출에 적혔습니다",IF(AND(LEFT($E1174,2)&lt;&gt;"수입",$E1174&lt;&gt;"대체",$I1174&gt;0),"지출 과목인데 수입에 적혔습니다",IF($K1174="","증빙을 고르십시오",IF(AND($C1174="바우처통장",$J1174&gt;0,IFERROR(INDEX('통합 ④ 설정'!$E$6:$E$40,MATCH($D1174,'통합 ④ 설정'!$B$6:$B$40,0)),"")&lt;&gt;"○"),"바우처통장 지출 — 목적 확인",IF($H1174="","적요를 적으십시오",""))))))))))))</f>
        <v/>
      </c>
      <c r="M1174" s="39"/>
      <c r="O1174" s="11" t="str">
        <f aca="false">IF($B1174="","",YEAR($B1174)*100+MONTH($B1174))</f>
        <v/>
      </c>
      <c r="P1174" s="11" t="str">
        <f aca="false">IF($B1174="","",IF($E1174="대체",0,1))</f>
        <v/>
      </c>
    </row>
    <row r="1175" customFormat="false" ht="15" hidden="false" customHeight="false" outlineLevel="0" collapsed="false">
      <c r="A1175" s="36" t="str">
        <f aca="false">IF($B1175="","",COUNT($B$15:$B1175))</f>
        <v/>
      </c>
      <c r="B1175" s="37"/>
      <c r="C1175" s="38"/>
      <c r="D1175" s="39"/>
      <c r="E1175" s="36" t="str">
        <f aca="false">IF($D1175="","",IFERROR(INDEX('통합 ④ 설정'!$A$6:$A$40,MATCH($D1175,'통합 ④ 설정'!$B$6:$B$40,0)),"※없는 과목"))</f>
        <v/>
      </c>
      <c r="F1175" s="36" t="str">
        <f aca="false">IF($D1175="","",IFERROR(INDEX('통합 ④ 설정'!$C$6:$C$40,MATCH($D1175,'통합 ④ 설정'!$B$6:$B$40,0)),""))</f>
        <v/>
      </c>
      <c r="G1175" s="39"/>
      <c r="H1175" s="39"/>
      <c r="I1175" s="40"/>
      <c r="J1175" s="41"/>
      <c r="K1175" s="38"/>
      <c r="L1175" s="42" t="str">
        <f aca="false">IF($B1175="","",IF(AND(N($I1175)=0,N($J1175)=0),"금액이 없습니다",IF(AND($I1175&gt;0,$J1175&gt;0),"수입·지출 둘 다 적혔습니다",IF($C1175="","결제수단을 고르십시오",IF(ISNA(MATCH($C1175,'통합 ③ 통장·카드'!$A$5:$A$11,0)),"③ 통장·카드에 없는 결제수단입니다",IF($D1175="","계정과목을 고르십시오",IF($E1175="※없는 과목","④ 설정에 없는 과목입니다",IF(AND($E1175="수입",$J1175&gt;0),"수입 과목인데 지출에 적혔습니다",IF(AND(LEFT($E1175,2)&lt;&gt;"수입",$E1175&lt;&gt;"대체",$I1175&gt;0),"지출 과목인데 수입에 적혔습니다",IF($K1175="","증빙을 고르십시오",IF(AND($C1175="바우처통장",$J1175&gt;0,IFERROR(INDEX('통합 ④ 설정'!$E$6:$E$40,MATCH($D1175,'통합 ④ 설정'!$B$6:$B$40,0)),"")&lt;&gt;"○"),"바우처통장 지출 — 목적 확인",IF($H1175="","적요를 적으십시오",""))))))))))))</f>
        <v/>
      </c>
      <c r="M1175" s="39"/>
      <c r="O1175" s="11" t="str">
        <f aca="false">IF($B1175="","",YEAR($B1175)*100+MONTH($B1175))</f>
        <v/>
      </c>
      <c r="P1175" s="11" t="str">
        <f aca="false">IF($B1175="","",IF($E1175="대체",0,1))</f>
        <v/>
      </c>
    </row>
    <row r="1176" customFormat="false" ht="15" hidden="false" customHeight="false" outlineLevel="0" collapsed="false">
      <c r="A1176" s="36" t="str">
        <f aca="false">IF($B1176="","",COUNT($B$15:$B1176))</f>
        <v/>
      </c>
      <c r="B1176" s="37"/>
      <c r="C1176" s="38"/>
      <c r="D1176" s="39"/>
      <c r="E1176" s="36" t="str">
        <f aca="false">IF($D1176="","",IFERROR(INDEX('통합 ④ 설정'!$A$6:$A$40,MATCH($D1176,'통합 ④ 설정'!$B$6:$B$40,0)),"※없는 과목"))</f>
        <v/>
      </c>
      <c r="F1176" s="36" t="str">
        <f aca="false">IF($D1176="","",IFERROR(INDEX('통합 ④ 설정'!$C$6:$C$40,MATCH($D1176,'통합 ④ 설정'!$B$6:$B$40,0)),""))</f>
        <v/>
      </c>
      <c r="G1176" s="39"/>
      <c r="H1176" s="39"/>
      <c r="I1176" s="40"/>
      <c r="J1176" s="41"/>
      <c r="K1176" s="38"/>
      <c r="L1176" s="42" t="str">
        <f aca="false">IF($B1176="","",IF(AND(N($I1176)=0,N($J1176)=0),"금액이 없습니다",IF(AND($I1176&gt;0,$J1176&gt;0),"수입·지출 둘 다 적혔습니다",IF($C1176="","결제수단을 고르십시오",IF(ISNA(MATCH($C1176,'통합 ③ 통장·카드'!$A$5:$A$11,0)),"③ 통장·카드에 없는 결제수단입니다",IF($D1176="","계정과목을 고르십시오",IF($E1176="※없는 과목","④ 설정에 없는 과목입니다",IF(AND($E1176="수입",$J1176&gt;0),"수입 과목인데 지출에 적혔습니다",IF(AND(LEFT($E1176,2)&lt;&gt;"수입",$E1176&lt;&gt;"대체",$I1176&gt;0),"지출 과목인데 수입에 적혔습니다",IF($K1176="","증빙을 고르십시오",IF(AND($C1176="바우처통장",$J1176&gt;0,IFERROR(INDEX('통합 ④ 설정'!$E$6:$E$40,MATCH($D1176,'통합 ④ 설정'!$B$6:$B$40,0)),"")&lt;&gt;"○"),"바우처통장 지출 — 목적 확인",IF($H1176="","적요를 적으십시오",""))))))))))))</f>
        <v/>
      </c>
      <c r="M1176" s="39"/>
      <c r="O1176" s="11" t="str">
        <f aca="false">IF($B1176="","",YEAR($B1176)*100+MONTH($B1176))</f>
        <v/>
      </c>
      <c r="P1176" s="11" t="str">
        <f aca="false">IF($B1176="","",IF($E1176="대체",0,1))</f>
        <v/>
      </c>
    </row>
    <row r="1177" customFormat="false" ht="15" hidden="false" customHeight="false" outlineLevel="0" collapsed="false">
      <c r="A1177" s="36" t="str">
        <f aca="false">IF($B1177="","",COUNT($B$15:$B1177))</f>
        <v/>
      </c>
      <c r="B1177" s="37"/>
      <c r="C1177" s="38"/>
      <c r="D1177" s="39"/>
      <c r="E1177" s="36" t="str">
        <f aca="false">IF($D1177="","",IFERROR(INDEX('통합 ④ 설정'!$A$6:$A$40,MATCH($D1177,'통합 ④ 설정'!$B$6:$B$40,0)),"※없는 과목"))</f>
        <v/>
      </c>
      <c r="F1177" s="36" t="str">
        <f aca="false">IF($D1177="","",IFERROR(INDEX('통합 ④ 설정'!$C$6:$C$40,MATCH($D1177,'통합 ④ 설정'!$B$6:$B$40,0)),""))</f>
        <v/>
      </c>
      <c r="G1177" s="39"/>
      <c r="H1177" s="39"/>
      <c r="I1177" s="40"/>
      <c r="J1177" s="41"/>
      <c r="K1177" s="38"/>
      <c r="L1177" s="42" t="str">
        <f aca="false">IF($B1177="","",IF(AND(N($I1177)=0,N($J1177)=0),"금액이 없습니다",IF(AND($I1177&gt;0,$J1177&gt;0),"수입·지출 둘 다 적혔습니다",IF($C1177="","결제수단을 고르십시오",IF(ISNA(MATCH($C1177,'통합 ③ 통장·카드'!$A$5:$A$11,0)),"③ 통장·카드에 없는 결제수단입니다",IF($D1177="","계정과목을 고르십시오",IF($E1177="※없는 과목","④ 설정에 없는 과목입니다",IF(AND($E1177="수입",$J1177&gt;0),"수입 과목인데 지출에 적혔습니다",IF(AND(LEFT($E1177,2)&lt;&gt;"수입",$E1177&lt;&gt;"대체",$I1177&gt;0),"지출 과목인데 수입에 적혔습니다",IF($K1177="","증빙을 고르십시오",IF(AND($C1177="바우처통장",$J1177&gt;0,IFERROR(INDEX('통합 ④ 설정'!$E$6:$E$40,MATCH($D1177,'통합 ④ 설정'!$B$6:$B$40,0)),"")&lt;&gt;"○"),"바우처통장 지출 — 목적 확인",IF($H1177="","적요를 적으십시오",""))))))))))))</f>
        <v/>
      </c>
      <c r="M1177" s="39"/>
      <c r="O1177" s="11" t="str">
        <f aca="false">IF($B1177="","",YEAR($B1177)*100+MONTH($B1177))</f>
        <v/>
      </c>
      <c r="P1177" s="11" t="str">
        <f aca="false">IF($B1177="","",IF($E1177="대체",0,1))</f>
        <v/>
      </c>
    </row>
    <row r="1178" customFormat="false" ht="15" hidden="false" customHeight="false" outlineLevel="0" collapsed="false">
      <c r="A1178" s="36" t="str">
        <f aca="false">IF($B1178="","",COUNT($B$15:$B1178))</f>
        <v/>
      </c>
      <c r="B1178" s="37"/>
      <c r="C1178" s="38"/>
      <c r="D1178" s="39"/>
      <c r="E1178" s="36" t="str">
        <f aca="false">IF($D1178="","",IFERROR(INDEX('통합 ④ 설정'!$A$6:$A$40,MATCH($D1178,'통합 ④ 설정'!$B$6:$B$40,0)),"※없는 과목"))</f>
        <v/>
      </c>
      <c r="F1178" s="36" t="str">
        <f aca="false">IF($D1178="","",IFERROR(INDEX('통합 ④ 설정'!$C$6:$C$40,MATCH($D1178,'통합 ④ 설정'!$B$6:$B$40,0)),""))</f>
        <v/>
      </c>
      <c r="G1178" s="39"/>
      <c r="H1178" s="39"/>
      <c r="I1178" s="40"/>
      <c r="J1178" s="41"/>
      <c r="K1178" s="38"/>
      <c r="L1178" s="42" t="str">
        <f aca="false">IF($B1178="","",IF(AND(N($I1178)=0,N($J1178)=0),"금액이 없습니다",IF(AND($I1178&gt;0,$J1178&gt;0),"수입·지출 둘 다 적혔습니다",IF($C1178="","결제수단을 고르십시오",IF(ISNA(MATCH($C1178,'통합 ③ 통장·카드'!$A$5:$A$11,0)),"③ 통장·카드에 없는 결제수단입니다",IF($D1178="","계정과목을 고르십시오",IF($E1178="※없는 과목","④ 설정에 없는 과목입니다",IF(AND($E1178="수입",$J1178&gt;0),"수입 과목인데 지출에 적혔습니다",IF(AND(LEFT($E1178,2)&lt;&gt;"수입",$E1178&lt;&gt;"대체",$I1178&gt;0),"지출 과목인데 수입에 적혔습니다",IF($K1178="","증빙을 고르십시오",IF(AND($C1178="바우처통장",$J1178&gt;0,IFERROR(INDEX('통합 ④ 설정'!$E$6:$E$40,MATCH($D1178,'통합 ④ 설정'!$B$6:$B$40,0)),"")&lt;&gt;"○"),"바우처통장 지출 — 목적 확인",IF($H1178="","적요를 적으십시오",""))))))))))))</f>
        <v/>
      </c>
      <c r="M1178" s="39"/>
      <c r="O1178" s="11" t="str">
        <f aca="false">IF($B1178="","",YEAR($B1178)*100+MONTH($B1178))</f>
        <v/>
      </c>
      <c r="P1178" s="11" t="str">
        <f aca="false">IF($B1178="","",IF($E1178="대체",0,1))</f>
        <v/>
      </c>
    </row>
    <row r="1179" customFormat="false" ht="15" hidden="false" customHeight="false" outlineLevel="0" collapsed="false">
      <c r="A1179" s="36" t="str">
        <f aca="false">IF($B1179="","",COUNT($B$15:$B1179))</f>
        <v/>
      </c>
      <c r="B1179" s="37"/>
      <c r="C1179" s="38"/>
      <c r="D1179" s="39"/>
      <c r="E1179" s="36" t="str">
        <f aca="false">IF($D1179="","",IFERROR(INDEX('통합 ④ 설정'!$A$6:$A$40,MATCH($D1179,'통합 ④ 설정'!$B$6:$B$40,0)),"※없는 과목"))</f>
        <v/>
      </c>
      <c r="F1179" s="36" t="str">
        <f aca="false">IF($D1179="","",IFERROR(INDEX('통합 ④ 설정'!$C$6:$C$40,MATCH($D1179,'통합 ④ 설정'!$B$6:$B$40,0)),""))</f>
        <v/>
      </c>
      <c r="G1179" s="39"/>
      <c r="H1179" s="39"/>
      <c r="I1179" s="40"/>
      <c r="J1179" s="41"/>
      <c r="K1179" s="38"/>
      <c r="L1179" s="42" t="str">
        <f aca="false">IF($B1179="","",IF(AND(N($I1179)=0,N($J1179)=0),"금액이 없습니다",IF(AND($I1179&gt;0,$J1179&gt;0),"수입·지출 둘 다 적혔습니다",IF($C1179="","결제수단을 고르십시오",IF(ISNA(MATCH($C1179,'통합 ③ 통장·카드'!$A$5:$A$11,0)),"③ 통장·카드에 없는 결제수단입니다",IF($D1179="","계정과목을 고르십시오",IF($E1179="※없는 과목","④ 설정에 없는 과목입니다",IF(AND($E1179="수입",$J1179&gt;0),"수입 과목인데 지출에 적혔습니다",IF(AND(LEFT($E1179,2)&lt;&gt;"수입",$E1179&lt;&gt;"대체",$I1179&gt;0),"지출 과목인데 수입에 적혔습니다",IF($K1179="","증빙을 고르십시오",IF(AND($C1179="바우처통장",$J1179&gt;0,IFERROR(INDEX('통합 ④ 설정'!$E$6:$E$40,MATCH($D1179,'통합 ④ 설정'!$B$6:$B$40,0)),"")&lt;&gt;"○"),"바우처통장 지출 — 목적 확인",IF($H1179="","적요를 적으십시오",""))))))))))))</f>
        <v/>
      </c>
      <c r="M1179" s="39"/>
      <c r="O1179" s="11" t="str">
        <f aca="false">IF($B1179="","",YEAR($B1179)*100+MONTH($B1179))</f>
        <v/>
      </c>
      <c r="P1179" s="11" t="str">
        <f aca="false">IF($B1179="","",IF($E1179="대체",0,1))</f>
        <v/>
      </c>
    </row>
    <row r="1180" customFormat="false" ht="15" hidden="false" customHeight="false" outlineLevel="0" collapsed="false">
      <c r="A1180" s="36" t="str">
        <f aca="false">IF($B1180="","",COUNT($B$15:$B1180))</f>
        <v/>
      </c>
      <c r="B1180" s="37"/>
      <c r="C1180" s="38"/>
      <c r="D1180" s="39"/>
      <c r="E1180" s="36" t="str">
        <f aca="false">IF($D1180="","",IFERROR(INDEX('통합 ④ 설정'!$A$6:$A$40,MATCH($D1180,'통합 ④ 설정'!$B$6:$B$40,0)),"※없는 과목"))</f>
        <v/>
      </c>
      <c r="F1180" s="36" t="str">
        <f aca="false">IF($D1180="","",IFERROR(INDEX('통합 ④ 설정'!$C$6:$C$40,MATCH($D1180,'통합 ④ 설정'!$B$6:$B$40,0)),""))</f>
        <v/>
      </c>
      <c r="G1180" s="39"/>
      <c r="H1180" s="39"/>
      <c r="I1180" s="40"/>
      <c r="J1180" s="41"/>
      <c r="K1180" s="38"/>
      <c r="L1180" s="42" t="str">
        <f aca="false">IF($B1180="","",IF(AND(N($I1180)=0,N($J1180)=0),"금액이 없습니다",IF(AND($I1180&gt;0,$J1180&gt;0),"수입·지출 둘 다 적혔습니다",IF($C1180="","결제수단을 고르십시오",IF(ISNA(MATCH($C1180,'통합 ③ 통장·카드'!$A$5:$A$11,0)),"③ 통장·카드에 없는 결제수단입니다",IF($D1180="","계정과목을 고르십시오",IF($E1180="※없는 과목","④ 설정에 없는 과목입니다",IF(AND($E1180="수입",$J1180&gt;0),"수입 과목인데 지출에 적혔습니다",IF(AND(LEFT($E1180,2)&lt;&gt;"수입",$E1180&lt;&gt;"대체",$I1180&gt;0),"지출 과목인데 수입에 적혔습니다",IF($K1180="","증빙을 고르십시오",IF(AND($C1180="바우처통장",$J1180&gt;0,IFERROR(INDEX('통합 ④ 설정'!$E$6:$E$40,MATCH($D1180,'통합 ④ 설정'!$B$6:$B$40,0)),"")&lt;&gt;"○"),"바우처통장 지출 — 목적 확인",IF($H1180="","적요를 적으십시오",""))))))))))))</f>
        <v/>
      </c>
      <c r="M1180" s="39"/>
      <c r="O1180" s="11" t="str">
        <f aca="false">IF($B1180="","",YEAR($B1180)*100+MONTH($B1180))</f>
        <v/>
      </c>
      <c r="P1180" s="11" t="str">
        <f aca="false">IF($B1180="","",IF($E1180="대체",0,1))</f>
        <v/>
      </c>
    </row>
    <row r="1181" customFormat="false" ht="15" hidden="false" customHeight="false" outlineLevel="0" collapsed="false">
      <c r="A1181" s="36" t="str">
        <f aca="false">IF($B1181="","",COUNT($B$15:$B1181))</f>
        <v/>
      </c>
      <c r="B1181" s="37"/>
      <c r="C1181" s="38"/>
      <c r="D1181" s="39"/>
      <c r="E1181" s="36" t="str">
        <f aca="false">IF($D1181="","",IFERROR(INDEX('통합 ④ 설정'!$A$6:$A$40,MATCH($D1181,'통합 ④ 설정'!$B$6:$B$40,0)),"※없는 과목"))</f>
        <v/>
      </c>
      <c r="F1181" s="36" t="str">
        <f aca="false">IF($D1181="","",IFERROR(INDEX('통합 ④ 설정'!$C$6:$C$40,MATCH($D1181,'통합 ④ 설정'!$B$6:$B$40,0)),""))</f>
        <v/>
      </c>
      <c r="G1181" s="39"/>
      <c r="H1181" s="39"/>
      <c r="I1181" s="40"/>
      <c r="J1181" s="41"/>
      <c r="K1181" s="38"/>
      <c r="L1181" s="42" t="str">
        <f aca="false">IF($B1181="","",IF(AND(N($I1181)=0,N($J1181)=0),"금액이 없습니다",IF(AND($I1181&gt;0,$J1181&gt;0),"수입·지출 둘 다 적혔습니다",IF($C1181="","결제수단을 고르십시오",IF(ISNA(MATCH($C1181,'통합 ③ 통장·카드'!$A$5:$A$11,0)),"③ 통장·카드에 없는 결제수단입니다",IF($D1181="","계정과목을 고르십시오",IF($E1181="※없는 과목","④ 설정에 없는 과목입니다",IF(AND($E1181="수입",$J1181&gt;0),"수입 과목인데 지출에 적혔습니다",IF(AND(LEFT($E1181,2)&lt;&gt;"수입",$E1181&lt;&gt;"대체",$I1181&gt;0),"지출 과목인데 수입에 적혔습니다",IF($K1181="","증빙을 고르십시오",IF(AND($C1181="바우처통장",$J1181&gt;0,IFERROR(INDEX('통합 ④ 설정'!$E$6:$E$40,MATCH($D1181,'통합 ④ 설정'!$B$6:$B$40,0)),"")&lt;&gt;"○"),"바우처통장 지출 — 목적 확인",IF($H1181="","적요를 적으십시오",""))))))))))))</f>
        <v/>
      </c>
      <c r="M1181" s="39"/>
      <c r="O1181" s="11" t="str">
        <f aca="false">IF($B1181="","",YEAR($B1181)*100+MONTH($B1181))</f>
        <v/>
      </c>
      <c r="P1181" s="11" t="str">
        <f aca="false">IF($B1181="","",IF($E1181="대체",0,1))</f>
        <v/>
      </c>
    </row>
    <row r="1182" customFormat="false" ht="15" hidden="false" customHeight="false" outlineLevel="0" collapsed="false">
      <c r="A1182" s="36" t="str">
        <f aca="false">IF($B1182="","",COUNT($B$15:$B1182))</f>
        <v/>
      </c>
      <c r="B1182" s="37"/>
      <c r="C1182" s="38"/>
      <c r="D1182" s="39"/>
      <c r="E1182" s="36" t="str">
        <f aca="false">IF($D1182="","",IFERROR(INDEX('통합 ④ 설정'!$A$6:$A$40,MATCH($D1182,'통합 ④ 설정'!$B$6:$B$40,0)),"※없는 과목"))</f>
        <v/>
      </c>
      <c r="F1182" s="36" t="str">
        <f aca="false">IF($D1182="","",IFERROR(INDEX('통합 ④ 설정'!$C$6:$C$40,MATCH($D1182,'통합 ④ 설정'!$B$6:$B$40,0)),""))</f>
        <v/>
      </c>
      <c r="G1182" s="39"/>
      <c r="H1182" s="39"/>
      <c r="I1182" s="40"/>
      <c r="J1182" s="41"/>
      <c r="K1182" s="38"/>
      <c r="L1182" s="42" t="str">
        <f aca="false">IF($B1182="","",IF(AND(N($I1182)=0,N($J1182)=0),"금액이 없습니다",IF(AND($I1182&gt;0,$J1182&gt;0),"수입·지출 둘 다 적혔습니다",IF($C1182="","결제수단을 고르십시오",IF(ISNA(MATCH($C1182,'통합 ③ 통장·카드'!$A$5:$A$11,0)),"③ 통장·카드에 없는 결제수단입니다",IF($D1182="","계정과목을 고르십시오",IF($E1182="※없는 과목","④ 설정에 없는 과목입니다",IF(AND($E1182="수입",$J1182&gt;0),"수입 과목인데 지출에 적혔습니다",IF(AND(LEFT($E1182,2)&lt;&gt;"수입",$E1182&lt;&gt;"대체",$I1182&gt;0),"지출 과목인데 수입에 적혔습니다",IF($K1182="","증빙을 고르십시오",IF(AND($C1182="바우처통장",$J1182&gt;0,IFERROR(INDEX('통합 ④ 설정'!$E$6:$E$40,MATCH($D1182,'통합 ④ 설정'!$B$6:$B$40,0)),"")&lt;&gt;"○"),"바우처통장 지출 — 목적 확인",IF($H1182="","적요를 적으십시오",""))))))))))))</f>
        <v/>
      </c>
      <c r="M1182" s="39"/>
      <c r="O1182" s="11" t="str">
        <f aca="false">IF($B1182="","",YEAR($B1182)*100+MONTH($B1182))</f>
        <v/>
      </c>
      <c r="P1182" s="11" t="str">
        <f aca="false">IF($B1182="","",IF($E1182="대체",0,1))</f>
        <v/>
      </c>
    </row>
    <row r="1183" customFormat="false" ht="15" hidden="false" customHeight="false" outlineLevel="0" collapsed="false">
      <c r="A1183" s="36" t="str">
        <f aca="false">IF($B1183="","",COUNT($B$15:$B1183))</f>
        <v/>
      </c>
      <c r="B1183" s="37"/>
      <c r="C1183" s="38"/>
      <c r="D1183" s="39"/>
      <c r="E1183" s="36" t="str">
        <f aca="false">IF($D1183="","",IFERROR(INDEX('통합 ④ 설정'!$A$6:$A$40,MATCH($D1183,'통합 ④ 설정'!$B$6:$B$40,0)),"※없는 과목"))</f>
        <v/>
      </c>
      <c r="F1183" s="36" t="str">
        <f aca="false">IF($D1183="","",IFERROR(INDEX('통합 ④ 설정'!$C$6:$C$40,MATCH($D1183,'통합 ④ 설정'!$B$6:$B$40,0)),""))</f>
        <v/>
      </c>
      <c r="G1183" s="39"/>
      <c r="H1183" s="39"/>
      <c r="I1183" s="40"/>
      <c r="J1183" s="41"/>
      <c r="K1183" s="38"/>
      <c r="L1183" s="42" t="str">
        <f aca="false">IF($B1183="","",IF(AND(N($I1183)=0,N($J1183)=0),"금액이 없습니다",IF(AND($I1183&gt;0,$J1183&gt;0),"수입·지출 둘 다 적혔습니다",IF($C1183="","결제수단을 고르십시오",IF(ISNA(MATCH($C1183,'통합 ③ 통장·카드'!$A$5:$A$11,0)),"③ 통장·카드에 없는 결제수단입니다",IF($D1183="","계정과목을 고르십시오",IF($E1183="※없는 과목","④ 설정에 없는 과목입니다",IF(AND($E1183="수입",$J1183&gt;0),"수입 과목인데 지출에 적혔습니다",IF(AND(LEFT($E1183,2)&lt;&gt;"수입",$E1183&lt;&gt;"대체",$I1183&gt;0),"지출 과목인데 수입에 적혔습니다",IF($K1183="","증빙을 고르십시오",IF(AND($C1183="바우처통장",$J1183&gt;0,IFERROR(INDEX('통합 ④ 설정'!$E$6:$E$40,MATCH($D1183,'통합 ④ 설정'!$B$6:$B$40,0)),"")&lt;&gt;"○"),"바우처통장 지출 — 목적 확인",IF($H1183="","적요를 적으십시오",""))))))))))))</f>
        <v/>
      </c>
      <c r="M1183" s="39"/>
      <c r="O1183" s="11" t="str">
        <f aca="false">IF($B1183="","",YEAR($B1183)*100+MONTH($B1183))</f>
        <v/>
      </c>
      <c r="P1183" s="11" t="str">
        <f aca="false">IF($B1183="","",IF($E1183="대체",0,1))</f>
        <v/>
      </c>
    </row>
    <row r="1184" customFormat="false" ht="15" hidden="false" customHeight="false" outlineLevel="0" collapsed="false">
      <c r="A1184" s="36" t="str">
        <f aca="false">IF($B1184="","",COUNT($B$15:$B1184))</f>
        <v/>
      </c>
      <c r="B1184" s="37"/>
      <c r="C1184" s="38"/>
      <c r="D1184" s="39"/>
      <c r="E1184" s="36" t="str">
        <f aca="false">IF($D1184="","",IFERROR(INDEX('통합 ④ 설정'!$A$6:$A$40,MATCH($D1184,'통합 ④ 설정'!$B$6:$B$40,0)),"※없는 과목"))</f>
        <v/>
      </c>
      <c r="F1184" s="36" t="str">
        <f aca="false">IF($D1184="","",IFERROR(INDEX('통합 ④ 설정'!$C$6:$C$40,MATCH($D1184,'통합 ④ 설정'!$B$6:$B$40,0)),""))</f>
        <v/>
      </c>
      <c r="G1184" s="39"/>
      <c r="H1184" s="39"/>
      <c r="I1184" s="40"/>
      <c r="J1184" s="41"/>
      <c r="K1184" s="38"/>
      <c r="L1184" s="42" t="str">
        <f aca="false">IF($B1184="","",IF(AND(N($I1184)=0,N($J1184)=0),"금액이 없습니다",IF(AND($I1184&gt;0,$J1184&gt;0),"수입·지출 둘 다 적혔습니다",IF($C1184="","결제수단을 고르십시오",IF(ISNA(MATCH($C1184,'통합 ③ 통장·카드'!$A$5:$A$11,0)),"③ 통장·카드에 없는 결제수단입니다",IF($D1184="","계정과목을 고르십시오",IF($E1184="※없는 과목","④ 설정에 없는 과목입니다",IF(AND($E1184="수입",$J1184&gt;0),"수입 과목인데 지출에 적혔습니다",IF(AND(LEFT($E1184,2)&lt;&gt;"수입",$E1184&lt;&gt;"대체",$I1184&gt;0),"지출 과목인데 수입에 적혔습니다",IF($K1184="","증빙을 고르십시오",IF(AND($C1184="바우처통장",$J1184&gt;0,IFERROR(INDEX('통합 ④ 설정'!$E$6:$E$40,MATCH($D1184,'통합 ④ 설정'!$B$6:$B$40,0)),"")&lt;&gt;"○"),"바우처통장 지출 — 목적 확인",IF($H1184="","적요를 적으십시오",""))))))))))))</f>
        <v/>
      </c>
      <c r="M1184" s="39"/>
      <c r="O1184" s="11" t="str">
        <f aca="false">IF($B1184="","",YEAR($B1184)*100+MONTH($B1184))</f>
        <v/>
      </c>
      <c r="P1184" s="11" t="str">
        <f aca="false">IF($B1184="","",IF($E1184="대체",0,1))</f>
        <v/>
      </c>
    </row>
    <row r="1185" customFormat="false" ht="15" hidden="false" customHeight="false" outlineLevel="0" collapsed="false">
      <c r="A1185" s="36" t="str">
        <f aca="false">IF($B1185="","",COUNT($B$15:$B1185))</f>
        <v/>
      </c>
      <c r="B1185" s="37"/>
      <c r="C1185" s="38"/>
      <c r="D1185" s="39"/>
      <c r="E1185" s="36" t="str">
        <f aca="false">IF($D1185="","",IFERROR(INDEX('통합 ④ 설정'!$A$6:$A$40,MATCH($D1185,'통합 ④ 설정'!$B$6:$B$40,0)),"※없는 과목"))</f>
        <v/>
      </c>
      <c r="F1185" s="36" t="str">
        <f aca="false">IF($D1185="","",IFERROR(INDEX('통합 ④ 설정'!$C$6:$C$40,MATCH($D1185,'통합 ④ 설정'!$B$6:$B$40,0)),""))</f>
        <v/>
      </c>
      <c r="G1185" s="39"/>
      <c r="H1185" s="39"/>
      <c r="I1185" s="40"/>
      <c r="J1185" s="41"/>
      <c r="K1185" s="38"/>
      <c r="L1185" s="42" t="str">
        <f aca="false">IF($B1185="","",IF(AND(N($I1185)=0,N($J1185)=0),"금액이 없습니다",IF(AND($I1185&gt;0,$J1185&gt;0),"수입·지출 둘 다 적혔습니다",IF($C1185="","결제수단을 고르십시오",IF(ISNA(MATCH($C1185,'통합 ③ 통장·카드'!$A$5:$A$11,0)),"③ 통장·카드에 없는 결제수단입니다",IF($D1185="","계정과목을 고르십시오",IF($E1185="※없는 과목","④ 설정에 없는 과목입니다",IF(AND($E1185="수입",$J1185&gt;0),"수입 과목인데 지출에 적혔습니다",IF(AND(LEFT($E1185,2)&lt;&gt;"수입",$E1185&lt;&gt;"대체",$I1185&gt;0),"지출 과목인데 수입에 적혔습니다",IF($K1185="","증빙을 고르십시오",IF(AND($C1185="바우처통장",$J1185&gt;0,IFERROR(INDEX('통합 ④ 설정'!$E$6:$E$40,MATCH($D1185,'통합 ④ 설정'!$B$6:$B$40,0)),"")&lt;&gt;"○"),"바우처통장 지출 — 목적 확인",IF($H1185="","적요를 적으십시오",""))))))))))))</f>
        <v/>
      </c>
      <c r="M1185" s="39"/>
      <c r="O1185" s="11" t="str">
        <f aca="false">IF($B1185="","",YEAR($B1185)*100+MONTH($B1185))</f>
        <v/>
      </c>
      <c r="P1185" s="11" t="str">
        <f aca="false">IF($B1185="","",IF($E1185="대체",0,1))</f>
        <v/>
      </c>
    </row>
    <row r="1186" customFormat="false" ht="15" hidden="false" customHeight="false" outlineLevel="0" collapsed="false">
      <c r="A1186" s="36" t="str">
        <f aca="false">IF($B1186="","",COUNT($B$15:$B1186))</f>
        <v/>
      </c>
      <c r="B1186" s="37"/>
      <c r="C1186" s="38"/>
      <c r="D1186" s="39"/>
      <c r="E1186" s="36" t="str">
        <f aca="false">IF($D1186="","",IFERROR(INDEX('통합 ④ 설정'!$A$6:$A$40,MATCH($D1186,'통합 ④ 설정'!$B$6:$B$40,0)),"※없는 과목"))</f>
        <v/>
      </c>
      <c r="F1186" s="36" t="str">
        <f aca="false">IF($D1186="","",IFERROR(INDEX('통합 ④ 설정'!$C$6:$C$40,MATCH($D1186,'통합 ④ 설정'!$B$6:$B$40,0)),""))</f>
        <v/>
      </c>
      <c r="G1186" s="39"/>
      <c r="H1186" s="39"/>
      <c r="I1186" s="40"/>
      <c r="J1186" s="41"/>
      <c r="K1186" s="38"/>
      <c r="L1186" s="42" t="str">
        <f aca="false">IF($B1186="","",IF(AND(N($I1186)=0,N($J1186)=0),"금액이 없습니다",IF(AND($I1186&gt;0,$J1186&gt;0),"수입·지출 둘 다 적혔습니다",IF($C1186="","결제수단을 고르십시오",IF(ISNA(MATCH($C1186,'통합 ③ 통장·카드'!$A$5:$A$11,0)),"③ 통장·카드에 없는 결제수단입니다",IF($D1186="","계정과목을 고르십시오",IF($E1186="※없는 과목","④ 설정에 없는 과목입니다",IF(AND($E1186="수입",$J1186&gt;0),"수입 과목인데 지출에 적혔습니다",IF(AND(LEFT($E1186,2)&lt;&gt;"수입",$E1186&lt;&gt;"대체",$I1186&gt;0),"지출 과목인데 수입에 적혔습니다",IF($K1186="","증빙을 고르십시오",IF(AND($C1186="바우처통장",$J1186&gt;0,IFERROR(INDEX('통합 ④ 설정'!$E$6:$E$40,MATCH($D1186,'통합 ④ 설정'!$B$6:$B$40,0)),"")&lt;&gt;"○"),"바우처통장 지출 — 목적 확인",IF($H1186="","적요를 적으십시오",""))))))))))))</f>
        <v/>
      </c>
      <c r="M1186" s="39"/>
      <c r="O1186" s="11" t="str">
        <f aca="false">IF($B1186="","",YEAR($B1186)*100+MONTH($B1186))</f>
        <v/>
      </c>
      <c r="P1186" s="11" t="str">
        <f aca="false">IF($B1186="","",IF($E1186="대체",0,1))</f>
        <v/>
      </c>
    </row>
    <row r="1187" customFormat="false" ht="15" hidden="false" customHeight="false" outlineLevel="0" collapsed="false">
      <c r="A1187" s="36" t="str">
        <f aca="false">IF($B1187="","",COUNT($B$15:$B1187))</f>
        <v/>
      </c>
      <c r="B1187" s="37"/>
      <c r="C1187" s="38"/>
      <c r="D1187" s="39"/>
      <c r="E1187" s="36" t="str">
        <f aca="false">IF($D1187="","",IFERROR(INDEX('통합 ④ 설정'!$A$6:$A$40,MATCH($D1187,'통합 ④ 설정'!$B$6:$B$40,0)),"※없는 과목"))</f>
        <v/>
      </c>
      <c r="F1187" s="36" t="str">
        <f aca="false">IF($D1187="","",IFERROR(INDEX('통합 ④ 설정'!$C$6:$C$40,MATCH($D1187,'통합 ④ 설정'!$B$6:$B$40,0)),""))</f>
        <v/>
      </c>
      <c r="G1187" s="39"/>
      <c r="H1187" s="39"/>
      <c r="I1187" s="40"/>
      <c r="J1187" s="41"/>
      <c r="K1187" s="38"/>
      <c r="L1187" s="42" t="str">
        <f aca="false">IF($B1187="","",IF(AND(N($I1187)=0,N($J1187)=0),"금액이 없습니다",IF(AND($I1187&gt;0,$J1187&gt;0),"수입·지출 둘 다 적혔습니다",IF($C1187="","결제수단을 고르십시오",IF(ISNA(MATCH($C1187,'통합 ③ 통장·카드'!$A$5:$A$11,0)),"③ 통장·카드에 없는 결제수단입니다",IF($D1187="","계정과목을 고르십시오",IF($E1187="※없는 과목","④ 설정에 없는 과목입니다",IF(AND($E1187="수입",$J1187&gt;0),"수입 과목인데 지출에 적혔습니다",IF(AND(LEFT($E1187,2)&lt;&gt;"수입",$E1187&lt;&gt;"대체",$I1187&gt;0),"지출 과목인데 수입에 적혔습니다",IF($K1187="","증빙을 고르십시오",IF(AND($C1187="바우처통장",$J1187&gt;0,IFERROR(INDEX('통합 ④ 설정'!$E$6:$E$40,MATCH($D1187,'통합 ④ 설정'!$B$6:$B$40,0)),"")&lt;&gt;"○"),"바우처통장 지출 — 목적 확인",IF($H1187="","적요를 적으십시오",""))))))))))))</f>
        <v/>
      </c>
      <c r="M1187" s="39"/>
      <c r="O1187" s="11" t="str">
        <f aca="false">IF($B1187="","",YEAR($B1187)*100+MONTH($B1187))</f>
        <v/>
      </c>
      <c r="P1187" s="11" t="str">
        <f aca="false">IF($B1187="","",IF($E1187="대체",0,1))</f>
        <v/>
      </c>
    </row>
    <row r="1188" customFormat="false" ht="15" hidden="false" customHeight="false" outlineLevel="0" collapsed="false">
      <c r="A1188" s="36" t="str">
        <f aca="false">IF($B1188="","",COUNT($B$15:$B1188))</f>
        <v/>
      </c>
      <c r="B1188" s="37"/>
      <c r="C1188" s="38"/>
      <c r="D1188" s="39"/>
      <c r="E1188" s="36" t="str">
        <f aca="false">IF($D1188="","",IFERROR(INDEX('통합 ④ 설정'!$A$6:$A$40,MATCH($D1188,'통합 ④ 설정'!$B$6:$B$40,0)),"※없는 과목"))</f>
        <v/>
      </c>
      <c r="F1188" s="36" t="str">
        <f aca="false">IF($D1188="","",IFERROR(INDEX('통합 ④ 설정'!$C$6:$C$40,MATCH($D1188,'통합 ④ 설정'!$B$6:$B$40,0)),""))</f>
        <v/>
      </c>
      <c r="G1188" s="39"/>
      <c r="H1188" s="39"/>
      <c r="I1188" s="40"/>
      <c r="J1188" s="41"/>
      <c r="K1188" s="38"/>
      <c r="L1188" s="42" t="str">
        <f aca="false">IF($B1188="","",IF(AND(N($I1188)=0,N($J1188)=0),"금액이 없습니다",IF(AND($I1188&gt;0,$J1188&gt;0),"수입·지출 둘 다 적혔습니다",IF($C1188="","결제수단을 고르십시오",IF(ISNA(MATCH($C1188,'통합 ③ 통장·카드'!$A$5:$A$11,0)),"③ 통장·카드에 없는 결제수단입니다",IF($D1188="","계정과목을 고르십시오",IF($E1188="※없는 과목","④ 설정에 없는 과목입니다",IF(AND($E1188="수입",$J1188&gt;0),"수입 과목인데 지출에 적혔습니다",IF(AND(LEFT($E1188,2)&lt;&gt;"수입",$E1188&lt;&gt;"대체",$I1188&gt;0),"지출 과목인데 수입에 적혔습니다",IF($K1188="","증빙을 고르십시오",IF(AND($C1188="바우처통장",$J1188&gt;0,IFERROR(INDEX('통합 ④ 설정'!$E$6:$E$40,MATCH($D1188,'통합 ④ 설정'!$B$6:$B$40,0)),"")&lt;&gt;"○"),"바우처통장 지출 — 목적 확인",IF($H1188="","적요를 적으십시오",""))))))))))))</f>
        <v/>
      </c>
      <c r="M1188" s="39"/>
      <c r="O1188" s="11" t="str">
        <f aca="false">IF($B1188="","",YEAR($B1188)*100+MONTH($B1188))</f>
        <v/>
      </c>
      <c r="P1188" s="11" t="str">
        <f aca="false">IF($B1188="","",IF($E1188="대체",0,1))</f>
        <v/>
      </c>
    </row>
    <row r="1189" customFormat="false" ht="15" hidden="false" customHeight="false" outlineLevel="0" collapsed="false">
      <c r="A1189" s="36" t="str">
        <f aca="false">IF($B1189="","",COUNT($B$15:$B1189))</f>
        <v/>
      </c>
      <c r="B1189" s="37"/>
      <c r="C1189" s="38"/>
      <c r="D1189" s="39"/>
      <c r="E1189" s="36" t="str">
        <f aca="false">IF($D1189="","",IFERROR(INDEX('통합 ④ 설정'!$A$6:$A$40,MATCH($D1189,'통합 ④ 설정'!$B$6:$B$40,0)),"※없는 과목"))</f>
        <v/>
      </c>
      <c r="F1189" s="36" t="str">
        <f aca="false">IF($D1189="","",IFERROR(INDEX('통합 ④ 설정'!$C$6:$C$40,MATCH($D1189,'통합 ④ 설정'!$B$6:$B$40,0)),""))</f>
        <v/>
      </c>
      <c r="G1189" s="39"/>
      <c r="H1189" s="39"/>
      <c r="I1189" s="40"/>
      <c r="J1189" s="41"/>
      <c r="K1189" s="38"/>
      <c r="L1189" s="42" t="str">
        <f aca="false">IF($B1189="","",IF(AND(N($I1189)=0,N($J1189)=0),"금액이 없습니다",IF(AND($I1189&gt;0,$J1189&gt;0),"수입·지출 둘 다 적혔습니다",IF($C1189="","결제수단을 고르십시오",IF(ISNA(MATCH($C1189,'통합 ③ 통장·카드'!$A$5:$A$11,0)),"③ 통장·카드에 없는 결제수단입니다",IF($D1189="","계정과목을 고르십시오",IF($E1189="※없는 과목","④ 설정에 없는 과목입니다",IF(AND($E1189="수입",$J1189&gt;0),"수입 과목인데 지출에 적혔습니다",IF(AND(LEFT($E1189,2)&lt;&gt;"수입",$E1189&lt;&gt;"대체",$I1189&gt;0),"지출 과목인데 수입에 적혔습니다",IF($K1189="","증빙을 고르십시오",IF(AND($C1189="바우처통장",$J1189&gt;0,IFERROR(INDEX('통합 ④ 설정'!$E$6:$E$40,MATCH($D1189,'통합 ④ 설정'!$B$6:$B$40,0)),"")&lt;&gt;"○"),"바우처통장 지출 — 목적 확인",IF($H1189="","적요를 적으십시오",""))))))))))))</f>
        <v/>
      </c>
      <c r="M1189" s="39"/>
      <c r="O1189" s="11" t="str">
        <f aca="false">IF($B1189="","",YEAR($B1189)*100+MONTH($B1189))</f>
        <v/>
      </c>
      <c r="P1189" s="11" t="str">
        <f aca="false">IF($B1189="","",IF($E1189="대체",0,1))</f>
        <v/>
      </c>
    </row>
    <row r="1190" customFormat="false" ht="15" hidden="false" customHeight="false" outlineLevel="0" collapsed="false">
      <c r="A1190" s="36" t="str">
        <f aca="false">IF($B1190="","",COUNT($B$15:$B1190))</f>
        <v/>
      </c>
      <c r="B1190" s="37"/>
      <c r="C1190" s="38"/>
      <c r="D1190" s="39"/>
      <c r="E1190" s="36" t="str">
        <f aca="false">IF($D1190="","",IFERROR(INDEX('통합 ④ 설정'!$A$6:$A$40,MATCH($D1190,'통합 ④ 설정'!$B$6:$B$40,0)),"※없는 과목"))</f>
        <v/>
      </c>
      <c r="F1190" s="36" t="str">
        <f aca="false">IF($D1190="","",IFERROR(INDEX('통합 ④ 설정'!$C$6:$C$40,MATCH($D1190,'통합 ④ 설정'!$B$6:$B$40,0)),""))</f>
        <v/>
      </c>
      <c r="G1190" s="39"/>
      <c r="H1190" s="39"/>
      <c r="I1190" s="40"/>
      <c r="J1190" s="41"/>
      <c r="K1190" s="38"/>
      <c r="L1190" s="42" t="str">
        <f aca="false">IF($B1190="","",IF(AND(N($I1190)=0,N($J1190)=0),"금액이 없습니다",IF(AND($I1190&gt;0,$J1190&gt;0),"수입·지출 둘 다 적혔습니다",IF($C1190="","결제수단을 고르십시오",IF(ISNA(MATCH($C1190,'통합 ③ 통장·카드'!$A$5:$A$11,0)),"③ 통장·카드에 없는 결제수단입니다",IF($D1190="","계정과목을 고르십시오",IF($E1190="※없는 과목","④ 설정에 없는 과목입니다",IF(AND($E1190="수입",$J1190&gt;0),"수입 과목인데 지출에 적혔습니다",IF(AND(LEFT($E1190,2)&lt;&gt;"수입",$E1190&lt;&gt;"대체",$I1190&gt;0),"지출 과목인데 수입에 적혔습니다",IF($K1190="","증빙을 고르십시오",IF(AND($C1190="바우처통장",$J1190&gt;0,IFERROR(INDEX('통합 ④ 설정'!$E$6:$E$40,MATCH($D1190,'통합 ④ 설정'!$B$6:$B$40,0)),"")&lt;&gt;"○"),"바우처통장 지출 — 목적 확인",IF($H1190="","적요를 적으십시오",""))))))))))))</f>
        <v/>
      </c>
      <c r="M1190" s="39"/>
      <c r="O1190" s="11" t="str">
        <f aca="false">IF($B1190="","",YEAR($B1190)*100+MONTH($B1190))</f>
        <v/>
      </c>
      <c r="P1190" s="11" t="str">
        <f aca="false">IF($B1190="","",IF($E1190="대체",0,1))</f>
        <v/>
      </c>
    </row>
    <row r="1191" customFormat="false" ht="15" hidden="false" customHeight="false" outlineLevel="0" collapsed="false">
      <c r="A1191" s="36" t="str">
        <f aca="false">IF($B1191="","",COUNT($B$15:$B1191))</f>
        <v/>
      </c>
      <c r="B1191" s="37"/>
      <c r="C1191" s="38"/>
      <c r="D1191" s="39"/>
      <c r="E1191" s="36" t="str">
        <f aca="false">IF($D1191="","",IFERROR(INDEX('통합 ④ 설정'!$A$6:$A$40,MATCH($D1191,'통합 ④ 설정'!$B$6:$B$40,0)),"※없는 과목"))</f>
        <v/>
      </c>
      <c r="F1191" s="36" t="str">
        <f aca="false">IF($D1191="","",IFERROR(INDEX('통합 ④ 설정'!$C$6:$C$40,MATCH($D1191,'통합 ④ 설정'!$B$6:$B$40,0)),""))</f>
        <v/>
      </c>
      <c r="G1191" s="39"/>
      <c r="H1191" s="39"/>
      <c r="I1191" s="40"/>
      <c r="J1191" s="41"/>
      <c r="K1191" s="38"/>
      <c r="L1191" s="42" t="str">
        <f aca="false">IF($B1191="","",IF(AND(N($I1191)=0,N($J1191)=0),"금액이 없습니다",IF(AND($I1191&gt;0,$J1191&gt;0),"수입·지출 둘 다 적혔습니다",IF($C1191="","결제수단을 고르십시오",IF(ISNA(MATCH($C1191,'통합 ③ 통장·카드'!$A$5:$A$11,0)),"③ 통장·카드에 없는 결제수단입니다",IF($D1191="","계정과목을 고르십시오",IF($E1191="※없는 과목","④ 설정에 없는 과목입니다",IF(AND($E1191="수입",$J1191&gt;0),"수입 과목인데 지출에 적혔습니다",IF(AND(LEFT($E1191,2)&lt;&gt;"수입",$E1191&lt;&gt;"대체",$I1191&gt;0),"지출 과목인데 수입에 적혔습니다",IF($K1191="","증빙을 고르십시오",IF(AND($C1191="바우처통장",$J1191&gt;0,IFERROR(INDEX('통합 ④ 설정'!$E$6:$E$40,MATCH($D1191,'통합 ④ 설정'!$B$6:$B$40,0)),"")&lt;&gt;"○"),"바우처통장 지출 — 목적 확인",IF($H1191="","적요를 적으십시오",""))))))))))))</f>
        <v/>
      </c>
      <c r="M1191" s="39"/>
      <c r="O1191" s="11" t="str">
        <f aca="false">IF($B1191="","",YEAR($B1191)*100+MONTH($B1191))</f>
        <v/>
      </c>
      <c r="P1191" s="11" t="str">
        <f aca="false">IF($B1191="","",IF($E1191="대체",0,1))</f>
        <v/>
      </c>
    </row>
    <row r="1192" customFormat="false" ht="15" hidden="false" customHeight="false" outlineLevel="0" collapsed="false">
      <c r="A1192" s="36" t="str">
        <f aca="false">IF($B1192="","",COUNT($B$15:$B1192))</f>
        <v/>
      </c>
      <c r="B1192" s="37"/>
      <c r="C1192" s="38"/>
      <c r="D1192" s="39"/>
      <c r="E1192" s="36" t="str">
        <f aca="false">IF($D1192="","",IFERROR(INDEX('통합 ④ 설정'!$A$6:$A$40,MATCH($D1192,'통합 ④ 설정'!$B$6:$B$40,0)),"※없는 과목"))</f>
        <v/>
      </c>
      <c r="F1192" s="36" t="str">
        <f aca="false">IF($D1192="","",IFERROR(INDEX('통합 ④ 설정'!$C$6:$C$40,MATCH($D1192,'통합 ④ 설정'!$B$6:$B$40,0)),""))</f>
        <v/>
      </c>
      <c r="G1192" s="39"/>
      <c r="H1192" s="39"/>
      <c r="I1192" s="40"/>
      <c r="J1192" s="41"/>
      <c r="K1192" s="38"/>
      <c r="L1192" s="42" t="str">
        <f aca="false">IF($B1192="","",IF(AND(N($I1192)=0,N($J1192)=0),"금액이 없습니다",IF(AND($I1192&gt;0,$J1192&gt;0),"수입·지출 둘 다 적혔습니다",IF($C1192="","결제수단을 고르십시오",IF(ISNA(MATCH($C1192,'통합 ③ 통장·카드'!$A$5:$A$11,0)),"③ 통장·카드에 없는 결제수단입니다",IF($D1192="","계정과목을 고르십시오",IF($E1192="※없는 과목","④ 설정에 없는 과목입니다",IF(AND($E1192="수입",$J1192&gt;0),"수입 과목인데 지출에 적혔습니다",IF(AND(LEFT($E1192,2)&lt;&gt;"수입",$E1192&lt;&gt;"대체",$I1192&gt;0),"지출 과목인데 수입에 적혔습니다",IF($K1192="","증빙을 고르십시오",IF(AND($C1192="바우처통장",$J1192&gt;0,IFERROR(INDEX('통합 ④ 설정'!$E$6:$E$40,MATCH($D1192,'통합 ④ 설정'!$B$6:$B$40,0)),"")&lt;&gt;"○"),"바우처통장 지출 — 목적 확인",IF($H1192="","적요를 적으십시오",""))))))))))))</f>
        <v/>
      </c>
      <c r="M1192" s="39"/>
      <c r="O1192" s="11" t="str">
        <f aca="false">IF($B1192="","",YEAR($B1192)*100+MONTH($B1192))</f>
        <v/>
      </c>
      <c r="P1192" s="11" t="str">
        <f aca="false">IF($B1192="","",IF($E1192="대체",0,1))</f>
        <v/>
      </c>
    </row>
    <row r="1193" customFormat="false" ht="15" hidden="false" customHeight="false" outlineLevel="0" collapsed="false">
      <c r="A1193" s="36" t="str">
        <f aca="false">IF($B1193="","",COUNT($B$15:$B1193))</f>
        <v/>
      </c>
      <c r="B1193" s="37"/>
      <c r="C1193" s="38"/>
      <c r="D1193" s="39"/>
      <c r="E1193" s="36" t="str">
        <f aca="false">IF($D1193="","",IFERROR(INDEX('통합 ④ 설정'!$A$6:$A$40,MATCH($D1193,'통합 ④ 설정'!$B$6:$B$40,0)),"※없는 과목"))</f>
        <v/>
      </c>
      <c r="F1193" s="36" t="str">
        <f aca="false">IF($D1193="","",IFERROR(INDEX('통합 ④ 설정'!$C$6:$C$40,MATCH($D1193,'통합 ④ 설정'!$B$6:$B$40,0)),""))</f>
        <v/>
      </c>
      <c r="G1193" s="39"/>
      <c r="H1193" s="39"/>
      <c r="I1193" s="40"/>
      <c r="J1193" s="41"/>
      <c r="K1193" s="38"/>
      <c r="L1193" s="42" t="str">
        <f aca="false">IF($B1193="","",IF(AND(N($I1193)=0,N($J1193)=0),"금액이 없습니다",IF(AND($I1193&gt;0,$J1193&gt;0),"수입·지출 둘 다 적혔습니다",IF($C1193="","결제수단을 고르십시오",IF(ISNA(MATCH($C1193,'통합 ③ 통장·카드'!$A$5:$A$11,0)),"③ 통장·카드에 없는 결제수단입니다",IF($D1193="","계정과목을 고르십시오",IF($E1193="※없는 과목","④ 설정에 없는 과목입니다",IF(AND($E1193="수입",$J1193&gt;0),"수입 과목인데 지출에 적혔습니다",IF(AND(LEFT($E1193,2)&lt;&gt;"수입",$E1193&lt;&gt;"대체",$I1193&gt;0),"지출 과목인데 수입에 적혔습니다",IF($K1193="","증빙을 고르십시오",IF(AND($C1193="바우처통장",$J1193&gt;0,IFERROR(INDEX('통합 ④ 설정'!$E$6:$E$40,MATCH($D1193,'통합 ④ 설정'!$B$6:$B$40,0)),"")&lt;&gt;"○"),"바우처통장 지출 — 목적 확인",IF($H1193="","적요를 적으십시오",""))))))))))))</f>
        <v/>
      </c>
      <c r="M1193" s="39"/>
      <c r="O1193" s="11" t="str">
        <f aca="false">IF($B1193="","",YEAR($B1193)*100+MONTH($B1193))</f>
        <v/>
      </c>
      <c r="P1193" s="11" t="str">
        <f aca="false">IF($B1193="","",IF($E1193="대체",0,1))</f>
        <v/>
      </c>
    </row>
    <row r="1194" customFormat="false" ht="15" hidden="false" customHeight="false" outlineLevel="0" collapsed="false">
      <c r="A1194" s="36" t="str">
        <f aca="false">IF($B1194="","",COUNT($B$15:$B1194))</f>
        <v/>
      </c>
      <c r="B1194" s="37"/>
      <c r="C1194" s="38"/>
      <c r="D1194" s="39"/>
      <c r="E1194" s="36" t="str">
        <f aca="false">IF($D1194="","",IFERROR(INDEX('통합 ④ 설정'!$A$6:$A$40,MATCH($D1194,'통합 ④ 설정'!$B$6:$B$40,0)),"※없는 과목"))</f>
        <v/>
      </c>
      <c r="F1194" s="36" t="str">
        <f aca="false">IF($D1194="","",IFERROR(INDEX('통합 ④ 설정'!$C$6:$C$40,MATCH($D1194,'통합 ④ 설정'!$B$6:$B$40,0)),""))</f>
        <v/>
      </c>
      <c r="G1194" s="39"/>
      <c r="H1194" s="39"/>
      <c r="I1194" s="40"/>
      <c r="J1194" s="41"/>
      <c r="K1194" s="38"/>
      <c r="L1194" s="42" t="str">
        <f aca="false">IF($B1194="","",IF(AND(N($I1194)=0,N($J1194)=0),"금액이 없습니다",IF(AND($I1194&gt;0,$J1194&gt;0),"수입·지출 둘 다 적혔습니다",IF($C1194="","결제수단을 고르십시오",IF(ISNA(MATCH($C1194,'통합 ③ 통장·카드'!$A$5:$A$11,0)),"③ 통장·카드에 없는 결제수단입니다",IF($D1194="","계정과목을 고르십시오",IF($E1194="※없는 과목","④ 설정에 없는 과목입니다",IF(AND($E1194="수입",$J1194&gt;0),"수입 과목인데 지출에 적혔습니다",IF(AND(LEFT($E1194,2)&lt;&gt;"수입",$E1194&lt;&gt;"대체",$I1194&gt;0),"지출 과목인데 수입에 적혔습니다",IF($K1194="","증빙을 고르십시오",IF(AND($C1194="바우처통장",$J1194&gt;0,IFERROR(INDEX('통합 ④ 설정'!$E$6:$E$40,MATCH($D1194,'통합 ④ 설정'!$B$6:$B$40,0)),"")&lt;&gt;"○"),"바우처통장 지출 — 목적 확인",IF($H1194="","적요를 적으십시오",""))))))))))))</f>
        <v/>
      </c>
      <c r="M1194" s="39"/>
      <c r="O1194" s="11" t="str">
        <f aca="false">IF($B1194="","",YEAR($B1194)*100+MONTH($B1194))</f>
        <v/>
      </c>
      <c r="P1194" s="11" t="str">
        <f aca="false">IF($B1194="","",IF($E1194="대체",0,1))</f>
        <v/>
      </c>
    </row>
    <row r="1195" customFormat="false" ht="15" hidden="false" customHeight="false" outlineLevel="0" collapsed="false">
      <c r="A1195" s="36" t="str">
        <f aca="false">IF($B1195="","",COUNT($B$15:$B1195))</f>
        <v/>
      </c>
      <c r="B1195" s="37"/>
      <c r="C1195" s="38"/>
      <c r="D1195" s="39"/>
      <c r="E1195" s="36" t="str">
        <f aca="false">IF($D1195="","",IFERROR(INDEX('통합 ④ 설정'!$A$6:$A$40,MATCH($D1195,'통합 ④ 설정'!$B$6:$B$40,0)),"※없는 과목"))</f>
        <v/>
      </c>
      <c r="F1195" s="36" t="str">
        <f aca="false">IF($D1195="","",IFERROR(INDEX('통합 ④ 설정'!$C$6:$C$40,MATCH($D1195,'통합 ④ 설정'!$B$6:$B$40,0)),""))</f>
        <v/>
      </c>
      <c r="G1195" s="39"/>
      <c r="H1195" s="39"/>
      <c r="I1195" s="40"/>
      <c r="J1195" s="41"/>
      <c r="K1195" s="38"/>
      <c r="L1195" s="42" t="str">
        <f aca="false">IF($B1195="","",IF(AND(N($I1195)=0,N($J1195)=0),"금액이 없습니다",IF(AND($I1195&gt;0,$J1195&gt;0),"수입·지출 둘 다 적혔습니다",IF($C1195="","결제수단을 고르십시오",IF(ISNA(MATCH($C1195,'통합 ③ 통장·카드'!$A$5:$A$11,0)),"③ 통장·카드에 없는 결제수단입니다",IF($D1195="","계정과목을 고르십시오",IF($E1195="※없는 과목","④ 설정에 없는 과목입니다",IF(AND($E1195="수입",$J1195&gt;0),"수입 과목인데 지출에 적혔습니다",IF(AND(LEFT($E1195,2)&lt;&gt;"수입",$E1195&lt;&gt;"대체",$I1195&gt;0),"지출 과목인데 수입에 적혔습니다",IF($K1195="","증빙을 고르십시오",IF(AND($C1195="바우처통장",$J1195&gt;0,IFERROR(INDEX('통합 ④ 설정'!$E$6:$E$40,MATCH($D1195,'통합 ④ 설정'!$B$6:$B$40,0)),"")&lt;&gt;"○"),"바우처통장 지출 — 목적 확인",IF($H1195="","적요를 적으십시오",""))))))))))))</f>
        <v/>
      </c>
      <c r="M1195" s="39"/>
      <c r="O1195" s="11" t="str">
        <f aca="false">IF($B1195="","",YEAR($B1195)*100+MONTH($B1195))</f>
        <v/>
      </c>
      <c r="P1195" s="11" t="str">
        <f aca="false">IF($B1195="","",IF($E1195="대체",0,1))</f>
        <v/>
      </c>
    </row>
    <row r="1196" customFormat="false" ht="15" hidden="false" customHeight="false" outlineLevel="0" collapsed="false">
      <c r="A1196" s="36" t="str">
        <f aca="false">IF($B1196="","",COUNT($B$15:$B1196))</f>
        <v/>
      </c>
      <c r="B1196" s="37"/>
      <c r="C1196" s="38"/>
      <c r="D1196" s="39"/>
      <c r="E1196" s="36" t="str">
        <f aca="false">IF($D1196="","",IFERROR(INDEX('통합 ④ 설정'!$A$6:$A$40,MATCH($D1196,'통합 ④ 설정'!$B$6:$B$40,0)),"※없는 과목"))</f>
        <v/>
      </c>
      <c r="F1196" s="36" t="str">
        <f aca="false">IF($D1196="","",IFERROR(INDEX('통합 ④ 설정'!$C$6:$C$40,MATCH($D1196,'통합 ④ 설정'!$B$6:$B$40,0)),""))</f>
        <v/>
      </c>
      <c r="G1196" s="39"/>
      <c r="H1196" s="39"/>
      <c r="I1196" s="40"/>
      <c r="J1196" s="41"/>
      <c r="K1196" s="38"/>
      <c r="L1196" s="42" t="str">
        <f aca="false">IF($B1196="","",IF(AND(N($I1196)=0,N($J1196)=0),"금액이 없습니다",IF(AND($I1196&gt;0,$J1196&gt;0),"수입·지출 둘 다 적혔습니다",IF($C1196="","결제수단을 고르십시오",IF(ISNA(MATCH($C1196,'통합 ③ 통장·카드'!$A$5:$A$11,0)),"③ 통장·카드에 없는 결제수단입니다",IF($D1196="","계정과목을 고르십시오",IF($E1196="※없는 과목","④ 설정에 없는 과목입니다",IF(AND($E1196="수입",$J1196&gt;0),"수입 과목인데 지출에 적혔습니다",IF(AND(LEFT($E1196,2)&lt;&gt;"수입",$E1196&lt;&gt;"대체",$I1196&gt;0),"지출 과목인데 수입에 적혔습니다",IF($K1196="","증빙을 고르십시오",IF(AND($C1196="바우처통장",$J1196&gt;0,IFERROR(INDEX('통합 ④ 설정'!$E$6:$E$40,MATCH($D1196,'통합 ④ 설정'!$B$6:$B$40,0)),"")&lt;&gt;"○"),"바우처통장 지출 — 목적 확인",IF($H1196="","적요를 적으십시오",""))))))))))))</f>
        <v/>
      </c>
      <c r="M1196" s="39"/>
      <c r="O1196" s="11" t="str">
        <f aca="false">IF($B1196="","",YEAR($B1196)*100+MONTH($B1196))</f>
        <v/>
      </c>
      <c r="P1196" s="11" t="str">
        <f aca="false">IF($B1196="","",IF($E1196="대체",0,1))</f>
        <v/>
      </c>
    </row>
    <row r="1197" customFormat="false" ht="15" hidden="false" customHeight="false" outlineLevel="0" collapsed="false">
      <c r="A1197" s="36" t="str">
        <f aca="false">IF($B1197="","",COUNT($B$15:$B1197))</f>
        <v/>
      </c>
      <c r="B1197" s="37"/>
      <c r="C1197" s="38"/>
      <c r="D1197" s="39"/>
      <c r="E1197" s="36" t="str">
        <f aca="false">IF($D1197="","",IFERROR(INDEX('통합 ④ 설정'!$A$6:$A$40,MATCH($D1197,'통합 ④ 설정'!$B$6:$B$40,0)),"※없는 과목"))</f>
        <v/>
      </c>
      <c r="F1197" s="36" t="str">
        <f aca="false">IF($D1197="","",IFERROR(INDEX('통합 ④ 설정'!$C$6:$C$40,MATCH($D1197,'통합 ④ 설정'!$B$6:$B$40,0)),""))</f>
        <v/>
      </c>
      <c r="G1197" s="39"/>
      <c r="H1197" s="39"/>
      <c r="I1197" s="40"/>
      <c r="J1197" s="41"/>
      <c r="K1197" s="38"/>
      <c r="L1197" s="42" t="str">
        <f aca="false">IF($B1197="","",IF(AND(N($I1197)=0,N($J1197)=0),"금액이 없습니다",IF(AND($I1197&gt;0,$J1197&gt;0),"수입·지출 둘 다 적혔습니다",IF($C1197="","결제수단을 고르십시오",IF(ISNA(MATCH($C1197,'통합 ③ 통장·카드'!$A$5:$A$11,0)),"③ 통장·카드에 없는 결제수단입니다",IF($D1197="","계정과목을 고르십시오",IF($E1197="※없는 과목","④ 설정에 없는 과목입니다",IF(AND($E1197="수입",$J1197&gt;0),"수입 과목인데 지출에 적혔습니다",IF(AND(LEFT($E1197,2)&lt;&gt;"수입",$E1197&lt;&gt;"대체",$I1197&gt;0),"지출 과목인데 수입에 적혔습니다",IF($K1197="","증빙을 고르십시오",IF(AND($C1197="바우처통장",$J1197&gt;0,IFERROR(INDEX('통합 ④ 설정'!$E$6:$E$40,MATCH($D1197,'통합 ④ 설정'!$B$6:$B$40,0)),"")&lt;&gt;"○"),"바우처통장 지출 — 목적 확인",IF($H1197="","적요를 적으십시오",""))))))))))))</f>
        <v/>
      </c>
      <c r="M1197" s="39"/>
      <c r="O1197" s="11" t="str">
        <f aca="false">IF($B1197="","",YEAR($B1197)*100+MONTH($B1197))</f>
        <v/>
      </c>
      <c r="P1197" s="11" t="str">
        <f aca="false">IF($B1197="","",IF($E1197="대체",0,1))</f>
        <v/>
      </c>
    </row>
    <row r="1198" customFormat="false" ht="15" hidden="false" customHeight="false" outlineLevel="0" collapsed="false">
      <c r="A1198" s="36" t="str">
        <f aca="false">IF($B1198="","",COUNT($B$15:$B1198))</f>
        <v/>
      </c>
      <c r="B1198" s="37"/>
      <c r="C1198" s="38"/>
      <c r="D1198" s="39"/>
      <c r="E1198" s="36" t="str">
        <f aca="false">IF($D1198="","",IFERROR(INDEX('통합 ④ 설정'!$A$6:$A$40,MATCH($D1198,'통합 ④ 설정'!$B$6:$B$40,0)),"※없는 과목"))</f>
        <v/>
      </c>
      <c r="F1198" s="36" t="str">
        <f aca="false">IF($D1198="","",IFERROR(INDEX('통합 ④ 설정'!$C$6:$C$40,MATCH($D1198,'통합 ④ 설정'!$B$6:$B$40,0)),""))</f>
        <v/>
      </c>
      <c r="G1198" s="39"/>
      <c r="H1198" s="39"/>
      <c r="I1198" s="40"/>
      <c r="J1198" s="41"/>
      <c r="K1198" s="38"/>
      <c r="L1198" s="42" t="str">
        <f aca="false">IF($B1198="","",IF(AND(N($I1198)=0,N($J1198)=0),"금액이 없습니다",IF(AND($I1198&gt;0,$J1198&gt;0),"수입·지출 둘 다 적혔습니다",IF($C1198="","결제수단을 고르십시오",IF(ISNA(MATCH($C1198,'통합 ③ 통장·카드'!$A$5:$A$11,0)),"③ 통장·카드에 없는 결제수단입니다",IF($D1198="","계정과목을 고르십시오",IF($E1198="※없는 과목","④ 설정에 없는 과목입니다",IF(AND($E1198="수입",$J1198&gt;0),"수입 과목인데 지출에 적혔습니다",IF(AND(LEFT($E1198,2)&lt;&gt;"수입",$E1198&lt;&gt;"대체",$I1198&gt;0),"지출 과목인데 수입에 적혔습니다",IF($K1198="","증빙을 고르십시오",IF(AND($C1198="바우처통장",$J1198&gt;0,IFERROR(INDEX('통합 ④ 설정'!$E$6:$E$40,MATCH($D1198,'통합 ④ 설정'!$B$6:$B$40,0)),"")&lt;&gt;"○"),"바우처통장 지출 — 목적 확인",IF($H1198="","적요를 적으십시오",""))))))))))))</f>
        <v/>
      </c>
      <c r="M1198" s="39"/>
      <c r="O1198" s="11" t="str">
        <f aca="false">IF($B1198="","",YEAR($B1198)*100+MONTH($B1198))</f>
        <v/>
      </c>
      <c r="P1198" s="11" t="str">
        <f aca="false">IF($B1198="","",IF($E1198="대체",0,1))</f>
        <v/>
      </c>
    </row>
    <row r="1199" customFormat="false" ht="15" hidden="false" customHeight="false" outlineLevel="0" collapsed="false">
      <c r="A1199" s="36" t="str">
        <f aca="false">IF($B1199="","",COUNT($B$15:$B1199))</f>
        <v/>
      </c>
      <c r="B1199" s="37"/>
      <c r="C1199" s="38"/>
      <c r="D1199" s="39"/>
      <c r="E1199" s="36" t="str">
        <f aca="false">IF($D1199="","",IFERROR(INDEX('통합 ④ 설정'!$A$6:$A$40,MATCH($D1199,'통합 ④ 설정'!$B$6:$B$40,0)),"※없는 과목"))</f>
        <v/>
      </c>
      <c r="F1199" s="36" t="str">
        <f aca="false">IF($D1199="","",IFERROR(INDEX('통합 ④ 설정'!$C$6:$C$40,MATCH($D1199,'통합 ④ 설정'!$B$6:$B$40,0)),""))</f>
        <v/>
      </c>
      <c r="G1199" s="39"/>
      <c r="H1199" s="39"/>
      <c r="I1199" s="40"/>
      <c r="J1199" s="41"/>
      <c r="K1199" s="38"/>
      <c r="L1199" s="42" t="str">
        <f aca="false">IF($B1199="","",IF(AND(N($I1199)=0,N($J1199)=0),"금액이 없습니다",IF(AND($I1199&gt;0,$J1199&gt;0),"수입·지출 둘 다 적혔습니다",IF($C1199="","결제수단을 고르십시오",IF(ISNA(MATCH($C1199,'통합 ③ 통장·카드'!$A$5:$A$11,0)),"③ 통장·카드에 없는 결제수단입니다",IF($D1199="","계정과목을 고르십시오",IF($E1199="※없는 과목","④ 설정에 없는 과목입니다",IF(AND($E1199="수입",$J1199&gt;0),"수입 과목인데 지출에 적혔습니다",IF(AND(LEFT($E1199,2)&lt;&gt;"수입",$E1199&lt;&gt;"대체",$I1199&gt;0),"지출 과목인데 수입에 적혔습니다",IF($K1199="","증빙을 고르십시오",IF(AND($C1199="바우처통장",$J1199&gt;0,IFERROR(INDEX('통합 ④ 설정'!$E$6:$E$40,MATCH($D1199,'통합 ④ 설정'!$B$6:$B$40,0)),"")&lt;&gt;"○"),"바우처통장 지출 — 목적 확인",IF($H1199="","적요를 적으십시오",""))))))))))))</f>
        <v/>
      </c>
      <c r="M1199" s="39"/>
      <c r="O1199" s="11" t="str">
        <f aca="false">IF($B1199="","",YEAR($B1199)*100+MONTH($B1199))</f>
        <v/>
      </c>
      <c r="P1199" s="11" t="str">
        <f aca="false">IF($B1199="","",IF($E1199="대체",0,1))</f>
        <v/>
      </c>
    </row>
    <row r="1200" customFormat="false" ht="15" hidden="false" customHeight="false" outlineLevel="0" collapsed="false">
      <c r="A1200" s="36" t="str">
        <f aca="false">IF($B1200="","",COUNT($B$15:$B1200))</f>
        <v/>
      </c>
      <c r="B1200" s="37"/>
      <c r="C1200" s="38"/>
      <c r="D1200" s="39"/>
      <c r="E1200" s="36" t="str">
        <f aca="false">IF($D1200="","",IFERROR(INDEX('통합 ④ 설정'!$A$6:$A$40,MATCH($D1200,'통합 ④ 설정'!$B$6:$B$40,0)),"※없는 과목"))</f>
        <v/>
      </c>
      <c r="F1200" s="36" t="str">
        <f aca="false">IF($D1200="","",IFERROR(INDEX('통합 ④ 설정'!$C$6:$C$40,MATCH($D1200,'통합 ④ 설정'!$B$6:$B$40,0)),""))</f>
        <v/>
      </c>
      <c r="G1200" s="39"/>
      <c r="H1200" s="39"/>
      <c r="I1200" s="40"/>
      <c r="J1200" s="41"/>
      <c r="K1200" s="38"/>
      <c r="L1200" s="42" t="str">
        <f aca="false">IF($B1200="","",IF(AND(N($I1200)=0,N($J1200)=0),"금액이 없습니다",IF(AND($I1200&gt;0,$J1200&gt;0),"수입·지출 둘 다 적혔습니다",IF($C1200="","결제수단을 고르십시오",IF(ISNA(MATCH($C1200,'통합 ③ 통장·카드'!$A$5:$A$11,0)),"③ 통장·카드에 없는 결제수단입니다",IF($D1200="","계정과목을 고르십시오",IF($E1200="※없는 과목","④ 설정에 없는 과목입니다",IF(AND($E1200="수입",$J1200&gt;0),"수입 과목인데 지출에 적혔습니다",IF(AND(LEFT($E1200,2)&lt;&gt;"수입",$E1200&lt;&gt;"대체",$I1200&gt;0),"지출 과목인데 수입에 적혔습니다",IF($K1200="","증빙을 고르십시오",IF(AND($C1200="바우처통장",$J1200&gt;0,IFERROR(INDEX('통합 ④ 설정'!$E$6:$E$40,MATCH($D1200,'통합 ④ 설정'!$B$6:$B$40,0)),"")&lt;&gt;"○"),"바우처통장 지출 — 목적 확인",IF($H1200="","적요를 적으십시오",""))))))))))))</f>
        <v/>
      </c>
      <c r="M1200" s="39"/>
      <c r="O1200" s="11" t="str">
        <f aca="false">IF($B1200="","",YEAR($B1200)*100+MONTH($B1200))</f>
        <v/>
      </c>
      <c r="P1200" s="11" t="str">
        <f aca="false">IF($B1200="","",IF($E1200="대체",0,1))</f>
        <v/>
      </c>
    </row>
    <row r="1201" customFormat="false" ht="15" hidden="false" customHeight="false" outlineLevel="0" collapsed="false">
      <c r="A1201" s="36" t="str">
        <f aca="false">IF($B1201="","",COUNT($B$15:$B1201))</f>
        <v/>
      </c>
      <c r="B1201" s="37"/>
      <c r="C1201" s="38"/>
      <c r="D1201" s="39"/>
      <c r="E1201" s="36" t="str">
        <f aca="false">IF($D1201="","",IFERROR(INDEX('통합 ④ 설정'!$A$6:$A$40,MATCH($D1201,'통합 ④ 설정'!$B$6:$B$40,0)),"※없는 과목"))</f>
        <v/>
      </c>
      <c r="F1201" s="36" t="str">
        <f aca="false">IF($D1201="","",IFERROR(INDEX('통합 ④ 설정'!$C$6:$C$40,MATCH($D1201,'통합 ④ 설정'!$B$6:$B$40,0)),""))</f>
        <v/>
      </c>
      <c r="G1201" s="39"/>
      <c r="H1201" s="39"/>
      <c r="I1201" s="40"/>
      <c r="J1201" s="41"/>
      <c r="K1201" s="38"/>
      <c r="L1201" s="42" t="str">
        <f aca="false">IF($B1201="","",IF(AND(N($I1201)=0,N($J1201)=0),"금액이 없습니다",IF(AND($I1201&gt;0,$J1201&gt;0),"수입·지출 둘 다 적혔습니다",IF($C1201="","결제수단을 고르십시오",IF(ISNA(MATCH($C1201,'통합 ③ 통장·카드'!$A$5:$A$11,0)),"③ 통장·카드에 없는 결제수단입니다",IF($D1201="","계정과목을 고르십시오",IF($E1201="※없는 과목","④ 설정에 없는 과목입니다",IF(AND($E1201="수입",$J1201&gt;0),"수입 과목인데 지출에 적혔습니다",IF(AND(LEFT($E1201,2)&lt;&gt;"수입",$E1201&lt;&gt;"대체",$I1201&gt;0),"지출 과목인데 수입에 적혔습니다",IF($K1201="","증빙을 고르십시오",IF(AND($C1201="바우처통장",$J1201&gt;0,IFERROR(INDEX('통합 ④ 설정'!$E$6:$E$40,MATCH($D1201,'통합 ④ 설정'!$B$6:$B$40,0)),"")&lt;&gt;"○"),"바우처통장 지출 — 목적 확인",IF($H1201="","적요를 적으십시오",""))))))))))))</f>
        <v/>
      </c>
      <c r="M1201" s="39"/>
      <c r="O1201" s="11" t="str">
        <f aca="false">IF($B1201="","",YEAR($B1201)*100+MONTH($B1201))</f>
        <v/>
      </c>
      <c r="P1201" s="11" t="str">
        <f aca="false">IF($B1201="","",IF($E1201="대체",0,1))</f>
        <v/>
      </c>
    </row>
    <row r="1202" customFormat="false" ht="15" hidden="false" customHeight="false" outlineLevel="0" collapsed="false">
      <c r="A1202" s="36" t="str">
        <f aca="false">IF($B1202="","",COUNT($B$15:$B1202))</f>
        <v/>
      </c>
      <c r="B1202" s="37"/>
      <c r="C1202" s="38"/>
      <c r="D1202" s="39"/>
      <c r="E1202" s="36" t="str">
        <f aca="false">IF($D1202="","",IFERROR(INDEX('통합 ④ 설정'!$A$6:$A$40,MATCH($D1202,'통합 ④ 설정'!$B$6:$B$40,0)),"※없는 과목"))</f>
        <v/>
      </c>
      <c r="F1202" s="36" t="str">
        <f aca="false">IF($D1202="","",IFERROR(INDEX('통합 ④ 설정'!$C$6:$C$40,MATCH($D1202,'통합 ④ 설정'!$B$6:$B$40,0)),""))</f>
        <v/>
      </c>
      <c r="G1202" s="39"/>
      <c r="H1202" s="39"/>
      <c r="I1202" s="40"/>
      <c r="J1202" s="41"/>
      <c r="K1202" s="38"/>
      <c r="L1202" s="42" t="str">
        <f aca="false">IF($B1202="","",IF(AND(N($I1202)=0,N($J1202)=0),"금액이 없습니다",IF(AND($I1202&gt;0,$J1202&gt;0),"수입·지출 둘 다 적혔습니다",IF($C1202="","결제수단을 고르십시오",IF(ISNA(MATCH($C1202,'통합 ③ 통장·카드'!$A$5:$A$11,0)),"③ 통장·카드에 없는 결제수단입니다",IF($D1202="","계정과목을 고르십시오",IF($E1202="※없는 과목","④ 설정에 없는 과목입니다",IF(AND($E1202="수입",$J1202&gt;0),"수입 과목인데 지출에 적혔습니다",IF(AND(LEFT($E1202,2)&lt;&gt;"수입",$E1202&lt;&gt;"대체",$I1202&gt;0),"지출 과목인데 수입에 적혔습니다",IF($K1202="","증빙을 고르십시오",IF(AND($C1202="바우처통장",$J1202&gt;0,IFERROR(INDEX('통합 ④ 설정'!$E$6:$E$40,MATCH($D1202,'통합 ④ 설정'!$B$6:$B$40,0)),"")&lt;&gt;"○"),"바우처통장 지출 — 목적 확인",IF($H1202="","적요를 적으십시오",""))))))))))))</f>
        <v/>
      </c>
      <c r="M1202" s="39"/>
      <c r="O1202" s="11" t="str">
        <f aca="false">IF($B1202="","",YEAR($B1202)*100+MONTH($B1202))</f>
        <v/>
      </c>
      <c r="P1202" s="11" t="str">
        <f aca="false">IF($B1202="","",IF($E1202="대체",0,1))</f>
        <v/>
      </c>
    </row>
    <row r="1203" customFormat="false" ht="15" hidden="false" customHeight="false" outlineLevel="0" collapsed="false">
      <c r="A1203" s="36" t="str">
        <f aca="false">IF($B1203="","",COUNT($B$15:$B1203))</f>
        <v/>
      </c>
      <c r="B1203" s="37"/>
      <c r="C1203" s="38"/>
      <c r="D1203" s="39"/>
      <c r="E1203" s="36" t="str">
        <f aca="false">IF($D1203="","",IFERROR(INDEX('통합 ④ 설정'!$A$6:$A$40,MATCH($D1203,'통합 ④ 설정'!$B$6:$B$40,0)),"※없는 과목"))</f>
        <v/>
      </c>
      <c r="F1203" s="36" t="str">
        <f aca="false">IF($D1203="","",IFERROR(INDEX('통합 ④ 설정'!$C$6:$C$40,MATCH($D1203,'통합 ④ 설정'!$B$6:$B$40,0)),""))</f>
        <v/>
      </c>
      <c r="G1203" s="39"/>
      <c r="H1203" s="39"/>
      <c r="I1203" s="40"/>
      <c r="J1203" s="41"/>
      <c r="K1203" s="38"/>
      <c r="L1203" s="42" t="str">
        <f aca="false">IF($B1203="","",IF(AND(N($I1203)=0,N($J1203)=0),"금액이 없습니다",IF(AND($I1203&gt;0,$J1203&gt;0),"수입·지출 둘 다 적혔습니다",IF($C1203="","결제수단을 고르십시오",IF(ISNA(MATCH($C1203,'통합 ③ 통장·카드'!$A$5:$A$11,0)),"③ 통장·카드에 없는 결제수단입니다",IF($D1203="","계정과목을 고르십시오",IF($E1203="※없는 과목","④ 설정에 없는 과목입니다",IF(AND($E1203="수입",$J1203&gt;0),"수입 과목인데 지출에 적혔습니다",IF(AND(LEFT($E1203,2)&lt;&gt;"수입",$E1203&lt;&gt;"대체",$I1203&gt;0),"지출 과목인데 수입에 적혔습니다",IF($K1203="","증빙을 고르십시오",IF(AND($C1203="바우처통장",$J1203&gt;0,IFERROR(INDEX('통합 ④ 설정'!$E$6:$E$40,MATCH($D1203,'통합 ④ 설정'!$B$6:$B$40,0)),"")&lt;&gt;"○"),"바우처통장 지출 — 목적 확인",IF($H1203="","적요를 적으십시오",""))))))))))))</f>
        <v/>
      </c>
      <c r="M1203" s="39"/>
      <c r="O1203" s="11" t="str">
        <f aca="false">IF($B1203="","",YEAR($B1203)*100+MONTH($B1203))</f>
        <v/>
      </c>
      <c r="P1203" s="11" t="str">
        <f aca="false">IF($B1203="","",IF($E1203="대체",0,1))</f>
        <v/>
      </c>
    </row>
    <row r="1204" customFormat="false" ht="15" hidden="false" customHeight="false" outlineLevel="0" collapsed="false">
      <c r="A1204" s="36" t="str">
        <f aca="false">IF($B1204="","",COUNT($B$15:$B1204))</f>
        <v/>
      </c>
      <c r="B1204" s="37"/>
      <c r="C1204" s="38"/>
      <c r="D1204" s="39"/>
      <c r="E1204" s="36" t="str">
        <f aca="false">IF($D1204="","",IFERROR(INDEX('통합 ④ 설정'!$A$6:$A$40,MATCH($D1204,'통합 ④ 설정'!$B$6:$B$40,0)),"※없는 과목"))</f>
        <v/>
      </c>
      <c r="F1204" s="36" t="str">
        <f aca="false">IF($D1204="","",IFERROR(INDEX('통합 ④ 설정'!$C$6:$C$40,MATCH($D1204,'통합 ④ 설정'!$B$6:$B$40,0)),""))</f>
        <v/>
      </c>
      <c r="G1204" s="39"/>
      <c r="H1204" s="39"/>
      <c r="I1204" s="40"/>
      <c r="J1204" s="41"/>
      <c r="K1204" s="38"/>
      <c r="L1204" s="42" t="str">
        <f aca="false">IF($B1204="","",IF(AND(N($I1204)=0,N($J1204)=0),"금액이 없습니다",IF(AND($I1204&gt;0,$J1204&gt;0),"수입·지출 둘 다 적혔습니다",IF($C1204="","결제수단을 고르십시오",IF(ISNA(MATCH($C1204,'통합 ③ 통장·카드'!$A$5:$A$11,0)),"③ 통장·카드에 없는 결제수단입니다",IF($D1204="","계정과목을 고르십시오",IF($E1204="※없는 과목","④ 설정에 없는 과목입니다",IF(AND($E1204="수입",$J1204&gt;0),"수입 과목인데 지출에 적혔습니다",IF(AND(LEFT($E1204,2)&lt;&gt;"수입",$E1204&lt;&gt;"대체",$I1204&gt;0),"지출 과목인데 수입에 적혔습니다",IF($K1204="","증빙을 고르십시오",IF(AND($C1204="바우처통장",$J1204&gt;0,IFERROR(INDEX('통합 ④ 설정'!$E$6:$E$40,MATCH($D1204,'통합 ④ 설정'!$B$6:$B$40,0)),"")&lt;&gt;"○"),"바우처통장 지출 — 목적 확인",IF($H1204="","적요를 적으십시오",""))))))))))))</f>
        <v/>
      </c>
      <c r="M1204" s="39"/>
      <c r="O1204" s="11" t="str">
        <f aca="false">IF($B1204="","",YEAR($B1204)*100+MONTH($B1204))</f>
        <v/>
      </c>
      <c r="P1204" s="11" t="str">
        <f aca="false">IF($B1204="","",IF($E1204="대체",0,1))</f>
        <v/>
      </c>
    </row>
    <row r="1205" customFormat="false" ht="15" hidden="false" customHeight="false" outlineLevel="0" collapsed="false">
      <c r="A1205" s="36" t="str">
        <f aca="false">IF($B1205="","",COUNT($B$15:$B1205))</f>
        <v/>
      </c>
      <c r="B1205" s="37"/>
      <c r="C1205" s="38"/>
      <c r="D1205" s="39"/>
      <c r="E1205" s="36" t="str">
        <f aca="false">IF($D1205="","",IFERROR(INDEX('통합 ④ 설정'!$A$6:$A$40,MATCH($D1205,'통합 ④ 설정'!$B$6:$B$40,0)),"※없는 과목"))</f>
        <v/>
      </c>
      <c r="F1205" s="36" t="str">
        <f aca="false">IF($D1205="","",IFERROR(INDEX('통합 ④ 설정'!$C$6:$C$40,MATCH($D1205,'통합 ④ 설정'!$B$6:$B$40,0)),""))</f>
        <v/>
      </c>
      <c r="G1205" s="39"/>
      <c r="H1205" s="39"/>
      <c r="I1205" s="40"/>
      <c r="J1205" s="41"/>
      <c r="K1205" s="38"/>
      <c r="L1205" s="42" t="str">
        <f aca="false">IF($B1205="","",IF(AND(N($I1205)=0,N($J1205)=0),"금액이 없습니다",IF(AND($I1205&gt;0,$J1205&gt;0),"수입·지출 둘 다 적혔습니다",IF($C1205="","결제수단을 고르십시오",IF(ISNA(MATCH($C1205,'통합 ③ 통장·카드'!$A$5:$A$11,0)),"③ 통장·카드에 없는 결제수단입니다",IF($D1205="","계정과목을 고르십시오",IF($E1205="※없는 과목","④ 설정에 없는 과목입니다",IF(AND($E1205="수입",$J1205&gt;0),"수입 과목인데 지출에 적혔습니다",IF(AND(LEFT($E1205,2)&lt;&gt;"수입",$E1205&lt;&gt;"대체",$I1205&gt;0),"지출 과목인데 수입에 적혔습니다",IF($K1205="","증빙을 고르십시오",IF(AND($C1205="바우처통장",$J1205&gt;0,IFERROR(INDEX('통합 ④ 설정'!$E$6:$E$40,MATCH($D1205,'통합 ④ 설정'!$B$6:$B$40,0)),"")&lt;&gt;"○"),"바우처통장 지출 — 목적 확인",IF($H1205="","적요를 적으십시오",""))))))))))))</f>
        <v/>
      </c>
      <c r="M1205" s="39"/>
      <c r="O1205" s="11" t="str">
        <f aca="false">IF($B1205="","",YEAR($B1205)*100+MONTH($B1205))</f>
        <v/>
      </c>
      <c r="P1205" s="11" t="str">
        <f aca="false">IF($B1205="","",IF($E1205="대체",0,1))</f>
        <v/>
      </c>
    </row>
    <row r="1206" customFormat="false" ht="15" hidden="false" customHeight="false" outlineLevel="0" collapsed="false">
      <c r="A1206" s="36" t="str">
        <f aca="false">IF($B1206="","",COUNT($B$15:$B1206))</f>
        <v/>
      </c>
      <c r="B1206" s="37"/>
      <c r="C1206" s="38"/>
      <c r="D1206" s="39"/>
      <c r="E1206" s="36" t="str">
        <f aca="false">IF($D1206="","",IFERROR(INDEX('통합 ④ 설정'!$A$6:$A$40,MATCH($D1206,'통합 ④ 설정'!$B$6:$B$40,0)),"※없는 과목"))</f>
        <v/>
      </c>
      <c r="F1206" s="36" t="str">
        <f aca="false">IF($D1206="","",IFERROR(INDEX('통합 ④ 설정'!$C$6:$C$40,MATCH($D1206,'통합 ④ 설정'!$B$6:$B$40,0)),""))</f>
        <v/>
      </c>
      <c r="G1206" s="39"/>
      <c r="H1206" s="39"/>
      <c r="I1206" s="40"/>
      <c r="J1206" s="41"/>
      <c r="K1206" s="38"/>
      <c r="L1206" s="42" t="str">
        <f aca="false">IF($B1206="","",IF(AND(N($I1206)=0,N($J1206)=0),"금액이 없습니다",IF(AND($I1206&gt;0,$J1206&gt;0),"수입·지출 둘 다 적혔습니다",IF($C1206="","결제수단을 고르십시오",IF(ISNA(MATCH($C1206,'통합 ③ 통장·카드'!$A$5:$A$11,0)),"③ 통장·카드에 없는 결제수단입니다",IF($D1206="","계정과목을 고르십시오",IF($E1206="※없는 과목","④ 설정에 없는 과목입니다",IF(AND($E1206="수입",$J1206&gt;0),"수입 과목인데 지출에 적혔습니다",IF(AND(LEFT($E1206,2)&lt;&gt;"수입",$E1206&lt;&gt;"대체",$I1206&gt;0),"지출 과목인데 수입에 적혔습니다",IF($K1206="","증빙을 고르십시오",IF(AND($C1206="바우처통장",$J1206&gt;0,IFERROR(INDEX('통합 ④ 설정'!$E$6:$E$40,MATCH($D1206,'통합 ④ 설정'!$B$6:$B$40,0)),"")&lt;&gt;"○"),"바우처통장 지출 — 목적 확인",IF($H1206="","적요를 적으십시오",""))))))))))))</f>
        <v/>
      </c>
      <c r="M1206" s="39"/>
      <c r="O1206" s="11" t="str">
        <f aca="false">IF($B1206="","",YEAR($B1206)*100+MONTH($B1206))</f>
        <v/>
      </c>
      <c r="P1206" s="11" t="str">
        <f aca="false">IF($B1206="","",IF($E1206="대체",0,1))</f>
        <v/>
      </c>
    </row>
    <row r="1207" customFormat="false" ht="15" hidden="false" customHeight="false" outlineLevel="0" collapsed="false">
      <c r="A1207" s="36" t="str">
        <f aca="false">IF($B1207="","",COUNT($B$15:$B1207))</f>
        <v/>
      </c>
      <c r="B1207" s="37"/>
      <c r="C1207" s="38"/>
      <c r="D1207" s="39"/>
      <c r="E1207" s="36" t="str">
        <f aca="false">IF($D1207="","",IFERROR(INDEX('통합 ④ 설정'!$A$6:$A$40,MATCH($D1207,'통합 ④ 설정'!$B$6:$B$40,0)),"※없는 과목"))</f>
        <v/>
      </c>
      <c r="F1207" s="36" t="str">
        <f aca="false">IF($D1207="","",IFERROR(INDEX('통합 ④ 설정'!$C$6:$C$40,MATCH($D1207,'통합 ④ 설정'!$B$6:$B$40,0)),""))</f>
        <v/>
      </c>
      <c r="G1207" s="39"/>
      <c r="H1207" s="39"/>
      <c r="I1207" s="40"/>
      <c r="J1207" s="41"/>
      <c r="K1207" s="38"/>
      <c r="L1207" s="42" t="str">
        <f aca="false">IF($B1207="","",IF(AND(N($I1207)=0,N($J1207)=0),"금액이 없습니다",IF(AND($I1207&gt;0,$J1207&gt;0),"수입·지출 둘 다 적혔습니다",IF($C1207="","결제수단을 고르십시오",IF(ISNA(MATCH($C1207,'통합 ③ 통장·카드'!$A$5:$A$11,0)),"③ 통장·카드에 없는 결제수단입니다",IF($D1207="","계정과목을 고르십시오",IF($E1207="※없는 과목","④ 설정에 없는 과목입니다",IF(AND($E1207="수입",$J1207&gt;0),"수입 과목인데 지출에 적혔습니다",IF(AND(LEFT($E1207,2)&lt;&gt;"수입",$E1207&lt;&gt;"대체",$I1207&gt;0),"지출 과목인데 수입에 적혔습니다",IF($K1207="","증빙을 고르십시오",IF(AND($C1207="바우처통장",$J1207&gt;0,IFERROR(INDEX('통합 ④ 설정'!$E$6:$E$40,MATCH($D1207,'통합 ④ 설정'!$B$6:$B$40,0)),"")&lt;&gt;"○"),"바우처통장 지출 — 목적 확인",IF($H1207="","적요를 적으십시오",""))))))))))))</f>
        <v/>
      </c>
      <c r="M1207" s="39"/>
      <c r="O1207" s="11" t="str">
        <f aca="false">IF($B1207="","",YEAR($B1207)*100+MONTH($B1207))</f>
        <v/>
      </c>
      <c r="P1207" s="11" t="str">
        <f aca="false">IF($B1207="","",IF($E1207="대체",0,1))</f>
        <v/>
      </c>
    </row>
    <row r="1208" customFormat="false" ht="15" hidden="false" customHeight="false" outlineLevel="0" collapsed="false">
      <c r="A1208" s="36" t="str">
        <f aca="false">IF($B1208="","",COUNT($B$15:$B1208))</f>
        <v/>
      </c>
      <c r="B1208" s="37"/>
      <c r="C1208" s="38"/>
      <c r="D1208" s="39"/>
      <c r="E1208" s="36" t="str">
        <f aca="false">IF($D1208="","",IFERROR(INDEX('통합 ④ 설정'!$A$6:$A$40,MATCH($D1208,'통합 ④ 설정'!$B$6:$B$40,0)),"※없는 과목"))</f>
        <v/>
      </c>
      <c r="F1208" s="36" t="str">
        <f aca="false">IF($D1208="","",IFERROR(INDEX('통합 ④ 설정'!$C$6:$C$40,MATCH($D1208,'통합 ④ 설정'!$B$6:$B$40,0)),""))</f>
        <v/>
      </c>
      <c r="G1208" s="39"/>
      <c r="H1208" s="39"/>
      <c r="I1208" s="40"/>
      <c r="J1208" s="41"/>
      <c r="K1208" s="38"/>
      <c r="L1208" s="42" t="str">
        <f aca="false">IF($B1208="","",IF(AND(N($I1208)=0,N($J1208)=0),"금액이 없습니다",IF(AND($I1208&gt;0,$J1208&gt;0),"수입·지출 둘 다 적혔습니다",IF($C1208="","결제수단을 고르십시오",IF(ISNA(MATCH($C1208,'통합 ③ 통장·카드'!$A$5:$A$11,0)),"③ 통장·카드에 없는 결제수단입니다",IF($D1208="","계정과목을 고르십시오",IF($E1208="※없는 과목","④ 설정에 없는 과목입니다",IF(AND($E1208="수입",$J1208&gt;0),"수입 과목인데 지출에 적혔습니다",IF(AND(LEFT($E1208,2)&lt;&gt;"수입",$E1208&lt;&gt;"대체",$I1208&gt;0),"지출 과목인데 수입에 적혔습니다",IF($K1208="","증빙을 고르십시오",IF(AND($C1208="바우처통장",$J1208&gt;0,IFERROR(INDEX('통합 ④ 설정'!$E$6:$E$40,MATCH($D1208,'통합 ④ 설정'!$B$6:$B$40,0)),"")&lt;&gt;"○"),"바우처통장 지출 — 목적 확인",IF($H1208="","적요를 적으십시오",""))))))))))))</f>
        <v/>
      </c>
      <c r="M1208" s="39"/>
      <c r="O1208" s="11" t="str">
        <f aca="false">IF($B1208="","",YEAR($B1208)*100+MONTH($B1208))</f>
        <v/>
      </c>
      <c r="P1208" s="11" t="str">
        <f aca="false">IF($B1208="","",IF($E1208="대체",0,1))</f>
        <v/>
      </c>
    </row>
    <row r="1209" customFormat="false" ht="15" hidden="false" customHeight="false" outlineLevel="0" collapsed="false">
      <c r="A1209" s="36" t="str">
        <f aca="false">IF($B1209="","",COUNT($B$15:$B1209))</f>
        <v/>
      </c>
      <c r="B1209" s="37"/>
      <c r="C1209" s="38"/>
      <c r="D1209" s="39"/>
      <c r="E1209" s="36" t="str">
        <f aca="false">IF($D1209="","",IFERROR(INDEX('통합 ④ 설정'!$A$6:$A$40,MATCH($D1209,'통합 ④ 설정'!$B$6:$B$40,0)),"※없는 과목"))</f>
        <v/>
      </c>
      <c r="F1209" s="36" t="str">
        <f aca="false">IF($D1209="","",IFERROR(INDEX('통합 ④ 설정'!$C$6:$C$40,MATCH($D1209,'통합 ④ 설정'!$B$6:$B$40,0)),""))</f>
        <v/>
      </c>
      <c r="G1209" s="39"/>
      <c r="H1209" s="39"/>
      <c r="I1209" s="40"/>
      <c r="J1209" s="41"/>
      <c r="K1209" s="38"/>
      <c r="L1209" s="42" t="str">
        <f aca="false">IF($B1209="","",IF(AND(N($I1209)=0,N($J1209)=0),"금액이 없습니다",IF(AND($I1209&gt;0,$J1209&gt;0),"수입·지출 둘 다 적혔습니다",IF($C1209="","결제수단을 고르십시오",IF(ISNA(MATCH($C1209,'통합 ③ 통장·카드'!$A$5:$A$11,0)),"③ 통장·카드에 없는 결제수단입니다",IF($D1209="","계정과목을 고르십시오",IF($E1209="※없는 과목","④ 설정에 없는 과목입니다",IF(AND($E1209="수입",$J1209&gt;0),"수입 과목인데 지출에 적혔습니다",IF(AND(LEFT($E1209,2)&lt;&gt;"수입",$E1209&lt;&gt;"대체",$I1209&gt;0),"지출 과목인데 수입에 적혔습니다",IF($K1209="","증빙을 고르십시오",IF(AND($C1209="바우처통장",$J1209&gt;0,IFERROR(INDEX('통합 ④ 설정'!$E$6:$E$40,MATCH($D1209,'통합 ④ 설정'!$B$6:$B$40,0)),"")&lt;&gt;"○"),"바우처통장 지출 — 목적 확인",IF($H1209="","적요를 적으십시오",""))))))))))))</f>
        <v/>
      </c>
      <c r="M1209" s="39"/>
      <c r="O1209" s="11" t="str">
        <f aca="false">IF($B1209="","",YEAR($B1209)*100+MONTH($B1209))</f>
        <v/>
      </c>
      <c r="P1209" s="11" t="str">
        <f aca="false">IF($B1209="","",IF($E1209="대체",0,1))</f>
        <v/>
      </c>
    </row>
    <row r="1210" customFormat="false" ht="15" hidden="false" customHeight="false" outlineLevel="0" collapsed="false">
      <c r="A1210" s="36" t="str">
        <f aca="false">IF($B1210="","",COUNT($B$15:$B1210))</f>
        <v/>
      </c>
      <c r="B1210" s="37"/>
      <c r="C1210" s="38"/>
      <c r="D1210" s="39"/>
      <c r="E1210" s="36" t="str">
        <f aca="false">IF($D1210="","",IFERROR(INDEX('통합 ④ 설정'!$A$6:$A$40,MATCH($D1210,'통합 ④ 설정'!$B$6:$B$40,0)),"※없는 과목"))</f>
        <v/>
      </c>
      <c r="F1210" s="36" t="str">
        <f aca="false">IF($D1210="","",IFERROR(INDEX('통합 ④ 설정'!$C$6:$C$40,MATCH($D1210,'통합 ④ 설정'!$B$6:$B$40,0)),""))</f>
        <v/>
      </c>
      <c r="G1210" s="39"/>
      <c r="H1210" s="39"/>
      <c r="I1210" s="40"/>
      <c r="J1210" s="41"/>
      <c r="K1210" s="38"/>
      <c r="L1210" s="42" t="str">
        <f aca="false">IF($B1210="","",IF(AND(N($I1210)=0,N($J1210)=0),"금액이 없습니다",IF(AND($I1210&gt;0,$J1210&gt;0),"수입·지출 둘 다 적혔습니다",IF($C1210="","결제수단을 고르십시오",IF(ISNA(MATCH($C1210,'통합 ③ 통장·카드'!$A$5:$A$11,0)),"③ 통장·카드에 없는 결제수단입니다",IF($D1210="","계정과목을 고르십시오",IF($E1210="※없는 과목","④ 설정에 없는 과목입니다",IF(AND($E1210="수입",$J1210&gt;0),"수입 과목인데 지출에 적혔습니다",IF(AND(LEFT($E1210,2)&lt;&gt;"수입",$E1210&lt;&gt;"대체",$I1210&gt;0),"지출 과목인데 수입에 적혔습니다",IF($K1210="","증빙을 고르십시오",IF(AND($C1210="바우처통장",$J1210&gt;0,IFERROR(INDEX('통합 ④ 설정'!$E$6:$E$40,MATCH($D1210,'통합 ④ 설정'!$B$6:$B$40,0)),"")&lt;&gt;"○"),"바우처통장 지출 — 목적 확인",IF($H1210="","적요를 적으십시오",""))))))))))))</f>
        <v/>
      </c>
      <c r="M1210" s="39"/>
      <c r="O1210" s="11" t="str">
        <f aca="false">IF($B1210="","",YEAR($B1210)*100+MONTH($B1210))</f>
        <v/>
      </c>
      <c r="P1210" s="11" t="str">
        <f aca="false">IF($B1210="","",IF($E1210="대체",0,1))</f>
        <v/>
      </c>
    </row>
    <row r="1211" customFormat="false" ht="15" hidden="false" customHeight="false" outlineLevel="0" collapsed="false">
      <c r="A1211" s="36" t="str">
        <f aca="false">IF($B1211="","",COUNT($B$15:$B1211))</f>
        <v/>
      </c>
      <c r="B1211" s="37"/>
      <c r="C1211" s="38"/>
      <c r="D1211" s="39"/>
      <c r="E1211" s="36" t="str">
        <f aca="false">IF($D1211="","",IFERROR(INDEX('통합 ④ 설정'!$A$6:$A$40,MATCH($D1211,'통합 ④ 설정'!$B$6:$B$40,0)),"※없는 과목"))</f>
        <v/>
      </c>
      <c r="F1211" s="36" t="str">
        <f aca="false">IF($D1211="","",IFERROR(INDEX('통합 ④ 설정'!$C$6:$C$40,MATCH($D1211,'통합 ④ 설정'!$B$6:$B$40,0)),""))</f>
        <v/>
      </c>
      <c r="G1211" s="39"/>
      <c r="H1211" s="39"/>
      <c r="I1211" s="40"/>
      <c r="J1211" s="41"/>
      <c r="K1211" s="38"/>
      <c r="L1211" s="42" t="str">
        <f aca="false">IF($B1211="","",IF(AND(N($I1211)=0,N($J1211)=0),"금액이 없습니다",IF(AND($I1211&gt;0,$J1211&gt;0),"수입·지출 둘 다 적혔습니다",IF($C1211="","결제수단을 고르십시오",IF(ISNA(MATCH($C1211,'통합 ③ 통장·카드'!$A$5:$A$11,0)),"③ 통장·카드에 없는 결제수단입니다",IF($D1211="","계정과목을 고르십시오",IF($E1211="※없는 과목","④ 설정에 없는 과목입니다",IF(AND($E1211="수입",$J1211&gt;0),"수입 과목인데 지출에 적혔습니다",IF(AND(LEFT($E1211,2)&lt;&gt;"수입",$E1211&lt;&gt;"대체",$I1211&gt;0),"지출 과목인데 수입에 적혔습니다",IF($K1211="","증빙을 고르십시오",IF(AND($C1211="바우처통장",$J1211&gt;0,IFERROR(INDEX('통합 ④ 설정'!$E$6:$E$40,MATCH($D1211,'통합 ④ 설정'!$B$6:$B$40,0)),"")&lt;&gt;"○"),"바우처통장 지출 — 목적 확인",IF($H1211="","적요를 적으십시오",""))))))))))))</f>
        <v/>
      </c>
      <c r="M1211" s="39"/>
      <c r="O1211" s="11" t="str">
        <f aca="false">IF($B1211="","",YEAR($B1211)*100+MONTH($B1211))</f>
        <v/>
      </c>
      <c r="P1211" s="11" t="str">
        <f aca="false">IF($B1211="","",IF($E1211="대체",0,1))</f>
        <v/>
      </c>
    </row>
    <row r="1212" customFormat="false" ht="15" hidden="false" customHeight="false" outlineLevel="0" collapsed="false">
      <c r="A1212" s="36" t="str">
        <f aca="false">IF($B1212="","",COUNT($B$15:$B1212))</f>
        <v/>
      </c>
      <c r="B1212" s="37"/>
      <c r="C1212" s="38"/>
      <c r="D1212" s="39"/>
      <c r="E1212" s="36" t="str">
        <f aca="false">IF($D1212="","",IFERROR(INDEX('통합 ④ 설정'!$A$6:$A$40,MATCH($D1212,'통합 ④ 설정'!$B$6:$B$40,0)),"※없는 과목"))</f>
        <v/>
      </c>
      <c r="F1212" s="36" t="str">
        <f aca="false">IF($D1212="","",IFERROR(INDEX('통합 ④ 설정'!$C$6:$C$40,MATCH($D1212,'통합 ④ 설정'!$B$6:$B$40,0)),""))</f>
        <v/>
      </c>
      <c r="G1212" s="39"/>
      <c r="H1212" s="39"/>
      <c r="I1212" s="40"/>
      <c r="J1212" s="41"/>
      <c r="K1212" s="38"/>
      <c r="L1212" s="42" t="str">
        <f aca="false">IF($B1212="","",IF(AND(N($I1212)=0,N($J1212)=0),"금액이 없습니다",IF(AND($I1212&gt;0,$J1212&gt;0),"수입·지출 둘 다 적혔습니다",IF($C1212="","결제수단을 고르십시오",IF(ISNA(MATCH($C1212,'통합 ③ 통장·카드'!$A$5:$A$11,0)),"③ 통장·카드에 없는 결제수단입니다",IF($D1212="","계정과목을 고르십시오",IF($E1212="※없는 과목","④ 설정에 없는 과목입니다",IF(AND($E1212="수입",$J1212&gt;0),"수입 과목인데 지출에 적혔습니다",IF(AND(LEFT($E1212,2)&lt;&gt;"수입",$E1212&lt;&gt;"대체",$I1212&gt;0),"지출 과목인데 수입에 적혔습니다",IF($K1212="","증빙을 고르십시오",IF(AND($C1212="바우처통장",$J1212&gt;0,IFERROR(INDEX('통합 ④ 설정'!$E$6:$E$40,MATCH($D1212,'통합 ④ 설정'!$B$6:$B$40,0)),"")&lt;&gt;"○"),"바우처통장 지출 — 목적 확인",IF($H1212="","적요를 적으십시오",""))))))))))))</f>
        <v/>
      </c>
      <c r="M1212" s="39"/>
      <c r="O1212" s="11" t="str">
        <f aca="false">IF($B1212="","",YEAR($B1212)*100+MONTH($B1212))</f>
        <v/>
      </c>
      <c r="P1212" s="11" t="str">
        <f aca="false">IF($B1212="","",IF($E1212="대체",0,1))</f>
        <v/>
      </c>
    </row>
    <row r="1213" customFormat="false" ht="15" hidden="false" customHeight="false" outlineLevel="0" collapsed="false">
      <c r="A1213" s="36" t="str">
        <f aca="false">IF($B1213="","",COUNT($B$15:$B1213))</f>
        <v/>
      </c>
      <c r="B1213" s="37"/>
      <c r="C1213" s="38"/>
      <c r="D1213" s="39"/>
      <c r="E1213" s="36" t="str">
        <f aca="false">IF($D1213="","",IFERROR(INDEX('통합 ④ 설정'!$A$6:$A$40,MATCH($D1213,'통합 ④ 설정'!$B$6:$B$40,0)),"※없는 과목"))</f>
        <v/>
      </c>
      <c r="F1213" s="36" t="str">
        <f aca="false">IF($D1213="","",IFERROR(INDEX('통합 ④ 설정'!$C$6:$C$40,MATCH($D1213,'통합 ④ 설정'!$B$6:$B$40,0)),""))</f>
        <v/>
      </c>
      <c r="G1213" s="39"/>
      <c r="H1213" s="39"/>
      <c r="I1213" s="40"/>
      <c r="J1213" s="41"/>
      <c r="K1213" s="38"/>
      <c r="L1213" s="42" t="str">
        <f aca="false">IF($B1213="","",IF(AND(N($I1213)=0,N($J1213)=0),"금액이 없습니다",IF(AND($I1213&gt;0,$J1213&gt;0),"수입·지출 둘 다 적혔습니다",IF($C1213="","결제수단을 고르십시오",IF(ISNA(MATCH($C1213,'통합 ③ 통장·카드'!$A$5:$A$11,0)),"③ 통장·카드에 없는 결제수단입니다",IF($D1213="","계정과목을 고르십시오",IF($E1213="※없는 과목","④ 설정에 없는 과목입니다",IF(AND($E1213="수입",$J1213&gt;0),"수입 과목인데 지출에 적혔습니다",IF(AND(LEFT($E1213,2)&lt;&gt;"수입",$E1213&lt;&gt;"대체",$I1213&gt;0),"지출 과목인데 수입에 적혔습니다",IF($K1213="","증빙을 고르십시오",IF(AND($C1213="바우처통장",$J1213&gt;0,IFERROR(INDEX('통합 ④ 설정'!$E$6:$E$40,MATCH($D1213,'통합 ④ 설정'!$B$6:$B$40,0)),"")&lt;&gt;"○"),"바우처통장 지출 — 목적 확인",IF($H1213="","적요를 적으십시오",""))))))))))))</f>
        <v/>
      </c>
      <c r="M1213" s="39"/>
      <c r="O1213" s="11" t="str">
        <f aca="false">IF($B1213="","",YEAR($B1213)*100+MONTH($B1213))</f>
        <v/>
      </c>
      <c r="P1213" s="11" t="str">
        <f aca="false">IF($B1213="","",IF($E1213="대체",0,1))</f>
        <v/>
      </c>
    </row>
    <row r="1214" customFormat="false" ht="15" hidden="false" customHeight="false" outlineLevel="0" collapsed="false">
      <c r="A1214" s="36" t="str">
        <f aca="false">IF($B1214="","",COUNT($B$15:$B1214))</f>
        <v/>
      </c>
      <c r="B1214" s="37"/>
      <c r="C1214" s="38"/>
      <c r="D1214" s="39"/>
      <c r="E1214" s="36" t="str">
        <f aca="false">IF($D1214="","",IFERROR(INDEX('통합 ④ 설정'!$A$6:$A$40,MATCH($D1214,'통합 ④ 설정'!$B$6:$B$40,0)),"※없는 과목"))</f>
        <v/>
      </c>
      <c r="F1214" s="36" t="str">
        <f aca="false">IF($D1214="","",IFERROR(INDEX('통합 ④ 설정'!$C$6:$C$40,MATCH($D1214,'통합 ④ 설정'!$B$6:$B$40,0)),""))</f>
        <v/>
      </c>
      <c r="G1214" s="39"/>
      <c r="H1214" s="39"/>
      <c r="I1214" s="40"/>
      <c r="J1214" s="41"/>
      <c r="K1214" s="38"/>
      <c r="L1214" s="42" t="str">
        <f aca="false">IF($B1214="","",IF(AND(N($I1214)=0,N($J1214)=0),"금액이 없습니다",IF(AND($I1214&gt;0,$J1214&gt;0),"수입·지출 둘 다 적혔습니다",IF($C1214="","결제수단을 고르십시오",IF(ISNA(MATCH($C1214,'통합 ③ 통장·카드'!$A$5:$A$11,0)),"③ 통장·카드에 없는 결제수단입니다",IF($D1214="","계정과목을 고르십시오",IF($E1214="※없는 과목","④ 설정에 없는 과목입니다",IF(AND($E1214="수입",$J1214&gt;0),"수입 과목인데 지출에 적혔습니다",IF(AND(LEFT($E1214,2)&lt;&gt;"수입",$E1214&lt;&gt;"대체",$I1214&gt;0),"지출 과목인데 수입에 적혔습니다",IF($K1214="","증빙을 고르십시오",IF(AND($C1214="바우처통장",$J1214&gt;0,IFERROR(INDEX('통합 ④ 설정'!$E$6:$E$40,MATCH($D1214,'통합 ④ 설정'!$B$6:$B$40,0)),"")&lt;&gt;"○"),"바우처통장 지출 — 목적 확인",IF($H1214="","적요를 적으십시오",""))))))))))))</f>
        <v/>
      </c>
      <c r="M1214" s="39"/>
      <c r="O1214" s="11" t="str">
        <f aca="false">IF($B1214="","",YEAR($B1214)*100+MONTH($B1214))</f>
        <v/>
      </c>
      <c r="P1214" s="11" t="str">
        <f aca="false">IF($B1214="","",IF($E1214="대체",0,1))</f>
        <v/>
      </c>
    </row>
    <row r="1215" customFormat="false" ht="15" hidden="false" customHeight="false" outlineLevel="0" collapsed="false">
      <c r="A1215" s="36" t="str">
        <f aca="false">IF($B1215="","",COUNT($B$15:$B1215))</f>
        <v/>
      </c>
      <c r="B1215" s="37"/>
      <c r="C1215" s="38"/>
      <c r="D1215" s="39"/>
      <c r="E1215" s="36" t="str">
        <f aca="false">IF($D1215="","",IFERROR(INDEX('통합 ④ 설정'!$A$6:$A$40,MATCH($D1215,'통합 ④ 설정'!$B$6:$B$40,0)),"※없는 과목"))</f>
        <v/>
      </c>
      <c r="F1215" s="36" t="str">
        <f aca="false">IF($D1215="","",IFERROR(INDEX('통합 ④ 설정'!$C$6:$C$40,MATCH($D1215,'통합 ④ 설정'!$B$6:$B$40,0)),""))</f>
        <v/>
      </c>
      <c r="G1215" s="39"/>
      <c r="H1215" s="39"/>
      <c r="I1215" s="40"/>
      <c r="J1215" s="41"/>
      <c r="K1215" s="38"/>
      <c r="L1215" s="42" t="str">
        <f aca="false">IF($B1215="","",IF(AND(N($I1215)=0,N($J1215)=0),"금액이 없습니다",IF(AND($I1215&gt;0,$J1215&gt;0),"수입·지출 둘 다 적혔습니다",IF($C1215="","결제수단을 고르십시오",IF(ISNA(MATCH($C1215,'통합 ③ 통장·카드'!$A$5:$A$11,0)),"③ 통장·카드에 없는 결제수단입니다",IF($D1215="","계정과목을 고르십시오",IF($E1215="※없는 과목","④ 설정에 없는 과목입니다",IF(AND($E1215="수입",$J1215&gt;0),"수입 과목인데 지출에 적혔습니다",IF(AND(LEFT($E1215,2)&lt;&gt;"수입",$E1215&lt;&gt;"대체",$I1215&gt;0),"지출 과목인데 수입에 적혔습니다",IF($K1215="","증빙을 고르십시오",IF(AND($C1215="바우처통장",$J1215&gt;0,IFERROR(INDEX('통합 ④ 설정'!$E$6:$E$40,MATCH($D1215,'통합 ④ 설정'!$B$6:$B$40,0)),"")&lt;&gt;"○"),"바우처통장 지출 — 목적 확인",IF($H1215="","적요를 적으십시오",""))))))))))))</f>
        <v/>
      </c>
      <c r="M1215" s="39"/>
      <c r="O1215" s="11" t="str">
        <f aca="false">IF($B1215="","",YEAR($B1215)*100+MONTH($B1215))</f>
        <v/>
      </c>
      <c r="P1215" s="11" t="str">
        <f aca="false">IF($B1215="","",IF($E1215="대체",0,1))</f>
        <v/>
      </c>
    </row>
    <row r="1216" customFormat="false" ht="15" hidden="false" customHeight="false" outlineLevel="0" collapsed="false">
      <c r="A1216" s="36" t="str">
        <f aca="false">IF($B1216="","",COUNT($B$15:$B1216))</f>
        <v/>
      </c>
      <c r="B1216" s="37"/>
      <c r="C1216" s="38"/>
      <c r="D1216" s="39"/>
      <c r="E1216" s="36" t="str">
        <f aca="false">IF($D1216="","",IFERROR(INDEX('통합 ④ 설정'!$A$6:$A$40,MATCH($D1216,'통합 ④ 설정'!$B$6:$B$40,0)),"※없는 과목"))</f>
        <v/>
      </c>
      <c r="F1216" s="36" t="str">
        <f aca="false">IF($D1216="","",IFERROR(INDEX('통합 ④ 설정'!$C$6:$C$40,MATCH($D1216,'통합 ④ 설정'!$B$6:$B$40,0)),""))</f>
        <v/>
      </c>
      <c r="G1216" s="39"/>
      <c r="H1216" s="39"/>
      <c r="I1216" s="40"/>
      <c r="J1216" s="41"/>
      <c r="K1216" s="38"/>
      <c r="L1216" s="42" t="str">
        <f aca="false">IF($B1216="","",IF(AND(N($I1216)=0,N($J1216)=0),"금액이 없습니다",IF(AND($I1216&gt;0,$J1216&gt;0),"수입·지출 둘 다 적혔습니다",IF($C1216="","결제수단을 고르십시오",IF(ISNA(MATCH($C1216,'통합 ③ 통장·카드'!$A$5:$A$11,0)),"③ 통장·카드에 없는 결제수단입니다",IF($D1216="","계정과목을 고르십시오",IF($E1216="※없는 과목","④ 설정에 없는 과목입니다",IF(AND($E1216="수입",$J1216&gt;0),"수입 과목인데 지출에 적혔습니다",IF(AND(LEFT($E1216,2)&lt;&gt;"수입",$E1216&lt;&gt;"대체",$I1216&gt;0),"지출 과목인데 수입에 적혔습니다",IF($K1216="","증빙을 고르십시오",IF(AND($C1216="바우처통장",$J1216&gt;0,IFERROR(INDEX('통합 ④ 설정'!$E$6:$E$40,MATCH($D1216,'통합 ④ 설정'!$B$6:$B$40,0)),"")&lt;&gt;"○"),"바우처통장 지출 — 목적 확인",IF($H1216="","적요를 적으십시오",""))))))))))))</f>
        <v/>
      </c>
      <c r="M1216" s="39"/>
      <c r="O1216" s="11" t="str">
        <f aca="false">IF($B1216="","",YEAR($B1216)*100+MONTH($B1216))</f>
        <v/>
      </c>
      <c r="P1216" s="11" t="str">
        <f aca="false">IF($B1216="","",IF($E1216="대체",0,1))</f>
        <v/>
      </c>
    </row>
    <row r="1217" customFormat="false" ht="15" hidden="false" customHeight="false" outlineLevel="0" collapsed="false">
      <c r="A1217" s="36" t="str">
        <f aca="false">IF($B1217="","",COUNT($B$15:$B1217))</f>
        <v/>
      </c>
      <c r="B1217" s="37"/>
      <c r="C1217" s="38"/>
      <c r="D1217" s="39"/>
      <c r="E1217" s="36" t="str">
        <f aca="false">IF($D1217="","",IFERROR(INDEX('통합 ④ 설정'!$A$6:$A$40,MATCH($D1217,'통합 ④ 설정'!$B$6:$B$40,0)),"※없는 과목"))</f>
        <v/>
      </c>
      <c r="F1217" s="36" t="str">
        <f aca="false">IF($D1217="","",IFERROR(INDEX('통합 ④ 설정'!$C$6:$C$40,MATCH($D1217,'통합 ④ 설정'!$B$6:$B$40,0)),""))</f>
        <v/>
      </c>
      <c r="G1217" s="39"/>
      <c r="H1217" s="39"/>
      <c r="I1217" s="40"/>
      <c r="J1217" s="41"/>
      <c r="K1217" s="38"/>
      <c r="L1217" s="42" t="str">
        <f aca="false">IF($B1217="","",IF(AND(N($I1217)=0,N($J1217)=0),"금액이 없습니다",IF(AND($I1217&gt;0,$J1217&gt;0),"수입·지출 둘 다 적혔습니다",IF($C1217="","결제수단을 고르십시오",IF(ISNA(MATCH($C1217,'통합 ③ 통장·카드'!$A$5:$A$11,0)),"③ 통장·카드에 없는 결제수단입니다",IF($D1217="","계정과목을 고르십시오",IF($E1217="※없는 과목","④ 설정에 없는 과목입니다",IF(AND($E1217="수입",$J1217&gt;0),"수입 과목인데 지출에 적혔습니다",IF(AND(LEFT($E1217,2)&lt;&gt;"수입",$E1217&lt;&gt;"대체",$I1217&gt;0),"지출 과목인데 수입에 적혔습니다",IF($K1217="","증빙을 고르십시오",IF(AND($C1217="바우처통장",$J1217&gt;0,IFERROR(INDEX('통합 ④ 설정'!$E$6:$E$40,MATCH($D1217,'통합 ④ 설정'!$B$6:$B$40,0)),"")&lt;&gt;"○"),"바우처통장 지출 — 목적 확인",IF($H1217="","적요를 적으십시오",""))))))))))))</f>
        <v/>
      </c>
      <c r="M1217" s="39"/>
      <c r="O1217" s="11" t="str">
        <f aca="false">IF($B1217="","",YEAR($B1217)*100+MONTH($B1217))</f>
        <v/>
      </c>
      <c r="P1217" s="11" t="str">
        <f aca="false">IF($B1217="","",IF($E1217="대체",0,1))</f>
        <v/>
      </c>
    </row>
    <row r="1218" customFormat="false" ht="15" hidden="false" customHeight="false" outlineLevel="0" collapsed="false">
      <c r="A1218" s="36" t="str">
        <f aca="false">IF($B1218="","",COUNT($B$15:$B1218))</f>
        <v/>
      </c>
      <c r="B1218" s="37"/>
      <c r="C1218" s="38"/>
      <c r="D1218" s="39"/>
      <c r="E1218" s="36" t="str">
        <f aca="false">IF($D1218="","",IFERROR(INDEX('통합 ④ 설정'!$A$6:$A$40,MATCH($D1218,'통합 ④ 설정'!$B$6:$B$40,0)),"※없는 과목"))</f>
        <v/>
      </c>
      <c r="F1218" s="36" t="str">
        <f aca="false">IF($D1218="","",IFERROR(INDEX('통합 ④ 설정'!$C$6:$C$40,MATCH($D1218,'통합 ④ 설정'!$B$6:$B$40,0)),""))</f>
        <v/>
      </c>
      <c r="G1218" s="39"/>
      <c r="H1218" s="39"/>
      <c r="I1218" s="40"/>
      <c r="J1218" s="41"/>
      <c r="K1218" s="38"/>
      <c r="L1218" s="42" t="str">
        <f aca="false">IF($B1218="","",IF(AND(N($I1218)=0,N($J1218)=0),"금액이 없습니다",IF(AND($I1218&gt;0,$J1218&gt;0),"수입·지출 둘 다 적혔습니다",IF($C1218="","결제수단을 고르십시오",IF(ISNA(MATCH($C1218,'통합 ③ 통장·카드'!$A$5:$A$11,0)),"③ 통장·카드에 없는 결제수단입니다",IF($D1218="","계정과목을 고르십시오",IF($E1218="※없는 과목","④ 설정에 없는 과목입니다",IF(AND($E1218="수입",$J1218&gt;0),"수입 과목인데 지출에 적혔습니다",IF(AND(LEFT($E1218,2)&lt;&gt;"수입",$E1218&lt;&gt;"대체",$I1218&gt;0),"지출 과목인데 수입에 적혔습니다",IF($K1218="","증빙을 고르십시오",IF(AND($C1218="바우처통장",$J1218&gt;0,IFERROR(INDEX('통합 ④ 설정'!$E$6:$E$40,MATCH($D1218,'통합 ④ 설정'!$B$6:$B$40,0)),"")&lt;&gt;"○"),"바우처통장 지출 — 목적 확인",IF($H1218="","적요를 적으십시오",""))))))))))))</f>
        <v/>
      </c>
      <c r="M1218" s="39"/>
      <c r="O1218" s="11" t="str">
        <f aca="false">IF($B1218="","",YEAR($B1218)*100+MONTH($B1218))</f>
        <v/>
      </c>
      <c r="P1218" s="11" t="str">
        <f aca="false">IF($B1218="","",IF($E1218="대체",0,1))</f>
        <v/>
      </c>
    </row>
    <row r="1219" customFormat="false" ht="15" hidden="false" customHeight="false" outlineLevel="0" collapsed="false">
      <c r="A1219" s="36" t="str">
        <f aca="false">IF($B1219="","",COUNT($B$15:$B1219))</f>
        <v/>
      </c>
      <c r="B1219" s="37"/>
      <c r="C1219" s="38"/>
      <c r="D1219" s="39"/>
      <c r="E1219" s="36" t="str">
        <f aca="false">IF($D1219="","",IFERROR(INDEX('통합 ④ 설정'!$A$6:$A$40,MATCH($D1219,'통합 ④ 설정'!$B$6:$B$40,0)),"※없는 과목"))</f>
        <v/>
      </c>
      <c r="F1219" s="36" t="str">
        <f aca="false">IF($D1219="","",IFERROR(INDEX('통합 ④ 설정'!$C$6:$C$40,MATCH($D1219,'통합 ④ 설정'!$B$6:$B$40,0)),""))</f>
        <v/>
      </c>
      <c r="G1219" s="39"/>
      <c r="H1219" s="39"/>
      <c r="I1219" s="40"/>
      <c r="J1219" s="41"/>
      <c r="K1219" s="38"/>
      <c r="L1219" s="42" t="str">
        <f aca="false">IF($B1219="","",IF(AND(N($I1219)=0,N($J1219)=0),"금액이 없습니다",IF(AND($I1219&gt;0,$J1219&gt;0),"수입·지출 둘 다 적혔습니다",IF($C1219="","결제수단을 고르십시오",IF(ISNA(MATCH($C1219,'통합 ③ 통장·카드'!$A$5:$A$11,0)),"③ 통장·카드에 없는 결제수단입니다",IF($D1219="","계정과목을 고르십시오",IF($E1219="※없는 과목","④ 설정에 없는 과목입니다",IF(AND($E1219="수입",$J1219&gt;0),"수입 과목인데 지출에 적혔습니다",IF(AND(LEFT($E1219,2)&lt;&gt;"수입",$E1219&lt;&gt;"대체",$I1219&gt;0),"지출 과목인데 수입에 적혔습니다",IF($K1219="","증빙을 고르십시오",IF(AND($C1219="바우처통장",$J1219&gt;0,IFERROR(INDEX('통합 ④ 설정'!$E$6:$E$40,MATCH($D1219,'통합 ④ 설정'!$B$6:$B$40,0)),"")&lt;&gt;"○"),"바우처통장 지출 — 목적 확인",IF($H1219="","적요를 적으십시오",""))))))))))))</f>
        <v/>
      </c>
      <c r="M1219" s="39"/>
      <c r="O1219" s="11" t="str">
        <f aca="false">IF($B1219="","",YEAR($B1219)*100+MONTH($B1219))</f>
        <v/>
      </c>
      <c r="P1219" s="11" t="str">
        <f aca="false">IF($B1219="","",IF($E1219="대체",0,1))</f>
        <v/>
      </c>
    </row>
    <row r="1220" customFormat="false" ht="15" hidden="false" customHeight="false" outlineLevel="0" collapsed="false">
      <c r="A1220" s="36" t="str">
        <f aca="false">IF($B1220="","",COUNT($B$15:$B1220))</f>
        <v/>
      </c>
      <c r="B1220" s="37"/>
      <c r="C1220" s="38"/>
      <c r="D1220" s="39"/>
      <c r="E1220" s="36" t="str">
        <f aca="false">IF($D1220="","",IFERROR(INDEX('통합 ④ 설정'!$A$6:$A$40,MATCH($D1220,'통합 ④ 설정'!$B$6:$B$40,0)),"※없는 과목"))</f>
        <v/>
      </c>
      <c r="F1220" s="36" t="str">
        <f aca="false">IF($D1220="","",IFERROR(INDEX('통합 ④ 설정'!$C$6:$C$40,MATCH($D1220,'통합 ④ 설정'!$B$6:$B$40,0)),""))</f>
        <v/>
      </c>
      <c r="G1220" s="39"/>
      <c r="H1220" s="39"/>
      <c r="I1220" s="40"/>
      <c r="J1220" s="41"/>
      <c r="K1220" s="38"/>
      <c r="L1220" s="42" t="str">
        <f aca="false">IF($B1220="","",IF(AND(N($I1220)=0,N($J1220)=0),"금액이 없습니다",IF(AND($I1220&gt;0,$J1220&gt;0),"수입·지출 둘 다 적혔습니다",IF($C1220="","결제수단을 고르십시오",IF(ISNA(MATCH($C1220,'통합 ③ 통장·카드'!$A$5:$A$11,0)),"③ 통장·카드에 없는 결제수단입니다",IF($D1220="","계정과목을 고르십시오",IF($E1220="※없는 과목","④ 설정에 없는 과목입니다",IF(AND($E1220="수입",$J1220&gt;0),"수입 과목인데 지출에 적혔습니다",IF(AND(LEFT($E1220,2)&lt;&gt;"수입",$E1220&lt;&gt;"대체",$I1220&gt;0),"지출 과목인데 수입에 적혔습니다",IF($K1220="","증빙을 고르십시오",IF(AND($C1220="바우처통장",$J1220&gt;0,IFERROR(INDEX('통합 ④ 설정'!$E$6:$E$40,MATCH($D1220,'통합 ④ 설정'!$B$6:$B$40,0)),"")&lt;&gt;"○"),"바우처통장 지출 — 목적 확인",IF($H1220="","적요를 적으십시오",""))))))))))))</f>
        <v/>
      </c>
      <c r="M1220" s="39"/>
      <c r="O1220" s="11" t="str">
        <f aca="false">IF($B1220="","",YEAR($B1220)*100+MONTH($B1220))</f>
        <v/>
      </c>
      <c r="P1220" s="11" t="str">
        <f aca="false">IF($B1220="","",IF($E1220="대체",0,1))</f>
        <v/>
      </c>
    </row>
    <row r="1221" customFormat="false" ht="15" hidden="false" customHeight="false" outlineLevel="0" collapsed="false">
      <c r="A1221" s="36" t="str">
        <f aca="false">IF($B1221="","",COUNT($B$15:$B1221))</f>
        <v/>
      </c>
      <c r="B1221" s="37"/>
      <c r="C1221" s="38"/>
      <c r="D1221" s="39"/>
      <c r="E1221" s="36" t="str">
        <f aca="false">IF($D1221="","",IFERROR(INDEX('통합 ④ 설정'!$A$6:$A$40,MATCH($D1221,'통합 ④ 설정'!$B$6:$B$40,0)),"※없는 과목"))</f>
        <v/>
      </c>
      <c r="F1221" s="36" t="str">
        <f aca="false">IF($D1221="","",IFERROR(INDEX('통합 ④ 설정'!$C$6:$C$40,MATCH($D1221,'통합 ④ 설정'!$B$6:$B$40,0)),""))</f>
        <v/>
      </c>
      <c r="G1221" s="39"/>
      <c r="H1221" s="39"/>
      <c r="I1221" s="40"/>
      <c r="J1221" s="41"/>
      <c r="K1221" s="38"/>
      <c r="L1221" s="42" t="str">
        <f aca="false">IF($B1221="","",IF(AND(N($I1221)=0,N($J1221)=0),"금액이 없습니다",IF(AND($I1221&gt;0,$J1221&gt;0),"수입·지출 둘 다 적혔습니다",IF($C1221="","결제수단을 고르십시오",IF(ISNA(MATCH($C1221,'통합 ③ 통장·카드'!$A$5:$A$11,0)),"③ 통장·카드에 없는 결제수단입니다",IF($D1221="","계정과목을 고르십시오",IF($E1221="※없는 과목","④ 설정에 없는 과목입니다",IF(AND($E1221="수입",$J1221&gt;0),"수입 과목인데 지출에 적혔습니다",IF(AND(LEFT($E1221,2)&lt;&gt;"수입",$E1221&lt;&gt;"대체",$I1221&gt;0),"지출 과목인데 수입에 적혔습니다",IF($K1221="","증빙을 고르십시오",IF(AND($C1221="바우처통장",$J1221&gt;0,IFERROR(INDEX('통합 ④ 설정'!$E$6:$E$40,MATCH($D1221,'통합 ④ 설정'!$B$6:$B$40,0)),"")&lt;&gt;"○"),"바우처통장 지출 — 목적 확인",IF($H1221="","적요를 적으십시오",""))))))))))))</f>
        <v/>
      </c>
      <c r="M1221" s="39"/>
      <c r="O1221" s="11" t="str">
        <f aca="false">IF($B1221="","",YEAR($B1221)*100+MONTH($B1221))</f>
        <v/>
      </c>
      <c r="P1221" s="11" t="str">
        <f aca="false">IF($B1221="","",IF($E1221="대체",0,1))</f>
        <v/>
      </c>
    </row>
    <row r="1222" customFormat="false" ht="15" hidden="false" customHeight="false" outlineLevel="0" collapsed="false">
      <c r="A1222" s="36" t="str">
        <f aca="false">IF($B1222="","",COUNT($B$15:$B1222))</f>
        <v/>
      </c>
      <c r="B1222" s="37"/>
      <c r="C1222" s="38"/>
      <c r="D1222" s="39"/>
      <c r="E1222" s="36" t="str">
        <f aca="false">IF($D1222="","",IFERROR(INDEX('통합 ④ 설정'!$A$6:$A$40,MATCH($D1222,'통합 ④ 설정'!$B$6:$B$40,0)),"※없는 과목"))</f>
        <v/>
      </c>
      <c r="F1222" s="36" t="str">
        <f aca="false">IF($D1222="","",IFERROR(INDEX('통합 ④ 설정'!$C$6:$C$40,MATCH($D1222,'통합 ④ 설정'!$B$6:$B$40,0)),""))</f>
        <v/>
      </c>
      <c r="G1222" s="39"/>
      <c r="H1222" s="39"/>
      <c r="I1222" s="40"/>
      <c r="J1222" s="41"/>
      <c r="K1222" s="38"/>
      <c r="L1222" s="42" t="str">
        <f aca="false">IF($B1222="","",IF(AND(N($I1222)=0,N($J1222)=0),"금액이 없습니다",IF(AND($I1222&gt;0,$J1222&gt;0),"수입·지출 둘 다 적혔습니다",IF($C1222="","결제수단을 고르십시오",IF(ISNA(MATCH($C1222,'통합 ③ 통장·카드'!$A$5:$A$11,0)),"③ 통장·카드에 없는 결제수단입니다",IF($D1222="","계정과목을 고르십시오",IF($E1222="※없는 과목","④ 설정에 없는 과목입니다",IF(AND($E1222="수입",$J1222&gt;0),"수입 과목인데 지출에 적혔습니다",IF(AND(LEFT($E1222,2)&lt;&gt;"수입",$E1222&lt;&gt;"대체",$I1222&gt;0),"지출 과목인데 수입에 적혔습니다",IF($K1222="","증빙을 고르십시오",IF(AND($C1222="바우처통장",$J1222&gt;0,IFERROR(INDEX('통합 ④ 설정'!$E$6:$E$40,MATCH($D1222,'통합 ④ 설정'!$B$6:$B$40,0)),"")&lt;&gt;"○"),"바우처통장 지출 — 목적 확인",IF($H1222="","적요를 적으십시오",""))))))))))))</f>
        <v/>
      </c>
      <c r="M1222" s="39"/>
      <c r="O1222" s="11" t="str">
        <f aca="false">IF($B1222="","",YEAR($B1222)*100+MONTH($B1222))</f>
        <v/>
      </c>
      <c r="P1222" s="11" t="str">
        <f aca="false">IF($B1222="","",IF($E1222="대체",0,1))</f>
        <v/>
      </c>
    </row>
    <row r="1223" customFormat="false" ht="15" hidden="false" customHeight="false" outlineLevel="0" collapsed="false">
      <c r="A1223" s="36" t="str">
        <f aca="false">IF($B1223="","",COUNT($B$15:$B1223))</f>
        <v/>
      </c>
      <c r="B1223" s="37"/>
      <c r="C1223" s="38"/>
      <c r="D1223" s="39"/>
      <c r="E1223" s="36" t="str">
        <f aca="false">IF($D1223="","",IFERROR(INDEX('통합 ④ 설정'!$A$6:$A$40,MATCH($D1223,'통합 ④ 설정'!$B$6:$B$40,0)),"※없는 과목"))</f>
        <v/>
      </c>
      <c r="F1223" s="36" t="str">
        <f aca="false">IF($D1223="","",IFERROR(INDEX('통합 ④ 설정'!$C$6:$C$40,MATCH($D1223,'통합 ④ 설정'!$B$6:$B$40,0)),""))</f>
        <v/>
      </c>
      <c r="G1223" s="39"/>
      <c r="H1223" s="39"/>
      <c r="I1223" s="40"/>
      <c r="J1223" s="41"/>
      <c r="K1223" s="38"/>
      <c r="L1223" s="42" t="str">
        <f aca="false">IF($B1223="","",IF(AND(N($I1223)=0,N($J1223)=0),"금액이 없습니다",IF(AND($I1223&gt;0,$J1223&gt;0),"수입·지출 둘 다 적혔습니다",IF($C1223="","결제수단을 고르십시오",IF(ISNA(MATCH($C1223,'통합 ③ 통장·카드'!$A$5:$A$11,0)),"③ 통장·카드에 없는 결제수단입니다",IF($D1223="","계정과목을 고르십시오",IF($E1223="※없는 과목","④ 설정에 없는 과목입니다",IF(AND($E1223="수입",$J1223&gt;0),"수입 과목인데 지출에 적혔습니다",IF(AND(LEFT($E1223,2)&lt;&gt;"수입",$E1223&lt;&gt;"대체",$I1223&gt;0),"지출 과목인데 수입에 적혔습니다",IF($K1223="","증빙을 고르십시오",IF(AND($C1223="바우처통장",$J1223&gt;0,IFERROR(INDEX('통합 ④ 설정'!$E$6:$E$40,MATCH($D1223,'통합 ④ 설정'!$B$6:$B$40,0)),"")&lt;&gt;"○"),"바우처통장 지출 — 목적 확인",IF($H1223="","적요를 적으십시오",""))))))))))))</f>
        <v/>
      </c>
      <c r="M1223" s="39"/>
      <c r="O1223" s="11" t="str">
        <f aca="false">IF($B1223="","",YEAR($B1223)*100+MONTH($B1223))</f>
        <v/>
      </c>
      <c r="P1223" s="11" t="str">
        <f aca="false">IF($B1223="","",IF($E1223="대체",0,1))</f>
        <v/>
      </c>
    </row>
    <row r="1224" customFormat="false" ht="15" hidden="false" customHeight="false" outlineLevel="0" collapsed="false">
      <c r="A1224" s="36" t="str">
        <f aca="false">IF($B1224="","",COUNT($B$15:$B1224))</f>
        <v/>
      </c>
      <c r="B1224" s="37"/>
      <c r="C1224" s="38"/>
      <c r="D1224" s="39"/>
      <c r="E1224" s="36" t="str">
        <f aca="false">IF($D1224="","",IFERROR(INDEX('통합 ④ 설정'!$A$6:$A$40,MATCH($D1224,'통합 ④ 설정'!$B$6:$B$40,0)),"※없는 과목"))</f>
        <v/>
      </c>
      <c r="F1224" s="36" t="str">
        <f aca="false">IF($D1224="","",IFERROR(INDEX('통합 ④ 설정'!$C$6:$C$40,MATCH($D1224,'통합 ④ 설정'!$B$6:$B$40,0)),""))</f>
        <v/>
      </c>
      <c r="G1224" s="39"/>
      <c r="H1224" s="39"/>
      <c r="I1224" s="40"/>
      <c r="J1224" s="41"/>
      <c r="K1224" s="38"/>
      <c r="L1224" s="42" t="str">
        <f aca="false">IF($B1224="","",IF(AND(N($I1224)=0,N($J1224)=0),"금액이 없습니다",IF(AND($I1224&gt;0,$J1224&gt;0),"수입·지출 둘 다 적혔습니다",IF($C1224="","결제수단을 고르십시오",IF(ISNA(MATCH($C1224,'통합 ③ 통장·카드'!$A$5:$A$11,0)),"③ 통장·카드에 없는 결제수단입니다",IF($D1224="","계정과목을 고르십시오",IF($E1224="※없는 과목","④ 설정에 없는 과목입니다",IF(AND($E1224="수입",$J1224&gt;0),"수입 과목인데 지출에 적혔습니다",IF(AND(LEFT($E1224,2)&lt;&gt;"수입",$E1224&lt;&gt;"대체",$I1224&gt;0),"지출 과목인데 수입에 적혔습니다",IF($K1224="","증빙을 고르십시오",IF(AND($C1224="바우처통장",$J1224&gt;0,IFERROR(INDEX('통합 ④ 설정'!$E$6:$E$40,MATCH($D1224,'통합 ④ 설정'!$B$6:$B$40,0)),"")&lt;&gt;"○"),"바우처통장 지출 — 목적 확인",IF($H1224="","적요를 적으십시오",""))))))))))))</f>
        <v/>
      </c>
      <c r="M1224" s="39"/>
      <c r="O1224" s="11" t="str">
        <f aca="false">IF($B1224="","",YEAR($B1224)*100+MONTH($B1224))</f>
        <v/>
      </c>
      <c r="P1224" s="11" t="str">
        <f aca="false">IF($B1224="","",IF($E1224="대체",0,1))</f>
        <v/>
      </c>
    </row>
    <row r="1225" customFormat="false" ht="15" hidden="false" customHeight="false" outlineLevel="0" collapsed="false">
      <c r="A1225" s="36" t="str">
        <f aca="false">IF($B1225="","",COUNT($B$15:$B1225))</f>
        <v/>
      </c>
      <c r="B1225" s="37"/>
      <c r="C1225" s="38"/>
      <c r="D1225" s="39"/>
      <c r="E1225" s="36" t="str">
        <f aca="false">IF($D1225="","",IFERROR(INDEX('통합 ④ 설정'!$A$6:$A$40,MATCH($D1225,'통합 ④ 설정'!$B$6:$B$40,0)),"※없는 과목"))</f>
        <v/>
      </c>
      <c r="F1225" s="36" t="str">
        <f aca="false">IF($D1225="","",IFERROR(INDEX('통합 ④ 설정'!$C$6:$C$40,MATCH($D1225,'통합 ④ 설정'!$B$6:$B$40,0)),""))</f>
        <v/>
      </c>
      <c r="G1225" s="39"/>
      <c r="H1225" s="39"/>
      <c r="I1225" s="40"/>
      <c r="J1225" s="41"/>
      <c r="K1225" s="38"/>
      <c r="L1225" s="42" t="str">
        <f aca="false">IF($B1225="","",IF(AND(N($I1225)=0,N($J1225)=0),"금액이 없습니다",IF(AND($I1225&gt;0,$J1225&gt;0),"수입·지출 둘 다 적혔습니다",IF($C1225="","결제수단을 고르십시오",IF(ISNA(MATCH($C1225,'통합 ③ 통장·카드'!$A$5:$A$11,0)),"③ 통장·카드에 없는 결제수단입니다",IF($D1225="","계정과목을 고르십시오",IF($E1225="※없는 과목","④ 설정에 없는 과목입니다",IF(AND($E1225="수입",$J1225&gt;0),"수입 과목인데 지출에 적혔습니다",IF(AND(LEFT($E1225,2)&lt;&gt;"수입",$E1225&lt;&gt;"대체",$I1225&gt;0),"지출 과목인데 수입에 적혔습니다",IF($K1225="","증빙을 고르십시오",IF(AND($C1225="바우처통장",$J1225&gt;0,IFERROR(INDEX('통합 ④ 설정'!$E$6:$E$40,MATCH($D1225,'통합 ④ 설정'!$B$6:$B$40,0)),"")&lt;&gt;"○"),"바우처통장 지출 — 목적 확인",IF($H1225="","적요를 적으십시오",""))))))))))))</f>
        <v/>
      </c>
      <c r="M1225" s="39"/>
      <c r="O1225" s="11" t="str">
        <f aca="false">IF($B1225="","",YEAR($B1225)*100+MONTH($B1225))</f>
        <v/>
      </c>
      <c r="P1225" s="11" t="str">
        <f aca="false">IF($B1225="","",IF($E1225="대체",0,1))</f>
        <v/>
      </c>
    </row>
    <row r="1226" customFormat="false" ht="15" hidden="false" customHeight="false" outlineLevel="0" collapsed="false">
      <c r="A1226" s="36" t="str">
        <f aca="false">IF($B1226="","",COUNT($B$15:$B1226))</f>
        <v/>
      </c>
      <c r="B1226" s="37"/>
      <c r="C1226" s="38"/>
      <c r="D1226" s="39"/>
      <c r="E1226" s="36" t="str">
        <f aca="false">IF($D1226="","",IFERROR(INDEX('통합 ④ 설정'!$A$6:$A$40,MATCH($D1226,'통합 ④ 설정'!$B$6:$B$40,0)),"※없는 과목"))</f>
        <v/>
      </c>
      <c r="F1226" s="36" t="str">
        <f aca="false">IF($D1226="","",IFERROR(INDEX('통합 ④ 설정'!$C$6:$C$40,MATCH($D1226,'통합 ④ 설정'!$B$6:$B$40,0)),""))</f>
        <v/>
      </c>
      <c r="G1226" s="39"/>
      <c r="H1226" s="39"/>
      <c r="I1226" s="40"/>
      <c r="J1226" s="41"/>
      <c r="K1226" s="38"/>
      <c r="L1226" s="42" t="str">
        <f aca="false">IF($B1226="","",IF(AND(N($I1226)=0,N($J1226)=0),"금액이 없습니다",IF(AND($I1226&gt;0,$J1226&gt;0),"수입·지출 둘 다 적혔습니다",IF($C1226="","결제수단을 고르십시오",IF(ISNA(MATCH($C1226,'통합 ③ 통장·카드'!$A$5:$A$11,0)),"③ 통장·카드에 없는 결제수단입니다",IF($D1226="","계정과목을 고르십시오",IF($E1226="※없는 과목","④ 설정에 없는 과목입니다",IF(AND($E1226="수입",$J1226&gt;0),"수입 과목인데 지출에 적혔습니다",IF(AND(LEFT($E1226,2)&lt;&gt;"수입",$E1226&lt;&gt;"대체",$I1226&gt;0),"지출 과목인데 수입에 적혔습니다",IF($K1226="","증빙을 고르십시오",IF(AND($C1226="바우처통장",$J1226&gt;0,IFERROR(INDEX('통합 ④ 설정'!$E$6:$E$40,MATCH($D1226,'통합 ④ 설정'!$B$6:$B$40,0)),"")&lt;&gt;"○"),"바우처통장 지출 — 목적 확인",IF($H1226="","적요를 적으십시오",""))))))))))))</f>
        <v/>
      </c>
      <c r="M1226" s="39"/>
      <c r="O1226" s="11" t="str">
        <f aca="false">IF($B1226="","",YEAR($B1226)*100+MONTH($B1226))</f>
        <v/>
      </c>
      <c r="P1226" s="11" t="str">
        <f aca="false">IF($B1226="","",IF($E1226="대체",0,1))</f>
        <v/>
      </c>
    </row>
    <row r="1227" customFormat="false" ht="15" hidden="false" customHeight="false" outlineLevel="0" collapsed="false">
      <c r="A1227" s="36" t="str">
        <f aca="false">IF($B1227="","",COUNT($B$15:$B1227))</f>
        <v/>
      </c>
      <c r="B1227" s="37"/>
      <c r="C1227" s="38"/>
      <c r="D1227" s="39"/>
      <c r="E1227" s="36" t="str">
        <f aca="false">IF($D1227="","",IFERROR(INDEX('통합 ④ 설정'!$A$6:$A$40,MATCH($D1227,'통합 ④ 설정'!$B$6:$B$40,0)),"※없는 과목"))</f>
        <v/>
      </c>
      <c r="F1227" s="36" t="str">
        <f aca="false">IF($D1227="","",IFERROR(INDEX('통합 ④ 설정'!$C$6:$C$40,MATCH($D1227,'통합 ④ 설정'!$B$6:$B$40,0)),""))</f>
        <v/>
      </c>
      <c r="G1227" s="39"/>
      <c r="H1227" s="39"/>
      <c r="I1227" s="40"/>
      <c r="J1227" s="41"/>
      <c r="K1227" s="38"/>
      <c r="L1227" s="42" t="str">
        <f aca="false">IF($B1227="","",IF(AND(N($I1227)=0,N($J1227)=0),"금액이 없습니다",IF(AND($I1227&gt;0,$J1227&gt;0),"수입·지출 둘 다 적혔습니다",IF($C1227="","결제수단을 고르십시오",IF(ISNA(MATCH($C1227,'통합 ③ 통장·카드'!$A$5:$A$11,0)),"③ 통장·카드에 없는 결제수단입니다",IF($D1227="","계정과목을 고르십시오",IF($E1227="※없는 과목","④ 설정에 없는 과목입니다",IF(AND($E1227="수입",$J1227&gt;0),"수입 과목인데 지출에 적혔습니다",IF(AND(LEFT($E1227,2)&lt;&gt;"수입",$E1227&lt;&gt;"대체",$I1227&gt;0),"지출 과목인데 수입에 적혔습니다",IF($K1227="","증빙을 고르십시오",IF(AND($C1227="바우처통장",$J1227&gt;0,IFERROR(INDEX('통합 ④ 설정'!$E$6:$E$40,MATCH($D1227,'통합 ④ 설정'!$B$6:$B$40,0)),"")&lt;&gt;"○"),"바우처통장 지출 — 목적 확인",IF($H1227="","적요를 적으십시오",""))))))))))))</f>
        <v/>
      </c>
      <c r="M1227" s="39"/>
      <c r="O1227" s="11" t="str">
        <f aca="false">IF($B1227="","",YEAR($B1227)*100+MONTH($B1227))</f>
        <v/>
      </c>
      <c r="P1227" s="11" t="str">
        <f aca="false">IF($B1227="","",IF($E1227="대체",0,1))</f>
        <v/>
      </c>
    </row>
    <row r="1228" customFormat="false" ht="15" hidden="false" customHeight="false" outlineLevel="0" collapsed="false">
      <c r="A1228" s="36" t="str">
        <f aca="false">IF($B1228="","",COUNT($B$15:$B1228))</f>
        <v/>
      </c>
      <c r="B1228" s="37"/>
      <c r="C1228" s="38"/>
      <c r="D1228" s="39"/>
      <c r="E1228" s="36" t="str">
        <f aca="false">IF($D1228="","",IFERROR(INDEX('통합 ④ 설정'!$A$6:$A$40,MATCH($D1228,'통합 ④ 설정'!$B$6:$B$40,0)),"※없는 과목"))</f>
        <v/>
      </c>
      <c r="F1228" s="36" t="str">
        <f aca="false">IF($D1228="","",IFERROR(INDEX('통합 ④ 설정'!$C$6:$C$40,MATCH($D1228,'통합 ④ 설정'!$B$6:$B$40,0)),""))</f>
        <v/>
      </c>
      <c r="G1228" s="39"/>
      <c r="H1228" s="39"/>
      <c r="I1228" s="40"/>
      <c r="J1228" s="41"/>
      <c r="K1228" s="38"/>
      <c r="L1228" s="42" t="str">
        <f aca="false">IF($B1228="","",IF(AND(N($I1228)=0,N($J1228)=0),"금액이 없습니다",IF(AND($I1228&gt;0,$J1228&gt;0),"수입·지출 둘 다 적혔습니다",IF($C1228="","결제수단을 고르십시오",IF(ISNA(MATCH($C1228,'통합 ③ 통장·카드'!$A$5:$A$11,0)),"③ 통장·카드에 없는 결제수단입니다",IF($D1228="","계정과목을 고르십시오",IF($E1228="※없는 과목","④ 설정에 없는 과목입니다",IF(AND($E1228="수입",$J1228&gt;0),"수입 과목인데 지출에 적혔습니다",IF(AND(LEFT($E1228,2)&lt;&gt;"수입",$E1228&lt;&gt;"대체",$I1228&gt;0),"지출 과목인데 수입에 적혔습니다",IF($K1228="","증빙을 고르십시오",IF(AND($C1228="바우처통장",$J1228&gt;0,IFERROR(INDEX('통합 ④ 설정'!$E$6:$E$40,MATCH($D1228,'통합 ④ 설정'!$B$6:$B$40,0)),"")&lt;&gt;"○"),"바우처통장 지출 — 목적 확인",IF($H1228="","적요를 적으십시오",""))))))))))))</f>
        <v/>
      </c>
      <c r="M1228" s="39"/>
      <c r="O1228" s="11" t="str">
        <f aca="false">IF($B1228="","",YEAR($B1228)*100+MONTH($B1228))</f>
        <v/>
      </c>
      <c r="P1228" s="11" t="str">
        <f aca="false">IF($B1228="","",IF($E1228="대체",0,1))</f>
        <v/>
      </c>
    </row>
    <row r="1229" customFormat="false" ht="15" hidden="false" customHeight="false" outlineLevel="0" collapsed="false">
      <c r="A1229" s="36" t="str">
        <f aca="false">IF($B1229="","",COUNT($B$15:$B1229))</f>
        <v/>
      </c>
      <c r="B1229" s="37"/>
      <c r="C1229" s="38"/>
      <c r="D1229" s="39"/>
      <c r="E1229" s="36" t="str">
        <f aca="false">IF($D1229="","",IFERROR(INDEX('통합 ④ 설정'!$A$6:$A$40,MATCH($D1229,'통합 ④ 설정'!$B$6:$B$40,0)),"※없는 과목"))</f>
        <v/>
      </c>
      <c r="F1229" s="36" t="str">
        <f aca="false">IF($D1229="","",IFERROR(INDEX('통합 ④ 설정'!$C$6:$C$40,MATCH($D1229,'통합 ④ 설정'!$B$6:$B$40,0)),""))</f>
        <v/>
      </c>
      <c r="G1229" s="39"/>
      <c r="H1229" s="39"/>
      <c r="I1229" s="40"/>
      <c r="J1229" s="41"/>
      <c r="K1229" s="38"/>
      <c r="L1229" s="42" t="str">
        <f aca="false">IF($B1229="","",IF(AND(N($I1229)=0,N($J1229)=0),"금액이 없습니다",IF(AND($I1229&gt;0,$J1229&gt;0),"수입·지출 둘 다 적혔습니다",IF($C1229="","결제수단을 고르십시오",IF(ISNA(MATCH($C1229,'통합 ③ 통장·카드'!$A$5:$A$11,0)),"③ 통장·카드에 없는 결제수단입니다",IF($D1229="","계정과목을 고르십시오",IF($E1229="※없는 과목","④ 설정에 없는 과목입니다",IF(AND($E1229="수입",$J1229&gt;0),"수입 과목인데 지출에 적혔습니다",IF(AND(LEFT($E1229,2)&lt;&gt;"수입",$E1229&lt;&gt;"대체",$I1229&gt;0),"지출 과목인데 수입에 적혔습니다",IF($K1229="","증빙을 고르십시오",IF(AND($C1229="바우처통장",$J1229&gt;0,IFERROR(INDEX('통합 ④ 설정'!$E$6:$E$40,MATCH($D1229,'통합 ④ 설정'!$B$6:$B$40,0)),"")&lt;&gt;"○"),"바우처통장 지출 — 목적 확인",IF($H1229="","적요를 적으십시오",""))))))))))))</f>
        <v/>
      </c>
      <c r="M1229" s="39"/>
      <c r="O1229" s="11" t="str">
        <f aca="false">IF($B1229="","",YEAR($B1229)*100+MONTH($B1229))</f>
        <v/>
      </c>
      <c r="P1229" s="11" t="str">
        <f aca="false">IF($B1229="","",IF($E1229="대체",0,1))</f>
        <v/>
      </c>
    </row>
    <row r="1230" customFormat="false" ht="15" hidden="false" customHeight="false" outlineLevel="0" collapsed="false">
      <c r="A1230" s="36" t="str">
        <f aca="false">IF($B1230="","",COUNT($B$15:$B1230))</f>
        <v/>
      </c>
      <c r="B1230" s="37"/>
      <c r="C1230" s="38"/>
      <c r="D1230" s="39"/>
      <c r="E1230" s="36" t="str">
        <f aca="false">IF($D1230="","",IFERROR(INDEX('통합 ④ 설정'!$A$6:$A$40,MATCH($D1230,'통합 ④ 설정'!$B$6:$B$40,0)),"※없는 과목"))</f>
        <v/>
      </c>
      <c r="F1230" s="36" t="str">
        <f aca="false">IF($D1230="","",IFERROR(INDEX('통합 ④ 설정'!$C$6:$C$40,MATCH($D1230,'통합 ④ 설정'!$B$6:$B$40,0)),""))</f>
        <v/>
      </c>
      <c r="G1230" s="39"/>
      <c r="H1230" s="39"/>
      <c r="I1230" s="40"/>
      <c r="J1230" s="41"/>
      <c r="K1230" s="38"/>
      <c r="L1230" s="42" t="str">
        <f aca="false">IF($B1230="","",IF(AND(N($I1230)=0,N($J1230)=0),"금액이 없습니다",IF(AND($I1230&gt;0,$J1230&gt;0),"수입·지출 둘 다 적혔습니다",IF($C1230="","결제수단을 고르십시오",IF(ISNA(MATCH($C1230,'통합 ③ 통장·카드'!$A$5:$A$11,0)),"③ 통장·카드에 없는 결제수단입니다",IF($D1230="","계정과목을 고르십시오",IF($E1230="※없는 과목","④ 설정에 없는 과목입니다",IF(AND($E1230="수입",$J1230&gt;0),"수입 과목인데 지출에 적혔습니다",IF(AND(LEFT($E1230,2)&lt;&gt;"수입",$E1230&lt;&gt;"대체",$I1230&gt;0),"지출 과목인데 수입에 적혔습니다",IF($K1230="","증빙을 고르십시오",IF(AND($C1230="바우처통장",$J1230&gt;0,IFERROR(INDEX('통합 ④ 설정'!$E$6:$E$40,MATCH($D1230,'통합 ④ 설정'!$B$6:$B$40,0)),"")&lt;&gt;"○"),"바우처통장 지출 — 목적 확인",IF($H1230="","적요를 적으십시오",""))))))))))))</f>
        <v/>
      </c>
      <c r="M1230" s="39"/>
      <c r="O1230" s="11" t="str">
        <f aca="false">IF($B1230="","",YEAR($B1230)*100+MONTH($B1230))</f>
        <v/>
      </c>
      <c r="P1230" s="11" t="str">
        <f aca="false">IF($B1230="","",IF($E1230="대체",0,1))</f>
        <v/>
      </c>
    </row>
    <row r="1231" customFormat="false" ht="15" hidden="false" customHeight="false" outlineLevel="0" collapsed="false">
      <c r="A1231" s="36" t="str">
        <f aca="false">IF($B1231="","",COUNT($B$15:$B1231))</f>
        <v/>
      </c>
      <c r="B1231" s="37"/>
      <c r="C1231" s="38"/>
      <c r="D1231" s="39"/>
      <c r="E1231" s="36" t="str">
        <f aca="false">IF($D1231="","",IFERROR(INDEX('통합 ④ 설정'!$A$6:$A$40,MATCH($D1231,'통합 ④ 설정'!$B$6:$B$40,0)),"※없는 과목"))</f>
        <v/>
      </c>
      <c r="F1231" s="36" t="str">
        <f aca="false">IF($D1231="","",IFERROR(INDEX('통합 ④ 설정'!$C$6:$C$40,MATCH($D1231,'통합 ④ 설정'!$B$6:$B$40,0)),""))</f>
        <v/>
      </c>
      <c r="G1231" s="39"/>
      <c r="H1231" s="39"/>
      <c r="I1231" s="40"/>
      <c r="J1231" s="41"/>
      <c r="K1231" s="38"/>
      <c r="L1231" s="42" t="str">
        <f aca="false">IF($B1231="","",IF(AND(N($I1231)=0,N($J1231)=0),"금액이 없습니다",IF(AND($I1231&gt;0,$J1231&gt;0),"수입·지출 둘 다 적혔습니다",IF($C1231="","결제수단을 고르십시오",IF(ISNA(MATCH($C1231,'통합 ③ 통장·카드'!$A$5:$A$11,0)),"③ 통장·카드에 없는 결제수단입니다",IF($D1231="","계정과목을 고르십시오",IF($E1231="※없는 과목","④ 설정에 없는 과목입니다",IF(AND($E1231="수입",$J1231&gt;0),"수입 과목인데 지출에 적혔습니다",IF(AND(LEFT($E1231,2)&lt;&gt;"수입",$E1231&lt;&gt;"대체",$I1231&gt;0),"지출 과목인데 수입에 적혔습니다",IF($K1231="","증빙을 고르십시오",IF(AND($C1231="바우처통장",$J1231&gt;0,IFERROR(INDEX('통합 ④ 설정'!$E$6:$E$40,MATCH($D1231,'통합 ④ 설정'!$B$6:$B$40,0)),"")&lt;&gt;"○"),"바우처통장 지출 — 목적 확인",IF($H1231="","적요를 적으십시오",""))))))))))))</f>
        <v/>
      </c>
      <c r="M1231" s="39"/>
      <c r="O1231" s="11" t="str">
        <f aca="false">IF($B1231="","",YEAR($B1231)*100+MONTH($B1231))</f>
        <v/>
      </c>
      <c r="P1231" s="11" t="str">
        <f aca="false">IF($B1231="","",IF($E1231="대체",0,1))</f>
        <v/>
      </c>
    </row>
    <row r="1232" customFormat="false" ht="15" hidden="false" customHeight="false" outlineLevel="0" collapsed="false">
      <c r="A1232" s="36" t="str">
        <f aca="false">IF($B1232="","",COUNT($B$15:$B1232))</f>
        <v/>
      </c>
      <c r="B1232" s="37"/>
      <c r="C1232" s="38"/>
      <c r="D1232" s="39"/>
      <c r="E1232" s="36" t="str">
        <f aca="false">IF($D1232="","",IFERROR(INDEX('통합 ④ 설정'!$A$6:$A$40,MATCH($D1232,'통합 ④ 설정'!$B$6:$B$40,0)),"※없는 과목"))</f>
        <v/>
      </c>
      <c r="F1232" s="36" t="str">
        <f aca="false">IF($D1232="","",IFERROR(INDEX('통합 ④ 설정'!$C$6:$C$40,MATCH($D1232,'통합 ④ 설정'!$B$6:$B$40,0)),""))</f>
        <v/>
      </c>
      <c r="G1232" s="39"/>
      <c r="H1232" s="39"/>
      <c r="I1232" s="40"/>
      <c r="J1232" s="41"/>
      <c r="K1232" s="38"/>
      <c r="L1232" s="42" t="str">
        <f aca="false">IF($B1232="","",IF(AND(N($I1232)=0,N($J1232)=0),"금액이 없습니다",IF(AND($I1232&gt;0,$J1232&gt;0),"수입·지출 둘 다 적혔습니다",IF($C1232="","결제수단을 고르십시오",IF(ISNA(MATCH($C1232,'통합 ③ 통장·카드'!$A$5:$A$11,0)),"③ 통장·카드에 없는 결제수단입니다",IF($D1232="","계정과목을 고르십시오",IF($E1232="※없는 과목","④ 설정에 없는 과목입니다",IF(AND($E1232="수입",$J1232&gt;0),"수입 과목인데 지출에 적혔습니다",IF(AND(LEFT($E1232,2)&lt;&gt;"수입",$E1232&lt;&gt;"대체",$I1232&gt;0),"지출 과목인데 수입에 적혔습니다",IF($K1232="","증빙을 고르십시오",IF(AND($C1232="바우처통장",$J1232&gt;0,IFERROR(INDEX('통합 ④ 설정'!$E$6:$E$40,MATCH($D1232,'통합 ④ 설정'!$B$6:$B$40,0)),"")&lt;&gt;"○"),"바우처통장 지출 — 목적 확인",IF($H1232="","적요를 적으십시오",""))))))))))))</f>
        <v/>
      </c>
      <c r="M1232" s="39"/>
      <c r="O1232" s="11" t="str">
        <f aca="false">IF($B1232="","",YEAR($B1232)*100+MONTH($B1232))</f>
        <v/>
      </c>
      <c r="P1232" s="11" t="str">
        <f aca="false">IF($B1232="","",IF($E1232="대체",0,1))</f>
        <v/>
      </c>
    </row>
    <row r="1233" customFormat="false" ht="15" hidden="false" customHeight="false" outlineLevel="0" collapsed="false">
      <c r="A1233" s="36" t="str">
        <f aca="false">IF($B1233="","",COUNT($B$15:$B1233))</f>
        <v/>
      </c>
      <c r="B1233" s="37"/>
      <c r="C1233" s="38"/>
      <c r="D1233" s="39"/>
      <c r="E1233" s="36" t="str">
        <f aca="false">IF($D1233="","",IFERROR(INDEX('통합 ④ 설정'!$A$6:$A$40,MATCH($D1233,'통합 ④ 설정'!$B$6:$B$40,0)),"※없는 과목"))</f>
        <v/>
      </c>
      <c r="F1233" s="36" t="str">
        <f aca="false">IF($D1233="","",IFERROR(INDEX('통합 ④ 설정'!$C$6:$C$40,MATCH($D1233,'통합 ④ 설정'!$B$6:$B$40,0)),""))</f>
        <v/>
      </c>
      <c r="G1233" s="39"/>
      <c r="H1233" s="39"/>
      <c r="I1233" s="40"/>
      <c r="J1233" s="41"/>
      <c r="K1233" s="38"/>
      <c r="L1233" s="42" t="str">
        <f aca="false">IF($B1233="","",IF(AND(N($I1233)=0,N($J1233)=0),"금액이 없습니다",IF(AND($I1233&gt;0,$J1233&gt;0),"수입·지출 둘 다 적혔습니다",IF($C1233="","결제수단을 고르십시오",IF(ISNA(MATCH($C1233,'통합 ③ 통장·카드'!$A$5:$A$11,0)),"③ 통장·카드에 없는 결제수단입니다",IF($D1233="","계정과목을 고르십시오",IF($E1233="※없는 과목","④ 설정에 없는 과목입니다",IF(AND($E1233="수입",$J1233&gt;0),"수입 과목인데 지출에 적혔습니다",IF(AND(LEFT($E1233,2)&lt;&gt;"수입",$E1233&lt;&gt;"대체",$I1233&gt;0),"지출 과목인데 수입에 적혔습니다",IF($K1233="","증빙을 고르십시오",IF(AND($C1233="바우처통장",$J1233&gt;0,IFERROR(INDEX('통합 ④ 설정'!$E$6:$E$40,MATCH($D1233,'통합 ④ 설정'!$B$6:$B$40,0)),"")&lt;&gt;"○"),"바우처통장 지출 — 목적 확인",IF($H1233="","적요를 적으십시오",""))))))))))))</f>
        <v/>
      </c>
      <c r="M1233" s="39"/>
      <c r="O1233" s="11" t="str">
        <f aca="false">IF($B1233="","",YEAR($B1233)*100+MONTH($B1233))</f>
        <v/>
      </c>
      <c r="P1233" s="11" t="str">
        <f aca="false">IF($B1233="","",IF($E1233="대체",0,1))</f>
        <v/>
      </c>
    </row>
    <row r="1234" customFormat="false" ht="15" hidden="false" customHeight="false" outlineLevel="0" collapsed="false">
      <c r="A1234" s="36" t="str">
        <f aca="false">IF($B1234="","",COUNT($B$15:$B1234))</f>
        <v/>
      </c>
      <c r="B1234" s="37"/>
      <c r="C1234" s="38"/>
      <c r="D1234" s="39"/>
      <c r="E1234" s="36" t="str">
        <f aca="false">IF($D1234="","",IFERROR(INDEX('통합 ④ 설정'!$A$6:$A$40,MATCH($D1234,'통합 ④ 설정'!$B$6:$B$40,0)),"※없는 과목"))</f>
        <v/>
      </c>
      <c r="F1234" s="36" t="str">
        <f aca="false">IF($D1234="","",IFERROR(INDEX('통합 ④ 설정'!$C$6:$C$40,MATCH($D1234,'통합 ④ 설정'!$B$6:$B$40,0)),""))</f>
        <v/>
      </c>
      <c r="G1234" s="39"/>
      <c r="H1234" s="39"/>
      <c r="I1234" s="40"/>
      <c r="J1234" s="41"/>
      <c r="K1234" s="38"/>
      <c r="L1234" s="42" t="str">
        <f aca="false">IF($B1234="","",IF(AND(N($I1234)=0,N($J1234)=0),"금액이 없습니다",IF(AND($I1234&gt;0,$J1234&gt;0),"수입·지출 둘 다 적혔습니다",IF($C1234="","결제수단을 고르십시오",IF(ISNA(MATCH($C1234,'통합 ③ 통장·카드'!$A$5:$A$11,0)),"③ 통장·카드에 없는 결제수단입니다",IF($D1234="","계정과목을 고르십시오",IF($E1234="※없는 과목","④ 설정에 없는 과목입니다",IF(AND($E1234="수입",$J1234&gt;0),"수입 과목인데 지출에 적혔습니다",IF(AND(LEFT($E1234,2)&lt;&gt;"수입",$E1234&lt;&gt;"대체",$I1234&gt;0),"지출 과목인데 수입에 적혔습니다",IF($K1234="","증빙을 고르십시오",IF(AND($C1234="바우처통장",$J1234&gt;0,IFERROR(INDEX('통합 ④ 설정'!$E$6:$E$40,MATCH($D1234,'통합 ④ 설정'!$B$6:$B$40,0)),"")&lt;&gt;"○"),"바우처통장 지출 — 목적 확인",IF($H1234="","적요를 적으십시오",""))))))))))))</f>
        <v/>
      </c>
      <c r="M1234" s="39"/>
      <c r="O1234" s="11" t="str">
        <f aca="false">IF($B1234="","",YEAR($B1234)*100+MONTH($B1234))</f>
        <v/>
      </c>
      <c r="P1234" s="11" t="str">
        <f aca="false">IF($B1234="","",IF($E1234="대체",0,1))</f>
        <v/>
      </c>
    </row>
    <row r="1235" customFormat="false" ht="15" hidden="false" customHeight="false" outlineLevel="0" collapsed="false">
      <c r="A1235" s="36" t="str">
        <f aca="false">IF($B1235="","",COUNT($B$15:$B1235))</f>
        <v/>
      </c>
      <c r="B1235" s="37"/>
      <c r="C1235" s="38"/>
      <c r="D1235" s="39"/>
      <c r="E1235" s="36" t="str">
        <f aca="false">IF($D1235="","",IFERROR(INDEX('통합 ④ 설정'!$A$6:$A$40,MATCH($D1235,'통합 ④ 설정'!$B$6:$B$40,0)),"※없는 과목"))</f>
        <v/>
      </c>
      <c r="F1235" s="36" t="str">
        <f aca="false">IF($D1235="","",IFERROR(INDEX('통합 ④ 설정'!$C$6:$C$40,MATCH($D1235,'통합 ④ 설정'!$B$6:$B$40,0)),""))</f>
        <v/>
      </c>
      <c r="G1235" s="39"/>
      <c r="H1235" s="39"/>
      <c r="I1235" s="40"/>
      <c r="J1235" s="41"/>
      <c r="K1235" s="38"/>
      <c r="L1235" s="42" t="str">
        <f aca="false">IF($B1235="","",IF(AND(N($I1235)=0,N($J1235)=0),"금액이 없습니다",IF(AND($I1235&gt;0,$J1235&gt;0),"수입·지출 둘 다 적혔습니다",IF($C1235="","결제수단을 고르십시오",IF(ISNA(MATCH($C1235,'통합 ③ 통장·카드'!$A$5:$A$11,0)),"③ 통장·카드에 없는 결제수단입니다",IF($D1235="","계정과목을 고르십시오",IF($E1235="※없는 과목","④ 설정에 없는 과목입니다",IF(AND($E1235="수입",$J1235&gt;0),"수입 과목인데 지출에 적혔습니다",IF(AND(LEFT($E1235,2)&lt;&gt;"수입",$E1235&lt;&gt;"대체",$I1235&gt;0),"지출 과목인데 수입에 적혔습니다",IF($K1235="","증빙을 고르십시오",IF(AND($C1235="바우처통장",$J1235&gt;0,IFERROR(INDEX('통합 ④ 설정'!$E$6:$E$40,MATCH($D1235,'통합 ④ 설정'!$B$6:$B$40,0)),"")&lt;&gt;"○"),"바우처통장 지출 — 목적 확인",IF($H1235="","적요를 적으십시오",""))))))))))))</f>
        <v/>
      </c>
      <c r="M1235" s="39"/>
      <c r="O1235" s="11" t="str">
        <f aca="false">IF($B1235="","",YEAR($B1235)*100+MONTH($B1235))</f>
        <v/>
      </c>
      <c r="P1235" s="11" t="str">
        <f aca="false">IF($B1235="","",IF($E1235="대체",0,1))</f>
        <v/>
      </c>
    </row>
    <row r="1236" customFormat="false" ht="15" hidden="false" customHeight="false" outlineLevel="0" collapsed="false">
      <c r="A1236" s="36" t="str">
        <f aca="false">IF($B1236="","",COUNT($B$15:$B1236))</f>
        <v/>
      </c>
      <c r="B1236" s="37"/>
      <c r="C1236" s="38"/>
      <c r="D1236" s="39"/>
      <c r="E1236" s="36" t="str">
        <f aca="false">IF($D1236="","",IFERROR(INDEX('통합 ④ 설정'!$A$6:$A$40,MATCH($D1236,'통합 ④ 설정'!$B$6:$B$40,0)),"※없는 과목"))</f>
        <v/>
      </c>
      <c r="F1236" s="36" t="str">
        <f aca="false">IF($D1236="","",IFERROR(INDEX('통합 ④ 설정'!$C$6:$C$40,MATCH($D1236,'통합 ④ 설정'!$B$6:$B$40,0)),""))</f>
        <v/>
      </c>
      <c r="G1236" s="39"/>
      <c r="H1236" s="39"/>
      <c r="I1236" s="40"/>
      <c r="J1236" s="41"/>
      <c r="K1236" s="38"/>
      <c r="L1236" s="42" t="str">
        <f aca="false">IF($B1236="","",IF(AND(N($I1236)=0,N($J1236)=0),"금액이 없습니다",IF(AND($I1236&gt;0,$J1236&gt;0),"수입·지출 둘 다 적혔습니다",IF($C1236="","결제수단을 고르십시오",IF(ISNA(MATCH($C1236,'통합 ③ 통장·카드'!$A$5:$A$11,0)),"③ 통장·카드에 없는 결제수단입니다",IF($D1236="","계정과목을 고르십시오",IF($E1236="※없는 과목","④ 설정에 없는 과목입니다",IF(AND($E1236="수입",$J1236&gt;0),"수입 과목인데 지출에 적혔습니다",IF(AND(LEFT($E1236,2)&lt;&gt;"수입",$E1236&lt;&gt;"대체",$I1236&gt;0),"지출 과목인데 수입에 적혔습니다",IF($K1236="","증빙을 고르십시오",IF(AND($C1236="바우처통장",$J1236&gt;0,IFERROR(INDEX('통합 ④ 설정'!$E$6:$E$40,MATCH($D1236,'통합 ④ 설정'!$B$6:$B$40,0)),"")&lt;&gt;"○"),"바우처통장 지출 — 목적 확인",IF($H1236="","적요를 적으십시오",""))))))))))))</f>
        <v/>
      </c>
      <c r="M1236" s="39"/>
      <c r="O1236" s="11" t="str">
        <f aca="false">IF($B1236="","",YEAR($B1236)*100+MONTH($B1236))</f>
        <v/>
      </c>
      <c r="P1236" s="11" t="str">
        <f aca="false">IF($B1236="","",IF($E1236="대체",0,1))</f>
        <v/>
      </c>
    </row>
    <row r="1237" customFormat="false" ht="15" hidden="false" customHeight="false" outlineLevel="0" collapsed="false">
      <c r="A1237" s="36" t="str">
        <f aca="false">IF($B1237="","",COUNT($B$15:$B1237))</f>
        <v/>
      </c>
      <c r="B1237" s="37"/>
      <c r="C1237" s="38"/>
      <c r="D1237" s="39"/>
      <c r="E1237" s="36" t="str">
        <f aca="false">IF($D1237="","",IFERROR(INDEX('통합 ④ 설정'!$A$6:$A$40,MATCH($D1237,'통합 ④ 설정'!$B$6:$B$40,0)),"※없는 과목"))</f>
        <v/>
      </c>
      <c r="F1237" s="36" t="str">
        <f aca="false">IF($D1237="","",IFERROR(INDEX('통합 ④ 설정'!$C$6:$C$40,MATCH($D1237,'통합 ④ 설정'!$B$6:$B$40,0)),""))</f>
        <v/>
      </c>
      <c r="G1237" s="39"/>
      <c r="H1237" s="39"/>
      <c r="I1237" s="40"/>
      <c r="J1237" s="41"/>
      <c r="K1237" s="38"/>
      <c r="L1237" s="42" t="str">
        <f aca="false">IF($B1237="","",IF(AND(N($I1237)=0,N($J1237)=0),"금액이 없습니다",IF(AND($I1237&gt;0,$J1237&gt;0),"수입·지출 둘 다 적혔습니다",IF($C1237="","결제수단을 고르십시오",IF(ISNA(MATCH($C1237,'통합 ③ 통장·카드'!$A$5:$A$11,0)),"③ 통장·카드에 없는 결제수단입니다",IF($D1237="","계정과목을 고르십시오",IF($E1237="※없는 과목","④ 설정에 없는 과목입니다",IF(AND($E1237="수입",$J1237&gt;0),"수입 과목인데 지출에 적혔습니다",IF(AND(LEFT($E1237,2)&lt;&gt;"수입",$E1237&lt;&gt;"대체",$I1237&gt;0),"지출 과목인데 수입에 적혔습니다",IF($K1237="","증빙을 고르십시오",IF(AND($C1237="바우처통장",$J1237&gt;0,IFERROR(INDEX('통합 ④ 설정'!$E$6:$E$40,MATCH($D1237,'통합 ④ 설정'!$B$6:$B$40,0)),"")&lt;&gt;"○"),"바우처통장 지출 — 목적 확인",IF($H1237="","적요를 적으십시오",""))))))))))))</f>
        <v/>
      </c>
      <c r="M1237" s="39"/>
      <c r="O1237" s="11" t="str">
        <f aca="false">IF($B1237="","",YEAR($B1237)*100+MONTH($B1237))</f>
        <v/>
      </c>
      <c r="P1237" s="11" t="str">
        <f aca="false">IF($B1237="","",IF($E1237="대체",0,1))</f>
        <v/>
      </c>
    </row>
    <row r="1238" customFormat="false" ht="15" hidden="false" customHeight="false" outlineLevel="0" collapsed="false">
      <c r="A1238" s="36" t="str">
        <f aca="false">IF($B1238="","",COUNT($B$15:$B1238))</f>
        <v/>
      </c>
      <c r="B1238" s="37"/>
      <c r="C1238" s="38"/>
      <c r="D1238" s="39"/>
      <c r="E1238" s="36" t="str">
        <f aca="false">IF($D1238="","",IFERROR(INDEX('통합 ④ 설정'!$A$6:$A$40,MATCH($D1238,'통합 ④ 설정'!$B$6:$B$40,0)),"※없는 과목"))</f>
        <v/>
      </c>
      <c r="F1238" s="36" t="str">
        <f aca="false">IF($D1238="","",IFERROR(INDEX('통합 ④ 설정'!$C$6:$C$40,MATCH($D1238,'통합 ④ 설정'!$B$6:$B$40,0)),""))</f>
        <v/>
      </c>
      <c r="G1238" s="39"/>
      <c r="H1238" s="39"/>
      <c r="I1238" s="40"/>
      <c r="J1238" s="41"/>
      <c r="K1238" s="38"/>
      <c r="L1238" s="42" t="str">
        <f aca="false">IF($B1238="","",IF(AND(N($I1238)=0,N($J1238)=0),"금액이 없습니다",IF(AND($I1238&gt;0,$J1238&gt;0),"수입·지출 둘 다 적혔습니다",IF($C1238="","결제수단을 고르십시오",IF(ISNA(MATCH($C1238,'통합 ③ 통장·카드'!$A$5:$A$11,0)),"③ 통장·카드에 없는 결제수단입니다",IF($D1238="","계정과목을 고르십시오",IF($E1238="※없는 과목","④ 설정에 없는 과목입니다",IF(AND($E1238="수입",$J1238&gt;0),"수입 과목인데 지출에 적혔습니다",IF(AND(LEFT($E1238,2)&lt;&gt;"수입",$E1238&lt;&gt;"대체",$I1238&gt;0),"지출 과목인데 수입에 적혔습니다",IF($K1238="","증빙을 고르십시오",IF(AND($C1238="바우처통장",$J1238&gt;0,IFERROR(INDEX('통합 ④ 설정'!$E$6:$E$40,MATCH($D1238,'통합 ④ 설정'!$B$6:$B$40,0)),"")&lt;&gt;"○"),"바우처통장 지출 — 목적 확인",IF($H1238="","적요를 적으십시오",""))))))))))))</f>
        <v/>
      </c>
      <c r="M1238" s="39"/>
      <c r="O1238" s="11" t="str">
        <f aca="false">IF($B1238="","",YEAR($B1238)*100+MONTH($B1238))</f>
        <v/>
      </c>
      <c r="P1238" s="11" t="str">
        <f aca="false">IF($B1238="","",IF($E1238="대체",0,1))</f>
        <v/>
      </c>
    </row>
    <row r="1239" customFormat="false" ht="15" hidden="false" customHeight="false" outlineLevel="0" collapsed="false">
      <c r="A1239" s="36" t="str">
        <f aca="false">IF($B1239="","",COUNT($B$15:$B1239))</f>
        <v/>
      </c>
      <c r="B1239" s="37"/>
      <c r="C1239" s="38"/>
      <c r="D1239" s="39"/>
      <c r="E1239" s="36" t="str">
        <f aca="false">IF($D1239="","",IFERROR(INDEX('통합 ④ 설정'!$A$6:$A$40,MATCH($D1239,'통합 ④ 설정'!$B$6:$B$40,0)),"※없는 과목"))</f>
        <v/>
      </c>
      <c r="F1239" s="36" t="str">
        <f aca="false">IF($D1239="","",IFERROR(INDEX('통합 ④ 설정'!$C$6:$C$40,MATCH($D1239,'통합 ④ 설정'!$B$6:$B$40,0)),""))</f>
        <v/>
      </c>
      <c r="G1239" s="39"/>
      <c r="H1239" s="39"/>
      <c r="I1239" s="40"/>
      <c r="J1239" s="41"/>
      <c r="K1239" s="38"/>
      <c r="L1239" s="42" t="str">
        <f aca="false">IF($B1239="","",IF(AND(N($I1239)=0,N($J1239)=0),"금액이 없습니다",IF(AND($I1239&gt;0,$J1239&gt;0),"수입·지출 둘 다 적혔습니다",IF($C1239="","결제수단을 고르십시오",IF(ISNA(MATCH($C1239,'통합 ③ 통장·카드'!$A$5:$A$11,0)),"③ 통장·카드에 없는 결제수단입니다",IF($D1239="","계정과목을 고르십시오",IF($E1239="※없는 과목","④ 설정에 없는 과목입니다",IF(AND($E1239="수입",$J1239&gt;0),"수입 과목인데 지출에 적혔습니다",IF(AND(LEFT($E1239,2)&lt;&gt;"수입",$E1239&lt;&gt;"대체",$I1239&gt;0),"지출 과목인데 수입에 적혔습니다",IF($K1239="","증빙을 고르십시오",IF(AND($C1239="바우처통장",$J1239&gt;0,IFERROR(INDEX('통합 ④ 설정'!$E$6:$E$40,MATCH($D1239,'통합 ④ 설정'!$B$6:$B$40,0)),"")&lt;&gt;"○"),"바우처통장 지출 — 목적 확인",IF($H1239="","적요를 적으십시오",""))))))))))))</f>
        <v/>
      </c>
      <c r="M1239" s="39"/>
      <c r="O1239" s="11" t="str">
        <f aca="false">IF($B1239="","",YEAR($B1239)*100+MONTH($B1239))</f>
        <v/>
      </c>
      <c r="P1239" s="11" t="str">
        <f aca="false">IF($B1239="","",IF($E1239="대체",0,1))</f>
        <v/>
      </c>
    </row>
    <row r="1240" customFormat="false" ht="15" hidden="false" customHeight="false" outlineLevel="0" collapsed="false">
      <c r="A1240" s="36" t="str">
        <f aca="false">IF($B1240="","",COUNT($B$15:$B1240))</f>
        <v/>
      </c>
      <c r="B1240" s="37"/>
      <c r="C1240" s="38"/>
      <c r="D1240" s="39"/>
      <c r="E1240" s="36" t="str">
        <f aca="false">IF($D1240="","",IFERROR(INDEX('통합 ④ 설정'!$A$6:$A$40,MATCH($D1240,'통합 ④ 설정'!$B$6:$B$40,0)),"※없는 과목"))</f>
        <v/>
      </c>
      <c r="F1240" s="36" t="str">
        <f aca="false">IF($D1240="","",IFERROR(INDEX('통합 ④ 설정'!$C$6:$C$40,MATCH($D1240,'통합 ④ 설정'!$B$6:$B$40,0)),""))</f>
        <v/>
      </c>
      <c r="G1240" s="39"/>
      <c r="H1240" s="39"/>
      <c r="I1240" s="40"/>
      <c r="J1240" s="41"/>
      <c r="K1240" s="38"/>
      <c r="L1240" s="42" t="str">
        <f aca="false">IF($B1240="","",IF(AND(N($I1240)=0,N($J1240)=0),"금액이 없습니다",IF(AND($I1240&gt;0,$J1240&gt;0),"수입·지출 둘 다 적혔습니다",IF($C1240="","결제수단을 고르십시오",IF(ISNA(MATCH($C1240,'통합 ③ 통장·카드'!$A$5:$A$11,0)),"③ 통장·카드에 없는 결제수단입니다",IF($D1240="","계정과목을 고르십시오",IF($E1240="※없는 과목","④ 설정에 없는 과목입니다",IF(AND($E1240="수입",$J1240&gt;0),"수입 과목인데 지출에 적혔습니다",IF(AND(LEFT($E1240,2)&lt;&gt;"수입",$E1240&lt;&gt;"대체",$I1240&gt;0),"지출 과목인데 수입에 적혔습니다",IF($K1240="","증빙을 고르십시오",IF(AND($C1240="바우처통장",$J1240&gt;0,IFERROR(INDEX('통합 ④ 설정'!$E$6:$E$40,MATCH($D1240,'통합 ④ 설정'!$B$6:$B$40,0)),"")&lt;&gt;"○"),"바우처통장 지출 — 목적 확인",IF($H1240="","적요를 적으십시오",""))))))))))))</f>
        <v/>
      </c>
      <c r="M1240" s="39"/>
      <c r="O1240" s="11" t="str">
        <f aca="false">IF($B1240="","",YEAR($B1240)*100+MONTH($B1240))</f>
        <v/>
      </c>
      <c r="P1240" s="11" t="str">
        <f aca="false">IF($B1240="","",IF($E1240="대체",0,1))</f>
        <v/>
      </c>
    </row>
    <row r="1241" customFormat="false" ht="15" hidden="false" customHeight="false" outlineLevel="0" collapsed="false">
      <c r="A1241" s="36" t="str">
        <f aca="false">IF($B1241="","",COUNT($B$15:$B1241))</f>
        <v/>
      </c>
      <c r="B1241" s="37"/>
      <c r="C1241" s="38"/>
      <c r="D1241" s="39"/>
      <c r="E1241" s="36" t="str">
        <f aca="false">IF($D1241="","",IFERROR(INDEX('통합 ④ 설정'!$A$6:$A$40,MATCH($D1241,'통합 ④ 설정'!$B$6:$B$40,0)),"※없는 과목"))</f>
        <v/>
      </c>
      <c r="F1241" s="36" t="str">
        <f aca="false">IF($D1241="","",IFERROR(INDEX('통합 ④ 설정'!$C$6:$C$40,MATCH($D1241,'통합 ④ 설정'!$B$6:$B$40,0)),""))</f>
        <v/>
      </c>
      <c r="G1241" s="39"/>
      <c r="H1241" s="39"/>
      <c r="I1241" s="40"/>
      <c r="J1241" s="41"/>
      <c r="K1241" s="38"/>
      <c r="L1241" s="42" t="str">
        <f aca="false">IF($B1241="","",IF(AND(N($I1241)=0,N($J1241)=0),"금액이 없습니다",IF(AND($I1241&gt;0,$J1241&gt;0),"수입·지출 둘 다 적혔습니다",IF($C1241="","결제수단을 고르십시오",IF(ISNA(MATCH($C1241,'통합 ③ 통장·카드'!$A$5:$A$11,0)),"③ 통장·카드에 없는 결제수단입니다",IF($D1241="","계정과목을 고르십시오",IF($E1241="※없는 과목","④ 설정에 없는 과목입니다",IF(AND($E1241="수입",$J1241&gt;0),"수입 과목인데 지출에 적혔습니다",IF(AND(LEFT($E1241,2)&lt;&gt;"수입",$E1241&lt;&gt;"대체",$I1241&gt;0),"지출 과목인데 수입에 적혔습니다",IF($K1241="","증빙을 고르십시오",IF(AND($C1241="바우처통장",$J1241&gt;0,IFERROR(INDEX('통합 ④ 설정'!$E$6:$E$40,MATCH($D1241,'통합 ④ 설정'!$B$6:$B$40,0)),"")&lt;&gt;"○"),"바우처통장 지출 — 목적 확인",IF($H1241="","적요를 적으십시오",""))))))))))))</f>
        <v/>
      </c>
      <c r="M1241" s="39"/>
      <c r="O1241" s="11" t="str">
        <f aca="false">IF($B1241="","",YEAR($B1241)*100+MONTH($B1241))</f>
        <v/>
      </c>
      <c r="P1241" s="11" t="str">
        <f aca="false">IF($B1241="","",IF($E1241="대체",0,1))</f>
        <v/>
      </c>
    </row>
    <row r="1242" customFormat="false" ht="15" hidden="false" customHeight="false" outlineLevel="0" collapsed="false">
      <c r="A1242" s="36" t="str">
        <f aca="false">IF($B1242="","",COUNT($B$15:$B1242))</f>
        <v/>
      </c>
      <c r="B1242" s="37"/>
      <c r="C1242" s="38"/>
      <c r="D1242" s="39"/>
      <c r="E1242" s="36" t="str">
        <f aca="false">IF($D1242="","",IFERROR(INDEX('통합 ④ 설정'!$A$6:$A$40,MATCH($D1242,'통합 ④ 설정'!$B$6:$B$40,0)),"※없는 과목"))</f>
        <v/>
      </c>
      <c r="F1242" s="36" t="str">
        <f aca="false">IF($D1242="","",IFERROR(INDEX('통합 ④ 설정'!$C$6:$C$40,MATCH($D1242,'통합 ④ 설정'!$B$6:$B$40,0)),""))</f>
        <v/>
      </c>
      <c r="G1242" s="39"/>
      <c r="H1242" s="39"/>
      <c r="I1242" s="40"/>
      <c r="J1242" s="41"/>
      <c r="K1242" s="38"/>
      <c r="L1242" s="42" t="str">
        <f aca="false">IF($B1242="","",IF(AND(N($I1242)=0,N($J1242)=0),"금액이 없습니다",IF(AND($I1242&gt;0,$J1242&gt;0),"수입·지출 둘 다 적혔습니다",IF($C1242="","결제수단을 고르십시오",IF(ISNA(MATCH($C1242,'통합 ③ 통장·카드'!$A$5:$A$11,0)),"③ 통장·카드에 없는 결제수단입니다",IF($D1242="","계정과목을 고르십시오",IF($E1242="※없는 과목","④ 설정에 없는 과목입니다",IF(AND($E1242="수입",$J1242&gt;0),"수입 과목인데 지출에 적혔습니다",IF(AND(LEFT($E1242,2)&lt;&gt;"수입",$E1242&lt;&gt;"대체",$I1242&gt;0),"지출 과목인데 수입에 적혔습니다",IF($K1242="","증빙을 고르십시오",IF(AND($C1242="바우처통장",$J1242&gt;0,IFERROR(INDEX('통합 ④ 설정'!$E$6:$E$40,MATCH($D1242,'통합 ④ 설정'!$B$6:$B$40,0)),"")&lt;&gt;"○"),"바우처통장 지출 — 목적 확인",IF($H1242="","적요를 적으십시오",""))))))))))))</f>
        <v/>
      </c>
      <c r="M1242" s="39"/>
      <c r="O1242" s="11" t="str">
        <f aca="false">IF($B1242="","",YEAR($B1242)*100+MONTH($B1242))</f>
        <v/>
      </c>
      <c r="P1242" s="11" t="str">
        <f aca="false">IF($B1242="","",IF($E1242="대체",0,1))</f>
        <v/>
      </c>
    </row>
    <row r="1243" customFormat="false" ht="15" hidden="false" customHeight="false" outlineLevel="0" collapsed="false">
      <c r="A1243" s="36" t="str">
        <f aca="false">IF($B1243="","",COUNT($B$15:$B1243))</f>
        <v/>
      </c>
      <c r="B1243" s="37"/>
      <c r="C1243" s="38"/>
      <c r="D1243" s="39"/>
      <c r="E1243" s="36" t="str">
        <f aca="false">IF($D1243="","",IFERROR(INDEX('통합 ④ 설정'!$A$6:$A$40,MATCH($D1243,'통합 ④ 설정'!$B$6:$B$40,0)),"※없는 과목"))</f>
        <v/>
      </c>
      <c r="F1243" s="36" t="str">
        <f aca="false">IF($D1243="","",IFERROR(INDEX('통합 ④ 설정'!$C$6:$C$40,MATCH($D1243,'통합 ④ 설정'!$B$6:$B$40,0)),""))</f>
        <v/>
      </c>
      <c r="G1243" s="39"/>
      <c r="H1243" s="39"/>
      <c r="I1243" s="40"/>
      <c r="J1243" s="41"/>
      <c r="K1243" s="38"/>
      <c r="L1243" s="42" t="str">
        <f aca="false">IF($B1243="","",IF(AND(N($I1243)=0,N($J1243)=0),"금액이 없습니다",IF(AND($I1243&gt;0,$J1243&gt;0),"수입·지출 둘 다 적혔습니다",IF($C1243="","결제수단을 고르십시오",IF(ISNA(MATCH($C1243,'통합 ③ 통장·카드'!$A$5:$A$11,0)),"③ 통장·카드에 없는 결제수단입니다",IF($D1243="","계정과목을 고르십시오",IF($E1243="※없는 과목","④ 설정에 없는 과목입니다",IF(AND($E1243="수입",$J1243&gt;0),"수입 과목인데 지출에 적혔습니다",IF(AND(LEFT($E1243,2)&lt;&gt;"수입",$E1243&lt;&gt;"대체",$I1243&gt;0),"지출 과목인데 수입에 적혔습니다",IF($K1243="","증빙을 고르십시오",IF(AND($C1243="바우처통장",$J1243&gt;0,IFERROR(INDEX('통합 ④ 설정'!$E$6:$E$40,MATCH($D1243,'통합 ④ 설정'!$B$6:$B$40,0)),"")&lt;&gt;"○"),"바우처통장 지출 — 목적 확인",IF($H1243="","적요를 적으십시오",""))))))))))))</f>
        <v/>
      </c>
      <c r="M1243" s="39"/>
      <c r="O1243" s="11" t="str">
        <f aca="false">IF($B1243="","",YEAR($B1243)*100+MONTH($B1243))</f>
        <v/>
      </c>
      <c r="P1243" s="11" t="str">
        <f aca="false">IF($B1243="","",IF($E1243="대체",0,1))</f>
        <v/>
      </c>
    </row>
    <row r="1244" customFormat="false" ht="15" hidden="false" customHeight="false" outlineLevel="0" collapsed="false">
      <c r="A1244" s="36" t="str">
        <f aca="false">IF($B1244="","",COUNT($B$15:$B1244))</f>
        <v/>
      </c>
      <c r="B1244" s="37"/>
      <c r="C1244" s="38"/>
      <c r="D1244" s="39"/>
      <c r="E1244" s="36" t="str">
        <f aca="false">IF($D1244="","",IFERROR(INDEX('통합 ④ 설정'!$A$6:$A$40,MATCH($D1244,'통합 ④ 설정'!$B$6:$B$40,0)),"※없는 과목"))</f>
        <v/>
      </c>
      <c r="F1244" s="36" t="str">
        <f aca="false">IF($D1244="","",IFERROR(INDEX('통합 ④ 설정'!$C$6:$C$40,MATCH($D1244,'통합 ④ 설정'!$B$6:$B$40,0)),""))</f>
        <v/>
      </c>
      <c r="G1244" s="39"/>
      <c r="H1244" s="39"/>
      <c r="I1244" s="40"/>
      <c r="J1244" s="41"/>
      <c r="K1244" s="38"/>
      <c r="L1244" s="42" t="str">
        <f aca="false">IF($B1244="","",IF(AND(N($I1244)=0,N($J1244)=0),"금액이 없습니다",IF(AND($I1244&gt;0,$J1244&gt;0),"수입·지출 둘 다 적혔습니다",IF($C1244="","결제수단을 고르십시오",IF(ISNA(MATCH($C1244,'통합 ③ 통장·카드'!$A$5:$A$11,0)),"③ 통장·카드에 없는 결제수단입니다",IF($D1244="","계정과목을 고르십시오",IF($E1244="※없는 과목","④ 설정에 없는 과목입니다",IF(AND($E1244="수입",$J1244&gt;0),"수입 과목인데 지출에 적혔습니다",IF(AND(LEFT($E1244,2)&lt;&gt;"수입",$E1244&lt;&gt;"대체",$I1244&gt;0),"지출 과목인데 수입에 적혔습니다",IF($K1244="","증빙을 고르십시오",IF(AND($C1244="바우처통장",$J1244&gt;0,IFERROR(INDEX('통합 ④ 설정'!$E$6:$E$40,MATCH($D1244,'통합 ④ 설정'!$B$6:$B$40,0)),"")&lt;&gt;"○"),"바우처통장 지출 — 목적 확인",IF($H1244="","적요를 적으십시오",""))))))))))))</f>
        <v/>
      </c>
      <c r="M1244" s="39"/>
      <c r="O1244" s="11" t="str">
        <f aca="false">IF($B1244="","",YEAR($B1244)*100+MONTH($B1244))</f>
        <v/>
      </c>
      <c r="P1244" s="11" t="str">
        <f aca="false">IF($B1244="","",IF($E1244="대체",0,1))</f>
        <v/>
      </c>
    </row>
    <row r="1245" customFormat="false" ht="15" hidden="false" customHeight="false" outlineLevel="0" collapsed="false">
      <c r="A1245" s="36" t="str">
        <f aca="false">IF($B1245="","",COUNT($B$15:$B1245))</f>
        <v/>
      </c>
      <c r="B1245" s="37"/>
      <c r="C1245" s="38"/>
      <c r="D1245" s="39"/>
      <c r="E1245" s="36" t="str">
        <f aca="false">IF($D1245="","",IFERROR(INDEX('통합 ④ 설정'!$A$6:$A$40,MATCH($D1245,'통합 ④ 설정'!$B$6:$B$40,0)),"※없는 과목"))</f>
        <v/>
      </c>
      <c r="F1245" s="36" t="str">
        <f aca="false">IF($D1245="","",IFERROR(INDEX('통합 ④ 설정'!$C$6:$C$40,MATCH($D1245,'통합 ④ 설정'!$B$6:$B$40,0)),""))</f>
        <v/>
      </c>
      <c r="G1245" s="39"/>
      <c r="H1245" s="39"/>
      <c r="I1245" s="40"/>
      <c r="J1245" s="41"/>
      <c r="K1245" s="38"/>
      <c r="L1245" s="42" t="str">
        <f aca="false">IF($B1245="","",IF(AND(N($I1245)=0,N($J1245)=0),"금액이 없습니다",IF(AND($I1245&gt;0,$J1245&gt;0),"수입·지출 둘 다 적혔습니다",IF($C1245="","결제수단을 고르십시오",IF(ISNA(MATCH($C1245,'통합 ③ 통장·카드'!$A$5:$A$11,0)),"③ 통장·카드에 없는 결제수단입니다",IF($D1245="","계정과목을 고르십시오",IF($E1245="※없는 과목","④ 설정에 없는 과목입니다",IF(AND($E1245="수입",$J1245&gt;0),"수입 과목인데 지출에 적혔습니다",IF(AND(LEFT($E1245,2)&lt;&gt;"수입",$E1245&lt;&gt;"대체",$I1245&gt;0),"지출 과목인데 수입에 적혔습니다",IF($K1245="","증빙을 고르십시오",IF(AND($C1245="바우처통장",$J1245&gt;0,IFERROR(INDEX('통합 ④ 설정'!$E$6:$E$40,MATCH($D1245,'통합 ④ 설정'!$B$6:$B$40,0)),"")&lt;&gt;"○"),"바우처통장 지출 — 목적 확인",IF($H1245="","적요를 적으십시오",""))))))))))))</f>
        <v/>
      </c>
      <c r="M1245" s="39"/>
      <c r="O1245" s="11" t="str">
        <f aca="false">IF($B1245="","",YEAR($B1245)*100+MONTH($B1245))</f>
        <v/>
      </c>
      <c r="P1245" s="11" t="str">
        <f aca="false">IF($B1245="","",IF($E1245="대체",0,1))</f>
        <v/>
      </c>
    </row>
    <row r="1246" customFormat="false" ht="15" hidden="false" customHeight="false" outlineLevel="0" collapsed="false">
      <c r="A1246" s="36" t="str">
        <f aca="false">IF($B1246="","",COUNT($B$15:$B1246))</f>
        <v/>
      </c>
      <c r="B1246" s="37"/>
      <c r="C1246" s="38"/>
      <c r="D1246" s="39"/>
      <c r="E1246" s="36" t="str">
        <f aca="false">IF($D1246="","",IFERROR(INDEX('통합 ④ 설정'!$A$6:$A$40,MATCH($D1246,'통합 ④ 설정'!$B$6:$B$40,0)),"※없는 과목"))</f>
        <v/>
      </c>
      <c r="F1246" s="36" t="str">
        <f aca="false">IF($D1246="","",IFERROR(INDEX('통합 ④ 설정'!$C$6:$C$40,MATCH($D1246,'통합 ④ 설정'!$B$6:$B$40,0)),""))</f>
        <v/>
      </c>
      <c r="G1246" s="39"/>
      <c r="H1246" s="39"/>
      <c r="I1246" s="40"/>
      <c r="J1246" s="41"/>
      <c r="K1246" s="38"/>
      <c r="L1246" s="42" t="str">
        <f aca="false">IF($B1246="","",IF(AND(N($I1246)=0,N($J1246)=0),"금액이 없습니다",IF(AND($I1246&gt;0,$J1246&gt;0),"수입·지출 둘 다 적혔습니다",IF($C1246="","결제수단을 고르십시오",IF(ISNA(MATCH($C1246,'통합 ③ 통장·카드'!$A$5:$A$11,0)),"③ 통장·카드에 없는 결제수단입니다",IF($D1246="","계정과목을 고르십시오",IF($E1246="※없는 과목","④ 설정에 없는 과목입니다",IF(AND($E1246="수입",$J1246&gt;0),"수입 과목인데 지출에 적혔습니다",IF(AND(LEFT($E1246,2)&lt;&gt;"수입",$E1246&lt;&gt;"대체",$I1246&gt;0),"지출 과목인데 수입에 적혔습니다",IF($K1246="","증빙을 고르십시오",IF(AND($C1246="바우처통장",$J1246&gt;0,IFERROR(INDEX('통합 ④ 설정'!$E$6:$E$40,MATCH($D1246,'통합 ④ 설정'!$B$6:$B$40,0)),"")&lt;&gt;"○"),"바우처통장 지출 — 목적 확인",IF($H1246="","적요를 적으십시오",""))))))))))))</f>
        <v/>
      </c>
      <c r="M1246" s="39"/>
      <c r="O1246" s="11" t="str">
        <f aca="false">IF($B1246="","",YEAR($B1246)*100+MONTH($B1246))</f>
        <v/>
      </c>
      <c r="P1246" s="11" t="str">
        <f aca="false">IF($B1246="","",IF($E1246="대체",0,1))</f>
        <v/>
      </c>
    </row>
    <row r="1247" customFormat="false" ht="15" hidden="false" customHeight="false" outlineLevel="0" collapsed="false">
      <c r="A1247" s="36" t="str">
        <f aca="false">IF($B1247="","",COUNT($B$15:$B1247))</f>
        <v/>
      </c>
      <c r="B1247" s="37"/>
      <c r="C1247" s="38"/>
      <c r="D1247" s="39"/>
      <c r="E1247" s="36" t="str">
        <f aca="false">IF($D1247="","",IFERROR(INDEX('통합 ④ 설정'!$A$6:$A$40,MATCH($D1247,'통합 ④ 설정'!$B$6:$B$40,0)),"※없는 과목"))</f>
        <v/>
      </c>
      <c r="F1247" s="36" t="str">
        <f aca="false">IF($D1247="","",IFERROR(INDEX('통합 ④ 설정'!$C$6:$C$40,MATCH($D1247,'통합 ④ 설정'!$B$6:$B$40,0)),""))</f>
        <v/>
      </c>
      <c r="G1247" s="39"/>
      <c r="H1247" s="39"/>
      <c r="I1247" s="40"/>
      <c r="J1247" s="41"/>
      <c r="K1247" s="38"/>
      <c r="L1247" s="42" t="str">
        <f aca="false">IF($B1247="","",IF(AND(N($I1247)=0,N($J1247)=0),"금액이 없습니다",IF(AND($I1247&gt;0,$J1247&gt;0),"수입·지출 둘 다 적혔습니다",IF($C1247="","결제수단을 고르십시오",IF(ISNA(MATCH($C1247,'통합 ③ 통장·카드'!$A$5:$A$11,0)),"③ 통장·카드에 없는 결제수단입니다",IF($D1247="","계정과목을 고르십시오",IF($E1247="※없는 과목","④ 설정에 없는 과목입니다",IF(AND($E1247="수입",$J1247&gt;0),"수입 과목인데 지출에 적혔습니다",IF(AND(LEFT($E1247,2)&lt;&gt;"수입",$E1247&lt;&gt;"대체",$I1247&gt;0),"지출 과목인데 수입에 적혔습니다",IF($K1247="","증빙을 고르십시오",IF(AND($C1247="바우처통장",$J1247&gt;0,IFERROR(INDEX('통합 ④ 설정'!$E$6:$E$40,MATCH($D1247,'통합 ④ 설정'!$B$6:$B$40,0)),"")&lt;&gt;"○"),"바우처통장 지출 — 목적 확인",IF($H1247="","적요를 적으십시오",""))))))))))))</f>
        <v/>
      </c>
      <c r="M1247" s="39"/>
      <c r="O1247" s="11" t="str">
        <f aca="false">IF($B1247="","",YEAR($B1247)*100+MONTH($B1247))</f>
        <v/>
      </c>
      <c r="P1247" s="11" t="str">
        <f aca="false">IF($B1247="","",IF($E1247="대체",0,1))</f>
        <v/>
      </c>
    </row>
    <row r="1248" customFormat="false" ht="15" hidden="false" customHeight="false" outlineLevel="0" collapsed="false">
      <c r="A1248" s="36" t="str">
        <f aca="false">IF($B1248="","",COUNT($B$15:$B1248))</f>
        <v/>
      </c>
      <c r="B1248" s="37"/>
      <c r="C1248" s="38"/>
      <c r="D1248" s="39"/>
      <c r="E1248" s="36" t="str">
        <f aca="false">IF($D1248="","",IFERROR(INDEX('통합 ④ 설정'!$A$6:$A$40,MATCH($D1248,'통합 ④ 설정'!$B$6:$B$40,0)),"※없는 과목"))</f>
        <v/>
      </c>
      <c r="F1248" s="36" t="str">
        <f aca="false">IF($D1248="","",IFERROR(INDEX('통합 ④ 설정'!$C$6:$C$40,MATCH($D1248,'통합 ④ 설정'!$B$6:$B$40,0)),""))</f>
        <v/>
      </c>
      <c r="G1248" s="39"/>
      <c r="H1248" s="39"/>
      <c r="I1248" s="40"/>
      <c r="J1248" s="41"/>
      <c r="K1248" s="38"/>
      <c r="L1248" s="42" t="str">
        <f aca="false">IF($B1248="","",IF(AND(N($I1248)=0,N($J1248)=0),"금액이 없습니다",IF(AND($I1248&gt;0,$J1248&gt;0),"수입·지출 둘 다 적혔습니다",IF($C1248="","결제수단을 고르십시오",IF(ISNA(MATCH($C1248,'통합 ③ 통장·카드'!$A$5:$A$11,0)),"③ 통장·카드에 없는 결제수단입니다",IF($D1248="","계정과목을 고르십시오",IF($E1248="※없는 과목","④ 설정에 없는 과목입니다",IF(AND($E1248="수입",$J1248&gt;0),"수입 과목인데 지출에 적혔습니다",IF(AND(LEFT($E1248,2)&lt;&gt;"수입",$E1248&lt;&gt;"대체",$I1248&gt;0),"지출 과목인데 수입에 적혔습니다",IF($K1248="","증빙을 고르십시오",IF(AND($C1248="바우처통장",$J1248&gt;0,IFERROR(INDEX('통합 ④ 설정'!$E$6:$E$40,MATCH($D1248,'통합 ④ 설정'!$B$6:$B$40,0)),"")&lt;&gt;"○"),"바우처통장 지출 — 목적 확인",IF($H1248="","적요를 적으십시오",""))))))))))))</f>
        <v/>
      </c>
      <c r="M1248" s="39"/>
      <c r="O1248" s="11" t="str">
        <f aca="false">IF($B1248="","",YEAR($B1248)*100+MONTH($B1248))</f>
        <v/>
      </c>
      <c r="P1248" s="11" t="str">
        <f aca="false">IF($B1248="","",IF($E1248="대체",0,1))</f>
        <v/>
      </c>
    </row>
    <row r="1249" customFormat="false" ht="15" hidden="false" customHeight="false" outlineLevel="0" collapsed="false">
      <c r="A1249" s="36" t="str">
        <f aca="false">IF($B1249="","",COUNT($B$15:$B1249))</f>
        <v/>
      </c>
      <c r="B1249" s="37"/>
      <c r="C1249" s="38"/>
      <c r="D1249" s="39"/>
      <c r="E1249" s="36" t="str">
        <f aca="false">IF($D1249="","",IFERROR(INDEX('통합 ④ 설정'!$A$6:$A$40,MATCH($D1249,'통합 ④ 설정'!$B$6:$B$40,0)),"※없는 과목"))</f>
        <v/>
      </c>
      <c r="F1249" s="36" t="str">
        <f aca="false">IF($D1249="","",IFERROR(INDEX('통합 ④ 설정'!$C$6:$C$40,MATCH($D1249,'통합 ④ 설정'!$B$6:$B$40,0)),""))</f>
        <v/>
      </c>
      <c r="G1249" s="39"/>
      <c r="H1249" s="39"/>
      <c r="I1249" s="40"/>
      <c r="J1249" s="41"/>
      <c r="K1249" s="38"/>
      <c r="L1249" s="42" t="str">
        <f aca="false">IF($B1249="","",IF(AND(N($I1249)=0,N($J1249)=0),"금액이 없습니다",IF(AND($I1249&gt;0,$J1249&gt;0),"수입·지출 둘 다 적혔습니다",IF($C1249="","결제수단을 고르십시오",IF(ISNA(MATCH($C1249,'통합 ③ 통장·카드'!$A$5:$A$11,0)),"③ 통장·카드에 없는 결제수단입니다",IF($D1249="","계정과목을 고르십시오",IF($E1249="※없는 과목","④ 설정에 없는 과목입니다",IF(AND($E1249="수입",$J1249&gt;0),"수입 과목인데 지출에 적혔습니다",IF(AND(LEFT($E1249,2)&lt;&gt;"수입",$E1249&lt;&gt;"대체",$I1249&gt;0),"지출 과목인데 수입에 적혔습니다",IF($K1249="","증빙을 고르십시오",IF(AND($C1249="바우처통장",$J1249&gt;0,IFERROR(INDEX('통합 ④ 설정'!$E$6:$E$40,MATCH($D1249,'통합 ④ 설정'!$B$6:$B$40,0)),"")&lt;&gt;"○"),"바우처통장 지출 — 목적 확인",IF($H1249="","적요를 적으십시오",""))))))))))))</f>
        <v/>
      </c>
      <c r="M1249" s="39"/>
      <c r="O1249" s="11" t="str">
        <f aca="false">IF($B1249="","",YEAR($B1249)*100+MONTH($B1249))</f>
        <v/>
      </c>
      <c r="P1249" s="11" t="str">
        <f aca="false">IF($B1249="","",IF($E1249="대체",0,1))</f>
        <v/>
      </c>
    </row>
    <row r="1250" customFormat="false" ht="15" hidden="false" customHeight="false" outlineLevel="0" collapsed="false">
      <c r="A1250" s="36" t="str">
        <f aca="false">IF($B1250="","",COUNT($B$15:$B1250))</f>
        <v/>
      </c>
      <c r="B1250" s="37"/>
      <c r="C1250" s="38"/>
      <c r="D1250" s="39"/>
      <c r="E1250" s="36" t="str">
        <f aca="false">IF($D1250="","",IFERROR(INDEX('통합 ④ 설정'!$A$6:$A$40,MATCH($D1250,'통합 ④ 설정'!$B$6:$B$40,0)),"※없는 과목"))</f>
        <v/>
      </c>
      <c r="F1250" s="36" t="str">
        <f aca="false">IF($D1250="","",IFERROR(INDEX('통합 ④ 설정'!$C$6:$C$40,MATCH($D1250,'통합 ④ 설정'!$B$6:$B$40,0)),""))</f>
        <v/>
      </c>
      <c r="G1250" s="39"/>
      <c r="H1250" s="39"/>
      <c r="I1250" s="40"/>
      <c r="J1250" s="41"/>
      <c r="K1250" s="38"/>
      <c r="L1250" s="42" t="str">
        <f aca="false">IF($B1250="","",IF(AND(N($I1250)=0,N($J1250)=0),"금액이 없습니다",IF(AND($I1250&gt;0,$J1250&gt;0),"수입·지출 둘 다 적혔습니다",IF($C1250="","결제수단을 고르십시오",IF(ISNA(MATCH($C1250,'통합 ③ 통장·카드'!$A$5:$A$11,0)),"③ 통장·카드에 없는 결제수단입니다",IF($D1250="","계정과목을 고르십시오",IF($E1250="※없는 과목","④ 설정에 없는 과목입니다",IF(AND($E1250="수입",$J1250&gt;0),"수입 과목인데 지출에 적혔습니다",IF(AND(LEFT($E1250,2)&lt;&gt;"수입",$E1250&lt;&gt;"대체",$I1250&gt;0),"지출 과목인데 수입에 적혔습니다",IF($K1250="","증빙을 고르십시오",IF(AND($C1250="바우처통장",$J1250&gt;0,IFERROR(INDEX('통합 ④ 설정'!$E$6:$E$40,MATCH($D1250,'통합 ④ 설정'!$B$6:$B$40,0)),"")&lt;&gt;"○"),"바우처통장 지출 — 목적 확인",IF($H1250="","적요를 적으십시오",""))))))))))))</f>
        <v/>
      </c>
      <c r="M1250" s="39"/>
      <c r="O1250" s="11" t="str">
        <f aca="false">IF($B1250="","",YEAR($B1250)*100+MONTH($B1250))</f>
        <v/>
      </c>
      <c r="P1250" s="11" t="str">
        <f aca="false">IF($B1250="","",IF($E1250="대체",0,1))</f>
        <v/>
      </c>
    </row>
    <row r="1251" customFormat="false" ht="15" hidden="false" customHeight="false" outlineLevel="0" collapsed="false">
      <c r="A1251" s="36" t="str">
        <f aca="false">IF($B1251="","",COUNT($B$15:$B1251))</f>
        <v/>
      </c>
      <c r="B1251" s="37"/>
      <c r="C1251" s="38"/>
      <c r="D1251" s="39"/>
      <c r="E1251" s="36" t="str">
        <f aca="false">IF($D1251="","",IFERROR(INDEX('통합 ④ 설정'!$A$6:$A$40,MATCH($D1251,'통합 ④ 설정'!$B$6:$B$40,0)),"※없는 과목"))</f>
        <v/>
      </c>
      <c r="F1251" s="36" t="str">
        <f aca="false">IF($D1251="","",IFERROR(INDEX('통합 ④ 설정'!$C$6:$C$40,MATCH($D1251,'통합 ④ 설정'!$B$6:$B$40,0)),""))</f>
        <v/>
      </c>
      <c r="G1251" s="39"/>
      <c r="H1251" s="39"/>
      <c r="I1251" s="40"/>
      <c r="J1251" s="41"/>
      <c r="K1251" s="38"/>
      <c r="L1251" s="42" t="str">
        <f aca="false">IF($B1251="","",IF(AND(N($I1251)=0,N($J1251)=0),"금액이 없습니다",IF(AND($I1251&gt;0,$J1251&gt;0),"수입·지출 둘 다 적혔습니다",IF($C1251="","결제수단을 고르십시오",IF(ISNA(MATCH($C1251,'통합 ③ 통장·카드'!$A$5:$A$11,0)),"③ 통장·카드에 없는 결제수단입니다",IF($D1251="","계정과목을 고르십시오",IF($E1251="※없는 과목","④ 설정에 없는 과목입니다",IF(AND($E1251="수입",$J1251&gt;0),"수입 과목인데 지출에 적혔습니다",IF(AND(LEFT($E1251,2)&lt;&gt;"수입",$E1251&lt;&gt;"대체",$I1251&gt;0),"지출 과목인데 수입에 적혔습니다",IF($K1251="","증빙을 고르십시오",IF(AND($C1251="바우처통장",$J1251&gt;0,IFERROR(INDEX('통합 ④ 설정'!$E$6:$E$40,MATCH($D1251,'통합 ④ 설정'!$B$6:$B$40,0)),"")&lt;&gt;"○"),"바우처통장 지출 — 목적 확인",IF($H1251="","적요를 적으십시오",""))))))))))))</f>
        <v/>
      </c>
      <c r="M1251" s="39"/>
      <c r="O1251" s="11" t="str">
        <f aca="false">IF($B1251="","",YEAR($B1251)*100+MONTH($B1251))</f>
        <v/>
      </c>
      <c r="P1251" s="11" t="str">
        <f aca="false">IF($B1251="","",IF($E1251="대체",0,1))</f>
        <v/>
      </c>
    </row>
    <row r="1252" customFormat="false" ht="15" hidden="false" customHeight="false" outlineLevel="0" collapsed="false">
      <c r="A1252" s="36" t="str">
        <f aca="false">IF($B1252="","",COUNT($B$15:$B1252))</f>
        <v/>
      </c>
      <c r="B1252" s="37"/>
      <c r="C1252" s="38"/>
      <c r="D1252" s="39"/>
      <c r="E1252" s="36" t="str">
        <f aca="false">IF($D1252="","",IFERROR(INDEX('통합 ④ 설정'!$A$6:$A$40,MATCH($D1252,'통합 ④ 설정'!$B$6:$B$40,0)),"※없는 과목"))</f>
        <v/>
      </c>
      <c r="F1252" s="36" t="str">
        <f aca="false">IF($D1252="","",IFERROR(INDEX('통합 ④ 설정'!$C$6:$C$40,MATCH($D1252,'통합 ④ 설정'!$B$6:$B$40,0)),""))</f>
        <v/>
      </c>
      <c r="G1252" s="39"/>
      <c r="H1252" s="39"/>
      <c r="I1252" s="40"/>
      <c r="J1252" s="41"/>
      <c r="K1252" s="38"/>
      <c r="L1252" s="42" t="str">
        <f aca="false">IF($B1252="","",IF(AND(N($I1252)=0,N($J1252)=0),"금액이 없습니다",IF(AND($I1252&gt;0,$J1252&gt;0),"수입·지출 둘 다 적혔습니다",IF($C1252="","결제수단을 고르십시오",IF(ISNA(MATCH($C1252,'통합 ③ 통장·카드'!$A$5:$A$11,0)),"③ 통장·카드에 없는 결제수단입니다",IF($D1252="","계정과목을 고르십시오",IF($E1252="※없는 과목","④ 설정에 없는 과목입니다",IF(AND($E1252="수입",$J1252&gt;0),"수입 과목인데 지출에 적혔습니다",IF(AND(LEFT($E1252,2)&lt;&gt;"수입",$E1252&lt;&gt;"대체",$I1252&gt;0),"지출 과목인데 수입에 적혔습니다",IF($K1252="","증빙을 고르십시오",IF(AND($C1252="바우처통장",$J1252&gt;0,IFERROR(INDEX('통합 ④ 설정'!$E$6:$E$40,MATCH($D1252,'통합 ④ 설정'!$B$6:$B$40,0)),"")&lt;&gt;"○"),"바우처통장 지출 — 목적 확인",IF($H1252="","적요를 적으십시오",""))))))))))))</f>
        <v/>
      </c>
      <c r="M1252" s="39"/>
      <c r="O1252" s="11" t="str">
        <f aca="false">IF($B1252="","",YEAR($B1252)*100+MONTH($B1252))</f>
        <v/>
      </c>
      <c r="P1252" s="11" t="str">
        <f aca="false">IF($B1252="","",IF($E1252="대체",0,1))</f>
        <v/>
      </c>
    </row>
    <row r="1253" customFormat="false" ht="15" hidden="false" customHeight="false" outlineLevel="0" collapsed="false">
      <c r="A1253" s="36" t="str">
        <f aca="false">IF($B1253="","",COUNT($B$15:$B1253))</f>
        <v/>
      </c>
      <c r="B1253" s="37"/>
      <c r="C1253" s="38"/>
      <c r="D1253" s="39"/>
      <c r="E1253" s="36" t="str">
        <f aca="false">IF($D1253="","",IFERROR(INDEX('통합 ④ 설정'!$A$6:$A$40,MATCH($D1253,'통합 ④ 설정'!$B$6:$B$40,0)),"※없는 과목"))</f>
        <v/>
      </c>
      <c r="F1253" s="36" t="str">
        <f aca="false">IF($D1253="","",IFERROR(INDEX('통합 ④ 설정'!$C$6:$C$40,MATCH($D1253,'통합 ④ 설정'!$B$6:$B$40,0)),""))</f>
        <v/>
      </c>
      <c r="G1253" s="39"/>
      <c r="H1253" s="39"/>
      <c r="I1253" s="40"/>
      <c r="J1253" s="41"/>
      <c r="K1253" s="38"/>
      <c r="L1253" s="42" t="str">
        <f aca="false">IF($B1253="","",IF(AND(N($I1253)=0,N($J1253)=0),"금액이 없습니다",IF(AND($I1253&gt;0,$J1253&gt;0),"수입·지출 둘 다 적혔습니다",IF($C1253="","결제수단을 고르십시오",IF(ISNA(MATCH($C1253,'통합 ③ 통장·카드'!$A$5:$A$11,0)),"③ 통장·카드에 없는 결제수단입니다",IF($D1253="","계정과목을 고르십시오",IF($E1253="※없는 과목","④ 설정에 없는 과목입니다",IF(AND($E1253="수입",$J1253&gt;0),"수입 과목인데 지출에 적혔습니다",IF(AND(LEFT($E1253,2)&lt;&gt;"수입",$E1253&lt;&gt;"대체",$I1253&gt;0),"지출 과목인데 수입에 적혔습니다",IF($K1253="","증빙을 고르십시오",IF(AND($C1253="바우처통장",$J1253&gt;0,IFERROR(INDEX('통합 ④ 설정'!$E$6:$E$40,MATCH($D1253,'통합 ④ 설정'!$B$6:$B$40,0)),"")&lt;&gt;"○"),"바우처통장 지출 — 목적 확인",IF($H1253="","적요를 적으십시오",""))))))))))))</f>
        <v/>
      </c>
      <c r="M1253" s="39"/>
      <c r="O1253" s="11" t="str">
        <f aca="false">IF($B1253="","",YEAR($B1253)*100+MONTH($B1253))</f>
        <v/>
      </c>
      <c r="P1253" s="11" t="str">
        <f aca="false">IF($B1253="","",IF($E1253="대체",0,1))</f>
        <v/>
      </c>
    </row>
    <row r="1254" customFormat="false" ht="15" hidden="false" customHeight="false" outlineLevel="0" collapsed="false">
      <c r="A1254" s="36" t="str">
        <f aca="false">IF($B1254="","",COUNT($B$15:$B1254))</f>
        <v/>
      </c>
      <c r="B1254" s="37"/>
      <c r="C1254" s="38"/>
      <c r="D1254" s="39"/>
      <c r="E1254" s="36" t="str">
        <f aca="false">IF($D1254="","",IFERROR(INDEX('통합 ④ 설정'!$A$6:$A$40,MATCH($D1254,'통합 ④ 설정'!$B$6:$B$40,0)),"※없는 과목"))</f>
        <v/>
      </c>
      <c r="F1254" s="36" t="str">
        <f aca="false">IF($D1254="","",IFERROR(INDEX('통합 ④ 설정'!$C$6:$C$40,MATCH($D1254,'통합 ④ 설정'!$B$6:$B$40,0)),""))</f>
        <v/>
      </c>
      <c r="G1254" s="39"/>
      <c r="H1254" s="39"/>
      <c r="I1254" s="40"/>
      <c r="J1254" s="41"/>
      <c r="K1254" s="38"/>
      <c r="L1254" s="42" t="str">
        <f aca="false">IF($B1254="","",IF(AND(N($I1254)=0,N($J1254)=0),"금액이 없습니다",IF(AND($I1254&gt;0,$J1254&gt;0),"수입·지출 둘 다 적혔습니다",IF($C1254="","결제수단을 고르십시오",IF(ISNA(MATCH($C1254,'통합 ③ 통장·카드'!$A$5:$A$11,0)),"③ 통장·카드에 없는 결제수단입니다",IF($D1254="","계정과목을 고르십시오",IF($E1254="※없는 과목","④ 설정에 없는 과목입니다",IF(AND($E1254="수입",$J1254&gt;0),"수입 과목인데 지출에 적혔습니다",IF(AND(LEFT($E1254,2)&lt;&gt;"수입",$E1254&lt;&gt;"대체",$I1254&gt;0),"지출 과목인데 수입에 적혔습니다",IF($K1254="","증빙을 고르십시오",IF(AND($C1254="바우처통장",$J1254&gt;0,IFERROR(INDEX('통합 ④ 설정'!$E$6:$E$40,MATCH($D1254,'통합 ④ 설정'!$B$6:$B$40,0)),"")&lt;&gt;"○"),"바우처통장 지출 — 목적 확인",IF($H1254="","적요를 적으십시오",""))))))))))))</f>
        <v/>
      </c>
      <c r="M1254" s="39"/>
      <c r="O1254" s="11" t="str">
        <f aca="false">IF($B1254="","",YEAR($B1254)*100+MONTH($B1254))</f>
        <v/>
      </c>
      <c r="P1254" s="11" t="str">
        <f aca="false">IF($B1254="","",IF($E1254="대체",0,1))</f>
        <v/>
      </c>
    </row>
    <row r="1255" customFormat="false" ht="15" hidden="false" customHeight="false" outlineLevel="0" collapsed="false">
      <c r="A1255" s="36" t="str">
        <f aca="false">IF($B1255="","",COUNT($B$15:$B1255))</f>
        <v/>
      </c>
      <c r="B1255" s="37"/>
      <c r="C1255" s="38"/>
      <c r="D1255" s="39"/>
      <c r="E1255" s="36" t="str">
        <f aca="false">IF($D1255="","",IFERROR(INDEX('통합 ④ 설정'!$A$6:$A$40,MATCH($D1255,'통합 ④ 설정'!$B$6:$B$40,0)),"※없는 과목"))</f>
        <v/>
      </c>
      <c r="F1255" s="36" t="str">
        <f aca="false">IF($D1255="","",IFERROR(INDEX('통합 ④ 설정'!$C$6:$C$40,MATCH($D1255,'통합 ④ 설정'!$B$6:$B$40,0)),""))</f>
        <v/>
      </c>
      <c r="G1255" s="39"/>
      <c r="H1255" s="39"/>
      <c r="I1255" s="40"/>
      <c r="J1255" s="41"/>
      <c r="K1255" s="38"/>
      <c r="L1255" s="42" t="str">
        <f aca="false">IF($B1255="","",IF(AND(N($I1255)=0,N($J1255)=0),"금액이 없습니다",IF(AND($I1255&gt;0,$J1255&gt;0),"수입·지출 둘 다 적혔습니다",IF($C1255="","결제수단을 고르십시오",IF(ISNA(MATCH($C1255,'통합 ③ 통장·카드'!$A$5:$A$11,0)),"③ 통장·카드에 없는 결제수단입니다",IF($D1255="","계정과목을 고르십시오",IF($E1255="※없는 과목","④ 설정에 없는 과목입니다",IF(AND($E1255="수입",$J1255&gt;0),"수입 과목인데 지출에 적혔습니다",IF(AND(LEFT($E1255,2)&lt;&gt;"수입",$E1255&lt;&gt;"대체",$I1255&gt;0),"지출 과목인데 수입에 적혔습니다",IF($K1255="","증빙을 고르십시오",IF(AND($C1255="바우처통장",$J1255&gt;0,IFERROR(INDEX('통합 ④ 설정'!$E$6:$E$40,MATCH($D1255,'통합 ④ 설정'!$B$6:$B$40,0)),"")&lt;&gt;"○"),"바우처통장 지출 — 목적 확인",IF($H1255="","적요를 적으십시오",""))))))))))))</f>
        <v/>
      </c>
      <c r="M1255" s="39"/>
      <c r="O1255" s="11" t="str">
        <f aca="false">IF($B1255="","",YEAR($B1255)*100+MONTH($B1255))</f>
        <v/>
      </c>
      <c r="P1255" s="11" t="str">
        <f aca="false">IF($B1255="","",IF($E1255="대체",0,1))</f>
        <v/>
      </c>
    </row>
    <row r="1256" customFormat="false" ht="15" hidden="false" customHeight="false" outlineLevel="0" collapsed="false">
      <c r="A1256" s="36" t="str">
        <f aca="false">IF($B1256="","",COUNT($B$15:$B1256))</f>
        <v/>
      </c>
      <c r="B1256" s="37"/>
      <c r="C1256" s="38"/>
      <c r="D1256" s="39"/>
      <c r="E1256" s="36" t="str">
        <f aca="false">IF($D1256="","",IFERROR(INDEX('통합 ④ 설정'!$A$6:$A$40,MATCH($D1256,'통합 ④ 설정'!$B$6:$B$40,0)),"※없는 과목"))</f>
        <v/>
      </c>
      <c r="F1256" s="36" t="str">
        <f aca="false">IF($D1256="","",IFERROR(INDEX('통합 ④ 설정'!$C$6:$C$40,MATCH($D1256,'통합 ④ 설정'!$B$6:$B$40,0)),""))</f>
        <v/>
      </c>
      <c r="G1256" s="39"/>
      <c r="H1256" s="39"/>
      <c r="I1256" s="40"/>
      <c r="J1256" s="41"/>
      <c r="K1256" s="38"/>
      <c r="L1256" s="42" t="str">
        <f aca="false">IF($B1256="","",IF(AND(N($I1256)=0,N($J1256)=0),"금액이 없습니다",IF(AND($I1256&gt;0,$J1256&gt;0),"수입·지출 둘 다 적혔습니다",IF($C1256="","결제수단을 고르십시오",IF(ISNA(MATCH($C1256,'통합 ③ 통장·카드'!$A$5:$A$11,0)),"③ 통장·카드에 없는 결제수단입니다",IF($D1256="","계정과목을 고르십시오",IF($E1256="※없는 과목","④ 설정에 없는 과목입니다",IF(AND($E1256="수입",$J1256&gt;0),"수입 과목인데 지출에 적혔습니다",IF(AND(LEFT($E1256,2)&lt;&gt;"수입",$E1256&lt;&gt;"대체",$I1256&gt;0),"지출 과목인데 수입에 적혔습니다",IF($K1256="","증빙을 고르십시오",IF(AND($C1256="바우처통장",$J1256&gt;0,IFERROR(INDEX('통합 ④ 설정'!$E$6:$E$40,MATCH($D1256,'통합 ④ 설정'!$B$6:$B$40,0)),"")&lt;&gt;"○"),"바우처통장 지출 — 목적 확인",IF($H1256="","적요를 적으십시오",""))))))))))))</f>
        <v/>
      </c>
      <c r="M1256" s="39"/>
      <c r="O1256" s="11" t="str">
        <f aca="false">IF($B1256="","",YEAR($B1256)*100+MONTH($B1256))</f>
        <v/>
      </c>
      <c r="P1256" s="11" t="str">
        <f aca="false">IF($B1256="","",IF($E1256="대체",0,1))</f>
        <v/>
      </c>
    </row>
    <row r="1257" customFormat="false" ht="15" hidden="false" customHeight="false" outlineLevel="0" collapsed="false">
      <c r="A1257" s="36" t="str">
        <f aca="false">IF($B1257="","",COUNT($B$15:$B1257))</f>
        <v/>
      </c>
      <c r="B1257" s="37"/>
      <c r="C1257" s="38"/>
      <c r="D1257" s="39"/>
      <c r="E1257" s="36" t="str">
        <f aca="false">IF($D1257="","",IFERROR(INDEX('통합 ④ 설정'!$A$6:$A$40,MATCH($D1257,'통합 ④ 설정'!$B$6:$B$40,0)),"※없는 과목"))</f>
        <v/>
      </c>
      <c r="F1257" s="36" t="str">
        <f aca="false">IF($D1257="","",IFERROR(INDEX('통합 ④ 설정'!$C$6:$C$40,MATCH($D1257,'통합 ④ 설정'!$B$6:$B$40,0)),""))</f>
        <v/>
      </c>
      <c r="G1257" s="39"/>
      <c r="H1257" s="39"/>
      <c r="I1257" s="40"/>
      <c r="J1257" s="41"/>
      <c r="K1257" s="38"/>
      <c r="L1257" s="42" t="str">
        <f aca="false">IF($B1257="","",IF(AND(N($I1257)=0,N($J1257)=0),"금액이 없습니다",IF(AND($I1257&gt;0,$J1257&gt;0),"수입·지출 둘 다 적혔습니다",IF($C1257="","결제수단을 고르십시오",IF(ISNA(MATCH($C1257,'통합 ③ 통장·카드'!$A$5:$A$11,0)),"③ 통장·카드에 없는 결제수단입니다",IF($D1257="","계정과목을 고르십시오",IF($E1257="※없는 과목","④ 설정에 없는 과목입니다",IF(AND($E1257="수입",$J1257&gt;0),"수입 과목인데 지출에 적혔습니다",IF(AND(LEFT($E1257,2)&lt;&gt;"수입",$E1257&lt;&gt;"대체",$I1257&gt;0),"지출 과목인데 수입에 적혔습니다",IF($K1257="","증빙을 고르십시오",IF(AND($C1257="바우처통장",$J1257&gt;0,IFERROR(INDEX('통합 ④ 설정'!$E$6:$E$40,MATCH($D1257,'통합 ④ 설정'!$B$6:$B$40,0)),"")&lt;&gt;"○"),"바우처통장 지출 — 목적 확인",IF($H1257="","적요를 적으십시오",""))))))))))))</f>
        <v/>
      </c>
      <c r="M1257" s="39"/>
      <c r="O1257" s="11" t="str">
        <f aca="false">IF($B1257="","",YEAR($B1257)*100+MONTH($B1257))</f>
        <v/>
      </c>
      <c r="P1257" s="11" t="str">
        <f aca="false">IF($B1257="","",IF($E1257="대체",0,1))</f>
        <v/>
      </c>
    </row>
    <row r="1258" customFormat="false" ht="15" hidden="false" customHeight="false" outlineLevel="0" collapsed="false">
      <c r="A1258" s="36" t="str">
        <f aca="false">IF($B1258="","",COUNT($B$15:$B1258))</f>
        <v/>
      </c>
      <c r="B1258" s="37"/>
      <c r="C1258" s="38"/>
      <c r="D1258" s="39"/>
      <c r="E1258" s="36" t="str">
        <f aca="false">IF($D1258="","",IFERROR(INDEX('통합 ④ 설정'!$A$6:$A$40,MATCH($D1258,'통합 ④ 설정'!$B$6:$B$40,0)),"※없는 과목"))</f>
        <v/>
      </c>
      <c r="F1258" s="36" t="str">
        <f aca="false">IF($D1258="","",IFERROR(INDEX('통합 ④ 설정'!$C$6:$C$40,MATCH($D1258,'통합 ④ 설정'!$B$6:$B$40,0)),""))</f>
        <v/>
      </c>
      <c r="G1258" s="39"/>
      <c r="H1258" s="39"/>
      <c r="I1258" s="40"/>
      <c r="J1258" s="41"/>
      <c r="K1258" s="38"/>
      <c r="L1258" s="42" t="str">
        <f aca="false">IF($B1258="","",IF(AND(N($I1258)=0,N($J1258)=0),"금액이 없습니다",IF(AND($I1258&gt;0,$J1258&gt;0),"수입·지출 둘 다 적혔습니다",IF($C1258="","결제수단을 고르십시오",IF(ISNA(MATCH($C1258,'통합 ③ 통장·카드'!$A$5:$A$11,0)),"③ 통장·카드에 없는 결제수단입니다",IF($D1258="","계정과목을 고르십시오",IF($E1258="※없는 과목","④ 설정에 없는 과목입니다",IF(AND($E1258="수입",$J1258&gt;0),"수입 과목인데 지출에 적혔습니다",IF(AND(LEFT($E1258,2)&lt;&gt;"수입",$E1258&lt;&gt;"대체",$I1258&gt;0),"지출 과목인데 수입에 적혔습니다",IF($K1258="","증빙을 고르십시오",IF(AND($C1258="바우처통장",$J1258&gt;0,IFERROR(INDEX('통합 ④ 설정'!$E$6:$E$40,MATCH($D1258,'통합 ④ 설정'!$B$6:$B$40,0)),"")&lt;&gt;"○"),"바우처통장 지출 — 목적 확인",IF($H1258="","적요를 적으십시오",""))))))))))))</f>
        <v/>
      </c>
      <c r="M1258" s="39"/>
      <c r="O1258" s="11" t="str">
        <f aca="false">IF($B1258="","",YEAR($B1258)*100+MONTH($B1258))</f>
        <v/>
      </c>
      <c r="P1258" s="11" t="str">
        <f aca="false">IF($B1258="","",IF($E1258="대체",0,1))</f>
        <v/>
      </c>
    </row>
    <row r="1259" customFormat="false" ht="15" hidden="false" customHeight="false" outlineLevel="0" collapsed="false">
      <c r="A1259" s="36" t="str">
        <f aca="false">IF($B1259="","",COUNT($B$15:$B1259))</f>
        <v/>
      </c>
      <c r="B1259" s="37"/>
      <c r="C1259" s="38"/>
      <c r="D1259" s="39"/>
      <c r="E1259" s="36" t="str">
        <f aca="false">IF($D1259="","",IFERROR(INDEX('통합 ④ 설정'!$A$6:$A$40,MATCH($D1259,'통합 ④ 설정'!$B$6:$B$40,0)),"※없는 과목"))</f>
        <v/>
      </c>
      <c r="F1259" s="36" t="str">
        <f aca="false">IF($D1259="","",IFERROR(INDEX('통합 ④ 설정'!$C$6:$C$40,MATCH($D1259,'통합 ④ 설정'!$B$6:$B$40,0)),""))</f>
        <v/>
      </c>
      <c r="G1259" s="39"/>
      <c r="H1259" s="39"/>
      <c r="I1259" s="40"/>
      <c r="J1259" s="41"/>
      <c r="K1259" s="38"/>
      <c r="L1259" s="42" t="str">
        <f aca="false">IF($B1259="","",IF(AND(N($I1259)=0,N($J1259)=0),"금액이 없습니다",IF(AND($I1259&gt;0,$J1259&gt;0),"수입·지출 둘 다 적혔습니다",IF($C1259="","결제수단을 고르십시오",IF(ISNA(MATCH($C1259,'통합 ③ 통장·카드'!$A$5:$A$11,0)),"③ 통장·카드에 없는 결제수단입니다",IF($D1259="","계정과목을 고르십시오",IF($E1259="※없는 과목","④ 설정에 없는 과목입니다",IF(AND($E1259="수입",$J1259&gt;0),"수입 과목인데 지출에 적혔습니다",IF(AND(LEFT($E1259,2)&lt;&gt;"수입",$E1259&lt;&gt;"대체",$I1259&gt;0),"지출 과목인데 수입에 적혔습니다",IF($K1259="","증빙을 고르십시오",IF(AND($C1259="바우처통장",$J1259&gt;0,IFERROR(INDEX('통합 ④ 설정'!$E$6:$E$40,MATCH($D1259,'통합 ④ 설정'!$B$6:$B$40,0)),"")&lt;&gt;"○"),"바우처통장 지출 — 목적 확인",IF($H1259="","적요를 적으십시오",""))))))))))))</f>
        <v/>
      </c>
      <c r="M1259" s="39"/>
      <c r="O1259" s="11" t="str">
        <f aca="false">IF($B1259="","",YEAR($B1259)*100+MONTH($B1259))</f>
        <v/>
      </c>
      <c r="P1259" s="11" t="str">
        <f aca="false">IF($B1259="","",IF($E1259="대체",0,1))</f>
        <v/>
      </c>
    </row>
    <row r="1260" customFormat="false" ht="15" hidden="false" customHeight="false" outlineLevel="0" collapsed="false">
      <c r="A1260" s="36" t="str">
        <f aca="false">IF($B1260="","",COUNT($B$15:$B1260))</f>
        <v/>
      </c>
      <c r="B1260" s="37"/>
      <c r="C1260" s="38"/>
      <c r="D1260" s="39"/>
      <c r="E1260" s="36" t="str">
        <f aca="false">IF($D1260="","",IFERROR(INDEX('통합 ④ 설정'!$A$6:$A$40,MATCH($D1260,'통합 ④ 설정'!$B$6:$B$40,0)),"※없는 과목"))</f>
        <v/>
      </c>
      <c r="F1260" s="36" t="str">
        <f aca="false">IF($D1260="","",IFERROR(INDEX('통합 ④ 설정'!$C$6:$C$40,MATCH($D1260,'통합 ④ 설정'!$B$6:$B$40,0)),""))</f>
        <v/>
      </c>
      <c r="G1260" s="39"/>
      <c r="H1260" s="39"/>
      <c r="I1260" s="40"/>
      <c r="J1260" s="41"/>
      <c r="K1260" s="38"/>
      <c r="L1260" s="42" t="str">
        <f aca="false">IF($B1260="","",IF(AND(N($I1260)=0,N($J1260)=0),"금액이 없습니다",IF(AND($I1260&gt;0,$J1260&gt;0),"수입·지출 둘 다 적혔습니다",IF($C1260="","결제수단을 고르십시오",IF(ISNA(MATCH($C1260,'통합 ③ 통장·카드'!$A$5:$A$11,0)),"③ 통장·카드에 없는 결제수단입니다",IF($D1260="","계정과목을 고르십시오",IF($E1260="※없는 과목","④ 설정에 없는 과목입니다",IF(AND($E1260="수입",$J1260&gt;0),"수입 과목인데 지출에 적혔습니다",IF(AND(LEFT($E1260,2)&lt;&gt;"수입",$E1260&lt;&gt;"대체",$I1260&gt;0),"지출 과목인데 수입에 적혔습니다",IF($K1260="","증빙을 고르십시오",IF(AND($C1260="바우처통장",$J1260&gt;0,IFERROR(INDEX('통합 ④ 설정'!$E$6:$E$40,MATCH($D1260,'통합 ④ 설정'!$B$6:$B$40,0)),"")&lt;&gt;"○"),"바우처통장 지출 — 목적 확인",IF($H1260="","적요를 적으십시오",""))))))))))))</f>
        <v/>
      </c>
      <c r="M1260" s="39"/>
      <c r="O1260" s="11" t="str">
        <f aca="false">IF($B1260="","",YEAR($B1260)*100+MONTH($B1260))</f>
        <v/>
      </c>
      <c r="P1260" s="11" t="str">
        <f aca="false">IF($B1260="","",IF($E1260="대체",0,1))</f>
        <v/>
      </c>
    </row>
    <row r="1261" customFormat="false" ht="15" hidden="false" customHeight="false" outlineLevel="0" collapsed="false">
      <c r="A1261" s="36" t="str">
        <f aca="false">IF($B1261="","",COUNT($B$15:$B1261))</f>
        <v/>
      </c>
      <c r="B1261" s="37"/>
      <c r="C1261" s="38"/>
      <c r="D1261" s="39"/>
      <c r="E1261" s="36" t="str">
        <f aca="false">IF($D1261="","",IFERROR(INDEX('통합 ④ 설정'!$A$6:$A$40,MATCH($D1261,'통합 ④ 설정'!$B$6:$B$40,0)),"※없는 과목"))</f>
        <v/>
      </c>
      <c r="F1261" s="36" t="str">
        <f aca="false">IF($D1261="","",IFERROR(INDEX('통합 ④ 설정'!$C$6:$C$40,MATCH($D1261,'통합 ④ 설정'!$B$6:$B$40,0)),""))</f>
        <v/>
      </c>
      <c r="G1261" s="39"/>
      <c r="H1261" s="39"/>
      <c r="I1261" s="40"/>
      <c r="J1261" s="41"/>
      <c r="K1261" s="38"/>
      <c r="L1261" s="42" t="str">
        <f aca="false">IF($B1261="","",IF(AND(N($I1261)=0,N($J1261)=0),"금액이 없습니다",IF(AND($I1261&gt;0,$J1261&gt;0),"수입·지출 둘 다 적혔습니다",IF($C1261="","결제수단을 고르십시오",IF(ISNA(MATCH($C1261,'통합 ③ 통장·카드'!$A$5:$A$11,0)),"③ 통장·카드에 없는 결제수단입니다",IF($D1261="","계정과목을 고르십시오",IF($E1261="※없는 과목","④ 설정에 없는 과목입니다",IF(AND($E1261="수입",$J1261&gt;0),"수입 과목인데 지출에 적혔습니다",IF(AND(LEFT($E1261,2)&lt;&gt;"수입",$E1261&lt;&gt;"대체",$I1261&gt;0),"지출 과목인데 수입에 적혔습니다",IF($K1261="","증빙을 고르십시오",IF(AND($C1261="바우처통장",$J1261&gt;0,IFERROR(INDEX('통합 ④ 설정'!$E$6:$E$40,MATCH($D1261,'통합 ④ 설정'!$B$6:$B$40,0)),"")&lt;&gt;"○"),"바우처통장 지출 — 목적 확인",IF($H1261="","적요를 적으십시오",""))))))))))))</f>
        <v/>
      </c>
      <c r="M1261" s="39"/>
      <c r="O1261" s="11" t="str">
        <f aca="false">IF($B1261="","",YEAR($B1261)*100+MONTH($B1261))</f>
        <v/>
      </c>
      <c r="P1261" s="11" t="str">
        <f aca="false">IF($B1261="","",IF($E1261="대체",0,1))</f>
        <v/>
      </c>
    </row>
    <row r="1262" customFormat="false" ht="15" hidden="false" customHeight="false" outlineLevel="0" collapsed="false">
      <c r="A1262" s="36" t="str">
        <f aca="false">IF($B1262="","",COUNT($B$15:$B1262))</f>
        <v/>
      </c>
      <c r="B1262" s="37"/>
      <c r="C1262" s="38"/>
      <c r="D1262" s="39"/>
      <c r="E1262" s="36" t="str">
        <f aca="false">IF($D1262="","",IFERROR(INDEX('통합 ④ 설정'!$A$6:$A$40,MATCH($D1262,'통합 ④ 설정'!$B$6:$B$40,0)),"※없는 과목"))</f>
        <v/>
      </c>
      <c r="F1262" s="36" t="str">
        <f aca="false">IF($D1262="","",IFERROR(INDEX('통합 ④ 설정'!$C$6:$C$40,MATCH($D1262,'통합 ④ 설정'!$B$6:$B$40,0)),""))</f>
        <v/>
      </c>
      <c r="G1262" s="39"/>
      <c r="H1262" s="39"/>
      <c r="I1262" s="40"/>
      <c r="J1262" s="41"/>
      <c r="K1262" s="38"/>
      <c r="L1262" s="42" t="str">
        <f aca="false">IF($B1262="","",IF(AND(N($I1262)=0,N($J1262)=0),"금액이 없습니다",IF(AND($I1262&gt;0,$J1262&gt;0),"수입·지출 둘 다 적혔습니다",IF($C1262="","결제수단을 고르십시오",IF(ISNA(MATCH($C1262,'통합 ③ 통장·카드'!$A$5:$A$11,0)),"③ 통장·카드에 없는 결제수단입니다",IF($D1262="","계정과목을 고르십시오",IF($E1262="※없는 과목","④ 설정에 없는 과목입니다",IF(AND($E1262="수입",$J1262&gt;0),"수입 과목인데 지출에 적혔습니다",IF(AND(LEFT($E1262,2)&lt;&gt;"수입",$E1262&lt;&gt;"대체",$I1262&gt;0),"지출 과목인데 수입에 적혔습니다",IF($K1262="","증빙을 고르십시오",IF(AND($C1262="바우처통장",$J1262&gt;0,IFERROR(INDEX('통합 ④ 설정'!$E$6:$E$40,MATCH($D1262,'통합 ④ 설정'!$B$6:$B$40,0)),"")&lt;&gt;"○"),"바우처통장 지출 — 목적 확인",IF($H1262="","적요를 적으십시오",""))))))))))))</f>
        <v/>
      </c>
      <c r="M1262" s="39"/>
      <c r="O1262" s="11" t="str">
        <f aca="false">IF($B1262="","",YEAR($B1262)*100+MONTH($B1262))</f>
        <v/>
      </c>
      <c r="P1262" s="11" t="str">
        <f aca="false">IF($B1262="","",IF($E1262="대체",0,1))</f>
        <v/>
      </c>
    </row>
    <row r="1263" customFormat="false" ht="15" hidden="false" customHeight="false" outlineLevel="0" collapsed="false">
      <c r="A1263" s="36" t="str">
        <f aca="false">IF($B1263="","",COUNT($B$15:$B1263))</f>
        <v/>
      </c>
      <c r="B1263" s="37"/>
      <c r="C1263" s="38"/>
      <c r="D1263" s="39"/>
      <c r="E1263" s="36" t="str">
        <f aca="false">IF($D1263="","",IFERROR(INDEX('통합 ④ 설정'!$A$6:$A$40,MATCH($D1263,'통합 ④ 설정'!$B$6:$B$40,0)),"※없는 과목"))</f>
        <v/>
      </c>
      <c r="F1263" s="36" t="str">
        <f aca="false">IF($D1263="","",IFERROR(INDEX('통합 ④ 설정'!$C$6:$C$40,MATCH($D1263,'통합 ④ 설정'!$B$6:$B$40,0)),""))</f>
        <v/>
      </c>
      <c r="G1263" s="39"/>
      <c r="H1263" s="39"/>
      <c r="I1263" s="40"/>
      <c r="J1263" s="41"/>
      <c r="K1263" s="38"/>
      <c r="L1263" s="42" t="str">
        <f aca="false">IF($B1263="","",IF(AND(N($I1263)=0,N($J1263)=0),"금액이 없습니다",IF(AND($I1263&gt;0,$J1263&gt;0),"수입·지출 둘 다 적혔습니다",IF($C1263="","결제수단을 고르십시오",IF(ISNA(MATCH($C1263,'통합 ③ 통장·카드'!$A$5:$A$11,0)),"③ 통장·카드에 없는 결제수단입니다",IF($D1263="","계정과목을 고르십시오",IF($E1263="※없는 과목","④ 설정에 없는 과목입니다",IF(AND($E1263="수입",$J1263&gt;0),"수입 과목인데 지출에 적혔습니다",IF(AND(LEFT($E1263,2)&lt;&gt;"수입",$E1263&lt;&gt;"대체",$I1263&gt;0),"지출 과목인데 수입에 적혔습니다",IF($K1263="","증빙을 고르십시오",IF(AND($C1263="바우처통장",$J1263&gt;0,IFERROR(INDEX('통합 ④ 설정'!$E$6:$E$40,MATCH($D1263,'통합 ④ 설정'!$B$6:$B$40,0)),"")&lt;&gt;"○"),"바우처통장 지출 — 목적 확인",IF($H1263="","적요를 적으십시오",""))))))))))))</f>
        <v/>
      </c>
      <c r="M1263" s="39"/>
      <c r="O1263" s="11" t="str">
        <f aca="false">IF($B1263="","",YEAR($B1263)*100+MONTH($B1263))</f>
        <v/>
      </c>
      <c r="P1263" s="11" t="str">
        <f aca="false">IF($B1263="","",IF($E1263="대체",0,1))</f>
        <v/>
      </c>
    </row>
    <row r="1264" customFormat="false" ht="15" hidden="false" customHeight="false" outlineLevel="0" collapsed="false">
      <c r="A1264" s="36" t="str">
        <f aca="false">IF($B1264="","",COUNT($B$15:$B1264))</f>
        <v/>
      </c>
      <c r="B1264" s="37"/>
      <c r="C1264" s="38"/>
      <c r="D1264" s="39"/>
      <c r="E1264" s="36" t="str">
        <f aca="false">IF($D1264="","",IFERROR(INDEX('통합 ④ 설정'!$A$6:$A$40,MATCH($D1264,'통합 ④ 설정'!$B$6:$B$40,0)),"※없는 과목"))</f>
        <v/>
      </c>
      <c r="F1264" s="36" t="str">
        <f aca="false">IF($D1264="","",IFERROR(INDEX('통합 ④ 설정'!$C$6:$C$40,MATCH($D1264,'통합 ④ 설정'!$B$6:$B$40,0)),""))</f>
        <v/>
      </c>
      <c r="G1264" s="39"/>
      <c r="H1264" s="39"/>
      <c r="I1264" s="40"/>
      <c r="J1264" s="41"/>
      <c r="K1264" s="38"/>
      <c r="L1264" s="42" t="str">
        <f aca="false">IF($B1264="","",IF(AND(N($I1264)=0,N($J1264)=0),"금액이 없습니다",IF(AND($I1264&gt;0,$J1264&gt;0),"수입·지출 둘 다 적혔습니다",IF($C1264="","결제수단을 고르십시오",IF(ISNA(MATCH($C1264,'통합 ③ 통장·카드'!$A$5:$A$11,0)),"③ 통장·카드에 없는 결제수단입니다",IF($D1264="","계정과목을 고르십시오",IF($E1264="※없는 과목","④ 설정에 없는 과목입니다",IF(AND($E1264="수입",$J1264&gt;0),"수입 과목인데 지출에 적혔습니다",IF(AND(LEFT($E1264,2)&lt;&gt;"수입",$E1264&lt;&gt;"대체",$I1264&gt;0),"지출 과목인데 수입에 적혔습니다",IF($K1264="","증빙을 고르십시오",IF(AND($C1264="바우처통장",$J1264&gt;0,IFERROR(INDEX('통합 ④ 설정'!$E$6:$E$40,MATCH($D1264,'통합 ④ 설정'!$B$6:$B$40,0)),"")&lt;&gt;"○"),"바우처통장 지출 — 목적 확인",IF($H1264="","적요를 적으십시오",""))))))))))))</f>
        <v/>
      </c>
      <c r="M1264" s="39"/>
      <c r="O1264" s="11" t="str">
        <f aca="false">IF($B1264="","",YEAR($B1264)*100+MONTH($B1264))</f>
        <v/>
      </c>
      <c r="P1264" s="11" t="str">
        <f aca="false">IF($B1264="","",IF($E1264="대체",0,1))</f>
        <v/>
      </c>
    </row>
    <row r="1265" customFormat="false" ht="15" hidden="false" customHeight="false" outlineLevel="0" collapsed="false">
      <c r="A1265" s="36" t="str">
        <f aca="false">IF($B1265="","",COUNT($B$15:$B1265))</f>
        <v/>
      </c>
      <c r="B1265" s="37"/>
      <c r="C1265" s="38"/>
      <c r="D1265" s="39"/>
      <c r="E1265" s="36" t="str">
        <f aca="false">IF($D1265="","",IFERROR(INDEX('통합 ④ 설정'!$A$6:$A$40,MATCH($D1265,'통합 ④ 설정'!$B$6:$B$40,0)),"※없는 과목"))</f>
        <v/>
      </c>
      <c r="F1265" s="36" t="str">
        <f aca="false">IF($D1265="","",IFERROR(INDEX('통합 ④ 설정'!$C$6:$C$40,MATCH($D1265,'통합 ④ 설정'!$B$6:$B$40,0)),""))</f>
        <v/>
      </c>
      <c r="G1265" s="39"/>
      <c r="H1265" s="39"/>
      <c r="I1265" s="40"/>
      <c r="J1265" s="41"/>
      <c r="K1265" s="38"/>
      <c r="L1265" s="42" t="str">
        <f aca="false">IF($B1265="","",IF(AND(N($I1265)=0,N($J1265)=0),"금액이 없습니다",IF(AND($I1265&gt;0,$J1265&gt;0),"수입·지출 둘 다 적혔습니다",IF($C1265="","결제수단을 고르십시오",IF(ISNA(MATCH($C1265,'통합 ③ 통장·카드'!$A$5:$A$11,0)),"③ 통장·카드에 없는 결제수단입니다",IF($D1265="","계정과목을 고르십시오",IF($E1265="※없는 과목","④ 설정에 없는 과목입니다",IF(AND($E1265="수입",$J1265&gt;0),"수입 과목인데 지출에 적혔습니다",IF(AND(LEFT($E1265,2)&lt;&gt;"수입",$E1265&lt;&gt;"대체",$I1265&gt;0),"지출 과목인데 수입에 적혔습니다",IF($K1265="","증빙을 고르십시오",IF(AND($C1265="바우처통장",$J1265&gt;0,IFERROR(INDEX('통합 ④ 설정'!$E$6:$E$40,MATCH($D1265,'통합 ④ 설정'!$B$6:$B$40,0)),"")&lt;&gt;"○"),"바우처통장 지출 — 목적 확인",IF($H1265="","적요를 적으십시오",""))))))))))))</f>
        <v/>
      </c>
      <c r="M1265" s="39"/>
      <c r="O1265" s="11" t="str">
        <f aca="false">IF($B1265="","",YEAR($B1265)*100+MONTH($B1265))</f>
        <v/>
      </c>
      <c r="P1265" s="11" t="str">
        <f aca="false">IF($B1265="","",IF($E1265="대체",0,1))</f>
        <v/>
      </c>
    </row>
    <row r="1266" customFormat="false" ht="15" hidden="false" customHeight="false" outlineLevel="0" collapsed="false">
      <c r="A1266" s="36" t="str">
        <f aca="false">IF($B1266="","",COUNT($B$15:$B1266))</f>
        <v/>
      </c>
      <c r="B1266" s="37"/>
      <c r="C1266" s="38"/>
      <c r="D1266" s="39"/>
      <c r="E1266" s="36" t="str">
        <f aca="false">IF($D1266="","",IFERROR(INDEX('통합 ④ 설정'!$A$6:$A$40,MATCH($D1266,'통합 ④ 설정'!$B$6:$B$40,0)),"※없는 과목"))</f>
        <v/>
      </c>
      <c r="F1266" s="36" t="str">
        <f aca="false">IF($D1266="","",IFERROR(INDEX('통합 ④ 설정'!$C$6:$C$40,MATCH($D1266,'통합 ④ 설정'!$B$6:$B$40,0)),""))</f>
        <v/>
      </c>
      <c r="G1266" s="39"/>
      <c r="H1266" s="39"/>
      <c r="I1266" s="40"/>
      <c r="J1266" s="41"/>
      <c r="K1266" s="38"/>
      <c r="L1266" s="42" t="str">
        <f aca="false">IF($B1266="","",IF(AND(N($I1266)=0,N($J1266)=0),"금액이 없습니다",IF(AND($I1266&gt;0,$J1266&gt;0),"수입·지출 둘 다 적혔습니다",IF($C1266="","결제수단을 고르십시오",IF(ISNA(MATCH($C1266,'통합 ③ 통장·카드'!$A$5:$A$11,0)),"③ 통장·카드에 없는 결제수단입니다",IF($D1266="","계정과목을 고르십시오",IF($E1266="※없는 과목","④ 설정에 없는 과목입니다",IF(AND($E1266="수입",$J1266&gt;0),"수입 과목인데 지출에 적혔습니다",IF(AND(LEFT($E1266,2)&lt;&gt;"수입",$E1266&lt;&gt;"대체",$I1266&gt;0),"지출 과목인데 수입에 적혔습니다",IF($K1266="","증빙을 고르십시오",IF(AND($C1266="바우처통장",$J1266&gt;0,IFERROR(INDEX('통합 ④ 설정'!$E$6:$E$40,MATCH($D1266,'통합 ④ 설정'!$B$6:$B$40,0)),"")&lt;&gt;"○"),"바우처통장 지출 — 목적 확인",IF($H1266="","적요를 적으십시오",""))))))))))))</f>
        <v/>
      </c>
      <c r="M1266" s="39"/>
      <c r="O1266" s="11" t="str">
        <f aca="false">IF($B1266="","",YEAR($B1266)*100+MONTH($B1266))</f>
        <v/>
      </c>
      <c r="P1266" s="11" t="str">
        <f aca="false">IF($B1266="","",IF($E1266="대체",0,1))</f>
        <v/>
      </c>
    </row>
    <row r="1267" customFormat="false" ht="15" hidden="false" customHeight="false" outlineLevel="0" collapsed="false">
      <c r="A1267" s="36" t="str">
        <f aca="false">IF($B1267="","",COUNT($B$15:$B1267))</f>
        <v/>
      </c>
      <c r="B1267" s="37"/>
      <c r="C1267" s="38"/>
      <c r="D1267" s="39"/>
      <c r="E1267" s="36" t="str">
        <f aca="false">IF($D1267="","",IFERROR(INDEX('통합 ④ 설정'!$A$6:$A$40,MATCH($D1267,'통합 ④ 설정'!$B$6:$B$40,0)),"※없는 과목"))</f>
        <v/>
      </c>
      <c r="F1267" s="36" t="str">
        <f aca="false">IF($D1267="","",IFERROR(INDEX('통합 ④ 설정'!$C$6:$C$40,MATCH($D1267,'통합 ④ 설정'!$B$6:$B$40,0)),""))</f>
        <v/>
      </c>
      <c r="G1267" s="39"/>
      <c r="H1267" s="39"/>
      <c r="I1267" s="40"/>
      <c r="J1267" s="41"/>
      <c r="K1267" s="38"/>
      <c r="L1267" s="42" t="str">
        <f aca="false">IF($B1267="","",IF(AND(N($I1267)=0,N($J1267)=0),"금액이 없습니다",IF(AND($I1267&gt;0,$J1267&gt;0),"수입·지출 둘 다 적혔습니다",IF($C1267="","결제수단을 고르십시오",IF(ISNA(MATCH($C1267,'통합 ③ 통장·카드'!$A$5:$A$11,0)),"③ 통장·카드에 없는 결제수단입니다",IF($D1267="","계정과목을 고르십시오",IF($E1267="※없는 과목","④ 설정에 없는 과목입니다",IF(AND($E1267="수입",$J1267&gt;0),"수입 과목인데 지출에 적혔습니다",IF(AND(LEFT($E1267,2)&lt;&gt;"수입",$E1267&lt;&gt;"대체",$I1267&gt;0),"지출 과목인데 수입에 적혔습니다",IF($K1267="","증빙을 고르십시오",IF(AND($C1267="바우처통장",$J1267&gt;0,IFERROR(INDEX('통합 ④ 설정'!$E$6:$E$40,MATCH($D1267,'통합 ④ 설정'!$B$6:$B$40,0)),"")&lt;&gt;"○"),"바우처통장 지출 — 목적 확인",IF($H1267="","적요를 적으십시오",""))))))))))))</f>
        <v/>
      </c>
      <c r="M1267" s="39"/>
      <c r="O1267" s="11" t="str">
        <f aca="false">IF($B1267="","",YEAR($B1267)*100+MONTH($B1267))</f>
        <v/>
      </c>
      <c r="P1267" s="11" t="str">
        <f aca="false">IF($B1267="","",IF($E1267="대체",0,1))</f>
        <v/>
      </c>
    </row>
    <row r="1268" customFormat="false" ht="15" hidden="false" customHeight="false" outlineLevel="0" collapsed="false">
      <c r="A1268" s="36" t="str">
        <f aca="false">IF($B1268="","",COUNT($B$15:$B1268))</f>
        <v/>
      </c>
      <c r="B1268" s="37"/>
      <c r="C1268" s="38"/>
      <c r="D1268" s="39"/>
      <c r="E1268" s="36" t="str">
        <f aca="false">IF($D1268="","",IFERROR(INDEX('통합 ④ 설정'!$A$6:$A$40,MATCH($D1268,'통합 ④ 설정'!$B$6:$B$40,0)),"※없는 과목"))</f>
        <v/>
      </c>
      <c r="F1268" s="36" t="str">
        <f aca="false">IF($D1268="","",IFERROR(INDEX('통합 ④ 설정'!$C$6:$C$40,MATCH($D1268,'통합 ④ 설정'!$B$6:$B$40,0)),""))</f>
        <v/>
      </c>
      <c r="G1268" s="39"/>
      <c r="H1268" s="39"/>
      <c r="I1268" s="40"/>
      <c r="J1268" s="41"/>
      <c r="K1268" s="38"/>
      <c r="L1268" s="42" t="str">
        <f aca="false">IF($B1268="","",IF(AND(N($I1268)=0,N($J1268)=0),"금액이 없습니다",IF(AND($I1268&gt;0,$J1268&gt;0),"수입·지출 둘 다 적혔습니다",IF($C1268="","결제수단을 고르십시오",IF(ISNA(MATCH($C1268,'통합 ③ 통장·카드'!$A$5:$A$11,0)),"③ 통장·카드에 없는 결제수단입니다",IF($D1268="","계정과목을 고르십시오",IF($E1268="※없는 과목","④ 설정에 없는 과목입니다",IF(AND($E1268="수입",$J1268&gt;0),"수입 과목인데 지출에 적혔습니다",IF(AND(LEFT($E1268,2)&lt;&gt;"수입",$E1268&lt;&gt;"대체",$I1268&gt;0),"지출 과목인데 수입에 적혔습니다",IF($K1268="","증빙을 고르십시오",IF(AND($C1268="바우처통장",$J1268&gt;0,IFERROR(INDEX('통합 ④ 설정'!$E$6:$E$40,MATCH($D1268,'통합 ④ 설정'!$B$6:$B$40,0)),"")&lt;&gt;"○"),"바우처통장 지출 — 목적 확인",IF($H1268="","적요를 적으십시오",""))))))))))))</f>
        <v/>
      </c>
      <c r="M1268" s="39"/>
      <c r="O1268" s="11" t="str">
        <f aca="false">IF($B1268="","",YEAR($B1268)*100+MONTH($B1268))</f>
        <v/>
      </c>
      <c r="P1268" s="11" t="str">
        <f aca="false">IF($B1268="","",IF($E1268="대체",0,1))</f>
        <v/>
      </c>
    </row>
    <row r="1269" customFormat="false" ht="15" hidden="false" customHeight="false" outlineLevel="0" collapsed="false">
      <c r="A1269" s="36" t="str">
        <f aca="false">IF($B1269="","",COUNT($B$15:$B1269))</f>
        <v/>
      </c>
      <c r="B1269" s="37"/>
      <c r="C1269" s="38"/>
      <c r="D1269" s="39"/>
      <c r="E1269" s="36" t="str">
        <f aca="false">IF($D1269="","",IFERROR(INDEX('통합 ④ 설정'!$A$6:$A$40,MATCH($D1269,'통합 ④ 설정'!$B$6:$B$40,0)),"※없는 과목"))</f>
        <v/>
      </c>
      <c r="F1269" s="36" t="str">
        <f aca="false">IF($D1269="","",IFERROR(INDEX('통합 ④ 설정'!$C$6:$C$40,MATCH($D1269,'통합 ④ 설정'!$B$6:$B$40,0)),""))</f>
        <v/>
      </c>
      <c r="G1269" s="39"/>
      <c r="H1269" s="39"/>
      <c r="I1269" s="40"/>
      <c r="J1269" s="41"/>
      <c r="K1269" s="38"/>
      <c r="L1269" s="42" t="str">
        <f aca="false">IF($B1269="","",IF(AND(N($I1269)=0,N($J1269)=0),"금액이 없습니다",IF(AND($I1269&gt;0,$J1269&gt;0),"수입·지출 둘 다 적혔습니다",IF($C1269="","결제수단을 고르십시오",IF(ISNA(MATCH($C1269,'통합 ③ 통장·카드'!$A$5:$A$11,0)),"③ 통장·카드에 없는 결제수단입니다",IF($D1269="","계정과목을 고르십시오",IF($E1269="※없는 과목","④ 설정에 없는 과목입니다",IF(AND($E1269="수입",$J1269&gt;0),"수입 과목인데 지출에 적혔습니다",IF(AND(LEFT($E1269,2)&lt;&gt;"수입",$E1269&lt;&gt;"대체",$I1269&gt;0),"지출 과목인데 수입에 적혔습니다",IF($K1269="","증빙을 고르십시오",IF(AND($C1269="바우처통장",$J1269&gt;0,IFERROR(INDEX('통합 ④ 설정'!$E$6:$E$40,MATCH($D1269,'통합 ④ 설정'!$B$6:$B$40,0)),"")&lt;&gt;"○"),"바우처통장 지출 — 목적 확인",IF($H1269="","적요를 적으십시오",""))))))))))))</f>
        <v/>
      </c>
      <c r="M1269" s="39"/>
      <c r="O1269" s="11" t="str">
        <f aca="false">IF($B1269="","",YEAR($B1269)*100+MONTH($B1269))</f>
        <v/>
      </c>
      <c r="P1269" s="11" t="str">
        <f aca="false">IF($B1269="","",IF($E1269="대체",0,1))</f>
        <v/>
      </c>
    </row>
    <row r="1270" customFormat="false" ht="15" hidden="false" customHeight="false" outlineLevel="0" collapsed="false">
      <c r="A1270" s="36" t="str">
        <f aca="false">IF($B1270="","",COUNT($B$15:$B1270))</f>
        <v/>
      </c>
      <c r="B1270" s="37"/>
      <c r="C1270" s="38"/>
      <c r="D1270" s="39"/>
      <c r="E1270" s="36" t="str">
        <f aca="false">IF($D1270="","",IFERROR(INDEX('통합 ④ 설정'!$A$6:$A$40,MATCH($D1270,'통합 ④ 설정'!$B$6:$B$40,0)),"※없는 과목"))</f>
        <v/>
      </c>
      <c r="F1270" s="36" t="str">
        <f aca="false">IF($D1270="","",IFERROR(INDEX('통합 ④ 설정'!$C$6:$C$40,MATCH($D1270,'통합 ④ 설정'!$B$6:$B$40,0)),""))</f>
        <v/>
      </c>
      <c r="G1270" s="39"/>
      <c r="H1270" s="39"/>
      <c r="I1270" s="40"/>
      <c r="J1270" s="41"/>
      <c r="K1270" s="38"/>
      <c r="L1270" s="42" t="str">
        <f aca="false">IF($B1270="","",IF(AND(N($I1270)=0,N($J1270)=0),"금액이 없습니다",IF(AND($I1270&gt;0,$J1270&gt;0),"수입·지출 둘 다 적혔습니다",IF($C1270="","결제수단을 고르십시오",IF(ISNA(MATCH($C1270,'통합 ③ 통장·카드'!$A$5:$A$11,0)),"③ 통장·카드에 없는 결제수단입니다",IF($D1270="","계정과목을 고르십시오",IF($E1270="※없는 과목","④ 설정에 없는 과목입니다",IF(AND($E1270="수입",$J1270&gt;0),"수입 과목인데 지출에 적혔습니다",IF(AND(LEFT($E1270,2)&lt;&gt;"수입",$E1270&lt;&gt;"대체",$I1270&gt;0),"지출 과목인데 수입에 적혔습니다",IF($K1270="","증빙을 고르십시오",IF(AND($C1270="바우처통장",$J1270&gt;0,IFERROR(INDEX('통합 ④ 설정'!$E$6:$E$40,MATCH($D1270,'통합 ④ 설정'!$B$6:$B$40,0)),"")&lt;&gt;"○"),"바우처통장 지출 — 목적 확인",IF($H1270="","적요를 적으십시오",""))))))))))))</f>
        <v/>
      </c>
      <c r="M1270" s="39"/>
      <c r="O1270" s="11" t="str">
        <f aca="false">IF($B1270="","",YEAR($B1270)*100+MONTH($B1270))</f>
        <v/>
      </c>
      <c r="P1270" s="11" t="str">
        <f aca="false">IF($B1270="","",IF($E1270="대체",0,1))</f>
        <v/>
      </c>
    </row>
    <row r="1271" customFormat="false" ht="15" hidden="false" customHeight="false" outlineLevel="0" collapsed="false">
      <c r="A1271" s="36" t="str">
        <f aca="false">IF($B1271="","",COUNT($B$15:$B1271))</f>
        <v/>
      </c>
      <c r="B1271" s="37"/>
      <c r="C1271" s="38"/>
      <c r="D1271" s="39"/>
      <c r="E1271" s="36" t="str">
        <f aca="false">IF($D1271="","",IFERROR(INDEX('통합 ④ 설정'!$A$6:$A$40,MATCH($D1271,'통합 ④ 설정'!$B$6:$B$40,0)),"※없는 과목"))</f>
        <v/>
      </c>
      <c r="F1271" s="36" t="str">
        <f aca="false">IF($D1271="","",IFERROR(INDEX('통합 ④ 설정'!$C$6:$C$40,MATCH($D1271,'통합 ④ 설정'!$B$6:$B$40,0)),""))</f>
        <v/>
      </c>
      <c r="G1271" s="39"/>
      <c r="H1271" s="39"/>
      <c r="I1271" s="40"/>
      <c r="J1271" s="41"/>
      <c r="K1271" s="38"/>
      <c r="L1271" s="42" t="str">
        <f aca="false">IF($B1271="","",IF(AND(N($I1271)=0,N($J1271)=0),"금액이 없습니다",IF(AND($I1271&gt;0,$J1271&gt;0),"수입·지출 둘 다 적혔습니다",IF($C1271="","결제수단을 고르십시오",IF(ISNA(MATCH($C1271,'통합 ③ 통장·카드'!$A$5:$A$11,0)),"③ 통장·카드에 없는 결제수단입니다",IF($D1271="","계정과목을 고르십시오",IF($E1271="※없는 과목","④ 설정에 없는 과목입니다",IF(AND($E1271="수입",$J1271&gt;0),"수입 과목인데 지출에 적혔습니다",IF(AND(LEFT($E1271,2)&lt;&gt;"수입",$E1271&lt;&gt;"대체",$I1271&gt;0),"지출 과목인데 수입에 적혔습니다",IF($K1271="","증빙을 고르십시오",IF(AND($C1271="바우처통장",$J1271&gt;0,IFERROR(INDEX('통합 ④ 설정'!$E$6:$E$40,MATCH($D1271,'통합 ④ 설정'!$B$6:$B$40,0)),"")&lt;&gt;"○"),"바우처통장 지출 — 목적 확인",IF($H1271="","적요를 적으십시오",""))))))))))))</f>
        <v/>
      </c>
      <c r="M1271" s="39"/>
      <c r="O1271" s="11" t="str">
        <f aca="false">IF($B1271="","",YEAR($B1271)*100+MONTH($B1271))</f>
        <v/>
      </c>
      <c r="P1271" s="11" t="str">
        <f aca="false">IF($B1271="","",IF($E1271="대체",0,1))</f>
        <v/>
      </c>
    </row>
    <row r="1272" customFormat="false" ht="15" hidden="false" customHeight="false" outlineLevel="0" collapsed="false">
      <c r="A1272" s="36" t="str">
        <f aca="false">IF($B1272="","",COUNT($B$15:$B1272))</f>
        <v/>
      </c>
      <c r="B1272" s="37"/>
      <c r="C1272" s="38"/>
      <c r="D1272" s="39"/>
      <c r="E1272" s="36" t="str">
        <f aca="false">IF($D1272="","",IFERROR(INDEX('통합 ④ 설정'!$A$6:$A$40,MATCH($D1272,'통합 ④ 설정'!$B$6:$B$40,0)),"※없는 과목"))</f>
        <v/>
      </c>
      <c r="F1272" s="36" t="str">
        <f aca="false">IF($D1272="","",IFERROR(INDEX('통합 ④ 설정'!$C$6:$C$40,MATCH($D1272,'통합 ④ 설정'!$B$6:$B$40,0)),""))</f>
        <v/>
      </c>
      <c r="G1272" s="39"/>
      <c r="H1272" s="39"/>
      <c r="I1272" s="40"/>
      <c r="J1272" s="41"/>
      <c r="K1272" s="38"/>
      <c r="L1272" s="42" t="str">
        <f aca="false">IF($B1272="","",IF(AND(N($I1272)=0,N($J1272)=0),"금액이 없습니다",IF(AND($I1272&gt;0,$J1272&gt;0),"수입·지출 둘 다 적혔습니다",IF($C1272="","결제수단을 고르십시오",IF(ISNA(MATCH($C1272,'통합 ③ 통장·카드'!$A$5:$A$11,0)),"③ 통장·카드에 없는 결제수단입니다",IF($D1272="","계정과목을 고르십시오",IF($E1272="※없는 과목","④ 설정에 없는 과목입니다",IF(AND($E1272="수입",$J1272&gt;0),"수입 과목인데 지출에 적혔습니다",IF(AND(LEFT($E1272,2)&lt;&gt;"수입",$E1272&lt;&gt;"대체",$I1272&gt;0),"지출 과목인데 수입에 적혔습니다",IF($K1272="","증빙을 고르십시오",IF(AND($C1272="바우처통장",$J1272&gt;0,IFERROR(INDEX('통합 ④ 설정'!$E$6:$E$40,MATCH($D1272,'통합 ④ 설정'!$B$6:$B$40,0)),"")&lt;&gt;"○"),"바우처통장 지출 — 목적 확인",IF($H1272="","적요를 적으십시오",""))))))))))))</f>
        <v/>
      </c>
      <c r="M1272" s="39"/>
      <c r="O1272" s="11" t="str">
        <f aca="false">IF($B1272="","",YEAR($B1272)*100+MONTH($B1272))</f>
        <v/>
      </c>
      <c r="P1272" s="11" t="str">
        <f aca="false">IF($B1272="","",IF($E1272="대체",0,1))</f>
        <v/>
      </c>
    </row>
    <row r="1273" customFormat="false" ht="15" hidden="false" customHeight="false" outlineLevel="0" collapsed="false">
      <c r="A1273" s="36" t="str">
        <f aca="false">IF($B1273="","",COUNT($B$15:$B1273))</f>
        <v/>
      </c>
      <c r="B1273" s="37"/>
      <c r="C1273" s="38"/>
      <c r="D1273" s="39"/>
      <c r="E1273" s="36" t="str">
        <f aca="false">IF($D1273="","",IFERROR(INDEX('통합 ④ 설정'!$A$6:$A$40,MATCH($D1273,'통합 ④ 설정'!$B$6:$B$40,0)),"※없는 과목"))</f>
        <v/>
      </c>
      <c r="F1273" s="36" t="str">
        <f aca="false">IF($D1273="","",IFERROR(INDEX('통합 ④ 설정'!$C$6:$C$40,MATCH($D1273,'통합 ④ 설정'!$B$6:$B$40,0)),""))</f>
        <v/>
      </c>
      <c r="G1273" s="39"/>
      <c r="H1273" s="39"/>
      <c r="I1273" s="40"/>
      <c r="J1273" s="41"/>
      <c r="K1273" s="38"/>
      <c r="L1273" s="42" t="str">
        <f aca="false">IF($B1273="","",IF(AND(N($I1273)=0,N($J1273)=0),"금액이 없습니다",IF(AND($I1273&gt;0,$J1273&gt;0),"수입·지출 둘 다 적혔습니다",IF($C1273="","결제수단을 고르십시오",IF(ISNA(MATCH($C1273,'통합 ③ 통장·카드'!$A$5:$A$11,0)),"③ 통장·카드에 없는 결제수단입니다",IF($D1273="","계정과목을 고르십시오",IF($E1273="※없는 과목","④ 설정에 없는 과목입니다",IF(AND($E1273="수입",$J1273&gt;0),"수입 과목인데 지출에 적혔습니다",IF(AND(LEFT($E1273,2)&lt;&gt;"수입",$E1273&lt;&gt;"대체",$I1273&gt;0),"지출 과목인데 수입에 적혔습니다",IF($K1273="","증빙을 고르십시오",IF(AND($C1273="바우처통장",$J1273&gt;0,IFERROR(INDEX('통합 ④ 설정'!$E$6:$E$40,MATCH($D1273,'통합 ④ 설정'!$B$6:$B$40,0)),"")&lt;&gt;"○"),"바우처통장 지출 — 목적 확인",IF($H1273="","적요를 적으십시오",""))))))))))))</f>
        <v/>
      </c>
      <c r="M1273" s="39"/>
      <c r="O1273" s="11" t="str">
        <f aca="false">IF($B1273="","",YEAR($B1273)*100+MONTH($B1273))</f>
        <v/>
      </c>
      <c r="P1273" s="11" t="str">
        <f aca="false">IF($B1273="","",IF($E1273="대체",0,1))</f>
        <v/>
      </c>
    </row>
    <row r="1274" customFormat="false" ht="15" hidden="false" customHeight="false" outlineLevel="0" collapsed="false">
      <c r="A1274" s="36" t="str">
        <f aca="false">IF($B1274="","",COUNT($B$15:$B1274))</f>
        <v/>
      </c>
      <c r="B1274" s="37"/>
      <c r="C1274" s="38"/>
      <c r="D1274" s="39"/>
      <c r="E1274" s="36" t="str">
        <f aca="false">IF($D1274="","",IFERROR(INDEX('통합 ④ 설정'!$A$6:$A$40,MATCH($D1274,'통합 ④ 설정'!$B$6:$B$40,0)),"※없는 과목"))</f>
        <v/>
      </c>
      <c r="F1274" s="36" t="str">
        <f aca="false">IF($D1274="","",IFERROR(INDEX('통합 ④ 설정'!$C$6:$C$40,MATCH($D1274,'통합 ④ 설정'!$B$6:$B$40,0)),""))</f>
        <v/>
      </c>
      <c r="G1274" s="39"/>
      <c r="H1274" s="39"/>
      <c r="I1274" s="40"/>
      <c r="J1274" s="41"/>
      <c r="K1274" s="38"/>
      <c r="L1274" s="42" t="str">
        <f aca="false">IF($B1274="","",IF(AND(N($I1274)=0,N($J1274)=0),"금액이 없습니다",IF(AND($I1274&gt;0,$J1274&gt;0),"수입·지출 둘 다 적혔습니다",IF($C1274="","결제수단을 고르십시오",IF(ISNA(MATCH($C1274,'통합 ③ 통장·카드'!$A$5:$A$11,0)),"③ 통장·카드에 없는 결제수단입니다",IF($D1274="","계정과목을 고르십시오",IF($E1274="※없는 과목","④ 설정에 없는 과목입니다",IF(AND($E1274="수입",$J1274&gt;0),"수입 과목인데 지출에 적혔습니다",IF(AND(LEFT($E1274,2)&lt;&gt;"수입",$E1274&lt;&gt;"대체",$I1274&gt;0),"지출 과목인데 수입에 적혔습니다",IF($K1274="","증빙을 고르십시오",IF(AND($C1274="바우처통장",$J1274&gt;0,IFERROR(INDEX('통합 ④ 설정'!$E$6:$E$40,MATCH($D1274,'통합 ④ 설정'!$B$6:$B$40,0)),"")&lt;&gt;"○"),"바우처통장 지출 — 목적 확인",IF($H1274="","적요를 적으십시오",""))))))))))))</f>
        <v/>
      </c>
      <c r="M1274" s="39"/>
      <c r="O1274" s="11" t="str">
        <f aca="false">IF($B1274="","",YEAR($B1274)*100+MONTH($B1274))</f>
        <v/>
      </c>
      <c r="P1274" s="11" t="str">
        <f aca="false">IF($B1274="","",IF($E1274="대체",0,1))</f>
        <v/>
      </c>
    </row>
    <row r="1275" customFormat="false" ht="15" hidden="false" customHeight="false" outlineLevel="0" collapsed="false">
      <c r="A1275" s="36" t="str">
        <f aca="false">IF($B1275="","",COUNT($B$15:$B1275))</f>
        <v/>
      </c>
      <c r="B1275" s="37"/>
      <c r="C1275" s="38"/>
      <c r="D1275" s="39"/>
      <c r="E1275" s="36" t="str">
        <f aca="false">IF($D1275="","",IFERROR(INDEX('통합 ④ 설정'!$A$6:$A$40,MATCH($D1275,'통합 ④ 설정'!$B$6:$B$40,0)),"※없는 과목"))</f>
        <v/>
      </c>
      <c r="F1275" s="36" t="str">
        <f aca="false">IF($D1275="","",IFERROR(INDEX('통합 ④ 설정'!$C$6:$C$40,MATCH($D1275,'통합 ④ 설정'!$B$6:$B$40,0)),""))</f>
        <v/>
      </c>
      <c r="G1275" s="39"/>
      <c r="H1275" s="39"/>
      <c r="I1275" s="40"/>
      <c r="J1275" s="41"/>
      <c r="K1275" s="38"/>
      <c r="L1275" s="42" t="str">
        <f aca="false">IF($B1275="","",IF(AND(N($I1275)=0,N($J1275)=0),"금액이 없습니다",IF(AND($I1275&gt;0,$J1275&gt;0),"수입·지출 둘 다 적혔습니다",IF($C1275="","결제수단을 고르십시오",IF(ISNA(MATCH($C1275,'통합 ③ 통장·카드'!$A$5:$A$11,0)),"③ 통장·카드에 없는 결제수단입니다",IF($D1275="","계정과목을 고르십시오",IF($E1275="※없는 과목","④ 설정에 없는 과목입니다",IF(AND($E1275="수입",$J1275&gt;0),"수입 과목인데 지출에 적혔습니다",IF(AND(LEFT($E1275,2)&lt;&gt;"수입",$E1275&lt;&gt;"대체",$I1275&gt;0),"지출 과목인데 수입에 적혔습니다",IF($K1275="","증빙을 고르십시오",IF(AND($C1275="바우처통장",$J1275&gt;0,IFERROR(INDEX('통합 ④ 설정'!$E$6:$E$40,MATCH($D1275,'통합 ④ 설정'!$B$6:$B$40,0)),"")&lt;&gt;"○"),"바우처통장 지출 — 목적 확인",IF($H1275="","적요를 적으십시오",""))))))))))))</f>
        <v/>
      </c>
      <c r="M1275" s="39"/>
      <c r="O1275" s="11" t="str">
        <f aca="false">IF($B1275="","",YEAR($B1275)*100+MONTH($B1275))</f>
        <v/>
      </c>
      <c r="P1275" s="11" t="str">
        <f aca="false">IF($B1275="","",IF($E1275="대체",0,1))</f>
        <v/>
      </c>
    </row>
    <row r="1276" customFormat="false" ht="15" hidden="false" customHeight="false" outlineLevel="0" collapsed="false">
      <c r="A1276" s="36" t="str">
        <f aca="false">IF($B1276="","",COUNT($B$15:$B1276))</f>
        <v/>
      </c>
      <c r="B1276" s="37"/>
      <c r="C1276" s="38"/>
      <c r="D1276" s="39"/>
      <c r="E1276" s="36" t="str">
        <f aca="false">IF($D1276="","",IFERROR(INDEX('통합 ④ 설정'!$A$6:$A$40,MATCH($D1276,'통합 ④ 설정'!$B$6:$B$40,0)),"※없는 과목"))</f>
        <v/>
      </c>
      <c r="F1276" s="36" t="str">
        <f aca="false">IF($D1276="","",IFERROR(INDEX('통합 ④ 설정'!$C$6:$C$40,MATCH($D1276,'통합 ④ 설정'!$B$6:$B$40,0)),""))</f>
        <v/>
      </c>
      <c r="G1276" s="39"/>
      <c r="H1276" s="39"/>
      <c r="I1276" s="40"/>
      <c r="J1276" s="41"/>
      <c r="K1276" s="38"/>
      <c r="L1276" s="42" t="str">
        <f aca="false">IF($B1276="","",IF(AND(N($I1276)=0,N($J1276)=0),"금액이 없습니다",IF(AND($I1276&gt;0,$J1276&gt;0),"수입·지출 둘 다 적혔습니다",IF($C1276="","결제수단을 고르십시오",IF(ISNA(MATCH($C1276,'통합 ③ 통장·카드'!$A$5:$A$11,0)),"③ 통장·카드에 없는 결제수단입니다",IF($D1276="","계정과목을 고르십시오",IF($E1276="※없는 과목","④ 설정에 없는 과목입니다",IF(AND($E1276="수입",$J1276&gt;0),"수입 과목인데 지출에 적혔습니다",IF(AND(LEFT($E1276,2)&lt;&gt;"수입",$E1276&lt;&gt;"대체",$I1276&gt;0),"지출 과목인데 수입에 적혔습니다",IF($K1276="","증빙을 고르십시오",IF(AND($C1276="바우처통장",$J1276&gt;0,IFERROR(INDEX('통합 ④ 설정'!$E$6:$E$40,MATCH($D1276,'통합 ④ 설정'!$B$6:$B$40,0)),"")&lt;&gt;"○"),"바우처통장 지출 — 목적 확인",IF($H1276="","적요를 적으십시오",""))))))))))))</f>
        <v/>
      </c>
      <c r="M1276" s="39"/>
      <c r="O1276" s="11" t="str">
        <f aca="false">IF($B1276="","",YEAR($B1276)*100+MONTH($B1276))</f>
        <v/>
      </c>
      <c r="P1276" s="11" t="str">
        <f aca="false">IF($B1276="","",IF($E1276="대체",0,1))</f>
        <v/>
      </c>
    </row>
    <row r="1277" customFormat="false" ht="15" hidden="false" customHeight="false" outlineLevel="0" collapsed="false">
      <c r="A1277" s="36" t="str">
        <f aca="false">IF($B1277="","",COUNT($B$15:$B1277))</f>
        <v/>
      </c>
      <c r="B1277" s="37"/>
      <c r="C1277" s="38"/>
      <c r="D1277" s="39"/>
      <c r="E1277" s="36" t="str">
        <f aca="false">IF($D1277="","",IFERROR(INDEX('통합 ④ 설정'!$A$6:$A$40,MATCH($D1277,'통합 ④ 설정'!$B$6:$B$40,0)),"※없는 과목"))</f>
        <v/>
      </c>
      <c r="F1277" s="36" t="str">
        <f aca="false">IF($D1277="","",IFERROR(INDEX('통합 ④ 설정'!$C$6:$C$40,MATCH($D1277,'통합 ④ 설정'!$B$6:$B$40,0)),""))</f>
        <v/>
      </c>
      <c r="G1277" s="39"/>
      <c r="H1277" s="39"/>
      <c r="I1277" s="40"/>
      <c r="J1277" s="41"/>
      <c r="K1277" s="38"/>
      <c r="L1277" s="42" t="str">
        <f aca="false">IF($B1277="","",IF(AND(N($I1277)=0,N($J1277)=0),"금액이 없습니다",IF(AND($I1277&gt;0,$J1277&gt;0),"수입·지출 둘 다 적혔습니다",IF($C1277="","결제수단을 고르십시오",IF(ISNA(MATCH($C1277,'통합 ③ 통장·카드'!$A$5:$A$11,0)),"③ 통장·카드에 없는 결제수단입니다",IF($D1277="","계정과목을 고르십시오",IF($E1277="※없는 과목","④ 설정에 없는 과목입니다",IF(AND($E1277="수입",$J1277&gt;0),"수입 과목인데 지출에 적혔습니다",IF(AND(LEFT($E1277,2)&lt;&gt;"수입",$E1277&lt;&gt;"대체",$I1277&gt;0),"지출 과목인데 수입에 적혔습니다",IF($K1277="","증빙을 고르십시오",IF(AND($C1277="바우처통장",$J1277&gt;0,IFERROR(INDEX('통합 ④ 설정'!$E$6:$E$40,MATCH($D1277,'통합 ④ 설정'!$B$6:$B$40,0)),"")&lt;&gt;"○"),"바우처통장 지출 — 목적 확인",IF($H1277="","적요를 적으십시오",""))))))))))))</f>
        <v/>
      </c>
      <c r="M1277" s="39"/>
      <c r="O1277" s="11" t="str">
        <f aca="false">IF($B1277="","",YEAR($B1277)*100+MONTH($B1277))</f>
        <v/>
      </c>
      <c r="P1277" s="11" t="str">
        <f aca="false">IF($B1277="","",IF($E1277="대체",0,1))</f>
        <v/>
      </c>
    </row>
    <row r="1278" customFormat="false" ht="15" hidden="false" customHeight="false" outlineLevel="0" collapsed="false">
      <c r="A1278" s="36" t="str">
        <f aca="false">IF($B1278="","",COUNT($B$15:$B1278))</f>
        <v/>
      </c>
      <c r="B1278" s="37"/>
      <c r="C1278" s="38"/>
      <c r="D1278" s="39"/>
      <c r="E1278" s="36" t="str">
        <f aca="false">IF($D1278="","",IFERROR(INDEX('통합 ④ 설정'!$A$6:$A$40,MATCH($D1278,'통합 ④ 설정'!$B$6:$B$40,0)),"※없는 과목"))</f>
        <v/>
      </c>
      <c r="F1278" s="36" t="str">
        <f aca="false">IF($D1278="","",IFERROR(INDEX('통합 ④ 설정'!$C$6:$C$40,MATCH($D1278,'통합 ④ 설정'!$B$6:$B$40,0)),""))</f>
        <v/>
      </c>
      <c r="G1278" s="39"/>
      <c r="H1278" s="39"/>
      <c r="I1278" s="40"/>
      <c r="J1278" s="41"/>
      <c r="K1278" s="38"/>
      <c r="L1278" s="42" t="str">
        <f aca="false">IF($B1278="","",IF(AND(N($I1278)=0,N($J1278)=0),"금액이 없습니다",IF(AND($I1278&gt;0,$J1278&gt;0),"수입·지출 둘 다 적혔습니다",IF($C1278="","결제수단을 고르십시오",IF(ISNA(MATCH($C1278,'통합 ③ 통장·카드'!$A$5:$A$11,0)),"③ 통장·카드에 없는 결제수단입니다",IF($D1278="","계정과목을 고르십시오",IF($E1278="※없는 과목","④ 설정에 없는 과목입니다",IF(AND($E1278="수입",$J1278&gt;0),"수입 과목인데 지출에 적혔습니다",IF(AND(LEFT($E1278,2)&lt;&gt;"수입",$E1278&lt;&gt;"대체",$I1278&gt;0),"지출 과목인데 수입에 적혔습니다",IF($K1278="","증빙을 고르십시오",IF(AND($C1278="바우처통장",$J1278&gt;0,IFERROR(INDEX('통합 ④ 설정'!$E$6:$E$40,MATCH($D1278,'통합 ④ 설정'!$B$6:$B$40,0)),"")&lt;&gt;"○"),"바우처통장 지출 — 목적 확인",IF($H1278="","적요를 적으십시오",""))))))))))))</f>
        <v/>
      </c>
      <c r="M1278" s="39"/>
      <c r="O1278" s="11" t="str">
        <f aca="false">IF($B1278="","",YEAR($B1278)*100+MONTH($B1278))</f>
        <v/>
      </c>
      <c r="P1278" s="11" t="str">
        <f aca="false">IF($B1278="","",IF($E1278="대체",0,1))</f>
        <v/>
      </c>
    </row>
    <row r="1279" customFormat="false" ht="15" hidden="false" customHeight="false" outlineLevel="0" collapsed="false">
      <c r="A1279" s="36" t="str">
        <f aca="false">IF($B1279="","",COUNT($B$15:$B1279))</f>
        <v/>
      </c>
      <c r="B1279" s="37"/>
      <c r="C1279" s="38"/>
      <c r="D1279" s="39"/>
      <c r="E1279" s="36" t="str">
        <f aca="false">IF($D1279="","",IFERROR(INDEX('통합 ④ 설정'!$A$6:$A$40,MATCH($D1279,'통합 ④ 설정'!$B$6:$B$40,0)),"※없는 과목"))</f>
        <v/>
      </c>
      <c r="F1279" s="36" t="str">
        <f aca="false">IF($D1279="","",IFERROR(INDEX('통합 ④ 설정'!$C$6:$C$40,MATCH($D1279,'통합 ④ 설정'!$B$6:$B$40,0)),""))</f>
        <v/>
      </c>
      <c r="G1279" s="39"/>
      <c r="H1279" s="39"/>
      <c r="I1279" s="40"/>
      <c r="J1279" s="41"/>
      <c r="K1279" s="38"/>
      <c r="L1279" s="42" t="str">
        <f aca="false">IF($B1279="","",IF(AND(N($I1279)=0,N($J1279)=0),"금액이 없습니다",IF(AND($I1279&gt;0,$J1279&gt;0),"수입·지출 둘 다 적혔습니다",IF($C1279="","결제수단을 고르십시오",IF(ISNA(MATCH($C1279,'통합 ③ 통장·카드'!$A$5:$A$11,0)),"③ 통장·카드에 없는 결제수단입니다",IF($D1279="","계정과목을 고르십시오",IF($E1279="※없는 과목","④ 설정에 없는 과목입니다",IF(AND($E1279="수입",$J1279&gt;0),"수입 과목인데 지출에 적혔습니다",IF(AND(LEFT($E1279,2)&lt;&gt;"수입",$E1279&lt;&gt;"대체",$I1279&gt;0),"지출 과목인데 수입에 적혔습니다",IF($K1279="","증빙을 고르십시오",IF(AND($C1279="바우처통장",$J1279&gt;0,IFERROR(INDEX('통합 ④ 설정'!$E$6:$E$40,MATCH($D1279,'통합 ④ 설정'!$B$6:$B$40,0)),"")&lt;&gt;"○"),"바우처통장 지출 — 목적 확인",IF($H1279="","적요를 적으십시오",""))))))))))))</f>
        <v/>
      </c>
      <c r="M1279" s="39"/>
      <c r="O1279" s="11" t="str">
        <f aca="false">IF($B1279="","",YEAR($B1279)*100+MONTH($B1279))</f>
        <v/>
      </c>
      <c r="P1279" s="11" t="str">
        <f aca="false">IF($B1279="","",IF($E1279="대체",0,1))</f>
        <v/>
      </c>
    </row>
    <row r="1280" customFormat="false" ht="15" hidden="false" customHeight="false" outlineLevel="0" collapsed="false">
      <c r="A1280" s="36" t="str">
        <f aca="false">IF($B1280="","",COUNT($B$15:$B1280))</f>
        <v/>
      </c>
      <c r="B1280" s="37"/>
      <c r="C1280" s="38"/>
      <c r="D1280" s="39"/>
      <c r="E1280" s="36" t="str">
        <f aca="false">IF($D1280="","",IFERROR(INDEX('통합 ④ 설정'!$A$6:$A$40,MATCH($D1280,'통합 ④ 설정'!$B$6:$B$40,0)),"※없는 과목"))</f>
        <v/>
      </c>
      <c r="F1280" s="36" t="str">
        <f aca="false">IF($D1280="","",IFERROR(INDEX('통합 ④ 설정'!$C$6:$C$40,MATCH($D1280,'통합 ④ 설정'!$B$6:$B$40,0)),""))</f>
        <v/>
      </c>
      <c r="G1280" s="39"/>
      <c r="H1280" s="39"/>
      <c r="I1280" s="40"/>
      <c r="J1280" s="41"/>
      <c r="K1280" s="38"/>
      <c r="L1280" s="42" t="str">
        <f aca="false">IF($B1280="","",IF(AND(N($I1280)=0,N($J1280)=0),"금액이 없습니다",IF(AND($I1280&gt;0,$J1280&gt;0),"수입·지출 둘 다 적혔습니다",IF($C1280="","결제수단을 고르십시오",IF(ISNA(MATCH($C1280,'통합 ③ 통장·카드'!$A$5:$A$11,0)),"③ 통장·카드에 없는 결제수단입니다",IF($D1280="","계정과목을 고르십시오",IF($E1280="※없는 과목","④ 설정에 없는 과목입니다",IF(AND($E1280="수입",$J1280&gt;0),"수입 과목인데 지출에 적혔습니다",IF(AND(LEFT($E1280,2)&lt;&gt;"수입",$E1280&lt;&gt;"대체",$I1280&gt;0),"지출 과목인데 수입에 적혔습니다",IF($K1280="","증빙을 고르십시오",IF(AND($C1280="바우처통장",$J1280&gt;0,IFERROR(INDEX('통합 ④ 설정'!$E$6:$E$40,MATCH($D1280,'통합 ④ 설정'!$B$6:$B$40,0)),"")&lt;&gt;"○"),"바우처통장 지출 — 목적 확인",IF($H1280="","적요를 적으십시오",""))))))))))))</f>
        <v/>
      </c>
      <c r="M1280" s="39"/>
      <c r="O1280" s="11" t="str">
        <f aca="false">IF($B1280="","",YEAR($B1280)*100+MONTH($B1280))</f>
        <v/>
      </c>
      <c r="P1280" s="11" t="str">
        <f aca="false">IF($B1280="","",IF($E1280="대체",0,1))</f>
        <v/>
      </c>
    </row>
    <row r="1281" customFormat="false" ht="15" hidden="false" customHeight="false" outlineLevel="0" collapsed="false">
      <c r="A1281" s="36" t="str">
        <f aca="false">IF($B1281="","",COUNT($B$15:$B1281))</f>
        <v/>
      </c>
      <c r="B1281" s="37"/>
      <c r="C1281" s="38"/>
      <c r="D1281" s="39"/>
      <c r="E1281" s="36" t="str">
        <f aca="false">IF($D1281="","",IFERROR(INDEX('통합 ④ 설정'!$A$6:$A$40,MATCH($D1281,'통합 ④ 설정'!$B$6:$B$40,0)),"※없는 과목"))</f>
        <v/>
      </c>
      <c r="F1281" s="36" t="str">
        <f aca="false">IF($D1281="","",IFERROR(INDEX('통합 ④ 설정'!$C$6:$C$40,MATCH($D1281,'통합 ④ 설정'!$B$6:$B$40,0)),""))</f>
        <v/>
      </c>
      <c r="G1281" s="39"/>
      <c r="H1281" s="39"/>
      <c r="I1281" s="40"/>
      <c r="J1281" s="41"/>
      <c r="K1281" s="38"/>
      <c r="L1281" s="42" t="str">
        <f aca="false">IF($B1281="","",IF(AND(N($I1281)=0,N($J1281)=0),"금액이 없습니다",IF(AND($I1281&gt;0,$J1281&gt;0),"수입·지출 둘 다 적혔습니다",IF($C1281="","결제수단을 고르십시오",IF(ISNA(MATCH($C1281,'통합 ③ 통장·카드'!$A$5:$A$11,0)),"③ 통장·카드에 없는 결제수단입니다",IF($D1281="","계정과목을 고르십시오",IF($E1281="※없는 과목","④ 설정에 없는 과목입니다",IF(AND($E1281="수입",$J1281&gt;0),"수입 과목인데 지출에 적혔습니다",IF(AND(LEFT($E1281,2)&lt;&gt;"수입",$E1281&lt;&gt;"대체",$I1281&gt;0),"지출 과목인데 수입에 적혔습니다",IF($K1281="","증빙을 고르십시오",IF(AND($C1281="바우처통장",$J1281&gt;0,IFERROR(INDEX('통합 ④ 설정'!$E$6:$E$40,MATCH($D1281,'통합 ④ 설정'!$B$6:$B$40,0)),"")&lt;&gt;"○"),"바우처통장 지출 — 목적 확인",IF($H1281="","적요를 적으십시오",""))))))))))))</f>
        <v/>
      </c>
      <c r="M1281" s="39"/>
      <c r="O1281" s="11" t="str">
        <f aca="false">IF($B1281="","",YEAR($B1281)*100+MONTH($B1281))</f>
        <v/>
      </c>
      <c r="P1281" s="11" t="str">
        <f aca="false">IF($B1281="","",IF($E1281="대체",0,1))</f>
        <v/>
      </c>
    </row>
    <row r="1282" customFormat="false" ht="15" hidden="false" customHeight="false" outlineLevel="0" collapsed="false">
      <c r="A1282" s="36" t="str">
        <f aca="false">IF($B1282="","",COUNT($B$15:$B1282))</f>
        <v/>
      </c>
      <c r="B1282" s="37"/>
      <c r="C1282" s="38"/>
      <c r="D1282" s="39"/>
      <c r="E1282" s="36" t="str">
        <f aca="false">IF($D1282="","",IFERROR(INDEX('통합 ④ 설정'!$A$6:$A$40,MATCH($D1282,'통합 ④ 설정'!$B$6:$B$40,0)),"※없는 과목"))</f>
        <v/>
      </c>
      <c r="F1282" s="36" t="str">
        <f aca="false">IF($D1282="","",IFERROR(INDEX('통합 ④ 설정'!$C$6:$C$40,MATCH($D1282,'통합 ④ 설정'!$B$6:$B$40,0)),""))</f>
        <v/>
      </c>
      <c r="G1282" s="39"/>
      <c r="H1282" s="39"/>
      <c r="I1282" s="40"/>
      <c r="J1282" s="41"/>
      <c r="K1282" s="38"/>
      <c r="L1282" s="42" t="str">
        <f aca="false">IF($B1282="","",IF(AND(N($I1282)=0,N($J1282)=0),"금액이 없습니다",IF(AND($I1282&gt;0,$J1282&gt;0),"수입·지출 둘 다 적혔습니다",IF($C1282="","결제수단을 고르십시오",IF(ISNA(MATCH($C1282,'통합 ③ 통장·카드'!$A$5:$A$11,0)),"③ 통장·카드에 없는 결제수단입니다",IF($D1282="","계정과목을 고르십시오",IF($E1282="※없는 과목","④ 설정에 없는 과목입니다",IF(AND($E1282="수입",$J1282&gt;0),"수입 과목인데 지출에 적혔습니다",IF(AND(LEFT($E1282,2)&lt;&gt;"수입",$E1282&lt;&gt;"대체",$I1282&gt;0),"지출 과목인데 수입에 적혔습니다",IF($K1282="","증빙을 고르십시오",IF(AND($C1282="바우처통장",$J1282&gt;0,IFERROR(INDEX('통합 ④ 설정'!$E$6:$E$40,MATCH($D1282,'통합 ④ 설정'!$B$6:$B$40,0)),"")&lt;&gt;"○"),"바우처통장 지출 — 목적 확인",IF($H1282="","적요를 적으십시오",""))))))))))))</f>
        <v/>
      </c>
      <c r="M1282" s="39"/>
      <c r="O1282" s="11" t="str">
        <f aca="false">IF($B1282="","",YEAR($B1282)*100+MONTH($B1282))</f>
        <v/>
      </c>
      <c r="P1282" s="11" t="str">
        <f aca="false">IF($B1282="","",IF($E1282="대체",0,1))</f>
        <v/>
      </c>
    </row>
    <row r="1283" customFormat="false" ht="15" hidden="false" customHeight="false" outlineLevel="0" collapsed="false">
      <c r="A1283" s="36" t="str">
        <f aca="false">IF($B1283="","",COUNT($B$15:$B1283))</f>
        <v/>
      </c>
      <c r="B1283" s="37"/>
      <c r="C1283" s="38"/>
      <c r="D1283" s="39"/>
      <c r="E1283" s="36" t="str">
        <f aca="false">IF($D1283="","",IFERROR(INDEX('통합 ④ 설정'!$A$6:$A$40,MATCH($D1283,'통합 ④ 설정'!$B$6:$B$40,0)),"※없는 과목"))</f>
        <v/>
      </c>
      <c r="F1283" s="36" t="str">
        <f aca="false">IF($D1283="","",IFERROR(INDEX('통합 ④ 설정'!$C$6:$C$40,MATCH($D1283,'통합 ④ 설정'!$B$6:$B$40,0)),""))</f>
        <v/>
      </c>
      <c r="G1283" s="39"/>
      <c r="H1283" s="39"/>
      <c r="I1283" s="40"/>
      <c r="J1283" s="41"/>
      <c r="K1283" s="38"/>
      <c r="L1283" s="42" t="str">
        <f aca="false">IF($B1283="","",IF(AND(N($I1283)=0,N($J1283)=0),"금액이 없습니다",IF(AND($I1283&gt;0,$J1283&gt;0),"수입·지출 둘 다 적혔습니다",IF($C1283="","결제수단을 고르십시오",IF(ISNA(MATCH($C1283,'통합 ③ 통장·카드'!$A$5:$A$11,0)),"③ 통장·카드에 없는 결제수단입니다",IF($D1283="","계정과목을 고르십시오",IF($E1283="※없는 과목","④ 설정에 없는 과목입니다",IF(AND($E1283="수입",$J1283&gt;0),"수입 과목인데 지출에 적혔습니다",IF(AND(LEFT($E1283,2)&lt;&gt;"수입",$E1283&lt;&gt;"대체",$I1283&gt;0),"지출 과목인데 수입에 적혔습니다",IF($K1283="","증빙을 고르십시오",IF(AND($C1283="바우처통장",$J1283&gt;0,IFERROR(INDEX('통합 ④ 설정'!$E$6:$E$40,MATCH($D1283,'통합 ④ 설정'!$B$6:$B$40,0)),"")&lt;&gt;"○"),"바우처통장 지출 — 목적 확인",IF($H1283="","적요를 적으십시오",""))))))))))))</f>
        <v/>
      </c>
      <c r="M1283" s="39"/>
      <c r="O1283" s="11" t="str">
        <f aca="false">IF($B1283="","",YEAR($B1283)*100+MONTH($B1283))</f>
        <v/>
      </c>
      <c r="P1283" s="11" t="str">
        <f aca="false">IF($B1283="","",IF($E1283="대체",0,1))</f>
        <v/>
      </c>
    </row>
    <row r="1284" customFormat="false" ht="15" hidden="false" customHeight="false" outlineLevel="0" collapsed="false">
      <c r="A1284" s="36" t="str">
        <f aca="false">IF($B1284="","",COUNT($B$15:$B1284))</f>
        <v/>
      </c>
      <c r="B1284" s="37"/>
      <c r="C1284" s="38"/>
      <c r="D1284" s="39"/>
      <c r="E1284" s="36" t="str">
        <f aca="false">IF($D1284="","",IFERROR(INDEX('통합 ④ 설정'!$A$6:$A$40,MATCH($D1284,'통합 ④ 설정'!$B$6:$B$40,0)),"※없는 과목"))</f>
        <v/>
      </c>
      <c r="F1284" s="36" t="str">
        <f aca="false">IF($D1284="","",IFERROR(INDEX('통합 ④ 설정'!$C$6:$C$40,MATCH($D1284,'통합 ④ 설정'!$B$6:$B$40,0)),""))</f>
        <v/>
      </c>
      <c r="G1284" s="39"/>
      <c r="H1284" s="39"/>
      <c r="I1284" s="40"/>
      <c r="J1284" s="41"/>
      <c r="K1284" s="38"/>
      <c r="L1284" s="42" t="str">
        <f aca="false">IF($B1284="","",IF(AND(N($I1284)=0,N($J1284)=0),"금액이 없습니다",IF(AND($I1284&gt;0,$J1284&gt;0),"수입·지출 둘 다 적혔습니다",IF($C1284="","결제수단을 고르십시오",IF(ISNA(MATCH($C1284,'통합 ③ 통장·카드'!$A$5:$A$11,0)),"③ 통장·카드에 없는 결제수단입니다",IF($D1284="","계정과목을 고르십시오",IF($E1284="※없는 과목","④ 설정에 없는 과목입니다",IF(AND($E1284="수입",$J1284&gt;0),"수입 과목인데 지출에 적혔습니다",IF(AND(LEFT($E1284,2)&lt;&gt;"수입",$E1284&lt;&gt;"대체",$I1284&gt;0),"지출 과목인데 수입에 적혔습니다",IF($K1284="","증빙을 고르십시오",IF(AND($C1284="바우처통장",$J1284&gt;0,IFERROR(INDEX('통합 ④ 설정'!$E$6:$E$40,MATCH($D1284,'통합 ④ 설정'!$B$6:$B$40,0)),"")&lt;&gt;"○"),"바우처통장 지출 — 목적 확인",IF($H1284="","적요를 적으십시오",""))))))))))))</f>
        <v/>
      </c>
      <c r="M1284" s="39"/>
      <c r="O1284" s="11" t="str">
        <f aca="false">IF($B1284="","",YEAR($B1284)*100+MONTH($B1284))</f>
        <v/>
      </c>
      <c r="P1284" s="11" t="str">
        <f aca="false">IF($B1284="","",IF($E1284="대체",0,1))</f>
        <v/>
      </c>
    </row>
    <row r="1285" customFormat="false" ht="15" hidden="false" customHeight="false" outlineLevel="0" collapsed="false">
      <c r="A1285" s="36" t="str">
        <f aca="false">IF($B1285="","",COUNT($B$15:$B1285))</f>
        <v/>
      </c>
      <c r="B1285" s="37"/>
      <c r="C1285" s="38"/>
      <c r="D1285" s="39"/>
      <c r="E1285" s="36" t="str">
        <f aca="false">IF($D1285="","",IFERROR(INDEX('통합 ④ 설정'!$A$6:$A$40,MATCH($D1285,'통합 ④ 설정'!$B$6:$B$40,0)),"※없는 과목"))</f>
        <v/>
      </c>
      <c r="F1285" s="36" t="str">
        <f aca="false">IF($D1285="","",IFERROR(INDEX('통합 ④ 설정'!$C$6:$C$40,MATCH($D1285,'통합 ④ 설정'!$B$6:$B$40,0)),""))</f>
        <v/>
      </c>
      <c r="G1285" s="39"/>
      <c r="H1285" s="39"/>
      <c r="I1285" s="40"/>
      <c r="J1285" s="41"/>
      <c r="K1285" s="38"/>
      <c r="L1285" s="42" t="str">
        <f aca="false">IF($B1285="","",IF(AND(N($I1285)=0,N($J1285)=0),"금액이 없습니다",IF(AND($I1285&gt;0,$J1285&gt;0),"수입·지출 둘 다 적혔습니다",IF($C1285="","결제수단을 고르십시오",IF(ISNA(MATCH($C1285,'통합 ③ 통장·카드'!$A$5:$A$11,0)),"③ 통장·카드에 없는 결제수단입니다",IF($D1285="","계정과목을 고르십시오",IF($E1285="※없는 과목","④ 설정에 없는 과목입니다",IF(AND($E1285="수입",$J1285&gt;0),"수입 과목인데 지출에 적혔습니다",IF(AND(LEFT($E1285,2)&lt;&gt;"수입",$E1285&lt;&gt;"대체",$I1285&gt;0),"지출 과목인데 수입에 적혔습니다",IF($K1285="","증빙을 고르십시오",IF(AND($C1285="바우처통장",$J1285&gt;0,IFERROR(INDEX('통합 ④ 설정'!$E$6:$E$40,MATCH($D1285,'통합 ④ 설정'!$B$6:$B$40,0)),"")&lt;&gt;"○"),"바우처통장 지출 — 목적 확인",IF($H1285="","적요를 적으십시오",""))))))))))))</f>
        <v/>
      </c>
      <c r="M1285" s="39"/>
      <c r="O1285" s="11" t="str">
        <f aca="false">IF($B1285="","",YEAR($B1285)*100+MONTH($B1285))</f>
        <v/>
      </c>
      <c r="P1285" s="11" t="str">
        <f aca="false">IF($B1285="","",IF($E1285="대체",0,1))</f>
        <v/>
      </c>
    </row>
    <row r="1286" customFormat="false" ht="15" hidden="false" customHeight="false" outlineLevel="0" collapsed="false">
      <c r="A1286" s="36" t="str">
        <f aca="false">IF($B1286="","",COUNT($B$15:$B1286))</f>
        <v/>
      </c>
      <c r="B1286" s="37"/>
      <c r="C1286" s="38"/>
      <c r="D1286" s="39"/>
      <c r="E1286" s="36" t="str">
        <f aca="false">IF($D1286="","",IFERROR(INDEX('통합 ④ 설정'!$A$6:$A$40,MATCH($D1286,'통합 ④ 설정'!$B$6:$B$40,0)),"※없는 과목"))</f>
        <v/>
      </c>
      <c r="F1286" s="36" t="str">
        <f aca="false">IF($D1286="","",IFERROR(INDEX('통합 ④ 설정'!$C$6:$C$40,MATCH($D1286,'통합 ④ 설정'!$B$6:$B$40,0)),""))</f>
        <v/>
      </c>
      <c r="G1286" s="39"/>
      <c r="H1286" s="39"/>
      <c r="I1286" s="40"/>
      <c r="J1286" s="41"/>
      <c r="K1286" s="38"/>
      <c r="L1286" s="42" t="str">
        <f aca="false">IF($B1286="","",IF(AND(N($I1286)=0,N($J1286)=0),"금액이 없습니다",IF(AND($I1286&gt;0,$J1286&gt;0),"수입·지출 둘 다 적혔습니다",IF($C1286="","결제수단을 고르십시오",IF(ISNA(MATCH($C1286,'통합 ③ 통장·카드'!$A$5:$A$11,0)),"③ 통장·카드에 없는 결제수단입니다",IF($D1286="","계정과목을 고르십시오",IF($E1286="※없는 과목","④ 설정에 없는 과목입니다",IF(AND($E1286="수입",$J1286&gt;0),"수입 과목인데 지출에 적혔습니다",IF(AND(LEFT($E1286,2)&lt;&gt;"수입",$E1286&lt;&gt;"대체",$I1286&gt;0),"지출 과목인데 수입에 적혔습니다",IF($K1286="","증빙을 고르십시오",IF(AND($C1286="바우처통장",$J1286&gt;0,IFERROR(INDEX('통합 ④ 설정'!$E$6:$E$40,MATCH($D1286,'통합 ④ 설정'!$B$6:$B$40,0)),"")&lt;&gt;"○"),"바우처통장 지출 — 목적 확인",IF($H1286="","적요를 적으십시오",""))))))))))))</f>
        <v/>
      </c>
      <c r="M1286" s="39"/>
      <c r="O1286" s="11" t="str">
        <f aca="false">IF($B1286="","",YEAR($B1286)*100+MONTH($B1286))</f>
        <v/>
      </c>
      <c r="P1286" s="11" t="str">
        <f aca="false">IF($B1286="","",IF($E1286="대체",0,1))</f>
        <v/>
      </c>
    </row>
    <row r="1287" customFormat="false" ht="15" hidden="false" customHeight="false" outlineLevel="0" collapsed="false">
      <c r="A1287" s="36" t="str">
        <f aca="false">IF($B1287="","",COUNT($B$15:$B1287))</f>
        <v/>
      </c>
      <c r="B1287" s="37"/>
      <c r="C1287" s="38"/>
      <c r="D1287" s="39"/>
      <c r="E1287" s="36" t="str">
        <f aca="false">IF($D1287="","",IFERROR(INDEX('통합 ④ 설정'!$A$6:$A$40,MATCH($D1287,'통합 ④ 설정'!$B$6:$B$40,0)),"※없는 과목"))</f>
        <v/>
      </c>
      <c r="F1287" s="36" t="str">
        <f aca="false">IF($D1287="","",IFERROR(INDEX('통합 ④ 설정'!$C$6:$C$40,MATCH($D1287,'통합 ④ 설정'!$B$6:$B$40,0)),""))</f>
        <v/>
      </c>
      <c r="G1287" s="39"/>
      <c r="H1287" s="39"/>
      <c r="I1287" s="40"/>
      <c r="J1287" s="41"/>
      <c r="K1287" s="38"/>
      <c r="L1287" s="42" t="str">
        <f aca="false">IF($B1287="","",IF(AND(N($I1287)=0,N($J1287)=0),"금액이 없습니다",IF(AND($I1287&gt;0,$J1287&gt;0),"수입·지출 둘 다 적혔습니다",IF($C1287="","결제수단을 고르십시오",IF(ISNA(MATCH($C1287,'통합 ③ 통장·카드'!$A$5:$A$11,0)),"③ 통장·카드에 없는 결제수단입니다",IF($D1287="","계정과목을 고르십시오",IF($E1287="※없는 과목","④ 설정에 없는 과목입니다",IF(AND($E1287="수입",$J1287&gt;0),"수입 과목인데 지출에 적혔습니다",IF(AND(LEFT($E1287,2)&lt;&gt;"수입",$E1287&lt;&gt;"대체",$I1287&gt;0),"지출 과목인데 수입에 적혔습니다",IF($K1287="","증빙을 고르십시오",IF(AND($C1287="바우처통장",$J1287&gt;0,IFERROR(INDEX('통합 ④ 설정'!$E$6:$E$40,MATCH($D1287,'통합 ④ 설정'!$B$6:$B$40,0)),"")&lt;&gt;"○"),"바우처통장 지출 — 목적 확인",IF($H1287="","적요를 적으십시오",""))))))))))))</f>
        <v/>
      </c>
      <c r="M1287" s="39"/>
      <c r="O1287" s="11" t="str">
        <f aca="false">IF($B1287="","",YEAR($B1287)*100+MONTH($B1287))</f>
        <v/>
      </c>
      <c r="P1287" s="11" t="str">
        <f aca="false">IF($B1287="","",IF($E1287="대체",0,1))</f>
        <v/>
      </c>
    </row>
    <row r="1288" customFormat="false" ht="15" hidden="false" customHeight="false" outlineLevel="0" collapsed="false">
      <c r="A1288" s="36" t="str">
        <f aca="false">IF($B1288="","",COUNT($B$15:$B1288))</f>
        <v/>
      </c>
      <c r="B1288" s="37"/>
      <c r="C1288" s="38"/>
      <c r="D1288" s="39"/>
      <c r="E1288" s="36" t="str">
        <f aca="false">IF($D1288="","",IFERROR(INDEX('통합 ④ 설정'!$A$6:$A$40,MATCH($D1288,'통합 ④ 설정'!$B$6:$B$40,0)),"※없는 과목"))</f>
        <v/>
      </c>
      <c r="F1288" s="36" t="str">
        <f aca="false">IF($D1288="","",IFERROR(INDEX('통합 ④ 설정'!$C$6:$C$40,MATCH($D1288,'통합 ④ 설정'!$B$6:$B$40,0)),""))</f>
        <v/>
      </c>
      <c r="G1288" s="39"/>
      <c r="H1288" s="39"/>
      <c r="I1288" s="40"/>
      <c r="J1288" s="41"/>
      <c r="K1288" s="38"/>
      <c r="L1288" s="42" t="str">
        <f aca="false">IF($B1288="","",IF(AND(N($I1288)=0,N($J1288)=0),"금액이 없습니다",IF(AND($I1288&gt;0,$J1288&gt;0),"수입·지출 둘 다 적혔습니다",IF($C1288="","결제수단을 고르십시오",IF(ISNA(MATCH($C1288,'통합 ③ 통장·카드'!$A$5:$A$11,0)),"③ 통장·카드에 없는 결제수단입니다",IF($D1288="","계정과목을 고르십시오",IF($E1288="※없는 과목","④ 설정에 없는 과목입니다",IF(AND($E1288="수입",$J1288&gt;0),"수입 과목인데 지출에 적혔습니다",IF(AND(LEFT($E1288,2)&lt;&gt;"수입",$E1288&lt;&gt;"대체",$I1288&gt;0),"지출 과목인데 수입에 적혔습니다",IF($K1288="","증빙을 고르십시오",IF(AND($C1288="바우처통장",$J1288&gt;0,IFERROR(INDEX('통합 ④ 설정'!$E$6:$E$40,MATCH($D1288,'통합 ④ 설정'!$B$6:$B$40,0)),"")&lt;&gt;"○"),"바우처통장 지출 — 목적 확인",IF($H1288="","적요를 적으십시오",""))))))))))))</f>
        <v/>
      </c>
      <c r="M1288" s="39"/>
      <c r="O1288" s="11" t="str">
        <f aca="false">IF($B1288="","",YEAR($B1288)*100+MONTH($B1288))</f>
        <v/>
      </c>
      <c r="P1288" s="11" t="str">
        <f aca="false">IF($B1288="","",IF($E1288="대체",0,1))</f>
        <v/>
      </c>
    </row>
    <row r="1289" customFormat="false" ht="15" hidden="false" customHeight="false" outlineLevel="0" collapsed="false">
      <c r="A1289" s="36" t="str">
        <f aca="false">IF($B1289="","",COUNT($B$15:$B1289))</f>
        <v/>
      </c>
      <c r="B1289" s="37"/>
      <c r="C1289" s="38"/>
      <c r="D1289" s="39"/>
      <c r="E1289" s="36" t="str">
        <f aca="false">IF($D1289="","",IFERROR(INDEX('통합 ④ 설정'!$A$6:$A$40,MATCH($D1289,'통합 ④ 설정'!$B$6:$B$40,0)),"※없는 과목"))</f>
        <v/>
      </c>
      <c r="F1289" s="36" t="str">
        <f aca="false">IF($D1289="","",IFERROR(INDEX('통합 ④ 설정'!$C$6:$C$40,MATCH($D1289,'통합 ④ 설정'!$B$6:$B$40,0)),""))</f>
        <v/>
      </c>
      <c r="G1289" s="39"/>
      <c r="H1289" s="39"/>
      <c r="I1289" s="40"/>
      <c r="J1289" s="41"/>
      <c r="K1289" s="38"/>
      <c r="L1289" s="42" t="str">
        <f aca="false">IF($B1289="","",IF(AND(N($I1289)=0,N($J1289)=0),"금액이 없습니다",IF(AND($I1289&gt;0,$J1289&gt;0),"수입·지출 둘 다 적혔습니다",IF($C1289="","결제수단을 고르십시오",IF(ISNA(MATCH($C1289,'통합 ③ 통장·카드'!$A$5:$A$11,0)),"③ 통장·카드에 없는 결제수단입니다",IF($D1289="","계정과목을 고르십시오",IF($E1289="※없는 과목","④ 설정에 없는 과목입니다",IF(AND($E1289="수입",$J1289&gt;0),"수입 과목인데 지출에 적혔습니다",IF(AND(LEFT($E1289,2)&lt;&gt;"수입",$E1289&lt;&gt;"대체",$I1289&gt;0),"지출 과목인데 수입에 적혔습니다",IF($K1289="","증빙을 고르십시오",IF(AND($C1289="바우처통장",$J1289&gt;0,IFERROR(INDEX('통합 ④ 설정'!$E$6:$E$40,MATCH($D1289,'통합 ④ 설정'!$B$6:$B$40,0)),"")&lt;&gt;"○"),"바우처통장 지출 — 목적 확인",IF($H1289="","적요를 적으십시오",""))))))))))))</f>
        <v/>
      </c>
      <c r="M1289" s="39"/>
      <c r="O1289" s="11" t="str">
        <f aca="false">IF($B1289="","",YEAR($B1289)*100+MONTH($B1289))</f>
        <v/>
      </c>
      <c r="P1289" s="11" t="str">
        <f aca="false">IF($B1289="","",IF($E1289="대체",0,1))</f>
        <v/>
      </c>
    </row>
    <row r="1290" customFormat="false" ht="15" hidden="false" customHeight="false" outlineLevel="0" collapsed="false">
      <c r="A1290" s="36" t="str">
        <f aca="false">IF($B1290="","",COUNT($B$15:$B1290))</f>
        <v/>
      </c>
      <c r="B1290" s="37"/>
      <c r="C1290" s="38"/>
      <c r="D1290" s="39"/>
      <c r="E1290" s="36" t="str">
        <f aca="false">IF($D1290="","",IFERROR(INDEX('통합 ④ 설정'!$A$6:$A$40,MATCH($D1290,'통합 ④ 설정'!$B$6:$B$40,0)),"※없는 과목"))</f>
        <v/>
      </c>
      <c r="F1290" s="36" t="str">
        <f aca="false">IF($D1290="","",IFERROR(INDEX('통합 ④ 설정'!$C$6:$C$40,MATCH($D1290,'통합 ④ 설정'!$B$6:$B$40,0)),""))</f>
        <v/>
      </c>
      <c r="G1290" s="39"/>
      <c r="H1290" s="39"/>
      <c r="I1290" s="40"/>
      <c r="J1290" s="41"/>
      <c r="K1290" s="38"/>
      <c r="L1290" s="42" t="str">
        <f aca="false">IF($B1290="","",IF(AND(N($I1290)=0,N($J1290)=0),"금액이 없습니다",IF(AND($I1290&gt;0,$J1290&gt;0),"수입·지출 둘 다 적혔습니다",IF($C1290="","결제수단을 고르십시오",IF(ISNA(MATCH($C1290,'통합 ③ 통장·카드'!$A$5:$A$11,0)),"③ 통장·카드에 없는 결제수단입니다",IF($D1290="","계정과목을 고르십시오",IF($E1290="※없는 과목","④ 설정에 없는 과목입니다",IF(AND($E1290="수입",$J1290&gt;0),"수입 과목인데 지출에 적혔습니다",IF(AND(LEFT($E1290,2)&lt;&gt;"수입",$E1290&lt;&gt;"대체",$I1290&gt;0),"지출 과목인데 수입에 적혔습니다",IF($K1290="","증빙을 고르십시오",IF(AND($C1290="바우처통장",$J1290&gt;0,IFERROR(INDEX('통합 ④ 설정'!$E$6:$E$40,MATCH($D1290,'통합 ④ 설정'!$B$6:$B$40,0)),"")&lt;&gt;"○"),"바우처통장 지출 — 목적 확인",IF($H1290="","적요를 적으십시오",""))))))))))))</f>
        <v/>
      </c>
      <c r="M1290" s="39"/>
      <c r="O1290" s="11" t="str">
        <f aca="false">IF($B1290="","",YEAR($B1290)*100+MONTH($B1290))</f>
        <v/>
      </c>
      <c r="P1290" s="11" t="str">
        <f aca="false">IF($B1290="","",IF($E1290="대체",0,1))</f>
        <v/>
      </c>
    </row>
    <row r="1291" customFormat="false" ht="15" hidden="false" customHeight="false" outlineLevel="0" collapsed="false">
      <c r="A1291" s="36" t="str">
        <f aca="false">IF($B1291="","",COUNT($B$15:$B1291))</f>
        <v/>
      </c>
      <c r="B1291" s="37"/>
      <c r="C1291" s="38"/>
      <c r="D1291" s="39"/>
      <c r="E1291" s="36" t="str">
        <f aca="false">IF($D1291="","",IFERROR(INDEX('통합 ④ 설정'!$A$6:$A$40,MATCH($D1291,'통합 ④ 설정'!$B$6:$B$40,0)),"※없는 과목"))</f>
        <v/>
      </c>
      <c r="F1291" s="36" t="str">
        <f aca="false">IF($D1291="","",IFERROR(INDEX('통합 ④ 설정'!$C$6:$C$40,MATCH($D1291,'통합 ④ 설정'!$B$6:$B$40,0)),""))</f>
        <v/>
      </c>
      <c r="G1291" s="39"/>
      <c r="H1291" s="39"/>
      <c r="I1291" s="40"/>
      <c r="J1291" s="41"/>
      <c r="K1291" s="38"/>
      <c r="L1291" s="42" t="str">
        <f aca="false">IF($B1291="","",IF(AND(N($I1291)=0,N($J1291)=0),"금액이 없습니다",IF(AND($I1291&gt;0,$J1291&gt;0),"수입·지출 둘 다 적혔습니다",IF($C1291="","결제수단을 고르십시오",IF(ISNA(MATCH($C1291,'통합 ③ 통장·카드'!$A$5:$A$11,0)),"③ 통장·카드에 없는 결제수단입니다",IF($D1291="","계정과목을 고르십시오",IF($E1291="※없는 과목","④ 설정에 없는 과목입니다",IF(AND($E1291="수입",$J1291&gt;0),"수입 과목인데 지출에 적혔습니다",IF(AND(LEFT($E1291,2)&lt;&gt;"수입",$E1291&lt;&gt;"대체",$I1291&gt;0),"지출 과목인데 수입에 적혔습니다",IF($K1291="","증빙을 고르십시오",IF(AND($C1291="바우처통장",$J1291&gt;0,IFERROR(INDEX('통합 ④ 설정'!$E$6:$E$40,MATCH($D1291,'통합 ④ 설정'!$B$6:$B$40,0)),"")&lt;&gt;"○"),"바우처통장 지출 — 목적 확인",IF($H1291="","적요를 적으십시오",""))))))))))))</f>
        <v/>
      </c>
      <c r="M1291" s="39"/>
      <c r="O1291" s="11" t="str">
        <f aca="false">IF($B1291="","",YEAR($B1291)*100+MONTH($B1291))</f>
        <v/>
      </c>
      <c r="P1291" s="11" t="str">
        <f aca="false">IF($B1291="","",IF($E1291="대체",0,1))</f>
        <v/>
      </c>
    </row>
    <row r="1292" customFormat="false" ht="15" hidden="false" customHeight="false" outlineLevel="0" collapsed="false">
      <c r="A1292" s="36" t="str">
        <f aca="false">IF($B1292="","",COUNT($B$15:$B1292))</f>
        <v/>
      </c>
      <c r="B1292" s="37"/>
      <c r="C1292" s="38"/>
      <c r="D1292" s="39"/>
      <c r="E1292" s="36" t="str">
        <f aca="false">IF($D1292="","",IFERROR(INDEX('통합 ④ 설정'!$A$6:$A$40,MATCH($D1292,'통합 ④ 설정'!$B$6:$B$40,0)),"※없는 과목"))</f>
        <v/>
      </c>
      <c r="F1292" s="36" t="str">
        <f aca="false">IF($D1292="","",IFERROR(INDEX('통합 ④ 설정'!$C$6:$C$40,MATCH($D1292,'통합 ④ 설정'!$B$6:$B$40,0)),""))</f>
        <v/>
      </c>
      <c r="G1292" s="39"/>
      <c r="H1292" s="39"/>
      <c r="I1292" s="40"/>
      <c r="J1292" s="41"/>
      <c r="K1292" s="38"/>
      <c r="L1292" s="42" t="str">
        <f aca="false">IF($B1292="","",IF(AND(N($I1292)=0,N($J1292)=0),"금액이 없습니다",IF(AND($I1292&gt;0,$J1292&gt;0),"수입·지출 둘 다 적혔습니다",IF($C1292="","결제수단을 고르십시오",IF(ISNA(MATCH($C1292,'통합 ③ 통장·카드'!$A$5:$A$11,0)),"③ 통장·카드에 없는 결제수단입니다",IF($D1292="","계정과목을 고르십시오",IF($E1292="※없는 과목","④ 설정에 없는 과목입니다",IF(AND($E1292="수입",$J1292&gt;0),"수입 과목인데 지출에 적혔습니다",IF(AND(LEFT($E1292,2)&lt;&gt;"수입",$E1292&lt;&gt;"대체",$I1292&gt;0),"지출 과목인데 수입에 적혔습니다",IF($K1292="","증빙을 고르십시오",IF(AND($C1292="바우처통장",$J1292&gt;0,IFERROR(INDEX('통합 ④ 설정'!$E$6:$E$40,MATCH($D1292,'통합 ④ 설정'!$B$6:$B$40,0)),"")&lt;&gt;"○"),"바우처통장 지출 — 목적 확인",IF($H1292="","적요를 적으십시오",""))))))))))))</f>
        <v/>
      </c>
      <c r="M1292" s="39"/>
      <c r="O1292" s="11" t="str">
        <f aca="false">IF($B1292="","",YEAR($B1292)*100+MONTH($B1292))</f>
        <v/>
      </c>
      <c r="P1292" s="11" t="str">
        <f aca="false">IF($B1292="","",IF($E1292="대체",0,1))</f>
        <v/>
      </c>
    </row>
    <row r="1293" customFormat="false" ht="15" hidden="false" customHeight="false" outlineLevel="0" collapsed="false">
      <c r="A1293" s="36" t="str">
        <f aca="false">IF($B1293="","",COUNT($B$15:$B1293))</f>
        <v/>
      </c>
      <c r="B1293" s="37"/>
      <c r="C1293" s="38"/>
      <c r="D1293" s="39"/>
      <c r="E1293" s="36" t="str">
        <f aca="false">IF($D1293="","",IFERROR(INDEX('통합 ④ 설정'!$A$6:$A$40,MATCH($D1293,'통합 ④ 설정'!$B$6:$B$40,0)),"※없는 과목"))</f>
        <v/>
      </c>
      <c r="F1293" s="36" t="str">
        <f aca="false">IF($D1293="","",IFERROR(INDEX('통합 ④ 설정'!$C$6:$C$40,MATCH($D1293,'통합 ④ 설정'!$B$6:$B$40,0)),""))</f>
        <v/>
      </c>
      <c r="G1293" s="39"/>
      <c r="H1293" s="39"/>
      <c r="I1293" s="40"/>
      <c r="J1293" s="41"/>
      <c r="K1293" s="38"/>
      <c r="L1293" s="42" t="str">
        <f aca="false">IF($B1293="","",IF(AND(N($I1293)=0,N($J1293)=0),"금액이 없습니다",IF(AND($I1293&gt;0,$J1293&gt;0),"수입·지출 둘 다 적혔습니다",IF($C1293="","결제수단을 고르십시오",IF(ISNA(MATCH($C1293,'통합 ③ 통장·카드'!$A$5:$A$11,0)),"③ 통장·카드에 없는 결제수단입니다",IF($D1293="","계정과목을 고르십시오",IF($E1293="※없는 과목","④ 설정에 없는 과목입니다",IF(AND($E1293="수입",$J1293&gt;0),"수입 과목인데 지출에 적혔습니다",IF(AND(LEFT($E1293,2)&lt;&gt;"수입",$E1293&lt;&gt;"대체",$I1293&gt;0),"지출 과목인데 수입에 적혔습니다",IF($K1293="","증빙을 고르십시오",IF(AND($C1293="바우처통장",$J1293&gt;0,IFERROR(INDEX('통합 ④ 설정'!$E$6:$E$40,MATCH($D1293,'통합 ④ 설정'!$B$6:$B$40,0)),"")&lt;&gt;"○"),"바우처통장 지출 — 목적 확인",IF($H1293="","적요를 적으십시오",""))))))))))))</f>
        <v/>
      </c>
      <c r="M1293" s="39"/>
      <c r="O1293" s="11" t="str">
        <f aca="false">IF($B1293="","",YEAR($B1293)*100+MONTH($B1293))</f>
        <v/>
      </c>
      <c r="P1293" s="11" t="str">
        <f aca="false">IF($B1293="","",IF($E1293="대체",0,1))</f>
        <v/>
      </c>
    </row>
    <row r="1294" customFormat="false" ht="15" hidden="false" customHeight="false" outlineLevel="0" collapsed="false">
      <c r="A1294" s="36" t="str">
        <f aca="false">IF($B1294="","",COUNT($B$15:$B1294))</f>
        <v/>
      </c>
      <c r="B1294" s="37"/>
      <c r="C1294" s="38"/>
      <c r="D1294" s="39"/>
      <c r="E1294" s="36" t="str">
        <f aca="false">IF($D1294="","",IFERROR(INDEX('통합 ④ 설정'!$A$6:$A$40,MATCH($D1294,'통합 ④ 설정'!$B$6:$B$40,0)),"※없는 과목"))</f>
        <v/>
      </c>
      <c r="F1294" s="36" t="str">
        <f aca="false">IF($D1294="","",IFERROR(INDEX('통합 ④ 설정'!$C$6:$C$40,MATCH($D1294,'통합 ④ 설정'!$B$6:$B$40,0)),""))</f>
        <v/>
      </c>
      <c r="G1294" s="39"/>
      <c r="H1294" s="39"/>
      <c r="I1294" s="40"/>
      <c r="J1294" s="41"/>
      <c r="K1294" s="38"/>
      <c r="L1294" s="42" t="str">
        <f aca="false">IF($B1294="","",IF(AND(N($I1294)=0,N($J1294)=0),"금액이 없습니다",IF(AND($I1294&gt;0,$J1294&gt;0),"수입·지출 둘 다 적혔습니다",IF($C1294="","결제수단을 고르십시오",IF(ISNA(MATCH($C1294,'통합 ③ 통장·카드'!$A$5:$A$11,0)),"③ 통장·카드에 없는 결제수단입니다",IF($D1294="","계정과목을 고르십시오",IF($E1294="※없는 과목","④ 설정에 없는 과목입니다",IF(AND($E1294="수입",$J1294&gt;0),"수입 과목인데 지출에 적혔습니다",IF(AND(LEFT($E1294,2)&lt;&gt;"수입",$E1294&lt;&gt;"대체",$I1294&gt;0),"지출 과목인데 수입에 적혔습니다",IF($K1294="","증빙을 고르십시오",IF(AND($C1294="바우처통장",$J1294&gt;0,IFERROR(INDEX('통합 ④ 설정'!$E$6:$E$40,MATCH($D1294,'통합 ④ 설정'!$B$6:$B$40,0)),"")&lt;&gt;"○"),"바우처통장 지출 — 목적 확인",IF($H1294="","적요를 적으십시오",""))))))))))))</f>
        <v/>
      </c>
      <c r="M1294" s="39"/>
      <c r="O1294" s="11" t="str">
        <f aca="false">IF($B1294="","",YEAR($B1294)*100+MONTH($B1294))</f>
        <v/>
      </c>
      <c r="P1294" s="11" t="str">
        <f aca="false">IF($B1294="","",IF($E1294="대체",0,1))</f>
        <v/>
      </c>
    </row>
    <row r="1295" customFormat="false" ht="15" hidden="false" customHeight="false" outlineLevel="0" collapsed="false">
      <c r="A1295" s="36" t="str">
        <f aca="false">IF($B1295="","",COUNT($B$15:$B1295))</f>
        <v/>
      </c>
      <c r="B1295" s="37"/>
      <c r="C1295" s="38"/>
      <c r="D1295" s="39"/>
      <c r="E1295" s="36" t="str">
        <f aca="false">IF($D1295="","",IFERROR(INDEX('통합 ④ 설정'!$A$6:$A$40,MATCH($D1295,'통합 ④ 설정'!$B$6:$B$40,0)),"※없는 과목"))</f>
        <v/>
      </c>
      <c r="F1295" s="36" t="str">
        <f aca="false">IF($D1295="","",IFERROR(INDEX('통합 ④ 설정'!$C$6:$C$40,MATCH($D1295,'통합 ④ 설정'!$B$6:$B$40,0)),""))</f>
        <v/>
      </c>
      <c r="G1295" s="39"/>
      <c r="H1295" s="39"/>
      <c r="I1295" s="40"/>
      <c r="J1295" s="41"/>
      <c r="K1295" s="38"/>
      <c r="L1295" s="42" t="str">
        <f aca="false">IF($B1295="","",IF(AND(N($I1295)=0,N($J1295)=0),"금액이 없습니다",IF(AND($I1295&gt;0,$J1295&gt;0),"수입·지출 둘 다 적혔습니다",IF($C1295="","결제수단을 고르십시오",IF(ISNA(MATCH($C1295,'통합 ③ 통장·카드'!$A$5:$A$11,0)),"③ 통장·카드에 없는 결제수단입니다",IF($D1295="","계정과목을 고르십시오",IF($E1295="※없는 과목","④ 설정에 없는 과목입니다",IF(AND($E1295="수입",$J1295&gt;0),"수입 과목인데 지출에 적혔습니다",IF(AND(LEFT($E1295,2)&lt;&gt;"수입",$E1295&lt;&gt;"대체",$I1295&gt;0),"지출 과목인데 수입에 적혔습니다",IF($K1295="","증빙을 고르십시오",IF(AND($C1295="바우처통장",$J1295&gt;0,IFERROR(INDEX('통합 ④ 설정'!$E$6:$E$40,MATCH($D1295,'통합 ④ 설정'!$B$6:$B$40,0)),"")&lt;&gt;"○"),"바우처통장 지출 — 목적 확인",IF($H1295="","적요를 적으십시오",""))))))))))))</f>
        <v/>
      </c>
      <c r="M1295" s="39"/>
      <c r="O1295" s="11" t="str">
        <f aca="false">IF($B1295="","",YEAR($B1295)*100+MONTH($B1295))</f>
        <v/>
      </c>
      <c r="P1295" s="11" t="str">
        <f aca="false">IF($B1295="","",IF($E1295="대체",0,1))</f>
        <v/>
      </c>
    </row>
    <row r="1296" customFormat="false" ht="15" hidden="false" customHeight="false" outlineLevel="0" collapsed="false">
      <c r="A1296" s="36" t="str">
        <f aca="false">IF($B1296="","",COUNT($B$15:$B1296))</f>
        <v/>
      </c>
      <c r="B1296" s="37"/>
      <c r="C1296" s="38"/>
      <c r="D1296" s="39"/>
      <c r="E1296" s="36" t="str">
        <f aca="false">IF($D1296="","",IFERROR(INDEX('통합 ④ 설정'!$A$6:$A$40,MATCH($D1296,'통합 ④ 설정'!$B$6:$B$40,0)),"※없는 과목"))</f>
        <v/>
      </c>
      <c r="F1296" s="36" t="str">
        <f aca="false">IF($D1296="","",IFERROR(INDEX('통합 ④ 설정'!$C$6:$C$40,MATCH($D1296,'통합 ④ 설정'!$B$6:$B$40,0)),""))</f>
        <v/>
      </c>
      <c r="G1296" s="39"/>
      <c r="H1296" s="39"/>
      <c r="I1296" s="40"/>
      <c r="J1296" s="41"/>
      <c r="K1296" s="38"/>
      <c r="L1296" s="42" t="str">
        <f aca="false">IF($B1296="","",IF(AND(N($I1296)=0,N($J1296)=0),"금액이 없습니다",IF(AND($I1296&gt;0,$J1296&gt;0),"수입·지출 둘 다 적혔습니다",IF($C1296="","결제수단을 고르십시오",IF(ISNA(MATCH($C1296,'통합 ③ 통장·카드'!$A$5:$A$11,0)),"③ 통장·카드에 없는 결제수단입니다",IF($D1296="","계정과목을 고르십시오",IF($E1296="※없는 과목","④ 설정에 없는 과목입니다",IF(AND($E1296="수입",$J1296&gt;0),"수입 과목인데 지출에 적혔습니다",IF(AND(LEFT($E1296,2)&lt;&gt;"수입",$E1296&lt;&gt;"대체",$I1296&gt;0),"지출 과목인데 수입에 적혔습니다",IF($K1296="","증빙을 고르십시오",IF(AND($C1296="바우처통장",$J1296&gt;0,IFERROR(INDEX('통합 ④ 설정'!$E$6:$E$40,MATCH($D1296,'통합 ④ 설정'!$B$6:$B$40,0)),"")&lt;&gt;"○"),"바우처통장 지출 — 목적 확인",IF($H1296="","적요를 적으십시오",""))))))))))))</f>
        <v/>
      </c>
      <c r="M1296" s="39"/>
      <c r="O1296" s="11" t="str">
        <f aca="false">IF($B1296="","",YEAR($B1296)*100+MONTH($B1296))</f>
        <v/>
      </c>
      <c r="P1296" s="11" t="str">
        <f aca="false">IF($B1296="","",IF($E1296="대체",0,1))</f>
        <v/>
      </c>
    </row>
    <row r="1297" customFormat="false" ht="15" hidden="false" customHeight="false" outlineLevel="0" collapsed="false">
      <c r="A1297" s="36" t="str">
        <f aca="false">IF($B1297="","",COUNT($B$15:$B1297))</f>
        <v/>
      </c>
      <c r="B1297" s="37"/>
      <c r="C1297" s="38"/>
      <c r="D1297" s="39"/>
      <c r="E1297" s="36" t="str">
        <f aca="false">IF($D1297="","",IFERROR(INDEX('통합 ④ 설정'!$A$6:$A$40,MATCH($D1297,'통합 ④ 설정'!$B$6:$B$40,0)),"※없는 과목"))</f>
        <v/>
      </c>
      <c r="F1297" s="36" t="str">
        <f aca="false">IF($D1297="","",IFERROR(INDEX('통합 ④ 설정'!$C$6:$C$40,MATCH($D1297,'통합 ④ 설정'!$B$6:$B$40,0)),""))</f>
        <v/>
      </c>
      <c r="G1297" s="39"/>
      <c r="H1297" s="39"/>
      <c r="I1297" s="40"/>
      <c r="J1297" s="41"/>
      <c r="K1297" s="38"/>
      <c r="L1297" s="42" t="str">
        <f aca="false">IF($B1297="","",IF(AND(N($I1297)=0,N($J1297)=0),"금액이 없습니다",IF(AND($I1297&gt;0,$J1297&gt;0),"수입·지출 둘 다 적혔습니다",IF($C1297="","결제수단을 고르십시오",IF(ISNA(MATCH($C1297,'통합 ③ 통장·카드'!$A$5:$A$11,0)),"③ 통장·카드에 없는 결제수단입니다",IF($D1297="","계정과목을 고르십시오",IF($E1297="※없는 과목","④ 설정에 없는 과목입니다",IF(AND($E1297="수입",$J1297&gt;0),"수입 과목인데 지출에 적혔습니다",IF(AND(LEFT($E1297,2)&lt;&gt;"수입",$E1297&lt;&gt;"대체",$I1297&gt;0),"지출 과목인데 수입에 적혔습니다",IF($K1297="","증빙을 고르십시오",IF(AND($C1297="바우처통장",$J1297&gt;0,IFERROR(INDEX('통합 ④ 설정'!$E$6:$E$40,MATCH($D1297,'통합 ④ 설정'!$B$6:$B$40,0)),"")&lt;&gt;"○"),"바우처통장 지출 — 목적 확인",IF($H1297="","적요를 적으십시오",""))))))))))))</f>
        <v/>
      </c>
      <c r="M1297" s="39"/>
      <c r="O1297" s="11" t="str">
        <f aca="false">IF($B1297="","",YEAR($B1297)*100+MONTH($B1297))</f>
        <v/>
      </c>
      <c r="P1297" s="11" t="str">
        <f aca="false">IF($B1297="","",IF($E1297="대체",0,1))</f>
        <v/>
      </c>
    </row>
    <row r="1298" customFormat="false" ht="15" hidden="false" customHeight="false" outlineLevel="0" collapsed="false">
      <c r="A1298" s="36" t="str">
        <f aca="false">IF($B1298="","",COUNT($B$15:$B1298))</f>
        <v/>
      </c>
      <c r="B1298" s="37"/>
      <c r="C1298" s="38"/>
      <c r="D1298" s="39"/>
      <c r="E1298" s="36" t="str">
        <f aca="false">IF($D1298="","",IFERROR(INDEX('통합 ④ 설정'!$A$6:$A$40,MATCH($D1298,'통합 ④ 설정'!$B$6:$B$40,0)),"※없는 과목"))</f>
        <v/>
      </c>
      <c r="F1298" s="36" t="str">
        <f aca="false">IF($D1298="","",IFERROR(INDEX('통합 ④ 설정'!$C$6:$C$40,MATCH($D1298,'통합 ④ 설정'!$B$6:$B$40,0)),""))</f>
        <v/>
      </c>
      <c r="G1298" s="39"/>
      <c r="H1298" s="39"/>
      <c r="I1298" s="40"/>
      <c r="J1298" s="41"/>
      <c r="K1298" s="38"/>
      <c r="L1298" s="42" t="str">
        <f aca="false">IF($B1298="","",IF(AND(N($I1298)=0,N($J1298)=0),"금액이 없습니다",IF(AND($I1298&gt;0,$J1298&gt;0),"수입·지출 둘 다 적혔습니다",IF($C1298="","결제수단을 고르십시오",IF(ISNA(MATCH($C1298,'통합 ③ 통장·카드'!$A$5:$A$11,0)),"③ 통장·카드에 없는 결제수단입니다",IF($D1298="","계정과목을 고르십시오",IF($E1298="※없는 과목","④ 설정에 없는 과목입니다",IF(AND($E1298="수입",$J1298&gt;0),"수입 과목인데 지출에 적혔습니다",IF(AND(LEFT($E1298,2)&lt;&gt;"수입",$E1298&lt;&gt;"대체",$I1298&gt;0),"지출 과목인데 수입에 적혔습니다",IF($K1298="","증빙을 고르십시오",IF(AND($C1298="바우처통장",$J1298&gt;0,IFERROR(INDEX('통합 ④ 설정'!$E$6:$E$40,MATCH($D1298,'통합 ④ 설정'!$B$6:$B$40,0)),"")&lt;&gt;"○"),"바우처통장 지출 — 목적 확인",IF($H1298="","적요를 적으십시오",""))))))))))))</f>
        <v/>
      </c>
      <c r="M1298" s="39"/>
      <c r="O1298" s="11" t="str">
        <f aca="false">IF($B1298="","",YEAR($B1298)*100+MONTH($B1298))</f>
        <v/>
      </c>
      <c r="P1298" s="11" t="str">
        <f aca="false">IF($B1298="","",IF($E1298="대체",0,1))</f>
        <v/>
      </c>
    </row>
    <row r="1299" customFormat="false" ht="15" hidden="false" customHeight="false" outlineLevel="0" collapsed="false">
      <c r="A1299" s="36" t="str">
        <f aca="false">IF($B1299="","",COUNT($B$15:$B1299))</f>
        <v/>
      </c>
      <c r="B1299" s="37"/>
      <c r="C1299" s="38"/>
      <c r="D1299" s="39"/>
      <c r="E1299" s="36" t="str">
        <f aca="false">IF($D1299="","",IFERROR(INDEX('통합 ④ 설정'!$A$6:$A$40,MATCH($D1299,'통합 ④ 설정'!$B$6:$B$40,0)),"※없는 과목"))</f>
        <v/>
      </c>
      <c r="F1299" s="36" t="str">
        <f aca="false">IF($D1299="","",IFERROR(INDEX('통합 ④ 설정'!$C$6:$C$40,MATCH($D1299,'통합 ④ 설정'!$B$6:$B$40,0)),""))</f>
        <v/>
      </c>
      <c r="G1299" s="39"/>
      <c r="H1299" s="39"/>
      <c r="I1299" s="40"/>
      <c r="J1299" s="41"/>
      <c r="K1299" s="38"/>
      <c r="L1299" s="42" t="str">
        <f aca="false">IF($B1299="","",IF(AND(N($I1299)=0,N($J1299)=0),"금액이 없습니다",IF(AND($I1299&gt;0,$J1299&gt;0),"수입·지출 둘 다 적혔습니다",IF($C1299="","결제수단을 고르십시오",IF(ISNA(MATCH($C1299,'통합 ③ 통장·카드'!$A$5:$A$11,0)),"③ 통장·카드에 없는 결제수단입니다",IF($D1299="","계정과목을 고르십시오",IF($E1299="※없는 과목","④ 설정에 없는 과목입니다",IF(AND($E1299="수입",$J1299&gt;0),"수입 과목인데 지출에 적혔습니다",IF(AND(LEFT($E1299,2)&lt;&gt;"수입",$E1299&lt;&gt;"대체",$I1299&gt;0),"지출 과목인데 수입에 적혔습니다",IF($K1299="","증빙을 고르십시오",IF(AND($C1299="바우처통장",$J1299&gt;0,IFERROR(INDEX('통합 ④ 설정'!$E$6:$E$40,MATCH($D1299,'통합 ④ 설정'!$B$6:$B$40,0)),"")&lt;&gt;"○"),"바우처통장 지출 — 목적 확인",IF($H1299="","적요를 적으십시오",""))))))))))))</f>
        <v/>
      </c>
      <c r="M1299" s="39"/>
      <c r="O1299" s="11" t="str">
        <f aca="false">IF($B1299="","",YEAR($B1299)*100+MONTH($B1299))</f>
        <v/>
      </c>
      <c r="P1299" s="11" t="str">
        <f aca="false">IF($B1299="","",IF($E1299="대체",0,1))</f>
        <v/>
      </c>
    </row>
    <row r="1300" customFormat="false" ht="15" hidden="false" customHeight="false" outlineLevel="0" collapsed="false">
      <c r="A1300" s="36" t="str">
        <f aca="false">IF($B1300="","",COUNT($B$15:$B1300))</f>
        <v/>
      </c>
      <c r="B1300" s="37"/>
      <c r="C1300" s="38"/>
      <c r="D1300" s="39"/>
      <c r="E1300" s="36" t="str">
        <f aca="false">IF($D1300="","",IFERROR(INDEX('통합 ④ 설정'!$A$6:$A$40,MATCH($D1300,'통합 ④ 설정'!$B$6:$B$40,0)),"※없는 과목"))</f>
        <v/>
      </c>
      <c r="F1300" s="36" t="str">
        <f aca="false">IF($D1300="","",IFERROR(INDEX('통합 ④ 설정'!$C$6:$C$40,MATCH($D1300,'통합 ④ 설정'!$B$6:$B$40,0)),""))</f>
        <v/>
      </c>
      <c r="G1300" s="39"/>
      <c r="H1300" s="39"/>
      <c r="I1300" s="40"/>
      <c r="J1300" s="41"/>
      <c r="K1300" s="38"/>
      <c r="L1300" s="42" t="str">
        <f aca="false">IF($B1300="","",IF(AND(N($I1300)=0,N($J1300)=0),"금액이 없습니다",IF(AND($I1300&gt;0,$J1300&gt;0),"수입·지출 둘 다 적혔습니다",IF($C1300="","결제수단을 고르십시오",IF(ISNA(MATCH($C1300,'통합 ③ 통장·카드'!$A$5:$A$11,0)),"③ 통장·카드에 없는 결제수단입니다",IF($D1300="","계정과목을 고르십시오",IF($E1300="※없는 과목","④ 설정에 없는 과목입니다",IF(AND($E1300="수입",$J1300&gt;0),"수입 과목인데 지출에 적혔습니다",IF(AND(LEFT($E1300,2)&lt;&gt;"수입",$E1300&lt;&gt;"대체",$I1300&gt;0),"지출 과목인데 수입에 적혔습니다",IF($K1300="","증빙을 고르십시오",IF(AND($C1300="바우처통장",$J1300&gt;0,IFERROR(INDEX('통합 ④ 설정'!$E$6:$E$40,MATCH($D1300,'통합 ④ 설정'!$B$6:$B$40,0)),"")&lt;&gt;"○"),"바우처통장 지출 — 목적 확인",IF($H1300="","적요를 적으십시오",""))))))))))))</f>
        <v/>
      </c>
      <c r="M1300" s="39"/>
      <c r="O1300" s="11" t="str">
        <f aca="false">IF($B1300="","",YEAR($B1300)*100+MONTH($B1300))</f>
        <v/>
      </c>
      <c r="P1300" s="11" t="str">
        <f aca="false">IF($B1300="","",IF($E1300="대체",0,1))</f>
        <v/>
      </c>
    </row>
    <row r="1301" customFormat="false" ht="15" hidden="false" customHeight="false" outlineLevel="0" collapsed="false">
      <c r="A1301" s="36" t="str">
        <f aca="false">IF($B1301="","",COUNT($B$15:$B1301))</f>
        <v/>
      </c>
      <c r="B1301" s="37"/>
      <c r="C1301" s="38"/>
      <c r="D1301" s="39"/>
      <c r="E1301" s="36" t="str">
        <f aca="false">IF($D1301="","",IFERROR(INDEX('통합 ④ 설정'!$A$6:$A$40,MATCH($D1301,'통합 ④ 설정'!$B$6:$B$40,0)),"※없는 과목"))</f>
        <v/>
      </c>
      <c r="F1301" s="36" t="str">
        <f aca="false">IF($D1301="","",IFERROR(INDEX('통합 ④ 설정'!$C$6:$C$40,MATCH($D1301,'통합 ④ 설정'!$B$6:$B$40,0)),""))</f>
        <v/>
      </c>
      <c r="G1301" s="39"/>
      <c r="H1301" s="39"/>
      <c r="I1301" s="40"/>
      <c r="J1301" s="41"/>
      <c r="K1301" s="38"/>
      <c r="L1301" s="42" t="str">
        <f aca="false">IF($B1301="","",IF(AND(N($I1301)=0,N($J1301)=0),"금액이 없습니다",IF(AND($I1301&gt;0,$J1301&gt;0),"수입·지출 둘 다 적혔습니다",IF($C1301="","결제수단을 고르십시오",IF(ISNA(MATCH($C1301,'통합 ③ 통장·카드'!$A$5:$A$11,0)),"③ 통장·카드에 없는 결제수단입니다",IF($D1301="","계정과목을 고르십시오",IF($E1301="※없는 과목","④ 설정에 없는 과목입니다",IF(AND($E1301="수입",$J1301&gt;0),"수입 과목인데 지출에 적혔습니다",IF(AND(LEFT($E1301,2)&lt;&gt;"수입",$E1301&lt;&gt;"대체",$I1301&gt;0),"지출 과목인데 수입에 적혔습니다",IF($K1301="","증빙을 고르십시오",IF(AND($C1301="바우처통장",$J1301&gt;0,IFERROR(INDEX('통합 ④ 설정'!$E$6:$E$40,MATCH($D1301,'통합 ④ 설정'!$B$6:$B$40,0)),"")&lt;&gt;"○"),"바우처통장 지출 — 목적 확인",IF($H1301="","적요를 적으십시오",""))))))))))))</f>
        <v/>
      </c>
      <c r="M1301" s="39"/>
      <c r="O1301" s="11" t="str">
        <f aca="false">IF($B1301="","",YEAR($B1301)*100+MONTH($B1301))</f>
        <v/>
      </c>
      <c r="P1301" s="11" t="str">
        <f aca="false">IF($B1301="","",IF($E1301="대체",0,1))</f>
        <v/>
      </c>
    </row>
    <row r="1302" customFormat="false" ht="15" hidden="false" customHeight="false" outlineLevel="0" collapsed="false">
      <c r="A1302" s="36" t="str">
        <f aca="false">IF($B1302="","",COUNT($B$15:$B1302))</f>
        <v/>
      </c>
      <c r="B1302" s="37"/>
      <c r="C1302" s="38"/>
      <c r="D1302" s="39"/>
      <c r="E1302" s="36" t="str">
        <f aca="false">IF($D1302="","",IFERROR(INDEX('통합 ④ 설정'!$A$6:$A$40,MATCH($D1302,'통합 ④ 설정'!$B$6:$B$40,0)),"※없는 과목"))</f>
        <v/>
      </c>
      <c r="F1302" s="36" t="str">
        <f aca="false">IF($D1302="","",IFERROR(INDEX('통합 ④ 설정'!$C$6:$C$40,MATCH($D1302,'통합 ④ 설정'!$B$6:$B$40,0)),""))</f>
        <v/>
      </c>
      <c r="G1302" s="39"/>
      <c r="H1302" s="39"/>
      <c r="I1302" s="40"/>
      <c r="J1302" s="41"/>
      <c r="K1302" s="38"/>
      <c r="L1302" s="42" t="str">
        <f aca="false">IF($B1302="","",IF(AND(N($I1302)=0,N($J1302)=0),"금액이 없습니다",IF(AND($I1302&gt;0,$J1302&gt;0),"수입·지출 둘 다 적혔습니다",IF($C1302="","결제수단을 고르십시오",IF(ISNA(MATCH($C1302,'통합 ③ 통장·카드'!$A$5:$A$11,0)),"③ 통장·카드에 없는 결제수단입니다",IF($D1302="","계정과목을 고르십시오",IF($E1302="※없는 과목","④ 설정에 없는 과목입니다",IF(AND($E1302="수입",$J1302&gt;0),"수입 과목인데 지출에 적혔습니다",IF(AND(LEFT($E1302,2)&lt;&gt;"수입",$E1302&lt;&gt;"대체",$I1302&gt;0),"지출 과목인데 수입에 적혔습니다",IF($K1302="","증빙을 고르십시오",IF(AND($C1302="바우처통장",$J1302&gt;0,IFERROR(INDEX('통합 ④ 설정'!$E$6:$E$40,MATCH($D1302,'통합 ④ 설정'!$B$6:$B$40,0)),"")&lt;&gt;"○"),"바우처통장 지출 — 목적 확인",IF($H1302="","적요를 적으십시오",""))))))))))))</f>
        <v/>
      </c>
      <c r="M1302" s="39"/>
      <c r="O1302" s="11" t="str">
        <f aca="false">IF($B1302="","",YEAR($B1302)*100+MONTH($B1302))</f>
        <v/>
      </c>
      <c r="P1302" s="11" t="str">
        <f aca="false">IF($B1302="","",IF($E1302="대체",0,1))</f>
        <v/>
      </c>
    </row>
    <row r="1303" customFormat="false" ht="15" hidden="false" customHeight="false" outlineLevel="0" collapsed="false">
      <c r="A1303" s="36" t="str">
        <f aca="false">IF($B1303="","",COUNT($B$15:$B1303))</f>
        <v/>
      </c>
      <c r="B1303" s="37"/>
      <c r="C1303" s="38"/>
      <c r="D1303" s="39"/>
      <c r="E1303" s="36" t="str">
        <f aca="false">IF($D1303="","",IFERROR(INDEX('통합 ④ 설정'!$A$6:$A$40,MATCH($D1303,'통합 ④ 설정'!$B$6:$B$40,0)),"※없는 과목"))</f>
        <v/>
      </c>
      <c r="F1303" s="36" t="str">
        <f aca="false">IF($D1303="","",IFERROR(INDEX('통합 ④ 설정'!$C$6:$C$40,MATCH($D1303,'통합 ④ 설정'!$B$6:$B$40,0)),""))</f>
        <v/>
      </c>
      <c r="G1303" s="39"/>
      <c r="H1303" s="39"/>
      <c r="I1303" s="40"/>
      <c r="J1303" s="41"/>
      <c r="K1303" s="38"/>
      <c r="L1303" s="42" t="str">
        <f aca="false">IF($B1303="","",IF(AND(N($I1303)=0,N($J1303)=0),"금액이 없습니다",IF(AND($I1303&gt;0,$J1303&gt;0),"수입·지출 둘 다 적혔습니다",IF($C1303="","결제수단을 고르십시오",IF(ISNA(MATCH($C1303,'통합 ③ 통장·카드'!$A$5:$A$11,0)),"③ 통장·카드에 없는 결제수단입니다",IF($D1303="","계정과목을 고르십시오",IF($E1303="※없는 과목","④ 설정에 없는 과목입니다",IF(AND($E1303="수입",$J1303&gt;0),"수입 과목인데 지출에 적혔습니다",IF(AND(LEFT($E1303,2)&lt;&gt;"수입",$E1303&lt;&gt;"대체",$I1303&gt;0),"지출 과목인데 수입에 적혔습니다",IF($K1303="","증빙을 고르십시오",IF(AND($C1303="바우처통장",$J1303&gt;0,IFERROR(INDEX('통합 ④ 설정'!$E$6:$E$40,MATCH($D1303,'통합 ④ 설정'!$B$6:$B$40,0)),"")&lt;&gt;"○"),"바우처통장 지출 — 목적 확인",IF($H1303="","적요를 적으십시오",""))))))))))))</f>
        <v/>
      </c>
      <c r="M1303" s="39"/>
      <c r="O1303" s="11" t="str">
        <f aca="false">IF($B1303="","",YEAR($B1303)*100+MONTH($B1303))</f>
        <v/>
      </c>
      <c r="P1303" s="11" t="str">
        <f aca="false">IF($B1303="","",IF($E1303="대체",0,1))</f>
        <v/>
      </c>
    </row>
    <row r="1304" customFormat="false" ht="15" hidden="false" customHeight="false" outlineLevel="0" collapsed="false">
      <c r="A1304" s="36" t="str">
        <f aca="false">IF($B1304="","",COUNT($B$15:$B1304))</f>
        <v/>
      </c>
      <c r="B1304" s="37"/>
      <c r="C1304" s="38"/>
      <c r="D1304" s="39"/>
      <c r="E1304" s="36" t="str">
        <f aca="false">IF($D1304="","",IFERROR(INDEX('통합 ④ 설정'!$A$6:$A$40,MATCH($D1304,'통합 ④ 설정'!$B$6:$B$40,0)),"※없는 과목"))</f>
        <v/>
      </c>
      <c r="F1304" s="36" t="str">
        <f aca="false">IF($D1304="","",IFERROR(INDEX('통합 ④ 설정'!$C$6:$C$40,MATCH($D1304,'통합 ④ 설정'!$B$6:$B$40,0)),""))</f>
        <v/>
      </c>
      <c r="G1304" s="39"/>
      <c r="H1304" s="39"/>
      <c r="I1304" s="40"/>
      <c r="J1304" s="41"/>
      <c r="K1304" s="38"/>
      <c r="L1304" s="42" t="str">
        <f aca="false">IF($B1304="","",IF(AND(N($I1304)=0,N($J1304)=0),"금액이 없습니다",IF(AND($I1304&gt;0,$J1304&gt;0),"수입·지출 둘 다 적혔습니다",IF($C1304="","결제수단을 고르십시오",IF(ISNA(MATCH($C1304,'통합 ③ 통장·카드'!$A$5:$A$11,0)),"③ 통장·카드에 없는 결제수단입니다",IF($D1304="","계정과목을 고르십시오",IF($E1304="※없는 과목","④ 설정에 없는 과목입니다",IF(AND($E1304="수입",$J1304&gt;0),"수입 과목인데 지출에 적혔습니다",IF(AND(LEFT($E1304,2)&lt;&gt;"수입",$E1304&lt;&gt;"대체",$I1304&gt;0),"지출 과목인데 수입에 적혔습니다",IF($K1304="","증빙을 고르십시오",IF(AND($C1304="바우처통장",$J1304&gt;0,IFERROR(INDEX('통합 ④ 설정'!$E$6:$E$40,MATCH($D1304,'통합 ④ 설정'!$B$6:$B$40,0)),"")&lt;&gt;"○"),"바우처통장 지출 — 목적 확인",IF($H1304="","적요를 적으십시오",""))))))))))))</f>
        <v/>
      </c>
      <c r="M1304" s="39"/>
      <c r="O1304" s="11" t="str">
        <f aca="false">IF($B1304="","",YEAR($B1304)*100+MONTH($B1304))</f>
        <v/>
      </c>
      <c r="P1304" s="11" t="str">
        <f aca="false">IF($B1304="","",IF($E1304="대체",0,1))</f>
        <v/>
      </c>
    </row>
    <row r="1305" customFormat="false" ht="15" hidden="false" customHeight="false" outlineLevel="0" collapsed="false">
      <c r="A1305" s="36" t="str">
        <f aca="false">IF($B1305="","",COUNT($B$15:$B1305))</f>
        <v/>
      </c>
      <c r="B1305" s="37"/>
      <c r="C1305" s="38"/>
      <c r="D1305" s="39"/>
      <c r="E1305" s="36" t="str">
        <f aca="false">IF($D1305="","",IFERROR(INDEX('통합 ④ 설정'!$A$6:$A$40,MATCH($D1305,'통합 ④ 설정'!$B$6:$B$40,0)),"※없는 과목"))</f>
        <v/>
      </c>
      <c r="F1305" s="36" t="str">
        <f aca="false">IF($D1305="","",IFERROR(INDEX('통합 ④ 설정'!$C$6:$C$40,MATCH($D1305,'통합 ④ 설정'!$B$6:$B$40,0)),""))</f>
        <v/>
      </c>
      <c r="G1305" s="39"/>
      <c r="H1305" s="39"/>
      <c r="I1305" s="40"/>
      <c r="J1305" s="41"/>
      <c r="K1305" s="38"/>
      <c r="L1305" s="42" t="str">
        <f aca="false">IF($B1305="","",IF(AND(N($I1305)=0,N($J1305)=0),"금액이 없습니다",IF(AND($I1305&gt;0,$J1305&gt;0),"수입·지출 둘 다 적혔습니다",IF($C1305="","결제수단을 고르십시오",IF(ISNA(MATCH($C1305,'통합 ③ 통장·카드'!$A$5:$A$11,0)),"③ 통장·카드에 없는 결제수단입니다",IF($D1305="","계정과목을 고르십시오",IF($E1305="※없는 과목","④ 설정에 없는 과목입니다",IF(AND($E1305="수입",$J1305&gt;0),"수입 과목인데 지출에 적혔습니다",IF(AND(LEFT($E1305,2)&lt;&gt;"수입",$E1305&lt;&gt;"대체",$I1305&gt;0),"지출 과목인데 수입에 적혔습니다",IF($K1305="","증빙을 고르십시오",IF(AND($C1305="바우처통장",$J1305&gt;0,IFERROR(INDEX('통합 ④ 설정'!$E$6:$E$40,MATCH($D1305,'통합 ④ 설정'!$B$6:$B$40,0)),"")&lt;&gt;"○"),"바우처통장 지출 — 목적 확인",IF($H1305="","적요를 적으십시오",""))))))))))))</f>
        <v/>
      </c>
      <c r="M1305" s="39"/>
      <c r="O1305" s="11" t="str">
        <f aca="false">IF($B1305="","",YEAR($B1305)*100+MONTH($B1305))</f>
        <v/>
      </c>
      <c r="P1305" s="11" t="str">
        <f aca="false">IF($B1305="","",IF($E1305="대체",0,1))</f>
        <v/>
      </c>
    </row>
    <row r="1306" customFormat="false" ht="15" hidden="false" customHeight="false" outlineLevel="0" collapsed="false">
      <c r="A1306" s="36" t="str">
        <f aca="false">IF($B1306="","",COUNT($B$15:$B1306))</f>
        <v/>
      </c>
      <c r="B1306" s="37"/>
      <c r="C1306" s="38"/>
      <c r="D1306" s="39"/>
      <c r="E1306" s="36" t="str">
        <f aca="false">IF($D1306="","",IFERROR(INDEX('통합 ④ 설정'!$A$6:$A$40,MATCH($D1306,'통합 ④ 설정'!$B$6:$B$40,0)),"※없는 과목"))</f>
        <v/>
      </c>
      <c r="F1306" s="36" t="str">
        <f aca="false">IF($D1306="","",IFERROR(INDEX('통합 ④ 설정'!$C$6:$C$40,MATCH($D1306,'통합 ④ 설정'!$B$6:$B$40,0)),""))</f>
        <v/>
      </c>
      <c r="G1306" s="39"/>
      <c r="H1306" s="39"/>
      <c r="I1306" s="40"/>
      <c r="J1306" s="41"/>
      <c r="K1306" s="38"/>
      <c r="L1306" s="42" t="str">
        <f aca="false">IF($B1306="","",IF(AND(N($I1306)=0,N($J1306)=0),"금액이 없습니다",IF(AND($I1306&gt;0,$J1306&gt;0),"수입·지출 둘 다 적혔습니다",IF($C1306="","결제수단을 고르십시오",IF(ISNA(MATCH($C1306,'통합 ③ 통장·카드'!$A$5:$A$11,0)),"③ 통장·카드에 없는 결제수단입니다",IF($D1306="","계정과목을 고르십시오",IF($E1306="※없는 과목","④ 설정에 없는 과목입니다",IF(AND($E1306="수입",$J1306&gt;0),"수입 과목인데 지출에 적혔습니다",IF(AND(LEFT($E1306,2)&lt;&gt;"수입",$E1306&lt;&gt;"대체",$I1306&gt;0),"지출 과목인데 수입에 적혔습니다",IF($K1306="","증빙을 고르십시오",IF(AND($C1306="바우처통장",$J1306&gt;0,IFERROR(INDEX('통합 ④ 설정'!$E$6:$E$40,MATCH($D1306,'통합 ④ 설정'!$B$6:$B$40,0)),"")&lt;&gt;"○"),"바우처통장 지출 — 목적 확인",IF($H1306="","적요를 적으십시오",""))))))))))))</f>
        <v/>
      </c>
      <c r="M1306" s="39"/>
      <c r="O1306" s="11" t="str">
        <f aca="false">IF($B1306="","",YEAR($B1306)*100+MONTH($B1306))</f>
        <v/>
      </c>
      <c r="P1306" s="11" t="str">
        <f aca="false">IF($B1306="","",IF($E1306="대체",0,1))</f>
        <v/>
      </c>
    </row>
    <row r="1307" customFormat="false" ht="15" hidden="false" customHeight="false" outlineLevel="0" collapsed="false">
      <c r="A1307" s="36" t="str">
        <f aca="false">IF($B1307="","",COUNT($B$15:$B1307))</f>
        <v/>
      </c>
      <c r="B1307" s="37"/>
      <c r="C1307" s="38"/>
      <c r="D1307" s="39"/>
      <c r="E1307" s="36" t="str">
        <f aca="false">IF($D1307="","",IFERROR(INDEX('통합 ④ 설정'!$A$6:$A$40,MATCH($D1307,'통합 ④ 설정'!$B$6:$B$40,0)),"※없는 과목"))</f>
        <v/>
      </c>
      <c r="F1307" s="36" t="str">
        <f aca="false">IF($D1307="","",IFERROR(INDEX('통합 ④ 설정'!$C$6:$C$40,MATCH($D1307,'통합 ④ 설정'!$B$6:$B$40,0)),""))</f>
        <v/>
      </c>
      <c r="G1307" s="39"/>
      <c r="H1307" s="39"/>
      <c r="I1307" s="40"/>
      <c r="J1307" s="41"/>
      <c r="K1307" s="38"/>
      <c r="L1307" s="42" t="str">
        <f aca="false">IF($B1307="","",IF(AND(N($I1307)=0,N($J1307)=0),"금액이 없습니다",IF(AND($I1307&gt;0,$J1307&gt;0),"수입·지출 둘 다 적혔습니다",IF($C1307="","결제수단을 고르십시오",IF(ISNA(MATCH($C1307,'통합 ③ 통장·카드'!$A$5:$A$11,0)),"③ 통장·카드에 없는 결제수단입니다",IF($D1307="","계정과목을 고르십시오",IF($E1307="※없는 과목","④ 설정에 없는 과목입니다",IF(AND($E1307="수입",$J1307&gt;0),"수입 과목인데 지출에 적혔습니다",IF(AND(LEFT($E1307,2)&lt;&gt;"수입",$E1307&lt;&gt;"대체",$I1307&gt;0),"지출 과목인데 수입에 적혔습니다",IF($K1307="","증빙을 고르십시오",IF(AND($C1307="바우처통장",$J1307&gt;0,IFERROR(INDEX('통합 ④ 설정'!$E$6:$E$40,MATCH($D1307,'통합 ④ 설정'!$B$6:$B$40,0)),"")&lt;&gt;"○"),"바우처통장 지출 — 목적 확인",IF($H1307="","적요를 적으십시오",""))))))))))))</f>
        <v/>
      </c>
      <c r="M1307" s="39"/>
      <c r="O1307" s="11" t="str">
        <f aca="false">IF($B1307="","",YEAR($B1307)*100+MONTH($B1307))</f>
        <v/>
      </c>
      <c r="P1307" s="11" t="str">
        <f aca="false">IF($B1307="","",IF($E1307="대체",0,1))</f>
        <v/>
      </c>
    </row>
    <row r="1308" customFormat="false" ht="15" hidden="false" customHeight="false" outlineLevel="0" collapsed="false">
      <c r="A1308" s="36" t="str">
        <f aca="false">IF($B1308="","",COUNT($B$15:$B1308))</f>
        <v/>
      </c>
      <c r="B1308" s="37"/>
      <c r="C1308" s="38"/>
      <c r="D1308" s="39"/>
      <c r="E1308" s="36" t="str">
        <f aca="false">IF($D1308="","",IFERROR(INDEX('통합 ④ 설정'!$A$6:$A$40,MATCH($D1308,'통합 ④ 설정'!$B$6:$B$40,0)),"※없는 과목"))</f>
        <v/>
      </c>
      <c r="F1308" s="36" t="str">
        <f aca="false">IF($D1308="","",IFERROR(INDEX('통합 ④ 설정'!$C$6:$C$40,MATCH($D1308,'통합 ④ 설정'!$B$6:$B$40,0)),""))</f>
        <v/>
      </c>
      <c r="G1308" s="39"/>
      <c r="H1308" s="39"/>
      <c r="I1308" s="40"/>
      <c r="J1308" s="41"/>
      <c r="K1308" s="38"/>
      <c r="L1308" s="42" t="str">
        <f aca="false">IF($B1308="","",IF(AND(N($I1308)=0,N($J1308)=0),"금액이 없습니다",IF(AND($I1308&gt;0,$J1308&gt;0),"수입·지출 둘 다 적혔습니다",IF($C1308="","결제수단을 고르십시오",IF(ISNA(MATCH($C1308,'통합 ③ 통장·카드'!$A$5:$A$11,0)),"③ 통장·카드에 없는 결제수단입니다",IF($D1308="","계정과목을 고르십시오",IF($E1308="※없는 과목","④ 설정에 없는 과목입니다",IF(AND($E1308="수입",$J1308&gt;0),"수입 과목인데 지출에 적혔습니다",IF(AND(LEFT($E1308,2)&lt;&gt;"수입",$E1308&lt;&gt;"대체",$I1308&gt;0),"지출 과목인데 수입에 적혔습니다",IF($K1308="","증빙을 고르십시오",IF(AND($C1308="바우처통장",$J1308&gt;0,IFERROR(INDEX('통합 ④ 설정'!$E$6:$E$40,MATCH($D1308,'통합 ④ 설정'!$B$6:$B$40,0)),"")&lt;&gt;"○"),"바우처통장 지출 — 목적 확인",IF($H1308="","적요를 적으십시오",""))))))))))))</f>
        <v/>
      </c>
      <c r="M1308" s="39"/>
      <c r="O1308" s="11" t="str">
        <f aca="false">IF($B1308="","",YEAR($B1308)*100+MONTH($B1308))</f>
        <v/>
      </c>
      <c r="P1308" s="11" t="str">
        <f aca="false">IF($B1308="","",IF($E1308="대체",0,1))</f>
        <v/>
      </c>
    </row>
    <row r="1309" customFormat="false" ht="15" hidden="false" customHeight="false" outlineLevel="0" collapsed="false">
      <c r="A1309" s="36" t="str">
        <f aca="false">IF($B1309="","",COUNT($B$15:$B1309))</f>
        <v/>
      </c>
      <c r="B1309" s="37"/>
      <c r="C1309" s="38"/>
      <c r="D1309" s="39"/>
      <c r="E1309" s="36" t="str">
        <f aca="false">IF($D1309="","",IFERROR(INDEX('통합 ④ 설정'!$A$6:$A$40,MATCH($D1309,'통합 ④ 설정'!$B$6:$B$40,0)),"※없는 과목"))</f>
        <v/>
      </c>
      <c r="F1309" s="36" t="str">
        <f aca="false">IF($D1309="","",IFERROR(INDEX('통합 ④ 설정'!$C$6:$C$40,MATCH($D1309,'통합 ④ 설정'!$B$6:$B$40,0)),""))</f>
        <v/>
      </c>
      <c r="G1309" s="39"/>
      <c r="H1309" s="39"/>
      <c r="I1309" s="40"/>
      <c r="J1309" s="41"/>
      <c r="K1309" s="38"/>
      <c r="L1309" s="42" t="str">
        <f aca="false">IF($B1309="","",IF(AND(N($I1309)=0,N($J1309)=0),"금액이 없습니다",IF(AND($I1309&gt;0,$J1309&gt;0),"수입·지출 둘 다 적혔습니다",IF($C1309="","결제수단을 고르십시오",IF(ISNA(MATCH($C1309,'통합 ③ 통장·카드'!$A$5:$A$11,0)),"③ 통장·카드에 없는 결제수단입니다",IF($D1309="","계정과목을 고르십시오",IF($E1309="※없는 과목","④ 설정에 없는 과목입니다",IF(AND($E1309="수입",$J1309&gt;0),"수입 과목인데 지출에 적혔습니다",IF(AND(LEFT($E1309,2)&lt;&gt;"수입",$E1309&lt;&gt;"대체",$I1309&gt;0),"지출 과목인데 수입에 적혔습니다",IF($K1309="","증빙을 고르십시오",IF(AND($C1309="바우처통장",$J1309&gt;0,IFERROR(INDEX('통합 ④ 설정'!$E$6:$E$40,MATCH($D1309,'통합 ④ 설정'!$B$6:$B$40,0)),"")&lt;&gt;"○"),"바우처통장 지출 — 목적 확인",IF($H1309="","적요를 적으십시오",""))))))))))))</f>
        <v/>
      </c>
      <c r="M1309" s="39"/>
      <c r="O1309" s="11" t="str">
        <f aca="false">IF($B1309="","",YEAR($B1309)*100+MONTH($B1309))</f>
        <v/>
      </c>
      <c r="P1309" s="11" t="str">
        <f aca="false">IF($B1309="","",IF($E1309="대체",0,1))</f>
        <v/>
      </c>
    </row>
    <row r="1310" customFormat="false" ht="15" hidden="false" customHeight="false" outlineLevel="0" collapsed="false">
      <c r="A1310" s="36" t="str">
        <f aca="false">IF($B1310="","",COUNT($B$15:$B1310))</f>
        <v/>
      </c>
      <c r="B1310" s="37"/>
      <c r="C1310" s="38"/>
      <c r="D1310" s="39"/>
      <c r="E1310" s="36" t="str">
        <f aca="false">IF($D1310="","",IFERROR(INDEX('통합 ④ 설정'!$A$6:$A$40,MATCH($D1310,'통합 ④ 설정'!$B$6:$B$40,0)),"※없는 과목"))</f>
        <v/>
      </c>
      <c r="F1310" s="36" t="str">
        <f aca="false">IF($D1310="","",IFERROR(INDEX('통합 ④ 설정'!$C$6:$C$40,MATCH($D1310,'통합 ④ 설정'!$B$6:$B$40,0)),""))</f>
        <v/>
      </c>
      <c r="G1310" s="39"/>
      <c r="H1310" s="39"/>
      <c r="I1310" s="40"/>
      <c r="J1310" s="41"/>
      <c r="K1310" s="38"/>
      <c r="L1310" s="42" t="str">
        <f aca="false">IF($B1310="","",IF(AND(N($I1310)=0,N($J1310)=0),"금액이 없습니다",IF(AND($I1310&gt;0,$J1310&gt;0),"수입·지출 둘 다 적혔습니다",IF($C1310="","결제수단을 고르십시오",IF(ISNA(MATCH($C1310,'통합 ③ 통장·카드'!$A$5:$A$11,0)),"③ 통장·카드에 없는 결제수단입니다",IF($D1310="","계정과목을 고르십시오",IF($E1310="※없는 과목","④ 설정에 없는 과목입니다",IF(AND($E1310="수입",$J1310&gt;0),"수입 과목인데 지출에 적혔습니다",IF(AND(LEFT($E1310,2)&lt;&gt;"수입",$E1310&lt;&gt;"대체",$I1310&gt;0),"지출 과목인데 수입에 적혔습니다",IF($K1310="","증빙을 고르십시오",IF(AND($C1310="바우처통장",$J1310&gt;0,IFERROR(INDEX('통합 ④ 설정'!$E$6:$E$40,MATCH($D1310,'통합 ④ 설정'!$B$6:$B$40,0)),"")&lt;&gt;"○"),"바우처통장 지출 — 목적 확인",IF($H1310="","적요를 적으십시오",""))))))))))))</f>
        <v/>
      </c>
      <c r="M1310" s="39"/>
      <c r="O1310" s="11" t="str">
        <f aca="false">IF($B1310="","",YEAR($B1310)*100+MONTH($B1310))</f>
        <v/>
      </c>
      <c r="P1310" s="11" t="str">
        <f aca="false">IF($B1310="","",IF($E1310="대체",0,1))</f>
        <v/>
      </c>
    </row>
    <row r="1311" customFormat="false" ht="15" hidden="false" customHeight="false" outlineLevel="0" collapsed="false">
      <c r="A1311" s="36" t="str">
        <f aca="false">IF($B1311="","",COUNT($B$15:$B1311))</f>
        <v/>
      </c>
      <c r="B1311" s="37"/>
      <c r="C1311" s="38"/>
      <c r="D1311" s="39"/>
      <c r="E1311" s="36" t="str">
        <f aca="false">IF($D1311="","",IFERROR(INDEX('통합 ④ 설정'!$A$6:$A$40,MATCH($D1311,'통합 ④ 설정'!$B$6:$B$40,0)),"※없는 과목"))</f>
        <v/>
      </c>
      <c r="F1311" s="36" t="str">
        <f aca="false">IF($D1311="","",IFERROR(INDEX('통합 ④ 설정'!$C$6:$C$40,MATCH($D1311,'통합 ④ 설정'!$B$6:$B$40,0)),""))</f>
        <v/>
      </c>
      <c r="G1311" s="39"/>
      <c r="H1311" s="39"/>
      <c r="I1311" s="40"/>
      <c r="J1311" s="41"/>
      <c r="K1311" s="38"/>
      <c r="L1311" s="42" t="str">
        <f aca="false">IF($B1311="","",IF(AND(N($I1311)=0,N($J1311)=0),"금액이 없습니다",IF(AND($I1311&gt;0,$J1311&gt;0),"수입·지출 둘 다 적혔습니다",IF($C1311="","결제수단을 고르십시오",IF(ISNA(MATCH($C1311,'통합 ③ 통장·카드'!$A$5:$A$11,0)),"③ 통장·카드에 없는 결제수단입니다",IF($D1311="","계정과목을 고르십시오",IF($E1311="※없는 과목","④ 설정에 없는 과목입니다",IF(AND($E1311="수입",$J1311&gt;0),"수입 과목인데 지출에 적혔습니다",IF(AND(LEFT($E1311,2)&lt;&gt;"수입",$E1311&lt;&gt;"대체",$I1311&gt;0),"지출 과목인데 수입에 적혔습니다",IF($K1311="","증빙을 고르십시오",IF(AND($C1311="바우처통장",$J1311&gt;0,IFERROR(INDEX('통합 ④ 설정'!$E$6:$E$40,MATCH($D1311,'통합 ④ 설정'!$B$6:$B$40,0)),"")&lt;&gt;"○"),"바우처통장 지출 — 목적 확인",IF($H1311="","적요를 적으십시오",""))))))))))))</f>
        <v/>
      </c>
      <c r="M1311" s="39"/>
      <c r="O1311" s="11" t="str">
        <f aca="false">IF($B1311="","",YEAR($B1311)*100+MONTH($B1311))</f>
        <v/>
      </c>
      <c r="P1311" s="11" t="str">
        <f aca="false">IF($B1311="","",IF($E1311="대체",0,1))</f>
        <v/>
      </c>
    </row>
    <row r="1312" customFormat="false" ht="15" hidden="false" customHeight="false" outlineLevel="0" collapsed="false">
      <c r="A1312" s="36" t="str">
        <f aca="false">IF($B1312="","",COUNT($B$15:$B1312))</f>
        <v/>
      </c>
      <c r="B1312" s="37"/>
      <c r="C1312" s="38"/>
      <c r="D1312" s="39"/>
      <c r="E1312" s="36" t="str">
        <f aca="false">IF($D1312="","",IFERROR(INDEX('통합 ④ 설정'!$A$6:$A$40,MATCH($D1312,'통합 ④ 설정'!$B$6:$B$40,0)),"※없는 과목"))</f>
        <v/>
      </c>
      <c r="F1312" s="36" t="str">
        <f aca="false">IF($D1312="","",IFERROR(INDEX('통합 ④ 설정'!$C$6:$C$40,MATCH($D1312,'통합 ④ 설정'!$B$6:$B$40,0)),""))</f>
        <v/>
      </c>
      <c r="G1312" s="39"/>
      <c r="H1312" s="39"/>
      <c r="I1312" s="40"/>
      <c r="J1312" s="41"/>
      <c r="K1312" s="38"/>
      <c r="L1312" s="42" t="str">
        <f aca="false">IF($B1312="","",IF(AND(N($I1312)=0,N($J1312)=0),"금액이 없습니다",IF(AND($I1312&gt;0,$J1312&gt;0),"수입·지출 둘 다 적혔습니다",IF($C1312="","결제수단을 고르십시오",IF(ISNA(MATCH($C1312,'통합 ③ 통장·카드'!$A$5:$A$11,0)),"③ 통장·카드에 없는 결제수단입니다",IF($D1312="","계정과목을 고르십시오",IF($E1312="※없는 과목","④ 설정에 없는 과목입니다",IF(AND($E1312="수입",$J1312&gt;0),"수입 과목인데 지출에 적혔습니다",IF(AND(LEFT($E1312,2)&lt;&gt;"수입",$E1312&lt;&gt;"대체",$I1312&gt;0),"지출 과목인데 수입에 적혔습니다",IF($K1312="","증빙을 고르십시오",IF(AND($C1312="바우처통장",$J1312&gt;0,IFERROR(INDEX('통합 ④ 설정'!$E$6:$E$40,MATCH($D1312,'통합 ④ 설정'!$B$6:$B$40,0)),"")&lt;&gt;"○"),"바우처통장 지출 — 목적 확인",IF($H1312="","적요를 적으십시오",""))))))))))))</f>
        <v/>
      </c>
      <c r="M1312" s="39"/>
      <c r="O1312" s="11" t="str">
        <f aca="false">IF($B1312="","",YEAR($B1312)*100+MONTH($B1312))</f>
        <v/>
      </c>
      <c r="P1312" s="11" t="str">
        <f aca="false">IF($B1312="","",IF($E1312="대체",0,1))</f>
        <v/>
      </c>
    </row>
    <row r="1313" customFormat="false" ht="15" hidden="false" customHeight="false" outlineLevel="0" collapsed="false">
      <c r="A1313" s="36" t="str">
        <f aca="false">IF($B1313="","",COUNT($B$15:$B1313))</f>
        <v/>
      </c>
      <c r="B1313" s="37"/>
      <c r="C1313" s="38"/>
      <c r="D1313" s="39"/>
      <c r="E1313" s="36" t="str">
        <f aca="false">IF($D1313="","",IFERROR(INDEX('통합 ④ 설정'!$A$6:$A$40,MATCH($D1313,'통합 ④ 설정'!$B$6:$B$40,0)),"※없는 과목"))</f>
        <v/>
      </c>
      <c r="F1313" s="36" t="str">
        <f aca="false">IF($D1313="","",IFERROR(INDEX('통합 ④ 설정'!$C$6:$C$40,MATCH($D1313,'통합 ④ 설정'!$B$6:$B$40,0)),""))</f>
        <v/>
      </c>
      <c r="G1313" s="39"/>
      <c r="H1313" s="39"/>
      <c r="I1313" s="40"/>
      <c r="J1313" s="41"/>
      <c r="K1313" s="38"/>
      <c r="L1313" s="42" t="str">
        <f aca="false">IF($B1313="","",IF(AND(N($I1313)=0,N($J1313)=0),"금액이 없습니다",IF(AND($I1313&gt;0,$J1313&gt;0),"수입·지출 둘 다 적혔습니다",IF($C1313="","결제수단을 고르십시오",IF(ISNA(MATCH($C1313,'통합 ③ 통장·카드'!$A$5:$A$11,0)),"③ 통장·카드에 없는 결제수단입니다",IF($D1313="","계정과목을 고르십시오",IF($E1313="※없는 과목","④ 설정에 없는 과목입니다",IF(AND($E1313="수입",$J1313&gt;0),"수입 과목인데 지출에 적혔습니다",IF(AND(LEFT($E1313,2)&lt;&gt;"수입",$E1313&lt;&gt;"대체",$I1313&gt;0),"지출 과목인데 수입에 적혔습니다",IF($K1313="","증빙을 고르십시오",IF(AND($C1313="바우처통장",$J1313&gt;0,IFERROR(INDEX('통합 ④ 설정'!$E$6:$E$40,MATCH($D1313,'통합 ④ 설정'!$B$6:$B$40,0)),"")&lt;&gt;"○"),"바우처통장 지출 — 목적 확인",IF($H1313="","적요를 적으십시오",""))))))))))))</f>
        <v/>
      </c>
      <c r="M1313" s="39"/>
      <c r="O1313" s="11" t="str">
        <f aca="false">IF($B1313="","",YEAR($B1313)*100+MONTH($B1313))</f>
        <v/>
      </c>
      <c r="P1313" s="11" t="str">
        <f aca="false">IF($B1313="","",IF($E1313="대체",0,1))</f>
        <v/>
      </c>
    </row>
    <row r="1314" customFormat="false" ht="15" hidden="false" customHeight="false" outlineLevel="0" collapsed="false">
      <c r="A1314" s="36" t="str">
        <f aca="false">IF($B1314="","",COUNT($B$15:$B1314))</f>
        <v/>
      </c>
      <c r="B1314" s="37"/>
      <c r="C1314" s="38"/>
      <c r="D1314" s="39"/>
      <c r="E1314" s="36" t="str">
        <f aca="false">IF($D1314="","",IFERROR(INDEX('통합 ④ 설정'!$A$6:$A$40,MATCH($D1314,'통합 ④ 설정'!$B$6:$B$40,0)),"※없는 과목"))</f>
        <v/>
      </c>
      <c r="F1314" s="36" t="str">
        <f aca="false">IF($D1314="","",IFERROR(INDEX('통합 ④ 설정'!$C$6:$C$40,MATCH($D1314,'통합 ④ 설정'!$B$6:$B$40,0)),""))</f>
        <v/>
      </c>
      <c r="G1314" s="39"/>
      <c r="H1314" s="39"/>
      <c r="I1314" s="40"/>
      <c r="J1314" s="41"/>
      <c r="K1314" s="38"/>
      <c r="L1314" s="42" t="str">
        <f aca="false">IF($B1314="","",IF(AND(N($I1314)=0,N($J1314)=0),"금액이 없습니다",IF(AND($I1314&gt;0,$J1314&gt;0),"수입·지출 둘 다 적혔습니다",IF($C1314="","결제수단을 고르십시오",IF(ISNA(MATCH($C1314,'통합 ③ 통장·카드'!$A$5:$A$11,0)),"③ 통장·카드에 없는 결제수단입니다",IF($D1314="","계정과목을 고르십시오",IF($E1314="※없는 과목","④ 설정에 없는 과목입니다",IF(AND($E1314="수입",$J1314&gt;0),"수입 과목인데 지출에 적혔습니다",IF(AND(LEFT($E1314,2)&lt;&gt;"수입",$E1314&lt;&gt;"대체",$I1314&gt;0),"지출 과목인데 수입에 적혔습니다",IF($K1314="","증빙을 고르십시오",IF(AND($C1314="바우처통장",$J1314&gt;0,IFERROR(INDEX('통합 ④ 설정'!$E$6:$E$40,MATCH($D1314,'통합 ④ 설정'!$B$6:$B$40,0)),"")&lt;&gt;"○"),"바우처통장 지출 — 목적 확인",IF($H1314="","적요를 적으십시오",""))))))))))))</f>
        <v/>
      </c>
      <c r="M1314" s="39"/>
      <c r="O1314" s="11" t="str">
        <f aca="false">IF($B1314="","",YEAR($B1314)*100+MONTH($B1314))</f>
        <v/>
      </c>
      <c r="P1314" s="11" t="str">
        <f aca="false">IF($B1314="","",IF($E1314="대체",0,1))</f>
        <v/>
      </c>
    </row>
    <row r="1315" customFormat="false" ht="15" hidden="false" customHeight="false" outlineLevel="0" collapsed="false">
      <c r="A1315" s="36" t="str">
        <f aca="false">IF($B1315="","",COUNT($B$15:$B1315))</f>
        <v/>
      </c>
      <c r="B1315" s="37"/>
      <c r="C1315" s="38"/>
      <c r="D1315" s="39"/>
      <c r="E1315" s="36" t="str">
        <f aca="false">IF($D1315="","",IFERROR(INDEX('통합 ④ 설정'!$A$6:$A$40,MATCH($D1315,'통합 ④ 설정'!$B$6:$B$40,0)),"※없는 과목"))</f>
        <v/>
      </c>
      <c r="F1315" s="36" t="str">
        <f aca="false">IF($D1315="","",IFERROR(INDEX('통합 ④ 설정'!$C$6:$C$40,MATCH($D1315,'통합 ④ 설정'!$B$6:$B$40,0)),""))</f>
        <v/>
      </c>
      <c r="G1315" s="39"/>
      <c r="H1315" s="39"/>
      <c r="I1315" s="40"/>
      <c r="J1315" s="41"/>
      <c r="K1315" s="38"/>
      <c r="L1315" s="42" t="str">
        <f aca="false">IF($B1315="","",IF(AND(N($I1315)=0,N($J1315)=0),"금액이 없습니다",IF(AND($I1315&gt;0,$J1315&gt;0),"수입·지출 둘 다 적혔습니다",IF($C1315="","결제수단을 고르십시오",IF(ISNA(MATCH($C1315,'통합 ③ 통장·카드'!$A$5:$A$11,0)),"③ 통장·카드에 없는 결제수단입니다",IF($D1315="","계정과목을 고르십시오",IF($E1315="※없는 과목","④ 설정에 없는 과목입니다",IF(AND($E1315="수입",$J1315&gt;0),"수입 과목인데 지출에 적혔습니다",IF(AND(LEFT($E1315,2)&lt;&gt;"수입",$E1315&lt;&gt;"대체",$I1315&gt;0),"지출 과목인데 수입에 적혔습니다",IF($K1315="","증빙을 고르십시오",IF(AND($C1315="바우처통장",$J1315&gt;0,IFERROR(INDEX('통합 ④ 설정'!$E$6:$E$40,MATCH($D1315,'통합 ④ 설정'!$B$6:$B$40,0)),"")&lt;&gt;"○"),"바우처통장 지출 — 목적 확인",IF($H1315="","적요를 적으십시오",""))))))))))))</f>
        <v/>
      </c>
      <c r="M1315" s="39"/>
      <c r="O1315" s="11" t="str">
        <f aca="false">IF($B1315="","",YEAR($B1315)*100+MONTH($B1315))</f>
        <v/>
      </c>
      <c r="P1315" s="11" t="str">
        <f aca="false">IF($B1315="","",IF($E1315="대체",0,1))</f>
        <v/>
      </c>
    </row>
    <row r="1316" customFormat="false" ht="15" hidden="false" customHeight="false" outlineLevel="0" collapsed="false">
      <c r="A1316" s="36" t="str">
        <f aca="false">IF($B1316="","",COUNT($B$15:$B1316))</f>
        <v/>
      </c>
      <c r="B1316" s="37"/>
      <c r="C1316" s="38"/>
      <c r="D1316" s="39"/>
      <c r="E1316" s="36" t="str">
        <f aca="false">IF($D1316="","",IFERROR(INDEX('통합 ④ 설정'!$A$6:$A$40,MATCH($D1316,'통합 ④ 설정'!$B$6:$B$40,0)),"※없는 과목"))</f>
        <v/>
      </c>
      <c r="F1316" s="36" t="str">
        <f aca="false">IF($D1316="","",IFERROR(INDEX('통합 ④ 설정'!$C$6:$C$40,MATCH($D1316,'통합 ④ 설정'!$B$6:$B$40,0)),""))</f>
        <v/>
      </c>
      <c r="G1316" s="39"/>
      <c r="H1316" s="39"/>
      <c r="I1316" s="40"/>
      <c r="J1316" s="41"/>
      <c r="K1316" s="38"/>
      <c r="L1316" s="42" t="str">
        <f aca="false">IF($B1316="","",IF(AND(N($I1316)=0,N($J1316)=0),"금액이 없습니다",IF(AND($I1316&gt;0,$J1316&gt;0),"수입·지출 둘 다 적혔습니다",IF($C1316="","결제수단을 고르십시오",IF(ISNA(MATCH($C1316,'통합 ③ 통장·카드'!$A$5:$A$11,0)),"③ 통장·카드에 없는 결제수단입니다",IF($D1316="","계정과목을 고르십시오",IF($E1316="※없는 과목","④ 설정에 없는 과목입니다",IF(AND($E1316="수입",$J1316&gt;0),"수입 과목인데 지출에 적혔습니다",IF(AND(LEFT($E1316,2)&lt;&gt;"수입",$E1316&lt;&gt;"대체",$I1316&gt;0),"지출 과목인데 수입에 적혔습니다",IF($K1316="","증빙을 고르십시오",IF(AND($C1316="바우처통장",$J1316&gt;0,IFERROR(INDEX('통합 ④ 설정'!$E$6:$E$40,MATCH($D1316,'통합 ④ 설정'!$B$6:$B$40,0)),"")&lt;&gt;"○"),"바우처통장 지출 — 목적 확인",IF($H1316="","적요를 적으십시오",""))))))))))))</f>
        <v/>
      </c>
      <c r="M1316" s="39"/>
      <c r="O1316" s="11" t="str">
        <f aca="false">IF($B1316="","",YEAR($B1316)*100+MONTH($B1316))</f>
        <v/>
      </c>
      <c r="P1316" s="11" t="str">
        <f aca="false">IF($B1316="","",IF($E1316="대체",0,1))</f>
        <v/>
      </c>
    </row>
    <row r="1317" customFormat="false" ht="15" hidden="false" customHeight="false" outlineLevel="0" collapsed="false">
      <c r="A1317" s="36" t="str">
        <f aca="false">IF($B1317="","",COUNT($B$15:$B1317))</f>
        <v/>
      </c>
      <c r="B1317" s="37"/>
      <c r="C1317" s="38"/>
      <c r="D1317" s="39"/>
      <c r="E1317" s="36" t="str">
        <f aca="false">IF($D1317="","",IFERROR(INDEX('통합 ④ 설정'!$A$6:$A$40,MATCH($D1317,'통합 ④ 설정'!$B$6:$B$40,0)),"※없는 과목"))</f>
        <v/>
      </c>
      <c r="F1317" s="36" t="str">
        <f aca="false">IF($D1317="","",IFERROR(INDEX('통합 ④ 설정'!$C$6:$C$40,MATCH($D1317,'통합 ④ 설정'!$B$6:$B$40,0)),""))</f>
        <v/>
      </c>
      <c r="G1317" s="39"/>
      <c r="H1317" s="39"/>
      <c r="I1317" s="40"/>
      <c r="J1317" s="41"/>
      <c r="K1317" s="38"/>
      <c r="L1317" s="42" t="str">
        <f aca="false">IF($B1317="","",IF(AND(N($I1317)=0,N($J1317)=0),"금액이 없습니다",IF(AND($I1317&gt;0,$J1317&gt;0),"수입·지출 둘 다 적혔습니다",IF($C1317="","결제수단을 고르십시오",IF(ISNA(MATCH($C1317,'통합 ③ 통장·카드'!$A$5:$A$11,0)),"③ 통장·카드에 없는 결제수단입니다",IF($D1317="","계정과목을 고르십시오",IF($E1317="※없는 과목","④ 설정에 없는 과목입니다",IF(AND($E1317="수입",$J1317&gt;0),"수입 과목인데 지출에 적혔습니다",IF(AND(LEFT($E1317,2)&lt;&gt;"수입",$E1317&lt;&gt;"대체",$I1317&gt;0),"지출 과목인데 수입에 적혔습니다",IF($K1317="","증빙을 고르십시오",IF(AND($C1317="바우처통장",$J1317&gt;0,IFERROR(INDEX('통합 ④ 설정'!$E$6:$E$40,MATCH($D1317,'통합 ④ 설정'!$B$6:$B$40,0)),"")&lt;&gt;"○"),"바우처통장 지출 — 목적 확인",IF($H1317="","적요를 적으십시오",""))))))))))))</f>
        <v/>
      </c>
      <c r="M1317" s="39"/>
      <c r="O1317" s="11" t="str">
        <f aca="false">IF($B1317="","",YEAR($B1317)*100+MONTH($B1317))</f>
        <v/>
      </c>
      <c r="P1317" s="11" t="str">
        <f aca="false">IF($B1317="","",IF($E1317="대체",0,1))</f>
        <v/>
      </c>
    </row>
    <row r="1318" customFormat="false" ht="15" hidden="false" customHeight="false" outlineLevel="0" collapsed="false">
      <c r="A1318" s="36" t="str">
        <f aca="false">IF($B1318="","",COUNT($B$15:$B1318))</f>
        <v/>
      </c>
      <c r="B1318" s="37"/>
      <c r="C1318" s="38"/>
      <c r="D1318" s="39"/>
      <c r="E1318" s="36" t="str">
        <f aca="false">IF($D1318="","",IFERROR(INDEX('통합 ④ 설정'!$A$6:$A$40,MATCH($D1318,'통합 ④ 설정'!$B$6:$B$40,0)),"※없는 과목"))</f>
        <v/>
      </c>
      <c r="F1318" s="36" t="str">
        <f aca="false">IF($D1318="","",IFERROR(INDEX('통합 ④ 설정'!$C$6:$C$40,MATCH($D1318,'통합 ④ 설정'!$B$6:$B$40,0)),""))</f>
        <v/>
      </c>
      <c r="G1318" s="39"/>
      <c r="H1318" s="39"/>
      <c r="I1318" s="40"/>
      <c r="J1318" s="41"/>
      <c r="K1318" s="38"/>
      <c r="L1318" s="42" t="str">
        <f aca="false">IF($B1318="","",IF(AND(N($I1318)=0,N($J1318)=0),"금액이 없습니다",IF(AND($I1318&gt;0,$J1318&gt;0),"수입·지출 둘 다 적혔습니다",IF($C1318="","결제수단을 고르십시오",IF(ISNA(MATCH($C1318,'통합 ③ 통장·카드'!$A$5:$A$11,0)),"③ 통장·카드에 없는 결제수단입니다",IF($D1318="","계정과목을 고르십시오",IF($E1318="※없는 과목","④ 설정에 없는 과목입니다",IF(AND($E1318="수입",$J1318&gt;0),"수입 과목인데 지출에 적혔습니다",IF(AND(LEFT($E1318,2)&lt;&gt;"수입",$E1318&lt;&gt;"대체",$I1318&gt;0),"지출 과목인데 수입에 적혔습니다",IF($K1318="","증빙을 고르십시오",IF(AND($C1318="바우처통장",$J1318&gt;0,IFERROR(INDEX('통합 ④ 설정'!$E$6:$E$40,MATCH($D1318,'통합 ④ 설정'!$B$6:$B$40,0)),"")&lt;&gt;"○"),"바우처통장 지출 — 목적 확인",IF($H1318="","적요를 적으십시오",""))))))))))))</f>
        <v/>
      </c>
      <c r="M1318" s="39"/>
      <c r="O1318" s="11" t="str">
        <f aca="false">IF($B1318="","",YEAR($B1318)*100+MONTH($B1318))</f>
        <v/>
      </c>
      <c r="P1318" s="11" t="str">
        <f aca="false">IF($B1318="","",IF($E1318="대체",0,1))</f>
        <v/>
      </c>
    </row>
    <row r="1319" customFormat="false" ht="15" hidden="false" customHeight="false" outlineLevel="0" collapsed="false">
      <c r="A1319" s="36" t="str">
        <f aca="false">IF($B1319="","",COUNT($B$15:$B1319))</f>
        <v/>
      </c>
      <c r="B1319" s="37"/>
      <c r="C1319" s="38"/>
      <c r="D1319" s="39"/>
      <c r="E1319" s="36" t="str">
        <f aca="false">IF($D1319="","",IFERROR(INDEX('통합 ④ 설정'!$A$6:$A$40,MATCH($D1319,'통합 ④ 설정'!$B$6:$B$40,0)),"※없는 과목"))</f>
        <v/>
      </c>
      <c r="F1319" s="36" t="str">
        <f aca="false">IF($D1319="","",IFERROR(INDEX('통합 ④ 설정'!$C$6:$C$40,MATCH($D1319,'통합 ④ 설정'!$B$6:$B$40,0)),""))</f>
        <v/>
      </c>
      <c r="G1319" s="39"/>
      <c r="H1319" s="39"/>
      <c r="I1319" s="40"/>
      <c r="J1319" s="41"/>
      <c r="K1319" s="38"/>
      <c r="L1319" s="42" t="str">
        <f aca="false">IF($B1319="","",IF(AND(N($I1319)=0,N($J1319)=0),"금액이 없습니다",IF(AND($I1319&gt;0,$J1319&gt;0),"수입·지출 둘 다 적혔습니다",IF($C1319="","결제수단을 고르십시오",IF(ISNA(MATCH($C1319,'통합 ③ 통장·카드'!$A$5:$A$11,0)),"③ 통장·카드에 없는 결제수단입니다",IF($D1319="","계정과목을 고르십시오",IF($E1319="※없는 과목","④ 설정에 없는 과목입니다",IF(AND($E1319="수입",$J1319&gt;0),"수입 과목인데 지출에 적혔습니다",IF(AND(LEFT($E1319,2)&lt;&gt;"수입",$E1319&lt;&gt;"대체",$I1319&gt;0),"지출 과목인데 수입에 적혔습니다",IF($K1319="","증빙을 고르십시오",IF(AND($C1319="바우처통장",$J1319&gt;0,IFERROR(INDEX('통합 ④ 설정'!$E$6:$E$40,MATCH($D1319,'통합 ④ 설정'!$B$6:$B$40,0)),"")&lt;&gt;"○"),"바우처통장 지출 — 목적 확인",IF($H1319="","적요를 적으십시오",""))))))))))))</f>
        <v/>
      </c>
      <c r="M1319" s="39"/>
      <c r="O1319" s="11" t="str">
        <f aca="false">IF($B1319="","",YEAR($B1319)*100+MONTH($B1319))</f>
        <v/>
      </c>
      <c r="P1319" s="11" t="str">
        <f aca="false">IF($B1319="","",IF($E1319="대체",0,1))</f>
        <v/>
      </c>
    </row>
    <row r="1320" customFormat="false" ht="15" hidden="false" customHeight="false" outlineLevel="0" collapsed="false">
      <c r="A1320" s="36" t="str">
        <f aca="false">IF($B1320="","",COUNT($B$15:$B1320))</f>
        <v/>
      </c>
      <c r="B1320" s="37"/>
      <c r="C1320" s="38"/>
      <c r="D1320" s="39"/>
      <c r="E1320" s="36" t="str">
        <f aca="false">IF($D1320="","",IFERROR(INDEX('통합 ④ 설정'!$A$6:$A$40,MATCH($D1320,'통합 ④ 설정'!$B$6:$B$40,0)),"※없는 과목"))</f>
        <v/>
      </c>
      <c r="F1320" s="36" t="str">
        <f aca="false">IF($D1320="","",IFERROR(INDEX('통합 ④ 설정'!$C$6:$C$40,MATCH($D1320,'통합 ④ 설정'!$B$6:$B$40,0)),""))</f>
        <v/>
      </c>
      <c r="G1320" s="39"/>
      <c r="H1320" s="39"/>
      <c r="I1320" s="40"/>
      <c r="J1320" s="41"/>
      <c r="K1320" s="38"/>
      <c r="L1320" s="42" t="str">
        <f aca="false">IF($B1320="","",IF(AND(N($I1320)=0,N($J1320)=0),"금액이 없습니다",IF(AND($I1320&gt;0,$J1320&gt;0),"수입·지출 둘 다 적혔습니다",IF($C1320="","결제수단을 고르십시오",IF(ISNA(MATCH($C1320,'통합 ③ 통장·카드'!$A$5:$A$11,0)),"③ 통장·카드에 없는 결제수단입니다",IF($D1320="","계정과목을 고르십시오",IF($E1320="※없는 과목","④ 설정에 없는 과목입니다",IF(AND($E1320="수입",$J1320&gt;0),"수입 과목인데 지출에 적혔습니다",IF(AND(LEFT($E1320,2)&lt;&gt;"수입",$E1320&lt;&gt;"대체",$I1320&gt;0),"지출 과목인데 수입에 적혔습니다",IF($K1320="","증빙을 고르십시오",IF(AND($C1320="바우처통장",$J1320&gt;0,IFERROR(INDEX('통합 ④ 설정'!$E$6:$E$40,MATCH($D1320,'통합 ④ 설정'!$B$6:$B$40,0)),"")&lt;&gt;"○"),"바우처통장 지출 — 목적 확인",IF($H1320="","적요를 적으십시오",""))))))))))))</f>
        <v/>
      </c>
      <c r="M1320" s="39"/>
      <c r="O1320" s="11" t="str">
        <f aca="false">IF($B1320="","",YEAR($B1320)*100+MONTH($B1320))</f>
        <v/>
      </c>
      <c r="P1320" s="11" t="str">
        <f aca="false">IF($B1320="","",IF($E1320="대체",0,1))</f>
        <v/>
      </c>
    </row>
    <row r="1321" customFormat="false" ht="15" hidden="false" customHeight="false" outlineLevel="0" collapsed="false">
      <c r="A1321" s="36" t="str">
        <f aca="false">IF($B1321="","",COUNT($B$15:$B1321))</f>
        <v/>
      </c>
      <c r="B1321" s="37"/>
      <c r="C1321" s="38"/>
      <c r="D1321" s="39"/>
      <c r="E1321" s="36" t="str">
        <f aca="false">IF($D1321="","",IFERROR(INDEX('통합 ④ 설정'!$A$6:$A$40,MATCH($D1321,'통합 ④ 설정'!$B$6:$B$40,0)),"※없는 과목"))</f>
        <v/>
      </c>
      <c r="F1321" s="36" t="str">
        <f aca="false">IF($D1321="","",IFERROR(INDEX('통합 ④ 설정'!$C$6:$C$40,MATCH($D1321,'통합 ④ 설정'!$B$6:$B$40,0)),""))</f>
        <v/>
      </c>
      <c r="G1321" s="39"/>
      <c r="H1321" s="39"/>
      <c r="I1321" s="40"/>
      <c r="J1321" s="41"/>
      <c r="K1321" s="38"/>
      <c r="L1321" s="42" t="str">
        <f aca="false">IF($B1321="","",IF(AND(N($I1321)=0,N($J1321)=0),"금액이 없습니다",IF(AND($I1321&gt;0,$J1321&gt;0),"수입·지출 둘 다 적혔습니다",IF($C1321="","결제수단을 고르십시오",IF(ISNA(MATCH($C1321,'통합 ③ 통장·카드'!$A$5:$A$11,0)),"③ 통장·카드에 없는 결제수단입니다",IF($D1321="","계정과목을 고르십시오",IF($E1321="※없는 과목","④ 설정에 없는 과목입니다",IF(AND($E1321="수입",$J1321&gt;0),"수입 과목인데 지출에 적혔습니다",IF(AND(LEFT($E1321,2)&lt;&gt;"수입",$E1321&lt;&gt;"대체",$I1321&gt;0),"지출 과목인데 수입에 적혔습니다",IF($K1321="","증빙을 고르십시오",IF(AND($C1321="바우처통장",$J1321&gt;0,IFERROR(INDEX('통합 ④ 설정'!$E$6:$E$40,MATCH($D1321,'통합 ④ 설정'!$B$6:$B$40,0)),"")&lt;&gt;"○"),"바우처통장 지출 — 목적 확인",IF($H1321="","적요를 적으십시오",""))))))))))))</f>
        <v/>
      </c>
      <c r="M1321" s="39"/>
      <c r="O1321" s="11" t="str">
        <f aca="false">IF($B1321="","",YEAR($B1321)*100+MONTH($B1321))</f>
        <v/>
      </c>
      <c r="P1321" s="11" t="str">
        <f aca="false">IF($B1321="","",IF($E1321="대체",0,1))</f>
        <v/>
      </c>
    </row>
    <row r="1322" customFormat="false" ht="15" hidden="false" customHeight="false" outlineLevel="0" collapsed="false">
      <c r="A1322" s="36" t="str">
        <f aca="false">IF($B1322="","",COUNT($B$15:$B1322))</f>
        <v/>
      </c>
      <c r="B1322" s="37"/>
      <c r="C1322" s="38"/>
      <c r="D1322" s="39"/>
      <c r="E1322" s="36" t="str">
        <f aca="false">IF($D1322="","",IFERROR(INDEX('통합 ④ 설정'!$A$6:$A$40,MATCH($D1322,'통합 ④ 설정'!$B$6:$B$40,0)),"※없는 과목"))</f>
        <v/>
      </c>
      <c r="F1322" s="36" t="str">
        <f aca="false">IF($D1322="","",IFERROR(INDEX('통합 ④ 설정'!$C$6:$C$40,MATCH($D1322,'통합 ④ 설정'!$B$6:$B$40,0)),""))</f>
        <v/>
      </c>
      <c r="G1322" s="39"/>
      <c r="H1322" s="39"/>
      <c r="I1322" s="40"/>
      <c r="J1322" s="41"/>
      <c r="K1322" s="38"/>
      <c r="L1322" s="42" t="str">
        <f aca="false">IF($B1322="","",IF(AND(N($I1322)=0,N($J1322)=0),"금액이 없습니다",IF(AND($I1322&gt;0,$J1322&gt;0),"수입·지출 둘 다 적혔습니다",IF($C1322="","결제수단을 고르십시오",IF(ISNA(MATCH($C1322,'통합 ③ 통장·카드'!$A$5:$A$11,0)),"③ 통장·카드에 없는 결제수단입니다",IF($D1322="","계정과목을 고르십시오",IF($E1322="※없는 과목","④ 설정에 없는 과목입니다",IF(AND($E1322="수입",$J1322&gt;0),"수입 과목인데 지출에 적혔습니다",IF(AND(LEFT($E1322,2)&lt;&gt;"수입",$E1322&lt;&gt;"대체",$I1322&gt;0),"지출 과목인데 수입에 적혔습니다",IF($K1322="","증빙을 고르십시오",IF(AND($C1322="바우처통장",$J1322&gt;0,IFERROR(INDEX('통합 ④ 설정'!$E$6:$E$40,MATCH($D1322,'통합 ④ 설정'!$B$6:$B$40,0)),"")&lt;&gt;"○"),"바우처통장 지출 — 목적 확인",IF($H1322="","적요를 적으십시오",""))))))))))))</f>
        <v/>
      </c>
      <c r="M1322" s="39"/>
      <c r="O1322" s="11" t="str">
        <f aca="false">IF($B1322="","",YEAR($B1322)*100+MONTH($B1322))</f>
        <v/>
      </c>
      <c r="P1322" s="11" t="str">
        <f aca="false">IF($B1322="","",IF($E1322="대체",0,1))</f>
        <v/>
      </c>
    </row>
    <row r="1323" customFormat="false" ht="15" hidden="false" customHeight="false" outlineLevel="0" collapsed="false">
      <c r="A1323" s="36" t="str">
        <f aca="false">IF($B1323="","",COUNT($B$15:$B1323))</f>
        <v/>
      </c>
      <c r="B1323" s="37"/>
      <c r="C1323" s="38"/>
      <c r="D1323" s="39"/>
      <c r="E1323" s="36" t="str">
        <f aca="false">IF($D1323="","",IFERROR(INDEX('통합 ④ 설정'!$A$6:$A$40,MATCH($D1323,'통합 ④ 설정'!$B$6:$B$40,0)),"※없는 과목"))</f>
        <v/>
      </c>
      <c r="F1323" s="36" t="str">
        <f aca="false">IF($D1323="","",IFERROR(INDEX('통합 ④ 설정'!$C$6:$C$40,MATCH($D1323,'통합 ④ 설정'!$B$6:$B$40,0)),""))</f>
        <v/>
      </c>
      <c r="G1323" s="39"/>
      <c r="H1323" s="39"/>
      <c r="I1323" s="40"/>
      <c r="J1323" s="41"/>
      <c r="K1323" s="38"/>
      <c r="L1323" s="42" t="str">
        <f aca="false">IF($B1323="","",IF(AND(N($I1323)=0,N($J1323)=0),"금액이 없습니다",IF(AND($I1323&gt;0,$J1323&gt;0),"수입·지출 둘 다 적혔습니다",IF($C1323="","결제수단을 고르십시오",IF(ISNA(MATCH($C1323,'통합 ③ 통장·카드'!$A$5:$A$11,0)),"③ 통장·카드에 없는 결제수단입니다",IF($D1323="","계정과목을 고르십시오",IF($E1323="※없는 과목","④ 설정에 없는 과목입니다",IF(AND($E1323="수입",$J1323&gt;0),"수입 과목인데 지출에 적혔습니다",IF(AND(LEFT($E1323,2)&lt;&gt;"수입",$E1323&lt;&gt;"대체",$I1323&gt;0),"지출 과목인데 수입에 적혔습니다",IF($K1323="","증빙을 고르십시오",IF(AND($C1323="바우처통장",$J1323&gt;0,IFERROR(INDEX('통합 ④ 설정'!$E$6:$E$40,MATCH($D1323,'통합 ④ 설정'!$B$6:$B$40,0)),"")&lt;&gt;"○"),"바우처통장 지출 — 목적 확인",IF($H1323="","적요를 적으십시오",""))))))))))))</f>
        <v/>
      </c>
      <c r="M1323" s="39"/>
      <c r="O1323" s="11" t="str">
        <f aca="false">IF($B1323="","",YEAR($B1323)*100+MONTH($B1323))</f>
        <v/>
      </c>
      <c r="P1323" s="11" t="str">
        <f aca="false">IF($B1323="","",IF($E1323="대체",0,1))</f>
        <v/>
      </c>
    </row>
    <row r="1324" customFormat="false" ht="15" hidden="false" customHeight="false" outlineLevel="0" collapsed="false">
      <c r="A1324" s="36" t="str">
        <f aca="false">IF($B1324="","",COUNT($B$15:$B1324))</f>
        <v/>
      </c>
      <c r="B1324" s="37"/>
      <c r="C1324" s="38"/>
      <c r="D1324" s="39"/>
      <c r="E1324" s="36" t="str">
        <f aca="false">IF($D1324="","",IFERROR(INDEX('통합 ④ 설정'!$A$6:$A$40,MATCH($D1324,'통합 ④ 설정'!$B$6:$B$40,0)),"※없는 과목"))</f>
        <v/>
      </c>
      <c r="F1324" s="36" t="str">
        <f aca="false">IF($D1324="","",IFERROR(INDEX('통합 ④ 설정'!$C$6:$C$40,MATCH($D1324,'통합 ④ 설정'!$B$6:$B$40,0)),""))</f>
        <v/>
      </c>
      <c r="G1324" s="39"/>
      <c r="H1324" s="39"/>
      <c r="I1324" s="40"/>
      <c r="J1324" s="41"/>
      <c r="K1324" s="38"/>
      <c r="L1324" s="42" t="str">
        <f aca="false">IF($B1324="","",IF(AND(N($I1324)=0,N($J1324)=0),"금액이 없습니다",IF(AND($I1324&gt;0,$J1324&gt;0),"수입·지출 둘 다 적혔습니다",IF($C1324="","결제수단을 고르십시오",IF(ISNA(MATCH($C1324,'통합 ③ 통장·카드'!$A$5:$A$11,0)),"③ 통장·카드에 없는 결제수단입니다",IF($D1324="","계정과목을 고르십시오",IF($E1324="※없는 과목","④ 설정에 없는 과목입니다",IF(AND($E1324="수입",$J1324&gt;0),"수입 과목인데 지출에 적혔습니다",IF(AND(LEFT($E1324,2)&lt;&gt;"수입",$E1324&lt;&gt;"대체",$I1324&gt;0),"지출 과목인데 수입에 적혔습니다",IF($K1324="","증빙을 고르십시오",IF(AND($C1324="바우처통장",$J1324&gt;0,IFERROR(INDEX('통합 ④ 설정'!$E$6:$E$40,MATCH($D1324,'통합 ④ 설정'!$B$6:$B$40,0)),"")&lt;&gt;"○"),"바우처통장 지출 — 목적 확인",IF($H1324="","적요를 적으십시오",""))))))))))))</f>
        <v/>
      </c>
      <c r="M1324" s="39"/>
      <c r="O1324" s="11" t="str">
        <f aca="false">IF($B1324="","",YEAR($B1324)*100+MONTH($B1324))</f>
        <v/>
      </c>
      <c r="P1324" s="11" t="str">
        <f aca="false">IF($B1324="","",IF($E1324="대체",0,1))</f>
        <v/>
      </c>
    </row>
    <row r="1325" customFormat="false" ht="15" hidden="false" customHeight="false" outlineLevel="0" collapsed="false">
      <c r="A1325" s="36" t="str">
        <f aca="false">IF($B1325="","",COUNT($B$15:$B1325))</f>
        <v/>
      </c>
      <c r="B1325" s="37"/>
      <c r="C1325" s="38"/>
      <c r="D1325" s="39"/>
      <c r="E1325" s="36" t="str">
        <f aca="false">IF($D1325="","",IFERROR(INDEX('통합 ④ 설정'!$A$6:$A$40,MATCH($D1325,'통합 ④ 설정'!$B$6:$B$40,0)),"※없는 과목"))</f>
        <v/>
      </c>
      <c r="F1325" s="36" t="str">
        <f aca="false">IF($D1325="","",IFERROR(INDEX('통합 ④ 설정'!$C$6:$C$40,MATCH($D1325,'통합 ④ 설정'!$B$6:$B$40,0)),""))</f>
        <v/>
      </c>
      <c r="G1325" s="39"/>
      <c r="H1325" s="39"/>
      <c r="I1325" s="40"/>
      <c r="J1325" s="41"/>
      <c r="K1325" s="38"/>
      <c r="L1325" s="42" t="str">
        <f aca="false">IF($B1325="","",IF(AND(N($I1325)=0,N($J1325)=0),"금액이 없습니다",IF(AND($I1325&gt;0,$J1325&gt;0),"수입·지출 둘 다 적혔습니다",IF($C1325="","결제수단을 고르십시오",IF(ISNA(MATCH($C1325,'통합 ③ 통장·카드'!$A$5:$A$11,0)),"③ 통장·카드에 없는 결제수단입니다",IF($D1325="","계정과목을 고르십시오",IF($E1325="※없는 과목","④ 설정에 없는 과목입니다",IF(AND($E1325="수입",$J1325&gt;0),"수입 과목인데 지출에 적혔습니다",IF(AND(LEFT($E1325,2)&lt;&gt;"수입",$E1325&lt;&gt;"대체",$I1325&gt;0),"지출 과목인데 수입에 적혔습니다",IF($K1325="","증빙을 고르십시오",IF(AND($C1325="바우처통장",$J1325&gt;0,IFERROR(INDEX('통합 ④ 설정'!$E$6:$E$40,MATCH($D1325,'통합 ④ 설정'!$B$6:$B$40,0)),"")&lt;&gt;"○"),"바우처통장 지출 — 목적 확인",IF($H1325="","적요를 적으십시오",""))))))))))))</f>
        <v/>
      </c>
      <c r="M1325" s="39"/>
      <c r="O1325" s="11" t="str">
        <f aca="false">IF($B1325="","",YEAR($B1325)*100+MONTH($B1325))</f>
        <v/>
      </c>
      <c r="P1325" s="11" t="str">
        <f aca="false">IF($B1325="","",IF($E1325="대체",0,1))</f>
        <v/>
      </c>
    </row>
    <row r="1326" customFormat="false" ht="15" hidden="false" customHeight="false" outlineLevel="0" collapsed="false">
      <c r="A1326" s="36" t="str">
        <f aca="false">IF($B1326="","",COUNT($B$15:$B1326))</f>
        <v/>
      </c>
      <c r="B1326" s="37"/>
      <c r="C1326" s="38"/>
      <c r="D1326" s="39"/>
      <c r="E1326" s="36" t="str">
        <f aca="false">IF($D1326="","",IFERROR(INDEX('통합 ④ 설정'!$A$6:$A$40,MATCH($D1326,'통합 ④ 설정'!$B$6:$B$40,0)),"※없는 과목"))</f>
        <v/>
      </c>
      <c r="F1326" s="36" t="str">
        <f aca="false">IF($D1326="","",IFERROR(INDEX('통합 ④ 설정'!$C$6:$C$40,MATCH($D1326,'통합 ④ 설정'!$B$6:$B$40,0)),""))</f>
        <v/>
      </c>
      <c r="G1326" s="39"/>
      <c r="H1326" s="39"/>
      <c r="I1326" s="40"/>
      <c r="J1326" s="41"/>
      <c r="K1326" s="38"/>
      <c r="L1326" s="42" t="str">
        <f aca="false">IF($B1326="","",IF(AND(N($I1326)=0,N($J1326)=0),"금액이 없습니다",IF(AND($I1326&gt;0,$J1326&gt;0),"수입·지출 둘 다 적혔습니다",IF($C1326="","결제수단을 고르십시오",IF(ISNA(MATCH($C1326,'통합 ③ 통장·카드'!$A$5:$A$11,0)),"③ 통장·카드에 없는 결제수단입니다",IF($D1326="","계정과목을 고르십시오",IF($E1326="※없는 과목","④ 설정에 없는 과목입니다",IF(AND($E1326="수입",$J1326&gt;0),"수입 과목인데 지출에 적혔습니다",IF(AND(LEFT($E1326,2)&lt;&gt;"수입",$E1326&lt;&gt;"대체",$I1326&gt;0),"지출 과목인데 수입에 적혔습니다",IF($K1326="","증빙을 고르십시오",IF(AND($C1326="바우처통장",$J1326&gt;0,IFERROR(INDEX('통합 ④ 설정'!$E$6:$E$40,MATCH($D1326,'통합 ④ 설정'!$B$6:$B$40,0)),"")&lt;&gt;"○"),"바우처통장 지출 — 목적 확인",IF($H1326="","적요를 적으십시오",""))))))))))))</f>
        <v/>
      </c>
      <c r="M1326" s="39"/>
      <c r="O1326" s="11" t="str">
        <f aca="false">IF($B1326="","",YEAR($B1326)*100+MONTH($B1326))</f>
        <v/>
      </c>
      <c r="P1326" s="11" t="str">
        <f aca="false">IF($B1326="","",IF($E1326="대체",0,1))</f>
        <v/>
      </c>
    </row>
    <row r="1327" customFormat="false" ht="15" hidden="false" customHeight="false" outlineLevel="0" collapsed="false">
      <c r="A1327" s="36" t="str">
        <f aca="false">IF($B1327="","",COUNT($B$15:$B1327))</f>
        <v/>
      </c>
      <c r="B1327" s="37"/>
      <c r="C1327" s="38"/>
      <c r="D1327" s="39"/>
      <c r="E1327" s="36" t="str">
        <f aca="false">IF($D1327="","",IFERROR(INDEX('통합 ④ 설정'!$A$6:$A$40,MATCH($D1327,'통합 ④ 설정'!$B$6:$B$40,0)),"※없는 과목"))</f>
        <v/>
      </c>
      <c r="F1327" s="36" t="str">
        <f aca="false">IF($D1327="","",IFERROR(INDEX('통합 ④ 설정'!$C$6:$C$40,MATCH($D1327,'통합 ④ 설정'!$B$6:$B$40,0)),""))</f>
        <v/>
      </c>
      <c r="G1327" s="39"/>
      <c r="H1327" s="39"/>
      <c r="I1327" s="40"/>
      <c r="J1327" s="41"/>
      <c r="K1327" s="38"/>
      <c r="L1327" s="42" t="str">
        <f aca="false">IF($B1327="","",IF(AND(N($I1327)=0,N($J1327)=0),"금액이 없습니다",IF(AND($I1327&gt;0,$J1327&gt;0),"수입·지출 둘 다 적혔습니다",IF($C1327="","결제수단을 고르십시오",IF(ISNA(MATCH($C1327,'통합 ③ 통장·카드'!$A$5:$A$11,0)),"③ 통장·카드에 없는 결제수단입니다",IF($D1327="","계정과목을 고르십시오",IF($E1327="※없는 과목","④ 설정에 없는 과목입니다",IF(AND($E1327="수입",$J1327&gt;0),"수입 과목인데 지출에 적혔습니다",IF(AND(LEFT($E1327,2)&lt;&gt;"수입",$E1327&lt;&gt;"대체",$I1327&gt;0),"지출 과목인데 수입에 적혔습니다",IF($K1327="","증빙을 고르십시오",IF(AND($C1327="바우처통장",$J1327&gt;0,IFERROR(INDEX('통합 ④ 설정'!$E$6:$E$40,MATCH($D1327,'통합 ④ 설정'!$B$6:$B$40,0)),"")&lt;&gt;"○"),"바우처통장 지출 — 목적 확인",IF($H1327="","적요를 적으십시오",""))))))))))))</f>
        <v/>
      </c>
      <c r="M1327" s="39"/>
      <c r="O1327" s="11" t="str">
        <f aca="false">IF($B1327="","",YEAR($B1327)*100+MONTH($B1327))</f>
        <v/>
      </c>
      <c r="P1327" s="11" t="str">
        <f aca="false">IF($B1327="","",IF($E1327="대체",0,1))</f>
        <v/>
      </c>
    </row>
    <row r="1328" customFormat="false" ht="15" hidden="false" customHeight="false" outlineLevel="0" collapsed="false">
      <c r="A1328" s="36" t="str">
        <f aca="false">IF($B1328="","",COUNT($B$15:$B1328))</f>
        <v/>
      </c>
      <c r="B1328" s="37"/>
      <c r="C1328" s="38"/>
      <c r="D1328" s="39"/>
      <c r="E1328" s="36" t="str">
        <f aca="false">IF($D1328="","",IFERROR(INDEX('통합 ④ 설정'!$A$6:$A$40,MATCH($D1328,'통합 ④ 설정'!$B$6:$B$40,0)),"※없는 과목"))</f>
        <v/>
      </c>
      <c r="F1328" s="36" t="str">
        <f aca="false">IF($D1328="","",IFERROR(INDEX('통합 ④ 설정'!$C$6:$C$40,MATCH($D1328,'통합 ④ 설정'!$B$6:$B$40,0)),""))</f>
        <v/>
      </c>
      <c r="G1328" s="39"/>
      <c r="H1328" s="39"/>
      <c r="I1328" s="40"/>
      <c r="J1328" s="41"/>
      <c r="K1328" s="38"/>
      <c r="L1328" s="42" t="str">
        <f aca="false">IF($B1328="","",IF(AND(N($I1328)=0,N($J1328)=0),"금액이 없습니다",IF(AND($I1328&gt;0,$J1328&gt;0),"수입·지출 둘 다 적혔습니다",IF($C1328="","결제수단을 고르십시오",IF(ISNA(MATCH($C1328,'통합 ③ 통장·카드'!$A$5:$A$11,0)),"③ 통장·카드에 없는 결제수단입니다",IF($D1328="","계정과목을 고르십시오",IF($E1328="※없는 과목","④ 설정에 없는 과목입니다",IF(AND($E1328="수입",$J1328&gt;0),"수입 과목인데 지출에 적혔습니다",IF(AND(LEFT($E1328,2)&lt;&gt;"수입",$E1328&lt;&gt;"대체",$I1328&gt;0),"지출 과목인데 수입에 적혔습니다",IF($K1328="","증빙을 고르십시오",IF(AND($C1328="바우처통장",$J1328&gt;0,IFERROR(INDEX('통합 ④ 설정'!$E$6:$E$40,MATCH($D1328,'통합 ④ 설정'!$B$6:$B$40,0)),"")&lt;&gt;"○"),"바우처통장 지출 — 목적 확인",IF($H1328="","적요를 적으십시오",""))))))))))))</f>
        <v/>
      </c>
      <c r="M1328" s="39"/>
      <c r="O1328" s="11" t="str">
        <f aca="false">IF($B1328="","",YEAR($B1328)*100+MONTH($B1328))</f>
        <v/>
      </c>
      <c r="P1328" s="11" t="str">
        <f aca="false">IF($B1328="","",IF($E1328="대체",0,1))</f>
        <v/>
      </c>
    </row>
    <row r="1329" customFormat="false" ht="15" hidden="false" customHeight="false" outlineLevel="0" collapsed="false">
      <c r="A1329" s="36" t="str">
        <f aca="false">IF($B1329="","",COUNT($B$15:$B1329))</f>
        <v/>
      </c>
      <c r="B1329" s="37"/>
      <c r="C1329" s="38"/>
      <c r="D1329" s="39"/>
      <c r="E1329" s="36" t="str">
        <f aca="false">IF($D1329="","",IFERROR(INDEX('통합 ④ 설정'!$A$6:$A$40,MATCH($D1329,'통합 ④ 설정'!$B$6:$B$40,0)),"※없는 과목"))</f>
        <v/>
      </c>
      <c r="F1329" s="36" t="str">
        <f aca="false">IF($D1329="","",IFERROR(INDEX('통합 ④ 설정'!$C$6:$C$40,MATCH($D1329,'통합 ④ 설정'!$B$6:$B$40,0)),""))</f>
        <v/>
      </c>
      <c r="G1329" s="39"/>
      <c r="H1329" s="39"/>
      <c r="I1329" s="40"/>
      <c r="J1329" s="41"/>
      <c r="K1329" s="38"/>
      <c r="L1329" s="42" t="str">
        <f aca="false">IF($B1329="","",IF(AND(N($I1329)=0,N($J1329)=0),"금액이 없습니다",IF(AND($I1329&gt;0,$J1329&gt;0),"수입·지출 둘 다 적혔습니다",IF($C1329="","결제수단을 고르십시오",IF(ISNA(MATCH($C1329,'통합 ③ 통장·카드'!$A$5:$A$11,0)),"③ 통장·카드에 없는 결제수단입니다",IF($D1329="","계정과목을 고르십시오",IF($E1329="※없는 과목","④ 설정에 없는 과목입니다",IF(AND($E1329="수입",$J1329&gt;0),"수입 과목인데 지출에 적혔습니다",IF(AND(LEFT($E1329,2)&lt;&gt;"수입",$E1329&lt;&gt;"대체",$I1329&gt;0),"지출 과목인데 수입에 적혔습니다",IF($K1329="","증빙을 고르십시오",IF(AND($C1329="바우처통장",$J1329&gt;0,IFERROR(INDEX('통합 ④ 설정'!$E$6:$E$40,MATCH($D1329,'통합 ④ 설정'!$B$6:$B$40,0)),"")&lt;&gt;"○"),"바우처통장 지출 — 목적 확인",IF($H1329="","적요를 적으십시오",""))))))))))))</f>
        <v/>
      </c>
      <c r="M1329" s="39"/>
      <c r="O1329" s="11" t="str">
        <f aca="false">IF($B1329="","",YEAR($B1329)*100+MONTH($B1329))</f>
        <v/>
      </c>
      <c r="P1329" s="11" t="str">
        <f aca="false">IF($B1329="","",IF($E1329="대체",0,1))</f>
        <v/>
      </c>
    </row>
    <row r="1330" customFormat="false" ht="15" hidden="false" customHeight="false" outlineLevel="0" collapsed="false">
      <c r="A1330" s="36" t="str">
        <f aca="false">IF($B1330="","",COUNT($B$15:$B1330))</f>
        <v/>
      </c>
      <c r="B1330" s="37"/>
      <c r="C1330" s="38"/>
      <c r="D1330" s="39"/>
      <c r="E1330" s="36" t="str">
        <f aca="false">IF($D1330="","",IFERROR(INDEX('통합 ④ 설정'!$A$6:$A$40,MATCH($D1330,'통합 ④ 설정'!$B$6:$B$40,0)),"※없는 과목"))</f>
        <v/>
      </c>
      <c r="F1330" s="36" t="str">
        <f aca="false">IF($D1330="","",IFERROR(INDEX('통합 ④ 설정'!$C$6:$C$40,MATCH($D1330,'통합 ④ 설정'!$B$6:$B$40,0)),""))</f>
        <v/>
      </c>
      <c r="G1330" s="39"/>
      <c r="H1330" s="39"/>
      <c r="I1330" s="40"/>
      <c r="J1330" s="41"/>
      <c r="K1330" s="38"/>
      <c r="L1330" s="42" t="str">
        <f aca="false">IF($B1330="","",IF(AND(N($I1330)=0,N($J1330)=0),"금액이 없습니다",IF(AND($I1330&gt;0,$J1330&gt;0),"수입·지출 둘 다 적혔습니다",IF($C1330="","결제수단을 고르십시오",IF(ISNA(MATCH($C1330,'통합 ③ 통장·카드'!$A$5:$A$11,0)),"③ 통장·카드에 없는 결제수단입니다",IF($D1330="","계정과목을 고르십시오",IF($E1330="※없는 과목","④ 설정에 없는 과목입니다",IF(AND($E1330="수입",$J1330&gt;0),"수입 과목인데 지출에 적혔습니다",IF(AND(LEFT($E1330,2)&lt;&gt;"수입",$E1330&lt;&gt;"대체",$I1330&gt;0),"지출 과목인데 수입에 적혔습니다",IF($K1330="","증빙을 고르십시오",IF(AND($C1330="바우처통장",$J1330&gt;0,IFERROR(INDEX('통합 ④ 설정'!$E$6:$E$40,MATCH($D1330,'통합 ④ 설정'!$B$6:$B$40,0)),"")&lt;&gt;"○"),"바우처통장 지출 — 목적 확인",IF($H1330="","적요를 적으십시오",""))))))))))))</f>
        <v/>
      </c>
      <c r="M1330" s="39"/>
      <c r="O1330" s="11" t="str">
        <f aca="false">IF($B1330="","",YEAR($B1330)*100+MONTH($B1330))</f>
        <v/>
      </c>
      <c r="P1330" s="11" t="str">
        <f aca="false">IF($B1330="","",IF($E1330="대체",0,1))</f>
        <v/>
      </c>
    </row>
    <row r="1331" customFormat="false" ht="15" hidden="false" customHeight="false" outlineLevel="0" collapsed="false">
      <c r="A1331" s="36" t="str">
        <f aca="false">IF($B1331="","",COUNT($B$15:$B1331))</f>
        <v/>
      </c>
      <c r="B1331" s="37"/>
      <c r="C1331" s="38"/>
      <c r="D1331" s="39"/>
      <c r="E1331" s="36" t="str">
        <f aca="false">IF($D1331="","",IFERROR(INDEX('통합 ④ 설정'!$A$6:$A$40,MATCH($D1331,'통합 ④ 설정'!$B$6:$B$40,0)),"※없는 과목"))</f>
        <v/>
      </c>
      <c r="F1331" s="36" t="str">
        <f aca="false">IF($D1331="","",IFERROR(INDEX('통합 ④ 설정'!$C$6:$C$40,MATCH($D1331,'통합 ④ 설정'!$B$6:$B$40,0)),""))</f>
        <v/>
      </c>
      <c r="G1331" s="39"/>
      <c r="H1331" s="39"/>
      <c r="I1331" s="40"/>
      <c r="J1331" s="41"/>
      <c r="K1331" s="38"/>
      <c r="L1331" s="42" t="str">
        <f aca="false">IF($B1331="","",IF(AND(N($I1331)=0,N($J1331)=0),"금액이 없습니다",IF(AND($I1331&gt;0,$J1331&gt;0),"수입·지출 둘 다 적혔습니다",IF($C1331="","결제수단을 고르십시오",IF(ISNA(MATCH($C1331,'통합 ③ 통장·카드'!$A$5:$A$11,0)),"③ 통장·카드에 없는 결제수단입니다",IF($D1331="","계정과목을 고르십시오",IF($E1331="※없는 과목","④ 설정에 없는 과목입니다",IF(AND($E1331="수입",$J1331&gt;0),"수입 과목인데 지출에 적혔습니다",IF(AND(LEFT($E1331,2)&lt;&gt;"수입",$E1331&lt;&gt;"대체",$I1331&gt;0),"지출 과목인데 수입에 적혔습니다",IF($K1331="","증빙을 고르십시오",IF(AND($C1331="바우처통장",$J1331&gt;0,IFERROR(INDEX('통합 ④ 설정'!$E$6:$E$40,MATCH($D1331,'통합 ④ 설정'!$B$6:$B$40,0)),"")&lt;&gt;"○"),"바우처통장 지출 — 목적 확인",IF($H1331="","적요를 적으십시오",""))))))))))))</f>
        <v/>
      </c>
      <c r="M1331" s="39"/>
      <c r="O1331" s="11" t="str">
        <f aca="false">IF($B1331="","",YEAR($B1331)*100+MONTH($B1331))</f>
        <v/>
      </c>
      <c r="P1331" s="11" t="str">
        <f aca="false">IF($B1331="","",IF($E1331="대체",0,1))</f>
        <v/>
      </c>
    </row>
    <row r="1332" customFormat="false" ht="15" hidden="false" customHeight="false" outlineLevel="0" collapsed="false">
      <c r="A1332" s="36" t="str">
        <f aca="false">IF($B1332="","",COUNT($B$15:$B1332))</f>
        <v/>
      </c>
      <c r="B1332" s="37"/>
      <c r="C1332" s="38"/>
      <c r="D1332" s="39"/>
      <c r="E1332" s="36" t="str">
        <f aca="false">IF($D1332="","",IFERROR(INDEX('통합 ④ 설정'!$A$6:$A$40,MATCH($D1332,'통합 ④ 설정'!$B$6:$B$40,0)),"※없는 과목"))</f>
        <v/>
      </c>
      <c r="F1332" s="36" t="str">
        <f aca="false">IF($D1332="","",IFERROR(INDEX('통합 ④ 설정'!$C$6:$C$40,MATCH($D1332,'통합 ④ 설정'!$B$6:$B$40,0)),""))</f>
        <v/>
      </c>
      <c r="G1332" s="39"/>
      <c r="H1332" s="39"/>
      <c r="I1332" s="40"/>
      <c r="J1332" s="41"/>
      <c r="K1332" s="38"/>
      <c r="L1332" s="42" t="str">
        <f aca="false">IF($B1332="","",IF(AND(N($I1332)=0,N($J1332)=0),"금액이 없습니다",IF(AND($I1332&gt;0,$J1332&gt;0),"수입·지출 둘 다 적혔습니다",IF($C1332="","결제수단을 고르십시오",IF(ISNA(MATCH($C1332,'통합 ③ 통장·카드'!$A$5:$A$11,0)),"③ 통장·카드에 없는 결제수단입니다",IF($D1332="","계정과목을 고르십시오",IF($E1332="※없는 과목","④ 설정에 없는 과목입니다",IF(AND($E1332="수입",$J1332&gt;0),"수입 과목인데 지출에 적혔습니다",IF(AND(LEFT($E1332,2)&lt;&gt;"수입",$E1332&lt;&gt;"대체",$I1332&gt;0),"지출 과목인데 수입에 적혔습니다",IF($K1332="","증빙을 고르십시오",IF(AND($C1332="바우처통장",$J1332&gt;0,IFERROR(INDEX('통합 ④ 설정'!$E$6:$E$40,MATCH($D1332,'통합 ④ 설정'!$B$6:$B$40,0)),"")&lt;&gt;"○"),"바우처통장 지출 — 목적 확인",IF($H1332="","적요를 적으십시오",""))))))))))))</f>
        <v/>
      </c>
      <c r="M1332" s="39"/>
      <c r="O1332" s="11" t="str">
        <f aca="false">IF($B1332="","",YEAR($B1332)*100+MONTH($B1332))</f>
        <v/>
      </c>
      <c r="P1332" s="11" t="str">
        <f aca="false">IF($B1332="","",IF($E1332="대체",0,1))</f>
        <v/>
      </c>
    </row>
    <row r="1333" customFormat="false" ht="15" hidden="false" customHeight="false" outlineLevel="0" collapsed="false">
      <c r="A1333" s="36" t="str">
        <f aca="false">IF($B1333="","",COUNT($B$15:$B1333))</f>
        <v/>
      </c>
      <c r="B1333" s="37"/>
      <c r="C1333" s="38"/>
      <c r="D1333" s="39"/>
      <c r="E1333" s="36" t="str">
        <f aca="false">IF($D1333="","",IFERROR(INDEX('통합 ④ 설정'!$A$6:$A$40,MATCH($D1333,'통합 ④ 설정'!$B$6:$B$40,0)),"※없는 과목"))</f>
        <v/>
      </c>
      <c r="F1333" s="36" t="str">
        <f aca="false">IF($D1333="","",IFERROR(INDEX('통합 ④ 설정'!$C$6:$C$40,MATCH($D1333,'통합 ④ 설정'!$B$6:$B$40,0)),""))</f>
        <v/>
      </c>
      <c r="G1333" s="39"/>
      <c r="H1333" s="39"/>
      <c r="I1333" s="40"/>
      <c r="J1333" s="41"/>
      <c r="K1333" s="38"/>
      <c r="L1333" s="42" t="str">
        <f aca="false">IF($B1333="","",IF(AND(N($I1333)=0,N($J1333)=0),"금액이 없습니다",IF(AND($I1333&gt;0,$J1333&gt;0),"수입·지출 둘 다 적혔습니다",IF($C1333="","결제수단을 고르십시오",IF(ISNA(MATCH($C1333,'통합 ③ 통장·카드'!$A$5:$A$11,0)),"③ 통장·카드에 없는 결제수단입니다",IF($D1333="","계정과목을 고르십시오",IF($E1333="※없는 과목","④ 설정에 없는 과목입니다",IF(AND($E1333="수입",$J1333&gt;0),"수입 과목인데 지출에 적혔습니다",IF(AND(LEFT($E1333,2)&lt;&gt;"수입",$E1333&lt;&gt;"대체",$I1333&gt;0),"지출 과목인데 수입에 적혔습니다",IF($K1333="","증빙을 고르십시오",IF(AND($C1333="바우처통장",$J1333&gt;0,IFERROR(INDEX('통합 ④ 설정'!$E$6:$E$40,MATCH($D1333,'통합 ④ 설정'!$B$6:$B$40,0)),"")&lt;&gt;"○"),"바우처통장 지출 — 목적 확인",IF($H1333="","적요를 적으십시오",""))))))))))))</f>
        <v/>
      </c>
      <c r="M1333" s="39"/>
      <c r="O1333" s="11" t="str">
        <f aca="false">IF($B1333="","",YEAR($B1333)*100+MONTH($B1333))</f>
        <v/>
      </c>
      <c r="P1333" s="11" t="str">
        <f aca="false">IF($B1333="","",IF($E1333="대체",0,1))</f>
        <v/>
      </c>
    </row>
    <row r="1334" customFormat="false" ht="15" hidden="false" customHeight="false" outlineLevel="0" collapsed="false">
      <c r="A1334" s="36" t="str">
        <f aca="false">IF($B1334="","",COUNT($B$15:$B1334))</f>
        <v/>
      </c>
      <c r="B1334" s="37"/>
      <c r="C1334" s="38"/>
      <c r="D1334" s="39"/>
      <c r="E1334" s="36" t="str">
        <f aca="false">IF($D1334="","",IFERROR(INDEX('통합 ④ 설정'!$A$6:$A$40,MATCH($D1334,'통합 ④ 설정'!$B$6:$B$40,0)),"※없는 과목"))</f>
        <v/>
      </c>
      <c r="F1334" s="36" t="str">
        <f aca="false">IF($D1334="","",IFERROR(INDEX('통합 ④ 설정'!$C$6:$C$40,MATCH($D1334,'통합 ④ 설정'!$B$6:$B$40,0)),""))</f>
        <v/>
      </c>
      <c r="G1334" s="39"/>
      <c r="H1334" s="39"/>
      <c r="I1334" s="40"/>
      <c r="J1334" s="41"/>
      <c r="K1334" s="38"/>
      <c r="L1334" s="42" t="str">
        <f aca="false">IF($B1334="","",IF(AND(N($I1334)=0,N($J1334)=0),"금액이 없습니다",IF(AND($I1334&gt;0,$J1334&gt;0),"수입·지출 둘 다 적혔습니다",IF($C1334="","결제수단을 고르십시오",IF(ISNA(MATCH($C1334,'통합 ③ 통장·카드'!$A$5:$A$11,0)),"③ 통장·카드에 없는 결제수단입니다",IF($D1334="","계정과목을 고르십시오",IF($E1334="※없는 과목","④ 설정에 없는 과목입니다",IF(AND($E1334="수입",$J1334&gt;0),"수입 과목인데 지출에 적혔습니다",IF(AND(LEFT($E1334,2)&lt;&gt;"수입",$E1334&lt;&gt;"대체",$I1334&gt;0),"지출 과목인데 수입에 적혔습니다",IF($K1334="","증빙을 고르십시오",IF(AND($C1334="바우처통장",$J1334&gt;0,IFERROR(INDEX('통합 ④ 설정'!$E$6:$E$40,MATCH($D1334,'통합 ④ 설정'!$B$6:$B$40,0)),"")&lt;&gt;"○"),"바우처통장 지출 — 목적 확인",IF($H1334="","적요를 적으십시오",""))))))))))))</f>
        <v/>
      </c>
      <c r="M1334" s="39"/>
      <c r="O1334" s="11" t="str">
        <f aca="false">IF($B1334="","",YEAR($B1334)*100+MONTH($B1334))</f>
        <v/>
      </c>
      <c r="P1334" s="11" t="str">
        <f aca="false">IF($B1334="","",IF($E1334="대체",0,1))</f>
        <v/>
      </c>
    </row>
    <row r="1335" customFormat="false" ht="15" hidden="false" customHeight="false" outlineLevel="0" collapsed="false">
      <c r="A1335" s="36" t="str">
        <f aca="false">IF($B1335="","",COUNT($B$15:$B1335))</f>
        <v/>
      </c>
      <c r="B1335" s="37"/>
      <c r="C1335" s="38"/>
      <c r="D1335" s="39"/>
      <c r="E1335" s="36" t="str">
        <f aca="false">IF($D1335="","",IFERROR(INDEX('통합 ④ 설정'!$A$6:$A$40,MATCH($D1335,'통합 ④ 설정'!$B$6:$B$40,0)),"※없는 과목"))</f>
        <v/>
      </c>
      <c r="F1335" s="36" t="str">
        <f aca="false">IF($D1335="","",IFERROR(INDEX('통합 ④ 설정'!$C$6:$C$40,MATCH($D1335,'통합 ④ 설정'!$B$6:$B$40,0)),""))</f>
        <v/>
      </c>
      <c r="G1335" s="39"/>
      <c r="H1335" s="39"/>
      <c r="I1335" s="40"/>
      <c r="J1335" s="41"/>
      <c r="K1335" s="38"/>
      <c r="L1335" s="42" t="str">
        <f aca="false">IF($B1335="","",IF(AND(N($I1335)=0,N($J1335)=0),"금액이 없습니다",IF(AND($I1335&gt;0,$J1335&gt;0),"수입·지출 둘 다 적혔습니다",IF($C1335="","결제수단을 고르십시오",IF(ISNA(MATCH($C1335,'통합 ③ 통장·카드'!$A$5:$A$11,0)),"③ 통장·카드에 없는 결제수단입니다",IF($D1335="","계정과목을 고르십시오",IF($E1335="※없는 과목","④ 설정에 없는 과목입니다",IF(AND($E1335="수입",$J1335&gt;0),"수입 과목인데 지출에 적혔습니다",IF(AND(LEFT($E1335,2)&lt;&gt;"수입",$E1335&lt;&gt;"대체",$I1335&gt;0),"지출 과목인데 수입에 적혔습니다",IF($K1335="","증빙을 고르십시오",IF(AND($C1335="바우처통장",$J1335&gt;0,IFERROR(INDEX('통합 ④ 설정'!$E$6:$E$40,MATCH($D1335,'통합 ④ 설정'!$B$6:$B$40,0)),"")&lt;&gt;"○"),"바우처통장 지출 — 목적 확인",IF($H1335="","적요를 적으십시오",""))))))))))))</f>
        <v/>
      </c>
      <c r="M1335" s="39"/>
      <c r="O1335" s="11" t="str">
        <f aca="false">IF($B1335="","",YEAR($B1335)*100+MONTH($B1335))</f>
        <v/>
      </c>
      <c r="P1335" s="11" t="str">
        <f aca="false">IF($B1335="","",IF($E1335="대체",0,1))</f>
        <v/>
      </c>
    </row>
    <row r="1336" customFormat="false" ht="15" hidden="false" customHeight="false" outlineLevel="0" collapsed="false">
      <c r="A1336" s="36" t="str">
        <f aca="false">IF($B1336="","",COUNT($B$15:$B1336))</f>
        <v/>
      </c>
      <c r="B1336" s="37"/>
      <c r="C1336" s="38"/>
      <c r="D1336" s="39"/>
      <c r="E1336" s="36" t="str">
        <f aca="false">IF($D1336="","",IFERROR(INDEX('통합 ④ 설정'!$A$6:$A$40,MATCH($D1336,'통합 ④ 설정'!$B$6:$B$40,0)),"※없는 과목"))</f>
        <v/>
      </c>
      <c r="F1336" s="36" t="str">
        <f aca="false">IF($D1336="","",IFERROR(INDEX('통합 ④ 설정'!$C$6:$C$40,MATCH($D1336,'통합 ④ 설정'!$B$6:$B$40,0)),""))</f>
        <v/>
      </c>
      <c r="G1336" s="39"/>
      <c r="H1336" s="39"/>
      <c r="I1336" s="40"/>
      <c r="J1336" s="41"/>
      <c r="K1336" s="38"/>
      <c r="L1336" s="42" t="str">
        <f aca="false">IF($B1336="","",IF(AND(N($I1336)=0,N($J1336)=0),"금액이 없습니다",IF(AND($I1336&gt;0,$J1336&gt;0),"수입·지출 둘 다 적혔습니다",IF($C1336="","결제수단을 고르십시오",IF(ISNA(MATCH($C1336,'통합 ③ 통장·카드'!$A$5:$A$11,0)),"③ 통장·카드에 없는 결제수단입니다",IF($D1336="","계정과목을 고르십시오",IF($E1336="※없는 과목","④ 설정에 없는 과목입니다",IF(AND($E1336="수입",$J1336&gt;0),"수입 과목인데 지출에 적혔습니다",IF(AND(LEFT($E1336,2)&lt;&gt;"수입",$E1336&lt;&gt;"대체",$I1336&gt;0),"지출 과목인데 수입에 적혔습니다",IF($K1336="","증빙을 고르십시오",IF(AND($C1336="바우처통장",$J1336&gt;0,IFERROR(INDEX('통합 ④ 설정'!$E$6:$E$40,MATCH($D1336,'통합 ④ 설정'!$B$6:$B$40,0)),"")&lt;&gt;"○"),"바우처통장 지출 — 목적 확인",IF($H1336="","적요를 적으십시오",""))))))))))))</f>
        <v/>
      </c>
      <c r="M1336" s="39"/>
      <c r="O1336" s="11" t="str">
        <f aca="false">IF($B1336="","",YEAR($B1336)*100+MONTH($B1336))</f>
        <v/>
      </c>
      <c r="P1336" s="11" t="str">
        <f aca="false">IF($B1336="","",IF($E1336="대체",0,1))</f>
        <v/>
      </c>
    </row>
    <row r="1337" customFormat="false" ht="15" hidden="false" customHeight="false" outlineLevel="0" collapsed="false">
      <c r="A1337" s="36" t="str">
        <f aca="false">IF($B1337="","",COUNT($B$15:$B1337))</f>
        <v/>
      </c>
      <c r="B1337" s="37"/>
      <c r="C1337" s="38"/>
      <c r="D1337" s="39"/>
      <c r="E1337" s="36" t="str">
        <f aca="false">IF($D1337="","",IFERROR(INDEX('통합 ④ 설정'!$A$6:$A$40,MATCH($D1337,'통합 ④ 설정'!$B$6:$B$40,0)),"※없는 과목"))</f>
        <v/>
      </c>
      <c r="F1337" s="36" t="str">
        <f aca="false">IF($D1337="","",IFERROR(INDEX('통합 ④ 설정'!$C$6:$C$40,MATCH($D1337,'통합 ④ 설정'!$B$6:$B$40,0)),""))</f>
        <v/>
      </c>
      <c r="G1337" s="39"/>
      <c r="H1337" s="39"/>
      <c r="I1337" s="40"/>
      <c r="J1337" s="41"/>
      <c r="K1337" s="38"/>
      <c r="L1337" s="42" t="str">
        <f aca="false">IF($B1337="","",IF(AND(N($I1337)=0,N($J1337)=0),"금액이 없습니다",IF(AND($I1337&gt;0,$J1337&gt;0),"수입·지출 둘 다 적혔습니다",IF($C1337="","결제수단을 고르십시오",IF(ISNA(MATCH($C1337,'통합 ③ 통장·카드'!$A$5:$A$11,0)),"③ 통장·카드에 없는 결제수단입니다",IF($D1337="","계정과목을 고르십시오",IF($E1337="※없는 과목","④ 설정에 없는 과목입니다",IF(AND($E1337="수입",$J1337&gt;0),"수입 과목인데 지출에 적혔습니다",IF(AND(LEFT($E1337,2)&lt;&gt;"수입",$E1337&lt;&gt;"대체",$I1337&gt;0),"지출 과목인데 수입에 적혔습니다",IF($K1337="","증빙을 고르십시오",IF(AND($C1337="바우처통장",$J1337&gt;0,IFERROR(INDEX('통합 ④ 설정'!$E$6:$E$40,MATCH($D1337,'통합 ④ 설정'!$B$6:$B$40,0)),"")&lt;&gt;"○"),"바우처통장 지출 — 목적 확인",IF($H1337="","적요를 적으십시오",""))))))))))))</f>
        <v/>
      </c>
      <c r="M1337" s="39"/>
      <c r="O1337" s="11" t="str">
        <f aca="false">IF($B1337="","",YEAR($B1337)*100+MONTH($B1337))</f>
        <v/>
      </c>
      <c r="P1337" s="11" t="str">
        <f aca="false">IF($B1337="","",IF($E1337="대체",0,1))</f>
        <v/>
      </c>
    </row>
    <row r="1338" customFormat="false" ht="15" hidden="false" customHeight="false" outlineLevel="0" collapsed="false">
      <c r="A1338" s="36" t="str">
        <f aca="false">IF($B1338="","",COUNT($B$15:$B1338))</f>
        <v/>
      </c>
      <c r="B1338" s="37"/>
      <c r="C1338" s="38"/>
      <c r="D1338" s="39"/>
      <c r="E1338" s="36" t="str">
        <f aca="false">IF($D1338="","",IFERROR(INDEX('통합 ④ 설정'!$A$6:$A$40,MATCH($D1338,'통합 ④ 설정'!$B$6:$B$40,0)),"※없는 과목"))</f>
        <v/>
      </c>
      <c r="F1338" s="36" t="str">
        <f aca="false">IF($D1338="","",IFERROR(INDEX('통합 ④ 설정'!$C$6:$C$40,MATCH($D1338,'통합 ④ 설정'!$B$6:$B$40,0)),""))</f>
        <v/>
      </c>
      <c r="G1338" s="39"/>
      <c r="H1338" s="39"/>
      <c r="I1338" s="40"/>
      <c r="J1338" s="41"/>
      <c r="K1338" s="38"/>
      <c r="L1338" s="42" t="str">
        <f aca="false">IF($B1338="","",IF(AND(N($I1338)=0,N($J1338)=0),"금액이 없습니다",IF(AND($I1338&gt;0,$J1338&gt;0),"수입·지출 둘 다 적혔습니다",IF($C1338="","결제수단을 고르십시오",IF(ISNA(MATCH($C1338,'통합 ③ 통장·카드'!$A$5:$A$11,0)),"③ 통장·카드에 없는 결제수단입니다",IF($D1338="","계정과목을 고르십시오",IF($E1338="※없는 과목","④ 설정에 없는 과목입니다",IF(AND($E1338="수입",$J1338&gt;0),"수입 과목인데 지출에 적혔습니다",IF(AND(LEFT($E1338,2)&lt;&gt;"수입",$E1338&lt;&gt;"대체",$I1338&gt;0),"지출 과목인데 수입에 적혔습니다",IF($K1338="","증빙을 고르십시오",IF(AND($C1338="바우처통장",$J1338&gt;0,IFERROR(INDEX('통합 ④ 설정'!$E$6:$E$40,MATCH($D1338,'통합 ④ 설정'!$B$6:$B$40,0)),"")&lt;&gt;"○"),"바우처통장 지출 — 목적 확인",IF($H1338="","적요를 적으십시오",""))))))))))))</f>
        <v/>
      </c>
      <c r="M1338" s="39"/>
      <c r="O1338" s="11" t="str">
        <f aca="false">IF($B1338="","",YEAR($B1338)*100+MONTH($B1338))</f>
        <v/>
      </c>
      <c r="P1338" s="11" t="str">
        <f aca="false">IF($B1338="","",IF($E1338="대체",0,1))</f>
        <v/>
      </c>
    </row>
    <row r="1339" customFormat="false" ht="15" hidden="false" customHeight="false" outlineLevel="0" collapsed="false">
      <c r="A1339" s="36" t="str">
        <f aca="false">IF($B1339="","",COUNT($B$15:$B1339))</f>
        <v/>
      </c>
      <c r="B1339" s="37"/>
      <c r="C1339" s="38"/>
      <c r="D1339" s="39"/>
      <c r="E1339" s="36" t="str">
        <f aca="false">IF($D1339="","",IFERROR(INDEX('통합 ④ 설정'!$A$6:$A$40,MATCH($D1339,'통합 ④ 설정'!$B$6:$B$40,0)),"※없는 과목"))</f>
        <v/>
      </c>
      <c r="F1339" s="36" t="str">
        <f aca="false">IF($D1339="","",IFERROR(INDEX('통합 ④ 설정'!$C$6:$C$40,MATCH($D1339,'통합 ④ 설정'!$B$6:$B$40,0)),""))</f>
        <v/>
      </c>
      <c r="G1339" s="39"/>
      <c r="H1339" s="39"/>
      <c r="I1339" s="40"/>
      <c r="J1339" s="41"/>
      <c r="K1339" s="38"/>
      <c r="L1339" s="42" t="str">
        <f aca="false">IF($B1339="","",IF(AND(N($I1339)=0,N($J1339)=0),"금액이 없습니다",IF(AND($I1339&gt;0,$J1339&gt;0),"수입·지출 둘 다 적혔습니다",IF($C1339="","결제수단을 고르십시오",IF(ISNA(MATCH($C1339,'통합 ③ 통장·카드'!$A$5:$A$11,0)),"③ 통장·카드에 없는 결제수단입니다",IF($D1339="","계정과목을 고르십시오",IF($E1339="※없는 과목","④ 설정에 없는 과목입니다",IF(AND($E1339="수입",$J1339&gt;0),"수입 과목인데 지출에 적혔습니다",IF(AND(LEFT($E1339,2)&lt;&gt;"수입",$E1339&lt;&gt;"대체",$I1339&gt;0),"지출 과목인데 수입에 적혔습니다",IF($K1339="","증빙을 고르십시오",IF(AND($C1339="바우처통장",$J1339&gt;0,IFERROR(INDEX('통합 ④ 설정'!$E$6:$E$40,MATCH($D1339,'통합 ④ 설정'!$B$6:$B$40,0)),"")&lt;&gt;"○"),"바우처통장 지출 — 목적 확인",IF($H1339="","적요를 적으십시오",""))))))))))))</f>
        <v/>
      </c>
      <c r="M1339" s="39"/>
      <c r="O1339" s="11" t="str">
        <f aca="false">IF($B1339="","",YEAR($B1339)*100+MONTH($B1339))</f>
        <v/>
      </c>
      <c r="P1339" s="11" t="str">
        <f aca="false">IF($B1339="","",IF($E1339="대체",0,1))</f>
        <v/>
      </c>
    </row>
    <row r="1340" customFormat="false" ht="15" hidden="false" customHeight="false" outlineLevel="0" collapsed="false">
      <c r="A1340" s="36" t="str">
        <f aca="false">IF($B1340="","",COUNT($B$15:$B1340))</f>
        <v/>
      </c>
      <c r="B1340" s="37"/>
      <c r="C1340" s="38"/>
      <c r="D1340" s="39"/>
      <c r="E1340" s="36" t="str">
        <f aca="false">IF($D1340="","",IFERROR(INDEX('통합 ④ 설정'!$A$6:$A$40,MATCH($D1340,'통합 ④ 설정'!$B$6:$B$40,0)),"※없는 과목"))</f>
        <v/>
      </c>
      <c r="F1340" s="36" t="str">
        <f aca="false">IF($D1340="","",IFERROR(INDEX('통합 ④ 설정'!$C$6:$C$40,MATCH($D1340,'통합 ④ 설정'!$B$6:$B$40,0)),""))</f>
        <v/>
      </c>
      <c r="G1340" s="39"/>
      <c r="H1340" s="39"/>
      <c r="I1340" s="40"/>
      <c r="J1340" s="41"/>
      <c r="K1340" s="38"/>
      <c r="L1340" s="42" t="str">
        <f aca="false">IF($B1340="","",IF(AND(N($I1340)=0,N($J1340)=0),"금액이 없습니다",IF(AND($I1340&gt;0,$J1340&gt;0),"수입·지출 둘 다 적혔습니다",IF($C1340="","결제수단을 고르십시오",IF(ISNA(MATCH($C1340,'통합 ③ 통장·카드'!$A$5:$A$11,0)),"③ 통장·카드에 없는 결제수단입니다",IF($D1340="","계정과목을 고르십시오",IF($E1340="※없는 과목","④ 설정에 없는 과목입니다",IF(AND($E1340="수입",$J1340&gt;0),"수입 과목인데 지출에 적혔습니다",IF(AND(LEFT($E1340,2)&lt;&gt;"수입",$E1340&lt;&gt;"대체",$I1340&gt;0),"지출 과목인데 수입에 적혔습니다",IF($K1340="","증빙을 고르십시오",IF(AND($C1340="바우처통장",$J1340&gt;0,IFERROR(INDEX('통합 ④ 설정'!$E$6:$E$40,MATCH($D1340,'통합 ④ 설정'!$B$6:$B$40,0)),"")&lt;&gt;"○"),"바우처통장 지출 — 목적 확인",IF($H1340="","적요를 적으십시오",""))))))))))))</f>
        <v/>
      </c>
      <c r="M1340" s="39"/>
      <c r="O1340" s="11" t="str">
        <f aca="false">IF($B1340="","",YEAR($B1340)*100+MONTH($B1340))</f>
        <v/>
      </c>
      <c r="P1340" s="11" t="str">
        <f aca="false">IF($B1340="","",IF($E1340="대체",0,1))</f>
        <v/>
      </c>
    </row>
    <row r="1341" customFormat="false" ht="15" hidden="false" customHeight="false" outlineLevel="0" collapsed="false">
      <c r="A1341" s="36" t="str">
        <f aca="false">IF($B1341="","",COUNT($B$15:$B1341))</f>
        <v/>
      </c>
      <c r="B1341" s="37"/>
      <c r="C1341" s="38"/>
      <c r="D1341" s="39"/>
      <c r="E1341" s="36" t="str">
        <f aca="false">IF($D1341="","",IFERROR(INDEX('통합 ④ 설정'!$A$6:$A$40,MATCH($D1341,'통합 ④ 설정'!$B$6:$B$40,0)),"※없는 과목"))</f>
        <v/>
      </c>
      <c r="F1341" s="36" t="str">
        <f aca="false">IF($D1341="","",IFERROR(INDEX('통합 ④ 설정'!$C$6:$C$40,MATCH($D1341,'통합 ④ 설정'!$B$6:$B$40,0)),""))</f>
        <v/>
      </c>
      <c r="G1341" s="39"/>
      <c r="H1341" s="39"/>
      <c r="I1341" s="40"/>
      <c r="J1341" s="41"/>
      <c r="K1341" s="38"/>
      <c r="L1341" s="42" t="str">
        <f aca="false">IF($B1341="","",IF(AND(N($I1341)=0,N($J1341)=0),"금액이 없습니다",IF(AND($I1341&gt;0,$J1341&gt;0),"수입·지출 둘 다 적혔습니다",IF($C1341="","결제수단을 고르십시오",IF(ISNA(MATCH($C1341,'통합 ③ 통장·카드'!$A$5:$A$11,0)),"③ 통장·카드에 없는 결제수단입니다",IF($D1341="","계정과목을 고르십시오",IF($E1341="※없는 과목","④ 설정에 없는 과목입니다",IF(AND($E1341="수입",$J1341&gt;0),"수입 과목인데 지출에 적혔습니다",IF(AND(LEFT($E1341,2)&lt;&gt;"수입",$E1341&lt;&gt;"대체",$I1341&gt;0),"지출 과목인데 수입에 적혔습니다",IF($K1341="","증빙을 고르십시오",IF(AND($C1341="바우처통장",$J1341&gt;0,IFERROR(INDEX('통합 ④ 설정'!$E$6:$E$40,MATCH($D1341,'통합 ④ 설정'!$B$6:$B$40,0)),"")&lt;&gt;"○"),"바우처통장 지출 — 목적 확인",IF($H1341="","적요를 적으십시오",""))))))))))))</f>
        <v/>
      </c>
      <c r="M1341" s="39"/>
      <c r="O1341" s="11" t="str">
        <f aca="false">IF($B1341="","",YEAR($B1341)*100+MONTH($B1341))</f>
        <v/>
      </c>
      <c r="P1341" s="11" t="str">
        <f aca="false">IF($B1341="","",IF($E1341="대체",0,1))</f>
        <v/>
      </c>
    </row>
    <row r="1342" customFormat="false" ht="15" hidden="false" customHeight="false" outlineLevel="0" collapsed="false">
      <c r="A1342" s="36" t="str">
        <f aca="false">IF($B1342="","",COUNT($B$15:$B1342))</f>
        <v/>
      </c>
      <c r="B1342" s="37"/>
      <c r="C1342" s="38"/>
      <c r="D1342" s="39"/>
      <c r="E1342" s="36" t="str">
        <f aca="false">IF($D1342="","",IFERROR(INDEX('통합 ④ 설정'!$A$6:$A$40,MATCH($D1342,'통합 ④ 설정'!$B$6:$B$40,0)),"※없는 과목"))</f>
        <v/>
      </c>
      <c r="F1342" s="36" t="str">
        <f aca="false">IF($D1342="","",IFERROR(INDEX('통합 ④ 설정'!$C$6:$C$40,MATCH($D1342,'통합 ④ 설정'!$B$6:$B$40,0)),""))</f>
        <v/>
      </c>
      <c r="G1342" s="39"/>
      <c r="H1342" s="39"/>
      <c r="I1342" s="40"/>
      <c r="J1342" s="41"/>
      <c r="K1342" s="38"/>
      <c r="L1342" s="42" t="str">
        <f aca="false">IF($B1342="","",IF(AND(N($I1342)=0,N($J1342)=0),"금액이 없습니다",IF(AND($I1342&gt;0,$J1342&gt;0),"수입·지출 둘 다 적혔습니다",IF($C1342="","결제수단을 고르십시오",IF(ISNA(MATCH($C1342,'통합 ③ 통장·카드'!$A$5:$A$11,0)),"③ 통장·카드에 없는 결제수단입니다",IF($D1342="","계정과목을 고르십시오",IF($E1342="※없는 과목","④ 설정에 없는 과목입니다",IF(AND($E1342="수입",$J1342&gt;0),"수입 과목인데 지출에 적혔습니다",IF(AND(LEFT($E1342,2)&lt;&gt;"수입",$E1342&lt;&gt;"대체",$I1342&gt;0),"지출 과목인데 수입에 적혔습니다",IF($K1342="","증빙을 고르십시오",IF(AND($C1342="바우처통장",$J1342&gt;0,IFERROR(INDEX('통합 ④ 설정'!$E$6:$E$40,MATCH($D1342,'통합 ④ 설정'!$B$6:$B$40,0)),"")&lt;&gt;"○"),"바우처통장 지출 — 목적 확인",IF($H1342="","적요를 적으십시오",""))))))))))))</f>
        <v/>
      </c>
      <c r="M1342" s="39"/>
      <c r="O1342" s="11" t="str">
        <f aca="false">IF($B1342="","",YEAR($B1342)*100+MONTH($B1342))</f>
        <v/>
      </c>
      <c r="P1342" s="11" t="str">
        <f aca="false">IF($B1342="","",IF($E1342="대체",0,1))</f>
        <v/>
      </c>
    </row>
    <row r="1343" customFormat="false" ht="15" hidden="false" customHeight="false" outlineLevel="0" collapsed="false">
      <c r="A1343" s="36" t="str">
        <f aca="false">IF($B1343="","",COUNT($B$15:$B1343))</f>
        <v/>
      </c>
      <c r="B1343" s="37"/>
      <c r="C1343" s="38"/>
      <c r="D1343" s="39"/>
      <c r="E1343" s="36" t="str">
        <f aca="false">IF($D1343="","",IFERROR(INDEX('통합 ④ 설정'!$A$6:$A$40,MATCH($D1343,'통합 ④ 설정'!$B$6:$B$40,0)),"※없는 과목"))</f>
        <v/>
      </c>
      <c r="F1343" s="36" t="str">
        <f aca="false">IF($D1343="","",IFERROR(INDEX('통합 ④ 설정'!$C$6:$C$40,MATCH($D1343,'통합 ④ 설정'!$B$6:$B$40,0)),""))</f>
        <v/>
      </c>
      <c r="G1343" s="39"/>
      <c r="H1343" s="39"/>
      <c r="I1343" s="40"/>
      <c r="J1343" s="41"/>
      <c r="K1343" s="38"/>
      <c r="L1343" s="42" t="str">
        <f aca="false">IF($B1343="","",IF(AND(N($I1343)=0,N($J1343)=0),"금액이 없습니다",IF(AND($I1343&gt;0,$J1343&gt;0),"수입·지출 둘 다 적혔습니다",IF($C1343="","결제수단을 고르십시오",IF(ISNA(MATCH($C1343,'통합 ③ 통장·카드'!$A$5:$A$11,0)),"③ 통장·카드에 없는 결제수단입니다",IF($D1343="","계정과목을 고르십시오",IF($E1343="※없는 과목","④ 설정에 없는 과목입니다",IF(AND($E1343="수입",$J1343&gt;0),"수입 과목인데 지출에 적혔습니다",IF(AND(LEFT($E1343,2)&lt;&gt;"수입",$E1343&lt;&gt;"대체",$I1343&gt;0),"지출 과목인데 수입에 적혔습니다",IF($K1343="","증빙을 고르십시오",IF(AND($C1343="바우처통장",$J1343&gt;0,IFERROR(INDEX('통합 ④ 설정'!$E$6:$E$40,MATCH($D1343,'통합 ④ 설정'!$B$6:$B$40,0)),"")&lt;&gt;"○"),"바우처통장 지출 — 목적 확인",IF($H1343="","적요를 적으십시오",""))))))))))))</f>
        <v/>
      </c>
      <c r="M1343" s="39"/>
      <c r="O1343" s="11" t="str">
        <f aca="false">IF($B1343="","",YEAR($B1343)*100+MONTH($B1343))</f>
        <v/>
      </c>
      <c r="P1343" s="11" t="str">
        <f aca="false">IF($B1343="","",IF($E1343="대체",0,1))</f>
        <v/>
      </c>
    </row>
    <row r="1344" customFormat="false" ht="15" hidden="false" customHeight="false" outlineLevel="0" collapsed="false">
      <c r="A1344" s="36" t="str">
        <f aca="false">IF($B1344="","",COUNT($B$15:$B1344))</f>
        <v/>
      </c>
      <c r="B1344" s="37"/>
      <c r="C1344" s="38"/>
      <c r="D1344" s="39"/>
      <c r="E1344" s="36" t="str">
        <f aca="false">IF($D1344="","",IFERROR(INDEX('통합 ④ 설정'!$A$6:$A$40,MATCH($D1344,'통합 ④ 설정'!$B$6:$B$40,0)),"※없는 과목"))</f>
        <v/>
      </c>
      <c r="F1344" s="36" t="str">
        <f aca="false">IF($D1344="","",IFERROR(INDEX('통합 ④ 설정'!$C$6:$C$40,MATCH($D1344,'통합 ④ 설정'!$B$6:$B$40,0)),""))</f>
        <v/>
      </c>
      <c r="G1344" s="39"/>
      <c r="H1344" s="39"/>
      <c r="I1344" s="40"/>
      <c r="J1344" s="41"/>
      <c r="K1344" s="38"/>
      <c r="L1344" s="42" t="str">
        <f aca="false">IF($B1344="","",IF(AND(N($I1344)=0,N($J1344)=0),"금액이 없습니다",IF(AND($I1344&gt;0,$J1344&gt;0),"수입·지출 둘 다 적혔습니다",IF($C1344="","결제수단을 고르십시오",IF(ISNA(MATCH($C1344,'통합 ③ 통장·카드'!$A$5:$A$11,0)),"③ 통장·카드에 없는 결제수단입니다",IF($D1344="","계정과목을 고르십시오",IF($E1344="※없는 과목","④ 설정에 없는 과목입니다",IF(AND($E1344="수입",$J1344&gt;0),"수입 과목인데 지출에 적혔습니다",IF(AND(LEFT($E1344,2)&lt;&gt;"수입",$E1344&lt;&gt;"대체",$I1344&gt;0),"지출 과목인데 수입에 적혔습니다",IF($K1344="","증빙을 고르십시오",IF(AND($C1344="바우처통장",$J1344&gt;0,IFERROR(INDEX('통합 ④ 설정'!$E$6:$E$40,MATCH($D1344,'통합 ④ 설정'!$B$6:$B$40,0)),"")&lt;&gt;"○"),"바우처통장 지출 — 목적 확인",IF($H1344="","적요를 적으십시오",""))))))))))))</f>
        <v/>
      </c>
      <c r="M1344" s="39"/>
      <c r="O1344" s="11" t="str">
        <f aca="false">IF($B1344="","",YEAR($B1344)*100+MONTH($B1344))</f>
        <v/>
      </c>
      <c r="P1344" s="11" t="str">
        <f aca="false">IF($B1344="","",IF($E1344="대체",0,1))</f>
        <v/>
      </c>
    </row>
    <row r="1345" customFormat="false" ht="15" hidden="false" customHeight="false" outlineLevel="0" collapsed="false">
      <c r="A1345" s="36" t="str">
        <f aca="false">IF($B1345="","",COUNT($B$15:$B1345))</f>
        <v/>
      </c>
      <c r="B1345" s="37"/>
      <c r="C1345" s="38"/>
      <c r="D1345" s="39"/>
      <c r="E1345" s="36" t="str">
        <f aca="false">IF($D1345="","",IFERROR(INDEX('통합 ④ 설정'!$A$6:$A$40,MATCH($D1345,'통합 ④ 설정'!$B$6:$B$40,0)),"※없는 과목"))</f>
        <v/>
      </c>
      <c r="F1345" s="36" t="str">
        <f aca="false">IF($D1345="","",IFERROR(INDEX('통합 ④ 설정'!$C$6:$C$40,MATCH($D1345,'통합 ④ 설정'!$B$6:$B$40,0)),""))</f>
        <v/>
      </c>
      <c r="G1345" s="39"/>
      <c r="H1345" s="39"/>
      <c r="I1345" s="40"/>
      <c r="J1345" s="41"/>
      <c r="K1345" s="38"/>
      <c r="L1345" s="42" t="str">
        <f aca="false">IF($B1345="","",IF(AND(N($I1345)=0,N($J1345)=0),"금액이 없습니다",IF(AND($I1345&gt;0,$J1345&gt;0),"수입·지출 둘 다 적혔습니다",IF($C1345="","결제수단을 고르십시오",IF(ISNA(MATCH($C1345,'통합 ③ 통장·카드'!$A$5:$A$11,0)),"③ 통장·카드에 없는 결제수단입니다",IF($D1345="","계정과목을 고르십시오",IF($E1345="※없는 과목","④ 설정에 없는 과목입니다",IF(AND($E1345="수입",$J1345&gt;0),"수입 과목인데 지출에 적혔습니다",IF(AND(LEFT($E1345,2)&lt;&gt;"수입",$E1345&lt;&gt;"대체",$I1345&gt;0),"지출 과목인데 수입에 적혔습니다",IF($K1345="","증빙을 고르십시오",IF(AND($C1345="바우처통장",$J1345&gt;0,IFERROR(INDEX('통합 ④ 설정'!$E$6:$E$40,MATCH($D1345,'통합 ④ 설정'!$B$6:$B$40,0)),"")&lt;&gt;"○"),"바우처통장 지출 — 목적 확인",IF($H1345="","적요를 적으십시오",""))))))))))))</f>
        <v/>
      </c>
      <c r="M1345" s="39"/>
      <c r="O1345" s="11" t="str">
        <f aca="false">IF($B1345="","",YEAR($B1345)*100+MONTH($B1345))</f>
        <v/>
      </c>
      <c r="P1345" s="11" t="str">
        <f aca="false">IF($B1345="","",IF($E1345="대체",0,1))</f>
        <v/>
      </c>
    </row>
    <row r="1346" customFormat="false" ht="15" hidden="false" customHeight="false" outlineLevel="0" collapsed="false">
      <c r="A1346" s="36" t="str">
        <f aca="false">IF($B1346="","",COUNT($B$15:$B1346))</f>
        <v/>
      </c>
      <c r="B1346" s="37"/>
      <c r="C1346" s="38"/>
      <c r="D1346" s="39"/>
      <c r="E1346" s="36" t="str">
        <f aca="false">IF($D1346="","",IFERROR(INDEX('통합 ④ 설정'!$A$6:$A$40,MATCH($D1346,'통합 ④ 설정'!$B$6:$B$40,0)),"※없는 과목"))</f>
        <v/>
      </c>
      <c r="F1346" s="36" t="str">
        <f aca="false">IF($D1346="","",IFERROR(INDEX('통합 ④ 설정'!$C$6:$C$40,MATCH($D1346,'통합 ④ 설정'!$B$6:$B$40,0)),""))</f>
        <v/>
      </c>
      <c r="G1346" s="39"/>
      <c r="H1346" s="39"/>
      <c r="I1346" s="40"/>
      <c r="J1346" s="41"/>
      <c r="K1346" s="38"/>
      <c r="L1346" s="42" t="str">
        <f aca="false">IF($B1346="","",IF(AND(N($I1346)=0,N($J1346)=0),"금액이 없습니다",IF(AND($I1346&gt;0,$J1346&gt;0),"수입·지출 둘 다 적혔습니다",IF($C1346="","결제수단을 고르십시오",IF(ISNA(MATCH($C1346,'통합 ③ 통장·카드'!$A$5:$A$11,0)),"③ 통장·카드에 없는 결제수단입니다",IF($D1346="","계정과목을 고르십시오",IF($E1346="※없는 과목","④ 설정에 없는 과목입니다",IF(AND($E1346="수입",$J1346&gt;0),"수입 과목인데 지출에 적혔습니다",IF(AND(LEFT($E1346,2)&lt;&gt;"수입",$E1346&lt;&gt;"대체",$I1346&gt;0),"지출 과목인데 수입에 적혔습니다",IF($K1346="","증빙을 고르십시오",IF(AND($C1346="바우처통장",$J1346&gt;0,IFERROR(INDEX('통합 ④ 설정'!$E$6:$E$40,MATCH($D1346,'통합 ④ 설정'!$B$6:$B$40,0)),"")&lt;&gt;"○"),"바우처통장 지출 — 목적 확인",IF($H1346="","적요를 적으십시오",""))))))))))))</f>
        <v/>
      </c>
      <c r="M1346" s="39"/>
      <c r="O1346" s="11" t="str">
        <f aca="false">IF($B1346="","",YEAR($B1346)*100+MONTH($B1346))</f>
        <v/>
      </c>
      <c r="P1346" s="11" t="str">
        <f aca="false">IF($B1346="","",IF($E1346="대체",0,1))</f>
        <v/>
      </c>
    </row>
    <row r="1347" customFormat="false" ht="15" hidden="false" customHeight="false" outlineLevel="0" collapsed="false">
      <c r="A1347" s="36" t="str">
        <f aca="false">IF($B1347="","",COUNT($B$15:$B1347))</f>
        <v/>
      </c>
      <c r="B1347" s="37"/>
      <c r="C1347" s="38"/>
      <c r="D1347" s="39"/>
      <c r="E1347" s="36" t="str">
        <f aca="false">IF($D1347="","",IFERROR(INDEX('통합 ④ 설정'!$A$6:$A$40,MATCH($D1347,'통합 ④ 설정'!$B$6:$B$40,0)),"※없는 과목"))</f>
        <v/>
      </c>
      <c r="F1347" s="36" t="str">
        <f aca="false">IF($D1347="","",IFERROR(INDEX('통합 ④ 설정'!$C$6:$C$40,MATCH($D1347,'통합 ④ 설정'!$B$6:$B$40,0)),""))</f>
        <v/>
      </c>
      <c r="G1347" s="39"/>
      <c r="H1347" s="39"/>
      <c r="I1347" s="40"/>
      <c r="J1347" s="41"/>
      <c r="K1347" s="38"/>
      <c r="L1347" s="42" t="str">
        <f aca="false">IF($B1347="","",IF(AND(N($I1347)=0,N($J1347)=0),"금액이 없습니다",IF(AND($I1347&gt;0,$J1347&gt;0),"수입·지출 둘 다 적혔습니다",IF($C1347="","결제수단을 고르십시오",IF(ISNA(MATCH($C1347,'통합 ③ 통장·카드'!$A$5:$A$11,0)),"③ 통장·카드에 없는 결제수단입니다",IF($D1347="","계정과목을 고르십시오",IF($E1347="※없는 과목","④ 설정에 없는 과목입니다",IF(AND($E1347="수입",$J1347&gt;0),"수입 과목인데 지출에 적혔습니다",IF(AND(LEFT($E1347,2)&lt;&gt;"수입",$E1347&lt;&gt;"대체",$I1347&gt;0),"지출 과목인데 수입에 적혔습니다",IF($K1347="","증빙을 고르십시오",IF(AND($C1347="바우처통장",$J1347&gt;0,IFERROR(INDEX('통합 ④ 설정'!$E$6:$E$40,MATCH($D1347,'통합 ④ 설정'!$B$6:$B$40,0)),"")&lt;&gt;"○"),"바우처통장 지출 — 목적 확인",IF($H1347="","적요를 적으십시오",""))))))))))))</f>
        <v/>
      </c>
      <c r="M1347" s="39"/>
      <c r="O1347" s="11" t="str">
        <f aca="false">IF($B1347="","",YEAR($B1347)*100+MONTH($B1347))</f>
        <v/>
      </c>
      <c r="P1347" s="11" t="str">
        <f aca="false">IF($B1347="","",IF($E1347="대체",0,1))</f>
        <v/>
      </c>
    </row>
    <row r="1348" customFormat="false" ht="15" hidden="false" customHeight="false" outlineLevel="0" collapsed="false">
      <c r="A1348" s="36" t="str">
        <f aca="false">IF($B1348="","",COUNT($B$15:$B1348))</f>
        <v/>
      </c>
      <c r="B1348" s="37"/>
      <c r="C1348" s="38"/>
      <c r="D1348" s="39"/>
      <c r="E1348" s="36" t="str">
        <f aca="false">IF($D1348="","",IFERROR(INDEX('통합 ④ 설정'!$A$6:$A$40,MATCH($D1348,'통합 ④ 설정'!$B$6:$B$40,0)),"※없는 과목"))</f>
        <v/>
      </c>
      <c r="F1348" s="36" t="str">
        <f aca="false">IF($D1348="","",IFERROR(INDEX('통합 ④ 설정'!$C$6:$C$40,MATCH($D1348,'통합 ④ 설정'!$B$6:$B$40,0)),""))</f>
        <v/>
      </c>
      <c r="G1348" s="39"/>
      <c r="H1348" s="39"/>
      <c r="I1348" s="40"/>
      <c r="J1348" s="41"/>
      <c r="K1348" s="38"/>
      <c r="L1348" s="42" t="str">
        <f aca="false">IF($B1348="","",IF(AND(N($I1348)=0,N($J1348)=0),"금액이 없습니다",IF(AND($I1348&gt;0,$J1348&gt;0),"수입·지출 둘 다 적혔습니다",IF($C1348="","결제수단을 고르십시오",IF(ISNA(MATCH($C1348,'통합 ③ 통장·카드'!$A$5:$A$11,0)),"③ 통장·카드에 없는 결제수단입니다",IF($D1348="","계정과목을 고르십시오",IF($E1348="※없는 과목","④ 설정에 없는 과목입니다",IF(AND($E1348="수입",$J1348&gt;0),"수입 과목인데 지출에 적혔습니다",IF(AND(LEFT($E1348,2)&lt;&gt;"수입",$E1348&lt;&gt;"대체",$I1348&gt;0),"지출 과목인데 수입에 적혔습니다",IF($K1348="","증빙을 고르십시오",IF(AND($C1348="바우처통장",$J1348&gt;0,IFERROR(INDEX('통합 ④ 설정'!$E$6:$E$40,MATCH($D1348,'통합 ④ 설정'!$B$6:$B$40,0)),"")&lt;&gt;"○"),"바우처통장 지출 — 목적 확인",IF($H1348="","적요를 적으십시오",""))))))))))))</f>
        <v/>
      </c>
      <c r="M1348" s="39"/>
      <c r="O1348" s="11" t="str">
        <f aca="false">IF($B1348="","",YEAR($B1348)*100+MONTH($B1348))</f>
        <v/>
      </c>
      <c r="P1348" s="11" t="str">
        <f aca="false">IF($B1348="","",IF($E1348="대체",0,1))</f>
        <v/>
      </c>
    </row>
    <row r="1349" customFormat="false" ht="15" hidden="false" customHeight="false" outlineLevel="0" collapsed="false">
      <c r="A1349" s="36" t="str">
        <f aca="false">IF($B1349="","",COUNT($B$15:$B1349))</f>
        <v/>
      </c>
      <c r="B1349" s="37"/>
      <c r="C1349" s="38"/>
      <c r="D1349" s="39"/>
      <c r="E1349" s="36" t="str">
        <f aca="false">IF($D1349="","",IFERROR(INDEX('통합 ④ 설정'!$A$6:$A$40,MATCH($D1349,'통합 ④ 설정'!$B$6:$B$40,0)),"※없는 과목"))</f>
        <v/>
      </c>
      <c r="F1349" s="36" t="str">
        <f aca="false">IF($D1349="","",IFERROR(INDEX('통합 ④ 설정'!$C$6:$C$40,MATCH($D1349,'통합 ④ 설정'!$B$6:$B$40,0)),""))</f>
        <v/>
      </c>
      <c r="G1349" s="39"/>
      <c r="H1349" s="39"/>
      <c r="I1349" s="40"/>
      <c r="J1349" s="41"/>
      <c r="K1349" s="38"/>
      <c r="L1349" s="42" t="str">
        <f aca="false">IF($B1349="","",IF(AND(N($I1349)=0,N($J1349)=0),"금액이 없습니다",IF(AND($I1349&gt;0,$J1349&gt;0),"수입·지출 둘 다 적혔습니다",IF($C1349="","결제수단을 고르십시오",IF(ISNA(MATCH($C1349,'통합 ③ 통장·카드'!$A$5:$A$11,0)),"③ 통장·카드에 없는 결제수단입니다",IF($D1349="","계정과목을 고르십시오",IF($E1349="※없는 과목","④ 설정에 없는 과목입니다",IF(AND($E1349="수입",$J1349&gt;0),"수입 과목인데 지출에 적혔습니다",IF(AND(LEFT($E1349,2)&lt;&gt;"수입",$E1349&lt;&gt;"대체",$I1349&gt;0),"지출 과목인데 수입에 적혔습니다",IF($K1349="","증빙을 고르십시오",IF(AND($C1349="바우처통장",$J1349&gt;0,IFERROR(INDEX('통합 ④ 설정'!$E$6:$E$40,MATCH($D1349,'통합 ④ 설정'!$B$6:$B$40,0)),"")&lt;&gt;"○"),"바우처통장 지출 — 목적 확인",IF($H1349="","적요를 적으십시오",""))))))))))))</f>
        <v/>
      </c>
      <c r="M1349" s="39"/>
      <c r="O1349" s="11" t="str">
        <f aca="false">IF($B1349="","",YEAR($B1349)*100+MONTH($B1349))</f>
        <v/>
      </c>
      <c r="P1349" s="11" t="str">
        <f aca="false">IF($B1349="","",IF($E1349="대체",0,1))</f>
        <v/>
      </c>
    </row>
    <row r="1350" customFormat="false" ht="15" hidden="false" customHeight="false" outlineLevel="0" collapsed="false">
      <c r="A1350" s="36" t="str">
        <f aca="false">IF($B1350="","",COUNT($B$15:$B1350))</f>
        <v/>
      </c>
      <c r="B1350" s="37"/>
      <c r="C1350" s="38"/>
      <c r="D1350" s="39"/>
      <c r="E1350" s="36" t="str">
        <f aca="false">IF($D1350="","",IFERROR(INDEX('통합 ④ 설정'!$A$6:$A$40,MATCH($D1350,'통합 ④ 설정'!$B$6:$B$40,0)),"※없는 과목"))</f>
        <v/>
      </c>
      <c r="F1350" s="36" t="str">
        <f aca="false">IF($D1350="","",IFERROR(INDEX('통합 ④ 설정'!$C$6:$C$40,MATCH($D1350,'통합 ④ 설정'!$B$6:$B$40,0)),""))</f>
        <v/>
      </c>
      <c r="G1350" s="39"/>
      <c r="H1350" s="39"/>
      <c r="I1350" s="40"/>
      <c r="J1350" s="41"/>
      <c r="K1350" s="38"/>
      <c r="L1350" s="42" t="str">
        <f aca="false">IF($B1350="","",IF(AND(N($I1350)=0,N($J1350)=0),"금액이 없습니다",IF(AND($I1350&gt;0,$J1350&gt;0),"수입·지출 둘 다 적혔습니다",IF($C1350="","결제수단을 고르십시오",IF(ISNA(MATCH($C1350,'통합 ③ 통장·카드'!$A$5:$A$11,0)),"③ 통장·카드에 없는 결제수단입니다",IF($D1350="","계정과목을 고르십시오",IF($E1350="※없는 과목","④ 설정에 없는 과목입니다",IF(AND($E1350="수입",$J1350&gt;0),"수입 과목인데 지출에 적혔습니다",IF(AND(LEFT($E1350,2)&lt;&gt;"수입",$E1350&lt;&gt;"대체",$I1350&gt;0),"지출 과목인데 수입에 적혔습니다",IF($K1350="","증빙을 고르십시오",IF(AND($C1350="바우처통장",$J1350&gt;0,IFERROR(INDEX('통합 ④ 설정'!$E$6:$E$40,MATCH($D1350,'통합 ④ 설정'!$B$6:$B$40,0)),"")&lt;&gt;"○"),"바우처통장 지출 — 목적 확인",IF($H1350="","적요를 적으십시오",""))))))))))))</f>
        <v/>
      </c>
      <c r="M1350" s="39"/>
      <c r="O1350" s="11" t="str">
        <f aca="false">IF($B1350="","",YEAR($B1350)*100+MONTH($B1350))</f>
        <v/>
      </c>
      <c r="P1350" s="11" t="str">
        <f aca="false">IF($B1350="","",IF($E1350="대체",0,1))</f>
        <v/>
      </c>
    </row>
    <row r="1351" customFormat="false" ht="15" hidden="false" customHeight="false" outlineLevel="0" collapsed="false">
      <c r="A1351" s="36" t="str">
        <f aca="false">IF($B1351="","",COUNT($B$15:$B1351))</f>
        <v/>
      </c>
      <c r="B1351" s="37"/>
      <c r="C1351" s="38"/>
      <c r="D1351" s="39"/>
      <c r="E1351" s="36" t="str">
        <f aca="false">IF($D1351="","",IFERROR(INDEX('통합 ④ 설정'!$A$6:$A$40,MATCH($D1351,'통합 ④ 설정'!$B$6:$B$40,0)),"※없는 과목"))</f>
        <v/>
      </c>
      <c r="F1351" s="36" t="str">
        <f aca="false">IF($D1351="","",IFERROR(INDEX('통합 ④ 설정'!$C$6:$C$40,MATCH($D1351,'통합 ④ 설정'!$B$6:$B$40,0)),""))</f>
        <v/>
      </c>
      <c r="G1351" s="39"/>
      <c r="H1351" s="39"/>
      <c r="I1351" s="40"/>
      <c r="J1351" s="41"/>
      <c r="K1351" s="38"/>
      <c r="L1351" s="42" t="str">
        <f aca="false">IF($B1351="","",IF(AND(N($I1351)=0,N($J1351)=0),"금액이 없습니다",IF(AND($I1351&gt;0,$J1351&gt;0),"수입·지출 둘 다 적혔습니다",IF($C1351="","결제수단을 고르십시오",IF(ISNA(MATCH($C1351,'통합 ③ 통장·카드'!$A$5:$A$11,0)),"③ 통장·카드에 없는 결제수단입니다",IF($D1351="","계정과목을 고르십시오",IF($E1351="※없는 과목","④ 설정에 없는 과목입니다",IF(AND($E1351="수입",$J1351&gt;0),"수입 과목인데 지출에 적혔습니다",IF(AND(LEFT($E1351,2)&lt;&gt;"수입",$E1351&lt;&gt;"대체",$I1351&gt;0),"지출 과목인데 수입에 적혔습니다",IF($K1351="","증빙을 고르십시오",IF(AND($C1351="바우처통장",$J1351&gt;0,IFERROR(INDEX('통합 ④ 설정'!$E$6:$E$40,MATCH($D1351,'통합 ④ 설정'!$B$6:$B$40,0)),"")&lt;&gt;"○"),"바우처통장 지출 — 목적 확인",IF($H1351="","적요를 적으십시오",""))))))))))))</f>
        <v/>
      </c>
      <c r="M1351" s="39"/>
      <c r="O1351" s="11" t="str">
        <f aca="false">IF($B1351="","",YEAR($B1351)*100+MONTH($B1351))</f>
        <v/>
      </c>
      <c r="P1351" s="11" t="str">
        <f aca="false">IF($B1351="","",IF($E1351="대체",0,1))</f>
        <v/>
      </c>
    </row>
    <row r="1352" customFormat="false" ht="15" hidden="false" customHeight="false" outlineLevel="0" collapsed="false">
      <c r="A1352" s="36" t="str">
        <f aca="false">IF($B1352="","",COUNT($B$15:$B1352))</f>
        <v/>
      </c>
      <c r="B1352" s="37"/>
      <c r="C1352" s="38"/>
      <c r="D1352" s="39"/>
      <c r="E1352" s="36" t="str">
        <f aca="false">IF($D1352="","",IFERROR(INDEX('통합 ④ 설정'!$A$6:$A$40,MATCH($D1352,'통합 ④ 설정'!$B$6:$B$40,0)),"※없는 과목"))</f>
        <v/>
      </c>
      <c r="F1352" s="36" t="str">
        <f aca="false">IF($D1352="","",IFERROR(INDEX('통합 ④ 설정'!$C$6:$C$40,MATCH($D1352,'통합 ④ 설정'!$B$6:$B$40,0)),""))</f>
        <v/>
      </c>
      <c r="G1352" s="39"/>
      <c r="H1352" s="39"/>
      <c r="I1352" s="40"/>
      <c r="J1352" s="41"/>
      <c r="K1352" s="38"/>
      <c r="L1352" s="42" t="str">
        <f aca="false">IF($B1352="","",IF(AND(N($I1352)=0,N($J1352)=0),"금액이 없습니다",IF(AND($I1352&gt;0,$J1352&gt;0),"수입·지출 둘 다 적혔습니다",IF($C1352="","결제수단을 고르십시오",IF(ISNA(MATCH($C1352,'통합 ③ 통장·카드'!$A$5:$A$11,0)),"③ 통장·카드에 없는 결제수단입니다",IF($D1352="","계정과목을 고르십시오",IF($E1352="※없는 과목","④ 설정에 없는 과목입니다",IF(AND($E1352="수입",$J1352&gt;0),"수입 과목인데 지출에 적혔습니다",IF(AND(LEFT($E1352,2)&lt;&gt;"수입",$E1352&lt;&gt;"대체",$I1352&gt;0),"지출 과목인데 수입에 적혔습니다",IF($K1352="","증빙을 고르십시오",IF(AND($C1352="바우처통장",$J1352&gt;0,IFERROR(INDEX('통합 ④ 설정'!$E$6:$E$40,MATCH($D1352,'통합 ④ 설정'!$B$6:$B$40,0)),"")&lt;&gt;"○"),"바우처통장 지출 — 목적 확인",IF($H1352="","적요를 적으십시오",""))))))))))))</f>
        <v/>
      </c>
      <c r="M1352" s="39"/>
      <c r="O1352" s="11" t="str">
        <f aca="false">IF($B1352="","",YEAR($B1352)*100+MONTH($B1352))</f>
        <v/>
      </c>
      <c r="P1352" s="11" t="str">
        <f aca="false">IF($B1352="","",IF($E1352="대체",0,1))</f>
        <v/>
      </c>
    </row>
    <row r="1353" customFormat="false" ht="15" hidden="false" customHeight="false" outlineLevel="0" collapsed="false">
      <c r="A1353" s="36" t="str">
        <f aca="false">IF($B1353="","",COUNT($B$15:$B1353))</f>
        <v/>
      </c>
      <c r="B1353" s="37"/>
      <c r="C1353" s="38"/>
      <c r="D1353" s="39"/>
      <c r="E1353" s="36" t="str">
        <f aca="false">IF($D1353="","",IFERROR(INDEX('통합 ④ 설정'!$A$6:$A$40,MATCH($D1353,'통합 ④ 설정'!$B$6:$B$40,0)),"※없는 과목"))</f>
        <v/>
      </c>
      <c r="F1353" s="36" t="str">
        <f aca="false">IF($D1353="","",IFERROR(INDEX('통합 ④ 설정'!$C$6:$C$40,MATCH($D1353,'통합 ④ 설정'!$B$6:$B$40,0)),""))</f>
        <v/>
      </c>
      <c r="G1353" s="39"/>
      <c r="H1353" s="39"/>
      <c r="I1353" s="40"/>
      <c r="J1353" s="41"/>
      <c r="K1353" s="38"/>
      <c r="L1353" s="42" t="str">
        <f aca="false">IF($B1353="","",IF(AND(N($I1353)=0,N($J1353)=0),"금액이 없습니다",IF(AND($I1353&gt;0,$J1353&gt;0),"수입·지출 둘 다 적혔습니다",IF($C1353="","결제수단을 고르십시오",IF(ISNA(MATCH($C1353,'통합 ③ 통장·카드'!$A$5:$A$11,0)),"③ 통장·카드에 없는 결제수단입니다",IF($D1353="","계정과목을 고르십시오",IF($E1353="※없는 과목","④ 설정에 없는 과목입니다",IF(AND($E1353="수입",$J1353&gt;0),"수입 과목인데 지출에 적혔습니다",IF(AND(LEFT($E1353,2)&lt;&gt;"수입",$E1353&lt;&gt;"대체",$I1353&gt;0),"지출 과목인데 수입에 적혔습니다",IF($K1353="","증빙을 고르십시오",IF(AND($C1353="바우처통장",$J1353&gt;0,IFERROR(INDEX('통합 ④ 설정'!$E$6:$E$40,MATCH($D1353,'통합 ④ 설정'!$B$6:$B$40,0)),"")&lt;&gt;"○"),"바우처통장 지출 — 목적 확인",IF($H1353="","적요를 적으십시오",""))))))))))))</f>
        <v/>
      </c>
      <c r="M1353" s="39"/>
      <c r="O1353" s="11" t="str">
        <f aca="false">IF($B1353="","",YEAR($B1353)*100+MONTH($B1353))</f>
        <v/>
      </c>
      <c r="P1353" s="11" t="str">
        <f aca="false">IF($B1353="","",IF($E1353="대체",0,1))</f>
        <v/>
      </c>
    </row>
    <row r="1354" customFormat="false" ht="15" hidden="false" customHeight="false" outlineLevel="0" collapsed="false">
      <c r="A1354" s="36" t="str">
        <f aca="false">IF($B1354="","",COUNT($B$15:$B1354))</f>
        <v/>
      </c>
      <c r="B1354" s="37"/>
      <c r="C1354" s="38"/>
      <c r="D1354" s="39"/>
      <c r="E1354" s="36" t="str">
        <f aca="false">IF($D1354="","",IFERROR(INDEX('통합 ④ 설정'!$A$6:$A$40,MATCH($D1354,'통합 ④ 설정'!$B$6:$B$40,0)),"※없는 과목"))</f>
        <v/>
      </c>
      <c r="F1354" s="36" t="str">
        <f aca="false">IF($D1354="","",IFERROR(INDEX('통합 ④ 설정'!$C$6:$C$40,MATCH($D1354,'통합 ④ 설정'!$B$6:$B$40,0)),""))</f>
        <v/>
      </c>
      <c r="G1354" s="39"/>
      <c r="H1354" s="39"/>
      <c r="I1354" s="40"/>
      <c r="J1354" s="41"/>
      <c r="K1354" s="38"/>
      <c r="L1354" s="42" t="str">
        <f aca="false">IF($B1354="","",IF(AND(N($I1354)=0,N($J1354)=0),"금액이 없습니다",IF(AND($I1354&gt;0,$J1354&gt;0),"수입·지출 둘 다 적혔습니다",IF($C1354="","결제수단을 고르십시오",IF(ISNA(MATCH($C1354,'통합 ③ 통장·카드'!$A$5:$A$11,0)),"③ 통장·카드에 없는 결제수단입니다",IF($D1354="","계정과목을 고르십시오",IF($E1354="※없는 과목","④ 설정에 없는 과목입니다",IF(AND($E1354="수입",$J1354&gt;0),"수입 과목인데 지출에 적혔습니다",IF(AND(LEFT($E1354,2)&lt;&gt;"수입",$E1354&lt;&gt;"대체",$I1354&gt;0),"지출 과목인데 수입에 적혔습니다",IF($K1354="","증빙을 고르십시오",IF(AND($C1354="바우처통장",$J1354&gt;0,IFERROR(INDEX('통합 ④ 설정'!$E$6:$E$40,MATCH($D1354,'통합 ④ 설정'!$B$6:$B$40,0)),"")&lt;&gt;"○"),"바우처통장 지출 — 목적 확인",IF($H1354="","적요를 적으십시오",""))))))))))))</f>
        <v/>
      </c>
      <c r="M1354" s="39"/>
      <c r="O1354" s="11" t="str">
        <f aca="false">IF($B1354="","",YEAR($B1354)*100+MONTH($B1354))</f>
        <v/>
      </c>
      <c r="P1354" s="11" t="str">
        <f aca="false">IF($B1354="","",IF($E1354="대체",0,1))</f>
        <v/>
      </c>
    </row>
    <row r="1355" customFormat="false" ht="15" hidden="false" customHeight="false" outlineLevel="0" collapsed="false">
      <c r="A1355" s="36" t="str">
        <f aca="false">IF($B1355="","",COUNT($B$15:$B1355))</f>
        <v/>
      </c>
      <c r="B1355" s="37"/>
      <c r="C1355" s="38"/>
      <c r="D1355" s="39"/>
      <c r="E1355" s="36" t="str">
        <f aca="false">IF($D1355="","",IFERROR(INDEX('통합 ④ 설정'!$A$6:$A$40,MATCH($D1355,'통합 ④ 설정'!$B$6:$B$40,0)),"※없는 과목"))</f>
        <v/>
      </c>
      <c r="F1355" s="36" t="str">
        <f aca="false">IF($D1355="","",IFERROR(INDEX('통합 ④ 설정'!$C$6:$C$40,MATCH($D1355,'통합 ④ 설정'!$B$6:$B$40,0)),""))</f>
        <v/>
      </c>
      <c r="G1355" s="39"/>
      <c r="H1355" s="39"/>
      <c r="I1355" s="40"/>
      <c r="J1355" s="41"/>
      <c r="K1355" s="38"/>
      <c r="L1355" s="42" t="str">
        <f aca="false">IF($B1355="","",IF(AND(N($I1355)=0,N($J1355)=0),"금액이 없습니다",IF(AND($I1355&gt;0,$J1355&gt;0),"수입·지출 둘 다 적혔습니다",IF($C1355="","결제수단을 고르십시오",IF(ISNA(MATCH($C1355,'통합 ③ 통장·카드'!$A$5:$A$11,0)),"③ 통장·카드에 없는 결제수단입니다",IF($D1355="","계정과목을 고르십시오",IF($E1355="※없는 과목","④ 설정에 없는 과목입니다",IF(AND($E1355="수입",$J1355&gt;0),"수입 과목인데 지출에 적혔습니다",IF(AND(LEFT($E1355,2)&lt;&gt;"수입",$E1355&lt;&gt;"대체",$I1355&gt;0),"지출 과목인데 수입에 적혔습니다",IF($K1355="","증빙을 고르십시오",IF(AND($C1355="바우처통장",$J1355&gt;0,IFERROR(INDEX('통합 ④ 설정'!$E$6:$E$40,MATCH($D1355,'통합 ④ 설정'!$B$6:$B$40,0)),"")&lt;&gt;"○"),"바우처통장 지출 — 목적 확인",IF($H1355="","적요를 적으십시오",""))))))))))))</f>
        <v/>
      </c>
      <c r="M1355" s="39"/>
      <c r="O1355" s="11" t="str">
        <f aca="false">IF($B1355="","",YEAR($B1355)*100+MONTH($B1355))</f>
        <v/>
      </c>
      <c r="P1355" s="11" t="str">
        <f aca="false">IF($B1355="","",IF($E1355="대체",0,1))</f>
        <v/>
      </c>
    </row>
    <row r="1356" customFormat="false" ht="15" hidden="false" customHeight="false" outlineLevel="0" collapsed="false">
      <c r="A1356" s="36" t="str">
        <f aca="false">IF($B1356="","",COUNT($B$15:$B1356))</f>
        <v/>
      </c>
      <c r="B1356" s="37"/>
      <c r="C1356" s="38"/>
      <c r="D1356" s="39"/>
      <c r="E1356" s="36" t="str">
        <f aca="false">IF($D1356="","",IFERROR(INDEX('통합 ④ 설정'!$A$6:$A$40,MATCH($D1356,'통합 ④ 설정'!$B$6:$B$40,0)),"※없는 과목"))</f>
        <v/>
      </c>
      <c r="F1356" s="36" t="str">
        <f aca="false">IF($D1356="","",IFERROR(INDEX('통합 ④ 설정'!$C$6:$C$40,MATCH($D1356,'통합 ④ 설정'!$B$6:$B$40,0)),""))</f>
        <v/>
      </c>
      <c r="G1356" s="39"/>
      <c r="H1356" s="39"/>
      <c r="I1356" s="40"/>
      <c r="J1356" s="41"/>
      <c r="K1356" s="38"/>
      <c r="L1356" s="42" t="str">
        <f aca="false">IF($B1356="","",IF(AND(N($I1356)=0,N($J1356)=0),"금액이 없습니다",IF(AND($I1356&gt;0,$J1356&gt;0),"수입·지출 둘 다 적혔습니다",IF($C1356="","결제수단을 고르십시오",IF(ISNA(MATCH($C1356,'통합 ③ 통장·카드'!$A$5:$A$11,0)),"③ 통장·카드에 없는 결제수단입니다",IF($D1356="","계정과목을 고르십시오",IF($E1356="※없는 과목","④ 설정에 없는 과목입니다",IF(AND($E1356="수입",$J1356&gt;0),"수입 과목인데 지출에 적혔습니다",IF(AND(LEFT($E1356,2)&lt;&gt;"수입",$E1356&lt;&gt;"대체",$I1356&gt;0),"지출 과목인데 수입에 적혔습니다",IF($K1356="","증빙을 고르십시오",IF(AND($C1356="바우처통장",$J1356&gt;0,IFERROR(INDEX('통합 ④ 설정'!$E$6:$E$40,MATCH($D1356,'통합 ④ 설정'!$B$6:$B$40,0)),"")&lt;&gt;"○"),"바우처통장 지출 — 목적 확인",IF($H1356="","적요를 적으십시오",""))))))))))))</f>
        <v/>
      </c>
      <c r="M1356" s="39"/>
      <c r="O1356" s="11" t="str">
        <f aca="false">IF($B1356="","",YEAR($B1356)*100+MONTH($B1356))</f>
        <v/>
      </c>
      <c r="P1356" s="11" t="str">
        <f aca="false">IF($B1356="","",IF($E1356="대체",0,1))</f>
        <v/>
      </c>
    </row>
    <row r="1357" customFormat="false" ht="15" hidden="false" customHeight="false" outlineLevel="0" collapsed="false">
      <c r="A1357" s="36" t="str">
        <f aca="false">IF($B1357="","",COUNT($B$15:$B1357))</f>
        <v/>
      </c>
      <c r="B1357" s="37"/>
      <c r="C1357" s="38"/>
      <c r="D1357" s="39"/>
      <c r="E1357" s="36" t="str">
        <f aca="false">IF($D1357="","",IFERROR(INDEX('통합 ④ 설정'!$A$6:$A$40,MATCH($D1357,'통합 ④ 설정'!$B$6:$B$40,0)),"※없는 과목"))</f>
        <v/>
      </c>
      <c r="F1357" s="36" t="str">
        <f aca="false">IF($D1357="","",IFERROR(INDEX('통합 ④ 설정'!$C$6:$C$40,MATCH($D1357,'통합 ④ 설정'!$B$6:$B$40,0)),""))</f>
        <v/>
      </c>
      <c r="G1357" s="39"/>
      <c r="H1357" s="39"/>
      <c r="I1357" s="40"/>
      <c r="J1357" s="41"/>
      <c r="K1357" s="38"/>
      <c r="L1357" s="42" t="str">
        <f aca="false">IF($B1357="","",IF(AND(N($I1357)=0,N($J1357)=0),"금액이 없습니다",IF(AND($I1357&gt;0,$J1357&gt;0),"수입·지출 둘 다 적혔습니다",IF($C1357="","결제수단을 고르십시오",IF(ISNA(MATCH($C1357,'통합 ③ 통장·카드'!$A$5:$A$11,0)),"③ 통장·카드에 없는 결제수단입니다",IF($D1357="","계정과목을 고르십시오",IF($E1357="※없는 과목","④ 설정에 없는 과목입니다",IF(AND($E1357="수입",$J1357&gt;0),"수입 과목인데 지출에 적혔습니다",IF(AND(LEFT($E1357,2)&lt;&gt;"수입",$E1357&lt;&gt;"대체",$I1357&gt;0),"지출 과목인데 수입에 적혔습니다",IF($K1357="","증빙을 고르십시오",IF(AND($C1357="바우처통장",$J1357&gt;0,IFERROR(INDEX('통합 ④ 설정'!$E$6:$E$40,MATCH($D1357,'통합 ④ 설정'!$B$6:$B$40,0)),"")&lt;&gt;"○"),"바우처통장 지출 — 목적 확인",IF($H1357="","적요를 적으십시오",""))))))))))))</f>
        <v/>
      </c>
      <c r="M1357" s="39"/>
      <c r="O1357" s="11" t="str">
        <f aca="false">IF($B1357="","",YEAR($B1357)*100+MONTH($B1357))</f>
        <v/>
      </c>
      <c r="P1357" s="11" t="str">
        <f aca="false">IF($B1357="","",IF($E1357="대체",0,1))</f>
        <v/>
      </c>
    </row>
    <row r="1358" customFormat="false" ht="15" hidden="false" customHeight="false" outlineLevel="0" collapsed="false">
      <c r="A1358" s="36" t="str">
        <f aca="false">IF($B1358="","",COUNT($B$15:$B1358))</f>
        <v/>
      </c>
      <c r="B1358" s="37"/>
      <c r="C1358" s="38"/>
      <c r="D1358" s="39"/>
      <c r="E1358" s="36" t="str">
        <f aca="false">IF($D1358="","",IFERROR(INDEX('통합 ④ 설정'!$A$6:$A$40,MATCH($D1358,'통합 ④ 설정'!$B$6:$B$40,0)),"※없는 과목"))</f>
        <v/>
      </c>
      <c r="F1358" s="36" t="str">
        <f aca="false">IF($D1358="","",IFERROR(INDEX('통합 ④ 설정'!$C$6:$C$40,MATCH($D1358,'통합 ④ 설정'!$B$6:$B$40,0)),""))</f>
        <v/>
      </c>
      <c r="G1358" s="39"/>
      <c r="H1358" s="39"/>
      <c r="I1358" s="40"/>
      <c r="J1358" s="41"/>
      <c r="K1358" s="38"/>
      <c r="L1358" s="42" t="str">
        <f aca="false">IF($B1358="","",IF(AND(N($I1358)=0,N($J1358)=0),"금액이 없습니다",IF(AND($I1358&gt;0,$J1358&gt;0),"수입·지출 둘 다 적혔습니다",IF($C1358="","결제수단을 고르십시오",IF(ISNA(MATCH($C1358,'통합 ③ 통장·카드'!$A$5:$A$11,0)),"③ 통장·카드에 없는 결제수단입니다",IF($D1358="","계정과목을 고르십시오",IF($E1358="※없는 과목","④ 설정에 없는 과목입니다",IF(AND($E1358="수입",$J1358&gt;0),"수입 과목인데 지출에 적혔습니다",IF(AND(LEFT($E1358,2)&lt;&gt;"수입",$E1358&lt;&gt;"대체",$I1358&gt;0),"지출 과목인데 수입에 적혔습니다",IF($K1358="","증빙을 고르십시오",IF(AND($C1358="바우처통장",$J1358&gt;0,IFERROR(INDEX('통합 ④ 설정'!$E$6:$E$40,MATCH($D1358,'통합 ④ 설정'!$B$6:$B$40,0)),"")&lt;&gt;"○"),"바우처통장 지출 — 목적 확인",IF($H1358="","적요를 적으십시오",""))))))))))))</f>
        <v/>
      </c>
      <c r="M1358" s="39"/>
      <c r="O1358" s="11" t="str">
        <f aca="false">IF($B1358="","",YEAR($B1358)*100+MONTH($B1358))</f>
        <v/>
      </c>
      <c r="P1358" s="11" t="str">
        <f aca="false">IF($B1358="","",IF($E1358="대체",0,1))</f>
        <v/>
      </c>
    </row>
    <row r="1359" customFormat="false" ht="15" hidden="false" customHeight="false" outlineLevel="0" collapsed="false">
      <c r="A1359" s="36" t="str">
        <f aca="false">IF($B1359="","",COUNT($B$15:$B1359))</f>
        <v/>
      </c>
      <c r="B1359" s="37"/>
      <c r="C1359" s="38"/>
      <c r="D1359" s="39"/>
      <c r="E1359" s="36" t="str">
        <f aca="false">IF($D1359="","",IFERROR(INDEX('통합 ④ 설정'!$A$6:$A$40,MATCH($D1359,'통합 ④ 설정'!$B$6:$B$40,0)),"※없는 과목"))</f>
        <v/>
      </c>
      <c r="F1359" s="36" t="str">
        <f aca="false">IF($D1359="","",IFERROR(INDEX('통합 ④ 설정'!$C$6:$C$40,MATCH($D1359,'통합 ④ 설정'!$B$6:$B$40,0)),""))</f>
        <v/>
      </c>
      <c r="G1359" s="39"/>
      <c r="H1359" s="39"/>
      <c r="I1359" s="40"/>
      <c r="J1359" s="41"/>
      <c r="K1359" s="38"/>
      <c r="L1359" s="42" t="str">
        <f aca="false">IF($B1359="","",IF(AND(N($I1359)=0,N($J1359)=0),"금액이 없습니다",IF(AND($I1359&gt;0,$J1359&gt;0),"수입·지출 둘 다 적혔습니다",IF($C1359="","결제수단을 고르십시오",IF(ISNA(MATCH($C1359,'통합 ③ 통장·카드'!$A$5:$A$11,0)),"③ 통장·카드에 없는 결제수단입니다",IF($D1359="","계정과목을 고르십시오",IF($E1359="※없는 과목","④ 설정에 없는 과목입니다",IF(AND($E1359="수입",$J1359&gt;0),"수입 과목인데 지출에 적혔습니다",IF(AND(LEFT($E1359,2)&lt;&gt;"수입",$E1359&lt;&gt;"대체",$I1359&gt;0),"지출 과목인데 수입에 적혔습니다",IF($K1359="","증빙을 고르십시오",IF(AND($C1359="바우처통장",$J1359&gt;0,IFERROR(INDEX('통합 ④ 설정'!$E$6:$E$40,MATCH($D1359,'통합 ④ 설정'!$B$6:$B$40,0)),"")&lt;&gt;"○"),"바우처통장 지출 — 목적 확인",IF($H1359="","적요를 적으십시오",""))))))))))))</f>
        <v/>
      </c>
      <c r="M1359" s="39"/>
      <c r="O1359" s="11" t="str">
        <f aca="false">IF($B1359="","",YEAR($B1359)*100+MONTH($B1359))</f>
        <v/>
      </c>
      <c r="P1359" s="11" t="str">
        <f aca="false">IF($B1359="","",IF($E1359="대체",0,1))</f>
        <v/>
      </c>
    </row>
    <row r="1360" customFormat="false" ht="15" hidden="false" customHeight="false" outlineLevel="0" collapsed="false">
      <c r="A1360" s="36" t="str">
        <f aca="false">IF($B1360="","",COUNT($B$15:$B1360))</f>
        <v/>
      </c>
      <c r="B1360" s="37"/>
      <c r="C1360" s="38"/>
      <c r="D1360" s="39"/>
      <c r="E1360" s="36" t="str">
        <f aca="false">IF($D1360="","",IFERROR(INDEX('통합 ④ 설정'!$A$6:$A$40,MATCH($D1360,'통합 ④ 설정'!$B$6:$B$40,0)),"※없는 과목"))</f>
        <v/>
      </c>
      <c r="F1360" s="36" t="str">
        <f aca="false">IF($D1360="","",IFERROR(INDEX('통합 ④ 설정'!$C$6:$C$40,MATCH($D1360,'통합 ④ 설정'!$B$6:$B$40,0)),""))</f>
        <v/>
      </c>
      <c r="G1360" s="39"/>
      <c r="H1360" s="39"/>
      <c r="I1360" s="40"/>
      <c r="J1360" s="41"/>
      <c r="K1360" s="38"/>
      <c r="L1360" s="42" t="str">
        <f aca="false">IF($B1360="","",IF(AND(N($I1360)=0,N($J1360)=0),"금액이 없습니다",IF(AND($I1360&gt;0,$J1360&gt;0),"수입·지출 둘 다 적혔습니다",IF($C1360="","결제수단을 고르십시오",IF(ISNA(MATCH($C1360,'통합 ③ 통장·카드'!$A$5:$A$11,0)),"③ 통장·카드에 없는 결제수단입니다",IF($D1360="","계정과목을 고르십시오",IF($E1360="※없는 과목","④ 설정에 없는 과목입니다",IF(AND($E1360="수입",$J1360&gt;0),"수입 과목인데 지출에 적혔습니다",IF(AND(LEFT($E1360,2)&lt;&gt;"수입",$E1360&lt;&gt;"대체",$I1360&gt;0),"지출 과목인데 수입에 적혔습니다",IF($K1360="","증빙을 고르십시오",IF(AND($C1360="바우처통장",$J1360&gt;0,IFERROR(INDEX('통합 ④ 설정'!$E$6:$E$40,MATCH($D1360,'통합 ④ 설정'!$B$6:$B$40,0)),"")&lt;&gt;"○"),"바우처통장 지출 — 목적 확인",IF($H1360="","적요를 적으십시오",""))))))))))))</f>
        <v/>
      </c>
      <c r="M1360" s="39"/>
      <c r="O1360" s="11" t="str">
        <f aca="false">IF($B1360="","",YEAR($B1360)*100+MONTH($B1360))</f>
        <v/>
      </c>
      <c r="P1360" s="11" t="str">
        <f aca="false">IF($B1360="","",IF($E1360="대체",0,1))</f>
        <v/>
      </c>
    </row>
    <row r="1361" customFormat="false" ht="15" hidden="false" customHeight="false" outlineLevel="0" collapsed="false">
      <c r="A1361" s="36" t="str">
        <f aca="false">IF($B1361="","",COUNT($B$15:$B1361))</f>
        <v/>
      </c>
      <c r="B1361" s="37"/>
      <c r="C1361" s="38"/>
      <c r="D1361" s="39"/>
      <c r="E1361" s="36" t="str">
        <f aca="false">IF($D1361="","",IFERROR(INDEX('통합 ④ 설정'!$A$6:$A$40,MATCH($D1361,'통합 ④ 설정'!$B$6:$B$40,0)),"※없는 과목"))</f>
        <v/>
      </c>
      <c r="F1361" s="36" t="str">
        <f aca="false">IF($D1361="","",IFERROR(INDEX('통합 ④ 설정'!$C$6:$C$40,MATCH($D1361,'통합 ④ 설정'!$B$6:$B$40,0)),""))</f>
        <v/>
      </c>
      <c r="G1361" s="39"/>
      <c r="H1361" s="39"/>
      <c r="I1361" s="40"/>
      <c r="J1361" s="41"/>
      <c r="K1361" s="38"/>
      <c r="L1361" s="42" t="str">
        <f aca="false">IF($B1361="","",IF(AND(N($I1361)=0,N($J1361)=0),"금액이 없습니다",IF(AND($I1361&gt;0,$J1361&gt;0),"수입·지출 둘 다 적혔습니다",IF($C1361="","결제수단을 고르십시오",IF(ISNA(MATCH($C1361,'통합 ③ 통장·카드'!$A$5:$A$11,0)),"③ 통장·카드에 없는 결제수단입니다",IF($D1361="","계정과목을 고르십시오",IF($E1361="※없는 과목","④ 설정에 없는 과목입니다",IF(AND($E1361="수입",$J1361&gt;0),"수입 과목인데 지출에 적혔습니다",IF(AND(LEFT($E1361,2)&lt;&gt;"수입",$E1361&lt;&gt;"대체",$I1361&gt;0),"지출 과목인데 수입에 적혔습니다",IF($K1361="","증빙을 고르십시오",IF(AND($C1361="바우처통장",$J1361&gt;0,IFERROR(INDEX('통합 ④ 설정'!$E$6:$E$40,MATCH($D1361,'통합 ④ 설정'!$B$6:$B$40,0)),"")&lt;&gt;"○"),"바우처통장 지출 — 목적 확인",IF($H1361="","적요를 적으십시오",""))))))))))))</f>
        <v/>
      </c>
      <c r="M1361" s="39"/>
      <c r="O1361" s="11" t="str">
        <f aca="false">IF($B1361="","",YEAR($B1361)*100+MONTH($B1361))</f>
        <v/>
      </c>
      <c r="P1361" s="11" t="str">
        <f aca="false">IF($B1361="","",IF($E1361="대체",0,1))</f>
        <v/>
      </c>
    </row>
    <row r="1362" customFormat="false" ht="15" hidden="false" customHeight="false" outlineLevel="0" collapsed="false">
      <c r="A1362" s="36" t="str">
        <f aca="false">IF($B1362="","",COUNT($B$15:$B1362))</f>
        <v/>
      </c>
      <c r="B1362" s="37"/>
      <c r="C1362" s="38"/>
      <c r="D1362" s="39"/>
      <c r="E1362" s="36" t="str">
        <f aca="false">IF($D1362="","",IFERROR(INDEX('통합 ④ 설정'!$A$6:$A$40,MATCH($D1362,'통합 ④ 설정'!$B$6:$B$40,0)),"※없는 과목"))</f>
        <v/>
      </c>
      <c r="F1362" s="36" t="str">
        <f aca="false">IF($D1362="","",IFERROR(INDEX('통합 ④ 설정'!$C$6:$C$40,MATCH($D1362,'통합 ④ 설정'!$B$6:$B$40,0)),""))</f>
        <v/>
      </c>
      <c r="G1362" s="39"/>
      <c r="H1362" s="39"/>
      <c r="I1362" s="40"/>
      <c r="J1362" s="41"/>
      <c r="K1362" s="38"/>
      <c r="L1362" s="42" t="str">
        <f aca="false">IF($B1362="","",IF(AND(N($I1362)=0,N($J1362)=0),"금액이 없습니다",IF(AND($I1362&gt;0,$J1362&gt;0),"수입·지출 둘 다 적혔습니다",IF($C1362="","결제수단을 고르십시오",IF(ISNA(MATCH($C1362,'통합 ③ 통장·카드'!$A$5:$A$11,0)),"③ 통장·카드에 없는 결제수단입니다",IF($D1362="","계정과목을 고르십시오",IF($E1362="※없는 과목","④ 설정에 없는 과목입니다",IF(AND($E1362="수입",$J1362&gt;0),"수입 과목인데 지출에 적혔습니다",IF(AND(LEFT($E1362,2)&lt;&gt;"수입",$E1362&lt;&gt;"대체",$I1362&gt;0),"지출 과목인데 수입에 적혔습니다",IF($K1362="","증빙을 고르십시오",IF(AND($C1362="바우처통장",$J1362&gt;0,IFERROR(INDEX('통합 ④ 설정'!$E$6:$E$40,MATCH($D1362,'통합 ④ 설정'!$B$6:$B$40,0)),"")&lt;&gt;"○"),"바우처통장 지출 — 목적 확인",IF($H1362="","적요를 적으십시오",""))))))))))))</f>
        <v/>
      </c>
      <c r="M1362" s="39"/>
      <c r="O1362" s="11" t="str">
        <f aca="false">IF($B1362="","",YEAR($B1362)*100+MONTH($B1362))</f>
        <v/>
      </c>
      <c r="P1362" s="11" t="str">
        <f aca="false">IF($B1362="","",IF($E1362="대체",0,1))</f>
        <v/>
      </c>
    </row>
    <row r="1363" customFormat="false" ht="15" hidden="false" customHeight="false" outlineLevel="0" collapsed="false">
      <c r="A1363" s="36" t="str">
        <f aca="false">IF($B1363="","",COUNT($B$15:$B1363))</f>
        <v/>
      </c>
      <c r="B1363" s="37"/>
      <c r="C1363" s="38"/>
      <c r="D1363" s="39"/>
      <c r="E1363" s="36" t="str">
        <f aca="false">IF($D1363="","",IFERROR(INDEX('통합 ④ 설정'!$A$6:$A$40,MATCH($D1363,'통합 ④ 설정'!$B$6:$B$40,0)),"※없는 과목"))</f>
        <v/>
      </c>
      <c r="F1363" s="36" t="str">
        <f aca="false">IF($D1363="","",IFERROR(INDEX('통합 ④ 설정'!$C$6:$C$40,MATCH($D1363,'통합 ④ 설정'!$B$6:$B$40,0)),""))</f>
        <v/>
      </c>
      <c r="G1363" s="39"/>
      <c r="H1363" s="39"/>
      <c r="I1363" s="40"/>
      <c r="J1363" s="41"/>
      <c r="K1363" s="38"/>
      <c r="L1363" s="42" t="str">
        <f aca="false">IF($B1363="","",IF(AND(N($I1363)=0,N($J1363)=0),"금액이 없습니다",IF(AND($I1363&gt;0,$J1363&gt;0),"수입·지출 둘 다 적혔습니다",IF($C1363="","결제수단을 고르십시오",IF(ISNA(MATCH($C1363,'통합 ③ 통장·카드'!$A$5:$A$11,0)),"③ 통장·카드에 없는 결제수단입니다",IF($D1363="","계정과목을 고르십시오",IF($E1363="※없는 과목","④ 설정에 없는 과목입니다",IF(AND($E1363="수입",$J1363&gt;0),"수입 과목인데 지출에 적혔습니다",IF(AND(LEFT($E1363,2)&lt;&gt;"수입",$E1363&lt;&gt;"대체",$I1363&gt;0),"지출 과목인데 수입에 적혔습니다",IF($K1363="","증빙을 고르십시오",IF(AND($C1363="바우처통장",$J1363&gt;0,IFERROR(INDEX('통합 ④ 설정'!$E$6:$E$40,MATCH($D1363,'통합 ④ 설정'!$B$6:$B$40,0)),"")&lt;&gt;"○"),"바우처통장 지출 — 목적 확인",IF($H1363="","적요를 적으십시오",""))))))))))))</f>
        <v/>
      </c>
      <c r="M1363" s="39"/>
      <c r="O1363" s="11" t="str">
        <f aca="false">IF($B1363="","",YEAR($B1363)*100+MONTH($B1363))</f>
        <v/>
      </c>
      <c r="P1363" s="11" t="str">
        <f aca="false">IF($B1363="","",IF($E1363="대체",0,1))</f>
        <v/>
      </c>
    </row>
    <row r="1364" customFormat="false" ht="15" hidden="false" customHeight="false" outlineLevel="0" collapsed="false">
      <c r="A1364" s="36" t="str">
        <f aca="false">IF($B1364="","",COUNT($B$15:$B1364))</f>
        <v/>
      </c>
      <c r="B1364" s="37"/>
      <c r="C1364" s="38"/>
      <c r="D1364" s="39"/>
      <c r="E1364" s="36" t="str">
        <f aca="false">IF($D1364="","",IFERROR(INDEX('통합 ④ 설정'!$A$6:$A$40,MATCH($D1364,'통합 ④ 설정'!$B$6:$B$40,0)),"※없는 과목"))</f>
        <v/>
      </c>
      <c r="F1364" s="36" t="str">
        <f aca="false">IF($D1364="","",IFERROR(INDEX('통합 ④ 설정'!$C$6:$C$40,MATCH($D1364,'통합 ④ 설정'!$B$6:$B$40,0)),""))</f>
        <v/>
      </c>
      <c r="G1364" s="39"/>
      <c r="H1364" s="39"/>
      <c r="I1364" s="40"/>
      <c r="J1364" s="41"/>
      <c r="K1364" s="38"/>
      <c r="L1364" s="42" t="str">
        <f aca="false">IF($B1364="","",IF(AND(N($I1364)=0,N($J1364)=0),"금액이 없습니다",IF(AND($I1364&gt;0,$J1364&gt;0),"수입·지출 둘 다 적혔습니다",IF($C1364="","결제수단을 고르십시오",IF(ISNA(MATCH($C1364,'통합 ③ 통장·카드'!$A$5:$A$11,0)),"③ 통장·카드에 없는 결제수단입니다",IF($D1364="","계정과목을 고르십시오",IF($E1364="※없는 과목","④ 설정에 없는 과목입니다",IF(AND($E1364="수입",$J1364&gt;0),"수입 과목인데 지출에 적혔습니다",IF(AND(LEFT($E1364,2)&lt;&gt;"수입",$E1364&lt;&gt;"대체",$I1364&gt;0),"지출 과목인데 수입에 적혔습니다",IF($K1364="","증빙을 고르십시오",IF(AND($C1364="바우처통장",$J1364&gt;0,IFERROR(INDEX('통합 ④ 설정'!$E$6:$E$40,MATCH($D1364,'통합 ④ 설정'!$B$6:$B$40,0)),"")&lt;&gt;"○"),"바우처통장 지출 — 목적 확인",IF($H1364="","적요를 적으십시오",""))))))))))))</f>
        <v/>
      </c>
      <c r="M1364" s="39"/>
      <c r="O1364" s="11" t="str">
        <f aca="false">IF($B1364="","",YEAR($B1364)*100+MONTH($B1364))</f>
        <v/>
      </c>
      <c r="P1364" s="11" t="str">
        <f aca="false">IF($B1364="","",IF($E1364="대체",0,1))</f>
        <v/>
      </c>
    </row>
    <row r="1365" customFormat="false" ht="15" hidden="false" customHeight="false" outlineLevel="0" collapsed="false">
      <c r="A1365" s="36" t="str">
        <f aca="false">IF($B1365="","",COUNT($B$15:$B1365))</f>
        <v/>
      </c>
      <c r="B1365" s="37"/>
      <c r="C1365" s="38"/>
      <c r="D1365" s="39"/>
      <c r="E1365" s="36" t="str">
        <f aca="false">IF($D1365="","",IFERROR(INDEX('통합 ④ 설정'!$A$6:$A$40,MATCH($D1365,'통합 ④ 설정'!$B$6:$B$40,0)),"※없는 과목"))</f>
        <v/>
      </c>
      <c r="F1365" s="36" t="str">
        <f aca="false">IF($D1365="","",IFERROR(INDEX('통합 ④ 설정'!$C$6:$C$40,MATCH($D1365,'통합 ④ 설정'!$B$6:$B$40,0)),""))</f>
        <v/>
      </c>
      <c r="G1365" s="39"/>
      <c r="H1365" s="39"/>
      <c r="I1365" s="40"/>
      <c r="J1365" s="41"/>
      <c r="K1365" s="38"/>
      <c r="L1365" s="42" t="str">
        <f aca="false">IF($B1365="","",IF(AND(N($I1365)=0,N($J1365)=0),"금액이 없습니다",IF(AND($I1365&gt;0,$J1365&gt;0),"수입·지출 둘 다 적혔습니다",IF($C1365="","결제수단을 고르십시오",IF(ISNA(MATCH($C1365,'통합 ③ 통장·카드'!$A$5:$A$11,0)),"③ 통장·카드에 없는 결제수단입니다",IF($D1365="","계정과목을 고르십시오",IF($E1365="※없는 과목","④ 설정에 없는 과목입니다",IF(AND($E1365="수입",$J1365&gt;0),"수입 과목인데 지출에 적혔습니다",IF(AND(LEFT($E1365,2)&lt;&gt;"수입",$E1365&lt;&gt;"대체",$I1365&gt;0),"지출 과목인데 수입에 적혔습니다",IF($K1365="","증빙을 고르십시오",IF(AND($C1365="바우처통장",$J1365&gt;0,IFERROR(INDEX('통합 ④ 설정'!$E$6:$E$40,MATCH($D1365,'통합 ④ 설정'!$B$6:$B$40,0)),"")&lt;&gt;"○"),"바우처통장 지출 — 목적 확인",IF($H1365="","적요를 적으십시오",""))))))))))))</f>
        <v/>
      </c>
      <c r="M1365" s="39"/>
      <c r="O1365" s="11" t="str">
        <f aca="false">IF($B1365="","",YEAR($B1365)*100+MONTH($B1365))</f>
        <v/>
      </c>
      <c r="P1365" s="11" t="str">
        <f aca="false">IF($B1365="","",IF($E1365="대체",0,1))</f>
        <v/>
      </c>
    </row>
    <row r="1366" customFormat="false" ht="15" hidden="false" customHeight="false" outlineLevel="0" collapsed="false">
      <c r="A1366" s="36" t="str">
        <f aca="false">IF($B1366="","",COUNT($B$15:$B1366))</f>
        <v/>
      </c>
      <c r="B1366" s="37"/>
      <c r="C1366" s="38"/>
      <c r="D1366" s="39"/>
      <c r="E1366" s="36" t="str">
        <f aca="false">IF($D1366="","",IFERROR(INDEX('통합 ④ 설정'!$A$6:$A$40,MATCH($D1366,'통합 ④ 설정'!$B$6:$B$40,0)),"※없는 과목"))</f>
        <v/>
      </c>
      <c r="F1366" s="36" t="str">
        <f aca="false">IF($D1366="","",IFERROR(INDEX('통합 ④ 설정'!$C$6:$C$40,MATCH($D1366,'통합 ④ 설정'!$B$6:$B$40,0)),""))</f>
        <v/>
      </c>
      <c r="G1366" s="39"/>
      <c r="H1366" s="39"/>
      <c r="I1366" s="40"/>
      <c r="J1366" s="41"/>
      <c r="K1366" s="38"/>
      <c r="L1366" s="42" t="str">
        <f aca="false">IF($B1366="","",IF(AND(N($I1366)=0,N($J1366)=0),"금액이 없습니다",IF(AND($I1366&gt;0,$J1366&gt;0),"수입·지출 둘 다 적혔습니다",IF($C1366="","결제수단을 고르십시오",IF(ISNA(MATCH($C1366,'통합 ③ 통장·카드'!$A$5:$A$11,0)),"③ 통장·카드에 없는 결제수단입니다",IF($D1366="","계정과목을 고르십시오",IF($E1366="※없는 과목","④ 설정에 없는 과목입니다",IF(AND($E1366="수입",$J1366&gt;0),"수입 과목인데 지출에 적혔습니다",IF(AND(LEFT($E1366,2)&lt;&gt;"수입",$E1366&lt;&gt;"대체",$I1366&gt;0),"지출 과목인데 수입에 적혔습니다",IF($K1366="","증빙을 고르십시오",IF(AND($C1366="바우처통장",$J1366&gt;0,IFERROR(INDEX('통합 ④ 설정'!$E$6:$E$40,MATCH($D1366,'통합 ④ 설정'!$B$6:$B$40,0)),"")&lt;&gt;"○"),"바우처통장 지출 — 목적 확인",IF($H1366="","적요를 적으십시오",""))))))))))))</f>
        <v/>
      </c>
      <c r="M1366" s="39"/>
      <c r="O1366" s="11" t="str">
        <f aca="false">IF($B1366="","",YEAR($B1366)*100+MONTH($B1366))</f>
        <v/>
      </c>
      <c r="P1366" s="11" t="str">
        <f aca="false">IF($B1366="","",IF($E1366="대체",0,1))</f>
        <v/>
      </c>
    </row>
    <row r="1367" customFormat="false" ht="15" hidden="false" customHeight="false" outlineLevel="0" collapsed="false">
      <c r="A1367" s="36" t="str">
        <f aca="false">IF($B1367="","",COUNT($B$15:$B1367))</f>
        <v/>
      </c>
      <c r="B1367" s="37"/>
      <c r="C1367" s="38"/>
      <c r="D1367" s="39"/>
      <c r="E1367" s="36" t="str">
        <f aca="false">IF($D1367="","",IFERROR(INDEX('통합 ④ 설정'!$A$6:$A$40,MATCH($D1367,'통합 ④ 설정'!$B$6:$B$40,0)),"※없는 과목"))</f>
        <v/>
      </c>
      <c r="F1367" s="36" t="str">
        <f aca="false">IF($D1367="","",IFERROR(INDEX('통합 ④ 설정'!$C$6:$C$40,MATCH($D1367,'통합 ④ 설정'!$B$6:$B$40,0)),""))</f>
        <v/>
      </c>
      <c r="G1367" s="39"/>
      <c r="H1367" s="39"/>
      <c r="I1367" s="40"/>
      <c r="J1367" s="41"/>
      <c r="K1367" s="38"/>
      <c r="L1367" s="42" t="str">
        <f aca="false">IF($B1367="","",IF(AND(N($I1367)=0,N($J1367)=0),"금액이 없습니다",IF(AND($I1367&gt;0,$J1367&gt;0),"수입·지출 둘 다 적혔습니다",IF($C1367="","결제수단을 고르십시오",IF(ISNA(MATCH($C1367,'통합 ③ 통장·카드'!$A$5:$A$11,0)),"③ 통장·카드에 없는 결제수단입니다",IF($D1367="","계정과목을 고르십시오",IF($E1367="※없는 과목","④ 설정에 없는 과목입니다",IF(AND($E1367="수입",$J1367&gt;0),"수입 과목인데 지출에 적혔습니다",IF(AND(LEFT($E1367,2)&lt;&gt;"수입",$E1367&lt;&gt;"대체",$I1367&gt;0),"지출 과목인데 수입에 적혔습니다",IF($K1367="","증빙을 고르십시오",IF(AND($C1367="바우처통장",$J1367&gt;0,IFERROR(INDEX('통합 ④ 설정'!$E$6:$E$40,MATCH($D1367,'통합 ④ 설정'!$B$6:$B$40,0)),"")&lt;&gt;"○"),"바우처통장 지출 — 목적 확인",IF($H1367="","적요를 적으십시오",""))))))))))))</f>
        <v/>
      </c>
      <c r="M1367" s="39"/>
      <c r="O1367" s="11" t="str">
        <f aca="false">IF($B1367="","",YEAR($B1367)*100+MONTH($B1367))</f>
        <v/>
      </c>
      <c r="P1367" s="11" t="str">
        <f aca="false">IF($B1367="","",IF($E1367="대체",0,1))</f>
        <v/>
      </c>
    </row>
    <row r="1368" customFormat="false" ht="15" hidden="false" customHeight="false" outlineLevel="0" collapsed="false">
      <c r="A1368" s="36" t="str">
        <f aca="false">IF($B1368="","",COUNT($B$15:$B1368))</f>
        <v/>
      </c>
      <c r="B1368" s="37"/>
      <c r="C1368" s="38"/>
      <c r="D1368" s="39"/>
      <c r="E1368" s="36" t="str">
        <f aca="false">IF($D1368="","",IFERROR(INDEX('통합 ④ 설정'!$A$6:$A$40,MATCH($D1368,'통합 ④ 설정'!$B$6:$B$40,0)),"※없는 과목"))</f>
        <v/>
      </c>
      <c r="F1368" s="36" t="str">
        <f aca="false">IF($D1368="","",IFERROR(INDEX('통합 ④ 설정'!$C$6:$C$40,MATCH($D1368,'통합 ④ 설정'!$B$6:$B$40,0)),""))</f>
        <v/>
      </c>
      <c r="G1368" s="39"/>
      <c r="H1368" s="39"/>
      <c r="I1368" s="40"/>
      <c r="J1368" s="41"/>
      <c r="K1368" s="38"/>
      <c r="L1368" s="42" t="str">
        <f aca="false">IF($B1368="","",IF(AND(N($I1368)=0,N($J1368)=0),"금액이 없습니다",IF(AND($I1368&gt;0,$J1368&gt;0),"수입·지출 둘 다 적혔습니다",IF($C1368="","결제수단을 고르십시오",IF(ISNA(MATCH($C1368,'통합 ③ 통장·카드'!$A$5:$A$11,0)),"③ 통장·카드에 없는 결제수단입니다",IF($D1368="","계정과목을 고르십시오",IF($E1368="※없는 과목","④ 설정에 없는 과목입니다",IF(AND($E1368="수입",$J1368&gt;0),"수입 과목인데 지출에 적혔습니다",IF(AND(LEFT($E1368,2)&lt;&gt;"수입",$E1368&lt;&gt;"대체",$I1368&gt;0),"지출 과목인데 수입에 적혔습니다",IF($K1368="","증빙을 고르십시오",IF(AND($C1368="바우처통장",$J1368&gt;0,IFERROR(INDEX('통합 ④ 설정'!$E$6:$E$40,MATCH($D1368,'통합 ④ 설정'!$B$6:$B$40,0)),"")&lt;&gt;"○"),"바우처통장 지출 — 목적 확인",IF($H1368="","적요를 적으십시오",""))))))))))))</f>
        <v/>
      </c>
      <c r="M1368" s="39"/>
      <c r="O1368" s="11" t="str">
        <f aca="false">IF($B1368="","",YEAR($B1368)*100+MONTH($B1368))</f>
        <v/>
      </c>
      <c r="P1368" s="11" t="str">
        <f aca="false">IF($B1368="","",IF($E1368="대체",0,1))</f>
        <v/>
      </c>
    </row>
    <row r="1369" customFormat="false" ht="15" hidden="false" customHeight="false" outlineLevel="0" collapsed="false">
      <c r="A1369" s="36" t="str">
        <f aca="false">IF($B1369="","",COUNT($B$15:$B1369))</f>
        <v/>
      </c>
      <c r="B1369" s="37"/>
      <c r="C1369" s="38"/>
      <c r="D1369" s="39"/>
      <c r="E1369" s="36" t="str">
        <f aca="false">IF($D1369="","",IFERROR(INDEX('통합 ④ 설정'!$A$6:$A$40,MATCH($D1369,'통합 ④ 설정'!$B$6:$B$40,0)),"※없는 과목"))</f>
        <v/>
      </c>
      <c r="F1369" s="36" t="str">
        <f aca="false">IF($D1369="","",IFERROR(INDEX('통합 ④ 설정'!$C$6:$C$40,MATCH($D1369,'통합 ④ 설정'!$B$6:$B$40,0)),""))</f>
        <v/>
      </c>
      <c r="G1369" s="39"/>
      <c r="H1369" s="39"/>
      <c r="I1369" s="40"/>
      <c r="J1369" s="41"/>
      <c r="K1369" s="38"/>
      <c r="L1369" s="42" t="str">
        <f aca="false">IF($B1369="","",IF(AND(N($I1369)=0,N($J1369)=0),"금액이 없습니다",IF(AND($I1369&gt;0,$J1369&gt;0),"수입·지출 둘 다 적혔습니다",IF($C1369="","결제수단을 고르십시오",IF(ISNA(MATCH($C1369,'통합 ③ 통장·카드'!$A$5:$A$11,0)),"③ 통장·카드에 없는 결제수단입니다",IF($D1369="","계정과목을 고르십시오",IF($E1369="※없는 과목","④ 설정에 없는 과목입니다",IF(AND($E1369="수입",$J1369&gt;0),"수입 과목인데 지출에 적혔습니다",IF(AND(LEFT($E1369,2)&lt;&gt;"수입",$E1369&lt;&gt;"대체",$I1369&gt;0),"지출 과목인데 수입에 적혔습니다",IF($K1369="","증빙을 고르십시오",IF(AND($C1369="바우처통장",$J1369&gt;0,IFERROR(INDEX('통합 ④ 설정'!$E$6:$E$40,MATCH($D1369,'통합 ④ 설정'!$B$6:$B$40,0)),"")&lt;&gt;"○"),"바우처통장 지출 — 목적 확인",IF($H1369="","적요를 적으십시오",""))))))))))))</f>
        <v/>
      </c>
      <c r="M1369" s="39"/>
      <c r="O1369" s="11" t="str">
        <f aca="false">IF($B1369="","",YEAR($B1369)*100+MONTH($B1369))</f>
        <v/>
      </c>
      <c r="P1369" s="11" t="str">
        <f aca="false">IF($B1369="","",IF($E1369="대체",0,1))</f>
        <v/>
      </c>
    </row>
    <row r="1370" customFormat="false" ht="15" hidden="false" customHeight="false" outlineLevel="0" collapsed="false">
      <c r="A1370" s="36" t="str">
        <f aca="false">IF($B1370="","",COUNT($B$15:$B1370))</f>
        <v/>
      </c>
      <c r="B1370" s="37"/>
      <c r="C1370" s="38"/>
      <c r="D1370" s="39"/>
      <c r="E1370" s="36" t="str">
        <f aca="false">IF($D1370="","",IFERROR(INDEX('통합 ④ 설정'!$A$6:$A$40,MATCH($D1370,'통합 ④ 설정'!$B$6:$B$40,0)),"※없는 과목"))</f>
        <v/>
      </c>
      <c r="F1370" s="36" t="str">
        <f aca="false">IF($D1370="","",IFERROR(INDEX('통합 ④ 설정'!$C$6:$C$40,MATCH($D1370,'통합 ④ 설정'!$B$6:$B$40,0)),""))</f>
        <v/>
      </c>
      <c r="G1370" s="39"/>
      <c r="H1370" s="39"/>
      <c r="I1370" s="40"/>
      <c r="J1370" s="41"/>
      <c r="K1370" s="38"/>
      <c r="L1370" s="42" t="str">
        <f aca="false">IF($B1370="","",IF(AND(N($I1370)=0,N($J1370)=0),"금액이 없습니다",IF(AND($I1370&gt;0,$J1370&gt;0),"수입·지출 둘 다 적혔습니다",IF($C1370="","결제수단을 고르십시오",IF(ISNA(MATCH($C1370,'통합 ③ 통장·카드'!$A$5:$A$11,0)),"③ 통장·카드에 없는 결제수단입니다",IF($D1370="","계정과목을 고르십시오",IF($E1370="※없는 과목","④ 설정에 없는 과목입니다",IF(AND($E1370="수입",$J1370&gt;0),"수입 과목인데 지출에 적혔습니다",IF(AND(LEFT($E1370,2)&lt;&gt;"수입",$E1370&lt;&gt;"대체",$I1370&gt;0),"지출 과목인데 수입에 적혔습니다",IF($K1370="","증빙을 고르십시오",IF(AND($C1370="바우처통장",$J1370&gt;0,IFERROR(INDEX('통합 ④ 설정'!$E$6:$E$40,MATCH($D1370,'통합 ④ 설정'!$B$6:$B$40,0)),"")&lt;&gt;"○"),"바우처통장 지출 — 목적 확인",IF($H1370="","적요를 적으십시오",""))))))))))))</f>
        <v/>
      </c>
      <c r="M1370" s="39"/>
      <c r="O1370" s="11" t="str">
        <f aca="false">IF($B1370="","",YEAR($B1370)*100+MONTH($B1370))</f>
        <v/>
      </c>
      <c r="P1370" s="11" t="str">
        <f aca="false">IF($B1370="","",IF($E1370="대체",0,1))</f>
        <v/>
      </c>
    </row>
    <row r="1371" customFormat="false" ht="15" hidden="false" customHeight="false" outlineLevel="0" collapsed="false">
      <c r="A1371" s="36" t="str">
        <f aca="false">IF($B1371="","",COUNT($B$15:$B1371))</f>
        <v/>
      </c>
      <c r="B1371" s="37"/>
      <c r="C1371" s="38"/>
      <c r="D1371" s="39"/>
      <c r="E1371" s="36" t="str">
        <f aca="false">IF($D1371="","",IFERROR(INDEX('통합 ④ 설정'!$A$6:$A$40,MATCH($D1371,'통합 ④ 설정'!$B$6:$B$40,0)),"※없는 과목"))</f>
        <v/>
      </c>
      <c r="F1371" s="36" t="str">
        <f aca="false">IF($D1371="","",IFERROR(INDEX('통합 ④ 설정'!$C$6:$C$40,MATCH($D1371,'통합 ④ 설정'!$B$6:$B$40,0)),""))</f>
        <v/>
      </c>
      <c r="G1371" s="39"/>
      <c r="H1371" s="39"/>
      <c r="I1371" s="40"/>
      <c r="J1371" s="41"/>
      <c r="K1371" s="38"/>
      <c r="L1371" s="42" t="str">
        <f aca="false">IF($B1371="","",IF(AND(N($I1371)=0,N($J1371)=0),"금액이 없습니다",IF(AND($I1371&gt;0,$J1371&gt;0),"수입·지출 둘 다 적혔습니다",IF($C1371="","결제수단을 고르십시오",IF(ISNA(MATCH($C1371,'통합 ③ 통장·카드'!$A$5:$A$11,0)),"③ 통장·카드에 없는 결제수단입니다",IF($D1371="","계정과목을 고르십시오",IF($E1371="※없는 과목","④ 설정에 없는 과목입니다",IF(AND($E1371="수입",$J1371&gt;0),"수입 과목인데 지출에 적혔습니다",IF(AND(LEFT($E1371,2)&lt;&gt;"수입",$E1371&lt;&gt;"대체",$I1371&gt;0),"지출 과목인데 수입에 적혔습니다",IF($K1371="","증빙을 고르십시오",IF(AND($C1371="바우처통장",$J1371&gt;0,IFERROR(INDEX('통합 ④ 설정'!$E$6:$E$40,MATCH($D1371,'통합 ④ 설정'!$B$6:$B$40,0)),"")&lt;&gt;"○"),"바우처통장 지출 — 목적 확인",IF($H1371="","적요를 적으십시오",""))))))))))))</f>
        <v/>
      </c>
      <c r="M1371" s="39"/>
      <c r="O1371" s="11" t="str">
        <f aca="false">IF($B1371="","",YEAR($B1371)*100+MONTH($B1371))</f>
        <v/>
      </c>
      <c r="P1371" s="11" t="str">
        <f aca="false">IF($B1371="","",IF($E1371="대체",0,1))</f>
        <v/>
      </c>
    </row>
    <row r="1372" customFormat="false" ht="15" hidden="false" customHeight="false" outlineLevel="0" collapsed="false">
      <c r="A1372" s="36" t="str">
        <f aca="false">IF($B1372="","",COUNT($B$15:$B1372))</f>
        <v/>
      </c>
      <c r="B1372" s="37"/>
      <c r="C1372" s="38"/>
      <c r="D1372" s="39"/>
      <c r="E1372" s="36" t="str">
        <f aca="false">IF($D1372="","",IFERROR(INDEX('통합 ④ 설정'!$A$6:$A$40,MATCH($D1372,'통합 ④ 설정'!$B$6:$B$40,0)),"※없는 과목"))</f>
        <v/>
      </c>
      <c r="F1372" s="36" t="str">
        <f aca="false">IF($D1372="","",IFERROR(INDEX('통합 ④ 설정'!$C$6:$C$40,MATCH($D1372,'통합 ④ 설정'!$B$6:$B$40,0)),""))</f>
        <v/>
      </c>
      <c r="G1372" s="39"/>
      <c r="H1372" s="39"/>
      <c r="I1372" s="40"/>
      <c r="J1372" s="41"/>
      <c r="K1372" s="38"/>
      <c r="L1372" s="42" t="str">
        <f aca="false">IF($B1372="","",IF(AND(N($I1372)=0,N($J1372)=0),"금액이 없습니다",IF(AND($I1372&gt;0,$J1372&gt;0),"수입·지출 둘 다 적혔습니다",IF($C1372="","결제수단을 고르십시오",IF(ISNA(MATCH($C1372,'통합 ③ 통장·카드'!$A$5:$A$11,0)),"③ 통장·카드에 없는 결제수단입니다",IF($D1372="","계정과목을 고르십시오",IF($E1372="※없는 과목","④ 설정에 없는 과목입니다",IF(AND($E1372="수입",$J1372&gt;0),"수입 과목인데 지출에 적혔습니다",IF(AND(LEFT($E1372,2)&lt;&gt;"수입",$E1372&lt;&gt;"대체",$I1372&gt;0),"지출 과목인데 수입에 적혔습니다",IF($K1372="","증빙을 고르십시오",IF(AND($C1372="바우처통장",$J1372&gt;0,IFERROR(INDEX('통합 ④ 설정'!$E$6:$E$40,MATCH($D1372,'통합 ④ 설정'!$B$6:$B$40,0)),"")&lt;&gt;"○"),"바우처통장 지출 — 목적 확인",IF($H1372="","적요를 적으십시오",""))))))))))))</f>
        <v/>
      </c>
      <c r="M1372" s="39"/>
      <c r="O1372" s="11" t="str">
        <f aca="false">IF($B1372="","",YEAR($B1372)*100+MONTH($B1372))</f>
        <v/>
      </c>
      <c r="P1372" s="11" t="str">
        <f aca="false">IF($B1372="","",IF($E1372="대체",0,1))</f>
        <v/>
      </c>
    </row>
    <row r="1373" customFormat="false" ht="15" hidden="false" customHeight="false" outlineLevel="0" collapsed="false">
      <c r="A1373" s="36" t="str">
        <f aca="false">IF($B1373="","",COUNT($B$15:$B1373))</f>
        <v/>
      </c>
      <c r="B1373" s="37"/>
      <c r="C1373" s="38"/>
      <c r="D1373" s="39"/>
      <c r="E1373" s="36" t="str">
        <f aca="false">IF($D1373="","",IFERROR(INDEX('통합 ④ 설정'!$A$6:$A$40,MATCH($D1373,'통합 ④ 설정'!$B$6:$B$40,0)),"※없는 과목"))</f>
        <v/>
      </c>
      <c r="F1373" s="36" t="str">
        <f aca="false">IF($D1373="","",IFERROR(INDEX('통합 ④ 설정'!$C$6:$C$40,MATCH($D1373,'통합 ④ 설정'!$B$6:$B$40,0)),""))</f>
        <v/>
      </c>
      <c r="G1373" s="39"/>
      <c r="H1373" s="39"/>
      <c r="I1373" s="40"/>
      <c r="J1373" s="41"/>
      <c r="K1373" s="38"/>
      <c r="L1373" s="42" t="str">
        <f aca="false">IF($B1373="","",IF(AND(N($I1373)=0,N($J1373)=0),"금액이 없습니다",IF(AND($I1373&gt;0,$J1373&gt;0),"수입·지출 둘 다 적혔습니다",IF($C1373="","결제수단을 고르십시오",IF(ISNA(MATCH($C1373,'통합 ③ 통장·카드'!$A$5:$A$11,0)),"③ 통장·카드에 없는 결제수단입니다",IF($D1373="","계정과목을 고르십시오",IF($E1373="※없는 과목","④ 설정에 없는 과목입니다",IF(AND($E1373="수입",$J1373&gt;0),"수입 과목인데 지출에 적혔습니다",IF(AND(LEFT($E1373,2)&lt;&gt;"수입",$E1373&lt;&gt;"대체",$I1373&gt;0),"지출 과목인데 수입에 적혔습니다",IF($K1373="","증빙을 고르십시오",IF(AND($C1373="바우처통장",$J1373&gt;0,IFERROR(INDEX('통합 ④ 설정'!$E$6:$E$40,MATCH($D1373,'통합 ④ 설정'!$B$6:$B$40,0)),"")&lt;&gt;"○"),"바우처통장 지출 — 목적 확인",IF($H1373="","적요를 적으십시오",""))))))))))))</f>
        <v/>
      </c>
      <c r="M1373" s="39"/>
      <c r="O1373" s="11" t="str">
        <f aca="false">IF($B1373="","",YEAR($B1373)*100+MONTH($B1373))</f>
        <v/>
      </c>
      <c r="P1373" s="11" t="str">
        <f aca="false">IF($B1373="","",IF($E1373="대체",0,1))</f>
        <v/>
      </c>
    </row>
    <row r="1374" customFormat="false" ht="15" hidden="false" customHeight="false" outlineLevel="0" collapsed="false">
      <c r="A1374" s="36" t="str">
        <f aca="false">IF($B1374="","",COUNT($B$15:$B1374))</f>
        <v/>
      </c>
      <c r="B1374" s="37"/>
      <c r="C1374" s="38"/>
      <c r="D1374" s="39"/>
      <c r="E1374" s="36" t="str">
        <f aca="false">IF($D1374="","",IFERROR(INDEX('통합 ④ 설정'!$A$6:$A$40,MATCH($D1374,'통합 ④ 설정'!$B$6:$B$40,0)),"※없는 과목"))</f>
        <v/>
      </c>
      <c r="F1374" s="36" t="str">
        <f aca="false">IF($D1374="","",IFERROR(INDEX('통합 ④ 설정'!$C$6:$C$40,MATCH($D1374,'통합 ④ 설정'!$B$6:$B$40,0)),""))</f>
        <v/>
      </c>
      <c r="G1374" s="39"/>
      <c r="H1374" s="39"/>
      <c r="I1374" s="40"/>
      <c r="J1374" s="41"/>
      <c r="K1374" s="38"/>
      <c r="L1374" s="42" t="str">
        <f aca="false">IF($B1374="","",IF(AND(N($I1374)=0,N($J1374)=0),"금액이 없습니다",IF(AND($I1374&gt;0,$J1374&gt;0),"수입·지출 둘 다 적혔습니다",IF($C1374="","결제수단을 고르십시오",IF(ISNA(MATCH($C1374,'통합 ③ 통장·카드'!$A$5:$A$11,0)),"③ 통장·카드에 없는 결제수단입니다",IF($D1374="","계정과목을 고르십시오",IF($E1374="※없는 과목","④ 설정에 없는 과목입니다",IF(AND($E1374="수입",$J1374&gt;0),"수입 과목인데 지출에 적혔습니다",IF(AND(LEFT($E1374,2)&lt;&gt;"수입",$E1374&lt;&gt;"대체",$I1374&gt;0),"지출 과목인데 수입에 적혔습니다",IF($K1374="","증빙을 고르십시오",IF(AND($C1374="바우처통장",$J1374&gt;0,IFERROR(INDEX('통합 ④ 설정'!$E$6:$E$40,MATCH($D1374,'통합 ④ 설정'!$B$6:$B$40,0)),"")&lt;&gt;"○"),"바우처통장 지출 — 목적 확인",IF($H1374="","적요를 적으십시오",""))))))))))))</f>
        <v/>
      </c>
      <c r="M1374" s="39"/>
      <c r="O1374" s="11" t="str">
        <f aca="false">IF($B1374="","",YEAR($B1374)*100+MONTH($B1374))</f>
        <v/>
      </c>
      <c r="P1374" s="11" t="str">
        <f aca="false">IF($B1374="","",IF($E1374="대체",0,1))</f>
        <v/>
      </c>
    </row>
    <row r="1375" customFormat="false" ht="15" hidden="false" customHeight="false" outlineLevel="0" collapsed="false">
      <c r="A1375" s="36" t="str">
        <f aca="false">IF($B1375="","",COUNT($B$15:$B1375))</f>
        <v/>
      </c>
      <c r="B1375" s="37"/>
      <c r="C1375" s="38"/>
      <c r="D1375" s="39"/>
      <c r="E1375" s="36" t="str">
        <f aca="false">IF($D1375="","",IFERROR(INDEX('통합 ④ 설정'!$A$6:$A$40,MATCH($D1375,'통합 ④ 설정'!$B$6:$B$40,0)),"※없는 과목"))</f>
        <v/>
      </c>
      <c r="F1375" s="36" t="str">
        <f aca="false">IF($D1375="","",IFERROR(INDEX('통합 ④ 설정'!$C$6:$C$40,MATCH($D1375,'통합 ④ 설정'!$B$6:$B$40,0)),""))</f>
        <v/>
      </c>
      <c r="G1375" s="39"/>
      <c r="H1375" s="39"/>
      <c r="I1375" s="40"/>
      <c r="J1375" s="41"/>
      <c r="K1375" s="38"/>
      <c r="L1375" s="42" t="str">
        <f aca="false">IF($B1375="","",IF(AND(N($I1375)=0,N($J1375)=0),"금액이 없습니다",IF(AND($I1375&gt;0,$J1375&gt;0),"수입·지출 둘 다 적혔습니다",IF($C1375="","결제수단을 고르십시오",IF(ISNA(MATCH($C1375,'통합 ③ 통장·카드'!$A$5:$A$11,0)),"③ 통장·카드에 없는 결제수단입니다",IF($D1375="","계정과목을 고르십시오",IF($E1375="※없는 과목","④ 설정에 없는 과목입니다",IF(AND($E1375="수입",$J1375&gt;0),"수입 과목인데 지출에 적혔습니다",IF(AND(LEFT($E1375,2)&lt;&gt;"수입",$E1375&lt;&gt;"대체",$I1375&gt;0),"지출 과목인데 수입에 적혔습니다",IF($K1375="","증빙을 고르십시오",IF(AND($C1375="바우처통장",$J1375&gt;0,IFERROR(INDEX('통합 ④ 설정'!$E$6:$E$40,MATCH($D1375,'통합 ④ 설정'!$B$6:$B$40,0)),"")&lt;&gt;"○"),"바우처통장 지출 — 목적 확인",IF($H1375="","적요를 적으십시오",""))))))))))))</f>
        <v/>
      </c>
      <c r="M1375" s="39"/>
      <c r="O1375" s="11" t="str">
        <f aca="false">IF($B1375="","",YEAR($B1375)*100+MONTH($B1375))</f>
        <v/>
      </c>
      <c r="P1375" s="11" t="str">
        <f aca="false">IF($B1375="","",IF($E1375="대체",0,1))</f>
        <v/>
      </c>
    </row>
    <row r="1376" customFormat="false" ht="15" hidden="false" customHeight="false" outlineLevel="0" collapsed="false">
      <c r="A1376" s="36" t="str">
        <f aca="false">IF($B1376="","",COUNT($B$15:$B1376))</f>
        <v/>
      </c>
      <c r="B1376" s="37"/>
      <c r="C1376" s="38"/>
      <c r="D1376" s="39"/>
      <c r="E1376" s="36" t="str">
        <f aca="false">IF($D1376="","",IFERROR(INDEX('통합 ④ 설정'!$A$6:$A$40,MATCH($D1376,'통합 ④ 설정'!$B$6:$B$40,0)),"※없는 과목"))</f>
        <v/>
      </c>
      <c r="F1376" s="36" t="str">
        <f aca="false">IF($D1376="","",IFERROR(INDEX('통합 ④ 설정'!$C$6:$C$40,MATCH($D1376,'통합 ④ 설정'!$B$6:$B$40,0)),""))</f>
        <v/>
      </c>
      <c r="G1376" s="39"/>
      <c r="H1376" s="39"/>
      <c r="I1376" s="40"/>
      <c r="J1376" s="41"/>
      <c r="K1376" s="38"/>
      <c r="L1376" s="42" t="str">
        <f aca="false">IF($B1376="","",IF(AND(N($I1376)=0,N($J1376)=0),"금액이 없습니다",IF(AND($I1376&gt;0,$J1376&gt;0),"수입·지출 둘 다 적혔습니다",IF($C1376="","결제수단을 고르십시오",IF(ISNA(MATCH($C1376,'통합 ③ 통장·카드'!$A$5:$A$11,0)),"③ 통장·카드에 없는 결제수단입니다",IF($D1376="","계정과목을 고르십시오",IF($E1376="※없는 과목","④ 설정에 없는 과목입니다",IF(AND($E1376="수입",$J1376&gt;0),"수입 과목인데 지출에 적혔습니다",IF(AND(LEFT($E1376,2)&lt;&gt;"수입",$E1376&lt;&gt;"대체",$I1376&gt;0),"지출 과목인데 수입에 적혔습니다",IF($K1376="","증빙을 고르십시오",IF(AND($C1376="바우처통장",$J1376&gt;0,IFERROR(INDEX('통합 ④ 설정'!$E$6:$E$40,MATCH($D1376,'통합 ④ 설정'!$B$6:$B$40,0)),"")&lt;&gt;"○"),"바우처통장 지출 — 목적 확인",IF($H1376="","적요를 적으십시오",""))))))))))))</f>
        <v/>
      </c>
      <c r="M1376" s="39"/>
      <c r="O1376" s="11" t="str">
        <f aca="false">IF($B1376="","",YEAR($B1376)*100+MONTH($B1376))</f>
        <v/>
      </c>
      <c r="P1376" s="11" t="str">
        <f aca="false">IF($B1376="","",IF($E1376="대체",0,1))</f>
        <v/>
      </c>
    </row>
    <row r="1377" customFormat="false" ht="15" hidden="false" customHeight="false" outlineLevel="0" collapsed="false">
      <c r="A1377" s="36" t="str">
        <f aca="false">IF($B1377="","",COUNT($B$15:$B1377))</f>
        <v/>
      </c>
      <c r="B1377" s="37"/>
      <c r="C1377" s="38"/>
      <c r="D1377" s="39"/>
      <c r="E1377" s="36" t="str">
        <f aca="false">IF($D1377="","",IFERROR(INDEX('통합 ④ 설정'!$A$6:$A$40,MATCH($D1377,'통합 ④ 설정'!$B$6:$B$40,0)),"※없는 과목"))</f>
        <v/>
      </c>
      <c r="F1377" s="36" t="str">
        <f aca="false">IF($D1377="","",IFERROR(INDEX('통합 ④ 설정'!$C$6:$C$40,MATCH($D1377,'통합 ④ 설정'!$B$6:$B$40,0)),""))</f>
        <v/>
      </c>
      <c r="G1377" s="39"/>
      <c r="H1377" s="39"/>
      <c r="I1377" s="40"/>
      <c r="J1377" s="41"/>
      <c r="K1377" s="38"/>
      <c r="L1377" s="42" t="str">
        <f aca="false">IF($B1377="","",IF(AND(N($I1377)=0,N($J1377)=0),"금액이 없습니다",IF(AND($I1377&gt;0,$J1377&gt;0),"수입·지출 둘 다 적혔습니다",IF($C1377="","결제수단을 고르십시오",IF(ISNA(MATCH($C1377,'통합 ③ 통장·카드'!$A$5:$A$11,0)),"③ 통장·카드에 없는 결제수단입니다",IF($D1377="","계정과목을 고르십시오",IF($E1377="※없는 과목","④ 설정에 없는 과목입니다",IF(AND($E1377="수입",$J1377&gt;0),"수입 과목인데 지출에 적혔습니다",IF(AND(LEFT($E1377,2)&lt;&gt;"수입",$E1377&lt;&gt;"대체",$I1377&gt;0),"지출 과목인데 수입에 적혔습니다",IF($K1377="","증빙을 고르십시오",IF(AND($C1377="바우처통장",$J1377&gt;0,IFERROR(INDEX('통합 ④ 설정'!$E$6:$E$40,MATCH($D1377,'통합 ④ 설정'!$B$6:$B$40,0)),"")&lt;&gt;"○"),"바우처통장 지출 — 목적 확인",IF($H1377="","적요를 적으십시오",""))))))))))))</f>
        <v/>
      </c>
      <c r="M1377" s="39"/>
      <c r="O1377" s="11" t="str">
        <f aca="false">IF($B1377="","",YEAR($B1377)*100+MONTH($B1377))</f>
        <v/>
      </c>
      <c r="P1377" s="11" t="str">
        <f aca="false">IF($B1377="","",IF($E1377="대체",0,1))</f>
        <v/>
      </c>
    </row>
    <row r="1378" customFormat="false" ht="15" hidden="false" customHeight="false" outlineLevel="0" collapsed="false">
      <c r="A1378" s="36" t="str">
        <f aca="false">IF($B1378="","",COUNT($B$15:$B1378))</f>
        <v/>
      </c>
      <c r="B1378" s="37"/>
      <c r="C1378" s="38"/>
      <c r="D1378" s="39"/>
      <c r="E1378" s="36" t="str">
        <f aca="false">IF($D1378="","",IFERROR(INDEX('통합 ④ 설정'!$A$6:$A$40,MATCH($D1378,'통합 ④ 설정'!$B$6:$B$40,0)),"※없는 과목"))</f>
        <v/>
      </c>
      <c r="F1378" s="36" t="str">
        <f aca="false">IF($D1378="","",IFERROR(INDEX('통합 ④ 설정'!$C$6:$C$40,MATCH($D1378,'통합 ④ 설정'!$B$6:$B$40,0)),""))</f>
        <v/>
      </c>
      <c r="G1378" s="39"/>
      <c r="H1378" s="39"/>
      <c r="I1378" s="40"/>
      <c r="J1378" s="41"/>
      <c r="K1378" s="38"/>
      <c r="L1378" s="42" t="str">
        <f aca="false">IF($B1378="","",IF(AND(N($I1378)=0,N($J1378)=0),"금액이 없습니다",IF(AND($I1378&gt;0,$J1378&gt;0),"수입·지출 둘 다 적혔습니다",IF($C1378="","결제수단을 고르십시오",IF(ISNA(MATCH($C1378,'통합 ③ 통장·카드'!$A$5:$A$11,0)),"③ 통장·카드에 없는 결제수단입니다",IF($D1378="","계정과목을 고르십시오",IF($E1378="※없는 과목","④ 설정에 없는 과목입니다",IF(AND($E1378="수입",$J1378&gt;0),"수입 과목인데 지출에 적혔습니다",IF(AND(LEFT($E1378,2)&lt;&gt;"수입",$E1378&lt;&gt;"대체",$I1378&gt;0),"지출 과목인데 수입에 적혔습니다",IF($K1378="","증빙을 고르십시오",IF(AND($C1378="바우처통장",$J1378&gt;0,IFERROR(INDEX('통합 ④ 설정'!$E$6:$E$40,MATCH($D1378,'통합 ④ 설정'!$B$6:$B$40,0)),"")&lt;&gt;"○"),"바우처통장 지출 — 목적 확인",IF($H1378="","적요를 적으십시오",""))))))))))))</f>
        <v/>
      </c>
      <c r="M1378" s="39"/>
      <c r="O1378" s="11" t="str">
        <f aca="false">IF($B1378="","",YEAR($B1378)*100+MONTH($B1378))</f>
        <v/>
      </c>
      <c r="P1378" s="11" t="str">
        <f aca="false">IF($B1378="","",IF($E1378="대체",0,1))</f>
        <v/>
      </c>
    </row>
    <row r="1379" customFormat="false" ht="15" hidden="false" customHeight="false" outlineLevel="0" collapsed="false">
      <c r="A1379" s="36" t="str">
        <f aca="false">IF($B1379="","",COUNT($B$15:$B1379))</f>
        <v/>
      </c>
      <c r="B1379" s="37"/>
      <c r="C1379" s="38"/>
      <c r="D1379" s="39"/>
      <c r="E1379" s="36" t="str">
        <f aca="false">IF($D1379="","",IFERROR(INDEX('통합 ④ 설정'!$A$6:$A$40,MATCH($D1379,'통합 ④ 설정'!$B$6:$B$40,0)),"※없는 과목"))</f>
        <v/>
      </c>
      <c r="F1379" s="36" t="str">
        <f aca="false">IF($D1379="","",IFERROR(INDEX('통합 ④ 설정'!$C$6:$C$40,MATCH($D1379,'통합 ④ 설정'!$B$6:$B$40,0)),""))</f>
        <v/>
      </c>
      <c r="G1379" s="39"/>
      <c r="H1379" s="39"/>
      <c r="I1379" s="40"/>
      <c r="J1379" s="41"/>
      <c r="K1379" s="38"/>
      <c r="L1379" s="42" t="str">
        <f aca="false">IF($B1379="","",IF(AND(N($I1379)=0,N($J1379)=0),"금액이 없습니다",IF(AND($I1379&gt;0,$J1379&gt;0),"수입·지출 둘 다 적혔습니다",IF($C1379="","결제수단을 고르십시오",IF(ISNA(MATCH($C1379,'통합 ③ 통장·카드'!$A$5:$A$11,0)),"③ 통장·카드에 없는 결제수단입니다",IF($D1379="","계정과목을 고르십시오",IF($E1379="※없는 과목","④ 설정에 없는 과목입니다",IF(AND($E1379="수입",$J1379&gt;0),"수입 과목인데 지출에 적혔습니다",IF(AND(LEFT($E1379,2)&lt;&gt;"수입",$E1379&lt;&gt;"대체",$I1379&gt;0),"지출 과목인데 수입에 적혔습니다",IF($K1379="","증빙을 고르십시오",IF(AND($C1379="바우처통장",$J1379&gt;0,IFERROR(INDEX('통합 ④ 설정'!$E$6:$E$40,MATCH($D1379,'통합 ④ 설정'!$B$6:$B$40,0)),"")&lt;&gt;"○"),"바우처통장 지출 — 목적 확인",IF($H1379="","적요를 적으십시오",""))))))))))))</f>
        <v/>
      </c>
      <c r="M1379" s="39"/>
      <c r="O1379" s="11" t="str">
        <f aca="false">IF($B1379="","",YEAR($B1379)*100+MONTH($B1379))</f>
        <v/>
      </c>
      <c r="P1379" s="11" t="str">
        <f aca="false">IF($B1379="","",IF($E1379="대체",0,1))</f>
        <v/>
      </c>
    </row>
    <row r="1380" customFormat="false" ht="15" hidden="false" customHeight="false" outlineLevel="0" collapsed="false">
      <c r="A1380" s="36" t="str">
        <f aca="false">IF($B1380="","",COUNT($B$15:$B1380))</f>
        <v/>
      </c>
      <c r="B1380" s="37"/>
      <c r="C1380" s="38"/>
      <c r="D1380" s="39"/>
      <c r="E1380" s="36" t="str">
        <f aca="false">IF($D1380="","",IFERROR(INDEX('통합 ④ 설정'!$A$6:$A$40,MATCH($D1380,'통합 ④ 설정'!$B$6:$B$40,0)),"※없는 과목"))</f>
        <v/>
      </c>
      <c r="F1380" s="36" t="str">
        <f aca="false">IF($D1380="","",IFERROR(INDEX('통합 ④ 설정'!$C$6:$C$40,MATCH($D1380,'통합 ④ 설정'!$B$6:$B$40,0)),""))</f>
        <v/>
      </c>
      <c r="G1380" s="39"/>
      <c r="H1380" s="39"/>
      <c r="I1380" s="40"/>
      <c r="J1380" s="41"/>
      <c r="K1380" s="38"/>
      <c r="L1380" s="42" t="str">
        <f aca="false">IF($B1380="","",IF(AND(N($I1380)=0,N($J1380)=0),"금액이 없습니다",IF(AND($I1380&gt;0,$J1380&gt;0),"수입·지출 둘 다 적혔습니다",IF($C1380="","결제수단을 고르십시오",IF(ISNA(MATCH($C1380,'통합 ③ 통장·카드'!$A$5:$A$11,0)),"③ 통장·카드에 없는 결제수단입니다",IF($D1380="","계정과목을 고르십시오",IF($E1380="※없는 과목","④ 설정에 없는 과목입니다",IF(AND($E1380="수입",$J1380&gt;0),"수입 과목인데 지출에 적혔습니다",IF(AND(LEFT($E1380,2)&lt;&gt;"수입",$E1380&lt;&gt;"대체",$I1380&gt;0),"지출 과목인데 수입에 적혔습니다",IF($K1380="","증빙을 고르십시오",IF(AND($C1380="바우처통장",$J1380&gt;0,IFERROR(INDEX('통합 ④ 설정'!$E$6:$E$40,MATCH($D1380,'통합 ④ 설정'!$B$6:$B$40,0)),"")&lt;&gt;"○"),"바우처통장 지출 — 목적 확인",IF($H1380="","적요를 적으십시오",""))))))))))))</f>
        <v/>
      </c>
      <c r="M1380" s="39"/>
      <c r="O1380" s="11" t="str">
        <f aca="false">IF($B1380="","",YEAR($B1380)*100+MONTH($B1380))</f>
        <v/>
      </c>
      <c r="P1380" s="11" t="str">
        <f aca="false">IF($B1380="","",IF($E1380="대체",0,1))</f>
        <v/>
      </c>
    </row>
    <row r="1381" customFormat="false" ht="15" hidden="false" customHeight="false" outlineLevel="0" collapsed="false">
      <c r="A1381" s="36" t="str">
        <f aca="false">IF($B1381="","",COUNT($B$15:$B1381))</f>
        <v/>
      </c>
      <c r="B1381" s="37"/>
      <c r="C1381" s="38"/>
      <c r="D1381" s="39"/>
      <c r="E1381" s="36" t="str">
        <f aca="false">IF($D1381="","",IFERROR(INDEX('통합 ④ 설정'!$A$6:$A$40,MATCH($D1381,'통합 ④ 설정'!$B$6:$B$40,0)),"※없는 과목"))</f>
        <v/>
      </c>
      <c r="F1381" s="36" t="str">
        <f aca="false">IF($D1381="","",IFERROR(INDEX('통합 ④ 설정'!$C$6:$C$40,MATCH($D1381,'통합 ④ 설정'!$B$6:$B$40,0)),""))</f>
        <v/>
      </c>
      <c r="G1381" s="39"/>
      <c r="H1381" s="39"/>
      <c r="I1381" s="40"/>
      <c r="J1381" s="41"/>
      <c r="K1381" s="38"/>
      <c r="L1381" s="42" t="str">
        <f aca="false">IF($B1381="","",IF(AND(N($I1381)=0,N($J1381)=0),"금액이 없습니다",IF(AND($I1381&gt;0,$J1381&gt;0),"수입·지출 둘 다 적혔습니다",IF($C1381="","결제수단을 고르십시오",IF(ISNA(MATCH($C1381,'통합 ③ 통장·카드'!$A$5:$A$11,0)),"③ 통장·카드에 없는 결제수단입니다",IF($D1381="","계정과목을 고르십시오",IF($E1381="※없는 과목","④ 설정에 없는 과목입니다",IF(AND($E1381="수입",$J1381&gt;0),"수입 과목인데 지출에 적혔습니다",IF(AND(LEFT($E1381,2)&lt;&gt;"수입",$E1381&lt;&gt;"대체",$I1381&gt;0),"지출 과목인데 수입에 적혔습니다",IF($K1381="","증빙을 고르십시오",IF(AND($C1381="바우처통장",$J1381&gt;0,IFERROR(INDEX('통합 ④ 설정'!$E$6:$E$40,MATCH($D1381,'통합 ④ 설정'!$B$6:$B$40,0)),"")&lt;&gt;"○"),"바우처통장 지출 — 목적 확인",IF($H1381="","적요를 적으십시오",""))))))))))))</f>
        <v/>
      </c>
      <c r="M1381" s="39"/>
      <c r="O1381" s="11" t="str">
        <f aca="false">IF($B1381="","",YEAR($B1381)*100+MONTH($B1381))</f>
        <v/>
      </c>
      <c r="P1381" s="11" t="str">
        <f aca="false">IF($B1381="","",IF($E1381="대체",0,1))</f>
        <v/>
      </c>
    </row>
    <row r="1382" customFormat="false" ht="15" hidden="false" customHeight="false" outlineLevel="0" collapsed="false">
      <c r="A1382" s="36" t="str">
        <f aca="false">IF($B1382="","",COUNT($B$15:$B1382))</f>
        <v/>
      </c>
      <c r="B1382" s="37"/>
      <c r="C1382" s="38"/>
      <c r="D1382" s="39"/>
      <c r="E1382" s="36" t="str">
        <f aca="false">IF($D1382="","",IFERROR(INDEX('통합 ④ 설정'!$A$6:$A$40,MATCH($D1382,'통합 ④ 설정'!$B$6:$B$40,0)),"※없는 과목"))</f>
        <v/>
      </c>
      <c r="F1382" s="36" t="str">
        <f aca="false">IF($D1382="","",IFERROR(INDEX('통합 ④ 설정'!$C$6:$C$40,MATCH($D1382,'통합 ④ 설정'!$B$6:$B$40,0)),""))</f>
        <v/>
      </c>
      <c r="G1382" s="39"/>
      <c r="H1382" s="39"/>
      <c r="I1382" s="40"/>
      <c r="J1382" s="41"/>
      <c r="K1382" s="38"/>
      <c r="L1382" s="42" t="str">
        <f aca="false">IF($B1382="","",IF(AND(N($I1382)=0,N($J1382)=0),"금액이 없습니다",IF(AND($I1382&gt;0,$J1382&gt;0),"수입·지출 둘 다 적혔습니다",IF($C1382="","결제수단을 고르십시오",IF(ISNA(MATCH($C1382,'통합 ③ 통장·카드'!$A$5:$A$11,0)),"③ 통장·카드에 없는 결제수단입니다",IF($D1382="","계정과목을 고르십시오",IF($E1382="※없는 과목","④ 설정에 없는 과목입니다",IF(AND($E1382="수입",$J1382&gt;0),"수입 과목인데 지출에 적혔습니다",IF(AND(LEFT($E1382,2)&lt;&gt;"수입",$E1382&lt;&gt;"대체",$I1382&gt;0),"지출 과목인데 수입에 적혔습니다",IF($K1382="","증빙을 고르십시오",IF(AND($C1382="바우처통장",$J1382&gt;0,IFERROR(INDEX('통합 ④ 설정'!$E$6:$E$40,MATCH($D1382,'통합 ④ 설정'!$B$6:$B$40,0)),"")&lt;&gt;"○"),"바우처통장 지출 — 목적 확인",IF($H1382="","적요를 적으십시오",""))))))))))))</f>
        <v/>
      </c>
      <c r="M1382" s="39"/>
      <c r="O1382" s="11" t="str">
        <f aca="false">IF($B1382="","",YEAR($B1382)*100+MONTH($B1382))</f>
        <v/>
      </c>
      <c r="P1382" s="11" t="str">
        <f aca="false">IF($B1382="","",IF($E1382="대체",0,1))</f>
        <v/>
      </c>
    </row>
    <row r="1383" customFormat="false" ht="15" hidden="false" customHeight="false" outlineLevel="0" collapsed="false">
      <c r="A1383" s="36" t="str">
        <f aca="false">IF($B1383="","",COUNT($B$15:$B1383))</f>
        <v/>
      </c>
      <c r="B1383" s="37"/>
      <c r="C1383" s="38"/>
      <c r="D1383" s="39"/>
      <c r="E1383" s="36" t="str">
        <f aca="false">IF($D1383="","",IFERROR(INDEX('통합 ④ 설정'!$A$6:$A$40,MATCH($D1383,'통합 ④ 설정'!$B$6:$B$40,0)),"※없는 과목"))</f>
        <v/>
      </c>
      <c r="F1383" s="36" t="str">
        <f aca="false">IF($D1383="","",IFERROR(INDEX('통합 ④ 설정'!$C$6:$C$40,MATCH($D1383,'통합 ④ 설정'!$B$6:$B$40,0)),""))</f>
        <v/>
      </c>
      <c r="G1383" s="39"/>
      <c r="H1383" s="39"/>
      <c r="I1383" s="40"/>
      <c r="J1383" s="41"/>
      <c r="K1383" s="38"/>
      <c r="L1383" s="42" t="str">
        <f aca="false">IF($B1383="","",IF(AND(N($I1383)=0,N($J1383)=0),"금액이 없습니다",IF(AND($I1383&gt;0,$J1383&gt;0),"수입·지출 둘 다 적혔습니다",IF($C1383="","결제수단을 고르십시오",IF(ISNA(MATCH($C1383,'통합 ③ 통장·카드'!$A$5:$A$11,0)),"③ 통장·카드에 없는 결제수단입니다",IF($D1383="","계정과목을 고르십시오",IF($E1383="※없는 과목","④ 설정에 없는 과목입니다",IF(AND($E1383="수입",$J1383&gt;0),"수입 과목인데 지출에 적혔습니다",IF(AND(LEFT($E1383,2)&lt;&gt;"수입",$E1383&lt;&gt;"대체",$I1383&gt;0),"지출 과목인데 수입에 적혔습니다",IF($K1383="","증빙을 고르십시오",IF(AND($C1383="바우처통장",$J1383&gt;0,IFERROR(INDEX('통합 ④ 설정'!$E$6:$E$40,MATCH($D1383,'통합 ④ 설정'!$B$6:$B$40,0)),"")&lt;&gt;"○"),"바우처통장 지출 — 목적 확인",IF($H1383="","적요를 적으십시오",""))))))))))))</f>
        <v/>
      </c>
      <c r="M1383" s="39"/>
      <c r="O1383" s="11" t="str">
        <f aca="false">IF($B1383="","",YEAR($B1383)*100+MONTH($B1383))</f>
        <v/>
      </c>
      <c r="P1383" s="11" t="str">
        <f aca="false">IF($B1383="","",IF($E1383="대체",0,1))</f>
        <v/>
      </c>
    </row>
    <row r="1384" customFormat="false" ht="15" hidden="false" customHeight="false" outlineLevel="0" collapsed="false">
      <c r="A1384" s="36" t="str">
        <f aca="false">IF($B1384="","",COUNT($B$15:$B1384))</f>
        <v/>
      </c>
      <c r="B1384" s="37"/>
      <c r="C1384" s="38"/>
      <c r="D1384" s="39"/>
      <c r="E1384" s="36" t="str">
        <f aca="false">IF($D1384="","",IFERROR(INDEX('통합 ④ 설정'!$A$6:$A$40,MATCH($D1384,'통합 ④ 설정'!$B$6:$B$40,0)),"※없는 과목"))</f>
        <v/>
      </c>
      <c r="F1384" s="36" t="str">
        <f aca="false">IF($D1384="","",IFERROR(INDEX('통합 ④ 설정'!$C$6:$C$40,MATCH($D1384,'통합 ④ 설정'!$B$6:$B$40,0)),""))</f>
        <v/>
      </c>
      <c r="G1384" s="39"/>
      <c r="H1384" s="39"/>
      <c r="I1384" s="40"/>
      <c r="J1384" s="41"/>
      <c r="K1384" s="38"/>
      <c r="L1384" s="42" t="str">
        <f aca="false">IF($B1384="","",IF(AND(N($I1384)=0,N($J1384)=0),"금액이 없습니다",IF(AND($I1384&gt;0,$J1384&gt;0),"수입·지출 둘 다 적혔습니다",IF($C1384="","결제수단을 고르십시오",IF(ISNA(MATCH($C1384,'통합 ③ 통장·카드'!$A$5:$A$11,0)),"③ 통장·카드에 없는 결제수단입니다",IF($D1384="","계정과목을 고르십시오",IF($E1384="※없는 과목","④ 설정에 없는 과목입니다",IF(AND($E1384="수입",$J1384&gt;0),"수입 과목인데 지출에 적혔습니다",IF(AND(LEFT($E1384,2)&lt;&gt;"수입",$E1384&lt;&gt;"대체",$I1384&gt;0),"지출 과목인데 수입에 적혔습니다",IF($K1384="","증빙을 고르십시오",IF(AND($C1384="바우처통장",$J1384&gt;0,IFERROR(INDEX('통합 ④ 설정'!$E$6:$E$40,MATCH($D1384,'통합 ④ 설정'!$B$6:$B$40,0)),"")&lt;&gt;"○"),"바우처통장 지출 — 목적 확인",IF($H1384="","적요를 적으십시오",""))))))))))))</f>
        <v/>
      </c>
      <c r="M1384" s="39"/>
      <c r="O1384" s="11" t="str">
        <f aca="false">IF($B1384="","",YEAR($B1384)*100+MONTH($B1384))</f>
        <v/>
      </c>
      <c r="P1384" s="11" t="str">
        <f aca="false">IF($B1384="","",IF($E1384="대체",0,1))</f>
        <v/>
      </c>
    </row>
    <row r="1385" customFormat="false" ht="15" hidden="false" customHeight="false" outlineLevel="0" collapsed="false">
      <c r="A1385" s="36" t="str">
        <f aca="false">IF($B1385="","",COUNT($B$15:$B1385))</f>
        <v/>
      </c>
      <c r="B1385" s="37"/>
      <c r="C1385" s="38"/>
      <c r="D1385" s="39"/>
      <c r="E1385" s="36" t="str">
        <f aca="false">IF($D1385="","",IFERROR(INDEX('통합 ④ 설정'!$A$6:$A$40,MATCH($D1385,'통합 ④ 설정'!$B$6:$B$40,0)),"※없는 과목"))</f>
        <v/>
      </c>
      <c r="F1385" s="36" t="str">
        <f aca="false">IF($D1385="","",IFERROR(INDEX('통합 ④ 설정'!$C$6:$C$40,MATCH($D1385,'통합 ④ 설정'!$B$6:$B$40,0)),""))</f>
        <v/>
      </c>
      <c r="G1385" s="39"/>
      <c r="H1385" s="39"/>
      <c r="I1385" s="40"/>
      <c r="J1385" s="41"/>
      <c r="K1385" s="38"/>
      <c r="L1385" s="42" t="str">
        <f aca="false">IF($B1385="","",IF(AND(N($I1385)=0,N($J1385)=0),"금액이 없습니다",IF(AND($I1385&gt;0,$J1385&gt;0),"수입·지출 둘 다 적혔습니다",IF($C1385="","결제수단을 고르십시오",IF(ISNA(MATCH($C1385,'통합 ③ 통장·카드'!$A$5:$A$11,0)),"③ 통장·카드에 없는 결제수단입니다",IF($D1385="","계정과목을 고르십시오",IF($E1385="※없는 과목","④ 설정에 없는 과목입니다",IF(AND($E1385="수입",$J1385&gt;0),"수입 과목인데 지출에 적혔습니다",IF(AND(LEFT($E1385,2)&lt;&gt;"수입",$E1385&lt;&gt;"대체",$I1385&gt;0),"지출 과목인데 수입에 적혔습니다",IF($K1385="","증빙을 고르십시오",IF(AND($C1385="바우처통장",$J1385&gt;0,IFERROR(INDEX('통합 ④ 설정'!$E$6:$E$40,MATCH($D1385,'통합 ④ 설정'!$B$6:$B$40,0)),"")&lt;&gt;"○"),"바우처통장 지출 — 목적 확인",IF($H1385="","적요를 적으십시오",""))))))))))))</f>
        <v/>
      </c>
      <c r="M1385" s="39"/>
      <c r="O1385" s="11" t="str">
        <f aca="false">IF($B1385="","",YEAR($B1385)*100+MONTH($B1385))</f>
        <v/>
      </c>
      <c r="P1385" s="11" t="str">
        <f aca="false">IF($B1385="","",IF($E1385="대체",0,1))</f>
        <v/>
      </c>
    </row>
    <row r="1386" customFormat="false" ht="15" hidden="false" customHeight="false" outlineLevel="0" collapsed="false">
      <c r="A1386" s="36" t="str">
        <f aca="false">IF($B1386="","",COUNT($B$15:$B1386))</f>
        <v/>
      </c>
      <c r="B1386" s="37"/>
      <c r="C1386" s="38"/>
      <c r="D1386" s="39"/>
      <c r="E1386" s="36" t="str">
        <f aca="false">IF($D1386="","",IFERROR(INDEX('통합 ④ 설정'!$A$6:$A$40,MATCH($D1386,'통합 ④ 설정'!$B$6:$B$40,0)),"※없는 과목"))</f>
        <v/>
      </c>
      <c r="F1386" s="36" t="str">
        <f aca="false">IF($D1386="","",IFERROR(INDEX('통합 ④ 설정'!$C$6:$C$40,MATCH($D1386,'통합 ④ 설정'!$B$6:$B$40,0)),""))</f>
        <v/>
      </c>
      <c r="G1386" s="39"/>
      <c r="H1386" s="39"/>
      <c r="I1386" s="40"/>
      <c r="J1386" s="41"/>
      <c r="K1386" s="38"/>
      <c r="L1386" s="42" t="str">
        <f aca="false">IF($B1386="","",IF(AND(N($I1386)=0,N($J1386)=0),"금액이 없습니다",IF(AND($I1386&gt;0,$J1386&gt;0),"수입·지출 둘 다 적혔습니다",IF($C1386="","결제수단을 고르십시오",IF(ISNA(MATCH($C1386,'통합 ③ 통장·카드'!$A$5:$A$11,0)),"③ 통장·카드에 없는 결제수단입니다",IF($D1386="","계정과목을 고르십시오",IF($E1386="※없는 과목","④ 설정에 없는 과목입니다",IF(AND($E1386="수입",$J1386&gt;0),"수입 과목인데 지출에 적혔습니다",IF(AND(LEFT($E1386,2)&lt;&gt;"수입",$E1386&lt;&gt;"대체",$I1386&gt;0),"지출 과목인데 수입에 적혔습니다",IF($K1386="","증빙을 고르십시오",IF(AND($C1386="바우처통장",$J1386&gt;0,IFERROR(INDEX('통합 ④ 설정'!$E$6:$E$40,MATCH($D1386,'통합 ④ 설정'!$B$6:$B$40,0)),"")&lt;&gt;"○"),"바우처통장 지출 — 목적 확인",IF($H1386="","적요를 적으십시오",""))))))))))))</f>
        <v/>
      </c>
      <c r="M1386" s="39"/>
      <c r="O1386" s="11" t="str">
        <f aca="false">IF($B1386="","",YEAR($B1386)*100+MONTH($B1386))</f>
        <v/>
      </c>
      <c r="P1386" s="11" t="str">
        <f aca="false">IF($B1386="","",IF($E1386="대체",0,1))</f>
        <v/>
      </c>
    </row>
    <row r="1387" customFormat="false" ht="15" hidden="false" customHeight="false" outlineLevel="0" collapsed="false">
      <c r="A1387" s="36" t="str">
        <f aca="false">IF($B1387="","",COUNT($B$15:$B1387))</f>
        <v/>
      </c>
      <c r="B1387" s="37"/>
      <c r="C1387" s="38"/>
      <c r="D1387" s="39"/>
      <c r="E1387" s="36" t="str">
        <f aca="false">IF($D1387="","",IFERROR(INDEX('통합 ④ 설정'!$A$6:$A$40,MATCH($D1387,'통합 ④ 설정'!$B$6:$B$40,0)),"※없는 과목"))</f>
        <v/>
      </c>
      <c r="F1387" s="36" t="str">
        <f aca="false">IF($D1387="","",IFERROR(INDEX('통합 ④ 설정'!$C$6:$C$40,MATCH($D1387,'통합 ④ 설정'!$B$6:$B$40,0)),""))</f>
        <v/>
      </c>
      <c r="G1387" s="39"/>
      <c r="H1387" s="39"/>
      <c r="I1387" s="40"/>
      <c r="J1387" s="41"/>
      <c r="K1387" s="38"/>
      <c r="L1387" s="42" t="str">
        <f aca="false">IF($B1387="","",IF(AND(N($I1387)=0,N($J1387)=0),"금액이 없습니다",IF(AND($I1387&gt;0,$J1387&gt;0),"수입·지출 둘 다 적혔습니다",IF($C1387="","결제수단을 고르십시오",IF(ISNA(MATCH($C1387,'통합 ③ 통장·카드'!$A$5:$A$11,0)),"③ 통장·카드에 없는 결제수단입니다",IF($D1387="","계정과목을 고르십시오",IF($E1387="※없는 과목","④ 설정에 없는 과목입니다",IF(AND($E1387="수입",$J1387&gt;0),"수입 과목인데 지출에 적혔습니다",IF(AND(LEFT($E1387,2)&lt;&gt;"수입",$E1387&lt;&gt;"대체",$I1387&gt;0),"지출 과목인데 수입에 적혔습니다",IF($K1387="","증빙을 고르십시오",IF(AND($C1387="바우처통장",$J1387&gt;0,IFERROR(INDEX('통합 ④ 설정'!$E$6:$E$40,MATCH($D1387,'통합 ④ 설정'!$B$6:$B$40,0)),"")&lt;&gt;"○"),"바우처통장 지출 — 목적 확인",IF($H1387="","적요를 적으십시오",""))))))))))))</f>
        <v/>
      </c>
      <c r="M1387" s="39"/>
      <c r="O1387" s="11" t="str">
        <f aca="false">IF($B1387="","",YEAR($B1387)*100+MONTH($B1387))</f>
        <v/>
      </c>
      <c r="P1387" s="11" t="str">
        <f aca="false">IF($B1387="","",IF($E1387="대체",0,1))</f>
        <v/>
      </c>
    </row>
    <row r="1388" customFormat="false" ht="15" hidden="false" customHeight="false" outlineLevel="0" collapsed="false">
      <c r="A1388" s="36" t="str">
        <f aca="false">IF($B1388="","",COUNT($B$15:$B1388))</f>
        <v/>
      </c>
      <c r="B1388" s="37"/>
      <c r="C1388" s="38"/>
      <c r="D1388" s="39"/>
      <c r="E1388" s="36" t="str">
        <f aca="false">IF($D1388="","",IFERROR(INDEX('통합 ④ 설정'!$A$6:$A$40,MATCH($D1388,'통합 ④ 설정'!$B$6:$B$40,0)),"※없는 과목"))</f>
        <v/>
      </c>
      <c r="F1388" s="36" t="str">
        <f aca="false">IF($D1388="","",IFERROR(INDEX('통합 ④ 설정'!$C$6:$C$40,MATCH($D1388,'통합 ④ 설정'!$B$6:$B$40,0)),""))</f>
        <v/>
      </c>
      <c r="G1388" s="39"/>
      <c r="H1388" s="39"/>
      <c r="I1388" s="40"/>
      <c r="J1388" s="41"/>
      <c r="K1388" s="38"/>
      <c r="L1388" s="42" t="str">
        <f aca="false">IF($B1388="","",IF(AND(N($I1388)=0,N($J1388)=0),"금액이 없습니다",IF(AND($I1388&gt;0,$J1388&gt;0),"수입·지출 둘 다 적혔습니다",IF($C1388="","결제수단을 고르십시오",IF(ISNA(MATCH($C1388,'통합 ③ 통장·카드'!$A$5:$A$11,0)),"③ 통장·카드에 없는 결제수단입니다",IF($D1388="","계정과목을 고르십시오",IF($E1388="※없는 과목","④ 설정에 없는 과목입니다",IF(AND($E1388="수입",$J1388&gt;0),"수입 과목인데 지출에 적혔습니다",IF(AND(LEFT($E1388,2)&lt;&gt;"수입",$E1388&lt;&gt;"대체",$I1388&gt;0),"지출 과목인데 수입에 적혔습니다",IF($K1388="","증빙을 고르십시오",IF(AND($C1388="바우처통장",$J1388&gt;0,IFERROR(INDEX('통합 ④ 설정'!$E$6:$E$40,MATCH($D1388,'통합 ④ 설정'!$B$6:$B$40,0)),"")&lt;&gt;"○"),"바우처통장 지출 — 목적 확인",IF($H1388="","적요를 적으십시오",""))))))))))))</f>
        <v/>
      </c>
      <c r="M1388" s="39"/>
      <c r="O1388" s="11" t="str">
        <f aca="false">IF($B1388="","",YEAR($B1388)*100+MONTH($B1388))</f>
        <v/>
      </c>
      <c r="P1388" s="11" t="str">
        <f aca="false">IF($B1388="","",IF($E1388="대체",0,1))</f>
        <v/>
      </c>
    </row>
    <row r="1389" customFormat="false" ht="15" hidden="false" customHeight="false" outlineLevel="0" collapsed="false">
      <c r="A1389" s="36" t="str">
        <f aca="false">IF($B1389="","",COUNT($B$15:$B1389))</f>
        <v/>
      </c>
      <c r="B1389" s="37"/>
      <c r="C1389" s="38"/>
      <c r="D1389" s="39"/>
      <c r="E1389" s="36" t="str">
        <f aca="false">IF($D1389="","",IFERROR(INDEX('통합 ④ 설정'!$A$6:$A$40,MATCH($D1389,'통합 ④ 설정'!$B$6:$B$40,0)),"※없는 과목"))</f>
        <v/>
      </c>
      <c r="F1389" s="36" t="str">
        <f aca="false">IF($D1389="","",IFERROR(INDEX('통합 ④ 설정'!$C$6:$C$40,MATCH($D1389,'통합 ④ 설정'!$B$6:$B$40,0)),""))</f>
        <v/>
      </c>
      <c r="G1389" s="39"/>
      <c r="H1389" s="39"/>
      <c r="I1389" s="40"/>
      <c r="J1389" s="41"/>
      <c r="K1389" s="38"/>
      <c r="L1389" s="42" t="str">
        <f aca="false">IF($B1389="","",IF(AND(N($I1389)=0,N($J1389)=0),"금액이 없습니다",IF(AND($I1389&gt;0,$J1389&gt;0),"수입·지출 둘 다 적혔습니다",IF($C1389="","결제수단을 고르십시오",IF(ISNA(MATCH($C1389,'통합 ③ 통장·카드'!$A$5:$A$11,0)),"③ 통장·카드에 없는 결제수단입니다",IF($D1389="","계정과목을 고르십시오",IF($E1389="※없는 과목","④ 설정에 없는 과목입니다",IF(AND($E1389="수입",$J1389&gt;0),"수입 과목인데 지출에 적혔습니다",IF(AND(LEFT($E1389,2)&lt;&gt;"수입",$E1389&lt;&gt;"대체",$I1389&gt;0),"지출 과목인데 수입에 적혔습니다",IF($K1389="","증빙을 고르십시오",IF(AND($C1389="바우처통장",$J1389&gt;0,IFERROR(INDEX('통합 ④ 설정'!$E$6:$E$40,MATCH($D1389,'통합 ④ 설정'!$B$6:$B$40,0)),"")&lt;&gt;"○"),"바우처통장 지출 — 목적 확인",IF($H1389="","적요를 적으십시오",""))))))))))))</f>
        <v/>
      </c>
      <c r="M1389" s="39"/>
      <c r="O1389" s="11" t="str">
        <f aca="false">IF($B1389="","",YEAR($B1389)*100+MONTH($B1389))</f>
        <v/>
      </c>
      <c r="P1389" s="11" t="str">
        <f aca="false">IF($B1389="","",IF($E1389="대체",0,1))</f>
        <v/>
      </c>
    </row>
    <row r="1390" customFormat="false" ht="15" hidden="false" customHeight="false" outlineLevel="0" collapsed="false">
      <c r="A1390" s="36" t="str">
        <f aca="false">IF($B1390="","",COUNT($B$15:$B1390))</f>
        <v/>
      </c>
      <c r="B1390" s="37"/>
      <c r="C1390" s="38"/>
      <c r="D1390" s="39"/>
      <c r="E1390" s="36" t="str">
        <f aca="false">IF($D1390="","",IFERROR(INDEX('통합 ④ 설정'!$A$6:$A$40,MATCH($D1390,'통합 ④ 설정'!$B$6:$B$40,0)),"※없는 과목"))</f>
        <v/>
      </c>
      <c r="F1390" s="36" t="str">
        <f aca="false">IF($D1390="","",IFERROR(INDEX('통합 ④ 설정'!$C$6:$C$40,MATCH($D1390,'통합 ④ 설정'!$B$6:$B$40,0)),""))</f>
        <v/>
      </c>
      <c r="G1390" s="39"/>
      <c r="H1390" s="39"/>
      <c r="I1390" s="40"/>
      <c r="J1390" s="41"/>
      <c r="K1390" s="38"/>
      <c r="L1390" s="42" t="str">
        <f aca="false">IF($B1390="","",IF(AND(N($I1390)=0,N($J1390)=0),"금액이 없습니다",IF(AND($I1390&gt;0,$J1390&gt;0),"수입·지출 둘 다 적혔습니다",IF($C1390="","결제수단을 고르십시오",IF(ISNA(MATCH($C1390,'통합 ③ 통장·카드'!$A$5:$A$11,0)),"③ 통장·카드에 없는 결제수단입니다",IF($D1390="","계정과목을 고르십시오",IF($E1390="※없는 과목","④ 설정에 없는 과목입니다",IF(AND($E1390="수입",$J1390&gt;0),"수입 과목인데 지출에 적혔습니다",IF(AND(LEFT($E1390,2)&lt;&gt;"수입",$E1390&lt;&gt;"대체",$I1390&gt;0),"지출 과목인데 수입에 적혔습니다",IF($K1390="","증빙을 고르십시오",IF(AND($C1390="바우처통장",$J1390&gt;0,IFERROR(INDEX('통합 ④ 설정'!$E$6:$E$40,MATCH($D1390,'통합 ④ 설정'!$B$6:$B$40,0)),"")&lt;&gt;"○"),"바우처통장 지출 — 목적 확인",IF($H1390="","적요를 적으십시오",""))))))))))))</f>
        <v/>
      </c>
      <c r="M1390" s="39"/>
      <c r="O1390" s="11" t="str">
        <f aca="false">IF($B1390="","",YEAR($B1390)*100+MONTH($B1390))</f>
        <v/>
      </c>
      <c r="P1390" s="11" t="str">
        <f aca="false">IF($B1390="","",IF($E1390="대체",0,1))</f>
        <v/>
      </c>
    </row>
    <row r="1391" customFormat="false" ht="15" hidden="false" customHeight="false" outlineLevel="0" collapsed="false">
      <c r="A1391" s="36" t="str">
        <f aca="false">IF($B1391="","",COUNT($B$15:$B1391))</f>
        <v/>
      </c>
      <c r="B1391" s="37"/>
      <c r="C1391" s="38"/>
      <c r="D1391" s="39"/>
      <c r="E1391" s="36" t="str">
        <f aca="false">IF($D1391="","",IFERROR(INDEX('통합 ④ 설정'!$A$6:$A$40,MATCH($D1391,'통합 ④ 설정'!$B$6:$B$40,0)),"※없는 과목"))</f>
        <v/>
      </c>
      <c r="F1391" s="36" t="str">
        <f aca="false">IF($D1391="","",IFERROR(INDEX('통합 ④ 설정'!$C$6:$C$40,MATCH($D1391,'통합 ④ 설정'!$B$6:$B$40,0)),""))</f>
        <v/>
      </c>
      <c r="G1391" s="39"/>
      <c r="H1391" s="39"/>
      <c r="I1391" s="40"/>
      <c r="J1391" s="41"/>
      <c r="K1391" s="38"/>
      <c r="L1391" s="42" t="str">
        <f aca="false">IF($B1391="","",IF(AND(N($I1391)=0,N($J1391)=0),"금액이 없습니다",IF(AND($I1391&gt;0,$J1391&gt;0),"수입·지출 둘 다 적혔습니다",IF($C1391="","결제수단을 고르십시오",IF(ISNA(MATCH($C1391,'통합 ③ 통장·카드'!$A$5:$A$11,0)),"③ 통장·카드에 없는 결제수단입니다",IF($D1391="","계정과목을 고르십시오",IF($E1391="※없는 과목","④ 설정에 없는 과목입니다",IF(AND($E1391="수입",$J1391&gt;0),"수입 과목인데 지출에 적혔습니다",IF(AND(LEFT($E1391,2)&lt;&gt;"수입",$E1391&lt;&gt;"대체",$I1391&gt;0),"지출 과목인데 수입에 적혔습니다",IF($K1391="","증빙을 고르십시오",IF(AND($C1391="바우처통장",$J1391&gt;0,IFERROR(INDEX('통합 ④ 설정'!$E$6:$E$40,MATCH($D1391,'통합 ④ 설정'!$B$6:$B$40,0)),"")&lt;&gt;"○"),"바우처통장 지출 — 목적 확인",IF($H1391="","적요를 적으십시오",""))))))))))))</f>
        <v/>
      </c>
      <c r="M1391" s="39"/>
      <c r="O1391" s="11" t="str">
        <f aca="false">IF($B1391="","",YEAR($B1391)*100+MONTH($B1391))</f>
        <v/>
      </c>
      <c r="P1391" s="11" t="str">
        <f aca="false">IF($B1391="","",IF($E1391="대체",0,1))</f>
        <v/>
      </c>
    </row>
    <row r="1392" customFormat="false" ht="15" hidden="false" customHeight="false" outlineLevel="0" collapsed="false">
      <c r="A1392" s="36" t="str">
        <f aca="false">IF($B1392="","",COUNT($B$15:$B1392))</f>
        <v/>
      </c>
      <c r="B1392" s="37"/>
      <c r="C1392" s="38"/>
      <c r="D1392" s="39"/>
      <c r="E1392" s="36" t="str">
        <f aca="false">IF($D1392="","",IFERROR(INDEX('통합 ④ 설정'!$A$6:$A$40,MATCH($D1392,'통합 ④ 설정'!$B$6:$B$40,0)),"※없는 과목"))</f>
        <v/>
      </c>
      <c r="F1392" s="36" t="str">
        <f aca="false">IF($D1392="","",IFERROR(INDEX('통합 ④ 설정'!$C$6:$C$40,MATCH($D1392,'통합 ④ 설정'!$B$6:$B$40,0)),""))</f>
        <v/>
      </c>
      <c r="G1392" s="39"/>
      <c r="H1392" s="39"/>
      <c r="I1392" s="40"/>
      <c r="J1392" s="41"/>
      <c r="K1392" s="38"/>
      <c r="L1392" s="42" t="str">
        <f aca="false">IF($B1392="","",IF(AND(N($I1392)=0,N($J1392)=0),"금액이 없습니다",IF(AND($I1392&gt;0,$J1392&gt;0),"수입·지출 둘 다 적혔습니다",IF($C1392="","결제수단을 고르십시오",IF(ISNA(MATCH($C1392,'통합 ③ 통장·카드'!$A$5:$A$11,0)),"③ 통장·카드에 없는 결제수단입니다",IF($D1392="","계정과목을 고르십시오",IF($E1392="※없는 과목","④ 설정에 없는 과목입니다",IF(AND($E1392="수입",$J1392&gt;0),"수입 과목인데 지출에 적혔습니다",IF(AND(LEFT($E1392,2)&lt;&gt;"수입",$E1392&lt;&gt;"대체",$I1392&gt;0),"지출 과목인데 수입에 적혔습니다",IF($K1392="","증빙을 고르십시오",IF(AND($C1392="바우처통장",$J1392&gt;0,IFERROR(INDEX('통합 ④ 설정'!$E$6:$E$40,MATCH($D1392,'통합 ④ 설정'!$B$6:$B$40,0)),"")&lt;&gt;"○"),"바우처통장 지출 — 목적 확인",IF($H1392="","적요를 적으십시오",""))))))))))))</f>
        <v/>
      </c>
      <c r="M1392" s="39"/>
      <c r="O1392" s="11" t="str">
        <f aca="false">IF($B1392="","",YEAR($B1392)*100+MONTH($B1392))</f>
        <v/>
      </c>
      <c r="P1392" s="11" t="str">
        <f aca="false">IF($B1392="","",IF($E1392="대체",0,1))</f>
        <v/>
      </c>
    </row>
    <row r="1393" customFormat="false" ht="15" hidden="false" customHeight="false" outlineLevel="0" collapsed="false">
      <c r="A1393" s="36" t="str">
        <f aca="false">IF($B1393="","",COUNT($B$15:$B1393))</f>
        <v/>
      </c>
      <c r="B1393" s="37"/>
      <c r="C1393" s="38"/>
      <c r="D1393" s="39"/>
      <c r="E1393" s="36" t="str">
        <f aca="false">IF($D1393="","",IFERROR(INDEX('통합 ④ 설정'!$A$6:$A$40,MATCH($D1393,'통합 ④ 설정'!$B$6:$B$40,0)),"※없는 과목"))</f>
        <v/>
      </c>
      <c r="F1393" s="36" t="str">
        <f aca="false">IF($D1393="","",IFERROR(INDEX('통합 ④ 설정'!$C$6:$C$40,MATCH($D1393,'통합 ④ 설정'!$B$6:$B$40,0)),""))</f>
        <v/>
      </c>
      <c r="G1393" s="39"/>
      <c r="H1393" s="39"/>
      <c r="I1393" s="40"/>
      <c r="J1393" s="41"/>
      <c r="K1393" s="38"/>
      <c r="L1393" s="42" t="str">
        <f aca="false">IF($B1393="","",IF(AND(N($I1393)=0,N($J1393)=0),"금액이 없습니다",IF(AND($I1393&gt;0,$J1393&gt;0),"수입·지출 둘 다 적혔습니다",IF($C1393="","결제수단을 고르십시오",IF(ISNA(MATCH($C1393,'통합 ③ 통장·카드'!$A$5:$A$11,0)),"③ 통장·카드에 없는 결제수단입니다",IF($D1393="","계정과목을 고르십시오",IF($E1393="※없는 과목","④ 설정에 없는 과목입니다",IF(AND($E1393="수입",$J1393&gt;0),"수입 과목인데 지출에 적혔습니다",IF(AND(LEFT($E1393,2)&lt;&gt;"수입",$E1393&lt;&gt;"대체",$I1393&gt;0),"지출 과목인데 수입에 적혔습니다",IF($K1393="","증빙을 고르십시오",IF(AND($C1393="바우처통장",$J1393&gt;0,IFERROR(INDEX('통합 ④ 설정'!$E$6:$E$40,MATCH($D1393,'통합 ④ 설정'!$B$6:$B$40,0)),"")&lt;&gt;"○"),"바우처통장 지출 — 목적 확인",IF($H1393="","적요를 적으십시오",""))))))))))))</f>
        <v/>
      </c>
      <c r="M1393" s="39"/>
      <c r="O1393" s="11" t="str">
        <f aca="false">IF($B1393="","",YEAR($B1393)*100+MONTH($B1393))</f>
        <v/>
      </c>
      <c r="P1393" s="11" t="str">
        <f aca="false">IF($B1393="","",IF($E1393="대체",0,1))</f>
        <v/>
      </c>
    </row>
    <row r="1394" customFormat="false" ht="15" hidden="false" customHeight="false" outlineLevel="0" collapsed="false">
      <c r="A1394" s="36" t="str">
        <f aca="false">IF($B1394="","",COUNT($B$15:$B1394))</f>
        <v/>
      </c>
      <c r="B1394" s="37"/>
      <c r="C1394" s="38"/>
      <c r="D1394" s="39"/>
      <c r="E1394" s="36" t="str">
        <f aca="false">IF($D1394="","",IFERROR(INDEX('통합 ④ 설정'!$A$6:$A$40,MATCH($D1394,'통합 ④ 설정'!$B$6:$B$40,0)),"※없는 과목"))</f>
        <v/>
      </c>
      <c r="F1394" s="36" t="str">
        <f aca="false">IF($D1394="","",IFERROR(INDEX('통합 ④ 설정'!$C$6:$C$40,MATCH($D1394,'통합 ④ 설정'!$B$6:$B$40,0)),""))</f>
        <v/>
      </c>
      <c r="G1394" s="39"/>
      <c r="H1394" s="39"/>
      <c r="I1394" s="40"/>
      <c r="J1394" s="41"/>
      <c r="K1394" s="38"/>
      <c r="L1394" s="42" t="str">
        <f aca="false">IF($B1394="","",IF(AND(N($I1394)=0,N($J1394)=0),"금액이 없습니다",IF(AND($I1394&gt;0,$J1394&gt;0),"수입·지출 둘 다 적혔습니다",IF($C1394="","결제수단을 고르십시오",IF(ISNA(MATCH($C1394,'통합 ③ 통장·카드'!$A$5:$A$11,0)),"③ 통장·카드에 없는 결제수단입니다",IF($D1394="","계정과목을 고르십시오",IF($E1394="※없는 과목","④ 설정에 없는 과목입니다",IF(AND($E1394="수입",$J1394&gt;0),"수입 과목인데 지출에 적혔습니다",IF(AND(LEFT($E1394,2)&lt;&gt;"수입",$E1394&lt;&gt;"대체",$I1394&gt;0),"지출 과목인데 수입에 적혔습니다",IF($K1394="","증빙을 고르십시오",IF(AND($C1394="바우처통장",$J1394&gt;0,IFERROR(INDEX('통합 ④ 설정'!$E$6:$E$40,MATCH($D1394,'통합 ④ 설정'!$B$6:$B$40,0)),"")&lt;&gt;"○"),"바우처통장 지출 — 목적 확인",IF($H1394="","적요를 적으십시오",""))))))))))))</f>
        <v/>
      </c>
      <c r="M1394" s="39"/>
      <c r="O1394" s="11" t="str">
        <f aca="false">IF($B1394="","",YEAR($B1394)*100+MONTH($B1394))</f>
        <v/>
      </c>
      <c r="P1394" s="11" t="str">
        <f aca="false">IF($B1394="","",IF($E1394="대체",0,1))</f>
        <v/>
      </c>
    </row>
    <row r="1395" customFormat="false" ht="15" hidden="false" customHeight="false" outlineLevel="0" collapsed="false">
      <c r="A1395" s="36" t="str">
        <f aca="false">IF($B1395="","",COUNT($B$15:$B1395))</f>
        <v/>
      </c>
      <c r="B1395" s="37"/>
      <c r="C1395" s="38"/>
      <c r="D1395" s="39"/>
      <c r="E1395" s="36" t="str">
        <f aca="false">IF($D1395="","",IFERROR(INDEX('통합 ④ 설정'!$A$6:$A$40,MATCH($D1395,'통합 ④ 설정'!$B$6:$B$40,0)),"※없는 과목"))</f>
        <v/>
      </c>
      <c r="F1395" s="36" t="str">
        <f aca="false">IF($D1395="","",IFERROR(INDEX('통합 ④ 설정'!$C$6:$C$40,MATCH($D1395,'통합 ④ 설정'!$B$6:$B$40,0)),""))</f>
        <v/>
      </c>
      <c r="G1395" s="39"/>
      <c r="H1395" s="39"/>
      <c r="I1395" s="40"/>
      <c r="J1395" s="41"/>
      <c r="K1395" s="38"/>
      <c r="L1395" s="42" t="str">
        <f aca="false">IF($B1395="","",IF(AND(N($I1395)=0,N($J1395)=0),"금액이 없습니다",IF(AND($I1395&gt;0,$J1395&gt;0),"수입·지출 둘 다 적혔습니다",IF($C1395="","결제수단을 고르십시오",IF(ISNA(MATCH($C1395,'통합 ③ 통장·카드'!$A$5:$A$11,0)),"③ 통장·카드에 없는 결제수단입니다",IF($D1395="","계정과목을 고르십시오",IF($E1395="※없는 과목","④ 설정에 없는 과목입니다",IF(AND($E1395="수입",$J1395&gt;0),"수입 과목인데 지출에 적혔습니다",IF(AND(LEFT($E1395,2)&lt;&gt;"수입",$E1395&lt;&gt;"대체",$I1395&gt;0),"지출 과목인데 수입에 적혔습니다",IF($K1395="","증빙을 고르십시오",IF(AND($C1395="바우처통장",$J1395&gt;0,IFERROR(INDEX('통합 ④ 설정'!$E$6:$E$40,MATCH($D1395,'통합 ④ 설정'!$B$6:$B$40,0)),"")&lt;&gt;"○"),"바우처통장 지출 — 목적 확인",IF($H1395="","적요를 적으십시오",""))))))))))))</f>
        <v/>
      </c>
      <c r="M1395" s="39"/>
      <c r="O1395" s="11" t="str">
        <f aca="false">IF($B1395="","",YEAR($B1395)*100+MONTH($B1395))</f>
        <v/>
      </c>
      <c r="P1395" s="11" t="str">
        <f aca="false">IF($B1395="","",IF($E1395="대체",0,1))</f>
        <v/>
      </c>
    </row>
    <row r="1396" customFormat="false" ht="15" hidden="false" customHeight="false" outlineLevel="0" collapsed="false">
      <c r="A1396" s="36" t="str">
        <f aca="false">IF($B1396="","",COUNT($B$15:$B1396))</f>
        <v/>
      </c>
      <c r="B1396" s="37"/>
      <c r="C1396" s="38"/>
      <c r="D1396" s="39"/>
      <c r="E1396" s="36" t="str">
        <f aca="false">IF($D1396="","",IFERROR(INDEX('통합 ④ 설정'!$A$6:$A$40,MATCH($D1396,'통합 ④ 설정'!$B$6:$B$40,0)),"※없는 과목"))</f>
        <v/>
      </c>
      <c r="F1396" s="36" t="str">
        <f aca="false">IF($D1396="","",IFERROR(INDEX('통합 ④ 설정'!$C$6:$C$40,MATCH($D1396,'통합 ④ 설정'!$B$6:$B$40,0)),""))</f>
        <v/>
      </c>
      <c r="G1396" s="39"/>
      <c r="H1396" s="39"/>
      <c r="I1396" s="40"/>
      <c r="J1396" s="41"/>
      <c r="K1396" s="38"/>
      <c r="L1396" s="42" t="str">
        <f aca="false">IF($B1396="","",IF(AND(N($I1396)=0,N($J1396)=0),"금액이 없습니다",IF(AND($I1396&gt;0,$J1396&gt;0),"수입·지출 둘 다 적혔습니다",IF($C1396="","결제수단을 고르십시오",IF(ISNA(MATCH($C1396,'통합 ③ 통장·카드'!$A$5:$A$11,0)),"③ 통장·카드에 없는 결제수단입니다",IF($D1396="","계정과목을 고르십시오",IF($E1396="※없는 과목","④ 설정에 없는 과목입니다",IF(AND($E1396="수입",$J1396&gt;0),"수입 과목인데 지출에 적혔습니다",IF(AND(LEFT($E1396,2)&lt;&gt;"수입",$E1396&lt;&gt;"대체",$I1396&gt;0),"지출 과목인데 수입에 적혔습니다",IF($K1396="","증빙을 고르십시오",IF(AND($C1396="바우처통장",$J1396&gt;0,IFERROR(INDEX('통합 ④ 설정'!$E$6:$E$40,MATCH($D1396,'통합 ④ 설정'!$B$6:$B$40,0)),"")&lt;&gt;"○"),"바우처통장 지출 — 목적 확인",IF($H1396="","적요를 적으십시오",""))))))))))))</f>
        <v/>
      </c>
      <c r="M1396" s="39"/>
      <c r="O1396" s="11" t="str">
        <f aca="false">IF($B1396="","",YEAR($B1396)*100+MONTH($B1396))</f>
        <v/>
      </c>
      <c r="P1396" s="11" t="str">
        <f aca="false">IF($B1396="","",IF($E1396="대체",0,1))</f>
        <v/>
      </c>
    </row>
    <row r="1397" customFormat="false" ht="15" hidden="false" customHeight="false" outlineLevel="0" collapsed="false">
      <c r="A1397" s="36" t="str">
        <f aca="false">IF($B1397="","",COUNT($B$15:$B1397))</f>
        <v/>
      </c>
      <c r="B1397" s="37"/>
      <c r="C1397" s="38"/>
      <c r="D1397" s="39"/>
      <c r="E1397" s="36" t="str">
        <f aca="false">IF($D1397="","",IFERROR(INDEX('통합 ④ 설정'!$A$6:$A$40,MATCH($D1397,'통합 ④ 설정'!$B$6:$B$40,0)),"※없는 과목"))</f>
        <v/>
      </c>
      <c r="F1397" s="36" t="str">
        <f aca="false">IF($D1397="","",IFERROR(INDEX('통합 ④ 설정'!$C$6:$C$40,MATCH($D1397,'통합 ④ 설정'!$B$6:$B$40,0)),""))</f>
        <v/>
      </c>
      <c r="G1397" s="39"/>
      <c r="H1397" s="39"/>
      <c r="I1397" s="40"/>
      <c r="J1397" s="41"/>
      <c r="K1397" s="38"/>
      <c r="L1397" s="42" t="str">
        <f aca="false">IF($B1397="","",IF(AND(N($I1397)=0,N($J1397)=0),"금액이 없습니다",IF(AND($I1397&gt;0,$J1397&gt;0),"수입·지출 둘 다 적혔습니다",IF($C1397="","결제수단을 고르십시오",IF(ISNA(MATCH($C1397,'통합 ③ 통장·카드'!$A$5:$A$11,0)),"③ 통장·카드에 없는 결제수단입니다",IF($D1397="","계정과목을 고르십시오",IF($E1397="※없는 과목","④ 설정에 없는 과목입니다",IF(AND($E1397="수입",$J1397&gt;0),"수입 과목인데 지출에 적혔습니다",IF(AND(LEFT($E1397,2)&lt;&gt;"수입",$E1397&lt;&gt;"대체",$I1397&gt;0),"지출 과목인데 수입에 적혔습니다",IF($K1397="","증빙을 고르십시오",IF(AND($C1397="바우처통장",$J1397&gt;0,IFERROR(INDEX('통합 ④ 설정'!$E$6:$E$40,MATCH($D1397,'통합 ④ 설정'!$B$6:$B$40,0)),"")&lt;&gt;"○"),"바우처통장 지출 — 목적 확인",IF($H1397="","적요를 적으십시오",""))))))))))))</f>
        <v/>
      </c>
      <c r="M1397" s="39"/>
      <c r="O1397" s="11" t="str">
        <f aca="false">IF($B1397="","",YEAR($B1397)*100+MONTH($B1397))</f>
        <v/>
      </c>
      <c r="P1397" s="11" t="str">
        <f aca="false">IF($B1397="","",IF($E1397="대체",0,1))</f>
        <v/>
      </c>
    </row>
    <row r="1398" customFormat="false" ht="15" hidden="false" customHeight="false" outlineLevel="0" collapsed="false">
      <c r="A1398" s="36" t="str">
        <f aca="false">IF($B1398="","",COUNT($B$15:$B1398))</f>
        <v/>
      </c>
      <c r="B1398" s="37"/>
      <c r="C1398" s="38"/>
      <c r="D1398" s="39"/>
      <c r="E1398" s="36" t="str">
        <f aca="false">IF($D1398="","",IFERROR(INDEX('통합 ④ 설정'!$A$6:$A$40,MATCH($D1398,'통합 ④ 설정'!$B$6:$B$40,0)),"※없는 과목"))</f>
        <v/>
      </c>
      <c r="F1398" s="36" t="str">
        <f aca="false">IF($D1398="","",IFERROR(INDEX('통합 ④ 설정'!$C$6:$C$40,MATCH($D1398,'통합 ④ 설정'!$B$6:$B$40,0)),""))</f>
        <v/>
      </c>
      <c r="G1398" s="39"/>
      <c r="H1398" s="39"/>
      <c r="I1398" s="40"/>
      <c r="J1398" s="41"/>
      <c r="K1398" s="38"/>
      <c r="L1398" s="42" t="str">
        <f aca="false">IF($B1398="","",IF(AND(N($I1398)=0,N($J1398)=0),"금액이 없습니다",IF(AND($I1398&gt;0,$J1398&gt;0),"수입·지출 둘 다 적혔습니다",IF($C1398="","결제수단을 고르십시오",IF(ISNA(MATCH($C1398,'통합 ③ 통장·카드'!$A$5:$A$11,0)),"③ 통장·카드에 없는 결제수단입니다",IF($D1398="","계정과목을 고르십시오",IF($E1398="※없는 과목","④ 설정에 없는 과목입니다",IF(AND($E1398="수입",$J1398&gt;0),"수입 과목인데 지출에 적혔습니다",IF(AND(LEFT($E1398,2)&lt;&gt;"수입",$E1398&lt;&gt;"대체",$I1398&gt;0),"지출 과목인데 수입에 적혔습니다",IF($K1398="","증빙을 고르십시오",IF(AND($C1398="바우처통장",$J1398&gt;0,IFERROR(INDEX('통합 ④ 설정'!$E$6:$E$40,MATCH($D1398,'통합 ④ 설정'!$B$6:$B$40,0)),"")&lt;&gt;"○"),"바우처통장 지출 — 목적 확인",IF($H1398="","적요를 적으십시오",""))))))))))))</f>
        <v/>
      </c>
      <c r="M1398" s="39"/>
      <c r="O1398" s="11" t="str">
        <f aca="false">IF($B1398="","",YEAR($B1398)*100+MONTH($B1398))</f>
        <v/>
      </c>
      <c r="P1398" s="11" t="str">
        <f aca="false">IF($B1398="","",IF($E1398="대체",0,1))</f>
        <v/>
      </c>
    </row>
    <row r="1399" customFormat="false" ht="15" hidden="false" customHeight="false" outlineLevel="0" collapsed="false">
      <c r="A1399" s="36" t="str">
        <f aca="false">IF($B1399="","",COUNT($B$15:$B1399))</f>
        <v/>
      </c>
      <c r="B1399" s="37"/>
      <c r="C1399" s="38"/>
      <c r="D1399" s="39"/>
      <c r="E1399" s="36" t="str">
        <f aca="false">IF($D1399="","",IFERROR(INDEX('통합 ④ 설정'!$A$6:$A$40,MATCH($D1399,'통합 ④ 설정'!$B$6:$B$40,0)),"※없는 과목"))</f>
        <v/>
      </c>
      <c r="F1399" s="36" t="str">
        <f aca="false">IF($D1399="","",IFERROR(INDEX('통합 ④ 설정'!$C$6:$C$40,MATCH($D1399,'통합 ④ 설정'!$B$6:$B$40,0)),""))</f>
        <v/>
      </c>
      <c r="G1399" s="39"/>
      <c r="H1399" s="39"/>
      <c r="I1399" s="40"/>
      <c r="J1399" s="41"/>
      <c r="K1399" s="38"/>
      <c r="L1399" s="42" t="str">
        <f aca="false">IF($B1399="","",IF(AND(N($I1399)=0,N($J1399)=0),"금액이 없습니다",IF(AND($I1399&gt;0,$J1399&gt;0),"수입·지출 둘 다 적혔습니다",IF($C1399="","결제수단을 고르십시오",IF(ISNA(MATCH($C1399,'통합 ③ 통장·카드'!$A$5:$A$11,0)),"③ 통장·카드에 없는 결제수단입니다",IF($D1399="","계정과목을 고르십시오",IF($E1399="※없는 과목","④ 설정에 없는 과목입니다",IF(AND($E1399="수입",$J1399&gt;0),"수입 과목인데 지출에 적혔습니다",IF(AND(LEFT($E1399,2)&lt;&gt;"수입",$E1399&lt;&gt;"대체",$I1399&gt;0),"지출 과목인데 수입에 적혔습니다",IF($K1399="","증빙을 고르십시오",IF(AND($C1399="바우처통장",$J1399&gt;0,IFERROR(INDEX('통합 ④ 설정'!$E$6:$E$40,MATCH($D1399,'통합 ④ 설정'!$B$6:$B$40,0)),"")&lt;&gt;"○"),"바우처통장 지출 — 목적 확인",IF($H1399="","적요를 적으십시오",""))))))))))))</f>
        <v/>
      </c>
      <c r="M1399" s="39"/>
      <c r="O1399" s="11" t="str">
        <f aca="false">IF($B1399="","",YEAR($B1399)*100+MONTH($B1399))</f>
        <v/>
      </c>
      <c r="P1399" s="11" t="str">
        <f aca="false">IF($B1399="","",IF($E1399="대체",0,1))</f>
        <v/>
      </c>
    </row>
    <row r="1400" customFormat="false" ht="15" hidden="false" customHeight="false" outlineLevel="0" collapsed="false">
      <c r="A1400" s="36" t="str">
        <f aca="false">IF($B1400="","",COUNT($B$15:$B1400))</f>
        <v/>
      </c>
      <c r="B1400" s="37"/>
      <c r="C1400" s="38"/>
      <c r="D1400" s="39"/>
      <c r="E1400" s="36" t="str">
        <f aca="false">IF($D1400="","",IFERROR(INDEX('통합 ④ 설정'!$A$6:$A$40,MATCH($D1400,'통합 ④ 설정'!$B$6:$B$40,0)),"※없는 과목"))</f>
        <v/>
      </c>
      <c r="F1400" s="36" t="str">
        <f aca="false">IF($D1400="","",IFERROR(INDEX('통합 ④ 설정'!$C$6:$C$40,MATCH($D1400,'통합 ④ 설정'!$B$6:$B$40,0)),""))</f>
        <v/>
      </c>
      <c r="G1400" s="39"/>
      <c r="H1400" s="39"/>
      <c r="I1400" s="40"/>
      <c r="J1400" s="41"/>
      <c r="K1400" s="38"/>
      <c r="L1400" s="42" t="str">
        <f aca="false">IF($B1400="","",IF(AND(N($I1400)=0,N($J1400)=0),"금액이 없습니다",IF(AND($I1400&gt;0,$J1400&gt;0),"수입·지출 둘 다 적혔습니다",IF($C1400="","결제수단을 고르십시오",IF(ISNA(MATCH($C1400,'통합 ③ 통장·카드'!$A$5:$A$11,0)),"③ 통장·카드에 없는 결제수단입니다",IF($D1400="","계정과목을 고르십시오",IF($E1400="※없는 과목","④ 설정에 없는 과목입니다",IF(AND($E1400="수입",$J1400&gt;0),"수입 과목인데 지출에 적혔습니다",IF(AND(LEFT($E1400,2)&lt;&gt;"수입",$E1400&lt;&gt;"대체",$I1400&gt;0),"지출 과목인데 수입에 적혔습니다",IF($K1400="","증빙을 고르십시오",IF(AND($C1400="바우처통장",$J1400&gt;0,IFERROR(INDEX('통합 ④ 설정'!$E$6:$E$40,MATCH($D1400,'통합 ④ 설정'!$B$6:$B$40,0)),"")&lt;&gt;"○"),"바우처통장 지출 — 목적 확인",IF($H1400="","적요를 적으십시오",""))))))))))))</f>
        <v/>
      </c>
      <c r="M1400" s="39"/>
      <c r="O1400" s="11" t="str">
        <f aca="false">IF($B1400="","",YEAR($B1400)*100+MONTH($B1400))</f>
        <v/>
      </c>
      <c r="P1400" s="11" t="str">
        <f aca="false">IF($B1400="","",IF($E1400="대체",0,1))</f>
        <v/>
      </c>
    </row>
    <row r="1401" customFormat="false" ht="15" hidden="false" customHeight="false" outlineLevel="0" collapsed="false">
      <c r="A1401" s="36" t="str">
        <f aca="false">IF($B1401="","",COUNT($B$15:$B1401))</f>
        <v/>
      </c>
      <c r="B1401" s="37"/>
      <c r="C1401" s="38"/>
      <c r="D1401" s="39"/>
      <c r="E1401" s="36" t="str">
        <f aca="false">IF($D1401="","",IFERROR(INDEX('통합 ④ 설정'!$A$6:$A$40,MATCH($D1401,'통합 ④ 설정'!$B$6:$B$40,0)),"※없는 과목"))</f>
        <v/>
      </c>
      <c r="F1401" s="36" t="str">
        <f aca="false">IF($D1401="","",IFERROR(INDEX('통합 ④ 설정'!$C$6:$C$40,MATCH($D1401,'통합 ④ 설정'!$B$6:$B$40,0)),""))</f>
        <v/>
      </c>
      <c r="G1401" s="39"/>
      <c r="H1401" s="39"/>
      <c r="I1401" s="40"/>
      <c r="J1401" s="41"/>
      <c r="K1401" s="38"/>
      <c r="L1401" s="42" t="str">
        <f aca="false">IF($B1401="","",IF(AND(N($I1401)=0,N($J1401)=0),"금액이 없습니다",IF(AND($I1401&gt;0,$J1401&gt;0),"수입·지출 둘 다 적혔습니다",IF($C1401="","결제수단을 고르십시오",IF(ISNA(MATCH($C1401,'통합 ③ 통장·카드'!$A$5:$A$11,0)),"③ 통장·카드에 없는 결제수단입니다",IF($D1401="","계정과목을 고르십시오",IF($E1401="※없는 과목","④ 설정에 없는 과목입니다",IF(AND($E1401="수입",$J1401&gt;0),"수입 과목인데 지출에 적혔습니다",IF(AND(LEFT($E1401,2)&lt;&gt;"수입",$E1401&lt;&gt;"대체",$I1401&gt;0),"지출 과목인데 수입에 적혔습니다",IF($K1401="","증빙을 고르십시오",IF(AND($C1401="바우처통장",$J1401&gt;0,IFERROR(INDEX('통합 ④ 설정'!$E$6:$E$40,MATCH($D1401,'통합 ④ 설정'!$B$6:$B$40,0)),"")&lt;&gt;"○"),"바우처통장 지출 — 목적 확인",IF($H1401="","적요를 적으십시오",""))))))))))))</f>
        <v/>
      </c>
      <c r="M1401" s="39"/>
      <c r="O1401" s="11" t="str">
        <f aca="false">IF($B1401="","",YEAR($B1401)*100+MONTH($B1401))</f>
        <v/>
      </c>
      <c r="P1401" s="11" t="str">
        <f aca="false">IF($B1401="","",IF($E1401="대체",0,1))</f>
        <v/>
      </c>
    </row>
    <row r="1402" customFormat="false" ht="15" hidden="false" customHeight="false" outlineLevel="0" collapsed="false">
      <c r="A1402" s="36" t="str">
        <f aca="false">IF($B1402="","",COUNT($B$15:$B1402))</f>
        <v/>
      </c>
      <c r="B1402" s="37"/>
      <c r="C1402" s="38"/>
      <c r="D1402" s="39"/>
      <c r="E1402" s="36" t="str">
        <f aca="false">IF($D1402="","",IFERROR(INDEX('통합 ④ 설정'!$A$6:$A$40,MATCH($D1402,'통합 ④ 설정'!$B$6:$B$40,0)),"※없는 과목"))</f>
        <v/>
      </c>
      <c r="F1402" s="36" t="str">
        <f aca="false">IF($D1402="","",IFERROR(INDEX('통합 ④ 설정'!$C$6:$C$40,MATCH($D1402,'통합 ④ 설정'!$B$6:$B$40,0)),""))</f>
        <v/>
      </c>
      <c r="G1402" s="39"/>
      <c r="H1402" s="39"/>
      <c r="I1402" s="40"/>
      <c r="J1402" s="41"/>
      <c r="K1402" s="38"/>
      <c r="L1402" s="42" t="str">
        <f aca="false">IF($B1402="","",IF(AND(N($I1402)=0,N($J1402)=0),"금액이 없습니다",IF(AND($I1402&gt;0,$J1402&gt;0),"수입·지출 둘 다 적혔습니다",IF($C1402="","결제수단을 고르십시오",IF(ISNA(MATCH($C1402,'통합 ③ 통장·카드'!$A$5:$A$11,0)),"③ 통장·카드에 없는 결제수단입니다",IF($D1402="","계정과목을 고르십시오",IF($E1402="※없는 과목","④ 설정에 없는 과목입니다",IF(AND($E1402="수입",$J1402&gt;0),"수입 과목인데 지출에 적혔습니다",IF(AND(LEFT($E1402,2)&lt;&gt;"수입",$E1402&lt;&gt;"대체",$I1402&gt;0),"지출 과목인데 수입에 적혔습니다",IF($K1402="","증빙을 고르십시오",IF(AND($C1402="바우처통장",$J1402&gt;0,IFERROR(INDEX('통합 ④ 설정'!$E$6:$E$40,MATCH($D1402,'통합 ④ 설정'!$B$6:$B$40,0)),"")&lt;&gt;"○"),"바우처통장 지출 — 목적 확인",IF($H1402="","적요를 적으십시오",""))))))))))))</f>
        <v/>
      </c>
      <c r="M1402" s="39"/>
      <c r="O1402" s="11" t="str">
        <f aca="false">IF($B1402="","",YEAR($B1402)*100+MONTH($B1402))</f>
        <v/>
      </c>
      <c r="P1402" s="11" t="str">
        <f aca="false">IF($B1402="","",IF($E1402="대체",0,1))</f>
        <v/>
      </c>
    </row>
    <row r="1403" customFormat="false" ht="15" hidden="false" customHeight="false" outlineLevel="0" collapsed="false">
      <c r="A1403" s="36" t="str">
        <f aca="false">IF($B1403="","",COUNT($B$15:$B1403))</f>
        <v/>
      </c>
      <c r="B1403" s="37"/>
      <c r="C1403" s="38"/>
      <c r="D1403" s="39"/>
      <c r="E1403" s="36" t="str">
        <f aca="false">IF($D1403="","",IFERROR(INDEX('통합 ④ 설정'!$A$6:$A$40,MATCH($D1403,'통합 ④ 설정'!$B$6:$B$40,0)),"※없는 과목"))</f>
        <v/>
      </c>
      <c r="F1403" s="36" t="str">
        <f aca="false">IF($D1403="","",IFERROR(INDEX('통합 ④ 설정'!$C$6:$C$40,MATCH($D1403,'통합 ④ 설정'!$B$6:$B$40,0)),""))</f>
        <v/>
      </c>
      <c r="G1403" s="39"/>
      <c r="H1403" s="39"/>
      <c r="I1403" s="40"/>
      <c r="J1403" s="41"/>
      <c r="K1403" s="38"/>
      <c r="L1403" s="42" t="str">
        <f aca="false">IF($B1403="","",IF(AND(N($I1403)=0,N($J1403)=0),"금액이 없습니다",IF(AND($I1403&gt;0,$J1403&gt;0),"수입·지출 둘 다 적혔습니다",IF($C1403="","결제수단을 고르십시오",IF(ISNA(MATCH($C1403,'통합 ③ 통장·카드'!$A$5:$A$11,0)),"③ 통장·카드에 없는 결제수단입니다",IF($D1403="","계정과목을 고르십시오",IF($E1403="※없는 과목","④ 설정에 없는 과목입니다",IF(AND($E1403="수입",$J1403&gt;0),"수입 과목인데 지출에 적혔습니다",IF(AND(LEFT($E1403,2)&lt;&gt;"수입",$E1403&lt;&gt;"대체",$I1403&gt;0),"지출 과목인데 수입에 적혔습니다",IF($K1403="","증빙을 고르십시오",IF(AND($C1403="바우처통장",$J1403&gt;0,IFERROR(INDEX('통합 ④ 설정'!$E$6:$E$40,MATCH($D1403,'통합 ④ 설정'!$B$6:$B$40,0)),"")&lt;&gt;"○"),"바우처통장 지출 — 목적 확인",IF($H1403="","적요를 적으십시오",""))))))))))))</f>
        <v/>
      </c>
      <c r="M1403" s="39"/>
      <c r="O1403" s="11" t="str">
        <f aca="false">IF($B1403="","",YEAR($B1403)*100+MONTH($B1403))</f>
        <v/>
      </c>
      <c r="P1403" s="11" t="str">
        <f aca="false">IF($B1403="","",IF($E1403="대체",0,1))</f>
        <v/>
      </c>
    </row>
    <row r="1404" customFormat="false" ht="15" hidden="false" customHeight="false" outlineLevel="0" collapsed="false">
      <c r="A1404" s="36" t="str">
        <f aca="false">IF($B1404="","",COUNT($B$15:$B1404))</f>
        <v/>
      </c>
      <c r="B1404" s="37"/>
      <c r="C1404" s="38"/>
      <c r="D1404" s="39"/>
      <c r="E1404" s="36" t="str">
        <f aca="false">IF($D1404="","",IFERROR(INDEX('통합 ④ 설정'!$A$6:$A$40,MATCH($D1404,'통합 ④ 설정'!$B$6:$B$40,0)),"※없는 과목"))</f>
        <v/>
      </c>
      <c r="F1404" s="36" t="str">
        <f aca="false">IF($D1404="","",IFERROR(INDEX('통합 ④ 설정'!$C$6:$C$40,MATCH($D1404,'통합 ④ 설정'!$B$6:$B$40,0)),""))</f>
        <v/>
      </c>
      <c r="G1404" s="39"/>
      <c r="H1404" s="39"/>
      <c r="I1404" s="40"/>
      <c r="J1404" s="41"/>
      <c r="K1404" s="38"/>
      <c r="L1404" s="42" t="str">
        <f aca="false">IF($B1404="","",IF(AND(N($I1404)=0,N($J1404)=0),"금액이 없습니다",IF(AND($I1404&gt;0,$J1404&gt;0),"수입·지출 둘 다 적혔습니다",IF($C1404="","결제수단을 고르십시오",IF(ISNA(MATCH($C1404,'통합 ③ 통장·카드'!$A$5:$A$11,0)),"③ 통장·카드에 없는 결제수단입니다",IF($D1404="","계정과목을 고르십시오",IF($E1404="※없는 과목","④ 설정에 없는 과목입니다",IF(AND($E1404="수입",$J1404&gt;0),"수입 과목인데 지출에 적혔습니다",IF(AND(LEFT($E1404,2)&lt;&gt;"수입",$E1404&lt;&gt;"대체",$I1404&gt;0),"지출 과목인데 수입에 적혔습니다",IF($K1404="","증빙을 고르십시오",IF(AND($C1404="바우처통장",$J1404&gt;0,IFERROR(INDEX('통합 ④ 설정'!$E$6:$E$40,MATCH($D1404,'통합 ④ 설정'!$B$6:$B$40,0)),"")&lt;&gt;"○"),"바우처통장 지출 — 목적 확인",IF($H1404="","적요를 적으십시오",""))))))))))))</f>
        <v/>
      </c>
      <c r="M1404" s="39"/>
      <c r="O1404" s="11" t="str">
        <f aca="false">IF($B1404="","",YEAR($B1404)*100+MONTH($B1404))</f>
        <v/>
      </c>
      <c r="P1404" s="11" t="str">
        <f aca="false">IF($B1404="","",IF($E1404="대체",0,1))</f>
        <v/>
      </c>
    </row>
    <row r="1405" customFormat="false" ht="15" hidden="false" customHeight="false" outlineLevel="0" collapsed="false">
      <c r="A1405" s="36" t="str">
        <f aca="false">IF($B1405="","",COUNT($B$15:$B1405))</f>
        <v/>
      </c>
      <c r="B1405" s="37"/>
      <c r="C1405" s="38"/>
      <c r="D1405" s="39"/>
      <c r="E1405" s="36" t="str">
        <f aca="false">IF($D1405="","",IFERROR(INDEX('통합 ④ 설정'!$A$6:$A$40,MATCH($D1405,'통합 ④ 설정'!$B$6:$B$40,0)),"※없는 과목"))</f>
        <v/>
      </c>
      <c r="F1405" s="36" t="str">
        <f aca="false">IF($D1405="","",IFERROR(INDEX('통합 ④ 설정'!$C$6:$C$40,MATCH($D1405,'통합 ④ 설정'!$B$6:$B$40,0)),""))</f>
        <v/>
      </c>
      <c r="G1405" s="39"/>
      <c r="H1405" s="39"/>
      <c r="I1405" s="40"/>
      <c r="J1405" s="41"/>
      <c r="K1405" s="38"/>
      <c r="L1405" s="42" t="str">
        <f aca="false">IF($B1405="","",IF(AND(N($I1405)=0,N($J1405)=0),"금액이 없습니다",IF(AND($I1405&gt;0,$J1405&gt;0),"수입·지출 둘 다 적혔습니다",IF($C1405="","결제수단을 고르십시오",IF(ISNA(MATCH($C1405,'통합 ③ 통장·카드'!$A$5:$A$11,0)),"③ 통장·카드에 없는 결제수단입니다",IF($D1405="","계정과목을 고르십시오",IF($E1405="※없는 과목","④ 설정에 없는 과목입니다",IF(AND($E1405="수입",$J1405&gt;0),"수입 과목인데 지출에 적혔습니다",IF(AND(LEFT($E1405,2)&lt;&gt;"수입",$E1405&lt;&gt;"대체",$I1405&gt;0),"지출 과목인데 수입에 적혔습니다",IF($K1405="","증빙을 고르십시오",IF(AND($C1405="바우처통장",$J1405&gt;0,IFERROR(INDEX('통합 ④ 설정'!$E$6:$E$40,MATCH($D1405,'통합 ④ 설정'!$B$6:$B$40,0)),"")&lt;&gt;"○"),"바우처통장 지출 — 목적 확인",IF($H1405="","적요를 적으십시오",""))))))))))))</f>
        <v/>
      </c>
      <c r="M1405" s="39"/>
      <c r="O1405" s="11" t="str">
        <f aca="false">IF($B1405="","",YEAR($B1405)*100+MONTH($B1405))</f>
        <v/>
      </c>
      <c r="P1405" s="11" t="str">
        <f aca="false">IF($B1405="","",IF($E1405="대체",0,1))</f>
        <v/>
      </c>
    </row>
    <row r="1406" customFormat="false" ht="15" hidden="false" customHeight="false" outlineLevel="0" collapsed="false">
      <c r="A1406" s="36" t="str">
        <f aca="false">IF($B1406="","",COUNT($B$15:$B1406))</f>
        <v/>
      </c>
      <c r="B1406" s="37"/>
      <c r="C1406" s="38"/>
      <c r="D1406" s="39"/>
      <c r="E1406" s="36" t="str">
        <f aca="false">IF($D1406="","",IFERROR(INDEX('통합 ④ 설정'!$A$6:$A$40,MATCH($D1406,'통합 ④ 설정'!$B$6:$B$40,0)),"※없는 과목"))</f>
        <v/>
      </c>
      <c r="F1406" s="36" t="str">
        <f aca="false">IF($D1406="","",IFERROR(INDEX('통합 ④ 설정'!$C$6:$C$40,MATCH($D1406,'통합 ④ 설정'!$B$6:$B$40,0)),""))</f>
        <v/>
      </c>
      <c r="G1406" s="39"/>
      <c r="H1406" s="39"/>
      <c r="I1406" s="40"/>
      <c r="J1406" s="41"/>
      <c r="K1406" s="38"/>
      <c r="L1406" s="42" t="str">
        <f aca="false">IF($B1406="","",IF(AND(N($I1406)=0,N($J1406)=0),"금액이 없습니다",IF(AND($I1406&gt;0,$J1406&gt;0),"수입·지출 둘 다 적혔습니다",IF($C1406="","결제수단을 고르십시오",IF(ISNA(MATCH($C1406,'통합 ③ 통장·카드'!$A$5:$A$11,0)),"③ 통장·카드에 없는 결제수단입니다",IF($D1406="","계정과목을 고르십시오",IF($E1406="※없는 과목","④ 설정에 없는 과목입니다",IF(AND($E1406="수입",$J1406&gt;0),"수입 과목인데 지출에 적혔습니다",IF(AND(LEFT($E1406,2)&lt;&gt;"수입",$E1406&lt;&gt;"대체",$I1406&gt;0),"지출 과목인데 수입에 적혔습니다",IF($K1406="","증빙을 고르십시오",IF(AND($C1406="바우처통장",$J1406&gt;0,IFERROR(INDEX('통합 ④ 설정'!$E$6:$E$40,MATCH($D1406,'통합 ④ 설정'!$B$6:$B$40,0)),"")&lt;&gt;"○"),"바우처통장 지출 — 목적 확인",IF($H1406="","적요를 적으십시오",""))))))))))))</f>
        <v/>
      </c>
      <c r="M1406" s="39"/>
      <c r="O1406" s="11" t="str">
        <f aca="false">IF($B1406="","",YEAR($B1406)*100+MONTH($B1406))</f>
        <v/>
      </c>
      <c r="P1406" s="11" t="str">
        <f aca="false">IF($B1406="","",IF($E1406="대체",0,1))</f>
        <v/>
      </c>
    </row>
    <row r="1407" customFormat="false" ht="15" hidden="false" customHeight="false" outlineLevel="0" collapsed="false">
      <c r="A1407" s="36" t="str">
        <f aca="false">IF($B1407="","",COUNT($B$15:$B1407))</f>
        <v/>
      </c>
      <c r="B1407" s="37"/>
      <c r="C1407" s="38"/>
      <c r="D1407" s="39"/>
      <c r="E1407" s="36" t="str">
        <f aca="false">IF($D1407="","",IFERROR(INDEX('통합 ④ 설정'!$A$6:$A$40,MATCH($D1407,'통합 ④ 설정'!$B$6:$B$40,0)),"※없는 과목"))</f>
        <v/>
      </c>
      <c r="F1407" s="36" t="str">
        <f aca="false">IF($D1407="","",IFERROR(INDEX('통합 ④ 설정'!$C$6:$C$40,MATCH($D1407,'통합 ④ 설정'!$B$6:$B$40,0)),""))</f>
        <v/>
      </c>
      <c r="G1407" s="39"/>
      <c r="H1407" s="39"/>
      <c r="I1407" s="40"/>
      <c r="J1407" s="41"/>
      <c r="K1407" s="38"/>
      <c r="L1407" s="42" t="str">
        <f aca="false">IF($B1407="","",IF(AND(N($I1407)=0,N($J1407)=0),"금액이 없습니다",IF(AND($I1407&gt;0,$J1407&gt;0),"수입·지출 둘 다 적혔습니다",IF($C1407="","결제수단을 고르십시오",IF(ISNA(MATCH($C1407,'통합 ③ 통장·카드'!$A$5:$A$11,0)),"③ 통장·카드에 없는 결제수단입니다",IF($D1407="","계정과목을 고르십시오",IF($E1407="※없는 과목","④ 설정에 없는 과목입니다",IF(AND($E1407="수입",$J1407&gt;0),"수입 과목인데 지출에 적혔습니다",IF(AND(LEFT($E1407,2)&lt;&gt;"수입",$E1407&lt;&gt;"대체",$I1407&gt;0),"지출 과목인데 수입에 적혔습니다",IF($K1407="","증빙을 고르십시오",IF(AND($C1407="바우처통장",$J1407&gt;0,IFERROR(INDEX('통합 ④ 설정'!$E$6:$E$40,MATCH($D1407,'통합 ④ 설정'!$B$6:$B$40,0)),"")&lt;&gt;"○"),"바우처통장 지출 — 목적 확인",IF($H1407="","적요를 적으십시오",""))))))))))))</f>
        <v/>
      </c>
      <c r="M1407" s="39"/>
      <c r="O1407" s="11" t="str">
        <f aca="false">IF($B1407="","",YEAR($B1407)*100+MONTH($B1407))</f>
        <v/>
      </c>
      <c r="P1407" s="11" t="str">
        <f aca="false">IF($B1407="","",IF($E1407="대체",0,1))</f>
        <v/>
      </c>
    </row>
    <row r="1408" customFormat="false" ht="15" hidden="false" customHeight="false" outlineLevel="0" collapsed="false">
      <c r="A1408" s="36" t="str">
        <f aca="false">IF($B1408="","",COUNT($B$15:$B1408))</f>
        <v/>
      </c>
      <c r="B1408" s="37"/>
      <c r="C1408" s="38"/>
      <c r="D1408" s="39"/>
      <c r="E1408" s="36" t="str">
        <f aca="false">IF($D1408="","",IFERROR(INDEX('통합 ④ 설정'!$A$6:$A$40,MATCH($D1408,'통합 ④ 설정'!$B$6:$B$40,0)),"※없는 과목"))</f>
        <v/>
      </c>
      <c r="F1408" s="36" t="str">
        <f aca="false">IF($D1408="","",IFERROR(INDEX('통합 ④ 설정'!$C$6:$C$40,MATCH($D1408,'통합 ④ 설정'!$B$6:$B$40,0)),""))</f>
        <v/>
      </c>
      <c r="G1408" s="39"/>
      <c r="H1408" s="39"/>
      <c r="I1408" s="40"/>
      <c r="J1408" s="41"/>
      <c r="K1408" s="38"/>
      <c r="L1408" s="42" t="str">
        <f aca="false">IF($B1408="","",IF(AND(N($I1408)=0,N($J1408)=0),"금액이 없습니다",IF(AND($I1408&gt;0,$J1408&gt;0),"수입·지출 둘 다 적혔습니다",IF($C1408="","결제수단을 고르십시오",IF(ISNA(MATCH($C1408,'통합 ③ 통장·카드'!$A$5:$A$11,0)),"③ 통장·카드에 없는 결제수단입니다",IF($D1408="","계정과목을 고르십시오",IF($E1408="※없는 과목","④ 설정에 없는 과목입니다",IF(AND($E1408="수입",$J1408&gt;0),"수입 과목인데 지출에 적혔습니다",IF(AND(LEFT($E1408,2)&lt;&gt;"수입",$E1408&lt;&gt;"대체",$I1408&gt;0),"지출 과목인데 수입에 적혔습니다",IF($K1408="","증빙을 고르십시오",IF(AND($C1408="바우처통장",$J1408&gt;0,IFERROR(INDEX('통합 ④ 설정'!$E$6:$E$40,MATCH($D1408,'통합 ④ 설정'!$B$6:$B$40,0)),"")&lt;&gt;"○"),"바우처통장 지출 — 목적 확인",IF($H1408="","적요를 적으십시오",""))))))))))))</f>
        <v/>
      </c>
      <c r="M1408" s="39"/>
      <c r="O1408" s="11" t="str">
        <f aca="false">IF($B1408="","",YEAR($B1408)*100+MONTH($B1408))</f>
        <v/>
      </c>
      <c r="P1408" s="11" t="str">
        <f aca="false">IF($B1408="","",IF($E1408="대체",0,1))</f>
        <v/>
      </c>
    </row>
    <row r="1409" customFormat="false" ht="15" hidden="false" customHeight="false" outlineLevel="0" collapsed="false">
      <c r="A1409" s="36" t="str">
        <f aca="false">IF($B1409="","",COUNT($B$15:$B1409))</f>
        <v/>
      </c>
      <c r="B1409" s="37"/>
      <c r="C1409" s="38"/>
      <c r="D1409" s="39"/>
      <c r="E1409" s="36" t="str">
        <f aca="false">IF($D1409="","",IFERROR(INDEX('통합 ④ 설정'!$A$6:$A$40,MATCH($D1409,'통합 ④ 설정'!$B$6:$B$40,0)),"※없는 과목"))</f>
        <v/>
      </c>
      <c r="F1409" s="36" t="str">
        <f aca="false">IF($D1409="","",IFERROR(INDEX('통합 ④ 설정'!$C$6:$C$40,MATCH($D1409,'통합 ④ 설정'!$B$6:$B$40,0)),""))</f>
        <v/>
      </c>
      <c r="G1409" s="39"/>
      <c r="H1409" s="39"/>
      <c r="I1409" s="40"/>
      <c r="J1409" s="41"/>
      <c r="K1409" s="38"/>
      <c r="L1409" s="42" t="str">
        <f aca="false">IF($B1409="","",IF(AND(N($I1409)=0,N($J1409)=0),"금액이 없습니다",IF(AND($I1409&gt;0,$J1409&gt;0),"수입·지출 둘 다 적혔습니다",IF($C1409="","결제수단을 고르십시오",IF(ISNA(MATCH($C1409,'통합 ③ 통장·카드'!$A$5:$A$11,0)),"③ 통장·카드에 없는 결제수단입니다",IF($D1409="","계정과목을 고르십시오",IF($E1409="※없는 과목","④ 설정에 없는 과목입니다",IF(AND($E1409="수입",$J1409&gt;0),"수입 과목인데 지출에 적혔습니다",IF(AND(LEFT($E1409,2)&lt;&gt;"수입",$E1409&lt;&gt;"대체",$I1409&gt;0),"지출 과목인데 수입에 적혔습니다",IF($K1409="","증빙을 고르십시오",IF(AND($C1409="바우처통장",$J1409&gt;0,IFERROR(INDEX('통합 ④ 설정'!$E$6:$E$40,MATCH($D1409,'통합 ④ 설정'!$B$6:$B$40,0)),"")&lt;&gt;"○"),"바우처통장 지출 — 목적 확인",IF($H1409="","적요를 적으십시오",""))))))))))))</f>
        <v/>
      </c>
      <c r="M1409" s="39"/>
      <c r="O1409" s="11" t="str">
        <f aca="false">IF($B1409="","",YEAR($B1409)*100+MONTH($B1409))</f>
        <v/>
      </c>
      <c r="P1409" s="11" t="str">
        <f aca="false">IF($B1409="","",IF($E1409="대체",0,1))</f>
        <v/>
      </c>
    </row>
    <row r="1410" customFormat="false" ht="15" hidden="false" customHeight="false" outlineLevel="0" collapsed="false">
      <c r="A1410" s="36" t="str">
        <f aca="false">IF($B1410="","",COUNT($B$15:$B1410))</f>
        <v/>
      </c>
      <c r="B1410" s="37"/>
      <c r="C1410" s="38"/>
      <c r="D1410" s="39"/>
      <c r="E1410" s="36" t="str">
        <f aca="false">IF($D1410="","",IFERROR(INDEX('통합 ④ 설정'!$A$6:$A$40,MATCH($D1410,'통합 ④ 설정'!$B$6:$B$40,0)),"※없는 과목"))</f>
        <v/>
      </c>
      <c r="F1410" s="36" t="str">
        <f aca="false">IF($D1410="","",IFERROR(INDEX('통합 ④ 설정'!$C$6:$C$40,MATCH($D1410,'통합 ④ 설정'!$B$6:$B$40,0)),""))</f>
        <v/>
      </c>
      <c r="G1410" s="39"/>
      <c r="H1410" s="39"/>
      <c r="I1410" s="40"/>
      <c r="J1410" s="41"/>
      <c r="K1410" s="38"/>
      <c r="L1410" s="42" t="str">
        <f aca="false">IF($B1410="","",IF(AND(N($I1410)=0,N($J1410)=0),"금액이 없습니다",IF(AND($I1410&gt;0,$J1410&gt;0),"수입·지출 둘 다 적혔습니다",IF($C1410="","결제수단을 고르십시오",IF(ISNA(MATCH($C1410,'통합 ③ 통장·카드'!$A$5:$A$11,0)),"③ 통장·카드에 없는 결제수단입니다",IF($D1410="","계정과목을 고르십시오",IF($E1410="※없는 과목","④ 설정에 없는 과목입니다",IF(AND($E1410="수입",$J1410&gt;0),"수입 과목인데 지출에 적혔습니다",IF(AND(LEFT($E1410,2)&lt;&gt;"수입",$E1410&lt;&gt;"대체",$I1410&gt;0),"지출 과목인데 수입에 적혔습니다",IF($K1410="","증빙을 고르십시오",IF(AND($C1410="바우처통장",$J1410&gt;0,IFERROR(INDEX('통합 ④ 설정'!$E$6:$E$40,MATCH($D1410,'통합 ④ 설정'!$B$6:$B$40,0)),"")&lt;&gt;"○"),"바우처통장 지출 — 목적 확인",IF($H1410="","적요를 적으십시오",""))))))))))))</f>
        <v/>
      </c>
      <c r="M1410" s="39"/>
      <c r="O1410" s="11" t="str">
        <f aca="false">IF($B1410="","",YEAR($B1410)*100+MONTH($B1410))</f>
        <v/>
      </c>
      <c r="P1410" s="11" t="str">
        <f aca="false">IF($B1410="","",IF($E1410="대체",0,1))</f>
        <v/>
      </c>
    </row>
    <row r="1411" customFormat="false" ht="15" hidden="false" customHeight="false" outlineLevel="0" collapsed="false">
      <c r="A1411" s="36" t="str">
        <f aca="false">IF($B1411="","",COUNT($B$15:$B1411))</f>
        <v/>
      </c>
      <c r="B1411" s="37"/>
      <c r="C1411" s="38"/>
      <c r="D1411" s="39"/>
      <c r="E1411" s="36" t="str">
        <f aca="false">IF($D1411="","",IFERROR(INDEX('통합 ④ 설정'!$A$6:$A$40,MATCH($D1411,'통합 ④ 설정'!$B$6:$B$40,0)),"※없는 과목"))</f>
        <v/>
      </c>
      <c r="F1411" s="36" t="str">
        <f aca="false">IF($D1411="","",IFERROR(INDEX('통합 ④ 설정'!$C$6:$C$40,MATCH($D1411,'통합 ④ 설정'!$B$6:$B$40,0)),""))</f>
        <v/>
      </c>
      <c r="G1411" s="39"/>
      <c r="H1411" s="39"/>
      <c r="I1411" s="40"/>
      <c r="J1411" s="41"/>
      <c r="K1411" s="38"/>
      <c r="L1411" s="42" t="str">
        <f aca="false">IF($B1411="","",IF(AND(N($I1411)=0,N($J1411)=0),"금액이 없습니다",IF(AND($I1411&gt;0,$J1411&gt;0),"수입·지출 둘 다 적혔습니다",IF($C1411="","결제수단을 고르십시오",IF(ISNA(MATCH($C1411,'통합 ③ 통장·카드'!$A$5:$A$11,0)),"③ 통장·카드에 없는 결제수단입니다",IF($D1411="","계정과목을 고르십시오",IF($E1411="※없는 과목","④ 설정에 없는 과목입니다",IF(AND($E1411="수입",$J1411&gt;0),"수입 과목인데 지출에 적혔습니다",IF(AND(LEFT($E1411,2)&lt;&gt;"수입",$E1411&lt;&gt;"대체",$I1411&gt;0),"지출 과목인데 수입에 적혔습니다",IF($K1411="","증빙을 고르십시오",IF(AND($C1411="바우처통장",$J1411&gt;0,IFERROR(INDEX('통합 ④ 설정'!$E$6:$E$40,MATCH($D1411,'통합 ④ 설정'!$B$6:$B$40,0)),"")&lt;&gt;"○"),"바우처통장 지출 — 목적 확인",IF($H1411="","적요를 적으십시오",""))))))))))))</f>
        <v/>
      </c>
      <c r="M1411" s="39"/>
      <c r="O1411" s="11" t="str">
        <f aca="false">IF($B1411="","",YEAR($B1411)*100+MONTH($B1411))</f>
        <v/>
      </c>
      <c r="P1411" s="11" t="str">
        <f aca="false">IF($B1411="","",IF($E1411="대체",0,1))</f>
        <v/>
      </c>
    </row>
    <row r="1412" customFormat="false" ht="15" hidden="false" customHeight="false" outlineLevel="0" collapsed="false">
      <c r="A1412" s="36" t="str">
        <f aca="false">IF($B1412="","",COUNT($B$15:$B1412))</f>
        <v/>
      </c>
      <c r="B1412" s="37"/>
      <c r="C1412" s="38"/>
      <c r="D1412" s="39"/>
      <c r="E1412" s="36" t="str">
        <f aca="false">IF($D1412="","",IFERROR(INDEX('통합 ④ 설정'!$A$6:$A$40,MATCH($D1412,'통합 ④ 설정'!$B$6:$B$40,0)),"※없는 과목"))</f>
        <v/>
      </c>
      <c r="F1412" s="36" t="str">
        <f aca="false">IF($D1412="","",IFERROR(INDEX('통합 ④ 설정'!$C$6:$C$40,MATCH($D1412,'통합 ④ 설정'!$B$6:$B$40,0)),""))</f>
        <v/>
      </c>
      <c r="G1412" s="39"/>
      <c r="H1412" s="39"/>
      <c r="I1412" s="40"/>
      <c r="J1412" s="41"/>
      <c r="K1412" s="38"/>
      <c r="L1412" s="42" t="str">
        <f aca="false">IF($B1412="","",IF(AND(N($I1412)=0,N($J1412)=0),"금액이 없습니다",IF(AND($I1412&gt;0,$J1412&gt;0),"수입·지출 둘 다 적혔습니다",IF($C1412="","결제수단을 고르십시오",IF(ISNA(MATCH($C1412,'통합 ③ 통장·카드'!$A$5:$A$11,0)),"③ 통장·카드에 없는 결제수단입니다",IF($D1412="","계정과목을 고르십시오",IF($E1412="※없는 과목","④ 설정에 없는 과목입니다",IF(AND($E1412="수입",$J1412&gt;0),"수입 과목인데 지출에 적혔습니다",IF(AND(LEFT($E1412,2)&lt;&gt;"수입",$E1412&lt;&gt;"대체",$I1412&gt;0),"지출 과목인데 수입에 적혔습니다",IF($K1412="","증빙을 고르십시오",IF(AND($C1412="바우처통장",$J1412&gt;0,IFERROR(INDEX('통합 ④ 설정'!$E$6:$E$40,MATCH($D1412,'통합 ④ 설정'!$B$6:$B$40,0)),"")&lt;&gt;"○"),"바우처통장 지출 — 목적 확인",IF($H1412="","적요를 적으십시오",""))))))))))))</f>
        <v/>
      </c>
      <c r="M1412" s="39"/>
      <c r="O1412" s="11" t="str">
        <f aca="false">IF($B1412="","",YEAR($B1412)*100+MONTH($B1412))</f>
        <v/>
      </c>
      <c r="P1412" s="11" t="str">
        <f aca="false">IF($B1412="","",IF($E1412="대체",0,1))</f>
        <v/>
      </c>
    </row>
    <row r="1413" customFormat="false" ht="15" hidden="false" customHeight="false" outlineLevel="0" collapsed="false">
      <c r="A1413" s="36" t="str">
        <f aca="false">IF($B1413="","",COUNT($B$15:$B1413))</f>
        <v/>
      </c>
      <c r="B1413" s="37"/>
      <c r="C1413" s="38"/>
      <c r="D1413" s="39"/>
      <c r="E1413" s="36" t="str">
        <f aca="false">IF($D1413="","",IFERROR(INDEX('통합 ④ 설정'!$A$6:$A$40,MATCH($D1413,'통합 ④ 설정'!$B$6:$B$40,0)),"※없는 과목"))</f>
        <v/>
      </c>
      <c r="F1413" s="36" t="str">
        <f aca="false">IF($D1413="","",IFERROR(INDEX('통합 ④ 설정'!$C$6:$C$40,MATCH($D1413,'통합 ④ 설정'!$B$6:$B$40,0)),""))</f>
        <v/>
      </c>
      <c r="G1413" s="39"/>
      <c r="H1413" s="39"/>
      <c r="I1413" s="40"/>
      <c r="J1413" s="41"/>
      <c r="K1413" s="38"/>
      <c r="L1413" s="42" t="str">
        <f aca="false">IF($B1413="","",IF(AND(N($I1413)=0,N($J1413)=0),"금액이 없습니다",IF(AND($I1413&gt;0,$J1413&gt;0),"수입·지출 둘 다 적혔습니다",IF($C1413="","결제수단을 고르십시오",IF(ISNA(MATCH($C1413,'통합 ③ 통장·카드'!$A$5:$A$11,0)),"③ 통장·카드에 없는 결제수단입니다",IF($D1413="","계정과목을 고르십시오",IF($E1413="※없는 과목","④ 설정에 없는 과목입니다",IF(AND($E1413="수입",$J1413&gt;0),"수입 과목인데 지출에 적혔습니다",IF(AND(LEFT($E1413,2)&lt;&gt;"수입",$E1413&lt;&gt;"대체",$I1413&gt;0),"지출 과목인데 수입에 적혔습니다",IF($K1413="","증빙을 고르십시오",IF(AND($C1413="바우처통장",$J1413&gt;0,IFERROR(INDEX('통합 ④ 설정'!$E$6:$E$40,MATCH($D1413,'통합 ④ 설정'!$B$6:$B$40,0)),"")&lt;&gt;"○"),"바우처통장 지출 — 목적 확인",IF($H1413="","적요를 적으십시오",""))))))))))))</f>
        <v/>
      </c>
      <c r="M1413" s="39"/>
      <c r="O1413" s="11" t="str">
        <f aca="false">IF($B1413="","",YEAR($B1413)*100+MONTH($B1413))</f>
        <v/>
      </c>
      <c r="P1413" s="11" t="str">
        <f aca="false">IF($B1413="","",IF($E1413="대체",0,1))</f>
        <v/>
      </c>
    </row>
    <row r="1414" customFormat="false" ht="15" hidden="false" customHeight="false" outlineLevel="0" collapsed="false">
      <c r="A1414" s="36" t="str">
        <f aca="false">IF($B1414="","",COUNT($B$15:$B1414))</f>
        <v/>
      </c>
      <c r="B1414" s="37"/>
      <c r="C1414" s="38"/>
      <c r="D1414" s="39"/>
      <c r="E1414" s="36" t="str">
        <f aca="false">IF($D1414="","",IFERROR(INDEX('통합 ④ 설정'!$A$6:$A$40,MATCH($D1414,'통합 ④ 설정'!$B$6:$B$40,0)),"※없는 과목"))</f>
        <v/>
      </c>
      <c r="F1414" s="36" t="str">
        <f aca="false">IF($D1414="","",IFERROR(INDEX('통합 ④ 설정'!$C$6:$C$40,MATCH($D1414,'통합 ④ 설정'!$B$6:$B$40,0)),""))</f>
        <v/>
      </c>
      <c r="G1414" s="39"/>
      <c r="H1414" s="39"/>
      <c r="I1414" s="40"/>
      <c r="J1414" s="41"/>
      <c r="K1414" s="38"/>
      <c r="L1414" s="42" t="str">
        <f aca="false">IF($B1414="","",IF(AND(N($I1414)=0,N($J1414)=0),"금액이 없습니다",IF(AND($I1414&gt;0,$J1414&gt;0),"수입·지출 둘 다 적혔습니다",IF($C1414="","결제수단을 고르십시오",IF(ISNA(MATCH($C1414,'통합 ③ 통장·카드'!$A$5:$A$11,0)),"③ 통장·카드에 없는 결제수단입니다",IF($D1414="","계정과목을 고르십시오",IF($E1414="※없는 과목","④ 설정에 없는 과목입니다",IF(AND($E1414="수입",$J1414&gt;0),"수입 과목인데 지출에 적혔습니다",IF(AND(LEFT($E1414,2)&lt;&gt;"수입",$E1414&lt;&gt;"대체",$I1414&gt;0),"지출 과목인데 수입에 적혔습니다",IF($K1414="","증빙을 고르십시오",IF(AND($C1414="바우처통장",$J1414&gt;0,IFERROR(INDEX('통합 ④ 설정'!$E$6:$E$40,MATCH($D1414,'통합 ④ 설정'!$B$6:$B$40,0)),"")&lt;&gt;"○"),"바우처통장 지출 — 목적 확인",IF($H1414="","적요를 적으십시오",""))))))))))))</f>
        <v/>
      </c>
      <c r="M1414" s="39"/>
      <c r="O1414" s="11" t="str">
        <f aca="false">IF($B1414="","",YEAR($B1414)*100+MONTH($B1414))</f>
        <v/>
      </c>
      <c r="P1414" s="11" t="str">
        <f aca="false">IF($B1414="","",IF($E1414="대체",0,1))</f>
        <v/>
      </c>
    </row>
    <row r="1415" customFormat="false" ht="15" hidden="false" customHeight="false" outlineLevel="0" collapsed="false">
      <c r="A1415" s="36" t="str">
        <f aca="false">IF($B1415="","",COUNT($B$15:$B1415))</f>
        <v/>
      </c>
      <c r="B1415" s="37"/>
      <c r="C1415" s="38"/>
      <c r="D1415" s="39"/>
      <c r="E1415" s="36" t="str">
        <f aca="false">IF($D1415="","",IFERROR(INDEX('통합 ④ 설정'!$A$6:$A$40,MATCH($D1415,'통합 ④ 설정'!$B$6:$B$40,0)),"※없는 과목"))</f>
        <v/>
      </c>
      <c r="F1415" s="36" t="str">
        <f aca="false">IF($D1415="","",IFERROR(INDEX('통합 ④ 설정'!$C$6:$C$40,MATCH($D1415,'통합 ④ 설정'!$B$6:$B$40,0)),""))</f>
        <v/>
      </c>
      <c r="G1415" s="39"/>
      <c r="H1415" s="39"/>
      <c r="I1415" s="40"/>
      <c r="J1415" s="41"/>
      <c r="K1415" s="38"/>
      <c r="L1415" s="42" t="str">
        <f aca="false">IF($B1415="","",IF(AND(N($I1415)=0,N($J1415)=0),"금액이 없습니다",IF(AND($I1415&gt;0,$J1415&gt;0),"수입·지출 둘 다 적혔습니다",IF($C1415="","결제수단을 고르십시오",IF(ISNA(MATCH($C1415,'통합 ③ 통장·카드'!$A$5:$A$11,0)),"③ 통장·카드에 없는 결제수단입니다",IF($D1415="","계정과목을 고르십시오",IF($E1415="※없는 과목","④ 설정에 없는 과목입니다",IF(AND($E1415="수입",$J1415&gt;0),"수입 과목인데 지출에 적혔습니다",IF(AND(LEFT($E1415,2)&lt;&gt;"수입",$E1415&lt;&gt;"대체",$I1415&gt;0),"지출 과목인데 수입에 적혔습니다",IF($K1415="","증빙을 고르십시오",IF(AND($C1415="바우처통장",$J1415&gt;0,IFERROR(INDEX('통합 ④ 설정'!$E$6:$E$40,MATCH($D1415,'통합 ④ 설정'!$B$6:$B$40,0)),"")&lt;&gt;"○"),"바우처통장 지출 — 목적 확인",IF($H1415="","적요를 적으십시오",""))))))))))))</f>
        <v/>
      </c>
      <c r="M1415" s="39"/>
      <c r="O1415" s="11" t="str">
        <f aca="false">IF($B1415="","",YEAR($B1415)*100+MONTH($B1415))</f>
        <v/>
      </c>
      <c r="P1415" s="11" t="str">
        <f aca="false">IF($B1415="","",IF($E1415="대체",0,1))</f>
        <v/>
      </c>
    </row>
    <row r="1416" customFormat="false" ht="15" hidden="false" customHeight="false" outlineLevel="0" collapsed="false">
      <c r="A1416" s="36" t="str">
        <f aca="false">IF($B1416="","",COUNT($B$15:$B1416))</f>
        <v/>
      </c>
      <c r="B1416" s="37"/>
      <c r="C1416" s="38"/>
      <c r="D1416" s="39"/>
      <c r="E1416" s="36" t="str">
        <f aca="false">IF($D1416="","",IFERROR(INDEX('통합 ④ 설정'!$A$6:$A$40,MATCH($D1416,'통합 ④ 설정'!$B$6:$B$40,0)),"※없는 과목"))</f>
        <v/>
      </c>
      <c r="F1416" s="36" t="str">
        <f aca="false">IF($D1416="","",IFERROR(INDEX('통합 ④ 설정'!$C$6:$C$40,MATCH($D1416,'통합 ④ 설정'!$B$6:$B$40,0)),""))</f>
        <v/>
      </c>
      <c r="G1416" s="39"/>
      <c r="H1416" s="39"/>
      <c r="I1416" s="40"/>
      <c r="J1416" s="41"/>
      <c r="K1416" s="38"/>
      <c r="L1416" s="42" t="str">
        <f aca="false">IF($B1416="","",IF(AND(N($I1416)=0,N($J1416)=0),"금액이 없습니다",IF(AND($I1416&gt;0,$J1416&gt;0),"수입·지출 둘 다 적혔습니다",IF($C1416="","결제수단을 고르십시오",IF(ISNA(MATCH($C1416,'통합 ③ 통장·카드'!$A$5:$A$11,0)),"③ 통장·카드에 없는 결제수단입니다",IF($D1416="","계정과목을 고르십시오",IF($E1416="※없는 과목","④ 설정에 없는 과목입니다",IF(AND($E1416="수입",$J1416&gt;0),"수입 과목인데 지출에 적혔습니다",IF(AND(LEFT($E1416,2)&lt;&gt;"수입",$E1416&lt;&gt;"대체",$I1416&gt;0),"지출 과목인데 수입에 적혔습니다",IF($K1416="","증빙을 고르십시오",IF(AND($C1416="바우처통장",$J1416&gt;0,IFERROR(INDEX('통합 ④ 설정'!$E$6:$E$40,MATCH($D1416,'통합 ④ 설정'!$B$6:$B$40,0)),"")&lt;&gt;"○"),"바우처통장 지출 — 목적 확인",IF($H1416="","적요를 적으십시오",""))))))))))))</f>
        <v/>
      </c>
      <c r="M1416" s="39"/>
      <c r="O1416" s="11" t="str">
        <f aca="false">IF($B1416="","",YEAR($B1416)*100+MONTH($B1416))</f>
        <v/>
      </c>
      <c r="P1416" s="11" t="str">
        <f aca="false">IF($B1416="","",IF($E1416="대체",0,1))</f>
        <v/>
      </c>
    </row>
    <row r="1417" customFormat="false" ht="15" hidden="false" customHeight="false" outlineLevel="0" collapsed="false">
      <c r="A1417" s="36" t="str">
        <f aca="false">IF($B1417="","",COUNT($B$15:$B1417))</f>
        <v/>
      </c>
      <c r="B1417" s="37"/>
      <c r="C1417" s="38"/>
      <c r="D1417" s="39"/>
      <c r="E1417" s="36" t="str">
        <f aca="false">IF($D1417="","",IFERROR(INDEX('통합 ④ 설정'!$A$6:$A$40,MATCH($D1417,'통합 ④ 설정'!$B$6:$B$40,0)),"※없는 과목"))</f>
        <v/>
      </c>
      <c r="F1417" s="36" t="str">
        <f aca="false">IF($D1417="","",IFERROR(INDEX('통합 ④ 설정'!$C$6:$C$40,MATCH($D1417,'통합 ④ 설정'!$B$6:$B$40,0)),""))</f>
        <v/>
      </c>
      <c r="G1417" s="39"/>
      <c r="H1417" s="39"/>
      <c r="I1417" s="40"/>
      <c r="J1417" s="41"/>
      <c r="K1417" s="38"/>
      <c r="L1417" s="42" t="str">
        <f aca="false">IF($B1417="","",IF(AND(N($I1417)=0,N($J1417)=0),"금액이 없습니다",IF(AND($I1417&gt;0,$J1417&gt;0),"수입·지출 둘 다 적혔습니다",IF($C1417="","결제수단을 고르십시오",IF(ISNA(MATCH($C1417,'통합 ③ 통장·카드'!$A$5:$A$11,0)),"③ 통장·카드에 없는 결제수단입니다",IF($D1417="","계정과목을 고르십시오",IF($E1417="※없는 과목","④ 설정에 없는 과목입니다",IF(AND($E1417="수입",$J1417&gt;0),"수입 과목인데 지출에 적혔습니다",IF(AND(LEFT($E1417,2)&lt;&gt;"수입",$E1417&lt;&gt;"대체",$I1417&gt;0),"지출 과목인데 수입에 적혔습니다",IF($K1417="","증빙을 고르십시오",IF(AND($C1417="바우처통장",$J1417&gt;0,IFERROR(INDEX('통합 ④ 설정'!$E$6:$E$40,MATCH($D1417,'통합 ④ 설정'!$B$6:$B$40,0)),"")&lt;&gt;"○"),"바우처통장 지출 — 목적 확인",IF($H1417="","적요를 적으십시오",""))))))))))))</f>
        <v/>
      </c>
      <c r="M1417" s="39"/>
      <c r="O1417" s="11" t="str">
        <f aca="false">IF($B1417="","",YEAR($B1417)*100+MONTH($B1417))</f>
        <v/>
      </c>
      <c r="P1417" s="11" t="str">
        <f aca="false">IF($B1417="","",IF($E1417="대체",0,1))</f>
        <v/>
      </c>
    </row>
    <row r="1418" customFormat="false" ht="15" hidden="false" customHeight="false" outlineLevel="0" collapsed="false">
      <c r="A1418" s="36" t="str">
        <f aca="false">IF($B1418="","",COUNT($B$15:$B1418))</f>
        <v/>
      </c>
      <c r="B1418" s="37"/>
      <c r="C1418" s="38"/>
      <c r="D1418" s="39"/>
      <c r="E1418" s="36" t="str">
        <f aca="false">IF($D1418="","",IFERROR(INDEX('통합 ④ 설정'!$A$6:$A$40,MATCH($D1418,'통합 ④ 설정'!$B$6:$B$40,0)),"※없는 과목"))</f>
        <v/>
      </c>
      <c r="F1418" s="36" t="str">
        <f aca="false">IF($D1418="","",IFERROR(INDEX('통합 ④ 설정'!$C$6:$C$40,MATCH($D1418,'통합 ④ 설정'!$B$6:$B$40,0)),""))</f>
        <v/>
      </c>
      <c r="G1418" s="39"/>
      <c r="H1418" s="39"/>
      <c r="I1418" s="40"/>
      <c r="J1418" s="41"/>
      <c r="K1418" s="38"/>
      <c r="L1418" s="42" t="str">
        <f aca="false">IF($B1418="","",IF(AND(N($I1418)=0,N($J1418)=0),"금액이 없습니다",IF(AND($I1418&gt;0,$J1418&gt;0),"수입·지출 둘 다 적혔습니다",IF($C1418="","결제수단을 고르십시오",IF(ISNA(MATCH($C1418,'통합 ③ 통장·카드'!$A$5:$A$11,0)),"③ 통장·카드에 없는 결제수단입니다",IF($D1418="","계정과목을 고르십시오",IF($E1418="※없는 과목","④ 설정에 없는 과목입니다",IF(AND($E1418="수입",$J1418&gt;0),"수입 과목인데 지출에 적혔습니다",IF(AND(LEFT($E1418,2)&lt;&gt;"수입",$E1418&lt;&gt;"대체",$I1418&gt;0),"지출 과목인데 수입에 적혔습니다",IF($K1418="","증빙을 고르십시오",IF(AND($C1418="바우처통장",$J1418&gt;0,IFERROR(INDEX('통합 ④ 설정'!$E$6:$E$40,MATCH($D1418,'통합 ④ 설정'!$B$6:$B$40,0)),"")&lt;&gt;"○"),"바우처통장 지출 — 목적 확인",IF($H1418="","적요를 적으십시오",""))))))))))))</f>
        <v/>
      </c>
      <c r="M1418" s="39"/>
      <c r="O1418" s="11" t="str">
        <f aca="false">IF($B1418="","",YEAR($B1418)*100+MONTH($B1418))</f>
        <v/>
      </c>
      <c r="P1418" s="11" t="str">
        <f aca="false">IF($B1418="","",IF($E1418="대체",0,1))</f>
        <v/>
      </c>
    </row>
    <row r="1419" customFormat="false" ht="15" hidden="false" customHeight="false" outlineLevel="0" collapsed="false">
      <c r="A1419" s="36" t="str">
        <f aca="false">IF($B1419="","",COUNT($B$15:$B1419))</f>
        <v/>
      </c>
      <c r="B1419" s="37"/>
      <c r="C1419" s="38"/>
      <c r="D1419" s="39"/>
      <c r="E1419" s="36" t="str">
        <f aca="false">IF($D1419="","",IFERROR(INDEX('통합 ④ 설정'!$A$6:$A$40,MATCH($D1419,'통합 ④ 설정'!$B$6:$B$40,0)),"※없는 과목"))</f>
        <v/>
      </c>
      <c r="F1419" s="36" t="str">
        <f aca="false">IF($D1419="","",IFERROR(INDEX('통합 ④ 설정'!$C$6:$C$40,MATCH($D1419,'통합 ④ 설정'!$B$6:$B$40,0)),""))</f>
        <v/>
      </c>
      <c r="G1419" s="39"/>
      <c r="H1419" s="39"/>
      <c r="I1419" s="40"/>
      <c r="J1419" s="41"/>
      <c r="K1419" s="38"/>
      <c r="L1419" s="42" t="str">
        <f aca="false">IF($B1419="","",IF(AND(N($I1419)=0,N($J1419)=0),"금액이 없습니다",IF(AND($I1419&gt;0,$J1419&gt;0),"수입·지출 둘 다 적혔습니다",IF($C1419="","결제수단을 고르십시오",IF(ISNA(MATCH($C1419,'통합 ③ 통장·카드'!$A$5:$A$11,0)),"③ 통장·카드에 없는 결제수단입니다",IF($D1419="","계정과목을 고르십시오",IF($E1419="※없는 과목","④ 설정에 없는 과목입니다",IF(AND($E1419="수입",$J1419&gt;0),"수입 과목인데 지출에 적혔습니다",IF(AND(LEFT($E1419,2)&lt;&gt;"수입",$E1419&lt;&gt;"대체",$I1419&gt;0),"지출 과목인데 수입에 적혔습니다",IF($K1419="","증빙을 고르십시오",IF(AND($C1419="바우처통장",$J1419&gt;0,IFERROR(INDEX('통합 ④ 설정'!$E$6:$E$40,MATCH($D1419,'통합 ④ 설정'!$B$6:$B$40,0)),"")&lt;&gt;"○"),"바우처통장 지출 — 목적 확인",IF($H1419="","적요를 적으십시오",""))))))))))))</f>
        <v/>
      </c>
      <c r="M1419" s="39"/>
      <c r="O1419" s="11" t="str">
        <f aca="false">IF($B1419="","",YEAR($B1419)*100+MONTH($B1419))</f>
        <v/>
      </c>
      <c r="P1419" s="11" t="str">
        <f aca="false">IF($B1419="","",IF($E1419="대체",0,1))</f>
        <v/>
      </c>
    </row>
    <row r="1420" customFormat="false" ht="15" hidden="false" customHeight="false" outlineLevel="0" collapsed="false">
      <c r="A1420" s="36" t="str">
        <f aca="false">IF($B1420="","",COUNT($B$15:$B1420))</f>
        <v/>
      </c>
      <c r="B1420" s="37"/>
      <c r="C1420" s="38"/>
      <c r="D1420" s="39"/>
      <c r="E1420" s="36" t="str">
        <f aca="false">IF($D1420="","",IFERROR(INDEX('통합 ④ 설정'!$A$6:$A$40,MATCH($D1420,'통합 ④ 설정'!$B$6:$B$40,0)),"※없는 과목"))</f>
        <v/>
      </c>
      <c r="F1420" s="36" t="str">
        <f aca="false">IF($D1420="","",IFERROR(INDEX('통합 ④ 설정'!$C$6:$C$40,MATCH($D1420,'통합 ④ 설정'!$B$6:$B$40,0)),""))</f>
        <v/>
      </c>
      <c r="G1420" s="39"/>
      <c r="H1420" s="39"/>
      <c r="I1420" s="40"/>
      <c r="J1420" s="41"/>
      <c r="K1420" s="38"/>
      <c r="L1420" s="42" t="str">
        <f aca="false">IF($B1420="","",IF(AND(N($I1420)=0,N($J1420)=0),"금액이 없습니다",IF(AND($I1420&gt;0,$J1420&gt;0),"수입·지출 둘 다 적혔습니다",IF($C1420="","결제수단을 고르십시오",IF(ISNA(MATCH($C1420,'통합 ③ 통장·카드'!$A$5:$A$11,0)),"③ 통장·카드에 없는 결제수단입니다",IF($D1420="","계정과목을 고르십시오",IF($E1420="※없는 과목","④ 설정에 없는 과목입니다",IF(AND($E1420="수입",$J1420&gt;0),"수입 과목인데 지출에 적혔습니다",IF(AND(LEFT($E1420,2)&lt;&gt;"수입",$E1420&lt;&gt;"대체",$I1420&gt;0),"지출 과목인데 수입에 적혔습니다",IF($K1420="","증빙을 고르십시오",IF(AND($C1420="바우처통장",$J1420&gt;0,IFERROR(INDEX('통합 ④ 설정'!$E$6:$E$40,MATCH($D1420,'통합 ④ 설정'!$B$6:$B$40,0)),"")&lt;&gt;"○"),"바우처통장 지출 — 목적 확인",IF($H1420="","적요를 적으십시오",""))))))))))))</f>
        <v/>
      </c>
      <c r="M1420" s="39"/>
      <c r="O1420" s="11" t="str">
        <f aca="false">IF($B1420="","",YEAR($B1420)*100+MONTH($B1420))</f>
        <v/>
      </c>
      <c r="P1420" s="11" t="str">
        <f aca="false">IF($B1420="","",IF($E1420="대체",0,1))</f>
        <v/>
      </c>
    </row>
    <row r="1421" customFormat="false" ht="15" hidden="false" customHeight="false" outlineLevel="0" collapsed="false">
      <c r="A1421" s="36" t="str">
        <f aca="false">IF($B1421="","",COUNT($B$15:$B1421))</f>
        <v/>
      </c>
      <c r="B1421" s="37"/>
      <c r="C1421" s="38"/>
      <c r="D1421" s="39"/>
      <c r="E1421" s="36" t="str">
        <f aca="false">IF($D1421="","",IFERROR(INDEX('통합 ④ 설정'!$A$6:$A$40,MATCH($D1421,'통합 ④ 설정'!$B$6:$B$40,0)),"※없는 과목"))</f>
        <v/>
      </c>
      <c r="F1421" s="36" t="str">
        <f aca="false">IF($D1421="","",IFERROR(INDEX('통합 ④ 설정'!$C$6:$C$40,MATCH($D1421,'통합 ④ 설정'!$B$6:$B$40,0)),""))</f>
        <v/>
      </c>
      <c r="G1421" s="39"/>
      <c r="H1421" s="39"/>
      <c r="I1421" s="40"/>
      <c r="J1421" s="41"/>
      <c r="K1421" s="38"/>
      <c r="L1421" s="42" t="str">
        <f aca="false">IF($B1421="","",IF(AND(N($I1421)=0,N($J1421)=0),"금액이 없습니다",IF(AND($I1421&gt;0,$J1421&gt;0),"수입·지출 둘 다 적혔습니다",IF($C1421="","결제수단을 고르십시오",IF(ISNA(MATCH($C1421,'통합 ③ 통장·카드'!$A$5:$A$11,0)),"③ 통장·카드에 없는 결제수단입니다",IF($D1421="","계정과목을 고르십시오",IF($E1421="※없는 과목","④ 설정에 없는 과목입니다",IF(AND($E1421="수입",$J1421&gt;0),"수입 과목인데 지출에 적혔습니다",IF(AND(LEFT($E1421,2)&lt;&gt;"수입",$E1421&lt;&gt;"대체",$I1421&gt;0),"지출 과목인데 수입에 적혔습니다",IF($K1421="","증빙을 고르십시오",IF(AND($C1421="바우처통장",$J1421&gt;0,IFERROR(INDEX('통합 ④ 설정'!$E$6:$E$40,MATCH($D1421,'통합 ④ 설정'!$B$6:$B$40,0)),"")&lt;&gt;"○"),"바우처통장 지출 — 목적 확인",IF($H1421="","적요를 적으십시오",""))))))))))))</f>
        <v/>
      </c>
      <c r="M1421" s="39"/>
      <c r="O1421" s="11" t="str">
        <f aca="false">IF($B1421="","",YEAR($B1421)*100+MONTH($B1421))</f>
        <v/>
      </c>
      <c r="P1421" s="11" t="str">
        <f aca="false">IF($B1421="","",IF($E1421="대체",0,1))</f>
        <v/>
      </c>
    </row>
    <row r="1422" customFormat="false" ht="15" hidden="false" customHeight="false" outlineLevel="0" collapsed="false">
      <c r="A1422" s="36" t="str">
        <f aca="false">IF($B1422="","",COUNT($B$15:$B1422))</f>
        <v/>
      </c>
      <c r="B1422" s="37"/>
      <c r="C1422" s="38"/>
      <c r="D1422" s="39"/>
      <c r="E1422" s="36" t="str">
        <f aca="false">IF($D1422="","",IFERROR(INDEX('통합 ④ 설정'!$A$6:$A$40,MATCH($D1422,'통합 ④ 설정'!$B$6:$B$40,0)),"※없는 과목"))</f>
        <v/>
      </c>
      <c r="F1422" s="36" t="str">
        <f aca="false">IF($D1422="","",IFERROR(INDEX('통합 ④ 설정'!$C$6:$C$40,MATCH($D1422,'통합 ④ 설정'!$B$6:$B$40,0)),""))</f>
        <v/>
      </c>
      <c r="G1422" s="39"/>
      <c r="H1422" s="39"/>
      <c r="I1422" s="40"/>
      <c r="J1422" s="41"/>
      <c r="K1422" s="38"/>
      <c r="L1422" s="42" t="str">
        <f aca="false">IF($B1422="","",IF(AND(N($I1422)=0,N($J1422)=0),"금액이 없습니다",IF(AND($I1422&gt;0,$J1422&gt;0),"수입·지출 둘 다 적혔습니다",IF($C1422="","결제수단을 고르십시오",IF(ISNA(MATCH($C1422,'통합 ③ 통장·카드'!$A$5:$A$11,0)),"③ 통장·카드에 없는 결제수단입니다",IF($D1422="","계정과목을 고르십시오",IF($E1422="※없는 과목","④ 설정에 없는 과목입니다",IF(AND($E1422="수입",$J1422&gt;0),"수입 과목인데 지출에 적혔습니다",IF(AND(LEFT($E1422,2)&lt;&gt;"수입",$E1422&lt;&gt;"대체",$I1422&gt;0),"지출 과목인데 수입에 적혔습니다",IF($K1422="","증빙을 고르십시오",IF(AND($C1422="바우처통장",$J1422&gt;0,IFERROR(INDEX('통합 ④ 설정'!$E$6:$E$40,MATCH($D1422,'통합 ④ 설정'!$B$6:$B$40,0)),"")&lt;&gt;"○"),"바우처통장 지출 — 목적 확인",IF($H1422="","적요를 적으십시오",""))))))))))))</f>
        <v/>
      </c>
      <c r="M1422" s="39"/>
      <c r="O1422" s="11" t="str">
        <f aca="false">IF($B1422="","",YEAR($B1422)*100+MONTH($B1422))</f>
        <v/>
      </c>
      <c r="P1422" s="11" t="str">
        <f aca="false">IF($B1422="","",IF($E1422="대체",0,1))</f>
        <v/>
      </c>
    </row>
    <row r="1423" customFormat="false" ht="15" hidden="false" customHeight="false" outlineLevel="0" collapsed="false">
      <c r="A1423" s="36" t="str">
        <f aca="false">IF($B1423="","",COUNT($B$15:$B1423))</f>
        <v/>
      </c>
      <c r="B1423" s="37"/>
      <c r="C1423" s="38"/>
      <c r="D1423" s="39"/>
      <c r="E1423" s="36" t="str">
        <f aca="false">IF($D1423="","",IFERROR(INDEX('통합 ④ 설정'!$A$6:$A$40,MATCH($D1423,'통합 ④ 설정'!$B$6:$B$40,0)),"※없는 과목"))</f>
        <v/>
      </c>
      <c r="F1423" s="36" t="str">
        <f aca="false">IF($D1423="","",IFERROR(INDEX('통합 ④ 설정'!$C$6:$C$40,MATCH($D1423,'통합 ④ 설정'!$B$6:$B$40,0)),""))</f>
        <v/>
      </c>
      <c r="G1423" s="39"/>
      <c r="H1423" s="39"/>
      <c r="I1423" s="40"/>
      <c r="J1423" s="41"/>
      <c r="K1423" s="38"/>
      <c r="L1423" s="42" t="str">
        <f aca="false">IF($B1423="","",IF(AND(N($I1423)=0,N($J1423)=0),"금액이 없습니다",IF(AND($I1423&gt;0,$J1423&gt;0),"수입·지출 둘 다 적혔습니다",IF($C1423="","결제수단을 고르십시오",IF(ISNA(MATCH($C1423,'통합 ③ 통장·카드'!$A$5:$A$11,0)),"③ 통장·카드에 없는 결제수단입니다",IF($D1423="","계정과목을 고르십시오",IF($E1423="※없는 과목","④ 설정에 없는 과목입니다",IF(AND($E1423="수입",$J1423&gt;0),"수입 과목인데 지출에 적혔습니다",IF(AND(LEFT($E1423,2)&lt;&gt;"수입",$E1423&lt;&gt;"대체",$I1423&gt;0),"지출 과목인데 수입에 적혔습니다",IF($K1423="","증빙을 고르십시오",IF(AND($C1423="바우처통장",$J1423&gt;0,IFERROR(INDEX('통합 ④ 설정'!$E$6:$E$40,MATCH($D1423,'통합 ④ 설정'!$B$6:$B$40,0)),"")&lt;&gt;"○"),"바우처통장 지출 — 목적 확인",IF($H1423="","적요를 적으십시오",""))))))))))))</f>
        <v/>
      </c>
      <c r="M1423" s="39"/>
      <c r="O1423" s="11" t="str">
        <f aca="false">IF($B1423="","",YEAR($B1423)*100+MONTH($B1423))</f>
        <v/>
      </c>
      <c r="P1423" s="11" t="str">
        <f aca="false">IF($B1423="","",IF($E1423="대체",0,1))</f>
        <v/>
      </c>
    </row>
    <row r="1424" customFormat="false" ht="15" hidden="false" customHeight="false" outlineLevel="0" collapsed="false">
      <c r="A1424" s="36" t="str">
        <f aca="false">IF($B1424="","",COUNT($B$15:$B1424))</f>
        <v/>
      </c>
      <c r="B1424" s="37"/>
      <c r="C1424" s="38"/>
      <c r="D1424" s="39"/>
      <c r="E1424" s="36" t="str">
        <f aca="false">IF($D1424="","",IFERROR(INDEX('통합 ④ 설정'!$A$6:$A$40,MATCH($D1424,'통합 ④ 설정'!$B$6:$B$40,0)),"※없는 과목"))</f>
        <v/>
      </c>
      <c r="F1424" s="36" t="str">
        <f aca="false">IF($D1424="","",IFERROR(INDEX('통합 ④ 설정'!$C$6:$C$40,MATCH($D1424,'통합 ④ 설정'!$B$6:$B$40,0)),""))</f>
        <v/>
      </c>
      <c r="G1424" s="39"/>
      <c r="H1424" s="39"/>
      <c r="I1424" s="40"/>
      <c r="J1424" s="41"/>
      <c r="K1424" s="38"/>
      <c r="L1424" s="42" t="str">
        <f aca="false">IF($B1424="","",IF(AND(N($I1424)=0,N($J1424)=0),"금액이 없습니다",IF(AND($I1424&gt;0,$J1424&gt;0),"수입·지출 둘 다 적혔습니다",IF($C1424="","결제수단을 고르십시오",IF(ISNA(MATCH($C1424,'통합 ③ 통장·카드'!$A$5:$A$11,0)),"③ 통장·카드에 없는 결제수단입니다",IF($D1424="","계정과목을 고르십시오",IF($E1424="※없는 과목","④ 설정에 없는 과목입니다",IF(AND($E1424="수입",$J1424&gt;0),"수입 과목인데 지출에 적혔습니다",IF(AND(LEFT($E1424,2)&lt;&gt;"수입",$E1424&lt;&gt;"대체",$I1424&gt;0),"지출 과목인데 수입에 적혔습니다",IF($K1424="","증빙을 고르십시오",IF(AND($C1424="바우처통장",$J1424&gt;0,IFERROR(INDEX('통합 ④ 설정'!$E$6:$E$40,MATCH($D1424,'통합 ④ 설정'!$B$6:$B$40,0)),"")&lt;&gt;"○"),"바우처통장 지출 — 목적 확인",IF($H1424="","적요를 적으십시오",""))))))))))))</f>
        <v/>
      </c>
      <c r="M1424" s="39"/>
      <c r="O1424" s="11" t="str">
        <f aca="false">IF($B1424="","",YEAR($B1424)*100+MONTH($B1424))</f>
        <v/>
      </c>
      <c r="P1424" s="11" t="str">
        <f aca="false">IF($B1424="","",IF($E1424="대체",0,1))</f>
        <v/>
      </c>
    </row>
    <row r="1425" customFormat="false" ht="15" hidden="false" customHeight="false" outlineLevel="0" collapsed="false">
      <c r="A1425" s="36" t="str">
        <f aca="false">IF($B1425="","",COUNT($B$15:$B1425))</f>
        <v/>
      </c>
      <c r="B1425" s="37"/>
      <c r="C1425" s="38"/>
      <c r="D1425" s="39"/>
      <c r="E1425" s="36" t="str">
        <f aca="false">IF($D1425="","",IFERROR(INDEX('통합 ④ 설정'!$A$6:$A$40,MATCH($D1425,'통합 ④ 설정'!$B$6:$B$40,0)),"※없는 과목"))</f>
        <v/>
      </c>
      <c r="F1425" s="36" t="str">
        <f aca="false">IF($D1425="","",IFERROR(INDEX('통합 ④ 설정'!$C$6:$C$40,MATCH($D1425,'통합 ④ 설정'!$B$6:$B$40,0)),""))</f>
        <v/>
      </c>
      <c r="G1425" s="39"/>
      <c r="H1425" s="39"/>
      <c r="I1425" s="40"/>
      <c r="J1425" s="41"/>
      <c r="K1425" s="38"/>
      <c r="L1425" s="42" t="str">
        <f aca="false">IF($B1425="","",IF(AND(N($I1425)=0,N($J1425)=0),"금액이 없습니다",IF(AND($I1425&gt;0,$J1425&gt;0),"수입·지출 둘 다 적혔습니다",IF($C1425="","결제수단을 고르십시오",IF(ISNA(MATCH($C1425,'통합 ③ 통장·카드'!$A$5:$A$11,0)),"③ 통장·카드에 없는 결제수단입니다",IF($D1425="","계정과목을 고르십시오",IF($E1425="※없는 과목","④ 설정에 없는 과목입니다",IF(AND($E1425="수입",$J1425&gt;0),"수입 과목인데 지출에 적혔습니다",IF(AND(LEFT($E1425,2)&lt;&gt;"수입",$E1425&lt;&gt;"대체",$I1425&gt;0),"지출 과목인데 수입에 적혔습니다",IF($K1425="","증빙을 고르십시오",IF(AND($C1425="바우처통장",$J1425&gt;0,IFERROR(INDEX('통합 ④ 설정'!$E$6:$E$40,MATCH($D1425,'통합 ④ 설정'!$B$6:$B$40,0)),"")&lt;&gt;"○"),"바우처통장 지출 — 목적 확인",IF($H1425="","적요를 적으십시오",""))))))))))))</f>
        <v/>
      </c>
      <c r="M1425" s="39"/>
      <c r="O1425" s="11" t="str">
        <f aca="false">IF($B1425="","",YEAR($B1425)*100+MONTH($B1425))</f>
        <v/>
      </c>
      <c r="P1425" s="11" t="str">
        <f aca="false">IF($B1425="","",IF($E1425="대체",0,1))</f>
        <v/>
      </c>
    </row>
    <row r="1426" customFormat="false" ht="15" hidden="false" customHeight="false" outlineLevel="0" collapsed="false">
      <c r="A1426" s="36" t="str">
        <f aca="false">IF($B1426="","",COUNT($B$15:$B1426))</f>
        <v/>
      </c>
      <c r="B1426" s="37"/>
      <c r="C1426" s="38"/>
      <c r="D1426" s="39"/>
      <c r="E1426" s="36" t="str">
        <f aca="false">IF($D1426="","",IFERROR(INDEX('통합 ④ 설정'!$A$6:$A$40,MATCH($D1426,'통합 ④ 설정'!$B$6:$B$40,0)),"※없는 과목"))</f>
        <v/>
      </c>
      <c r="F1426" s="36" t="str">
        <f aca="false">IF($D1426="","",IFERROR(INDEX('통합 ④ 설정'!$C$6:$C$40,MATCH($D1426,'통합 ④ 설정'!$B$6:$B$40,0)),""))</f>
        <v/>
      </c>
      <c r="G1426" s="39"/>
      <c r="H1426" s="39"/>
      <c r="I1426" s="40"/>
      <c r="J1426" s="41"/>
      <c r="K1426" s="38"/>
      <c r="L1426" s="42" t="str">
        <f aca="false">IF($B1426="","",IF(AND(N($I1426)=0,N($J1426)=0),"금액이 없습니다",IF(AND($I1426&gt;0,$J1426&gt;0),"수입·지출 둘 다 적혔습니다",IF($C1426="","결제수단을 고르십시오",IF(ISNA(MATCH($C1426,'통합 ③ 통장·카드'!$A$5:$A$11,0)),"③ 통장·카드에 없는 결제수단입니다",IF($D1426="","계정과목을 고르십시오",IF($E1426="※없는 과목","④ 설정에 없는 과목입니다",IF(AND($E1426="수입",$J1426&gt;0),"수입 과목인데 지출에 적혔습니다",IF(AND(LEFT($E1426,2)&lt;&gt;"수입",$E1426&lt;&gt;"대체",$I1426&gt;0),"지출 과목인데 수입에 적혔습니다",IF($K1426="","증빙을 고르십시오",IF(AND($C1426="바우처통장",$J1426&gt;0,IFERROR(INDEX('통합 ④ 설정'!$E$6:$E$40,MATCH($D1426,'통합 ④ 설정'!$B$6:$B$40,0)),"")&lt;&gt;"○"),"바우처통장 지출 — 목적 확인",IF($H1426="","적요를 적으십시오",""))))))))))))</f>
        <v/>
      </c>
      <c r="M1426" s="39"/>
      <c r="O1426" s="11" t="str">
        <f aca="false">IF($B1426="","",YEAR($B1426)*100+MONTH($B1426))</f>
        <v/>
      </c>
      <c r="P1426" s="11" t="str">
        <f aca="false">IF($B1426="","",IF($E1426="대체",0,1))</f>
        <v/>
      </c>
    </row>
    <row r="1427" customFormat="false" ht="15" hidden="false" customHeight="false" outlineLevel="0" collapsed="false">
      <c r="A1427" s="36" t="str">
        <f aca="false">IF($B1427="","",COUNT($B$15:$B1427))</f>
        <v/>
      </c>
      <c r="B1427" s="37"/>
      <c r="C1427" s="38"/>
      <c r="D1427" s="39"/>
      <c r="E1427" s="36" t="str">
        <f aca="false">IF($D1427="","",IFERROR(INDEX('통합 ④ 설정'!$A$6:$A$40,MATCH($D1427,'통합 ④ 설정'!$B$6:$B$40,0)),"※없는 과목"))</f>
        <v/>
      </c>
      <c r="F1427" s="36" t="str">
        <f aca="false">IF($D1427="","",IFERROR(INDEX('통합 ④ 설정'!$C$6:$C$40,MATCH($D1427,'통합 ④ 설정'!$B$6:$B$40,0)),""))</f>
        <v/>
      </c>
      <c r="G1427" s="39"/>
      <c r="H1427" s="39"/>
      <c r="I1427" s="40"/>
      <c r="J1427" s="41"/>
      <c r="K1427" s="38"/>
      <c r="L1427" s="42" t="str">
        <f aca="false">IF($B1427="","",IF(AND(N($I1427)=0,N($J1427)=0),"금액이 없습니다",IF(AND($I1427&gt;0,$J1427&gt;0),"수입·지출 둘 다 적혔습니다",IF($C1427="","결제수단을 고르십시오",IF(ISNA(MATCH($C1427,'통합 ③ 통장·카드'!$A$5:$A$11,0)),"③ 통장·카드에 없는 결제수단입니다",IF($D1427="","계정과목을 고르십시오",IF($E1427="※없는 과목","④ 설정에 없는 과목입니다",IF(AND($E1427="수입",$J1427&gt;0),"수입 과목인데 지출에 적혔습니다",IF(AND(LEFT($E1427,2)&lt;&gt;"수입",$E1427&lt;&gt;"대체",$I1427&gt;0),"지출 과목인데 수입에 적혔습니다",IF($K1427="","증빙을 고르십시오",IF(AND($C1427="바우처통장",$J1427&gt;0,IFERROR(INDEX('통합 ④ 설정'!$E$6:$E$40,MATCH($D1427,'통합 ④ 설정'!$B$6:$B$40,0)),"")&lt;&gt;"○"),"바우처통장 지출 — 목적 확인",IF($H1427="","적요를 적으십시오",""))))))))))))</f>
        <v/>
      </c>
      <c r="M1427" s="39"/>
      <c r="O1427" s="11" t="str">
        <f aca="false">IF($B1427="","",YEAR($B1427)*100+MONTH($B1427))</f>
        <v/>
      </c>
      <c r="P1427" s="11" t="str">
        <f aca="false">IF($B1427="","",IF($E1427="대체",0,1))</f>
        <v/>
      </c>
    </row>
    <row r="1428" customFormat="false" ht="15" hidden="false" customHeight="false" outlineLevel="0" collapsed="false">
      <c r="A1428" s="36" t="str">
        <f aca="false">IF($B1428="","",COUNT($B$15:$B1428))</f>
        <v/>
      </c>
      <c r="B1428" s="37"/>
      <c r="C1428" s="38"/>
      <c r="D1428" s="39"/>
      <c r="E1428" s="36" t="str">
        <f aca="false">IF($D1428="","",IFERROR(INDEX('통합 ④ 설정'!$A$6:$A$40,MATCH($D1428,'통합 ④ 설정'!$B$6:$B$40,0)),"※없는 과목"))</f>
        <v/>
      </c>
      <c r="F1428" s="36" t="str">
        <f aca="false">IF($D1428="","",IFERROR(INDEX('통합 ④ 설정'!$C$6:$C$40,MATCH($D1428,'통합 ④ 설정'!$B$6:$B$40,0)),""))</f>
        <v/>
      </c>
      <c r="G1428" s="39"/>
      <c r="H1428" s="39"/>
      <c r="I1428" s="40"/>
      <c r="J1428" s="41"/>
      <c r="K1428" s="38"/>
      <c r="L1428" s="42" t="str">
        <f aca="false">IF($B1428="","",IF(AND(N($I1428)=0,N($J1428)=0),"금액이 없습니다",IF(AND($I1428&gt;0,$J1428&gt;0),"수입·지출 둘 다 적혔습니다",IF($C1428="","결제수단을 고르십시오",IF(ISNA(MATCH($C1428,'통합 ③ 통장·카드'!$A$5:$A$11,0)),"③ 통장·카드에 없는 결제수단입니다",IF($D1428="","계정과목을 고르십시오",IF($E1428="※없는 과목","④ 설정에 없는 과목입니다",IF(AND($E1428="수입",$J1428&gt;0),"수입 과목인데 지출에 적혔습니다",IF(AND(LEFT($E1428,2)&lt;&gt;"수입",$E1428&lt;&gt;"대체",$I1428&gt;0),"지출 과목인데 수입에 적혔습니다",IF($K1428="","증빙을 고르십시오",IF(AND($C1428="바우처통장",$J1428&gt;0,IFERROR(INDEX('통합 ④ 설정'!$E$6:$E$40,MATCH($D1428,'통합 ④ 설정'!$B$6:$B$40,0)),"")&lt;&gt;"○"),"바우처통장 지출 — 목적 확인",IF($H1428="","적요를 적으십시오",""))))))))))))</f>
        <v/>
      </c>
      <c r="M1428" s="39"/>
      <c r="O1428" s="11" t="str">
        <f aca="false">IF($B1428="","",YEAR($B1428)*100+MONTH($B1428))</f>
        <v/>
      </c>
      <c r="P1428" s="11" t="str">
        <f aca="false">IF($B1428="","",IF($E1428="대체",0,1))</f>
        <v/>
      </c>
    </row>
    <row r="1429" customFormat="false" ht="15" hidden="false" customHeight="false" outlineLevel="0" collapsed="false">
      <c r="A1429" s="36" t="str">
        <f aca="false">IF($B1429="","",COUNT($B$15:$B1429))</f>
        <v/>
      </c>
      <c r="B1429" s="37"/>
      <c r="C1429" s="38"/>
      <c r="D1429" s="39"/>
      <c r="E1429" s="36" t="str">
        <f aca="false">IF($D1429="","",IFERROR(INDEX('통합 ④ 설정'!$A$6:$A$40,MATCH($D1429,'통합 ④ 설정'!$B$6:$B$40,0)),"※없는 과목"))</f>
        <v/>
      </c>
      <c r="F1429" s="36" t="str">
        <f aca="false">IF($D1429="","",IFERROR(INDEX('통합 ④ 설정'!$C$6:$C$40,MATCH($D1429,'통합 ④ 설정'!$B$6:$B$40,0)),""))</f>
        <v/>
      </c>
      <c r="G1429" s="39"/>
      <c r="H1429" s="39"/>
      <c r="I1429" s="40"/>
      <c r="J1429" s="41"/>
      <c r="K1429" s="38"/>
      <c r="L1429" s="42" t="str">
        <f aca="false">IF($B1429="","",IF(AND(N($I1429)=0,N($J1429)=0),"금액이 없습니다",IF(AND($I1429&gt;0,$J1429&gt;0),"수입·지출 둘 다 적혔습니다",IF($C1429="","결제수단을 고르십시오",IF(ISNA(MATCH($C1429,'통합 ③ 통장·카드'!$A$5:$A$11,0)),"③ 통장·카드에 없는 결제수단입니다",IF($D1429="","계정과목을 고르십시오",IF($E1429="※없는 과목","④ 설정에 없는 과목입니다",IF(AND($E1429="수입",$J1429&gt;0),"수입 과목인데 지출에 적혔습니다",IF(AND(LEFT($E1429,2)&lt;&gt;"수입",$E1429&lt;&gt;"대체",$I1429&gt;0),"지출 과목인데 수입에 적혔습니다",IF($K1429="","증빙을 고르십시오",IF(AND($C1429="바우처통장",$J1429&gt;0,IFERROR(INDEX('통합 ④ 설정'!$E$6:$E$40,MATCH($D1429,'통합 ④ 설정'!$B$6:$B$40,0)),"")&lt;&gt;"○"),"바우처통장 지출 — 목적 확인",IF($H1429="","적요를 적으십시오",""))))))))))))</f>
        <v/>
      </c>
      <c r="M1429" s="39"/>
      <c r="O1429" s="11" t="str">
        <f aca="false">IF($B1429="","",YEAR($B1429)*100+MONTH($B1429))</f>
        <v/>
      </c>
      <c r="P1429" s="11" t="str">
        <f aca="false">IF($B1429="","",IF($E1429="대체",0,1))</f>
        <v/>
      </c>
    </row>
    <row r="1430" customFormat="false" ht="15" hidden="false" customHeight="false" outlineLevel="0" collapsed="false">
      <c r="A1430" s="36" t="str">
        <f aca="false">IF($B1430="","",COUNT($B$15:$B1430))</f>
        <v/>
      </c>
      <c r="B1430" s="37"/>
      <c r="C1430" s="38"/>
      <c r="D1430" s="39"/>
      <c r="E1430" s="36" t="str">
        <f aca="false">IF($D1430="","",IFERROR(INDEX('통합 ④ 설정'!$A$6:$A$40,MATCH($D1430,'통합 ④ 설정'!$B$6:$B$40,0)),"※없는 과목"))</f>
        <v/>
      </c>
      <c r="F1430" s="36" t="str">
        <f aca="false">IF($D1430="","",IFERROR(INDEX('통합 ④ 설정'!$C$6:$C$40,MATCH($D1430,'통합 ④ 설정'!$B$6:$B$40,0)),""))</f>
        <v/>
      </c>
      <c r="G1430" s="39"/>
      <c r="H1430" s="39"/>
      <c r="I1430" s="40"/>
      <c r="J1430" s="41"/>
      <c r="K1430" s="38"/>
      <c r="L1430" s="42" t="str">
        <f aca="false">IF($B1430="","",IF(AND(N($I1430)=0,N($J1430)=0),"금액이 없습니다",IF(AND($I1430&gt;0,$J1430&gt;0),"수입·지출 둘 다 적혔습니다",IF($C1430="","결제수단을 고르십시오",IF(ISNA(MATCH($C1430,'통합 ③ 통장·카드'!$A$5:$A$11,0)),"③ 통장·카드에 없는 결제수단입니다",IF($D1430="","계정과목을 고르십시오",IF($E1430="※없는 과목","④ 설정에 없는 과목입니다",IF(AND($E1430="수입",$J1430&gt;0),"수입 과목인데 지출에 적혔습니다",IF(AND(LEFT($E1430,2)&lt;&gt;"수입",$E1430&lt;&gt;"대체",$I1430&gt;0),"지출 과목인데 수입에 적혔습니다",IF($K1430="","증빙을 고르십시오",IF(AND($C1430="바우처통장",$J1430&gt;0,IFERROR(INDEX('통합 ④ 설정'!$E$6:$E$40,MATCH($D1430,'통합 ④ 설정'!$B$6:$B$40,0)),"")&lt;&gt;"○"),"바우처통장 지출 — 목적 확인",IF($H1430="","적요를 적으십시오",""))))))))))))</f>
        <v/>
      </c>
      <c r="M1430" s="39"/>
      <c r="O1430" s="11" t="str">
        <f aca="false">IF($B1430="","",YEAR($B1430)*100+MONTH($B1430))</f>
        <v/>
      </c>
      <c r="P1430" s="11" t="str">
        <f aca="false">IF($B1430="","",IF($E1430="대체",0,1))</f>
        <v/>
      </c>
    </row>
    <row r="1431" customFormat="false" ht="15" hidden="false" customHeight="false" outlineLevel="0" collapsed="false">
      <c r="A1431" s="36" t="str">
        <f aca="false">IF($B1431="","",COUNT($B$15:$B1431))</f>
        <v/>
      </c>
      <c r="B1431" s="37"/>
      <c r="C1431" s="38"/>
      <c r="D1431" s="39"/>
      <c r="E1431" s="36" t="str">
        <f aca="false">IF($D1431="","",IFERROR(INDEX('통합 ④ 설정'!$A$6:$A$40,MATCH($D1431,'통합 ④ 설정'!$B$6:$B$40,0)),"※없는 과목"))</f>
        <v/>
      </c>
      <c r="F1431" s="36" t="str">
        <f aca="false">IF($D1431="","",IFERROR(INDEX('통합 ④ 설정'!$C$6:$C$40,MATCH($D1431,'통합 ④ 설정'!$B$6:$B$40,0)),""))</f>
        <v/>
      </c>
      <c r="G1431" s="39"/>
      <c r="H1431" s="39"/>
      <c r="I1431" s="40"/>
      <c r="J1431" s="41"/>
      <c r="K1431" s="38"/>
      <c r="L1431" s="42" t="str">
        <f aca="false">IF($B1431="","",IF(AND(N($I1431)=0,N($J1431)=0),"금액이 없습니다",IF(AND($I1431&gt;0,$J1431&gt;0),"수입·지출 둘 다 적혔습니다",IF($C1431="","결제수단을 고르십시오",IF(ISNA(MATCH($C1431,'통합 ③ 통장·카드'!$A$5:$A$11,0)),"③ 통장·카드에 없는 결제수단입니다",IF($D1431="","계정과목을 고르십시오",IF($E1431="※없는 과목","④ 설정에 없는 과목입니다",IF(AND($E1431="수입",$J1431&gt;0),"수입 과목인데 지출에 적혔습니다",IF(AND(LEFT($E1431,2)&lt;&gt;"수입",$E1431&lt;&gt;"대체",$I1431&gt;0),"지출 과목인데 수입에 적혔습니다",IF($K1431="","증빙을 고르십시오",IF(AND($C1431="바우처통장",$J1431&gt;0,IFERROR(INDEX('통합 ④ 설정'!$E$6:$E$40,MATCH($D1431,'통합 ④ 설정'!$B$6:$B$40,0)),"")&lt;&gt;"○"),"바우처통장 지출 — 목적 확인",IF($H1431="","적요를 적으십시오",""))))))))))))</f>
        <v/>
      </c>
      <c r="M1431" s="39"/>
      <c r="O1431" s="11" t="str">
        <f aca="false">IF($B1431="","",YEAR($B1431)*100+MONTH($B1431))</f>
        <v/>
      </c>
      <c r="P1431" s="11" t="str">
        <f aca="false">IF($B1431="","",IF($E1431="대체",0,1))</f>
        <v/>
      </c>
    </row>
    <row r="1432" customFormat="false" ht="15" hidden="false" customHeight="false" outlineLevel="0" collapsed="false">
      <c r="A1432" s="36" t="str">
        <f aca="false">IF($B1432="","",COUNT($B$15:$B1432))</f>
        <v/>
      </c>
      <c r="B1432" s="37"/>
      <c r="C1432" s="38"/>
      <c r="D1432" s="39"/>
      <c r="E1432" s="36" t="str">
        <f aca="false">IF($D1432="","",IFERROR(INDEX('통합 ④ 설정'!$A$6:$A$40,MATCH($D1432,'통합 ④ 설정'!$B$6:$B$40,0)),"※없는 과목"))</f>
        <v/>
      </c>
      <c r="F1432" s="36" t="str">
        <f aca="false">IF($D1432="","",IFERROR(INDEX('통합 ④ 설정'!$C$6:$C$40,MATCH($D1432,'통합 ④ 설정'!$B$6:$B$40,0)),""))</f>
        <v/>
      </c>
      <c r="G1432" s="39"/>
      <c r="H1432" s="39"/>
      <c r="I1432" s="40"/>
      <c r="J1432" s="41"/>
      <c r="K1432" s="38"/>
      <c r="L1432" s="42" t="str">
        <f aca="false">IF($B1432="","",IF(AND(N($I1432)=0,N($J1432)=0),"금액이 없습니다",IF(AND($I1432&gt;0,$J1432&gt;0),"수입·지출 둘 다 적혔습니다",IF($C1432="","결제수단을 고르십시오",IF(ISNA(MATCH($C1432,'통합 ③ 통장·카드'!$A$5:$A$11,0)),"③ 통장·카드에 없는 결제수단입니다",IF($D1432="","계정과목을 고르십시오",IF($E1432="※없는 과목","④ 설정에 없는 과목입니다",IF(AND($E1432="수입",$J1432&gt;0),"수입 과목인데 지출에 적혔습니다",IF(AND(LEFT($E1432,2)&lt;&gt;"수입",$E1432&lt;&gt;"대체",$I1432&gt;0),"지출 과목인데 수입에 적혔습니다",IF($K1432="","증빙을 고르십시오",IF(AND($C1432="바우처통장",$J1432&gt;0,IFERROR(INDEX('통합 ④ 설정'!$E$6:$E$40,MATCH($D1432,'통합 ④ 설정'!$B$6:$B$40,0)),"")&lt;&gt;"○"),"바우처통장 지출 — 목적 확인",IF($H1432="","적요를 적으십시오",""))))))))))))</f>
        <v/>
      </c>
      <c r="M1432" s="39"/>
      <c r="O1432" s="11" t="str">
        <f aca="false">IF($B1432="","",YEAR($B1432)*100+MONTH($B1432))</f>
        <v/>
      </c>
      <c r="P1432" s="11" t="str">
        <f aca="false">IF($B1432="","",IF($E1432="대체",0,1))</f>
        <v/>
      </c>
    </row>
    <row r="1433" customFormat="false" ht="15" hidden="false" customHeight="false" outlineLevel="0" collapsed="false">
      <c r="A1433" s="36" t="str">
        <f aca="false">IF($B1433="","",COUNT($B$15:$B1433))</f>
        <v/>
      </c>
      <c r="B1433" s="37"/>
      <c r="C1433" s="38"/>
      <c r="D1433" s="39"/>
      <c r="E1433" s="36" t="str">
        <f aca="false">IF($D1433="","",IFERROR(INDEX('통합 ④ 설정'!$A$6:$A$40,MATCH($D1433,'통합 ④ 설정'!$B$6:$B$40,0)),"※없는 과목"))</f>
        <v/>
      </c>
      <c r="F1433" s="36" t="str">
        <f aca="false">IF($D1433="","",IFERROR(INDEX('통합 ④ 설정'!$C$6:$C$40,MATCH($D1433,'통합 ④ 설정'!$B$6:$B$40,0)),""))</f>
        <v/>
      </c>
      <c r="G1433" s="39"/>
      <c r="H1433" s="39"/>
      <c r="I1433" s="40"/>
      <c r="J1433" s="41"/>
      <c r="K1433" s="38"/>
      <c r="L1433" s="42" t="str">
        <f aca="false">IF($B1433="","",IF(AND(N($I1433)=0,N($J1433)=0),"금액이 없습니다",IF(AND($I1433&gt;0,$J1433&gt;0),"수입·지출 둘 다 적혔습니다",IF($C1433="","결제수단을 고르십시오",IF(ISNA(MATCH($C1433,'통합 ③ 통장·카드'!$A$5:$A$11,0)),"③ 통장·카드에 없는 결제수단입니다",IF($D1433="","계정과목을 고르십시오",IF($E1433="※없는 과목","④ 설정에 없는 과목입니다",IF(AND($E1433="수입",$J1433&gt;0),"수입 과목인데 지출에 적혔습니다",IF(AND(LEFT($E1433,2)&lt;&gt;"수입",$E1433&lt;&gt;"대체",$I1433&gt;0),"지출 과목인데 수입에 적혔습니다",IF($K1433="","증빙을 고르십시오",IF(AND($C1433="바우처통장",$J1433&gt;0,IFERROR(INDEX('통합 ④ 설정'!$E$6:$E$40,MATCH($D1433,'통합 ④ 설정'!$B$6:$B$40,0)),"")&lt;&gt;"○"),"바우처통장 지출 — 목적 확인",IF($H1433="","적요를 적으십시오",""))))))))))))</f>
        <v/>
      </c>
      <c r="M1433" s="39"/>
      <c r="O1433" s="11" t="str">
        <f aca="false">IF($B1433="","",YEAR($B1433)*100+MONTH($B1433))</f>
        <v/>
      </c>
      <c r="P1433" s="11" t="str">
        <f aca="false">IF($B1433="","",IF($E1433="대체",0,1))</f>
        <v/>
      </c>
    </row>
    <row r="1434" customFormat="false" ht="15" hidden="false" customHeight="false" outlineLevel="0" collapsed="false">
      <c r="A1434" s="36" t="str">
        <f aca="false">IF($B1434="","",COUNT($B$15:$B1434))</f>
        <v/>
      </c>
      <c r="B1434" s="37"/>
      <c r="C1434" s="38"/>
      <c r="D1434" s="39"/>
      <c r="E1434" s="36" t="str">
        <f aca="false">IF($D1434="","",IFERROR(INDEX('통합 ④ 설정'!$A$6:$A$40,MATCH($D1434,'통합 ④ 설정'!$B$6:$B$40,0)),"※없는 과목"))</f>
        <v/>
      </c>
      <c r="F1434" s="36" t="str">
        <f aca="false">IF($D1434="","",IFERROR(INDEX('통합 ④ 설정'!$C$6:$C$40,MATCH($D1434,'통합 ④ 설정'!$B$6:$B$40,0)),""))</f>
        <v/>
      </c>
      <c r="G1434" s="39"/>
      <c r="H1434" s="39"/>
      <c r="I1434" s="40"/>
      <c r="J1434" s="41"/>
      <c r="K1434" s="38"/>
      <c r="L1434" s="42" t="str">
        <f aca="false">IF($B1434="","",IF(AND(N($I1434)=0,N($J1434)=0),"금액이 없습니다",IF(AND($I1434&gt;0,$J1434&gt;0),"수입·지출 둘 다 적혔습니다",IF($C1434="","결제수단을 고르십시오",IF(ISNA(MATCH($C1434,'통합 ③ 통장·카드'!$A$5:$A$11,0)),"③ 통장·카드에 없는 결제수단입니다",IF($D1434="","계정과목을 고르십시오",IF($E1434="※없는 과목","④ 설정에 없는 과목입니다",IF(AND($E1434="수입",$J1434&gt;0),"수입 과목인데 지출에 적혔습니다",IF(AND(LEFT($E1434,2)&lt;&gt;"수입",$E1434&lt;&gt;"대체",$I1434&gt;0),"지출 과목인데 수입에 적혔습니다",IF($K1434="","증빙을 고르십시오",IF(AND($C1434="바우처통장",$J1434&gt;0,IFERROR(INDEX('통합 ④ 설정'!$E$6:$E$40,MATCH($D1434,'통합 ④ 설정'!$B$6:$B$40,0)),"")&lt;&gt;"○"),"바우처통장 지출 — 목적 확인",IF($H1434="","적요를 적으십시오",""))))))))))))</f>
        <v/>
      </c>
      <c r="M1434" s="39"/>
      <c r="O1434" s="11" t="str">
        <f aca="false">IF($B1434="","",YEAR($B1434)*100+MONTH($B1434))</f>
        <v/>
      </c>
      <c r="P1434" s="11" t="str">
        <f aca="false">IF($B1434="","",IF($E1434="대체",0,1))</f>
        <v/>
      </c>
    </row>
    <row r="1435" customFormat="false" ht="15" hidden="false" customHeight="false" outlineLevel="0" collapsed="false">
      <c r="A1435" s="36" t="str">
        <f aca="false">IF($B1435="","",COUNT($B$15:$B1435))</f>
        <v/>
      </c>
      <c r="B1435" s="37"/>
      <c r="C1435" s="38"/>
      <c r="D1435" s="39"/>
      <c r="E1435" s="36" t="str">
        <f aca="false">IF($D1435="","",IFERROR(INDEX('통합 ④ 설정'!$A$6:$A$40,MATCH($D1435,'통합 ④ 설정'!$B$6:$B$40,0)),"※없는 과목"))</f>
        <v/>
      </c>
      <c r="F1435" s="36" t="str">
        <f aca="false">IF($D1435="","",IFERROR(INDEX('통합 ④ 설정'!$C$6:$C$40,MATCH($D1435,'통합 ④ 설정'!$B$6:$B$40,0)),""))</f>
        <v/>
      </c>
      <c r="G1435" s="39"/>
      <c r="H1435" s="39"/>
      <c r="I1435" s="40"/>
      <c r="J1435" s="41"/>
      <c r="K1435" s="38"/>
      <c r="L1435" s="42" t="str">
        <f aca="false">IF($B1435="","",IF(AND(N($I1435)=0,N($J1435)=0),"금액이 없습니다",IF(AND($I1435&gt;0,$J1435&gt;0),"수입·지출 둘 다 적혔습니다",IF($C1435="","결제수단을 고르십시오",IF(ISNA(MATCH($C1435,'통합 ③ 통장·카드'!$A$5:$A$11,0)),"③ 통장·카드에 없는 결제수단입니다",IF($D1435="","계정과목을 고르십시오",IF($E1435="※없는 과목","④ 설정에 없는 과목입니다",IF(AND($E1435="수입",$J1435&gt;0),"수입 과목인데 지출에 적혔습니다",IF(AND(LEFT($E1435,2)&lt;&gt;"수입",$E1435&lt;&gt;"대체",$I1435&gt;0),"지출 과목인데 수입에 적혔습니다",IF($K1435="","증빙을 고르십시오",IF(AND($C1435="바우처통장",$J1435&gt;0,IFERROR(INDEX('통합 ④ 설정'!$E$6:$E$40,MATCH($D1435,'통합 ④ 설정'!$B$6:$B$40,0)),"")&lt;&gt;"○"),"바우처통장 지출 — 목적 확인",IF($H1435="","적요를 적으십시오",""))))))))))))</f>
        <v/>
      </c>
      <c r="M1435" s="39"/>
      <c r="O1435" s="11" t="str">
        <f aca="false">IF($B1435="","",YEAR($B1435)*100+MONTH($B1435))</f>
        <v/>
      </c>
      <c r="P1435" s="11" t="str">
        <f aca="false">IF($B1435="","",IF($E1435="대체",0,1))</f>
        <v/>
      </c>
    </row>
    <row r="1436" customFormat="false" ht="15" hidden="false" customHeight="false" outlineLevel="0" collapsed="false">
      <c r="A1436" s="36" t="str">
        <f aca="false">IF($B1436="","",COUNT($B$15:$B1436))</f>
        <v/>
      </c>
      <c r="B1436" s="37"/>
      <c r="C1436" s="38"/>
      <c r="D1436" s="39"/>
      <c r="E1436" s="36" t="str">
        <f aca="false">IF($D1436="","",IFERROR(INDEX('통합 ④ 설정'!$A$6:$A$40,MATCH($D1436,'통합 ④ 설정'!$B$6:$B$40,0)),"※없는 과목"))</f>
        <v/>
      </c>
      <c r="F1436" s="36" t="str">
        <f aca="false">IF($D1436="","",IFERROR(INDEX('통합 ④ 설정'!$C$6:$C$40,MATCH($D1436,'통합 ④ 설정'!$B$6:$B$40,0)),""))</f>
        <v/>
      </c>
      <c r="G1436" s="39"/>
      <c r="H1436" s="39"/>
      <c r="I1436" s="40"/>
      <c r="J1436" s="41"/>
      <c r="K1436" s="38"/>
      <c r="L1436" s="42" t="str">
        <f aca="false">IF($B1436="","",IF(AND(N($I1436)=0,N($J1436)=0),"금액이 없습니다",IF(AND($I1436&gt;0,$J1436&gt;0),"수입·지출 둘 다 적혔습니다",IF($C1436="","결제수단을 고르십시오",IF(ISNA(MATCH($C1436,'통합 ③ 통장·카드'!$A$5:$A$11,0)),"③ 통장·카드에 없는 결제수단입니다",IF($D1436="","계정과목을 고르십시오",IF($E1436="※없는 과목","④ 설정에 없는 과목입니다",IF(AND($E1436="수입",$J1436&gt;0),"수입 과목인데 지출에 적혔습니다",IF(AND(LEFT($E1436,2)&lt;&gt;"수입",$E1436&lt;&gt;"대체",$I1436&gt;0),"지출 과목인데 수입에 적혔습니다",IF($K1436="","증빙을 고르십시오",IF(AND($C1436="바우처통장",$J1436&gt;0,IFERROR(INDEX('통합 ④ 설정'!$E$6:$E$40,MATCH($D1436,'통합 ④ 설정'!$B$6:$B$40,0)),"")&lt;&gt;"○"),"바우처통장 지출 — 목적 확인",IF($H1436="","적요를 적으십시오",""))))))))))))</f>
        <v/>
      </c>
      <c r="M1436" s="39"/>
      <c r="O1436" s="11" t="str">
        <f aca="false">IF($B1436="","",YEAR($B1436)*100+MONTH($B1436))</f>
        <v/>
      </c>
      <c r="P1436" s="11" t="str">
        <f aca="false">IF($B1436="","",IF($E1436="대체",0,1))</f>
        <v/>
      </c>
    </row>
    <row r="1437" customFormat="false" ht="15" hidden="false" customHeight="false" outlineLevel="0" collapsed="false">
      <c r="A1437" s="36" t="str">
        <f aca="false">IF($B1437="","",COUNT($B$15:$B1437))</f>
        <v/>
      </c>
      <c r="B1437" s="37"/>
      <c r="C1437" s="38"/>
      <c r="D1437" s="39"/>
      <c r="E1437" s="36" t="str">
        <f aca="false">IF($D1437="","",IFERROR(INDEX('통합 ④ 설정'!$A$6:$A$40,MATCH($D1437,'통합 ④ 설정'!$B$6:$B$40,0)),"※없는 과목"))</f>
        <v/>
      </c>
      <c r="F1437" s="36" t="str">
        <f aca="false">IF($D1437="","",IFERROR(INDEX('통합 ④ 설정'!$C$6:$C$40,MATCH($D1437,'통합 ④ 설정'!$B$6:$B$40,0)),""))</f>
        <v/>
      </c>
      <c r="G1437" s="39"/>
      <c r="H1437" s="39"/>
      <c r="I1437" s="40"/>
      <c r="J1437" s="41"/>
      <c r="K1437" s="38"/>
      <c r="L1437" s="42" t="str">
        <f aca="false">IF($B1437="","",IF(AND(N($I1437)=0,N($J1437)=0),"금액이 없습니다",IF(AND($I1437&gt;0,$J1437&gt;0),"수입·지출 둘 다 적혔습니다",IF($C1437="","결제수단을 고르십시오",IF(ISNA(MATCH($C1437,'통합 ③ 통장·카드'!$A$5:$A$11,0)),"③ 통장·카드에 없는 결제수단입니다",IF($D1437="","계정과목을 고르십시오",IF($E1437="※없는 과목","④ 설정에 없는 과목입니다",IF(AND($E1437="수입",$J1437&gt;0),"수입 과목인데 지출에 적혔습니다",IF(AND(LEFT($E1437,2)&lt;&gt;"수입",$E1437&lt;&gt;"대체",$I1437&gt;0),"지출 과목인데 수입에 적혔습니다",IF($K1437="","증빙을 고르십시오",IF(AND($C1437="바우처통장",$J1437&gt;0,IFERROR(INDEX('통합 ④ 설정'!$E$6:$E$40,MATCH($D1437,'통합 ④ 설정'!$B$6:$B$40,0)),"")&lt;&gt;"○"),"바우처통장 지출 — 목적 확인",IF($H1437="","적요를 적으십시오",""))))))))))))</f>
        <v/>
      </c>
      <c r="M1437" s="39"/>
      <c r="O1437" s="11" t="str">
        <f aca="false">IF($B1437="","",YEAR($B1437)*100+MONTH($B1437))</f>
        <v/>
      </c>
      <c r="P1437" s="11" t="str">
        <f aca="false">IF($B1437="","",IF($E1437="대체",0,1))</f>
        <v/>
      </c>
    </row>
    <row r="1438" customFormat="false" ht="15" hidden="false" customHeight="false" outlineLevel="0" collapsed="false">
      <c r="A1438" s="36" t="str">
        <f aca="false">IF($B1438="","",COUNT($B$15:$B1438))</f>
        <v/>
      </c>
      <c r="B1438" s="37"/>
      <c r="C1438" s="38"/>
      <c r="D1438" s="39"/>
      <c r="E1438" s="36" t="str">
        <f aca="false">IF($D1438="","",IFERROR(INDEX('통합 ④ 설정'!$A$6:$A$40,MATCH($D1438,'통합 ④ 설정'!$B$6:$B$40,0)),"※없는 과목"))</f>
        <v/>
      </c>
      <c r="F1438" s="36" t="str">
        <f aca="false">IF($D1438="","",IFERROR(INDEX('통합 ④ 설정'!$C$6:$C$40,MATCH($D1438,'통합 ④ 설정'!$B$6:$B$40,0)),""))</f>
        <v/>
      </c>
      <c r="G1438" s="39"/>
      <c r="H1438" s="39"/>
      <c r="I1438" s="40"/>
      <c r="J1438" s="41"/>
      <c r="K1438" s="38"/>
      <c r="L1438" s="42" t="str">
        <f aca="false">IF($B1438="","",IF(AND(N($I1438)=0,N($J1438)=0),"금액이 없습니다",IF(AND($I1438&gt;0,$J1438&gt;0),"수입·지출 둘 다 적혔습니다",IF($C1438="","결제수단을 고르십시오",IF(ISNA(MATCH($C1438,'통합 ③ 통장·카드'!$A$5:$A$11,0)),"③ 통장·카드에 없는 결제수단입니다",IF($D1438="","계정과목을 고르십시오",IF($E1438="※없는 과목","④ 설정에 없는 과목입니다",IF(AND($E1438="수입",$J1438&gt;0),"수입 과목인데 지출에 적혔습니다",IF(AND(LEFT($E1438,2)&lt;&gt;"수입",$E1438&lt;&gt;"대체",$I1438&gt;0),"지출 과목인데 수입에 적혔습니다",IF($K1438="","증빙을 고르십시오",IF(AND($C1438="바우처통장",$J1438&gt;0,IFERROR(INDEX('통합 ④ 설정'!$E$6:$E$40,MATCH($D1438,'통합 ④ 설정'!$B$6:$B$40,0)),"")&lt;&gt;"○"),"바우처통장 지출 — 목적 확인",IF($H1438="","적요를 적으십시오",""))))))))))))</f>
        <v/>
      </c>
      <c r="M1438" s="39"/>
      <c r="O1438" s="11" t="str">
        <f aca="false">IF($B1438="","",YEAR($B1438)*100+MONTH($B1438))</f>
        <v/>
      </c>
      <c r="P1438" s="11" t="str">
        <f aca="false">IF($B1438="","",IF($E1438="대체",0,1))</f>
        <v/>
      </c>
    </row>
    <row r="1439" customFormat="false" ht="15" hidden="false" customHeight="false" outlineLevel="0" collapsed="false">
      <c r="A1439" s="36" t="str">
        <f aca="false">IF($B1439="","",COUNT($B$15:$B1439))</f>
        <v/>
      </c>
      <c r="B1439" s="37"/>
      <c r="C1439" s="38"/>
      <c r="D1439" s="39"/>
      <c r="E1439" s="36" t="str">
        <f aca="false">IF($D1439="","",IFERROR(INDEX('통합 ④ 설정'!$A$6:$A$40,MATCH($D1439,'통합 ④ 설정'!$B$6:$B$40,0)),"※없는 과목"))</f>
        <v/>
      </c>
      <c r="F1439" s="36" t="str">
        <f aca="false">IF($D1439="","",IFERROR(INDEX('통합 ④ 설정'!$C$6:$C$40,MATCH($D1439,'통합 ④ 설정'!$B$6:$B$40,0)),""))</f>
        <v/>
      </c>
      <c r="G1439" s="39"/>
      <c r="H1439" s="39"/>
      <c r="I1439" s="40"/>
      <c r="J1439" s="41"/>
      <c r="K1439" s="38"/>
      <c r="L1439" s="42" t="str">
        <f aca="false">IF($B1439="","",IF(AND(N($I1439)=0,N($J1439)=0),"금액이 없습니다",IF(AND($I1439&gt;0,$J1439&gt;0),"수입·지출 둘 다 적혔습니다",IF($C1439="","결제수단을 고르십시오",IF(ISNA(MATCH($C1439,'통합 ③ 통장·카드'!$A$5:$A$11,0)),"③ 통장·카드에 없는 결제수단입니다",IF($D1439="","계정과목을 고르십시오",IF($E1439="※없는 과목","④ 설정에 없는 과목입니다",IF(AND($E1439="수입",$J1439&gt;0),"수입 과목인데 지출에 적혔습니다",IF(AND(LEFT($E1439,2)&lt;&gt;"수입",$E1439&lt;&gt;"대체",$I1439&gt;0),"지출 과목인데 수입에 적혔습니다",IF($K1439="","증빙을 고르십시오",IF(AND($C1439="바우처통장",$J1439&gt;0,IFERROR(INDEX('통합 ④ 설정'!$E$6:$E$40,MATCH($D1439,'통합 ④ 설정'!$B$6:$B$40,0)),"")&lt;&gt;"○"),"바우처통장 지출 — 목적 확인",IF($H1439="","적요를 적으십시오",""))))))))))))</f>
        <v/>
      </c>
      <c r="M1439" s="39"/>
      <c r="O1439" s="11" t="str">
        <f aca="false">IF($B1439="","",YEAR($B1439)*100+MONTH($B1439))</f>
        <v/>
      </c>
      <c r="P1439" s="11" t="str">
        <f aca="false">IF($B1439="","",IF($E1439="대체",0,1))</f>
        <v/>
      </c>
    </row>
    <row r="1440" customFormat="false" ht="15" hidden="false" customHeight="false" outlineLevel="0" collapsed="false">
      <c r="A1440" s="36" t="str">
        <f aca="false">IF($B1440="","",COUNT($B$15:$B1440))</f>
        <v/>
      </c>
      <c r="B1440" s="37"/>
      <c r="C1440" s="38"/>
      <c r="D1440" s="39"/>
      <c r="E1440" s="36" t="str">
        <f aca="false">IF($D1440="","",IFERROR(INDEX('통합 ④ 설정'!$A$6:$A$40,MATCH($D1440,'통합 ④ 설정'!$B$6:$B$40,0)),"※없는 과목"))</f>
        <v/>
      </c>
      <c r="F1440" s="36" t="str">
        <f aca="false">IF($D1440="","",IFERROR(INDEX('통합 ④ 설정'!$C$6:$C$40,MATCH($D1440,'통합 ④ 설정'!$B$6:$B$40,0)),""))</f>
        <v/>
      </c>
      <c r="G1440" s="39"/>
      <c r="H1440" s="39"/>
      <c r="I1440" s="40"/>
      <c r="J1440" s="41"/>
      <c r="K1440" s="38"/>
      <c r="L1440" s="42" t="str">
        <f aca="false">IF($B1440="","",IF(AND(N($I1440)=0,N($J1440)=0),"금액이 없습니다",IF(AND($I1440&gt;0,$J1440&gt;0),"수입·지출 둘 다 적혔습니다",IF($C1440="","결제수단을 고르십시오",IF(ISNA(MATCH($C1440,'통합 ③ 통장·카드'!$A$5:$A$11,0)),"③ 통장·카드에 없는 결제수단입니다",IF($D1440="","계정과목을 고르십시오",IF($E1440="※없는 과목","④ 설정에 없는 과목입니다",IF(AND($E1440="수입",$J1440&gt;0),"수입 과목인데 지출에 적혔습니다",IF(AND(LEFT($E1440,2)&lt;&gt;"수입",$E1440&lt;&gt;"대체",$I1440&gt;0),"지출 과목인데 수입에 적혔습니다",IF($K1440="","증빙을 고르십시오",IF(AND($C1440="바우처통장",$J1440&gt;0,IFERROR(INDEX('통합 ④ 설정'!$E$6:$E$40,MATCH($D1440,'통합 ④ 설정'!$B$6:$B$40,0)),"")&lt;&gt;"○"),"바우처통장 지출 — 목적 확인",IF($H1440="","적요를 적으십시오",""))))))))))))</f>
        <v/>
      </c>
      <c r="M1440" s="39"/>
      <c r="O1440" s="11" t="str">
        <f aca="false">IF($B1440="","",YEAR($B1440)*100+MONTH($B1440))</f>
        <v/>
      </c>
      <c r="P1440" s="11" t="str">
        <f aca="false">IF($B1440="","",IF($E1440="대체",0,1))</f>
        <v/>
      </c>
    </row>
    <row r="1441" customFormat="false" ht="15" hidden="false" customHeight="false" outlineLevel="0" collapsed="false">
      <c r="A1441" s="36" t="str">
        <f aca="false">IF($B1441="","",COUNT($B$15:$B1441))</f>
        <v/>
      </c>
      <c r="B1441" s="37"/>
      <c r="C1441" s="38"/>
      <c r="D1441" s="39"/>
      <c r="E1441" s="36" t="str">
        <f aca="false">IF($D1441="","",IFERROR(INDEX('통합 ④ 설정'!$A$6:$A$40,MATCH($D1441,'통합 ④ 설정'!$B$6:$B$40,0)),"※없는 과목"))</f>
        <v/>
      </c>
      <c r="F1441" s="36" t="str">
        <f aca="false">IF($D1441="","",IFERROR(INDEX('통합 ④ 설정'!$C$6:$C$40,MATCH($D1441,'통합 ④ 설정'!$B$6:$B$40,0)),""))</f>
        <v/>
      </c>
      <c r="G1441" s="39"/>
      <c r="H1441" s="39"/>
      <c r="I1441" s="40"/>
      <c r="J1441" s="41"/>
      <c r="K1441" s="38"/>
      <c r="L1441" s="42" t="str">
        <f aca="false">IF($B1441="","",IF(AND(N($I1441)=0,N($J1441)=0),"금액이 없습니다",IF(AND($I1441&gt;0,$J1441&gt;0),"수입·지출 둘 다 적혔습니다",IF($C1441="","결제수단을 고르십시오",IF(ISNA(MATCH($C1441,'통합 ③ 통장·카드'!$A$5:$A$11,0)),"③ 통장·카드에 없는 결제수단입니다",IF($D1441="","계정과목을 고르십시오",IF($E1441="※없는 과목","④ 설정에 없는 과목입니다",IF(AND($E1441="수입",$J1441&gt;0),"수입 과목인데 지출에 적혔습니다",IF(AND(LEFT($E1441,2)&lt;&gt;"수입",$E1441&lt;&gt;"대체",$I1441&gt;0),"지출 과목인데 수입에 적혔습니다",IF($K1441="","증빙을 고르십시오",IF(AND($C1441="바우처통장",$J1441&gt;0,IFERROR(INDEX('통합 ④ 설정'!$E$6:$E$40,MATCH($D1441,'통합 ④ 설정'!$B$6:$B$40,0)),"")&lt;&gt;"○"),"바우처통장 지출 — 목적 확인",IF($H1441="","적요를 적으십시오",""))))))))))))</f>
        <v/>
      </c>
      <c r="M1441" s="39"/>
      <c r="O1441" s="11" t="str">
        <f aca="false">IF($B1441="","",YEAR($B1441)*100+MONTH($B1441))</f>
        <v/>
      </c>
      <c r="P1441" s="11" t="str">
        <f aca="false">IF($B1441="","",IF($E1441="대체",0,1))</f>
        <v/>
      </c>
    </row>
    <row r="1442" customFormat="false" ht="15" hidden="false" customHeight="false" outlineLevel="0" collapsed="false">
      <c r="A1442" s="36" t="str">
        <f aca="false">IF($B1442="","",COUNT($B$15:$B1442))</f>
        <v/>
      </c>
      <c r="B1442" s="37"/>
      <c r="C1442" s="38"/>
      <c r="D1442" s="39"/>
      <c r="E1442" s="36" t="str">
        <f aca="false">IF($D1442="","",IFERROR(INDEX('통합 ④ 설정'!$A$6:$A$40,MATCH($D1442,'통합 ④ 설정'!$B$6:$B$40,0)),"※없는 과목"))</f>
        <v/>
      </c>
      <c r="F1442" s="36" t="str">
        <f aca="false">IF($D1442="","",IFERROR(INDEX('통합 ④ 설정'!$C$6:$C$40,MATCH($D1442,'통합 ④ 설정'!$B$6:$B$40,0)),""))</f>
        <v/>
      </c>
      <c r="G1442" s="39"/>
      <c r="H1442" s="39"/>
      <c r="I1442" s="40"/>
      <c r="J1442" s="41"/>
      <c r="K1442" s="38"/>
      <c r="L1442" s="42" t="str">
        <f aca="false">IF($B1442="","",IF(AND(N($I1442)=0,N($J1442)=0),"금액이 없습니다",IF(AND($I1442&gt;0,$J1442&gt;0),"수입·지출 둘 다 적혔습니다",IF($C1442="","결제수단을 고르십시오",IF(ISNA(MATCH($C1442,'통합 ③ 통장·카드'!$A$5:$A$11,0)),"③ 통장·카드에 없는 결제수단입니다",IF($D1442="","계정과목을 고르십시오",IF($E1442="※없는 과목","④ 설정에 없는 과목입니다",IF(AND($E1442="수입",$J1442&gt;0),"수입 과목인데 지출에 적혔습니다",IF(AND(LEFT($E1442,2)&lt;&gt;"수입",$E1442&lt;&gt;"대체",$I1442&gt;0),"지출 과목인데 수입에 적혔습니다",IF($K1442="","증빙을 고르십시오",IF(AND($C1442="바우처통장",$J1442&gt;0,IFERROR(INDEX('통합 ④ 설정'!$E$6:$E$40,MATCH($D1442,'통합 ④ 설정'!$B$6:$B$40,0)),"")&lt;&gt;"○"),"바우처통장 지출 — 목적 확인",IF($H1442="","적요를 적으십시오",""))))))))))))</f>
        <v/>
      </c>
      <c r="M1442" s="39"/>
      <c r="O1442" s="11" t="str">
        <f aca="false">IF($B1442="","",YEAR($B1442)*100+MONTH($B1442))</f>
        <v/>
      </c>
      <c r="P1442" s="11" t="str">
        <f aca="false">IF($B1442="","",IF($E1442="대체",0,1))</f>
        <v/>
      </c>
    </row>
    <row r="1443" customFormat="false" ht="15" hidden="false" customHeight="false" outlineLevel="0" collapsed="false">
      <c r="A1443" s="36" t="str">
        <f aca="false">IF($B1443="","",COUNT($B$15:$B1443))</f>
        <v/>
      </c>
      <c r="B1443" s="37"/>
      <c r="C1443" s="38"/>
      <c r="D1443" s="39"/>
      <c r="E1443" s="36" t="str">
        <f aca="false">IF($D1443="","",IFERROR(INDEX('통합 ④ 설정'!$A$6:$A$40,MATCH($D1443,'통합 ④ 설정'!$B$6:$B$40,0)),"※없는 과목"))</f>
        <v/>
      </c>
      <c r="F1443" s="36" t="str">
        <f aca="false">IF($D1443="","",IFERROR(INDEX('통합 ④ 설정'!$C$6:$C$40,MATCH($D1443,'통합 ④ 설정'!$B$6:$B$40,0)),""))</f>
        <v/>
      </c>
      <c r="G1443" s="39"/>
      <c r="H1443" s="39"/>
      <c r="I1443" s="40"/>
      <c r="J1443" s="41"/>
      <c r="K1443" s="38"/>
      <c r="L1443" s="42" t="str">
        <f aca="false">IF($B1443="","",IF(AND(N($I1443)=0,N($J1443)=0),"금액이 없습니다",IF(AND($I1443&gt;0,$J1443&gt;0),"수입·지출 둘 다 적혔습니다",IF($C1443="","결제수단을 고르십시오",IF(ISNA(MATCH($C1443,'통합 ③ 통장·카드'!$A$5:$A$11,0)),"③ 통장·카드에 없는 결제수단입니다",IF($D1443="","계정과목을 고르십시오",IF($E1443="※없는 과목","④ 설정에 없는 과목입니다",IF(AND($E1443="수입",$J1443&gt;0),"수입 과목인데 지출에 적혔습니다",IF(AND(LEFT($E1443,2)&lt;&gt;"수입",$E1443&lt;&gt;"대체",$I1443&gt;0),"지출 과목인데 수입에 적혔습니다",IF($K1443="","증빙을 고르십시오",IF(AND($C1443="바우처통장",$J1443&gt;0,IFERROR(INDEX('통합 ④ 설정'!$E$6:$E$40,MATCH($D1443,'통합 ④ 설정'!$B$6:$B$40,0)),"")&lt;&gt;"○"),"바우처통장 지출 — 목적 확인",IF($H1443="","적요를 적으십시오",""))))))))))))</f>
        <v/>
      </c>
      <c r="M1443" s="39"/>
      <c r="O1443" s="11" t="str">
        <f aca="false">IF($B1443="","",YEAR($B1443)*100+MONTH($B1443))</f>
        <v/>
      </c>
      <c r="P1443" s="11" t="str">
        <f aca="false">IF($B1443="","",IF($E1443="대체",0,1))</f>
        <v/>
      </c>
    </row>
    <row r="1444" customFormat="false" ht="15" hidden="false" customHeight="false" outlineLevel="0" collapsed="false">
      <c r="A1444" s="36" t="str">
        <f aca="false">IF($B1444="","",COUNT($B$15:$B1444))</f>
        <v/>
      </c>
      <c r="B1444" s="37"/>
      <c r="C1444" s="38"/>
      <c r="D1444" s="39"/>
      <c r="E1444" s="36" t="str">
        <f aca="false">IF($D1444="","",IFERROR(INDEX('통합 ④ 설정'!$A$6:$A$40,MATCH($D1444,'통합 ④ 설정'!$B$6:$B$40,0)),"※없는 과목"))</f>
        <v/>
      </c>
      <c r="F1444" s="36" t="str">
        <f aca="false">IF($D1444="","",IFERROR(INDEX('통합 ④ 설정'!$C$6:$C$40,MATCH($D1444,'통합 ④ 설정'!$B$6:$B$40,0)),""))</f>
        <v/>
      </c>
      <c r="G1444" s="39"/>
      <c r="H1444" s="39"/>
      <c r="I1444" s="40"/>
      <c r="J1444" s="41"/>
      <c r="K1444" s="38"/>
      <c r="L1444" s="42" t="str">
        <f aca="false">IF($B1444="","",IF(AND(N($I1444)=0,N($J1444)=0),"금액이 없습니다",IF(AND($I1444&gt;0,$J1444&gt;0),"수입·지출 둘 다 적혔습니다",IF($C1444="","결제수단을 고르십시오",IF(ISNA(MATCH($C1444,'통합 ③ 통장·카드'!$A$5:$A$11,0)),"③ 통장·카드에 없는 결제수단입니다",IF($D1444="","계정과목을 고르십시오",IF($E1444="※없는 과목","④ 설정에 없는 과목입니다",IF(AND($E1444="수입",$J1444&gt;0),"수입 과목인데 지출에 적혔습니다",IF(AND(LEFT($E1444,2)&lt;&gt;"수입",$E1444&lt;&gt;"대체",$I1444&gt;0),"지출 과목인데 수입에 적혔습니다",IF($K1444="","증빙을 고르십시오",IF(AND($C1444="바우처통장",$J1444&gt;0,IFERROR(INDEX('통합 ④ 설정'!$E$6:$E$40,MATCH($D1444,'통합 ④ 설정'!$B$6:$B$40,0)),"")&lt;&gt;"○"),"바우처통장 지출 — 목적 확인",IF($H1444="","적요를 적으십시오",""))))))))))))</f>
        <v/>
      </c>
      <c r="M1444" s="39"/>
      <c r="O1444" s="11" t="str">
        <f aca="false">IF($B1444="","",YEAR($B1444)*100+MONTH($B1444))</f>
        <v/>
      </c>
      <c r="P1444" s="11" t="str">
        <f aca="false">IF($B1444="","",IF($E1444="대체",0,1))</f>
        <v/>
      </c>
    </row>
    <row r="1445" customFormat="false" ht="15" hidden="false" customHeight="false" outlineLevel="0" collapsed="false">
      <c r="A1445" s="36" t="str">
        <f aca="false">IF($B1445="","",COUNT($B$15:$B1445))</f>
        <v/>
      </c>
      <c r="B1445" s="37"/>
      <c r="C1445" s="38"/>
      <c r="D1445" s="39"/>
      <c r="E1445" s="36" t="str">
        <f aca="false">IF($D1445="","",IFERROR(INDEX('통합 ④ 설정'!$A$6:$A$40,MATCH($D1445,'통합 ④ 설정'!$B$6:$B$40,0)),"※없는 과목"))</f>
        <v/>
      </c>
      <c r="F1445" s="36" t="str">
        <f aca="false">IF($D1445="","",IFERROR(INDEX('통합 ④ 설정'!$C$6:$C$40,MATCH($D1445,'통합 ④ 설정'!$B$6:$B$40,0)),""))</f>
        <v/>
      </c>
      <c r="G1445" s="39"/>
      <c r="H1445" s="39"/>
      <c r="I1445" s="40"/>
      <c r="J1445" s="41"/>
      <c r="K1445" s="38"/>
      <c r="L1445" s="42" t="str">
        <f aca="false">IF($B1445="","",IF(AND(N($I1445)=0,N($J1445)=0),"금액이 없습니다",IF(AND($I1445&gt;0,$J1445&gt;0),"수입·지출 둘 다 적혔습니다",IF($C1445="","결제수단을 고르십시오",IF(ISNA(MATCH($C1445,'통합 ③ 통장·카드'!$A$5:$A$11,0)),"③ 통장·카드에 없는 결제수단입니다",IF($D1445="","계정과목을 고르십시오",IF($E1445="※없는 과목","④ 설정에 없는 과목입니다",IF(AND($E1445="수입",$J1445&gt;0),"수입 과목인데 지출에 적혔습니다",IF(AND(LEFT($E1445,2)&lt;&gt;"수입",$E1445&lt;&gt;"대체",$I1445&gt;0),"지출 과목인데 수입에 적혔습니다",IF($K1445="","증빙을 고르십시오",IF(AND($C1445="바우처통장",$J1445&gt;0,IFERROR(INDEX('통합 ④ 설정'!$E$6:$E$40,MATCH($D1445,'통합 ④ 설정'!$B$6:$B$40,0)),"")&lt;&gt;"○"),"바우처통장 지출 — 목적 확인",IF($H1445="","적요를 적으십시오",""))))))))))))</f>
        <v/>
      </c>
      <c r="M1445" s="39"/>
      <c r="O1445" s="11" t="str">
        <f aca="false">IF($B1445="","",YEAR($B1445)*100+MONTH($B1445))</f>
        <v/>
      </c>
      <c r="P1445" s="11" t="str">
        <f aca="false">IF($B1445="","",IF($E1445="대체",0,1))</f>
        <v/>
      </c>
    </row>
    <row r="1446" customFormat="false" ht="15" hidden="false" customHeight="false" outlineLevel="0" collapsed="false">
      <c r="A1446" s="36" t="str">
        <f aca="false">IF($B1446="","",COUNT($B$15:$B1446))</f>
        <v/>
      </c>
      <c r="B1446" s="37"/>
      <c r="C1446" s="38"/>
      <c r="D1446" s="39"/>
      <c r="E1446" s="36" t="str">
        <f aca="false">IF($D1446="","",IFERROR(INDEX('통합 ④ 설정'!$A$6:$A$40,MATCH($D1446,'통합 ④ 설정'!$B$6:$B$40,0)),"※없는 과목"))</f>
        <v/>
      </c>
      <c r="F1446" s="36" t="str">
        <f aca="false">IF($D1446="","",IFERROR(INDEX('통합 ④ 설정'!$C$6:$C$40,MATCH($D1446,'통합 ④ 설정'!$B$6:$B$40,0)),""))</f>
        <v/>
      </c>
      <c r="G1446" s="39"/>
      <c r="H1446" s="39"/>
      <c r="I1446" s="40"/>
      <c r="J1446" s="41"/>
      <c r="K1446" s="38"/>
      <c r="L1446" s="42" t="str">
        <f aca="false">IF($B1446="","",IF(AND(N($I1446)=0,N($J1446)=0),"금액이 없습니다",IF(AND($I1446&gt;0,$J1446&gt;0),"수입·지출 둘 다 적혔습니다",IF($C1446="","결제수단을 고르십시오",IF(ISNA(MATCH($C1446,'통합 ③ 통장·카드'!$A$5:$A$11,0)),"③ 통장·카드에 없는 결제수단입니다",IF($D1446="","계정과목을 고르십시오",IF($E1446="※없는 과목","④ 설정에 없는 과목입니다",IF(AND($E1446="수입",$J1446&gt;0),"수입 과목인데 지출에 적혔습니다",IF(AND(LEFT($E1446,2)&lt;&gt;"수입",$E1446&lt;&gt;"대체",$I1446&gt;0),"지출 과목인데 수입에 적혔습니다",IF($K1446="","증빙을 고르십시오",IF(AND($C1446="바우처통장",$J1446&gt;0,IFERROR(INDEX('통합 ④ 설정'!$E$6:$E$40,MATCH($D1446,'통합 ④ 설정'!$B$6:$B$40,0)),"")&lt;&gt;"○"),"바우처통장 지출 — 목적 확인",IF($H1446="","적요를 적으십시오",""))))))))))))</f>
        <v/>
      </c>
      <c r="M1446" s="39"/>
      <c r="O1446" s="11" t="str">
        <f aca="false">IF($B1446="","",YEAR($B1446)*100+MONTH($B1446))</f>
        <v/>
      </c>
      <c r="P1446" s="11" t="str">
        <f aca="false">IF($B1446="","",IF($E1446="대체",0,1))</f>
        <v/>
      </c>
    </row>
    <row r="1447" customFormat="false" ht="15" hidden="false" customHeight="false" outlineLevel="0" collapsed="false">
      <c r="A1447" s="36" t="str">
        <f aca="false">IF($B1447="","",COUNT($B$15:$B1447))</f>
        <v/>
      </c>
      <c r="B1447" s="37"/>
      <c r="C1447" s="38"/>
      <c r="D1447" s="39"/>
      <c r="E1447" s="36" t="str">
        <f aca="false">IF($D1447="","",IFERROR(INDEX('통합 ④ 설정'!$A$6:$A$40,MATCH($D1447,'통합 ④ 설정'!$B$6:$B$40,0)),"※없는 과목"))</f>
        <v/>
      </c>
      <c r="F1447" s="36" t="str">
        <f aca="false">IF($D1447="","",IFERROR(INDEX('통합 ④ 설정'!$C$6:$C$40,MATCH($D1447,'통합 ④ 설정'!$B$6:$B$40,0)),""))</f>
        <v/>
      </c>
      <c r="G1447" s="39"/>
      <c r="H1447" s="39"/>
      <c r="I1447" s="40"/>
      <c r="J1447" s="41"/>
      <c r="K1447" s="38"/>
      <c r="L1447" s="42" t="str">
        <f aca="false">IF($B1447="","",IF(AND(N($I1447)=0,N($J1447)=0),"금액이 없습니다",IF(AND($I1447&gt;0,$J1447&gt;0),"수입·지출 둘 다 적혔습니다",IF($C1447="","결제수단을 고르십시오",IF(ISNA(MATCH($C1447,'통합 ③ 통장·카드'!$A$5:$A$11,0)),"③ 통장·카드에 없는 결제수단입니다",IF($D1447="","계정과목을 고르십시오",IF($E1447="※없는 과목","④ 설정에 없는 과목입니다",IF(AND($E1447="수입",$J1447&gt;0),"수입 과목인데 지출에 적혔습니다",IF(AND(LEFT($E1447,2)&lt;&gt;"수입",$E1447&lt;&gt;"대체",$I1447&gt;0),"지출 과목인데 수입에 적혔습니다",IF($K1447="","증빙을 고르십시오",IF(AND($C1447="바우처통장",$J1447&gt;0,IFERROR(INDEX('통합 ④ 설정'!$E$6:$E$40,MATCH($D1447,'통합 ④ 설정'!$B$6:$B$40,0)),"")&lt;&gt;"○"),"바우처통장 지출 — 목적 확인",IF($H1447="","적요를 적으십시오",""))))))))))))</f>
        <v/>
      </c>
      <c r="M1447" s="39"/>
      <c r="O1447" s="11" t="str">
        <f aca="false">IF($B1447="","",YEAR($B1447)*100+MONTH($B1447))</f>
        <v/>
      </c>
      <c r="P1447" s="11" t="str">
        <f aca="false">IF($B1447="","",IF($E1447="대체",0,1))</f>
        <v/>
      </c>
    </row>
    <row r="1448" customFormat="false" ht="15" hidden="false" customHeight="false" outlineLevel="0" collapsed="false">
      <c r="A1448" s="36" t="str">
        <f aca="false">IF($B1448="","",COUNT($B$15:$B1448))</f>
        <v/>
      </c>
      <c r="B1448" s="37"/>
      <c r="C1448" s="38"/>
      <c r="D1448" s="39"/>
      <c r="E1448" s="36" t="str">
        <f aca="false">IF($D1448="","",IFERROR(INDEX('통합 ④ 설정'!$A$6:$A$40,MATCH($D1448,'통합 ④ 설정'!$B$6:$B$40,0)),"※없는 과목"))</f>
        <v/>
      </c>
      <c r="F1448" s="36" t="str">
        <f aca="false">IF($D1448="","",IFERROR(INDEX('통합 ④ 설정'!$C$6:$C$40,MATCH($D1448,'통합 ④ 설정'!$B$6:$B$40,0)),""))</f>
        <v/>
      </c>
      <c r="G1448" s="39"/>
      <c r="H1448" s="39"/>
      <c r="I1448" s="40"/>
      <c r="J1448" s="41"/>
      <c r="K1448" s="38"/>
      <c r="L1448" s="42" t="str">
        <f aca="false">IF($B1448="","",IF(AND(N($I1448)=0,N($J1448)=0),"금액이 없습니다",IF(AND($I1448&gt;0,$J1448&gt;0),"수입·지출 둘 다 적혔습니다",IF($C1448="","결제수단을 고르십시오",IF(ISNA(MATCH($C1448,'통합 ③ 통장·카드'!$A$5:$A$11,0)),"③ 통장·카드에 없는 결제수단입니다",IF($D1448="","계정과목을 고르십시오",IF($E1448="※없는 과목","④ 설정에 없는 과목입니다",IF(AND($E1448="수입",$J1448&gt;0),"수입 과목인데 지출에 적혔습니다",IF(AND(LEFT($E1448,2)&lt;&gt;"수입",$E1448&lt;&gt;"대체",$I1448&gt;0),"지출 과목인데 수입에 적혔습니다",IF($K1448="","증빙을 고르십시오",IF(AND($C1448="바우처통장",$J1448&gt;0,IFERROR(INDEX('통합 ④ 설정'!$E$6:$E$40,MATCH($D1448,'통합 ④ 설정'!$B$6:$B$40,0)),"")&lt;&gt;"○"),"바우처통장 지출 — 목적 확인",IF($H1448="","적요를 적으십시오",""))))))))))))</f>
        <v/>
      </c>
      <c r="M1448" s="39"/>
      <c r="O1448" s="11" t="str">
        <f aca="false">IF($B1448="","",YEAR($B1448)*100+MONTH($B1448))</f>
        <v/>
      </c>
      <c r="P1448" s="11" t="str">
        <f aca="false">IF($B1448="","",IF($E1448="대체",0,1))</f>
        <v/>
      </c>
    </row>
    <row r="1449" customFormat="false" ht="15" hidden="false" customHeight="false" outlineLevel="0" collapsed="false">
      <c r="A1449" s="36" t="str">
        <f aca="false">IF($B1449="","",COUNT($B$15:$B1449))</f>
        <v/>
      </c>
      <c r="B1449" s="37"/>
      <c r="C1449" s="38"/>
      <c r="D1449" s="39"/>
      <c r="E1449" s="36" t="str">
        <f aca="false">IF($D1449="","",IFERROR(INDEX('통합 ④ 설정'!$A$6:$A$40,MATCH($D1449,'통합 ④ 설정'!$B$6:$B$40,0)),"※없는 과목"))</f>
        <v/>
      </c>
      <c r="F1449" s="36" t="str">
        <f aca="false">IF($D1449="","",IFERROR(INDEX('통합 ④ 설정'!$C$6:$C$40,MATCH($D1449,'통합 ④ 설정'!$B$6:$B$40,0)),""))</f>
        <v/>
      </c>
      <c r="G1449" s="39"/>
      <c r="H1449" s="39"/>
      <c r="I1449" s="40"/>
      <c r="J1449" s="41"/>
      <c r="K1449" s="38"/>
      <c r="L1449" s="42" t="str">
        <f aca="false">IF($B1449="","",IF(AND(N($I1449)=0,N($J1449)=0),"금액이 없습니다",IF(AND($I1449&gt;0,$J1449&gt;0),"수입·지출 둘 다 적혔습니다",IF($C1449="","결제수단을 고르십시오",IF(ISNA(MATCH($C1449,'통합 ③ 통장·카드'!$A$5:$A$11,0)),"③ 통장·카드에 없는 결제수단입니다",IF($D1449="","계정과목을 고르십시오",IF($E1449="※없는 과목","④ 설정에 없는 과목입니다",IF(AND($E1449="수입",$J1449&gt;0),"수입 과목인데 지출에 적혔습니다",IF(AND(LEFT($E1449,2)&lt;&gt;"수입",$E1449&lt;&gt;"대체",$I1449&gt;0),"지출 과목인데 수입에 적혔습니다",IF($K1449="","증빙을 고르십시오",IF(AND($C1449="바우처통장",$J1449&gt;0,IFERROR(INDEX('통합 ④ 설정'!$E$6:$E$40,MATCH($D1449,'통합 ④ 설정'!$B$6:$B$40,0)),"")&lt;&gt;"○"),"바우처통장 지출 — 목적 확인",IF($H1449="","적요를 적으십시오",""))))))))))))</f>
        <v/>
      </c>
      <c r="M1449" s="39"/>
      <c r="O1449" s="11" t="str">
        <f aca="false">IF($B1449="","",YEAR($B1449)*100+MONTH($B1449))</f>
        <v/>
      </c>
      <c r="P1449" s="11" t="str">
        <f aca="false">IF($B1449="","",IF($E1449="대체",0,1))</f>
        <v/>
      </c>
    </row>
    <row r="1450" customFormat="false" ht="15" hidden="false" customHeight="false" outlineLevel="0" collapsed="false">
      <c r="A1450" s="36" t="str">
        <f aca="false">IF($B1450="","",COUNT($B$15:$B1450))</f>
        <v/>
      </c>
      <c r="B1450" s="37"/>
      <c r="C1450" s="38"/>
      <c r="D1450" s="39"/>
      <c r="E1450" s="36" t="str">
        <f aca="false">IF($D1450="","",IFERROR(INDEX('통합 ④ 설정'!$A$6:$A$40,MATCH($D1450,'통합 ④ 설정'!$B$6:$B$40,0)),"※없는 과목"))</f>
        <v/>
      </c>
      <c r="F1450" s="36" t="str">
        <f aca="false">IF($D1450="","",IFERROR(INDEX('통합 ④ 설정'!$C$6:$C$40,MATCH($D1450,'통합 ④ 설정'!$B$6:$B$40,0)),""))</f>
        <v/>
      </c>
      <c r="G1450" s="39"/>
      <c r="H1450" s="39"/>
      <c r="I1450" s="40"/>
      <c r="J1450" s="41"/>
      <c r="K1450" s="38"/>
      <c r="L1450" s="42" t="str">
        <f aca="false">IF($B1450="","",IF(AND(N($I1450)=0,N($J1450)=0),"금액이 없습니다",IF(AND($I1450&gt;0,$J1450&gt;0),"수입·지출 둘 다 적혔습니다",IF($C1450="","결제수단을 고르십시오",IF(ISNA(MATCH($C1450,'통합 ③ 통장·카드'!$A$5:$A$11,0)),"③ 통장·카드에 없는 결제수단입니다",IF($D1450="","계정과목을 고르십시오",IF($E1450="※없는 과목","④ 설정에 없는 과목입니다",IF(AND($E1450="수입",$J1450&gt;0),"수입 과목인데 지출에 적혔습니다",IF(AND(LEFT($E1450,2)&lt;&gt;"수입",$E1450&lt;&gt;"대체",$I1450&gt;0),"지출 과목인데 수입에 적혔습니다",IF($K1450="","증빙을 고르십시오",IF(AND($C1450="바우처통장",$J1450&gt;0,IFERROR(INDEX('통합 ④ 설정'!$E$6:$E$40,MATCH($D1450,'통합 ④ 설정'!$B$6:$B$40,0)),"")&lt;&gt;"○"),"바우처통장 지출 — 목적 확인",IF($H1450="","적요를 적으십시오",""))))))))))))</f>
        <v/>
      </c>
      <c r="M1450" s="39"/>
      <c r="O1450" s="11" t="str">
        <f aca="false">IF($B1450="","",YEAR($B1450)*100+MONTH($B1450))</f>
        <v/>
      </c>
      <c r="P1450" s="11" t="str">
        <f aca="false">IF($B1450="","",IF($E1450="대체",0,1))</f>
        <v/>
      </c>
    </row>
    <row r="1451" customFormat="false" ht="15" hidden="false" customHeight="false" outlineLevel="0" collapsed="false">
      <c r="A1451" s="36" t="str">
        <f aca="false">IF($B1451="","",COUNT($B$15:$B1451))</f>
        <v/>
      </c>
      <c r="B1451" s="37"/>
      <c r="C1451" s="38"/>
      <c r="D1451" s="39"/>
      <c r="E1451" s="36" t="str">
        <f aca="false">IF($D1451="","",IFERROR(INDEX('통합 ④ 설정'!$A$6:$A$40,MATCH($D1451,'통합 ④ 설정'!$B$6:$B$40,0)),"※없는 과목"))</f>
        <v/>
      </c>
      <c r="F1451" s="36" t="str">
        <f aca="false">IF($D1451="","",IFERROR(INDEX('통합 ④ 설정'!$C$6:$C$40,MATCH($D1451,'통합 ④ 설정'!$B$6:$B$40,0)),""))</f>
        <v/>
      </c>
      <c r="G1451" s="39"/>
      <c r="H1451" s="39"/>
      <c r="I1451" s="40"/>
      <c r="J1451" s="41"/>
      <c r="K1451" s="38"/>
      <c r="L1451" s="42" t="str">
        <f aca="false">IF($B1451="","",IF(AND(N($I1451)=0,N($J1451)=0),"금액이 없습니다",IF(AND($I1451&gt;0,$J1451&gt;0),"수입·지출 둘 다 적혔습니다",IF($C1451="","결제수단을 고르십시오",IF(ISNA(MATCH($C1451,'통합 ③ 통장·카드'!$A$5:$A$11,0)),"③ 통장·카드에 없는 결제수단입니다",IF($D1451="","계정과목을 고르십시오",IF($E1451="※없는 과목","④ 설정에 없는 과목입니다",IF(AND($E1451="수입",$J1451&gt;0),"수입 과목인데 지출에 적혔습니다",IF(AND(LEFT($E1451,2)&lt;&gt;"수입",$E1451&lt;&gt;"대체",$I1451&gt;0),"지출 과목인데 수입에 적혔습니다",IF($K1451="","증빙을 고르십시오",IF(AND($C1451="바우처통장",$J1451&gt;0,IFERROR(INDEX('통합 ④ 설정'!$E$6:$E$40,MATCH($D1451,'통합 ④ 설정'!$B$6:$B$40,0)),"")&lt;&gt;"○"),"바우처통장 지출 — 목적 확인",IF($H1451="","적요를 적으십시오",""))))))))))))</f>
        <v/>
      </c>
      <c r="M1451" s="39"/>
      <c r="O1451" s="11" t="str">
        <f aca="false">IF($B1451="","",YEAR($B1451)*100+MONTH($B1451))</f>
        <v/>
      </c>
      <c r="P1451" s="11" t="str">
        <f aca="false">IF($B1451="","",IF($E1451="대체",0,1))</f>
        <v/>
      </c>
    </row>
    <row r="1452" customFormat="false" ht="15" hidden="false" customHeight="false" outlineLevel="0" collapsed="false">
      <c r="A1452" s="36" t="str">
        <f aca="false">IF($B1452="","",COUNT($B$15:$B1452))</f>
        <v/>
      </c>
      <c r="B1452" s="37"/>
      <c r="C1452" s="38"/>
      <c r="D1452" s="39"/>
      <c r="E1452" s="36" t="str">
        <f aca="false">IF($D1452="","",IFERROR(INDEX('통합 ④ 설정'!$A$6:$A$40,MATCH($D1452,'통합 ④ 설정'!$B$6:$B$40,0)),"※없는 과목"))</f>
        <v/>
      </c>
      <c r="F1452" s="36" t="str">
        <f aca="false">IF($D1452="","",IFERROR(INDEX('통합 ④ 설정'!$C$6:$C$40,MATCH($D1452,'통합 ④ 설정'!$B$6:$B$40,0)),""))</f>
        <v/>
      </c>
      <c r="G1452" s="39"/>
      <c r="H1452" s="39"/>
      <c r="I1452" s="40"/>
      <c r="J1452" s="41"/>
      <c r="K1452" s="38"/>
      <c r="L1452" s="42" t="str">
        <f aca="false">IF($B1452="","",IF(AND(N($I1452)=0,N($J1452)=0),"금액이 없습니다",IF(AND($I1452&gt;0,$J1452&gt;0),"수입·지출 둘 다 적혔습니다",IF($C1452="","결제수단을 고르십시오",IF(ISNA(MATCH($C1452,'통합 ③ 통장·카드'!$A$5:$A$11,0)),"③ 통장·카드에 없는 결제수단입니다",IF($D1452="","계정과목을 고르십시오",IF($E1452="※없는 과목","④ 설정에 없는 과목입니다",IF(AND($E1452="수입",$J1452&gt;0),"수입 과목인데 지출에 적혔습니다",IF(AND(LEFT($E1452,2)&lt;&gt;"수입",$E1452&lt;&gt;"대체",$I1452&gt;0),"지출 과목인데 수입에 적혔습니다",IF($K1452="","증빙을 고르십시오",IF(AND($C1452="바우처통장",$J1452&gt;0,IFERROR(INDEX('통합 ④ 설정'!$E$6:$E$40,MATCH($D1452,'통합 ④ 설정'!$B$6:$B$40,0)),"")&lt;&gt;"○"),"바우처통장 지출 — 목적 확인",IF($H1452="","적요를 적으십시오",""))))))))))))</f>
        <v/>
      </c>
      <c r="M1452" s="39"/>
      <c r="O1452" s="11" t="str">
        <f aca="false">IF($B1452="","",YEAR($B1452)*100+MONTH($B1452))</f>
        <v/>
      </c>
      <c r="P1452" s="11" t="str">
        <f aca="false">IF($B1452="","",IF($E1452="대체",0,1))</f>
        <v/>
      </c>
    </row>
    <row r="1453" customFormat="false" ht="15" hidden="false" customHeight="false" outlineLevel="0" collapsed="false">
      <c r="A1453" s="36" t="str">
        <f aca="false">IF($B1453="","",COUNT($B$15:$B1453))</f>
        <v/>
      </c>
      <c r="B1453" s="37"/>
      <c r="C1453" s="38"/>
      <c r="D1453" s="39"/>
      <c r="E1453" s="36" t="str">
        <f aca="false">IF($D1453="","",IFERROR(INDEX('통합 ④ 설정'!$A$6:$A$40,MATCH($D1453,'통합 ④ 설정'!$B$6:$B$40,0)),"※없는 과목"))</f>
        <v/>
      </c>
      <c r="F1453" s="36" t="str">
        <f aca="false">IF($D1453="","",IFERROR(INDEX('통합 ④ 설정'!$C$6:$C$40,MATCH($D1453,'통합 ④ 설정'!$B$6:$B$40,0)),""))</f>
        <v/>
      </c>
      <c r="G1453" s="39"/>
      <c r="H1453" s="39"/>
      <c r="I1453" s="40"/>
      <c r="J1453" s="41"/>
      <c r="K1453" s="38"/>
      <c r="L1453" s="42" t="str">
        <f aca="false">IF($B1453="","",IF(AND(N($I1453)=0,N($J1453)=0),"금액이 없습니다",IF(AND($I1453&gt;0,$J1453&gt;0),"수입·지출 둘 다 적혔습니다",IF($C1453="","결제수단을 고르십시오",IF(ISNA(MATCH($C1453,'통합 ③ 통장·카드'!$A$5:$A$11,0)),"③ 통장·카드에 없는 결제수단입니다",IF($D1453="","계정과목을 고르십시오",IF($E1453="※없는 과목","④ 설정에 없는 과목입니다",IF(AND($E1453="수입",$J1453&gt;0),"수입 과목인데 지출에 적혔습니다",IF(AND(LEFT($E1453,2)&lt;&gt;"수입",$E1453&lt;&gt;"대체",$I1453&gt;0),"지출 과목인데 수입에 적혔습니다",IF($K1453="","증빙을 고르십시오",IF(AND($C1453="바우처통장",$J1453&gt;0,IFERROR(INDEX('통합 ④ 설정'!$E$6:$E$40,MATCH($D1453,'통합 ④ 설정'!$B$6:$B$40,0)),"")&lt;&gt;"○"),"바우처통장 지출 — 목적 확인",IF($H1453="","적요를 적으십시오",""))))))))))))</f>
        <v/>
      </c>
      <c r="M1453" s="39"/>
      <c r="O1453" s="11" t="str">
        <f aca="false">IF($B1453="","",YEAR($B1453)*100+MONTH($B1453))</f>
        <v/>
      </c>
      <c r="P1453" s="11" t="str">
        <f aca="false">IF($B1453="","",IF($E1453="대체",0,1))</f>
        <v/>
      </c>
    </row>
    <row r="1454" customFormat="false" ht="15" hidden="false" customHeight="false" outlineLevel="0" collapsed="false">
      <c r="A1454" s="36" t="str">
        <f aca="false">IF($B1454="","",COUNT($B$15:$B1454))</f>
        <v/>
      </c>
      <c r="B1454" s="37"/>
      <c r="C1454" s="38"/>
      <c r="D1454" s="39"/>
      <c r="E1454" s="36" t="str">
        <f aca="false">IF($D1454="","",IFERROR(INDEX('통합 ④ 설정'!$A$6:$A$40,MATCH($D1454,'통합 ④ 설정'!$B$6:$B$40,0)),"※없는 과목"))</f>
        <v/>
      </c>
      <c r="F1454" s="36" t="str">
        <f aca="false">IF($D1454="","",IFERROR(INDEX('통합 ④ 설정'!$C$6:$C$40,MATCH($D1454,'통합 ④ 설정'!$B$6:$B$40,0)),""))</f>
        <v/>
      </c>
      <c r="G1454" s="39"/>
      <c r="H1454" s="39"/>
      <c r="I1454" s="40"/>
      <c r="J1454" s="41"/>
      <c r="K1454" s="38"/>
      <c r="L1454" s="42" t="str">
        <f aca="false">IF($B1454="","",IF(AND(N($I1454)=0,N($J1454)=0),"금액이 없습니다",IF(AND($I1454&gt;0,$J1454&gt;0),"수입·지출 둘 다 적혔습니다",IF($C1454="","결제수단을 고르십시오",IF(ISNA(MATCH($C1454,'통합 ③ 통장·카드'!$A$5:$A$11,0)),"③ 통장·카드에 없는 결제수단입니다",IF($D1454="","계정과목을 고르십시오",IF($E1454="※없는 과목","④ 설정에 없는 과목입니다",IF(AND($E1454="수입",$J1454&gt;0),"수입 과목인데 지출에 적혔습니다",IF(AND(LEFT($E1454,2)&lt;&gt;"수입",$E1454&lt;&gt;"대체",$I1454&gt;0),"지출 과목인데 수입에 적혔습니다",IF($K1454="","증빙을 고르십시오",IF(AND($C1454="바우처통장",$J1454&gt;0,IFERROR(INDEX('통합 ④ 설정'!$E$6:$E$40,MATCH($D1454,'통합 ④ 설정'!$B$6:$B$40,0)),"")&lt;&gt;"○"),"바우처통장 지출 — 목적 확인",IF($H1454="","적요를 적으십시오",""))))))))))))</f>
        <v/>
      </c>
      <c r="M1454" s="39"/>
      <c r="O1454" s="11" t="str">
        <f aca="false">IF($B1454="","",YEAR($B1454)*100+MONTH($B1454))</f>
        <v/>
      </c>
      <c r="P1454" s="11" t="str">
        <f aca="false">IF($B1454="","",IF($E1454="대체",0,1))</f>
        <v/>
      </c>
    </row>
    <row r="1455" customFormat="false" ht="15" hidden="false" customHeight="false" outlineLevel="0" collapsed="false">
      <c r="A1455" s="36" t="str">
        <f aca="false">IF($B1455="","",COUNT($B$15:$B1455))</f>
        <v/>
      </c>
      <c r="B1455" s="37"/>
      <c r="C1455" s="38"/>
      <c r="D1455" s="39"/>
      <c r="E1455" s="36" t="str">
        <f aca="false">IF($D1455="","",IFERROR(INDEX('통합 ④ 설정'!$A$6:$A$40,MATCH($D1455,'통합 ④ 설정'!$B$6:$B$40,0)),"※없는 과목"))</f>
        <v/>
      </c>
      <c r="F1455" s="36" t="str">
        <f aca="false">IF($D1455="","",IFERROR(INDEX('통합 ④ 설정'!$C$6:$C$40,MATCH($D1455,'통합 ④ 설정'!$B$6:$B$40,0)),""))</f>
        <v/>
      </c>
      <c r="G1455" s="39"/>
      <c r="H1455" s="39"/>
      <c r="I1455" s="40"/>
      <c r="J1455" s="41"/>
      <c r="K1455" s="38"/>
      <c r="L1455" s="42" t="str">
        <f aca="false">IF($B1455="","",IF(AND(N($I1455)=0,N($J1455)=0),"금액이 없습니다",IF(AND($I1455&gt;0,$J1455&gt;0),"수입·지출 둘 다 적혔습니다",IF($C1455="","결제수단을 고르십시오",IF(ISNA(MATCH($C1455,'통합 ③ 통장·카드'!$A$5:$A$11,0)),"③ 통장·카드에 없는 결제수단입니다",IF($D1455="","계정과목을 고르십시오",IF($E1455="※없는 과목","④ 설정에 없는 과목입니다",IF(AND($E1455="수입",$J1455&gt;0),"수입 과목인데 지출에 적혔습니다",IF(AND(LEFT($E1455,2)&lt;&gt;"수입",$E1455&lt;&gt;"대체",$I1455&gt;0),"지출 과목인데 수입에 적혔습니다",IF($K1455="","증빙을 고르십시오",IF(AND($C1455="바우처통장",$J1455&gt;0,IFERROR(INDEX('통합 ④ 설정'!$E$6:$E$40,MATCH($D1455,'통합 ④ 설정'!$B$6:$B$40,0)),"")&lt;&gt;"○"),"바우처통장 지출 — 목적 확인",IF($H1455="","적요를 적으십시오",""))))))))))))</f>
        <v/>
      </c>
      <c r="M1455" s="39"/>
      <c r="O1455" s="11" t="str">
        <f aca="false">IF($B1455="","",YEAR($B1455)*100+MONTH($B1455))</f>
        <v/>
      </c>
      <c r="P1455" s="11" t="str">
        <f aca="false">IF($B1455="","",IF($E1455="대체",0,1))</f>
        <v/>
      </c>
    </row>
    <row r="1456" customFormat="false" ht="15" hidden="false" customHeight="false" outlineLevel="0" collapsed="false">
      <c r="A1456" s="36" t="str">
        <f aca="false">IF($B1456="","",COUNT($B$15:$B1456))</f>
        <v/>
      </c>
      <c r="B1456" s="37"/>
      <c r="C1456" s="38"/>
      <c r="D1456" s="39"/>
      <c r="E1456" s="36" t="str">
        <f aca="false">IF($D1456="","",IFERROR(INDEX('통합 ④ 설정'!$A$6:$A$40,MATCH($D1456,'통합 ④ 설정'!$B$6:$B$40,0)),"※없는 과목"))</f>
        <v/>
      </c>
      <c r="F1456" s="36" t="str">
        <f aca="false">IF($D1456="","",IFERROR(INDEX('통합 ④ 설정'!$C$6:$C$40,MATCH($D1456,'통합 ④ 설정'!$B$6:$B$40,0)),""))</f>
        <v/>
      </c>
      <c r="G1456" s="39"/>
      <c r="H1456" s="39"/>
      <c r="I1456" s="40"/>
      <c r="J1456" s="41"/>
      <c r="K1456" s="38"/>
      <c r="L1456" s="42" t="str">
        <f aca="false">IF($B1456="","",IF(AND(N($I1456)=0,N($J1456)=0),"금액이 없습니다",IF(AND($I1456&gt;0,$J1456&gt;0),"수입·지출 둘 다 적혔습니다",IF($C1456="","결제수단을 고르십시오",IF(ISNA(MATCH($C1456,'통합 ③ 통장·카드'!$A$5:$A$11,0)),"③ 통장·카드에 없는 결제수단입니다",IF($D1456="","계정과목을 고르십시오",IF($E1456="※없는 과목","④ 설정에 없는 과목입니다",IF(AND($E1456="수입",$J1456&gt;0),"수입 과목인데 지출에 적혔습니다",IF(AND(LEFT($E1456,2)&lt;&gt;"수입",$E1456&lt;&gt;"대체",$I1456&gt;0),"지출 과목인데 수입에 적혔습니다",IF($K1456="","증빙을 고르십시오",IF(AND($C1456="바우처통장",$J1456&gt;0,IFERROR(INDEX('통합 ④ 설정'!$E$6:$E$40,MATCH($D1456,'통합 ④ 설정'!$B$6:$B$40,0)),"")&lt;&gt;"○"),"바우처통장 지출 — 목적 확인",IF($H1456="","적요를 적으십시오",""))))))))))))</f>
        <v/>
      </c>
      <c r="M1456" s="39"/>
      <c r="O1456" s="11" t="str">
        <f aca="false">IF($B1456="","",YEAR($B1456)*100+MONTH($B1456))</f>
        <v/>
      </c>
      <c r="P1456" s="11" t="str">
        <f aca="false">IF($B1456="","",IF($E1456="대체",0,1))</f>
        <v/>
      </c>
    </row>
    <row r="1457" customFormat="false" ht="15" hidden="false" customHeight="false" outlineLevel="0" collapsed="false">
      <c r="A1457" s="36" t="str">
        <f aca="false">IF($B1457="","",COUNT($B$15:$B1457))</f>
        <v/>
      </c>
      <c r="B1457" s="37"/>
      <c r="C1457" s="38"/>
      <c r="D1457" s="39"/>
      <c r="E1457" s="36" t="str">
        <f aca="false">IF($D1457="","",IFERROR(INDEX('통합 ④ 설정'!$A$6:$A$40,MATCH($D1457,'통합 ④ 설정'!$B$6:$B$40,0)),"※없는 과목"))</f>
        <v/>
      </c>
      <c r="F1457" s="36" t="str">
        <f aca="false">IF($D1457="","",IFERROR(INDEX('통합 ④ 설정'!$C$6:$C$40,MATCH($D1457,'통합 ④ 설정'!$B$6:$B$40,0)),""))</f>
        <v/>
      </c>
      <c r="G1457" s="39"/>
      <c r="H1457" s="39"/>
      <c r="I1457" s="40"/>
      <c r="J1457" s="41"/>
      <c r="K1457" s="38"/>
      <c r="L1457" s="42" t="str">
        <f aca="false">IF($B1457="","",IF(AND(N($I1457)=0,N($J1457)=0),"금액이 없습니다",IF(AND($I1457&gt;0,$J1457&gt;0),"수입·지출 둘 다 적혔습니다",IF($C1457="","결제수단을 고르십시오",IF(ISNA(MATCH($C1457,'통합 ③ 통장·카드'!$A$5:$A$11,0)),"③ 통장·카드에 없는 결제수단입니다",IF($D1457="","계정과목을 고르십시오",IF($E1457="※없는 과목","④ 설정에 없는 과목입니다",IF(AND($E1457="수입",$J1457&gt;0),"수입 과목인데 지출에 적혔습니다",IF(AND(LEFT($E1457,2)&lt;&gt;"수입",$E1457&lt;&gt;"대체",$I1457&gt;0),"지출 과목인데 수입에 적혔습니다",IF($K1457="","증빙을 고르십시오",IF(AND($C1457="바우처통장",$J1457&gt;0,IFERROR(INDEX('통합 ④ 설정'!$E$6:$E$40,MATCH($D1457,'통합 ④ 설정'!$B$6:$B$40,0)),"")&lt;&gt;"○"),"바우처통장 지출 — 목적 확인",IF($H1457="","적요를 적으십시오",""))))))))))))</f>
        <v/>
      </c>
      <c r="M1457" s="39"/>
      <c r="O1457" s="11" t="str">
        <f aca="false">IF($B1457="","",YEAR($B1457)*100+MONTH($B1457))</f>
        <v/>
      </c>
      <c r="P1457" s="11" t="str">
        <f aca="false">IF($B1457="","",IF($E1457="대체",0,1))</f>
        <v/>
      </c>
    </row>
    <row r="1458" customFormat="false" ht="15" hidden="false" customHeight="false" outlineLevel="0" collapsed="false">
      <c r="A1458" s="36" t="str">
        <f aca="false">IF($B1458="","",COUNT($B$15:$B1458))</f>
        <v/>
      </c>
      <c r="B1458" s="37"/>
      <c r="C1458" s="38"/>
      <c r="D1458" s="39"/>
      <c r="E1458" s="36" t="str">
        <f aca="false">IF($D1458="","",IFERROR(INDEX('통합 ④ 설정'!$A$6:$A$40,MATCH($D1458,'통합 ④ 설정'!$B$6:$B$40,0)),"※없는 과목"))</f>
        <v/>
      </c>
      <c r="F1458" s="36" t="str">
        <f aca="false">IF($D1458="","",IFERROR(INDEX('통합 ④ 설정'!$C$6:$C$40,MATCH($D1458,'통합 ④ 설정'!$B$6:$B$40,0)),""))</f>
        <v/>
      </c>
      <c r="G1458" s="39"/>
      <c r="H1458" s="39"/>
      <c r="I1458" s="40"/>
      <c r="J1458" s="41"/>
      <c r="K1458" s="38"/>
      <c r="L1458" s="42" t="str">
        <f aca="false">IF($B1458="","",IF(AND(N($I1458)=0,N($J1458)=0),"금액이 없습니다",IF(AND($I1458&gt;0,$J1458&gt;0),"수입·지출 둘 다 적혔습니다",IF($C1458="","결제수단을 고르십시오",IF(ISNA(MATCH($C1458,'통합 ③ 통장·카드'!$A$5:$A$11,0)),"③ 통장·카드에 없는 결제수단입니다",IF($D1458="","계정과목을 고르십시오",IF($E1458="※없는 과목","④ 설정에 없는 과목입니다",IF(AND($E1458="수입",$J1458&gt;0),"수입 과목인데 지출에 적혔습니다",IF(AND(LEFT($E1458,2)&lt;&gt;"수입",$E1458&lt;&gt;"대체",$I1458&gt;0),"지출 과목인데 수입에 적혔습니다",IF($K1458="","증빙을 고르십시오",IF(AND($C1458="바우처통장",$J1458&gt;0,IFERROR(INDEX('통합 ④ 설정'!$E$6:$E$40,MATCH($D1458,'통합 ④ 설정'!$B$6:$B$40,0)),"")&lt;&gt;"○"),"바우처통장 지출 — 목적 확인",IF($H1458="","적요를 적으십시오",""))))))))))))</f>
        <v/>
      </c>
      <c r="M1458" s="39"/>
      <c r="O1458" s="11" t="str">
        <f aca="false">IF($B1458="","",YEAR($B1458)*100+MONTH($B1458))</f>
        <v/>
      </c>
      <c r="P1458" s="11" t="str">
        <f aca="false">IF($B1458="","",IF($E1458="대체",0,1))</f>
        <v/>
      </c>
    </row>
    <row r="1459" customFormat="false" ht="15" hidden="false" customHeight="false" outlineLevel="0" collapsed="false">
      <c r="A1459" s="36" t="str">
        <f aca="false">IF($B1459="","",COUNT($B$15:$B1459))</f>
        <v/>
      </c>
      <c r="B1459" s="37"/>
      <c r="C1459" s="38"/>
      <c r="D1459" s="39"/>
      <c r="E1459" s="36" t="str">
        <f aca="false">IF($D1459="","",IFERROR(INDEX('통합 ④ 설정'!$A$6:$A$40,MATCH($D1459,'통합 ④ 설정'!$B$6:$B$40,0)),"※없는 과목"))</f>
        <v/>
      </c>
      <c r="F1459" s="36" t="str">
        <f aca="false">IF($D1459="","",IFERROR(INDEX('통합 ④ 설정'!$C$6:$C$40,MATCH($D1459,'통합 ④ 설정'!$B$6:$B$40,0)),""))</f>
        <v/>
      </c>
      <c r="G1459" s="39"/>
      <c r="H1459" s="39"/>
      <c r="I1459" s="40"/>
      <c r="J1459" s="41"/>
      <c r="K1459" s="38"/>
      <c r="L1459" s="42" t="str">
        <f aca="false">IF($B1459="","",IF(AND(N($I1459)=0,N($J1459)=0),"금액이 없습니다",IF(AND($I1459&gt;0,$J1459&gt;0),"수입·지출 둘 다 적혔습니다",IF($C1459="","결제수단을 고르십시오",IF(ISNA(MATCH($C1459,'통합 ③ 통장·카드'!$A$5:$A$11,0)),"③ 통장·카드에 없는 결제수단입니다",IF($D1459="","계정과목을 고르십시오",IF($E1459="※없는 과목","④ 설정에 없는 과목입니다",IF(AND($E1459="수입",$J1459&gt;0),"수입 과목인데 지출에 적혔습니다",IF(AND(LEFT($E1459,2)&lt;&gt;"수입",$E1459&lt;&gt;"대체",$I1459&gt;0),"지출 과목인데 수입에 적혔습니다",IF($K1459="","증빙을 고르십시오",IF(AND($C1459="바우처통장",$J1459&gt;0,IFERROR(INDEX('통합 ④ 설정'!$E$6:$E$40,MATCH($D1459,'통합 ④ 설정'!$B$6:$B$40,0)),"")&lt;&gt;"○"),"바우처통장 지출 — 목적 확인",IF($H1459="","적요를 적으십시오",""))))))))))))</f>
        <v/>
      </c>
      <c r="M1459" s="39"/>
      <c r="O1459" s="11" t="str">
        <f aca="false">IF($B1459="","",YEAR($B1459)*100+MONTH($B1459))</f>
        <v/>
      </c>
      <c r="P1459" s="11" t="str">
        <f aca="false">IF($B1459="","",IF($E1459="대체",0,1))</f>
        <v/>
      </c>
    </row>
    <row r="1460" customFormat="false" ht="15" hidden="false" customHeight="false" outlineLevel="0" collapsed="false">
      <c r="A1460" s="36" t="str">
        <f aca="false">IF($B1460="","",COUNT($B$15:$B1460))</f>
        <v/>
      </c>
      <c r="B1460" s="37"/>
      <c r="C1460" s="38"/>
      <c r="D1460" s="39"/>
      <c r="E1460" s="36" t="str">
        <f aca="false">IF($D1460="","",IFERROR(INDEX('통합 ④ 설정'!$A$6:$A$40,MATCH($D1460,'통합 ④ 설정'!$B$6:$B$40,0)),"※없는 과목"))</f>
        <v/>
      </c>
      <c r="F1460" s="36" t="str">
        <f aca="false">IF($D1460="","",IFERROR(INDEX('통합 ④ 설정'!$C$6:$C$40,MATCH($D1460,'통합 ④ 설정'!$B$6:$B$40,0)),""))</f>
        <v/>
      </c>
      <c r="G1460" s="39"/>
      <c r="H1460" s="39"/>
      <c r="I1460" s="40"/>
      <c r="J1460" s="41"/>
      <c r="K1460" s="38"/>
      <c r="L1460" s="42" t="str">
        <f aca="false">IF($B1460="","",IF(AND(N($I1460)=0,N($J1460)=0),"금액이 없습니다",IF(AND($I1460&gt;0,$J1460&gt;0),"수입·지출 둘 다 적혔습니다",IF($C1460="","결제수단을 고르십시오",IF(ISNA(MATCH($C1460,'통합 ③ 통장·카드'!$A$5:$A$11,0)),"③ 통장·카드에 없는 결제수단입니다",IF($D1460="","계정과목을 고르십시오",IF($E1460="※없는 과목","④ 설정에 없는 과목입니다",IF(AND($E1460="수입",$J1460&gt;0),"수입 과목인데 지출에 적혔습니다",IF(AND(LEFT($E1460,2)&lt;&gt;"수입",$E1460&lt;&gt;"대체",$I1460&gt;0),"지출 과목인데 수입에 적혔습니다",IF($K1460="","증빙을 고르십시오",IF(AND($C1460="바우처통장",$J1460&gt;0,IFERROR(INDEX('통합 ④ 설정'!$E$6:$E$40,MATCH($D1460,'통합 ④ 설정'!$B$6:$B$40,0)),"")&lt;&gt;"○"),"바우처통장 지출 — 목적 확인",IF($H1460="","적요를 적으십시오",""))))))))))))</f>
        <v/>
      </c>
      <c r="M1460" s="39"/>
      <c r="O1460" s="11" t="str">
        <f aca="false">IF($B1460="","",YEAR($B1460)*100+MONTH($B1460))</f>
        <v/>
      </c>
      <c r="P1460" s="11" t="str">
        <f aca="false">IF($B1460="","",IF($E1460="대체",0,1))</f>
        <v/>
      </c>
    </row>
    <row r="1461" customFormat="false" ht="15" hidden="false" customHeight="false" outlineLevel="0" collapsed="false">
      <c r="A1461" s="36" t="str">
        <f aca="false">IF($B1461="","",COUNT($B$15:$B1461))</f>
        <v/>
      </c>
      <c r="B1461" s="37"/>
      <c r="C1461" s="38"/>
      <c r="D1461" s="39"/>
      <c r="E1461" s="36" t="str">
        <f aca="false">IF($D1461="","",IFERROR(INDEX('통합 ④ 설정'!$A$6:$A$40,MATCH($D1461,'통합 ④ 설정'!$B$6:$B$40,0)),"※없는 과목"))</f>
        <v/>
      </c>
      <c r="F1461" s="36" t="str">
        <f aca="false">IF($D1461="","",IFERROR(INDEX('통합 ④ 설정'!$C$6:$C$40,MATCH($D1461,'통합 ④ 설정'!$B$6:$B$40,0)),""))</f>
        <v/>
      </c>
      <c r="G1461" s="39"/>
      <c r="H1461" s="39"/>
      <c r="I1461" s="40"/>
      <c r="J1461" s="41"/>
      <c r="K1461" s="38"/>
      <c r="L1461" s="42" t="str">
        <f aca="false">IF($B1461="","",IF(AND(N($I1461)=0,N($J1461)=0),"금액이 없습니다",IF(AND($I1461&gt;0,$J1461&gt;0),"수입·지출 둘 다 적혔습니다",IF($C1461="","결제수단을 고르십시오",IF(ISNA(MATCH($C1461,'통합 ③ 통장·카드'!$A$5:$A$11,0)),"③ 통장·카드에 없는 결제수단입니다",IF($D1461="","계정과목을 고르십시오",IF($E1461="※없는 과목","④ 설정에 없는 과목입니다",IF(AND($E1461="수입",$J1461&gt;0),"수입 과목인데 지출에 적혔습니다",IF(AND(LEFT($E1461,2)&lt;&gt;"수입",$E1461&lt;&gt;"대체",$I1461&gt;0),"지출 과목인데 수입에 적혔습니다",IF($K1461="","증빙을 고르십시오",IF(AND($C1461="바우처통장",$J1461&gt;0,IFERROR(INDEX('통합 ④ 설정'!$E$6:$E$40,MATCH($D1461,'통합 ④ 설정'!$B$6:$B$40,0)),"")&lt;&gt;"○"),"바우처통장 지출 — 목적 확인",IF($H1461="","적요를 적으십시오",""))))))))))))</f>
        <v/>
      </c>
      <c r="M1461" s="39"/>
      <c r="O1461" s="11" t="str">
        <f aca="false">IF($B1461="","",YEAR($B1461)*100+MONTH($B1461))</f>
        <v/>
      </c>
      <c r="P1461" s="11" t="str">
        <f aca="false">IF($B1461="","",IF($E1461="대체",0,1))</f>
        <v/>
      </c>
    </row>
    <row r="1462" customFormat="false" ht="15" hidden="false" customHeight="false" outlineLevel="0" collapsed="false">
      <c r="A1462" s="36" t="str">
        <f aca="false">IF($B1462="","",COUNT($B$15:$B1462))</f>
        <v/>
      </c>
      <c r="B1462" s="37"/>
      <c r="C1462" s="38"/>
      <c r="D1462" s="39"/>
      <c r="E1462" s="36" t="str">
        <f aca="false">IF($D1462="","",IFERROR(INDEX('통합 ④ 설정'!$A$6:$A$40,MATCH($D1462,'통합 ④ 설정'!$B$6:$B$40,0)),"※없는 과목"))</f>
        <v/>
      </c>
      <c r="F1462" s="36" t="str">
        <f aca="false">IF($D1462="","",IFERROR(INDEX('통합 ④ 설정'!$C$6:$C$40,MATCH($D1462,'통합 ④ 설정'!$B$6:$B$40,0)),""))</f>
        <v/>
      </c>
      <c r="G1462" s="39"/>
      <c r="H1462" s="39"/>
      <c r="I1462" s="40"/>
      <c r="J1462" s="41"/>
      <c r="K1462" s="38"/>
      <c r="L1462" s="42" t="str">
        <f aca="false">IF($B1462="","",IF(AND(N($I1462)=0,N($J1462)=0),"금액이 없습니다",IF(AND($I1462&gt;0,$J1462&gt;0),"수입·지출 둘 다 적혔습니다",IF($C1462="","결제수단을 고르십시오",IF(ISNA(MATCH($C1462,'통합 ③ 통장·카드'!$A$5:$A$11,0)),"③ 통장·카드에 없는 결제수단입니다",IF($D1462="","계정과목을 고르십시오",IF($E1462="※없는 과목","④ 설정에 없는 과목입니다",IF(AND($E1462="수입",$J1462&gt;0),"수입 과목인데 지출에 적혔습니다",IF(AND(LEFT($E1462,2)&lt;&gt;"수입",$E1462&lt;&gt;"대체",$I1462&gt;0),"지출 과목인데 수입에 적혔습니다",IF($K1462="","증빙을 고르십시오",IF(AND($C1462="바우처통장",$J1462&gt;0,IFERROR(INDEX('통합 ④ 설정'!$E$6:$E$40,MATCH($D1462,'통합 ④ 설정'!$B$6:$B$40,0)),"")&lt;&gt;"○"),"바우처통장 지출 — 목적 확인",IF($H1462="","적요를 적으십시오",""))))))))))))</f>
        <v/>
      </c>
      <c r="M1462" s="39"/>
      <c r="O1462" s="11" t="str">
        <f aca="false">IF($B1462="","",YEAR($B1462)*100+MONTH($B1462))</f>
        <v/>
      </c>
      <c r="P1462" s="11" t="str">
        <f aca="false">IF($B1462="","",IF($E1462="대체",0,1))</f>
        <v/>
      </c>
    </row>
    <row r="1463" customFormat="false" ht="15" hidden="false" customHeight="false" outlineLevel="0" collapsed="false">
      <c r="A1463" s="36" t="str">
        <f aca="false">IF($B1463="","",COUNT($B$15:$B1463))</f>
        <v/>
      </c>
      <c r="B1463" s="37"/>
      <c r="C1463" s="38"/>
      <c r="D1463" s="39"/>
      <c r="E1463" s="36" t="str">
        <f aca="false">IF($D1463="","",IFERROR(INDEX('통합 ④ 설정'!$A$6:$A$40,MATCH($D1463,'통합 ④ 설정'!$B$6:$B$40,0)),"※없는 과목"))</f>
        <v/>
      </c>
      <c r="F1463" s="36" t="str">
        <f aca="false">IF($D1463="","",IFERROR(INDEX('통합 ④ 설정'!$C$6:$C$40,MATCH($D1463,'통합 ④ 설정'!$B$6:$B$40,0)),""))</f>
        <v/>
      </c>
      <c r="G1463" s="39"/>
      <c r="H1463" s="39"/>
      <c r="I1463" s="40"/>
      <c r="J1463" s="41"/>
      <c r="K1463" s="38"/>
      <c r="L1463" s="42" t="str">
        <f aca="false">IF($B1463="","",IF(AND(N($I1463)=0,N($J1463)=0),"금액이 없습니다",IF(AND($I1463&gt;0,$J1463&gt;0),"수입·지출 둘 다 적혔습니다",IF($C1463="","결제수단을 고르십시오",IF(ISNA(MATCH($C1463,'통합 ③ 통장·카드'!$A$5:$A$11,0)),"③ 통장·카드에 없는 결제수단입니다",IF($D1463="","계정과목을 고르십시오",IF($E1463="※없는 과목","④ 설정에 없는 과목입니다",IF(AND($E1463="수입",$J1463&gt;0),"수입 과목인데 지출에 적혔습니다",IF(AND(LEFT($E1463,2)&lt;&gt;"수입",$E1463&lt;&gt;"대체",$I1463&gt;0),"지출 과목인데 수입에 적혔습니다",IF($K1463="","증빙을 고르십시오",IF(AND($C1463="바우처통장",$J1463&gt;0,IFERROR(INDEX('통합 ④ 설정'!$E$6:$E$40,MATCH($D1463,'통합 ④ 설정'!$B$6:$B$40,0)),"")&lt;&gt;"○"),"바우처통장 지출 — 목적 확인",IF($H1463="","적요를 적으십시오",""))))))))))))</f>
        <v/>
      </c>
      <c r="M1463" s="39"/>
      <c r="O1463" s="11" t="str">
        <f aca="false">IF($B1463="","",YEAR($B1463)*100+MONTH($B1463))</f>
        <v/>
      </c>
      <c r="P1463" s="11" t="str">
        <f aca="false">IF($B1463="","",IF($E1463="대체",0,1))</f>
        <v/>
      </c>
    </row>
    <row r="1464" customFormat="false" ht="15" hidden="false" customHeight="false" outlineLevel="0" collapsed="false">
      <c r="A1464" s="36" t="str">
        <f aca="false">IF($B1464="","",COUNT($B$15:$B1464))</f>
        <v/>
      </c>
      <c r="B1464" s="37"/>
      <c r="C1464" s="38"/>
      <c r="D1464" s="39"/>
      <c r="E1464" s="36" t="str">
        <f aca="false">IF($D1464="","",IFERROR(INDEX('통합 ④ 설정'!$A$6:$A$40,MATCH($D1464,'통합 ④ 설정'!$B$6:$B$40,0)),"※없는 과목"))</f>
        <v/>
      </c>
      <c r="F1464" s="36" t="str">
        <f aca="false">IF($D1464="","",IFERROR(INDEX('통합 ④ 설정'!$C$6:$C$40,MATCH($D1464,'통합 ④ 설정'!$B$6:$B$40,0)),""))</f>
        <v/>
      </c>
      <c r="G1464" s="39"/>
      <c r="H1464" s="39"/>
      <c r="I1464" s="40"/>
      <c r="J1464" s="41"/>
      <c r="K1464" s="38"/>
      <c r="L1464" s="42" t="str">
        <f aca="false">IF($B1464="","",IF(AND(N($I1464)=0,N($J1464)=0),"금액이 없습니다",IF(AND($I1464&gt;0,$J1464&gt;0),"수입·지출 둘 다 적혔습니다",IF($C1464="","결제수단을 고르십시오",IF(ISNA(MATCH($C1464,'통합 ③ 통장·카드'!$A$5:$A$11,0)),"③ 통장·카드에 없는 결제수단입니다",IF($D1464="","계정과목을 고르십시오",IF($E1464="※없는 과목","④ 설정에 없는 과목입니다",IF(AND($E1464="수입",$J1464&gt;0),"수입 과목인데 지출에 적혔습니다",IF(AND(LEFT($E1464,2)&lt;&gt;"수입",$E1464&lt;&gt;"대체",$I1464&gt;0),"지출 과목인데 수입에 적혔습니다",IF($K1464="","증빙을 고르십시오",IF(AND($C1464="바우처통장",$J1464&gt;0,IFERROR(INDEX('통합 ④ 설정'!$E$6:$E$40,MATCH($D1464,'통합 ④ 설정'!$B$6:$B$40,0)),"")&lt;&gt;"○"),"바우처통장 지출 — 목적 확인",IF($H1464="","적요를 적으십시오",""))))))))))))</f>
        <v/>
      </c>
      <c r="M1464" s="39"/>
      <c r="O1464" s="11" t="str">
        <f aca="false">IF($B1464="","",YEAR($B1464)*100+MONTH($B1464))</f>
        <v/>
      </c>
      <c r="P1464" s="11" t="str">
        <f aca="false">IF($B1464="","",IF($E1464="대체",0,1))</f>
        <v/>
      </c>
    </row>
    <row r="1465" customFormat="false" ht="15" hidden="false" customHeight="false" outlineLevel="0" collapsed="false">
      <c r="A1465" s="36" t="str">
        <f aca="false">IF($B1465="","",COUNT($B$15:$B1465))</f>
        <v/>
      </c>
      <c r="B1465" s="37"/>
      <c r="C1465" s="38"/>
      <c r="D1465" s="39"/>
      <c r="E1465" s="36" t="str">
        <f aca="false">IF($D1465="","",IFERROR(INDEX('통합 ④ 설정'!$A$6:$A$40,MATCH($D1465,'통합 ④ 설정'!$B$6:$B$40,0)),"※없는 과목"))</f>
        <v/>
      </c>
      <c r="F1465" s="36" t="str">
        <f aca="false">IF($D1465="","",IFERROR(INDEX('통합 ④ 설정'!$C$6:$C$40,MATCH($D1465,'통합 ④ 설정'!$B$6:$B$40,0)),""))</f>
        <v/>
      </c>
      <c r="G1465" s="39"/>
      <c r="H1465" s="39"/>
      <c r="I1465" s="40"/>
      <c r="J1465" s="41"/>
      <c r="K1465" s="38"/>
      <c r="L1465" s="42" t="str">
        <f aca="false">IF($B1465="","",IF(AND(N($I1465)=0,N($J1465)=0),"금액이 없습니다",IF(AND($I1465&gt;0,$J1465&gt;0),"수입·지출 둘 다 적혔습니다",IF($C1465="","결제수단을 고르십시오",IF(ISNA(MATCH($C1465,'통합 ③ 통장·카드'!$A$5:$A$11,0)),"③ 통장·카드에 없는 결제수단입니다",IF($D1465="","계정과목을 고르십시오",IF($E1465="※없는 과목","④ 설정에 없는 과목입니다",IF(AND($E1465="수입",$J1465&gt;0),"수입 과목인데 지출에 적혔습니다",IF(AND(LEFT($E1465,2)&lt;&gt;"수입",$E1465&lt;&gt;"대체",$I1465&gt;0),"지출 과목인데 수입에 적혔습니다",IF($K1465="","증빙을 고르십시오",IF(AND($C1465="바우처통장",$J1465&gt;0,IFERROR(INDEX('통합 ④ 설정'!$E$6:$E$40,MATCH($D1465,'통합 ④ 설정'!$B$6:$B$40,0)),"")&lt;&gt;"○"),"바우처통장 지출 — 목적 확인",IF($H1465="","적요를 적으십시오",""))))))))))))</f>
        <v/>
      </c>
      <c r="M1465" s="39"/>
      <c r="O1465" s="11" t="str">
        <f aca="false">IF($B1465="","",YEAR($B1465)*100+MONTH($B1465))</f>
        <v/>
      </c>
      <c r="P1465" s="11" t="str">
        <f aca="false">IF($B1465="","",IF($E1465="대체",0,1))</f>
        <v/>
      </c>
    </row>
    <row r="1466" customFormat="false" ht="15" hidden="false" customHeight="false" outlineLevel="0" collapsed="false">
      <c r="A1466" s="36" t="str">
        <f aca="false">IF($B1466="","",COUNT($B$15:$B1466))</f>
        <v/>
      </c>
      <c r="B1466" s="37"/>
      <c r="C1466" s="38"/>
      <c r="D1466" s="39"/>
      <c r="E1466" s="36" t="str">
        <f aca="false">IF($D1466="","",IFERROR(INDEX('통합 ④ 설정'!$A$6:$A$40,MATCH($D1466,'통합 ④ 설정'!$B$6:$B$40,0)),"※없는 과목"))</f>
        <v/>
      </c>
      <c r="F1466" s="36" t="str">
        <f aca="false">IF($D1466="","",IFERROR(INDEX('통합 ④ 설정'!$C$6:$C$40,MATCH($D1466,'통합 ④ 설정'!$B$6:$B$40,0)),""))</f>
        <v/>
      </c>
      <c r="G1466" s="39"/>
      <c r="H1466" s="39"/>
      <c r="I1466" s="40"/>
      <c r="J1466" s="41"/>
      <c r="K1466" s="38"/>
      <c r="L1466" s="42" t="str">
        <f aca="false">IF($B1466="","",IF(AND(N($I1466)=0,N($J1466)=0),"금액이 없습니다",IF(AND($I1466&gt;0,$J1466&gt;0),"수입·지출 둘 다 적혔습니다",IF($C1466="","결제수단을 고르십시오",IF(ISNA(MATCH($C1466,'통합 ③ 통장·카드'!$A$5:$A$11,0)),"③ 통장·카드에 없는 결제수단입니다",IF($D1466="","계정과목을 고르십시오",IF($E1466="※없는 과목","④ 설정에 없는 과목입니다",IF(AND($E1466="수입",$J1466&gt;0),"수입 과목인데 지출에 적혔습니다",IF(AND(LEFT($E1466,2)&lt;&gt;"수입",$E1466&lt;&gt;"대체",$I1466&gt;0),"지출 과목인데 수입에 적혔습니다",IF($K1466="","증빙을 고르십시오",IF(AND($C1466="바우처통장",$J1466&gt;0,IFERROR(INDEX('통합 ④ 설정'!$E$6:$E$40,MATCH($D1466,'통합 ④ 설정'!$B$6:$B$40,0)),"")&lt;&gt;"○"),"바우처통장 지출 — 목적 확인",IF($H1466="","적요를 적으십시오",""))))))))))))</f>
        <v/>
      </c>
      <c r="M1466" s="39"/>
      <c r="O1466" s="11" t="str">
        <f aca="false">IF($B1466="","",YEAR($B1466)*100+MONTH($B1466))</f>
        <v/>
      </c>
      <c r="P1466" s="11" t="str">
        <f aca="false">IF($B1466="","",IF($E1466="대체",0,1))</f>
        <v/>
      </c>
    </row>
    <row r="1467" customFormat="false" ht="15" hidden="false" customHeight="false" outlineLevel="0" collapsed="false">
      <c r="A1467" s="36" t="str">
        <f aca="false">IF($B1467="","",COUNT($B$15:$B1467))</f>
        <v/>
      </c>
      <c r="B1467" s="37"/>
      <c r="C1467" s="38"/>
      <c r="D1467" s="39"/>
      <c r="E1467" s="36" t="str">
        <f aca="false">IF($D1467="","",IFERROR(INDEX('통합 ④ 설정'!$A$6:$A$40,MATCH($D1467,'통합 ④ 설정'!$B$6:$B$40,0)),"※없는 과목"))</f>
        <v/>
      </c>
      <c r="F1467" s="36" t="str">
        <f aca="false">IF($D1467="","",IFERROR(INDEX('통합 ④ 설정'!$C$6:$C$40,MATCH($D1467,'통합 ④ 설정'!$B$6:$B$40,0)),""))</f>
        <v/>
      </c>
      <c r="G1467" s="39"/>
      <c r="H1467" s="39"/>
      <c r="I1467" s="40"/>
      <c r="J1467" s="41"/>
      <c r="K1467" s="38"/>
      <c r="L1467" s="42" t="str">
        <f aca="false">IF($B1467="","",IF(AND(N($I1467)=0,N($J1467)=0),"금액이 없습니다",IF(AND($I1467&gt;0,$J1467&gt;0),"수입·지출 둘 다 적혔습니다",IF($C1467="","결제수단을 고르십시오",IF(ISNA(MATCH($C1467,'통합 ③ 통장·카드'!$A$5:$A$11,0)),"③ 통장·카드에 없는 결제수단입니다",IF($D1467="","계정과목을 고르십시오",IF($E1467="※없는 과목","④ 설정에 없는 과목입니다",IF(AND($E1467="수입",$J1467&gt;0),"수입 과목인데 지출에 적혔습니다",IF(AND(LEFT($E1467,2)&lt;&gt;"수입",$E1467&lt;&gt;"대체",$I1467&gt;0),"지출 과목인데 수입에 적혔습니다",IF($K1467="","증빙을 고르십시오",IF(AND($C1467="바우처통장",$J1467&gt;0,IFERROR(INDEX('통합 ④ 설정'!$E$6:$E$40,MATCH($D1467,'통합 ④ 설정'!$B$6:$B$40,0)),"")&lt;&gt;"○"),"바우처통장 지출 — 목적 확인",IF($H1467="","적요를 적으십시오",""))))))))))))</f>
        <v/>
      </c>
      <c r="M1467" s="39"/>
      <c r="O1467" s="11" t="str">
        <f aca="false">IF($B1467="","",YEAR($B1467)*100+MONTH($B1467))</f>
        <v/>
      </c>
      <c r="P1467" s="11" t="str">
        <f aca="false">IF($B1467="","",IF($E1467="대체",0,1))</f>
        <v/>
      </c>
    </row>
    <row r="1468" customFormat="false" ht="15" hidden="false" customHeight="false" outlineLevel="0" collapsed="false">
      <c r="A1468" s="36" t="str">
        <f aca="false">IF($B1468="","",COUNT($B$15:$B1468))</f>
        <v/>
      </c>
      <c r="B1468" s="37"/>
      <c r="C1468" s="38"/>
      <c r="D1468" s="39"/>
      <c r="E1468" s="36" t="str">
        <f aca="false">IF($D1468="","",IFERROR(INDEX('통합 ④ 설정'!$A$6:$A$40,MATCH($D1468,'통합 ④ 설정'!$B$6:$B$40,0)),"※없는 과목"))</f>
        <v/>
      </c>
      <c r="F1468" s="36" t="str">
        <f aca="false">IF($D1468="","",IFERROR(INDEX('통합 ④ 설정'!$C$6:$C$40,MATCH($D1468,'통합 ④ 설정'!$B$6:$B$40,0)),""))</f>
        <v/>
      </c>
      <c r="G1468" s="39"/>
      <c r="H1468" s="39"/>
      <c r="I1468" s="40"/>
      <c r="J1468" s="41"/>
      <c r="K1468" s="38"/>
      <c r="L1468" s="42" t="str">
        <f aca="false">IF($B1468="","",IF(AND(N($I1468)=0,N($J1468)=0),"금액이 없습니다",IF(AND($I1468&gt;0,$J1468&gt;0),"수입·지출 둘 다 적혔습니다",IF($C1468="","결제수단을 고르십시오",IF(ISNA(MATCH($C1468,'통합 ③ 통장·카드'!$A$5:$A$11,0)),"③ 통장·카드에 없는 결제수단입니다",IF($D1468="","계정과목을 고르십시오",IF($E1468="※없는 과목","④ 설정에 없는 과목입니다",IF(AND($E1468="수입",$J1468&gt;0),"수입 과목인데 지출에 적혔습니다",IF(AND(LEFT($E1468,2)&lt;&gt;"수입",$E1468&lt;&gt;"대체",$I1468&gt;0),"지출 과목인데 수입에 적혔습니다",IF($K1468="","증빙을 고르십시오",IF(AND($C1468="바우처통장",$J1468&gt;0,IFERROR(INDEX('통합 ④ 설정'!$E$6:$E$40,MATCH($D1468,'통합 ④ 설정'!$B$6:$B$40,0)),"")&lt;&gt;"○"),"바우처통장 지출 — 목적 확인",IF($H1468="","적요를 적으십시오",""))))))))))))</f>
        <v/>
      </c>
      <c r="M1468" s="39"/>
      <c r="O1468" s="11" t="str">
        <f aca="false">IF($B1468="","",YEAR($B1468)*100+MONTH($B1468))</f>
        <v/>
      </c>
      <c r="P1468" s="11" t="str">
        <f aca="false">IF($B1468="","",IF($E1468="대체",0,1))</f>
        <v/>
      </c>
    </row>
    <row r="1469" customFormat="false" ht="15" hidden="false" customHeight="false" outlineLevel="0" collapsed="false">
      <c r="A1469" s="36" t="str">
        <f aca="false">IF($B1469="","",COUNT($B$15:$B1469))</f>
        <v/>
      </c>
      <c r="B1469" s="37"/>
      <c r="C1469" s="38"/>
      <c r="D1469" s="39"/>
      <c r="E1469" s="36" t="str">
        <f aca="false">IF($D1469="","",IFERROR(INDEX('통합 ④ 설정'!$A$6:$A$40,MATCH($D1469,'통합 ④ 설정'!$B$6:$B$40,0)),"※없는 과목"))</f>
        <v/>
      </c>
      <c r="F1469" s="36" t="str">
        <f aca="false">IF($D1469="","",IFERROR(INDEX('통합 ④ 설정'!$C$6:$C$40,MATCH($D1469,'통합 ④ 설정'!$B$6:$B$40,0)),""))</f>
        <v/>
      </c>
      <c r="G1469" s="39"/>
      <c r="H1469" s="39"/>
      <c r="I1469" s="40"/>
      <c r="J1469" s="41"/>
      <c r="K1469" s="38"/>
      <c r="L1469" s="42" t="str">
        <f aca="false">IF($B1469="","",IF(AND(N($I1469)=0,N($J1469)=0),"금액이 없습니다",IF(AND($I1469&gt;0,$J1469&gt;0),"수입·지출 둘 다 적혔습니다",IF($C1469="","결제수단을 고르십시오",IF(ISNA(MATCH($C1469,'통합 ③ 통장·카드'!$A$5:$A$11,0)),"③ 통장·카드에 없는 결제수단입니다",IF($D1469="","계정과목을 고르십시오",IF($E1469="※없는 과목","④ 설정에 없는 과목입니다",IF(AND($E1469="수입",$J1469&gt;0),"수입 과목인데 지출에 적혔습니다",IF(AND(LEFT($E1469,2)&lt;&gt;"수입",$E1469&lt;&gt;"대체",$I1469&gt;0),"지출 과목인데 수입에 적혔습니다",IF($K1469="","증빙을 고르십시오",IF(AND($C1469="바우처통장",$J1469&gt;0,IFERROR(INDEX('통합 ④ 설정'!$E$6:$E$40,MATCH($D1469,'통합 ④ 설정'!$B$6:$B$40,0)),"")&lt;&gt;"○"),"바우처통장 지출 — 목적 확인",IF($H1469="","적요를 적으십시오",""))))))))))))</f>
        <v/>
      </c>
      <c r="M1469" s="39"/>
      <c r="O1469" s="11" t="str">
        <f aca="false">IF($B1469="","",YEAR($B1469)*100+MONTH($B1469))</f>
        <v/>
      </c>
      <c r="P1469" s="11" t="str">
        <f aca="false">IF($B1469="","",IF($E1469="대체",0,1))</f>
        <v/>
      </c>
    </row>
    <row r="1470" customFormat="false" ht="15" hidden="false" customHeight="false" outlineLevel="0" collapsed="false">
      <c r="A1470" s="36" t="str">
        <f aca="false">IF($B1470="","",COUNT($B$15:$B1470))</f>
        <v/>
      </c>
      <c r="B1470" s="37"/>
      <c r="C1470" s="38"/>
      <c r="D1470" s="39"/>
      <c r="E1470" s="36" t="str">
        <f aca="false">IF($D1470="","",IFERROR(INDEX('통합 ④ 설정'!$A$6:$A$40,MATCH($D1470,'통합 ④ 설정'!$B$6:$B$40,0)),"※없는 과목"))</f>
        <v/>
      </c>
      <c r="F1470" s="36" t="str">
        <f aca="false">IF($D1470="","",IFERROR(INDEX('통합 ④ 설정'!$C$6:$C$40,MATCH($D1470,'통합 ④ 설정'!$B$6:$B$40,0)),""))</f>
        <v/>
      </c>
      <c r="G1470" s="39"/>
      <c r="H1470" s="39"/>
      <c r="I1470" s="40"/>
      <c r="J1470" s="41"/>
      <c r="K1470" s="38"/>
      <c r="L1470" s="42" t="str">
        <f aca="false">IF($B1470="","",IF(AND(N($I1470)=0,N($J1470)=0),"금액이 없습니다",IF(AND($I1470&gt;0,$J1470&gt;0),"수입·지출 둘 다 적혔습니다",IF($C1470="","결제수단을 고르십시오",IF(ISNA(MATCH($C1470,'통합 ③ 통장·카드'!$A$5:$A$11,0)),"③ 통장·카드에 없는 결제수단입니다",IF($D1470="","계정과목을 고르십시오",IF($E1470="※없는 과목","④ 설정에 없는 과목입니다",IF(AND($E1470="수입",$J1470&gt;0),"수입 과목인데 지출에 적혔습니다",IF(AND(LEFT($E1470,2)&lt;&gt;"수입",$E1470&lt;&gt;"대체",$I1470&gt;0),"지출 과목인데 수입에 적혔습니다",IF($K1470="","증빙을 고르십시오",IF(AND($C1470="바우처통장",$J1470&gt;0,IFERROR(INDEX('통합 ④ 설정'!$E$6:$E$40,MATCH($D1470,'통합 ④ 설정'!$B$6:$B$40,0)),"")&lt;&gt;"○"),"바우처통장 지출 — 목적 확인",IF($H1470="","적요를 적으십시오",""))))))))))))</f>
        <v/>
      </c>
      <c r="M1470" s="39"/>
      <c r="O1470" s="11" t="str">
        <f aca="false">IF($B1470="","",YEAR($B1470)*100+MONTH($B1470))</f>
        <v/>
      </c>
      <c r="P1470" s="11" t="str">
        <f aca="false">IF($B1470="","",IF($E1470="대체",0,1))</f>
        <v/>
      </c>
    </row>
    <row r="1471" customFormat="false" ht="15" hidden="false" customHeight="false" outlineLevel="0" collapsed="false">
      <c r="A1471" s="36" t="str">
        <f aca="false">IF($B1471="","",COUNT($B$15:$B1471))</f>
        <v/>
      </c>
      <c r="B1471" s="37"/>
      <c r="C1471" s="38"/>
      <c r="D1471" s="39"/>
      <c r="E1471" s="36" t="str">
        <f aca="false">IF($D1471="","",IFERROR(INDEX('통합 ④ 설정'!$A$6:$A$40,MATCH($D1471,'통합 ④ 설정'!$B$6:$B$40,0)),"※없는 과목"))</f>
        <v/>
      </c>
      <c r="F1471" s="36" t="str">
        <f aca="false">IF($D1471="","",IFERROR(INDEX('통합 ④ 설정'!$C$6:$C$40,MATCH($D1471,'통합 ④ 설정'!$B$6:$B$40,0)),""))</f>
        <v/>
      </c>
      <c r="G1471" s="39"/>
      <c r="H1471" s="39"/>
      <c r="I1471" s="40"/>
      <c r="J1471" s="41"/>
      <c r="K1471" s="38"/>
      <c r="L1471" s="42" t="str">
        <f aca="false">IF($B1471="","",IF(AND(N($I1471)=0,N($J1471)=0),"금액이 없습니다",IF(AND($I1471&gt;0,$J1471&gt;0),"수입·지출 둘 다 적혔습니다",IF($C1471="","결제수단을 고르십시오",IF(ISNA(MATCH($C1471,'통합 ③ 통장·카드'!$A$5:$A$11,0)),"③ 통장·카드에 없는 결제수단입니다",IF($D1471="","계정과목을 고르십시오",IF($E1471="※없는 과목","④ 설정에 없는 과목입니다",IF(AND($E1471="수입",$J1471&gt;0),"수입 과목인데 지출에 적혔습니다",IF(AND(LEFT($E1471,2)&lt;&gt;"수입",$E1471&lt;&gt;"대체",$I1471&gt;0),"지출 과목인데 수입에 적혔습니다",IF($K1471="","증빙을 고르십시오",IF(AND($C1471="바우처통장",$J1471&gt;0,IFERROR(INDEX('통합 ④ 설정'!$E$6:$E$40,MATCH($D1471,'통합 ④ 설정'!$B$6:$B$40,0)),"")&lt;&gt;"○"),"바우처통장 지출 — 목적 확인",IF($H1471="","적요를 적으십시오",""))))))))))))</f>
        <v/>
      </c>
      <c r="M1471" s="39"/>
      <c r="O1471" s="11" t="str">
        <f aca="false">IF($B1471="","",YEAR($B1471)*100+MONTH($B1471))</f>
        <v/>
      </c>
      <c r="P1471" s="11" t="str">
        <f aca="false">IF($B1471="","",IF($E1471="대체",0,1))</f>
        <v/>
      </c>
    </row>
    <row r="1472" customFormat="false" ht="15" hidden="false" customHeight="false" outlineLevel="0" collapsed="false">
      <c r="A1472" s="36" t="str">
        <f aca="false">IF($B1472="","",COUNT($B$15:$B1472))</f>
        <v/>
      </c>
      <c r="B1472" s="37"/>
      <c r="C1472" s="38"/>
      <c r="D1472" s="39"/>
      <c r="E1472" s="36" t="str">
        <f aca="false">IF($D1472="","",IFERROR(INDEX('통합 ④ 설정'!$A$6:$A$40,MATCH($D1472,'통합 ④ 설정'!$B$6:$B$40,0)),"※없는 과목"))</f>
        <v/>
      </c>
      <c r="F1472" s="36" t="str">
        <f aca="false">IF($D1472="","",IFERROR(INDEX('통합 ④ 설정'!$C$6:$C$40,MATCH($D1472,'통합 ④ 설정'!$B$6:$B$40,0)),""))</f>
        <v/>
      </c>
      <c r="G1472" s="39"/>
      <c r="H1472" s="39"/>
      <c r="I1472" s="40"/>
      <c r="J1472" s="41"/>
      <c r="K1472" s="38"/>
      <c r="L1472" s="42" t="str">
        <f aca="false">IF($B1472="","",IF(AND(N($I1472)=0,N($J1472)=0),"금액이 없습니다",IF(AND($I1472&gt;0,$J1472&gt;0),"수입·지출 둘 다 적혔습니다",IF($C1472="","결제수단을 고르십시오",IF(ISNA(MATCH($C1472,'통합 ③ 통장·카드'!$A$5:$A$11,0)),"③ 통장·카드에 없는 결제수단입니다",IF($D1472="","계정과목을 고르십시오",IF($E1472="※없는 과목","④ 설정에 없는 과목입니다",IF(AND($E1472="수입",$J1472&gt;0),"수입 과목인데 지출에 적혔습니다",IF(AND(LEFT($E1472,2)&lt;&gt;"수입",$E1472&lt;&gt;"대체",$I1472&gt;0),"지출 과목인데 수입에 적혔습니다",IF($K1472="","증빙을 고르십시오",IF(AND($C1472="바우처통장",$J1472&gt;0,IFERROR(INDEX('통합 ④ 설정'!$E$6:$E$40,MATCH($D1472,'통합 ④ 설정'!$B$6:$B$40,0)),"")&lt;&gt;"○"),"바우처통장 지출 — 목적 확인",IF($H1472="","적요를 적으십시오",""))))))))))))</f>
        <v/>
      </c>
      <c r="M1472" s="39"/>
      <c r="O1472" s="11" t="str">
        <f aca="false">IF($B1472="","",YEAR($B1472)*100+MONTH($B1472))</f>
        <v/>
      </c>
      <c r="P1472" s="11" t="str">
        <f aca="false">IF($B1472="","",IF($E1472="대체",0,1))</f>
        <v/>
      </c>
    </row>
    <row r="1473" customFormat="false" ht="15" hidden="false" customHeight="false" outlineLevel="0" collapsed="false">
      <c r="A1473" s="36" t="str">
        <f aca="false">IF($B1473="","",COUNT($B$15:$B1473))</f>
        <v/>
      </c>
      <c r="B1473" s="37"/>
      <c r="C1473" s="38"/>
      <c r="D1473" s="39"/>
      <c r="E1473" s="36" t="str">
        <f aca="false">IF($D1473="","",IFERROR(INDEX('통합 ④ 설정'!$A$6:$A$40,MATCH($D1473,'통합 ④ 설정'!$B$6:$B$40,0)),"※없는 과목"))</f>
        <v/>
      </c>
      <c r="F1473" s="36" t="str">
        <f aca="false">IF($D1473="","",IFERROR(INDEX('통합 ④ 설정'!$C$6:$C$40,MATCH($D1473,'통합 ④ 설정'!$B$6:$B$40,0)),""))</f>
        <v/>
      </c>
      <c r="G1473" s="39"/>
      <c r="H1473" s="39"/>
      <c r="I1473" s="40"/>
      <c r="J1473" s="41"/>
      <c r="K1473" s="38"/>
      <c r="L1473" s="42" t="str">
        <f aca="false">IF($B1473="","",IF(AND(N($I1473)=0,N($J1473)=0),"금액이 없습니다",IF(AND($I1473&gt;0,$J1473&gt;0),"수입·지출 둘 다 적혔습니다",IF($C1473="","결제수단을 고르십시오",IF(ISNA(MATCH($C1473,'통합 ③ 통장·카드'!$A$5:$A$11,0)),"③ 통장·카드에 없는 결제수단입니다",IF($D1473="","계정과목을 고르십시오",IF($E1473="※없는 과목","④ 설정에 없는 과목입니다",IF(AND($E1473="수입",$J1473&gt;0),"수입 과목인데 지출에 적혔습니다",IF(AND(LEFT($E1473,2)&lt;&gt;"수입",$E1473&lt;&gt;"대체",$I1473&gt;0),"지출 과목인데 수입에 적혔습니다",IF($K1473="","증빙을 고르십시오",IF(AND($C1473="바우처통장",$J1473&gt;0,IFERROR(INDEX('통합 ④ 설정'!$E$6:$E$40,MATCH($D1473,'통합 ④ 설정'!$B$6:$B$40,0)),"")&lt;&gt;"○"),"바우처통장 지출 — 목적 확인",IF($H1473="","적요를 적으십시오",""))))))))))))</f>
        <v/>
      </c>
      <c r="M1473" s="39"/>
      <c r="O1473" s="11" t="str">
        <f aca="false">IF($B1473="","",YEAR($B1473)*100+MONTH($B1473))</f>
        <v/>
      </c>
      <c r="P1473" s="11" t="str">
        <f aca="false">IF($B1473="","",IF($E1473="대체",0,1))</f>
        <v/>
      </c>
    </row>
    <row r="1474" customFormat="false" ht="15" hidden="false" customHeight="false" outlineLevel="0" collapsed="false">
      <c r="A1474" s="36" t="str">
        <f aca="false">IF($B1474="","",COUNT($B$15:$B1474))</f>
        <v/>
      </c>
      <c r="B1474" s="37"/>
      <c r="C1474" s="38"/>
      <c r="D1474" s="39"/>
      <c r="E1474" s="36" t="str">
        <f aca="false">IF($D1474="","",IFERROR(INDEX('통합 ④ 설정'!$A$6:$A$40,MATCH($D1474,'통합 ④ 설정'!$B$6:$B$40,0)),"※없는 과목"))</f>
        <v/>
      </c>
      <c r="F1474" s="36" t="str">
        <f aca="false">IF($D1474="","",IFERROR(INDEX('통합 ④ 설정'!$C$6:$C$40,MATCH($D1474,'통합 ④ 설정'!$B$6:$B$40,0)),""))</f>
        <v/>
      </c>
      <c r="G1474" s="39"/>
      <c r="H1474" s="39"/>
      <c r="I1474" s="40"/>
      <c r="J1474" s="41"/>
      <c r="K1474" s="38"/>
      <c r="L1474" s="42" t="str">
        <f aca="false">IF($B1474="","",IF(AND(N($I1474)=0,N($J1474)=0),"금액이 없습니다",IF(AND($I1474&gt;0,$J1474&gt;0),"수입·지출 둘 다 적혔습니다",IF($C1474="","결제수단을 고르십시오",IF(ISNA(MATCH($C1474,'통합 ③ 통장·카드'!$A$5:$A$11,0)),"③ 통장·카드에 없는 결제수단입니다",IF($D1474="","계정과목을 고르십시오",IF($E1474="※없는 과목","④ 설정에 없는 과목입니다",IF(AND($E1474="수입",$J1474&gt;0),"수입 과목인데 지출에 적혔습니다",IF(AND(LEFT($E1474,2)&lt;&gt;"수입",$E1474&lt;&gt;"대체",$I1474&gt;0),"지출 과목인데 수입에 적혔습니다",IF($K1474="","증빙을 고르십시오",IF(AND($C1474="바우처통장",$J1474&gt;0,IFERROR(INDEX('통합 ④ 설정'!$E$6:$E$40,MATCH($D1474,'통합 ④ 설정'!$B$6:$B$40,0)),"")&lt;&gt;"○"),"바우처통장 지출 — 목적 확인",IF($H1474="","적요를 적으십시오",""))))))))))))</f>
        <v/>
      </c>
      <c r="M1474" s="39"/>
      <c r="O1474" s="11" t="str">
        <f aca="false">IF($B1474="","",YEAR($B1474)*100+MONTH($B1474))</f>
        <v/>
      </c>
      <c r="P1474" s="11" t="str">
        <f aca="false">IF($B1474="","",IF($E1474="대체",0,1))</f>
        <v/>
      </c>
    </row>
    <row r="1475" customFormat="false" ht="15" hidden="false" customHeight="false" outlineLevel="0" collapsed="false">
      <c r="A1475" s="36" t="str">
        <f aca="false">IF($B1475="","",COUNT($B$15:$B1475))</f>
        <v/>
      </c>
      <c r="B1475" s="37"/>
      <c r="C1475" s="38"/>
      <c r="D1475" s="39"/>
      <c r="E1475" s="36" t="str">
        <f aca="false">IF($D1475="","",IFERROR(INDEX('통합 ④ 설정'!$A$6:$A$40,MATCH($D1475,'통합 ④ 설정'!$B$6:$B$40,0)),"※없는 과목"))</f>
        <v/>
      </c>
      <c r="F1475" s="36" t="str">
        <f aca="false">IF($D1475="","",IFERROR(INDEX('통합 ④ 설정'!$C$6:$C$40,MATCH($D1475,'통합 ④ 설정'!$B$6:$B$40,0)),""))</f>
        <v/>
      </c>
      <c r="G1475" s="39"/>
      <c r="H1475" s="39"/>
      <c r="I1475" s="40"/>
      <c r="J1475" s="41"/>
      <c r="K1475" s="38"/>
      <c r="L1475" s="42" t="str">
        <f aca="false">IF($B1475="","",IF(AND(N($I1475)=0,N($J1475)=0),"금액이 없습니다",IF(AND($I1475&gt;0,$J1475&gt;0),"수입·지출 둘 다 적혔습니다",IF($C1475="","결제수단을 고르십시오",IF(ISNA(MATCH($C1475,'통합 ③ 통장·카드'!$A$5:$A$11,0)),"③ 통장·카드에 없는 결제수단입니다",IF($D1475="","계정과목을 고르십시오",IF($E1475="※없는 과목","④ 설정에 없는 과목입니다",IF(AND($E1475="수입",$J1475&gt;0),"수입 과목인데 지출에 적혔습니다",IF(AND(LEFT($E1475,2)&lt;&gt;"수입",$E1475&lt;&gt;"대체",$I1475&gt;0),"지출 과목인데 수입에 적혔습니다",IF($K1475="","증빙을 고르십시오",IF(AND($C1475="바우처통장",$J1475&gt;0,IFERROR(INDEX('통합 ④ 설정'!$E$6:$E$40,MATCH($D1475,'통합 ④ 설정'!$B$6:$B$40,0)),"")&lt;&gt;"○"),"바우처통장 지출 — 목적 확인",IF($H1475="","적요를 적으십시오",""))))))))))))</f>
        <v/>
      </c>
      <c r="M1475" s="39"/>
      <c r="O1475" s="11" t="str">
        <f aca="false">IF($B1475="","",YEAR($B1475)*100+MONTH($B1475))</f>
        <v/>
      </c>
      <c r="P1475" s="11" t="str">
        <f aca="false">IF($B1475="","",IF($E1475="대체",0,1))</f>
        <v/>
      </c>
    </row>
    <row r="1476" customFormat="false" ht="15" hidden="false" customHeight="false" outlineLevel="0" collapsed="false">
      <c r="A1476" s="36" t="str">
        <f aca="false">IF($B1476="","",COUNT($B$15:$B1476))</f>
        <v/>
      </c>
      <c r="B1476" s="37"/>
      <c r="C1476" s="38"/>
      <c r="D1476" s="39"/>
      <c r="E1476" s="36" t="str">
        <f aca="false">IF($D1476="","",IFERROR(INDEX('통합 ④ 설정'!$A$6:$A$40,MATCH($D1476,'통합 ④ 설정'!$B$6:$B$40,0)),"※없는 과목"))</f>
        <v/>
      </c>
      <c r="F1476" s="36" t="str">
        <f aca="false">IF($D1476="","",IFERROR(INDEX('통합 ④ 설정'!$C$6:$C$40,MATCH($D1476,'통합 ④ 설정'!$B$6:$B$40,0)),""))</f>
        <v/>
      </c>
      <c r="G1476" s="39"/>
      <c r="H1476" s="39"/>
      <c r="I1476" s="40"/>
      <c r="J1476" s="41"/>
      <c r="K1476" s="38"/>
      <c r="L1476" s="42" t="str">
        <f aca="false">IF($B1476="","",IF(AND(N($I1476)=0,N($J1476)=0),"금액이 없습니다",IF(AND($I1476&gt;0,$J1476&gt;0),"수입·지출 둘 다 적혔습니다",IF($C1476="","결제수단을 고르십시오",IF(ISNA(MATCH($C1476,'통합 ③ 통장·카드'!$A$5:$A$11,0)),"③ 통장·카드에 없는 결제수단입니다",IF($D1476="","계정과목을 고르십시오",IF($E1476="※없는 과목","④ 설정에 없는 과목입니다",IF(AND($E1476="수입",$J1476&gt;0),"수입 과목인데 지출에 적혔습니다",IF(AND(LEFT($E1476,2)&lt;&gt;"수입",$E1476&lt;&gt;"대체",$I1476&gt;0),"지출 과목인데 수입에 적혔습니다",IF($K1476="","증빙을 고르십시오",IF(AND($C1476="바우처통장",$J1476&gt;0,IFERROR(INDEX('통합 ④ 설정'!$E$6:$E$40,MATCH($D1476,'통합 ④ 설정'!$B$6:$B$40,0)),"")&lt;&gt;"○"),"바우처통장 지출 — 목적 확인",IF($H1476="","적요를 적으십시오",""))))))))))))</f>
        <v/>
      </c>
      <c r="M1476" s="39"/>
      <c r="O1476" s="11" t="str">
        <f aca="false">IF($B1476="","",YEAR($B1476)*100+MONTH($B1476))</f>
        <v/>
      </c>
      <c r="P1476" s="11" t="str">
        <f aca="false">IF($B1476="","",IF($E1476="대체",0,1))</f>
        <v/>
      </c>
    </row>
    <row r="1477" customFormat="false" ht="15" hidden="false" customHeight="false" outlineLevel="0" collapsed="false">
      <c r="A1477" s="36" t="str">
        <f aca="false">IF($B1477="","",COUNT($B$15:$B1477))</f>
        <v/>
      </c>
      <c r="B1477" s="37"/>
      <c r="C1477" s="38"/>
      <c r="D1477" s="39"/>
      <c r="E1477" s="36" t="str">
        <f aca="false">IF($D1477="","",IFERROR(INDEX('통합 ④ 설정'!$A$6:$A$40,MATCH($D1477,'통합 ④ 설정'!$B$6:$B$40,0)),"※없는 과목"))</f>
        <v/>
      </c>
      <c r="F1477" s="36" t="str">
        <f aca="false">IF($D1477="","",IFERROR(INDEX('통합 ④ 설정'!$C$6:$C$40,MATCH($D1477,'통합 ④ 설정'!$B$6:$B$40,0)),""))</f>
        <v/>
      </c>
      <c r="G1477" s="39"/>
      <c r="H1477" s="39"/>
      <c r="I1477" s="40"/>
      <c r="J1477" s="41"/>
      <c r="K1477" s="38"/>
      <c r="L1477" s="42" t="str">
        <f aca="false">IF($B1477="","",IF(AND(N($I1477)=0,N($J1477)=0),"금액이 없습니다",IF(AND($I1477&gt;0,$J1477&gt;0),"수입·지출 둘 다 적혔습니다",IF($C1477="","결제수단을 고르십시오",IF(ISNA(MATCH($C1477,'통합 ③ 통장·카드'!$A$5:$A$11,0)),"③ 통장·카드에 없는 결제수단입니다",IF($D1477="","계정과목을 고르십시오",IF($E1477="※없는 과목","④ 설정에 없는 과목입니다",IF(AND($E1477="수입",$J1477&gt;0),"수입 과목인데 지출에 적혔습니다",IF(AND(LEFT($E1477,2)&lt;&gt;"수입",$E1477&lt;&gt;"대체",$I1477&gt;0),"지출 과목인데 수입에 적혔습니다",IF($K1477="","증빙을 고르십시오",IF(AND($C1477="바우처통장",$J1477&gt;0,IFERROR(INDEX('통합 ④ 설정'!$E$6:$E$40,MATCH($D1477,'통합 ④ 설정'!$B$6:$B$40,0)),"")&lt;&gt;"○"),"바우처통장 지출 — 목적 확인",IF($H1477="","적요를 적으십시오",""))))))))))))</f>
        <v/>
      </c>
      <c r="M1477" s="39"/>
      <c r="O1477" s="11" t="str">
        <f aca="false">IF($B1477="","",YEAR($B1477)*100+MONTH($B1477))</f>
        <v/>
      </c>
      <c r="P1477" s="11" t="str">
        <f aca="false">IF($B1477="","",IF($E1477="대체",0,1))</f>
        <v/>
      </c>
    </row>
    <row r="1478" customFormat="false" ht="15" hidden="false" customHeight="false" outlineLevel="0" collapsed="false">
      <c r="A1478" s="36" t="str">
        <f aca="false">IF($B1478="","",COUNT($B$15:$B1478))</f>
        <v/>
      </c>
      <c r="B1478" s="37"/>
      <c r="C1478" s="38"/>
      <c r="D1478" s="39"/>
      <c r="E1478" s="36" t="str">
        <f aca="false">IF($D1478="","",IFERROR(INDEX('통합 ④ 설정'!$A$6:$A$40,MATCH($D1478,'통합 ④ 설정'!$B$6:$B$40,0)),"※없는 과목"))</f>
        <v/>
      </c>
      <c r="F1478" s="36" t="str">
        <f aca="false">IF($D1478="","",IFERROR(INDEX('통합 ④ 설정'!$C$6:$C$40,MATCH($D1478,'통합 ④ 설정'!$B$6:$B$40,0)),""))</f>
        <v/>
      </c>
      <c r="G1478" s="39"/>
      <c r="H1478" s="39"/>
      <c r="I1478" s="40"/>
      <c r="J1478" s="41"/>
      <c r="K1478" s="38"/>
      <c r="L1478" s="42" t="str">
        <f aca="false">IF($B1478="","",IF(AND(N($I1478)=0,N($J1478)=0),"금액이 없습니다",IF(AND($I1478&gt;0,$J1478&gt;0),"수입·지출 둘 다 적혔습니다",IF($C1478="","결제수단을 고르십시오",IF(ISNA(MATCH($C1478,'통합 ③ 통장·카드'!$A$5:$A$11,0)),"③ 통장·카드에 없는 결제수단입니다",IF($D1478="","계정과목을 고르십시오",IF($E1478="※없는 과목","④ 설정에 없는 과목입니다",IF(AND($E1478="수입",$J1478&gt;0),"수입 과목인데 지출에 적혔습니다",IF(AND(LEFT($E1478,2)&lt;&gt;"수입",$E1478&lt;&gt;"대체",$I1478&gt;0),"지출 과목인데 수입에 적혔습니다",IF($K1478="","증빙을 고르십시오",IF(AND($C1478="바우처통장",$J1478&gt;0,IFERROR(INDEX('통합 ④ 설정'!$E$6:$E$40,MATCH($D1478,'통합 ④ 설정'!$B$6:$B$40,0)),"")&lt;&gt;"○"),"바우처통장 지출 — 목적 확인",IF($H1478="","적요를 적으십시오",""))))))))))))</f>
        <v/>
      </c>
      <c r="M1478" s="39"/>
      <c r="O1478" s="11" t="str">
        <f aca="false">IF($B1478="","",YEAR($B1478)*100+MONTH($B1478))</f>
        <v/>
      </c>
      <c r="P1478" s="11" t="str">
        <f aca="false">IF($B1478="","",IF($E1478="대체",0,1))</f>
        <v/>
      </c>
    </row>
    <row r="1479" customFormat="false" ht="15" hidden="false" customHeight="false" outlineLevel="0" collapsed="false">
      <c r="A1479" s="36" t="str">
        <f aca="false">IF($B1479="","",COUNT($B$15:$B1479))</f>
        <v/>
      </c>
      <c r="B1479" s="37"/>
      <c r="C1479" s="38"/>
      <c r="D1479" s="39"/>
      <c r="E1479" s="36" t="str">
        <f aca="false">IF($D1479="","",IFERROR(INDEX('통합 ④ 설정'!$A$6:$A$40,MATCH($D1479,'통합 ④ 설정'!$B$6:$B$40,0)),"※없는 과목"))</f>
        <v/>
      </c>
      <c r="F1479" s="36" t="str">
        <f aca="false">IF($D1479="","",IFERROR(INDEX('통합 ④ 설정'!$C$6:$C$40,MATCH($D1479,'통합 ④ 설정'!$B$6:$B$40,0)),""))</f>
        <v/>
      </c>
      <c r="G1479" s="39"/>
      <c r="H1479" s="39"/>
      <c r="I1479" s="40"/>
      <c r="J1479" s="41"/>
      <c r="K1479" s="38"/>
      <c r="L1479" s="42" t="str">
        <f aca="false">IF($B1479="","",IF(AND(N($I1479)=0,N($J1479)=0),"금액이 없습니다",IF(AND($I1479&gt;0,$J1479&gt;0),"수입·지출 둘 다 적혔습니다",IF($C1479="","결제수단을 고르십시오",IF(ISNA(MATCH($C1479,'통합 ③ 통장·카드'!$A$5:$A$11,0)),"③ 통장·카드에 없는 결제수단입니다",IF($D1479="","계정과목을 고르십시오",IF($E1479="※없는 과목","④ 설정에 없는 과목입니다",IF(AND($E1479="수입",$J1479&gt;0),"수입 과목인데 지출에 적혔습니다",IF(AND(LEFT($E1479,2)&lt;&gt;"수입",$E1479&lt;&gt;"대체",$I1479&gt;0),"지출 과목인데 수입에 적혔습니다",IF($K1479="","증빙을 고르십시오",IF(AND($C1479="바우처통장",$J1479&gt;0,IFERROR(INDEX('통합 ④ 설정'!$E$6:$E$40,MATCH($D1479,'통합 ④ 설정'!$B$6:$B$40,0)),"")&lt;&gt;"○"),"바우처통장 지출 — 목적 확인",IF($H1479="","적요를 적으십시오",""))))))))))))</f>
        <v/>
      </c>
      <c r="M1479" s="39"/>
      <c r="O1479" s="11" t="str">
        <f aca="false">IF($B1479="","",YEAR($B1479)*100+MONTH($B1479))</f>
        <v/>
      </c>
      <c r="P1479" s="11" t="str">
        <f aca="false">IF($B1479="","",IF($E1479="대체",0,1))</f>
        <v/>
      </c>
    </row>
    <row r="1480" customFormat="false" ht="15" hidden="false" customHeight="false" outlineLevel="0" collapsed="false">
      <c r="A1480" s="36" t="str">
        <f aca="false">IF($B1480="","",COUNT($B$15:$B1480))</f>
        <v/>
      </c>
      <c r="B1480" s="37"/>
      <c r="C1480" s="38"/>
      <c r="D1480" s="39"/>
      <c r="E1480" s="36" t="str">
        <f aca="false">IF($D1480="","",IFERROR(INDEX('통합 ④ 설정'!$A$6:$A$40,MATCH($D1480,'통합 ④ 설정'!$B$6:$B$40,0)),"※없는 과목"))</f>
        <v/>
      </c>
      <c r="F1480" s="36" t="str">
        <f aca="false">IF($D1480="","",IFERROR(INDEX('통합 ④ 설정'!$C$6:$C$40,MATCH($D1480,'통합 ④ 설정'!$B$6:$B$40,0)),""))</f>
        <v/>
      </c>
      <c r="G1480" s="39"/>
      <c r="H1480" s="39"/>
      <c r="I1480" s="40"/>
      <c r="J1480" s="41"/>
      <c r="K1480" s="38"/>
      <c r="L1480" s="42" t="str">
        <f aca="false">IF($B1480="","",IF(AND(N($I1480)=0,N($J1480)=0),"금액이 없습니다",IF(AND($I1480&gt;0,$J1480&gt;0),"수입·지출 둘 다 적혔습니다",IF($C1480="","결제수단을 고르십시오",IF(ISNA(MATCH($C1480,'통합 ③ 통장·카드'!$A$5:$A$11,0)),"③ 통장·카드에 없는 결제수단입니다",IF($D1480="","계정과목을 고르십시오",IF($E1480="※없는 과목","④ 설정에 없는 과목입니다",IF(AND($E1480="수입",$J1480&gt;0),"수입 과목인데 지출에 적혔습니다",IF(AND(LEFT($E1480,2)&lt;&gt;"수입",$E1480&lt;&gt;"대체",$I1480&gt;0),"지출 과목인데 수입에 적혔습니다",IF($K1480="","증빙을 고르십시오",IF(AND($C1480="바우처통장",$J1480&gt;0,IFERROR(INDEX('통합 ④ 설정'!$E$6:$E$40,MATCH($D1480,'통합 ④ 설정'!$B$6:$B$40,0)),"")&lt;&gt;"○"),"바우처통장 지출 — 목적 확인",IF($H1480="","적요를 적으십시오",""))))))))))))</f>
        <v/>
      </c>
      <c r="M1480" s="39"/>
      <c r="O1480" s="11" t="str">
        <f aca="false">IF($B1480="","",YEAR($B1480)*100+MONTH($B1480))</f>
        <v/>
      </c>
      <c r="P1480" s="11" t="str">
        <f aca="false">IF($B1480="","",IF($E1480="대체",0,1))</f>
        <v/>
      </c>
    </row>
    <row r="1481" customFormat="false" ht="15" hidden="false" customHeight="false" outlineLevel="0" collapsed="false">
      <c r="A1481" s="36" t="str">
        <f aca="false">IF($B1481="","",COUNT($B$15:$B1481))</f>
        <v/>
      </c>
      <c r="B1481" s="37"/>
      <c r="C1481" s="38"/>
      <c r="D1481" s="39"/>
      <c r="E1481" s="36" t="str">
        <f aca="false">IF($D1481="","",IFERROR(INDEX('통합 ④ 설정'!$A$6:$A$40,MATCH($D1481,'통합 ④ 설정'!$B$6:$B$40,0)),"※없는 과목"))</f>
        <v/>
      </c>
      <c r="F1481" s="36" t="str">
        <f aca="false">IF($D1481="","",IFERROR(INDEX('통합 ④ 설정'!$C$6:$C$40,MATCH($D1481,'통합 ④ 설정'!$B$6:$B$40,0)),""))</f>
        <v/>
      </c>
      <c r="G1481" s="39"/>
      <c r="H1481" s="39"/>
      <c r="I1481" s="40"/>
      <c r="J1481" s="41"/>
      <c r="K1481" s="38"/>
      <c r="L1481" s="42" t="str">
        <f aca="false">IF($B1481="","",IF(AND(N($I1481)=0,N($J1481)=0),"금액이 없습니다",IF(AND($I1481&gt;0,$J1481&gt;0),"수입·지출 둘 다 적혔습니다",IF($C1481="","결제수단을 고르십시오",IF(ISNA(MATCH($C1481,'통합 ③ 통장·카드'!$A$5:$A$11,0)),"③ 통장·카드에 없는 결제수단입니다",IF($D1481="","계정과목을 고르십시오",IF($E1481="※없는 과목","④ 설정에 없는 과목입니다",IF(AND($E1481="수입",$J1481&gt;0),"수입 과목인데 지출에 적혔습니다",IF(AND(LEFT($E1481,2)&lt;&gt;"수입",$E1481&lt;&gt;"대체",$I1481&gt;0),"지출 과목인데 수입에 적혔습니다",IF($K1481="","증빙을 고르십시오",IF(AND($C1481="바우처통장",$J1481&gt;0,IFERROR(INDEX('통합 ④ 설정'!$E$6:$E$40,MATCH($D1481,'통합 ④ 설정'!$B$6:$B$40,0)),"")&lt;&gt;"○"),"바우처통장 지출 — 목적 확인",IF($H1481="","적요를 적으십시오",""))))))))))))</f>
        <v/>
      </c>
      <c r="M1481" s="39"/>
      <c r="O1481" s="11" t="str">
        <f aca="false">IF($B1481="","",YEAR($B1481)*100+MONTH($B1481))</f>
        <v/>
      </c>
      <c r="P1481" s="11" t="str">
        <f aca="false">IF($B1481="","",IF($E1481="대체",0,1))</f>
        <v/>
      </c>
    </row>
    <row r="1482" customFormat="false" ht="15" hidden="false" customHeight="false" outlineLevel="0" collapsed="false">
      <c r="A1482" s="36" t="str">
        <f aca="false">IF($B1482="","",COUNT($B$15:$B1482))</f>
        <v/>
      </c>
      <c r="B1482" s="37"/>
      <c r="C1482" s="38"/>
      <c r="D1482" s="39"/>
      <c r="E1482" s="36" t="str">
        <f aca="false">IF($D1482="","",IFERROR(INDEX('통합 ④ 설정'!$A$6:$A$40,MATCH($D1482,'통합 ④ 설정'!$B$6:$B$40,0)),"※없는 과목"))</f>
        <v/>
      </c>
      <c r="F1482" s="36" t="str">
        <f aca="false">IF($D1482="","",IFERROR(INDEX('통합 ④ 설정'!$C$6:$C$40,MATCH($D1482,'통합 ④ 설정'!$B$6:$B$40,0)),""))</f>
        <v/>
      </c>
      <c r="G1482" s="39"/>
      <c r="H1482" s="39"/>
      <c r="I1482" s="40"/>
      <c r="J1482" s="41"/>
      <c r="K1482" s="38"/>
      <c r="L1482" s="42" t="str">
        <f aca="false">IF($B1482="","",IF(AND(N($I1482)=0,N($J1482)=0),"금액이 없습니다",IF(AND($I1482&gt;0,$J1482&gt;0),"수입·지출 둘 다 적혔습니다",IF($C1482="","결제수단을 고르십시오",IF(ISNA(MATCH($C1482,'통합 ③ 통장·카드'!$A$5:$A$11,0)),"③ 통장·카드에 없는 결제수단입니다",IF($D1482="","계정과목을 고르십시오",IF($E1482="※없는 과목","④ 설정에 없는 과목입니다",IF(AND($E1482="수입",$J1482&gt;0),"수입 과목인데 지출에 적혔습니다",IF(AND(LEFT($E1482,2)&lt;&gt;"수입",$E1482&lt;&gt;"대체",$I1482&gt;0),"지출 과목인데 수입에 적혔습니다",IF($K1482="","증빙을 고르십시오",IF(AND($C1482="바우처통장",$J1482&gt;0,IFERROR(INDEX('통합 ④ 설정'!$E$6:$E$40,MATCH($D1482,'통합 ④ 설정'!$B$6:$B$40,0)),"")&lt;&gt;"○"),"바우처통장 지출 — 목적 확인",IF($H1482="","적요를 적으십시오",""))))))))))))</f>
        <v/>
      </c>
      <c r="M1482" s="39"/>
      <c r="O1482" s="11" t="str">
        <f aca="false">IF($B1482="","",YEAR($B1482)*100+MONTH($B1482))</f>
        <v/>
      </c>
      <c r="P1482" s="11" t="str">
        <f aca="false">IF($B1482="","",IF($E1482="대체",0,1))</f>
        <v/>
      </c>
    </row>
    <row r="1483" customFormat="false" ht="15" hidden="false" customHeight="false" outlineLevel="0" collapsed="false">
      <c r="A1483" s="36" t="str">
        <f aca="false">IF($B1483="","",COUNT($B$15:$B1483))</f>
        <v/>
      </c>
      <c r="B1483" s="37"/>
      <c r="C1483" s="38"/>
      <c r="D1483" s="39"/>
      <c r="E1483" s="36" t="str">
        <f aca="false">IF($D1483="","",IFERROR(INDEX('통합 ④ 설정'!$A$6:$A$40,MATCH($D1483,'통합 ④ 설정'!$B$6:$B$40,0)),"※없는 과목"))</f>
        <v/>
      </c>
      <c r="F1483" s="36" t="str">
        <f aca="false">IF($D1483="","",IFERROR(INDEX('통합 ④ 설정'!$C$6:$C$40,MATCH($D1483,'통합 ④ 설정'!$B$6:$B$40,0)),""))</f>
        <v/>
      </c>
      <c r="G1483" s="39"/>
      <c r="H1483" s="39"/>
      <c r="I1483" s="40"/>
      <c r="J1483" s="41"/>
      <c r="K1483" s="38"/>
      <c r="L1483" s="42" t="str">
        <f aca="false">IF($B1483="","",IF(AND(N($I1483)=0,N($J1483)=0),"금액이 없습니다",IF(AND($I1483&gt;0,$J1483&gt;0),"수입·지출 둘 다 적혔습니다",IF($C1483="","결제수단을 고르십시오",IF(ISNA(MATCH($C1483,'통합 ③ 통장·카드'!$A$5:$A$11,0)),"③ 통장·카드에 없는 결제수단입니다",IF($D1483="","계정과목을 고르십시오",IF($E1483="※없는 과목","④ 설정에 없는 과목입니다",IF(AND($E1483="수입",$J1483&gt;0),"수입 과목인데 지출에 적혔습니다",IF(AND(LEFT($E1483,2)&lt;&gt;"수입",$E1483&lt;&gt;"대체",$I1483&gt;0),"지출 과목인데 수입에 적혔습니다",IF($K1483="","증빙을 고르십시오",IF(AND($C1483="바우처통장",$J1483&gt;0,IFERROR(INDEX('통합 ④ 설정'!$E$6:$E$40,MATCH($D1483,'통합 ④ 설정'!$B$6:$B$40,0)),"")&lt;&gt;"○"),"바우처통장 지출 — 목적 확인",IF($H1483="","적요를 적으십시오",""))))))))))))</f>
        <v/>
      </c>
      <c r="M1483" s="39"/>
      <c r="O1483" s="11" t="str">
        <f aca="false">IF($B1483="","",YEAR($B1483)*100+MONTH($B1483))</f>
        <v/>
      </c>
      <c r="P1483" s="11" t="str">
        <f aca="false">IF($B1483="","",IF($E1483="대체",0,1))</f>
        <v/>
      </c>
    </row>
    <row r="1484" customFormat="false" ht="15" hidden="false" customHeight="false" outlineLevel="0" collapsed="false">
      <c r="A1484" s="36" t="str">
        <f aca="false">IF($B1484="","",COUNT($B$15:$B1484))</f>
        <v/>
      </c>
      <c r="B1484" s="37"/>
      <c r="C1484" s="38"/>
      <c r="D1484" s="39"/>
      <c r="E1484" s="36" t="str">
        <f aca="false">IF($D1484="","",IFERROR(INDEX('통합 ④ 설정'!$A$6:$A$40,MATCH($D1484,'통합 ④ 설정'!$B$6:$B$40,0)),"※없는 과목"))</f>
        <v/>
      </c>
      <c r="F1484" s="36" t="str">
        <f aca="false">IF($D1484="","",IFERROR(INDEX('통합 ④ 설정'!$C$6:$C$40,MATCH($D1484,'통합 ④ 설정'!$B$6:$B$40,0)),""))</f>
        <v/>
      </c>
      <c r="G1484" s="39"/>
      <c r="H1484" s="39"/>
      <c r="I1484" s="40"/>
      <c r="J1484" s="41"/>
      <c r="K1484" s="38"/>
      <c r="L1484" s="42" t="str">
        <f aca="false">IF($B1484="","",IF(AND(N($I1484)=0,N($J1484)=0),"금액이 없습니다",IF(AND($I1484&gt;0,$J1484&gt;0),"수입·지출 둘 다 적혔습니다",IF($C1484="","결제수단을 고르십시오",IF(ISNA(MATCH($C1484,'통합 ③ 통장·카드'!$A$5:$A$11,0)),"③ 통장·카드에 없는 결제수단입니다",IF($D1484="","계정과목을 고르십시오",IF($E1484="※없는 과목","④ 설정에 없는 과목입니다",IF(AND($E1484="수입",$J1484&gt;0),"수입 과목인데 지출에 적혔습니다",IF(AND(LEFT($E1484,2)&lt;&gt;"수입",$E1484&lt;&gt;"대체",$I1484&gt;0),"지출 과목인데 수입에 적혔습니다",IF($K1484="","증빙을 고르십시오",IF(AND($C1484="바우처통장",$J1484&gt;0,IFERROR(INDEX('통합 ④ 설정'!$E$6:$E$40,MATCH($D1484,'통합 ④ 설정'!$B$6:$B$40,0)),"")&lt;&gt;"○"),"바우처통장 지출 — 목적 확인",IF($H1484="","적요를 적으십시오",""))))))))))))</f>
        <v/>
      </c>
      <c r="M1484" s="39"/>
      <c r="O1484" s="11" t="str">
        <f aca="false">IF($B1484="","",YEAR($B1484)*100+MONTH($B1484))</f>
        <v/>
      </c>
      <c r="P1484" s="11" t="str">
        <f aca="false">IF($B1484="","",IF($E1484="대체",0,1))</f>
        <v/>
      </c>
    </row>
    <row r="1485" customFormat="false" ht="15" hidden="false" customHeight="false" outlineLevel="0" collapsed="false">
      <c r="A1485" s="36" t="str">
        <f aca="false">IF($B1485="","",COUNT($B$15:$B1485))</f>
        <v/>
      </c>
      <c r="B1485" s="37"/>
      <c r="C1485" s="38"/>
      <c r="D1485" s="39"/>
      <c r="E1485" s="36" t="str">
        <f aca="false">IF($D1485="","",IFERROR(INDEX('통합 ④ 설정'!$A$6:$A$40,MATCH($D1485,'통합 ④ 설정'!$B$6:$B$40,0)),"※없는 과목"))</f>
        <v/>
      </c>
      <c r="F1485" s="36" t="str">
        <f aca="false">IF($D1485="","",IFERROR(INDEX('통합 ④ 설정'!$C$6:$C$40,MATCH($D1485,'통합 ④ 설정'!$B$6:$B$40,0)),""))</f>
        <v/>
      </c>
      <c r="G1485" s="39"/>
      <c r="H1485" s="39"/>
      <c r="I1485" s="40"/>
      <c r="J1485" s="41"/>
      <c r="K1485" s="38"/>
      <c r="L1485" s="42" t="str">
        <f aca="false">IF($B1485="","",IF(AND(N($I1485)=0,N($J1485)=0),"금액이 없습니다",IF(AND($I1485&gt;0,$J1485&gt;0),"수입·지출 둘 다 적혔습니다",IF($C1485="","결제수단을 고르십시오",IF(ISNA(MATCH($C1485,'통합 ③ 통장·카드'!$A$5:$A$11,0)),"③ 통장·카드에 없는 결제수단입니다",IF($D1485="","계정과목을 고르십시오",IF($E1485="※없는 과목","④ 설정에 없는 과목입니다",IF(AND($E1485="수입",$J1485&gt;0),"수입 과목인데 지출에 적혔습니다",IF(AND(LEFT($E1485,2)&lt;&gt;"수입",$E1485&lt;&gt;"대체",$I1485&gt;0),"지출 과목인데 수입에 적혔습니다",IF($K1485="","증빙을 고르십시오",IF(AND($C1485="바우처통장",$J1485&gt;0,IFERROR(INDEX('통합 ④ 설정'!$E$6:$E$40,MATCH($D1485,'통합 ④ 설정'!$B$6:$B$40,0)),"")&lt;&gt;"○"),"바우처통장 지출 — 목적 확인",IF($H1485="","적요를 적으십시오",""))))))))))))</f>
        <v/>
      </c>
      <c r="M1485" s="39"/>
      <c r="O1485" s="11" t="str">
        <f aca="false">IF($B1485="","",YEAR($B1485)*100+MONTH($B1485))</f>
        <v/>
      </c>
      <c r="P1485" s="11" t="str">
        <f aca="false">IF($B1485="","",IF($E1485="대체",0,1))</f>
        <v/>
      </c>
    </row>
    <row r="1486" customFormat="false" ht="15" hidden="false" customHeight="false" outlineLevel="0" collapsed="false">
      <c r="A1486" s="36" t="str">
        <f aca="false">IF($B1486="","",COUNT($B$15:$B1486))</f>
        <v/>
      </c>
      <c r="B1486" s="37"/>
      <c r="C1486" s="38"/>
      <c r="D1486" s="39"/>
      <c r="E1486" s="36" t="str">
        <f aca="false">IF($D1486="","",IFERROR(INDEX('통합 ④ 설정'!$A$6:$A$40,MATCH($D1486,'통합 ④ 설정'!$B$6:$B$40,0)),"※없는 과목"))</f>
        <v/>
      </c>
      <c r="F1486" s="36" t="str">
        <f aca="false">IF($D1486="","",IFERROR(INDEX('통합 ④ 설정'!$C$6:$C$40,MATCH($D1486,'통합 ④ 설정'!$B$6:$B$40,0)),""))</f>
        <v/>
      </c>
      <c r="G1486" s="39"/>
      <c r="H1486" s="39"/>
      <c r="I1486" s="40"/>
      <c r="J1486" s="41"/>
      <c r="K1486" s="38"/>
      <c r="L1486" s="42" t="str">
        <f aca="false">IF($B1486="","",IF(AND(N($I1486)=0,N($J1486)=0),"금액이 없습니다",IF(AND($I1486&gt;0,$J1486&gt;0),"수입·지출 둘 다 적혔습니다",IF($C1486="","결제수단을 고르십시오",IF(ISNA(MATCH($C1486,'통합 ③ 통장·카드'!$A$5:$A$11,0)),"③ 통장·카드에 없는 결제수단입니다",IF($D1486="","계정과목을 고르십시오",IF($E1486="※없는 과목","④ 설정에 없는 과목입니다",IF(AND($E1486="수입",$J1486&gt;0),"수입 과목인데 지출에 적혔습니다",IF(AND(LEFT($E1486,2)&lt;&gt;"수입",$E1486&lt;&gt;"대체",$I1486&gt;0),"지출 과목인데 수입에 적혔습니다",IF($K1486="","증빙을 고르십시오",IF(AND($C1486="바우처통장",$J1486&gt;0,IFERROR(INDEX('통합 ④ 설정'!$E$6:$E$40,MATCH($D1486,'통합 ④ 설정'!$B$6:$B$40,0)),"")&lt;&gt;"○"),"바우처통장 지출 — 목적 확인",IF($H1486="","적요를 적으십시오",""))))))))))))</f>
        <v/>
      </c>
      <c r="M1486" s="39"/>
      <c r="O1486" s="11" t="str">
        <f aca="false">IF($B1486="","",YEAR($B1486)*100+MONTH($B1486))</f>
        <v/>
      </c>
      <c r="P1486" s="11" t="str">
        <f aca="false">IF($B1486="","",IF($E1486="대체",0,1))</f>
        <v/>
      </c>
    </row>
    <row r="1487" customFormat="false" ht="15" hidden="false" customHeight="false" outlineLevel="0" collapsed="false">
      <c r="A1487" s="36" t="str">
        <f aca="false">IF($B1487="","",COUNT($B$15:$B1487))</f>
        <v/>
      </c>
      <c r="B1487" s="37"/>
      <c r="C1487" s="38"/>
      <c r="D1487" s="39"/>
      <c r="E1487" s="36" t="str">
        <f aca="false">IF($D1487="","",IFERROR(INDEX('통합 ④ 설정'!$A$6:$A$40,MATCH($D1487,'통합 ④ 설정'!$B$6:$B$40,0)),"※없는 과목"))</f>
        <v/>
      </c>
      <c r="F1487" s="36" t="str">
        <f aca="false">IF($D1487="","",IFERROR(INDEX('통합 ④ 설정'!$C$6:$C$40,MATCH($D1487,'통합 ④ 설정'!$B$6:$B$40,0)),""))</f>
        <v/>
      </c>
      <c r="G1487" s="39"/>
      <c r="H1487" s="39"/>
      <c r="I1487" s="40"/>
      <c r="J1487" s="41"/>
      <c r="K1487" s="38"/>
      <c r="L1487" s="42" t="str">
        <f aca="false">IF($B1487="","",IF(AND(N($I1487)=0,N($J1487)=0),"금액이 없습니다",IF(AND($I1487&gt;0,$J1487&gt;0),"수입·지출 둘 다 적혔습니다",IF($C1487="","결제수단을 고르십시오",IF(ISNA(MATCH($C1487,'통합 ③ 통장·카드'!$A$5:$A$11,0)),"③ 통장·카드에 없는 결제수단입니다",IF($D1487="","계정과목을 고르십시오",IF($E1487="※없는 과목","④ 설정에 없는 과목입니다",IF(AND($E1487="수입",$J1487&gt;0),"수입 과목인데 지출에 적혔습니다",IF(AND(LEFT($E1487,2)&lt;&gt;"수입",$E1487&lt;&gt;"대체",$I1487&gt;0),"지출 과목인데 수입에 적혔습니다",IF($K1487="","증빙을 고르십시오",IF(AND($C1487="바우처통장",$J1487&gt;0,IFERROR(INDEX('통합 ④ 설정'!$E$6:$E$40,MATCH($D1487,'통합 ④ 설정'!$B$6:$B$40,0)),"")&lt;&gt;"○"),"바우처통장 지출 — 목적 확인",IF($H1487="","적요를 적으십시오",""))))))))))))</f>
        <v/>
      </c>
      <c r="M1487" s="39"/>
      <c r="O1487" s="11" t="str">
        <f aca="false">IF($B1487="","",YEAR($B1487)*100+MONTH($B1487))</f>
        <v/>
      </c>
      <c r="P1487" s="11" t="str">
        <f aca="false">IF($B1487="","",IF($E1487="대체",0,1))</f>
        <v/>
      </c>
    </row>
    <row r="1488" customFormat="false" ht="15" hidden="false" customHeight="false" outlineLevel="0" collapsed="false">
      <c r="A1488" s="36" t="str">
        <f aca="false">IF($B1488="","",COUNT($B$15:$B1488))</f>
        <v/>
      </c>
      <c r="B1488" s="37"/>
      <c r="C1488" s="38"/>
      <c r="D1488" s="39"/>
      <c r="E1488" s="36" t="str">
        <f aca="false">IF($D1488="","",IFERROR(INDEX('통합 ④ 설정'!$A$6:$A$40,MATCH($D1488,'통합 ④ 설정'!$B$6:$B$40,0)),"※없는 과목"))</f>
        <v/>
      </c>
      <c r="F1488" s="36" t="str">
        <f aca="false">IF($D1488="","",IFERROR(INDEX('통합 ④ 설정'!$C$6:$C$40,MATCH($D1488,'통합 ④ 설정'!$B$6:$B$40,0)),""))</f>
        <v/>
      </c>
      <c r="G1488" s="39"/>
      <c r="H1488" s="39"/>
      <c r="I1488" s="40"/>
      <c r="J1488" s="41"/>
      <c r="K1488" s="38"/>
      <c r="L1488" s="42" t="str">
        <f aca="false">IF($B1488="","",IF(AND(N($I1488)=0,N($J1488)=0),"금액이 없습니다",IF(AND($I1488&gt;0,$J1488&gt;0),"수입·지출 둘 다 적혔습니다",IF($C1488="","결제수단을 고르십시오",IF(ISNA(MATCH($C1488,'통합 ③ 통장·카드'!$A$5:$A$11,0)),"③ 통장·카드에 없는 결제수단입니다",IF($D1488="","계정과목을 고르십시오",IF($E1488="※없는 과목","④ 설정에 없는 과목입니다",IF(AND($E1488="수입",$J1488&gt;0),"수입 과목인데 지출에 적혔습니다",IF(AND(LEFT($E1488,2)&lt;&gt;"수입",$E1488&lt;&gt;"대체",$I1488&gt;0),"지출 과목인데 수입에 적혔습니다",IF($K1488="","증빙을 고르십시오",IF(AND($C1488="바우처통장",$J1488&gt;0,IFERROR(INDEX('통합 ④ 설정'!$E$6:$E$40,MATCH($D1488,'통합 ④ 설정'!$B$6:$B$40,0)),"")&lt;&gt;"○"),"바우처통장 지출 — 목적 확인",IF($H1488="","적요를 적으십시오",""))))))))))))</f>
        <v/>
      </c>
      <c r="M1488" s="39"/>
      <c r="O1488" s="11" t="str">
        <f aca="false">IF($B1488="","",YEAR($B1488)*100+MONTH($B1488))</f>
        <v/>
      </c>
      <c r="P1488" s="11" t="str">
        <f aca="false">IF($B1488="","",IF($E1488="대체",0,1))</f>
        <v/>
      </c>
    </row>
    <row r="1489" customFormat="false" ht="15" hidden="false" customHeight="false" outlineLevel="0" collapsed="false">
      <c r="A1489" s="36" t="str">
        <f aca="false">IF($B1489="","",COUNT($B$15:$B1489))</f>
        <v/>
      </c>
      <c r="B1489" s="37"/>
      <c r="C1489" s="38"/>
      <c r="D1489" s="39"/>
      <c r="E1489" s="36" t="str">
        <f aca="false">IF($D1489="","",IFERROR(INDEX('통합 ④ 설정'!$A$6:$A$40,MATCH($D1489,'통합 ④ 설정'!$B$6:$B$40,0)),"※없는 과목"))</f>
        <v/>
      </c>
      <c r="F1489" s="36" t="str">
        <f aca="false">IF($D1489="","",IFERROR(INDEX('통합 ④ 설정'!$C$6:$C$40,MATCH($D1489,'통합 ④ 설정'!$B$6:$B$40,0)),""))</f>
        <v/>
      </c>
      <c r="G1489" s="39"/>
      <c r="H1489" s="39"/>
      <c r="I1489" s="40"/>
      <c r="J1489" s="41"/>
      <c r="K1489" s="38"/>
      <c r="L1489" s="42" t="str">
        <f aca="false">IF($B1489="","",IF(AND(N($I1489)=0,N($J1489)=0),"금액이 없습니다",IF(AND($I1489&gt;0,$J1489&gt;0),"수입·지출 둘 다 적혔습니다",IF($C1489="","결제수단을 고르십시오",IF(ISNA(MATCH($C1489,'통합 ③ 통장·카드'!$A$5:$A$11,0)),"③ 통장·카드에 없는 결제수단입니다",IF($D1489="","계정과목을 고르십시오",IF($E1489="※없는 과목","④ 설정에 없는 과목입니다",IF(AND($E1489="수입",$J1489&gt;0),"수입 과목인데 지출에 적혔습니다",IF(AND(LEFT($E1489,2)&lt;&gt;"수입",$E1489&lt;&gt;"대체",$I1489&gt;0),"지출 과목인데 수입에 적혔습니다",IF($K1489="","증빙을 고르십시오",IF(AND($C1489="바우처통장",$J1489&gt;0,IFERROR(INDEX('통합 ④ 설정'!$E$6:$E$40,MATCH($D1489,'통합 ④ 설정'!$B$6:$B$40,0)),"")&lt;&gt;"○"),"바우처통장 지출 — 목적 확인",IF($H1489="","적요를 적으십시오",""))))))))))))</f>
        <v/>
      </c>
      <c r="M1489" s="39"/>
      <c r="O1489" s="11" t="str">
        <f aca="false">IF($B1489="","",YEAR($B1489)*100+MONTH($B1489))</f>
        <v/>
      </c>
      <c r="P1489" s="11" t="str">
        <f aca="false">IF($B1489="","",IF($E1489="대체",0,1))</f>
        <v/>
      </c>
    </row>
    <row r="1490" customFormat="false" ht="15" hidden="false" customHeight="false" outlineLevel="0" collapsed="false">
      <c r="A1490" s="36" t="str">
        <f aca="false">IF($B1490="","",COUNT($B$15:$B1490))</f>
        <v/>
      </c>
      <c r="B1490" s="37"/>
      <c r="C1490" s="38"/>
      <c r="D1490" s="39"/>
      <c r="E1490" s="36" t="str">
        <f aca="false">IF($D1490="","",IFERROR(INDEX('통합 ④ 설정'!$A$6:$A$40,MATCH($D1490,'통합 ④ 설정'!$B$6:$B$40,0)),"※없는 과목"))</f>
        <v/>
      </c>
      <c r="F1490" s="36" t="str">
        <f aca="false">IF($D1490="","",IFERROR(INDEX('통합 ④ 설정'!$C$6:$C$40,MATCH($D1490,'통합 ④ 설정'!$B$6:$B$40,0)),""))</f>
        <v/>
      </c>
      <c r="G1490" s="39"/>
      <c r="H1490" s="39"/>
      <c r="I1490" s="40"/>
      <c r="J1490" s="41"/>
      <c r="K1490" s="38"/>
      <c r="L1490" s="42" t="str">
        <f aca="false">IF($B1490="","",IF(AND(N($I1490)=0,N($J1490)=0),"금액이 없습니다",IF(AND($I1490&gt;0,$J1490&gt;0),"수입·지출 둘 다 적혔습니다",IF($C1490="","결제수단을 고르십시오",IF(ISNA(MATCH($C1490,'통합 ③ 통장·카드'!$A$5:$A$11,0)),"③ 통장·카드에 없는 결제수단입니다",IF($D1490="","계정과목을 고르십시오",IF($E1490="※없는 과목","④ 설정에 없는 과목입니다",IF(AND($E1490="수입",$J1490&gt;0),"수입 과목인데 지출에 적혔습니다",IF(AND(LEFT($E1490,2)&lt;&gt;"수입",$E1490&lt;&gt;"대체",$I1490&gt;0),"지출 과목인데 수입에 적혔습니다",IF($K1490="","증빙을 고르십시오",IF(AND($C1490="바우처통장",$J1490&gt;0,IFERROR(INDEX('통합 ④ 설정'!$E$6:$E$40,MATCH($D1490,'통합 ④ 설정'!$B$6:$B$40,0)),"")&lt;&gt;"○"),"바우처통장 지출 — 목적 확인",IF($H1490="","적요를 적으십시오",""))))))))))))</f>
        <v/>
      </c>
      <c r="M1490" s="39"/>
      <c r="O1490" s="11" t="str">
        <f aca="false">IF($B1490="","",YEAR($B1490)*100+MONTH($B1490))</f>
        <v/>
      </c>
      <c r="P1490" s="11" t="str">
        <f aca="false">IF($B1490="","",IF($E1490="대체",0,1))</f>
        <v/>
      </c>
    </row>
    <row r="1491" customFormat="false" ht="15" hidden="false" customHeight="false" outlineLevel="0" collapsed="false">
      <c r="A1491" s="36" t="str">
        <f aca="false">IF($B1491="","",COUNT($B$15:$B1491))</f>
        <v/>
      </c>
      <c r="B1491" s="37"/>
      <c r="C1491" s="38"/>
      <c r="D1491" s="39"/>
      <c r="E1491" s="36" t="str">
        <f aca="false">IF($D1491="","",IFERROR(INDEX('통합 ④ 설정'!$A$6:$A$40,MATCH($D1491,'통합 ④ 설정'!$B$6:$B$40,0)),"※없는 과목"))</f>
        <v/>
      </c>
      <c r="F1491" s="36" t="str">
        <f aca="false">IF($D1491="","",IFERROR(INDEX('통합 ④ 설정'!$C$6:$C$40,MATCH($D1491,'통합 ④ 설정'!$B$6:$B$40,0)),""))</f>
        <v/>
      </c>
      <c r="G1491" s="39"/>
      <c r="H1491" s="39"/>
      <c r="I1491" s="40"/>
      <c r="J1491" s="41"/>
      <c r="K1491" s="38"/>
      <c r="L1491" s="42" t="str">
        <f aca="false">IF($B1491="","",IF(AND(N($I1491)=0,N($J1491)=0),"금액이 없습니다",IF(AND($I1491&gt;0,$J1491&gt;0),"수입·지출 둘 다 적혔습니다",IF($C1491="","결제수단을 고르십시오",IF(ISNA(MATCH($C1491,'통합 ③ 통장·카드'!$A$5:$A$11,0)),"③ 통장·카드에 없는 결제수단입니다",IF($D1491="","계정과목을 고르십시오",IF($E1491="※없는 과목","④ 설정에 없는 과목입니다",IF(AND($E1491="수입",$J1491&gt;0),"수입 과목인데 지출에 적혔습니다",IF(AND(LEFT($E1491,2)&lt;&gt;"수입",$E1491&lt;&gt;"대체",$I1491&gt;0),"지출 과목인데 수입에 적혔습니다",IF($K1491="","증빙을 고르십시오",IF(AND($C1491="바우처통장",$J1491&gt;0,IFERROR(INDEX('통합 ④ 설정'!$E$6:$E$40,MATCH($D1491,'통합 ④ 설정'!$B$6:$B$40,0)),"")&lt;&gt;"○"),"바우처통장 지출 — 목적 확인",IF($H1491="","적요를 적으십시오",""))))))))))))</f>
        <v/>
      </c>
      <c r="M1491" s="39"/>
      <c r="O1491" s="11" t="str">
        <f aca="false">IF($B1491="","",YEAR($B1491)*100+MONTH($B1491))</f>
        <v/>
      </c>
      <c r="P1491" s="11" t="str">
        <f aca="false">IF($B1491="","",IF($E1491="대체",0,1))</f>
        <v/>
      </c>
    </row>
    <row r="1492" customFormat="false" ht="15" hidden="false" customHeight="false" outlineLevel="0" collapsed="false">
      <c r="A1492" s="36" t="str">
        <f aca="false">IF($B1492="","",COUNT($B$15:$B1492))</f>
        <v/>
      </c>
      <c r="B1492" s="37"/>
      <c r="C1492" s="38"/>
      <c r="D1492" s="39"/>
      <c r="E1492" s="36" t="str">
        <f aca="false">IF($D1492="","",IFERROR(INDEX('통합 ④ 설정'!$A$6:$A$40,MATCH($D1492,'통합 ④ 설정'!$B$6:$B$40,0)),"※없는 과목"))</f>
        <v/>
      </c>
      <c r="F1492" s="36" t="str">
        <f aca="false">IF($D1492="","",IFERROR(INDEX('통합 ④ 설정'!$C$6:$C$40,MATCH($D1492,'통합 ④ 설정'!$B$6:$B$40,0)),""))</f>
        <v/>
      </c>
      <c r="G1492" s="39"/>
      <c r="H1492" s="39"/>
      <c r="I1492" s="40"/>
      <c r="J1492" s="41"/>
      <c r="K1492" s="38"/>
      <c r="L1492" s="42" t="str">
        <f aca="false">IF($B1492="","",IF(AND(N($I1492)=0,N($J1492)=0),"금액이 없습니다",IF(AND($I1492&gt;0,$J1492&gt;0),"수입·지출 둘 다 적혔습니다",IF($C1492="","결제수단을 고르십시오",IF(ISNA(MATCH($C1492,'통합 ③ 통장·카드'!$A$5:$A$11,0)),"③ 통장·카드에 없는 결제수단입니다",IF($D1492="","계정과목을 고르십시오",IF($E1492="※없는 과목","④ 설정에 없는 과목입니다",IF(AND($E1492="수입",$J1492&gt;0),"수입 과목인데 지출에 적혔습니다",IF(AND(LEFT($E1492,2)&lt;&gt;"수입",$E1492&lt;&gt;"대체",$I1492&gt;0),"지출 과목인데 수입에 적혔습니다",IF($K1492="","증빙을 고르십시오",IF(AND($C1492="바우처통장",$J1492&gt;0,IFERROR(INDEX('통합 ④ 설정'!$E$6:$E$40,MATCH($D1492,'통합 ④ 설정'!$B$6:$B$40,0)),"")&lt;&gt;"○"),"바우처통장 지출 — 목적 확인",IF($H1492="","적요를 적으십시오",""))))))))))))</f>
        <v/>
      </c>
      <c r="M1492" s="39"/>
      <c r="O1492" s="11" t="str">
        <f aca="false">IF($B1492="","",YEAR($B1492)*100+MONTH($B1492))</f>
        <v/>
      </c>
      <c r="P1492" s="11" t="str">
        <f aca="false">IF($B1492="","",IF($E1492="대체",0,1))</f>
        <v/>
      </c>
    </row>
    <row r="1493" customFormat="false" ht="15" hidden="false" customHeight="false" outlineLevel="0" collapsed="false">
      <c r="A1493" s="36" t="str">
        <f aca="false">IF($B1493="","",COUNT($B$15:$B1493))</f>
        <v/>
      </c>
      <c r="B1493" s="37"/>
      <c r="C1493" s="38"/>
      <c r="D1493" s="39"/>
      <c r="E1493" s="36" t="str">
        <f aca="false">IF($D1493="","",IFERROR(INDEX('통합 ④ 설정'!$A$6:$A$40,MATCH($D1493,'통합 ④ 설정'!$B$6:$B$40,0)),"※없는 과목"))</f>
        <v/>
      </c>
      <c r="F1493" s="36" t="str">
        <f aca="false">IF($D1493="","",IFERROR(INDEX('통합 ④ 설정'!$C$6:$C$40,MATCH($D1493,'통합 ④ 설정'!$B$6:$B$40,0)),""))</f>
        <v/>
      </c>
      <c r="G1493" s="39"/>
      <c r="H1493" s="39"/>
      <c r="I1493" s="40"/>
      <c r="J1493" s="41"/>
      <c r="K1493" s="38"/>
      <c r="L1493" s="42" t="str">
        <f aca="false">IF($B1493="","",IF(AND(N($I1493)=0,N($J1493)=0),"금액이 없습니다",IF(AND($I1493&gt;0,$J1493&gt;0),"수입·지출 둘 다 적혔습니다",IF($C1493="","결제수단을 고르십시오",IF(ISNA(MATCH($C1493,'통합 ③ 통장·카드'!$A$5:$A$11,0)),"③ 통장·카드에 없는 결제수단입니다",IF($D1493="","계정과목을 고르십시오",IF($E1493="※없는 과목","④ 설정에 없는 과목입니다",IF(AND($E1493="수입",$J1493&gt;0),"수입 과목인데 지출에 적혔습니다",IF(AND(LEFT($E1493,2)&lt;&gt;"수입",$E1493&lt;&gt;"대체",$I1493&gt;0),"지출 과목인데 수입에 적혔습니다",IF($K1493="","증빙을 고르십시오",IF(AND($C1493="바우처통장",$J1493&gt;0,IFERROR(INDEX('통합 ④ 설정'!$E$6:$E$40,MATCH($D1493,'통합 ④ 설정'!$B$6:$B$40,0)),"")&lt;&gt;"○"),"바우처통장 지출 — 목적 확인",IF($H1493="","적요를 적으십시오",""))))))))))))</f>
        <v/>
      </c>
      <c r="M1493" s="39"/>
      <c r="O1493" s="11" t="str">
        <f aca="false">IF($B1493="","",YEAR($B1493)*100+MONTH($B1493))</f>
        <v/>
      </c>
      <c r="P1493" s="11" t="str">
        <f aca="false">IF($B1493="","",IF($E1493="대체",0,1))</f>
        <v/>
      </c>
    </row>
    <row r="1494" customFormat="false" ht="15" hidden="false" customHeight="false" outlineLevel="0" collapsed="false">
      <c r="A1494" s="36" t="str">
        <f aca="false">IF($B1494="","",COUNT($B$15:$B1494))</f>
        <v/>
      </c>
      <c r="B1494" s="37"/>
      <c r="C1494" s="38"/>
      <c r="D1494" s="39"/>
      <c r="E1494" s="36" t="str">
        <f aca="false">IF($D1494="","",IFERROR(INDEX('통합 ④ 설정'!$A$6:$A$40,MATCH($D1494,'통합 ④ 설정'!$B$6:$B$40,0)),"※없는 과목"))</f>
        <v/>
      </c>
      <c r="F1494" s="36" t="str">
        <f aca="false">IF($D1494="","",IFERROR(INDEX('통합 ④ 설정'!$C$6:$C$40,MATCH($D1494,'통합 ④ 설정'!$B$6:$B$40,0)),""))</f>
        <v/>
      </c>
      <c r="G1494" s="39"/>
      <c r="H1494" s="39"/>
      <c r="I1494" s="40"/>
      <c r="J1494" s="41"/>
      <c r="K1494" s="38"/>
      <c r="L1494" s="42" t="str">
        <f aca="false">IF($B1494="","",IF(AND(N($I1494)=0,N($J1494)=0),"금액이 없습니다",IF(AND($I1494&gt;0,$J1494&gt;0),"수입·지출 둘 다 적혔습니다",IF($C1494="","결제수단을 고르십시오",IF(ISNA(MATCH($C1494,'통합 ③ 통장·카드'!$A$5:$A$11,0)),"③ 통장·카드에 없는 결제수단입니다",IF($D1494="","계정과목을 고르십시오",IF($E1494="※없는 과목","④ 설정에 없는 과목입니다",IF(AND($E1494="수입",$J1494&gt;0),"수입 과목인데 지출에 적혔습니다",IF(AND(LEFT($E1494,2)&lt;&gt;"수입",$E1494&lt;&gt;"대체",$I1494&gt;0),"지출 과목인데 수입에 적혔습니다",IF($K1494="","증빙을 고르십시오",IF(AND($C1494="바우처통장",$J1494&gt;0,IFERROR(INDEX('통합 ④ 설정'!$E$6:$E$40,MATCH($D1494,'통합 ④ 설정'!$B$6:$B$40,0)),"")&lt;&gt;"○"),"바우처통장 지출 — 목적 확인",IF($H1494="","적요를 적으십시오",""))))))))))))</f>
        <v/>
      </c>
      <c r="M1494" s="39"/>
      <c r="O1494" s="11" t="str">
        <f aca="false">IF($B1494="","",YEAR($B1494)*100+MONTH($B1494))</f>
        <v/>
      </c>
      <c r="P1494" s="11" t="str">
        <f aca="false">IF($B1494="","",IF($E1494="대체",0,1))</f>
        <v/>
      </c>
    </row>
    <row r="1495" customFormat="false" ht="15" hidden="false" customHeight="false" outlineLevel="0" collapsed="false">
      <c r="A1495" s="36" t="str">
        <f aca="false">IF($B1495="","",COUNT($B$15:$B1495))</f>
        <v/>
      </c>
      <c r="B1495" s="37"/>
      <c r="C1495" s="38"/>
      <c r="D1495" s="39"/>
      <c r="E1495" s="36" t="str">
        <f aca="false">IF($D1495="","",IFERROR(INDEX('통합 ④ 설정'!$A$6:$A$40,MATCH($D1495,'통합 ④ 설정'!$B$6:$B$40,0)),"※없는 과목"))</f>
        <v/>
      </c>
      <c r="F1495" s="36" t="str">
        <f aca="false">IF($D1495="","",IFERROR(INDEX('통합 ④ 설정'!$C$6:$C$40,MATCH($D1495,'통합 ④ 설정'!$B$6:$B$40,0)),""))</f>
        <v/>
      </c>
      <c r="G1495" s="39"/>
      <c r="H1495" s="39"/>
      <c r="I1495" s="40"/>
      <c r="J1495" s="41"/>
      <c r="K1495" s="38"/>
      <c r="L1495" s="42" t="str">
        <f aca="false">IF($B1495="","",IF(AND(N($I1495)=0,N($J1495)=0),"금액이 없습니다",IF(AND($I1495&gt;0,$J1495&gt;0),"수입·지출 둘 다 적혔습니다",IF($C1495="","결제수단을 고르십시오",IF(ISNA(MATCH($C1495,'통합 ③ 통장·카드'!$A$5:$A$11,0)),"③ 통장·카드에 없는 결제수단입니다",IF($D1495="","계정과목을 고르십시오",IF($E1495="※없는 과목","④ 설정에 없는 과목입니다",IF(AND($E1495="수입",$J1495&gt;0),"수입 과목인데 지출에 적혔습니다",IF(AND(LEFT($E1495,2)&lt;&gt;"수입",$E1495&lt;&gt;"대체",$I1495&gt;0),"지출 과목인데 수입에 적혔습니다",IF($K1495="","증빙을 고르십시오",IF(AND($C1495="바우처통장",$J1495&gt;0,IFERROR(INDEX('통합 ④ 설정'!$E$6:$E$40,MATCH($D1495,'통합 ④ 설정'!$B$6:$B$40,0)),"")&lt;&gt;"○"),"바우처통장 지출 — 목적 확인",IF($H1495="","적요를 적으십시오",""))))))))))))</f>
        <v/>
      </c>
      <c r="M1495" s="39"/>
      <c r="O1495" s="11" t="str">
        <f aca="false">IF($B1495="","",YEAR($B1495)*100+MONTH($B1495))</f>
        <v/>
      </c>
      <c r="P1495" s="11" t="str">
        <f aca="false">IF($B1495="","",IF($E1495="대체",0,1))</f>
        <v/>
      </c>
    </row>
    <row r="1496" customFormat="false" ht="15" hidden="false" customHeight="false" outlineLevel="0" collapsed="false">
      <c r="A1496" s="36" t="str">
        <f aca="false">IF($B1496="","",COUNT($B$15:$B1496))</f>
        <v/>
      </c>
      <c r="B1496" s="37"/>
      <c r="C1496" s="38"/>
      <c r="D1496" s="39"/>
      <c r="E1496" s="36" t="str">
        <f aca="false">IF($D1496="","",IFERROR(INDEX('통합 ④ 설정'!$A$6:$A$40,MATCH($D1496,'통합 ④ 설정'!$B$6:$B$40,0)),"※없는 과목"))</f>
        <v/>
      </c>
      <c r="F1496" s="36" t="str">
        <f aca="false">IF($D1496="","",IFERROR(INDEX('통합 ④ 설정'!$C$6:$C$40,MATCH($D1496,'통합 ④ 설정'!$B$6:$B$40,0)),""))</f>
        <v/>
      </c>
      <c r="G1496" s="39"/>
      <c r="H1496" s="39"/>
      <c r="I1496" s="40"/>
      <c r="J1496" s="41"/>
      <c r="K1496" s="38"/>
      <c r="L1496" s="42" t="str">
        <f aca="false">IF($B1496="","",IF(AND(N($I1496)=0,N($J1496)=0),"금액이 없습니다",IF(AND($I1496&gt;0,$J1496&gt;0),"수입·지출 둘 다 적혔습니다",IF($C1496="","결제수단을 고르십시오",IF(ISNA(MATCH($C1496,'통합 ③ 통장·카드'!$A$5:$A$11,0)),"③ 통장·카드에 없는 결제수단입니다",IF($D1496="","계정과목을 고르십시오",IF($E1496="※없는 과목","④ 설정에 없는 과목입니다",IF(AND($E1496="수입",$J1496&gt;0),"수입 과목인데 지출에 적혔습니다",IF(AND(LEFT($E1496,2)&lt;&gt;"수입",$E1496&lt;&gt;"대체",$I1496&gt;0),"지출 과목인데 수입에 적혔습니다",IF($K1496="","증빙을 고르십시오",IF(AND($C1496="바우처통장",$J1496&gt;0,IFERROR(INDEX('통합 ④ 설정'!$E$6:$E$40,MATCH($D1496,'통합 ④ 설정'!$B$6:$B$40,0)),"")&lt;&gt;"○"),"바우처통장 지출 — 목적 확인",IF($H1496="","적요를 적으십시오",""))))))))))))</f>
        <v/>
      </c>
      <c r="M1496" s="39"/>
      <c r="O1496" s="11" t="str">
        <f aca="false">IF($B1496="","",YEAR($B1496)*100+MONTH($B1496))</f>
        <v/>
      </c>
      <c r="P1496" s="11" t="str">
        <f aca="false">IF($B1496="","",IF($E1496="대체",0,1))</f>
        <v/>
      </c>
    </row>
    <row r="1497" customFormat="false" ht="15" hidden="false" customHeight="false" outlineLevel="0" collapsed="false">
      <c r="A1497" s="36" t="str">
        <f aca="false">IF($B1497="","",COUNT($B$15:$B1497))</f>
        <v/>
      </c>
      <c r="B1497" s="37"/>
      <c r="C1497" s="38"/>
      <c r="D1497" s="39"/>
      <c r="E1497" s="36" t="str">
        <f aca="false">IF($D1497="","",IFERROR(INDEX('통합 ④ 설정'!$A$6:$A$40,MATCH($D1497,'통합 ④ 설정'!$B$6:$B$40,0)),"※없는 과목"))</f>
        <v/>
      </c>
      <c r="F1497" s="36" t="str">
        <f aca="false">IF($D1497="","",IFERROR(INDEX('통합 ④ 설정'!$C$6:$C$40,MATCH($D1497,'통합 ④ 설정'!$B$6:$B$40,0)),""))</f>
        <v/>
      </c>
      <c r="G1497" s="39"/>
      <c r="H1497" s="39"/>
      <c r="I1497" s="40"/>
      <c r="J1497" s="41"/>
      <c r="K1497" s="38"/>
      <c r="L1497" s="42" t="str">
        <f aca="false">IF($B1497="","",IF(AND(N($I1497)=0,N($J1497)=0),"금액이 없습니다",IF(AND($I1497&gt;0,$J1497&gt;0),"수입·지출 둘 다 적혔습니다",IF($C1497="","결제수단을 고르십시오",IF(ISNA(MATCH($C1497,'통합 ③ 통장·카드'!$A$5:$A$11,0)),"③ 통장·카드에 없는 결제수단입니다",IF($D1497="","계정과목을 고르십시오",IF($E1497="※없는 과목","④ 설정에 없는 과목입니다",IF(AND($E1497="수입",$J1497&gt;0),"수입 과목인데 지출에 적혔습니다",IF(AND(LEFT($E1497,2)&lt;&gt;"수입",$E1497&lt;&gt;"대체",$I1497&gt;0),"지출 과목인데 수입에 적혔습니다",IF($K1497="","증빙을 고르십시오",IF(AND($C1497="바우처통장",$J1497&gt;0,IFERROR(INDEX('통합 ④ 설정'!$E$6:$E$40,MATCH($D1497,'통합 ④ 설정'!$B$6:$B$40,0)),"")&lt;&gt;"○"),"바우처통장 지출 — 목적 확인",IF($H1497="","적요를 적으십시오",""))))))))))))</f>
        <v/>
      </c>
      <c r="M1497" s="39"/>
      <c r="O1497" s="11" t="str">
        <f aca="false">IF($B1497="","",YEAR($B1497)*100+MONTH($B1497))</f>
        <v/>
      </c>
      <c r="P1497" s="11" t="str">
        <f aca="false">IF($B1497="","",IF($E1497="대체",0,1))</f>
        <v/>
      </c>
    </row>
    <row r="1498" customFormat="false" ht="15" hidden="false" customHeight="false" outlineLevel="0" collapsed="false">
      <c r="A1498" s="36" t="str">
        <f aca="false">IF($B1498="","",COUNT($B$15:$B1498))</f>
        <v/>
      </c>
      <c r="B1498" s="37"/>
      <c r="C1498" s="38"/>
      <c r="D1498" s="39"/>
      <c r="E1498" s="36" t="str">
        <f aca="false">IF($D1498="","",IFERROR(INDEX('통합 ④ 설정'!$A$6:$A$40,MATCH($D1498,'통합 ④ 설정'!$B$6:$B$40,0)),"※없는 과목"))</f>
        <v/>
      </c>
      <c r="F1498" s="36" t="str">
        <f aca="false">IF($D1498="","",IFERROR(INDEX('통합 ④ 설정'!$C$6:$C$40,MATCH($D1498,'통합 ④ 설정'!$B$6:$B$40,0)),""))</f>
        <v/>
      </c>
      <c r="G1498" s="39"/>
      <c r="H1498" s="39"/>
      <c r="I1498" s="40"/>
      <c r="J1498" s="41"/>
      <c r="K1498" s="38"/>
      <c r="L1498" s="42" t="str">
        <f aca="false">IF($B1498="","",IF(AND(N($I1498)=0,N($J1498)=0),"금액이 없습니다",IF(AND($I1498&gt;0,$J1498&gt;0),"수입·지출 둘 다 적혔습니다",IF($C1498="","결제수단을 고르십시오",IF(ISNA(MATCH($C1498,'통합 ③ 통장·카드'!$A$5:$A$11,0)),"③ 통장·카드에 없는 결제수단입니다",IF($D1498="","계정과목을 고르십시오",IF($E1498="※없는 과목","④ 설정에 없는 과목입니다",IF(AND($E1498="수입",$J1498&gt;0),"수입 과목인데 지출에 적혔습니다",IF(AND(LEFT($E1498,2)&lt;&gt;"수입",$E1498&lt;&gt;"대체",$I1498&gt;0),"지출 과목인데 수입에 적혔습니다",IF($K1498="","증빙을 고르십시오",IF(AND($C1498="바우처통장",$J1498&gt;0,IFERROR(INDEX('통합 ④ 설정'!$E$6:$E$40,MATCH($D1498,'통합 ④ 설정'!$B$6:$B$40,0)),"")&lt;&gt;"○"),"바우처통장 지출 — 목적 확인",IF($H1498="","적요를 적으십시오",""))))))))))))</f>
        <v/>
      </c>
      <c r="M1498" s="39"/>
      <c r="O1498" s="11" t="str">
        <f aca="false">IF($B1498="","",YEAR($B1498)*100+MONTH($B1498))</f>
        <v/>
      </c>
      <c r="P1498" s="11" t="str">
        <f aca="false">IF($B1498="","",IF($E1498="대체",0,1))</f>
        <v/>
      </c>
    </row>
    <row r="1499" customFormat="false" ht="15" hidden="false" customHeight="false" outlineLevel="0" collapsed="false">
      <c r="A1499" s="36" t="str">
        <f aca="false">IF($B1499="","",COUNT($B$15:$B1499))</f>
        <v/>
      </c>
      <c r="B1499" s="37"/>
      <c r="C1499" s="38"/>
      <c r="D1499" s="39"/>
      <c r="E1499" s="36" t="str">
        <f aca="false">IF($D1499="","",IFERROR(INDEX('통합 ④ 설정'!$A$6:$A$40,MATCH($D1499,'통합 ④ 설정'!$B$6:$B$40,0)),"※없는 과목"))</f>
        <v/>
      </c>
      <c r="F1499" s="36" t="str">
        <f aca="false">IF($D1499="","",IFERROR(INDEX('통합 ④ 설정'!$C$6:$C$40,MATCH($D1499,'통합 ④ 설정'!$B$6:$B$40,0)),""))</f>
        <v/>
      </c>
      <c r="G1499" s="39"/>
      <c r="H1499" s="39"/>
      <c r="I1499" s="40"/>
      <c r="J1499" s="41"/>
      <c r="K1499" s="38"/>
      <c r="L1499" s="42" t="str">
        <f aca="false">IF($B1499="","",IF(AND(N($I1499)=0,N($J1499)=0),"금액이 없습니다",IF(AND($I1499&gt;0,$J1499&gt;0),"수입·지출 둘 다 적혔습니다",IF($C1499="","결제수단을 고르십시오",IF(ISNA(MATCH($C1499,'통합 ③ 통장·카드'!$A$5:$A$11,0)),"③ 통장·카드에 없는 결제수단입니다",IF($D1499="","계정과목을 고르십시오",IF($E1499="※없는 과목","④ 설정에 없는 과목입니다",IF(AND($E1499="수입",$J1499&gt;0),"수입 과목인데 지출에 적혔습니다",IF(AND(LEFT($E1499,2)&lt;&gt;"수입",$E1499&lt;&gt;"대체",$I1499&gt;0),"지출 과목인데 수입에 적혔습니다",IF($K1499="","증빙을 고르십시오",IF(AND($C1499="바우처통장",$J1499&gt;0,IFERROR(INDEX('통합 ④ 설정'!$E$6:$E$40,MATCH($D1499,'통합 ④ 설정'!$B$6:$B$40,0)),"")&lt;&gt;"○"),"바우처통장 지출 — 목적 확인",IF($H1499="","적요를 적으십시오",""))))))))))))</f>
        <v/>
      </c>
      <c r="M1499" s="39"/>
      <c r="O1499" s="11" t="str">
        <f aca="false">IF($B1499="","",YEAR($B1499)*100+MONTH($B1499))</f>
        <v/>
      </c>
      <c r="P1499" s="11" t="str">
        <f aca="false">IF($B1499="","",IF($E1499="대체",0,1))</f>
        <v/>
      </c>
    </row>
    <row r="1500" customFormat="false" ht="15" hidden="false" customHeight="false" outlineLevel="0" collapsed="false">
      <c r="A1500" s="36" t="str">
        <f aca="false">IF($B1500="","",COUNT($B$15:$B1500))</f>
        <v/>
      </c>
      <c r="B1500" s="37"/>
      <c r="C1500" s="38"/>
      <c r="D1500" s="39"/>
      <c r="E1500" s="36" t="str">
        <f aca="false">IF($D1500="","",IFERROR(INDEX('통합 ④ 설정'!$A$6:$A$40,MATCH($D1500,'통합 ④ 설정'!$B$6:$B$40,0)),"※없는 과목"))</f>
        <v/>
      </c>
      <c r="F1500" s="36" t="str">
        <f aca="false">IF($D1500="","",IFERROR(INDEX('통합 ④ 설정'!$C$6:$C$40,MATCH($D1500,'통합 ④ 설정'!$B$6:$B$40,0)),""))</f>
        <v/>
      </c>
      <c r="G1500" s="39"/>
      <c r="H1500" s="39"/>
      <c r="I1500" s="40"/>
      <c r="J1500" s="41"/>
      <c r="K1500" s="38"/>
      <c r="L1500" s="42" t="str">
        <f aca="false">IF($B1500="","",IF(AND(N($I1500)=0,N($J1500)=0),"금액이 없습니다",IF(AND($I1500&gt;0,$J1500&gt;0),"수입·지출 둘 다 적혔습니다",IF($C1500="","결제수단을 고르십시오",IF(ISNA(MATCH($C1500,'통합 ③ 통장·카드'!$A$5:$A$11,0)),"③ 통장·카드에 없는 결제수단입니다",IF($D1500="","계정과목을 고르십시오",IF($E1500="※없는 과목","④ 설정에 없는 과목입니다",IF(AND($E1500="수입",$J1500&gt;0),"수입 과목인데 지출에 적혔습니다",IF(AND(LEFT($E1500,2)&lt;&gt;"수입",$E1500&lt;&gt;"대체",$I1500&gt;0),"지출 과목인데 수입에 적혔습니다",IF($K1500="","증빙을 고르십시오",IF(AND($C1500="바우처통장",$J1500&gt;0,IFERROR(INDEX('통합 ④ 설정'!$E$6:$E$40,MATCH($D1500,'통합 ④ 설정'!$B$6:$B$40,0)),"")&lt;&gt;"○"),"바우처통장 지출 — 목적 확인",IF($H1500="","적요를 적으십시오",""))))))))))))</f>
        <v/>
      </c>
      <c r="M1500" s="39"/>
      <c r="O1500" s="11" t="str">
        <f aca="false">IF($B1500="","",YEAR($B1500)*100+MONTH($B1500))</f>
        <v/>
      </c>
      <c r="P1500" s="11" t="str">
        <f aca="false">IF($B1500="","",IF($E1500="대체",0,1))</f>
        <v/>
      </c>
    </row>
    <row r="1501" customFormat="false" ht="15" hidden="false" customHeight="false" outlineLevel="0" collapsed="false">
      <c r="A1501" s="36" t="str">
        <f aca="false">IF($B1501="","",COUNT($B$15:$B1501))</f>
        <v/>
      </c>
      <c r="B1501" s="37"/>
      <c r="C1501" s="38"/>
      <c r="D1501" s="39"/>
      <c r="E1501" s="36" t="str">
        <f aca="false">IF($D1501="","",IFERROR(INDEX('통합 ④ 설정'!$A$6:$A$40,MATCH($D1501,'통합 ④ 설정'!$B$6:$B$40,0)),"※없는 과목"))</f>
        <v/>
      </c>
      <c r="F1501" s="36" t="str">
        <f aca="false">IF($D1501="","",IFERROR(INDEX('통합 ④ 설정'!$C$6:$C$40,MATCH($D1501,'통합 ④ 설정'!$B$6:$B$40,0)),""))</f>
        <v/>
      </c>
      <c r="G1501" s="39"/>
      <c r="H1501" s="39"/>
      <c r="I1501" s="40"/>
      <c r="J1501" s="41"/>
      <c r="K1501" s="38"/>
      <c r="L1501" s="42" t="str">
        <f aca="false">IF($B1501="","",IF(AND(N($I1501)=0,N($J1501)=0),"금액이 없습니다",IF(AND($I1501&gt;0,$J1501&gt;0),"수입·지출 둘 다 적혔습니다",IF($C1501="","결제수단을 고르십시오",IF(ISNA(MATCH($C1501,'통합 ③ 통장·카드'!$A$5:$A$11,0)),"③ 통장·카드에 없는 결제수단입니다",IF($D1501="","계정과목을 고르십시오",IF($E1501="※없는 과목","④ 설정에 없는 과목입니다",IF(AND($E1501="수입",$J1501&gt;0),"수입 과목인데 지출에 적혔습니다",IF(AND(LEFT($E1501,2)&lt;&gt;"수입",$E1501&lt;&gt;"대체",$I1501&gt;0),"지출 과목인데 수입에 적혔습니다",IF($K1501="","증빙을 고르십시오",IF(AND($C1501="바우처통장",$J1501&gt;0,IFERROR(INDEX('통합 ④ 설정'!$E$6:$E$40,MATCH($D1501,'통합 ④ 설정'!$B$6:$B$40,0)),"")&lt;&gt;"○"),"바우처통장 지출 — 목적 확인",IF($H1501="","적요를 적으십시오",""))))))))))))</f>
        <v/>
      </c>
      <c r="M1501" s="39"/>
      <c r="O1501" s="11" t="str">
        <f aca="false">IF($B1501="","",YEAR($B1501)*100+MONTH($B1501))</f>
        <v/>
      </c>
      <c r="P1501" s="11" t="str">
        <f aca="false">IF($B1501="","",IF($E1501="대체",0,1))</f>
        <v/>
      </c>
    </row>
    <row r="1502" customFormat="false" ht="15" hidden="false" customHeight="false" outlineLevel="0" collapsed="false">
      <c r="A1502" s="36" t="str">
        <f aca="false">IF($B1502="","",COUNT($B$15:$B1502))</f>
        <v/>
      </c>
      <c r="B1502" s="37"/>
      <c r="C1502" s="38"/>
      <c r="D1502" s="39"/>
      <c r="E1502" s="36" t="str">
        <f aca="false">IF($D1502="","",IFERROR(INDEX('통합 ④ 설정'!$A$6:$A$40,MATCH($D1502,'통합 ④ 설정'!$B$6:$B$40,0)),"※없는 과목"))</f>
        <v/>
      </c>
      <c r="F1502" s="36" t="str">
        <f aca="false">IF($D1502="","",IFERROR(INDEX('통합 ④ 설정'!$C$6:$C$40,MATCH($D1502,'통합 ④ 설정'!$B$6:$B$40,0)),""))</f>
        <v/>
      </c>
      <c r="G1502" s="39"/>
      <c r="H1502" s="39"/>
      <c r="I1502" s="40"/>
      <c r="J1502" s="41"/>
      <c r="K1502" s="38"/>
      <c r="L1502" s="42" t="str">
        <f aca="false">IF($B1502="","",IF(AND(N($I1502)=0,N($J1502)=0),"금액이 없습니다",IF(AND($I1502&gt;0,$J1502&gt;0),"수입·지출 둘 다 적혔습니다",IF($C1502="","결제수단을 고르십시오",IF(ISNA(MATCH($C1502,'통합 ③ 통장·카드'!$A$5:$A$11,0)),"③ 통장·카드에 없는 결제수단입니다",IF($D1502="","계정과목을 고르십시오",IF($E1502="※없는 과목","④ 설정에 없는 과목입니다",IF(AND($E1502="수입",$J1502&gt;0),"수입 과목인데 지출에 적혔습니다",IF(AND(LEFT($E1502,2)&lt;&gt;"수입",$E1502&lt;&gt;"대체",$I1502&gt;0),"지출 과목인데 수입에 적혔습니다",IF($K1502="","증빙을 고르십시오",IF(AND($C1502="바우처통장",$J1502&gt;0,IFERROR(INDEX('통합 ④ 설정'!$E$6:$E$40,MATCH($D1502,'통합 ④ 설정'!$B$6:$B$40,0)),"")&lt;&gt;"○"),"바우처통장 지출 — 목적 확인",IF($H1502="","적요를 적으십시오",""))))))))))))</f>
        <v/>
      </c>
      <c r="M1502" s="39"/>
      <c r="O1502" s="11" t="str">
        <f aca="false">IF($B1502="","",YEAR($B1502)*100+MONTH($B1502))</f>
        <v/>
      </c>
      <c r="P1502" s="11" t="str">
        <f aca="false">IF($B1502="","",IF($E1502="대체",0,1))</f>
        <v/>
      </c>
    </row>
    <row r="1503" customFormat="false" ht="15" hidden="false" customHeight="false" outlineLevel="0" collapsed="false">
      <c r="A1503" s="36" t="str">
        <f aca="false">IF($B1503="","",COUNT($B$15:$B1503))</f>
        <v/>
      </c>
      <c r="B1503" s="37"/>
      <c r="C1503" s="38"/>
      <c r="D1503" s="39"/>
      <c r="E1503" s="36" t="str">
        <f aca="false">IF($D1503="","",IFERROR(INDEX('통합 ④ 설정'!$A$6:$A$40,MATCH($D1503,'통합 ④ 설정'!$B$6:$B$40,0)),"※없는 과목"))</f>
        <v/>
      </c>
      <c r="F1503" s="36" t="str">
        <f aca="false">IF($D1503="","",IFERROR(INDEX('통합 ④ 설정'!$C$6:$C$40,MATCH($D1503,'통합 ④ 설정'!$B$6:$B$40,0)),""))</f>
        <v/>
      </c>
      <c r="G1503" s="39"/>
      <c r="H1503" s="39"/>
      <c r="I1503" s="40"/>
      <c r="J1503" s="41"/>
      <c r="K1503" s="38"/>
      <c r="L1503" s="42" t="str">
        <f aca="false">IF($B1503="","",IF(AND(N($I1503)=0,N($J1503)=0),"금액이 없습니다",IF(AND($I1503&gt;0,$J1503&gt;0),"수입·지출 둘 다 적혔습니다",IF($C1503="","결제수단을 고르십시오",IF(ISNA(MATCH($C1503,'통합 ③ 통장·카드'!$A$5:$A$11,0)),"③ 통장·카드에 없는 결제수단입니다",IF($D1503="","계정과목을 고르십시오",IF($E1503="※없는 과목","④ 설정에 없는 과목입니다",IF(AND($E1503="수입",$J1503&gt;0),"수입 과목인데 지출에 적혔습니다",IF(AND(LEFT($E1503,2)&lt;&gt;"수입",$E1503&lt;&gt;"대체",$I1503&gt;0),"지출 과목인데 수입에 적혔습니다",IF($K1503="","증빙을 고르십시오",IF(AND($C1503="바우처통장",$J1503&gt;0,IFERROR(INDEX('통합 ④ 설정'!$E$6:$E$40,MATCH($D1503,'통합 ④ 설정'!$B$6:$B$40,0)),"")&lt;&gt;"○"),"바우처통장 지출 — 목적 확인",IF($H1503="","적요를 적으십시오",""))))))))))))</f>
        <v/>
      </c>
      <c r="M1503" s="39"/>
      <c r="O1503" s="11" t="str">
        <f aca="false">IF($B1503="","",YEAR($B1503)*100+MONTH($B1503))</f>
        <v/>
      </c>
      <c r="P1503" s="11" t="str">
        <f aca="false">IF($B1503="","",IF($E1503="대체",0,1))</f>
        <v/>
      </c>
    </row>
    <row r="1504" customFormat="false" ht="15" hidden="false" customHeight="false" outlineLevel="0" collapsed="false">
      <c r="A1504" s="36" t="str">
        <f aca="false">IF($B1504="","",COUNT($B$15:$B1504))</f>
        <v/>
      </c>
      <c r="B1504" s="37"/>
      <c r="C1504" s="38"/>
      <c r="D1504" s="39"/>
      <c r="E1504" s="36" t="str">
        <f aca="false">IF($D1504="","",IFERROR(INDEX('통합 ④ 설정'!$A$6:$A$40,MATCH($D1504,'통합 ④ 설정'!$B$6:$B$40,0)),"※없는 과목"))</f>
        <v/>
      </c>
      <c r="F1504" s="36" t="str">
        <f aca="false">IF($D1504="","",IFERROR(INDEX('통합 ④ 설정'!$C$6:$C$40,MATCH($D1504,'통합 ④ 설정'!$B$6:$B$40,0)),""))</f>
        <v/>
      </c>
      <c r="G1504" s="39"/>
      <c r="H1504" s="39"/>
      <c r="I1504" s="40"/>
      <c r="J1504" s="41"/>
      <c r="K1504" s="38"/>
      <c r="L1504" s="42" t="str">
        <f aca="false">IF($B1504="","",IF(AND(N($I1504)=0,N($J1504)=0),"금액이 없습니다",IF(AND($I1504&gt;0,$J1504&gt;0),"수입·지출 둘 다 적혔습니다",IF($C1504="","결제수단을 고르십시오",IF(ISNA(MATCH($C1504,'통합 ③ 통장·카드'!$A$5:$A$11,0)),"③ 통장·카드에 없는 결제수단입니다",IF($D1504="","계정과목을 고르십시오",IF($E1504="※없는 과목","④ 설정에 없는 과목입니다",IF(AND($E1504="수입",$J1504&gt;0),"수입 과목인데 지출에 적혔습니다",IF(AND(LEFT($E1504,2)&lt;&gt;"수입",$E1504&lt;&gt;"대체",$I1504&gt;0),"지출 과목인데 수입에 적혔습니다",IF($K1504="","증빙을 고르십시오",IF(AND($C1504="바우처통장",$J1504&gt;0,IFERROR(INDEX('통합 ④ 설정'!$E$6:$E$40,MATCH($D1504,'통합 ④ 설정'!$B$6:$B$40,0)),"")&lt;&gt;"○"),"바우처통장 지출 — 목적 확인",IF($H1504="","적요를 적으십시오",""))))))))))))</f>
        <v/>
      </c>
      <c r="M1504" s="39"/>
      <c r="O1504" s="11" t="str">
        <f aca="false">IF($B1504="","",YEAR($B1504)*100+MONTH($B1504))</f>
        <v/>
      </c>
      <c r="P1504" s="11" t="str">
        <f aca="false">IF($B1504="","",IF($E1504="대체",0,1))</f>
        <v/>
      </c>
    </row>
    <row r="1505" customFormat="false" ht="15" hidden="false" customHeight="false" outlineLevel="0" collapsed="false">
      <c r="A1505" s="36" t="str">
        <f aca="false">IF($B1505="","",COUNT($B$15:$B1505))</f>
        <v/>
      </c>
      <c r="B1505" s="37"/>
      <c r="C1505" s="38"/>
      <c r="D1505" s="39"/>
      <c r="E1505" s="36" t="str">
        <f aca="false">IF($D1505="","",IFERROR(INDEX('통합 ④ 설정'!$A$6:$A$40,MATCH($D1505,'통합 ④ 설정'!$B$6:$B$40,0)),"※없는 과목"))</f>
        <v/>
      </c>
      <c r="F1505" s="36" t="str">
        <f aca="false">IF($D1505="","",IFERROR(INDEX('통합 ④ 설정'!$C$6:$C$40,MATCH($D1505,'통합 ④ 설정'!$B$6:$B$40,0)),""))</f>
        <v/>
      </c>
      <c r="G1505" s="39"/>
      <c r="H1505" s="39"/>
      <c r="I1505" s="40"/>
      <c r="J1505" s="41"/>
      <c r="K1505" s="38"/>
      <c r="L1505" s="42" t="str">
        <f aca="false">IF($B1505="","",IF(AND(N($I1505)=0,N($J1505)=0),"금액이 없습니다",IF(AND($I1505&gt;0,$J1505&gt;0),"수입·지출 둘 다 적혔습니다",IF($C1505="","결제수단을 고르십시오",IF(ISNA(MATCH($C1505,'통합 ③ 통장·카드'!$A$5:$A$11,0)),"③ 통장·카드에 없는 결제수단입니다",IF($D1505="","계정과목을 고르십시오",IF($E1505="※없는 과목","④ 설정에 없는 과목입니다",IF(AND($E1505="수입",$J1505&gt;0),"수입 과목인데 지출에 적혔습니다",IF(AND(LEFT($E1505,2)&lt;&gt;"수입",$E1505&lt;&gt;"대체",$I1505&gt;0),"지출 과목인데 수입에 적혔습니다",IF($K1505="","증빙을 고르십시오",IF(AND($C1505="바우처통장",$J1505&gt;0,IFERROR(INDEX('통합 ④ 설정'!$E$6:$E$40,MATCH($D1505,'통합 ④ 설정'!$B$6:$B$40,0)),"")&lt;&gt;"○"),"바우처통장 지출 — 목적 확인",IF($H1505="","적요를 적으십시오",""))))))))))))</f>
        <v/>
      </c>
      <c r="M1505" s="39"/>
      <c r="O1505" s="11" t="str">
        <f aca="false">IF($B1505="","",YEAR($B1505)*100+MONTH($B1505))</f>
        <v/>
      </c>
      <c r="P1505" s="11" t="str">
        <f aca="false">IF($B1505="","",IF($E1505="대체",0,1))</f>
        <v/>
      </c>
    </row>
    <row r="1506" customFormat="false" ht="15" hidden="false" customHeight="false" outlineLevel="0" collapsed="false">
      <c r="A1506" s="36" t="str">
        <f aca="false">IF($B1506="","",COUNT($B$15:$B1506))</f>
        <v/>
      </c>
      <c r="B1506" s="37"/>
      <c r="C1506" s="38"/>
      <c r="D1506" s="39"/>
      <c r="E1506" s="36" t="str">
        <f aca="false">IF($D1506="","",IFERROR(INDEX('통합 ④ 설정'!$A$6:$A$40,MATCH($D1506,'통합 ④ 설정'!$B$6:$B$40,0)),"※없는 과목"))</f>
        <v/>
      </c>
      <c r="F1506" s="36" t="str">
        <f aca="false">IF($D1506="","",IFERROR(INDEX('통합 ④ 설정'!$C$6:$C$40,MATCH($D1506,'통합 ④ 설정'!$B$6:$B$40,0)),""))</f>
        <v/>
      </c>
      <c r="G1506" s="39"/>
      <c r="H1506" s="39"/>
      <c r="I1506" s="40"/>
      <c r="J1506" s="41"/>
      <c r="K1506" s="38"/>
      <c r="L1506" s="42" t="str">
        <f aca="false">IF($B1506="","",IF(AND(N($I1506)=0,N($J1506)=0),"금액이 없습니다",IF(AND($I1506&gt;0,$J1506&gt;0),"수입·지출 둘 다 적혔습니다",IF($C1506="","결제수단을 고르십시오",IF(ISNA(MATCH($C1506,'통합 ③ 통장·카드'!$A$5:$A$11,0)),"③ 통장·카드에 없는 결제수단입니다",IF($D1506="","계정과목을 고르십시오",IF($E1506="※없는 과목","④ 설정에 없는 과목입니다",IF(AND($E1506="수입",$J1506&gt;0),"수입 과목인데 지출에 적혔습니다",IF(AND(LEFT($E1506,2)&lt;&gt;"수입",$E1506&lt;&gt;"대체",$I1506&gt;0),"지출 과목인데 수입에 적혔습니다",IF($K1506="","증빙을 고르십시오",IF(AND($C1506="바우처통장",$J1506&gt;0,IFERROR(INDEX('통합 ④ 설정'!$E$6:$E$40,MATCH($D1506,'통합 ④ 설정'!$B$6:$B$40,0)),"")&lt;&gt;"○"),"바우처통장 지출 — 목적 확인",IF($H1506="","적요를 적으십시오",""))))))))))))</f>
        <v/>
      </c>
      <c r="M1506" s="39"/>
      <c r="O1506" s="11" t="str">
        <f aca="false">IF($B1506="","",YEAR($B1506)*100+MONTH($B1506))</f>
        <v/>
      </c>
      <c r="P1506" s="11" t="str">
        <f aca="false">IF($B1506="","",IF($E1506="대체",0,1))</f>
        <v/>
      </c>
    </row>
    <row r="1507" customFormat="false" ht="15" hidden="false" customHeight="false" outlineLevel="0" collapsed="false">
      <c r="A1507" s="36" t="str">
        <f aca="false">IF($B1507="","",COUNT($B$15:$B1507))</f>
        <v/>
      </c>
      <c r="B1507" s="37"/>
      <c r="C1507" s="38"/>
      <c r="D1507" s="39"/>
      <c r="E1507" s="36" t="str">
        <f aca="false">IF($D1507="","",IFERROR(INDEX('통합 ④ 설정'!$A$6:$A$40,MATCH($D1507,'통합 ④ 설정'!$B$6:$B$40,0)),"※없는 과목"))</f>
        <v/>
      </c>
      <c r="F1507" s="36" t="str">
        <f aca="false">IF($D1507="","",IFERROR(INDEX('통합 ④ 설정'!$C$6:$C$40,MATCH($D1507,'통합 ④ 설정'!$B$6:$B$40,0)),""))</f>
        <v/>
      </c>
      <c r="G1507" s="39"/>
      <c r="H1507" s="39"/>
      <c r="I1507" s="40"/>
      <c r="J1507" s="41"/>
      <c r="K1507" s="38"/>
      <c r="L1507" s="42" t="str">
        <f aca="false">IF($B1507="","",IF(AND(N($I1507)=0,N($J1507)=0),"금액이 없습니다",IF(AND($I1507&gt;0,$J1507&gt;0),"수입·지출 둘 다 적혔습니다",IF($C1507="","결제수단을 고르십시오",IF(ISNA(MATCH($C1507,'통합 ③ 통장·카드'!$A$5:$A$11,0)),"③ 통장·카드에 없는 결제수단입니다",IF($D1507="","계정과목을 고르십시오",IF($E1507="※없는 과목","④ 설정에 없는 과목입니다",IF(AND($E1507="수입",$J1507&gt;0),"수입 과목인데 지출에 적혔습니다",IF(AND(LEFT($E1507,2)&lt;&gt;"수입",$E1507&lt;&gt;"대체",$I1507&gt;0),"지출 과목인데 수입에 적혔습니다",IF($K1507="","증빙을 고르십시오",IF(AND($C1507="바우처통장",$J1507&gt;0,IFERROR(INDEX('통합 ④ 설정'!$E$6:$E$40,MATCH($D1507,'통합 ④ 설정'!$B$6:$B$40,0)),"")&lt;&gt;"○"),"바우처통장 지출 — 목적 확인",IF($H1507="","적요를 적으십시오",""))))))))))))</f>
        <v/>
      </c>
      <c r="M1507" s="39"/>
      <c r="O1507" s="11" t="str">
        <f aca="false">IF($B1507="","",YEAR($B1507)*100+MONTH($B1507))</f>
        <v/>
      </c>
      <c r="P1507" s="11" t="str">
        <f aca="false">IF($B1507="","",IF($E1507="대체",0,1))</f>
        <v/>
      </c>
    </row>
    <row r="1508" customFormat="false" ht="15" hidden="false" customHeight="false" outlineLevel="0" collapsed="false">
      <c r="A1508" s="36" t="str">
        <f aca="false">IF($B1508="","",COUNT($B$15:$B1508))</f>
        <v/>
      </c>
      <c r="B1508" s="37"/>
      <c r="C1508" s="38"/>
      <c r="D1508" s="39"/>
      <c r="E1508" s="36" t="str">
        <f aca="false">IF($D1508="","",IFERROR(INDEX('통합 ④ 설정'!$A$6:$A$40,MATCH($D1508,'통합 ④ 설정'!$B$6:$B$40,0)),"※없는 과목"))</f>
        <v/>
      </c>
      <c r="F1508" s="36" t="str">
        <f aca="false">IF($D1508="","",IFERROR(INDEX('통합 ④ 설정'!$C$6:$C$40,MATCH($D1508,'통합 ④ 설정'!$B$6:$B$40,0)),""))</f>
        <v/>
      </c>
      <c r="G1508" s="39"/>
      <c r="H1508" s="39"/>
      <c r="I1508" s="40"/>
      <c r="J1508" s="41"/>
      <c r="K1508" s="38"/>
      <c r="L1508" s="42" t="str">
        <f aca="false">IF($B1508="","",IF(AND(N($I1508)=0,N($J1508)=0),"금액이 없습니다",IF(AND($I1508&gt;0,$J1508&gt;0),"수입·지출 둘 다 적혔습니다",IF($C1508="","결제수단을 고르십시오",IF(ISNA(MATCH($C1508,'통합 ③ 통장·카드'!$A$5:$A$11,0)),"③ 통장·카드에 없는 결제수단입니다",IF($D1508="","계정과목을 고르십시오",IF($E1508="※없는 과목","④ 설정에 없는 과목입니다",IF(AND($E1508="수입",$J1508&gt;0),"수입 과목인데 지출에 적혔습니다",IF(AND(LEFT($E1508,2)&lt;&gt;"수입",$E1508&lt;&gt;"대체",$I1508&gt;0),"지출 과목인데 수입에 적혔습니다",IF($K1508="","증빙을 고르십시오",IF(AND($C1508="바우처통장",$J1508&gt;0,IFERROR(INDEX('통합 ④ 설정'!$E$6:$E$40,MATCH($D1508,'통합 ④ 설정'!$B$6:$B$40,0)),"")&lt;&gt;"○"),"바우처통장 지출 — 목적 확인",IF($H1508="","적요를 적으십시오",""))))))))))))</f>
        <v/>
      </c>
      <c r="M1508" s="39"/>
      <c r="O1508" s="11" t="str">
        <f aca="false">IF($B1508="","",YEAR($B1508)*100+MONTH($B1508))</f>
        <v/>
      </c>
      <c r="P1508" s="11" t="str">
        <f aca="false">IF($B1508="","",IF($E1508="대체",0,1))</f>
        <v/>
      </c>
    </row>
    <row r="1509" customFormat="false" ht="15" hidden="false" customHeight="false" outlineLevel="0" collapsed="false">
      <c r="A1509" s="36" t="str">
        <f aca="false">IF($B1509="","",COUNT($B$15:$B1509))</f>
        <v/>
      </c>
      <c r="B1509" s="37"/>
      <c r="C1509" s="38"/>
      <c r="D1509" s="39"/>
      <c r="E1509" s="36" t="str">
        <f aca="false">IF($D1509="","",IFERROR(INDEX('통합 ④ 설정'!$A$6:$A$40,MATCH($D1509,'통합 ④ 설정'!$B$6:$B$40,0)),"※없는 과목"))</f>
        <v/>
      </c>
      <c r="F1509" s="36" t="str">
        <f aca="false">IF($D1509="","",IFERROR(INDEX('통합 ④ 설정'!$C$6:$C$40,MATCH($D1509,'통합 ④ 설정'!$B$6:$B$40,0)),""))</f>
        <v/>
      </c>
      <c r="G1509" s="39"/>
      <c r="H1509" s="39"/>
      <c r="I1509" s="40"/>
      <c r="J1509" s="41"/>
      <c r="K1509" s="38"/>
      <c r="L1509" s="42" t="str">
        <f aca="false">IF($B1509="","",IF(AND(N($I1509)=0,N($J1509)=0),"금액이 없습니다",IF(AND($I1509&gt;0,$J1509&gt;0),"수입·지출 둘 다 적혔습니다",IF($C1509="","결제수단을 고르십시오",IF(ISNA(MATCH($C1509,'통합 ③ 통장·카드'!$A$5:$A$11,0)),"③ 통장·카드에 없는 결제수단입니다",IF($D1509="","계정과목을 고르십시오",IF($E1509="※없는 과목","④ 설정에 없는 과목입니다",IF(AND($E1509="수입",$J1509&gt;0),"수입 과목인데 지출에 적혔습니다",IF(AND(LEFT($E1509,2)&lt;&gt;"수입",$E1509&lt;&gt;"대체",$I1509&gt;0),"지출 과목인데 수입에 적혔습니다",IF($K1509="","증빙을 고르십시오",IF(AND($C1509="바우처통장",$J1509&gt;0,IFERROR(INDEX('통합 ④ 설정'!$E$6:$E$40,MATCH($D1509,'통합 ④ 설정'!$B$6:$B$40,0)),"")&lt;&gt;"○"),"바우처통장 지출 — 목적 확인",IF($H1509="","적요를 적으십시오",""))))))))))))</f>
        <v/>
      </c>
      <c r="M1509" s="39"/>
      <c r="O1509" s="11" t="str">
        <f aca="false">IF($B1509="","",YEAR($B1509)*100+MONTH($B1509))</f>
        <v/>
      </c>
      <c r="P1509" s="11" t="str">
        <f aca="false">IF($B1509="","",IF($E1509="대체",0,1))</f>
        <v/>
      </c>
    </row>
    <row r="1510" customFormat="false" ht="15" hidden="false" customHeight="false" outlineLevel="0" collapsed="false">
      <c r="A1510" s="36" t="str">
        <f aca="false">IF($B1510="","",COUNT($B$15:$B1510))</f>
        <v/>
      </c>
      <c r="B1510" s="37"/>
      <c r="C1510" s="38"/>
      <c r="D1510" s="39"/>
      <c r="E1510" s="36" t="str">
        <f aca="false">IF($D1510="","",IFERROR(INDEX('통합 ④ 설정'!$A$6:$A$40,MATCH($D1510,'통합 ④ 설정'!$B$6:$B$40,0)),"※없는 과목"))</f>
        <v/>
      </c>
      <c r="F1510" s="36" t="str">
        <f aca="false">IF($D1510="","",IFERROR(INDEX('통합 ④ 설정'!$C$6:$C$40,MATCH($D1510,'통합 ④ 설정'!$B$6:$B$40,0)),""))</f>
        <v/>
      </c>
      <c r="G1510" s="39"/>
      <c r="H1510" s="39"/>
      <c r="I1510" s="40"/>
      <c r="J1510" s="41"/>
      <c r="K1510" s="38"/>
      <c r="L1510" s="42" t="str">
        <f aca="false">IF($B1510="","",IF(AND(N($I1510)=0,N($J1510)=0),"금액이 없습니다",IF(AND($I1510&gt;0,$J1510&gt;0),"수입·지출 둘 다 적혔습니다",IF($C1510="","결제수단을 고르십시오",IF(ISNA(MATCH($C1510,'통합 ③ 통장·카드'!$A$5:$A$11,0)),"③ 통장·카드에 없는 결제수단입니다",IF($D1510="","계정과목을 고르십시오",IF($E1510="※없는 과목","④ 설정에 없는 과목입니다",IF(AND($E1510="수입",$J1510&gt;0),"수입 과목인데 지출에 적혔습니다",IF(AND(LEFT($E1510,2)&lt;&gt;"수입",$E1510&lt;&gt;"대체",$I1510&gt;0),"지출 과목인데 수입에 적혔습니다",IF($K1510="","증빙을 고르십시오",IF(AND($C1510="바우처통장",$J1510&gt;0,IFERROR(INDEX('통합 ④ 설정'!$E$6:$E$40,MATCH($D1510,'통합 ④ 설정'!$B$6:$B$40,0)),"")&lt;&gt;"○"),"바우처통장 지출 — 목적 확인",IF($H1510="","적요를 적으십시오",""))))))))))))</f>
        <v/>
      </c>
      <c r="M1510" s="39"/>
      <c r="O1510" s="11" t="str">
        <f aca="false">IF($B1510="","",YEAR($B1510)*100+MONTH($B1510))</f>
        <v/>
      </c>
      <c r="P1510" s="11" t="str">
        <f aca="false">IF($B1510="","",IF($E1510="대체",0,1))</f>
        <v/>
      </c>
    </row>
    <row r="1511" customFormat="false" ht="15" hidden="false" customHeight="false" outlineLevel="0" collapsed="false">
      <c r="A1511" s="36" t="str">
        <f aca="false">IF($B1511="","",COUNT($B$15:$B1511))</f>
        <v/>
      </c>
      <c r="B1511" s="37"/>
      <c r="C1511" s="38"/>
      <c r="D1511" s="39"/>
      <c r="E1511" s="36" t="str">
        <f aca="false">IF($D1511="","",IFERROR(INDEX('통합 ④ 설정'!$A$6:$A$40,MATCH($D1511,'통합 ④ 설정'!$B$6:$B$40,0)),"※없는 과목"))</f>
        <v/>
      </c>
      <c r="F1511" s="36" t="str">
        <f aca="false">IF($D1511="","",IFERROR(INDEX('통합 ④ 설정'!$C$6:$C$40,MATCH($D1511,'통합 ④ 설정'!$B$6:$B$40,0)),""))</f>
        <v/>
      </c>
      <c r="G1511" s="39"/>
      <c r="H1511" s="39"/>
      <c r="I1511" s="40"/>
      <c r="J1511" s="41"/>
      <c r="K1511" s="38"/>
      <c r="L1511" s="42" t="str">
        <f aca="false">IF($B1511="","",IF(AND(N($I1511)=0,N($J1511)=0),"금액이 없습니다",IF(AND($I1511&gt;0,$J1511&gt;0),"수입·지출 둘 다 적혔습니다",IF($C1511="","결제수단을 고르십시오",IF(ISNA(MATCH($C1511,'통합 ③ 통장·카드'!$A$5:$A$11,0)),"③ 통장·카드에 없는 결제수단입니다",IF($D1511="","계정과목을 고르십시오",IF($E1511="※없는 과목","④ 설정에 없는 과목입니다",IF(AND($E1511="수입",$J1511&gt;0),"수입 과목인데 지출에 적혔습니다",IF(AND(LEFT($E1511,2)&lt;&gt;"수입",$E1511&lt;&gt;"대체",$I1511&gt;0),"지출 과목인데 수입에 적혔습니다",IF($K1511="","증빙을 고르십시오",IF(AND($C1511="바우처통장",$J1511&gt;0,IFERROR(INDEX('통합 ④ 설정'!$E$6:$E$40,MATCH($D1511,'통합 ④ 설정'!$B$6:$B$40,0)),"")&lt;&gt;"○"),"바우처통장 지출 — 목적 확인",IF($H1511="","적요를 적으십시오",""))))))))))))</f>
        <v/>
      </c>
      <c r="M1511" s="39"/>
      <c r="O1511" s="11" t="str">
        <f aca="false">IF($B1511="","",YEAR($B1511)*100+MONTH($B1511))</f>
        <v/>
      </c>
      <c r="P1511" s="11" t="str">
        <f aca="false">IF($B1511="","",IF($E1511="대체",0,1))</f>
        <v/>
      </c>
    </row>
    <row r="1512" customFormat="false" ht="15" hidden="false" customHeight="false" outlineLevel="0" collapsed="false">
      <c r="A1512" s="36" t="str">
        <f aca="false">IF($B1512="","",COUNT($B$15:$B1512))</f>
        <v/>
      </c>
      <c r="B1512" s="37"/>
      <c r="C1512" s="38"/>
      <c r="D1512" s="39"/>
      <c r="E1512" s="36" t="str">
        <f aca="false">IF($D1512="","",IFERROR(INDEX('통합 ④ 설정'!$A$6:$A$40,MATCH($D1512,'통합 ④ 설정'!$B$6:$B$40,0)),"※없는 과목"))</f>
        <v/>
      </c>
      <c r="F1512" s="36" t="str">
        <f aca="false">IF($D1512="","",IFERROR(INDEX('통합 ④ 설정'!$C$6:$C$40,MATCH($D1512,'통합 ④ 설정'!$B$6:$B$40,0)),""))</f>
        <v/>
      </c>
      <c r="G1512" s="39"/>
      <c r="H1512" s="39"/>
      <c r="I1512" s="40"/>
      <c r="J1512" s="41"/>
      <c r="K1512" s="38"/>
      <c r="L1512" s="42" t="str">
        <f aca="false">IF($B1512="","",IF(AND(N($I1512)=0,N($J1512)=0),"금액이 없습니다",IF(AND($I1512&gt;0,$J1512&gt;0),"수입·지출 둘 다 적혔습니다",IF($C1512="","결제수단을 고르십시오",IF(ISNA(MATCH($C1512,'통합 ③ 통장·카드'!$A$5:$A$11,0)),"③ 통장·카드에 없는 결제수단입니다",IF($D1512="","계정과목을 고르십시오",IF($E1512="※없는 과목","④ 설정에 없는 과목입니다",IF(AND($E1512="수입",$J1512&gt;0),"수입 과목인데 지출에 적혔습니다",IF(AND(LEFT($E1512,2)&lt;&gt;"수입",$E1512&lt;&gt;"대체",$I1512&gt;0),"지출 과목인데 수입에 적혔습니다",IF($K1512="","증빙을 고르십시오",IF(AND($C1512="바우처통장",$J1512&gt;0,IFERROR(INDEX('통합 ④ 설정'!$E$6:$E$40,MATCH($D1512,'통합 ④ 설정'!$B$6:$B$40,0)),"")&lt;&gt;"○"),"바우처통장 지출 — 목적 확인",IF($H1512="","적요를 적으십시오",""))))))))))))</f>
        <v/>
      </c>
      <c r="M1512" s="39"/>
      <c r="O1512" s="11" t="str">
        <f aca="false">IF($B1512="","",YEAR($B1512)*100+MONTH($B1512))</f>
        <v/>
      </c>
      <c r="P1512" s="11" t="str">
        <f aca="false">IF($B1512="","",IF($E1512="대체",0,1))</f>
        <v/>
      </c>
    </row>
    <row r="1513" customFormat="false" ht="15" hidden="false" customHeight="false" outlineLevel="0" collapsed="false">
      <c r="A1513" s="36" t="str">
        <f aca="false">IF($B1513="","",COUNT($B$15:$B1513))</f>
        <v/>
      </c>
      <c r="B1513" s="37"/>
      <c r="C1513" s="38"/>
      <c r="D1513" s="39"/>
      <c r="E1513" s="36" t="str">
        <f aca="false">IF($D1513="","",IFERROR(INDEX('통합 ④ 설정'!$A$6:$A$40,MATCH($D1513,'통합 ④ 설정'!$B$6:$B$40,0)),"※없는 과목"))</f>
        <v/>
      </c>
      <c r="F1513" s="36" t="str">
        <f aca="false">IF($D1513="","",IFERROR(INDEX('통합 ④ 설정'!$C$6:$C$40,MATCH($D1513,'통합 ④ 설정'!$B$6:$B$40,0)),""))</f>
        <v/>
      </c>
      <c r="G1513" s="39"/>
      <c r="H1513" s="39"/>
      <c r="I1513" s="40"/>
      <c r="J1513" s="41"/>
      <c r="K1513" s="38"/>
      <c r="L1513" s="42" t="str">
        <f aca="false">IF($B1513="","",IF(AND(N($I1513)=0,N($J1513)=0),"금액이 없습니다",IF(AND($I1513&gt;0,$J1513&gt;0),"수입·지출 둘 다 적혔습니다",IF($C1513="","결제수단을 고르십시오",IF(ISNA(MATCH($C1513,'통합 ③ 통장·카드'!$A$5:$A$11,0)),"③ 통장·카드에 없는 결제수단입니다",IF($D1513="","계정과목을 고르십시오",IF($E1513="※없는 과목","④ 설정에 없는 과목입니다",IF(AND($E1513="수입",$J1513&gt;0),"수입 과목인데 지출에 적혔습니다",IF(AND(LEFT($E1513,2)&lt;&gt;"수입",$E1513&lt;&gt;"대체",$I1513&gt;0),"지출 과목인데 수입에 적혔습니다",IF($K1513="","증빙을 고르십시오",IF(AND($C1513="바우처통장",$J1513&gt;0,IFERROR(INDEX('통합 ④ 설정'!$E$6:$E$40,MATCH($D1513,'통합 ④ 설정'!$B$6:$B$40,0)),"")&lt;&gt;"○"),"바우처통장 지출 — 목적 확인",IF($H1513="","적요를 적으십시오",""))))))))))))</f>
        <v/>
      </c>
      <c r="M1513" s="39"/>
      <c r="O1513" s="11" t="str">
        <f aca="false">IF($B1513="","",YEAR($B1513)*100+MONTH($B1513))</f>
        <v/>
      </c>
      <c r="P1513" s="11" t="str">
        <f aca="false">IF($B1513="","",IF($E1513="대체",0,1))</f>
        <v/>
      </c>
    </row>
    <row r="1514" customFormat="false" ht="15" hidden="false" customHeight="false" outlineLevel="0" collapsed="false">
      <c r="A1514" s="36" t="str">
        <f aca="false">IF($B1514="","",COUNT($B$15:$B1514))</f>
        <v/>
      </c>
      <c r="B1514" s="37"/>
      <c r="C1514" s="38"/>
      <c r="D1514" s="39"/>
      <c r="E1514" s="36" t="str">
        <f aca="false">IF($D1514="","",IFERROR(INDEX('통합 ④ 설정'!$A$6:$A$40,MATCH($D1514,'통합 ④ 설정'!$B$6:$B$40,0)),"※없는 과목"))</f>
        <v/>
      </c>
      <c r="F1514" s="36" t="str">
        <f aca="false">IF($D1514="","",IFERROR(INDEX('통합 ④ 설정'!$C$6:$C$40,MATCH($D1514,'통합 ④ 설정'!$B$6:$B$40,0)),""))</f>
        <v/>
      </c>
      <c r="G1514" s="39"/>
      <c r="H1514" s="39"/>
      <c r="I1514" s="40"/>
      <c r="J1514" s="41"/>
      <c r="K1514" s="38"/>
      <c r="L1514" s="42" t="str">
        <f aca="false">IF($B1514="","",IF(AND(N($I1514)=0,N($J1514)=0),"금액이 없습니다",IF(AND($I1514&gt;0,$J1514&gt;0),"수입·지출 둘 다 적혔습니다",IF($C1514="","결제수단을 고르십시오",IF(ISNA(MATCH($C1514,'통합 ③ 통장·카드'!$A$5:$A$11,0)),"③ 통장·카드에 없는 결제수단입니다",IF($D1514="","계정과목을 고르십시오",IF($E1514="※없는 과목","④ 설정에 없는 과목입니다",IF(AND($E1514="수입",$J1514&gt;0),"수입 과목인데 지출에 적혔습니다",IF(AND(LEFT($E1514,2)&lt;&gt;"수입",$E1514&lt;&gt;"대체",$I1514&gt;0),"지출 과목인데 수입에 적혔습니다",IF($K1514="","증빙을 고르십시오",IF(AND($C1514="바우처통장",$J1514&gt;0,IFERROR(INDEX('통합 ④ 설정'!$E$6:$E$40,MATCH($D1514,'통합 ④ 설정'!$B$6:$B$40,0)),"")&lt;&gt;"○"),"바우처통장 지출 — 목적 확인",IF($H1514="","적요를 적으십시오",""))))))))))))</f>
        <v/>
      </c>
      <c r="M1514" s="39"/>
      <c r="O1514" s="11" t="str">
        <f aca="false">IF($B1514="","",YEAR($B1514)*100+MONTH($B1514))</f>
        <v/>
      </c>
      <c r="P1514" s="11" t="str">
        <f aca="false">IF($B1514="","",IF($E1514="대체",0,1))</f>
        <v/>
      </c>
    </row>
    <row r="1515" customFormat="false" ht="15" hidden="false" customHeight="false" outlineLevel="0" collapsed="false">
      <c r="A1515" s="36" t="str">
        <f aca="false">IF($B1515="","",COUNT($B$15:$B1515))</f>
        <v/>
      </c>
      <c r="B1515" s="37"/>
      <c r="C1515" s="38"/>
      <c r="D1515" s="39"/>
      <c r="E1515" s="36" t="str">
        <f aca="false">IF($D1515="","",IFERROR(INDEX('통합 ④ 설정'!$A$6:$A$40,MATCH($D1515,'통합 ④ 설정'!$B$6:$B$40,0)),"※없는 과목"))</f>
        <v/>
      </c>
      <c r="F1515" s="36" t="str">
        <f aca="false">IF($D1515="","",IFERROR(INDEX('통합 ④ 설정'!$C$6:$C$40,MATCH($D1515,'통합 ④ 설정'!$B$6:$B$40,0)),""))</f>
        <v/>
      </c>
      <c r="G1515" s="39"/>
      <c r="H1515" s="39"/>
      <c r="I1515" s="40"/>
      <c r="J1515" s="41"/>
      <c r="K1515" s="38"/>
      <c r="L1515" s="42" t="str">
        <f aca="false">IF($B1515="","",IF(AND(N($I1515)=0,N($J1515)=0),"금액이 없습니다",IF(AND($I1515&gt;0,$J1515&gt;0),"수입·지출 둘 다 적혔습니다",IF($C1515="","결제수단을 고르십시오",IF(ISNA(MATCH($C1515,'통합 ③ 통장·카드'!$A$5:$A$11,0)),"③ 통장·카드에 없는 결제수단입니다",IF($D1515="","계정과목을 고르십시오",IF($E1515="※없는 과목","④ 설정에 없는 과목입니다",IF(AND($E1515="수입",$J1515&gt;0),"수입 과목인데 지출에 적혔습니다",IF(AND(LEFT($E1515,2)&lt;&gt;"수입",$E1515&lt;&gt;"대체",$I1515&gt;0),"지출 과목인데 수입에 적혔습니다",IF($K1515="","증빙을 고르십시오",IF(AND($C1515="바우처통장",$J1515&gt;0,IFERROR(INDEX('통합 ④ 설정'!$E$6:$E$40,MATCH($D1515,'통합 ④ 설정'!$B$6:$B$40,0)),"")&lt;&gt;"○"),"바우처통장 지출 — 목적 확인",IF($H1515="","적요를 적으십시오",""))))))))))))</f>
        <v/>
      </c>
      <c r="M1515" s="39"/>
      <c r="O1515" s="11" t="str">
        <f aca="false">IF($B1515="","",YEAR($B1515)*100+MONTH($B1515))</f>
        <v/>
      </c>
      <c r="P1515" s="11" t="str">
        <f aca="false">IF($B1515="","",IF($E1515="대체",0,1))</f>
        <v/>
      </c>
    </row>
    <row r="1516" customFormat="false" ht="15" hidden="false" customHeight="false" outlineLevel="0" collapsed="false">
      <c r="A1516" s="36" t="str">
        <f aca="false">IF($B1516="","",COUNT($B$15:$B1516))</f>
        <v/>
      </c>
      <c r="B1516" s="37"/>
      <c r="C1516" s="38"/>
      <c r="D1516" s="39"/>
      <c r="E1516" s="36" t="str">
        <f aca="false">IF($D1516="","",IFERROR(INDEX('통합 ④ 설정'!$A$6:$A$40,MATCH($D1516,'통합 ④ 설정'!$B$6:$B$40,0)),"※없는 과목"))</f>
        <v/>
      </c>
      <c r="F1516" s="36" t="str">
        <f aca="false">IF($D1516="","",IFERROR(INDEX('통합 ④ 설정'!$C$6:$C$40,MATCH($D1516,'통합 ④ 설정'!$B$6:$B$40,0)),""))</f>
        <v/>
      </c>
      <c r="G1516" s="39"/>
      <c r="H1516" s="39"/>
      <c r="I1516" s="40"/>
      <c r="J1516" s="41"/>
      <c r="K1516" s="38"/>
      <c r="L1516" s="42" t="str">
        <f aca="false">IF($B1516="","",IF(AND(N($I1516)=0,N($J1516)=0),"금액이 없습니다",IF(AND($I1516&gt;0,$J1516&gt;0),"수입·지출 둘 다 적혔습니다",IF($C1516="","결제수단을 고르십시오",IF(ISNA(MATCH($C1516,'통합 ③ 통장·카드'!$A$5:$A$11,0)),"③ 통장·카드에 없는 결제수단입니다",IF($D1516="","계정과목을 고르십시오",IF($E1516="※없는 과목","④ 설정에 없는 과목입니다",IF(AND($E1516="수입",$J1516&gt;0),"수입 과목인데 지출에 적혔습니다",IF(AND(LEFT($E1516,2)&lt;&gt;"수입",$E1516&lt;&gt;"대체",$I1516&gt;0),"지출 과목인데 수입에 적혔습니다",IF($K1516="","증빙을 고르십시오",IF(AND($C1516="바우처통장",$J1516&gt;0,IFERROR(INDEX('통합 ④ 설정'!$E$6:$E$40,MATCH($D1516,'통합 ④ 설정'!$B$6:$B$40,0)),"")&lt;&gt;"○"),"바우처통장 지출 — 목적 확인",IF($H1516="","적요를 적으십시오",""))))))))))))</f>
        <v/>
      </c>
      <c r="M1516" s="39"/>
      <c r="O1516" s="11" t="str">
        <f aca="false">IF($B1516="","",YEAR($B1516)*100+MONTH($B1516))</f>
        <v/>
      </c>
      <c r="P1516" s="11" t="str">
        <f aca="false">IF($B1516="","",IF($E1516="대체",0,1))</f>
        <v/>
      </c>
    </row>
    <row r="1517" customFormat="false" ht="15" hidden="false" customHeight="false" outlineLevel="0" collapsed="false">
      <c r="A1517" s="36" t="str">
        <f aca="false">IF($B1517="","",COUNT($B$15:$B1517))</f>
        <v/>
      </c>
      <c r="B1517" s="37"/>
      <c r="C1517" s="38"/>
      <c r="D1517" s="39"/>
      <c r="E1517" s="36" t="str">
        <f aca="false">IF($D1517="","",IFERROR(INDEX('통합 ④ 설정'!$A$6:$A$40,MATCH($D1517,'통합 ④ 설정'!$B$6:$B$40,0)),"※없는 과목"))</f>
        <v/>
      </c>
      <c r="F1517" s="36" t="str">
        <f aca="false">IF($D1517="","",IFERROR(INDEX('통합 ④ 설정'!$C$6:$C$40,MATCH($D1517,'통합 ④ 설정'!$B$6:$B$40,0)),""))</f>
        <v/>
      </c>
      <c r="G1517" s="39"/>
      <c r="H1517" s="39"/>
      <c r="I1517" s="40"/>
      <c r="J1517" s="41"/>
      <c r="K1517" s="38"/>
      <c r="L1517" s="42" t="str">
        <f aca="false">IF($B1517="","",IF(AND(N($I1517)=0,N($J1517)=0),"금액이 없습니다",IF(AND($I1517&gt;0,$J1517&gt;0),"수입·지출 둘 다 적혔습니다",IF($C1517="","결제수단을 고르십시오",IF(ISNA(MATCH($C1517,'통합 ③ 통장·카드'!$A$5:$A$11,0)),"③ 통장·카드에 없는 결제수단입니다",IF($D1517="","계정과목을 고르십시오",IF($E1517="※없는 과목","④ 설정에 없는 과목입니다",IF(AND($E1517="수입",$J1517&gt;0),"수입 과목인데 지출에 적혔습니다",IF(AND(LEFT($E1517,2)&lt;&gt;"수입",$E1517&lt;&gt;"대체",$I1517&gt;0),"지출 과목인데 수입에 적혔습니다",IF($K1517="","증빙을 고르십시오",IF(AND($C1517="바우처통장",$J1517&gt;0,IFERROR(INDEX('통합 ④ 설정'!$E$6:$E$40,MATCH($D1517,'통합 ④ 설정'!$B$6:$B$40,0)),"")&lt;&gt;"○"),"바우처통장 지출 — 목적 확인",IF($H1517="","적요를 적으십시오",""))))))))))))</f>
        <v/>
      </c>
      <c r="M1517" s="39"/>
      <c r="O1517" s="11" t="str">
        <f aca="false">IF($B1517="","",YEAR($B1517)*100+MONTH($B1517))</f>
        <v/>
      </c>
      <c r="P1517" s="11" t="str">
        <f aca="false">IF($B1517="","",IF($E1517="대체",0,1))</f>
        <v/>
      </c>
    </row>
    <row r="1518" customFormat="false" ht="15" hidden="false" customHeight="false" outlineLevel="0" collapsed="false">
      <c r="A1518" s="36" t="str">
        <f aca="false">IF($B1518="","",COUNT($B$15:$B1518))</f>
        <v/>
      </c>
      <c r="B1518" s="37"/>
      <c r="C1518" s="38"/>
      <c r="D1518" s="39"/>
      <c r="E1518" s="36" t="str">
        <f aca="false">IF($D1518="","",IFERROR(INDEX('통합 ④ 설정'!$A$6:$A$40,MATCH($D1518,'통합 ④ 설정'!$B$6:$B$40,0)),"※없는 과목"))</f>
        <v/>
      </c>
      <c r="F1518" s="36" t="str">
        <f aca="false">IF($D1518="","",IFERROR(INDEX('통합 ④ 설정'!$C$6:$C$40,MATCH($D1518,'통합 ④ 설정'!$B$6:$B$40,0)),""))</f>
        <v/>
      </c>
      <c r="G1518" s="39"/>
      <c r="H1518" s="39"/>
      <c r="I1518" s="40"/>
      <c r="J1518" s="41"/>
      <c r="K1518" s="38"/>
      <c r="L1518" s="42" t="str">
        <f aca="false">IF($B1518="","",IF(AND(N($I1518)=0,N($J1518)=0),"금액이 없습니다",IF(AND($I1518&gt;0,$J1518&gt;0),"수입·지출 둘 다 적혔습니다",IF($C1518="","결제수단을 고르십시오",IF(ISNA(MATCH($C1518,'통합 ③ 통장·카드'!$A$5:$A$11,0)),"③ 통장·카드에 없는 결제수단입니다",IF($D1518="","계정과목을 고르십시오",IF($E1518="※없는 과목","④ 설정에 없는 과목입니다",IF(AND($E1518="수입",$J1518&gt;0),"수입 과목인데 지출에 적혔습니다",IF(AND(LEFT($E1518,2)&lt;&gt;"수입",$E1518&lt;&gt;"대체",$I1518&gt;0),"지출 과목인데 수입에 적혔습니다",IF($K1518="","증빙을 고르십시오",IF(AND($C1518="바우처통장",$J1518&gt;0,IFERROR(INDEX('통합 ④ 설정'!$E$6:$E$40,MATCH($D1518,'통합 ④ 설정'!$B$6:$B$40,0)),"")&lt;&gt;"○"),"바우처통장 지출 — 목적 확인",IF($H1518="","적요를 적으십시오",""))))))))))))</f>
        <v/>
      </c>
      <c r="M1518" s="39"/>
      <c r="O1518" s="11" t="str">
        <f aca="false">IF($B1518="","",YEAR($B1518)*100+MONTH($B1518))</f>
        <v/>
      </c>
      <c r="P1518" s="11" t="str">
        <f aca="false">IF($B1518="","",IF($E1518="대체",0,1))</f>
        <v/>
      </c>
    </row>
    <row r="1519" customFormat="false" ht="15" hidden="false" customHeight="false" outlineLevel="0" collapsed="false">
      <c r="A1519" s="36" t="str">
        <f aca="false">IF($B1519="","",COUNT($B$15:$B1519))</f>
        <v/>
      </c>
      <c r="B1519" s="37"/>
      <c r="C1519" s="38"/>
      <c r="D1519" s="39"/>
      <c r="E1519" s="36" t="str">
        <f aca="false">IF($D1519="","",IFERROR(INDEX('통합 ④ 설정'!$A$6:$A$40,MATCH($D1519,'통합 ④ 설정'!$B$6:$B$40,0)),"※없는 과목"))</f>
        <v/>
      </c>
      <c r="F1519" s="36" t="str">
        <f aca="false">IF($D1519="","",IFERROR(INDEX('통합 ④ 설정'!$C$6:$C$40,MATCH($D1519,'통합 ④ 설정'!$B$6:$B$40,0)),""))</f>
        <v/>
      </c>
      <c r="G1519" s="39"/>
      <c r="H1519" s="39"/>
      <c r="I1519" s="40"/>
      <c r="J1519" s="41"/>
      <c r="K1519" s="38"/>
      <c r="L1519" s="42" t="str">
        <f aca="false">IF($B1519="","",IF(AND(N($I1519)=0,N($J1519)=0),"금액이 없습니다",IF(AND($I1519&gt;0,$J1519&gt;0),"수입·지출 둘 다 적혔습니다",IF($C1519="","결제수단을 고르십시오",IF(ISNA(MATCH($C1519,'통합 ③ 통장·카드'!$A$5:$A$11,0)),"③ 통장·카드에 없는 결제수단입니다",IF($D1519="","계정과목을 고르십시오",IF($E1519="※없는 과목","④ 설정에 없는 과목입니다",IF(AND($E1519="수입",$J1519&gt;0),"수입 과목인데 지출에 적혔습니다",IF(AND(LEFT($E1519,2)&lt;&gt;"수입",$E1519&lt;&gt;"대체",$I1519&gt;0),"지출 과목인데 수입에 적혔습니다",IF($K1519="","증빙을 고르십시오",IF(AND($C1519="바우처통장",$J1519&gt;0,IFERROR(INDEX('통합 ④ 설정'!$E$6:$E$40,MATCH($D1519,'통합 ④ 설정'!$B$6:$B$40,0)),"")&lt;&gt;"○"),"바우처통장 지출 — 목적 확인",IF($H1519="","적요를 적으십시오",""))))))))))))</f>
        <v/>
      </c>
      <c r="M1519" s="39"/>
      <c r="O1519" s="11" t="str">
        <f aca="false">IF($B1519="","",YEAR($B1519)*100+MONTH($B1519))</f>
        <v/>
      </c>
      <c r="P1519" s="11" t="str">
        <f aca="false">IF($B1519="","",IF($E1519="대체",0,1))</f>
        <v/>
      </c>
    </row>
    <row r="1520" customFormat="false" ht="15" hidden="false" customHeight="false" outlineLevel="0" collapsed="false">
      <c r="A1520" s="36" t="str">
        <f aca="false">IF($B1520="","",COUNT($B$15:$B1520))</f>
        <v/>
      </c>
      <c r="B1520" s="37"/>
      <c r="C1520" s="38"/>
      <c r="D1520" s="39"/>
      <c r="E1520" s="36" t="str">
        <f aca="false">IF($D1520="","",IFERROR(INDEX('통합 ④ 설정'!$A$6:$A$40,MATCH($D1520,'통합 ④ 설정'!$B$6:$B$40,0)),"※없는 과목"))</f>
        <v/>
      </c>
      <c r="F1520" s="36" t="str">
        <f aca="false">IF($D1520="","",IFERROR(INDEX('통합 ④ 설정'!$C$6:$C$40,MATCH($D1520,'통합 ④ 설정'!$B$6:$B$40,0)),""))</f>
        <v/>
      </c>
      <c r="G1520" s="39"/>
      <c r="H1520" s="39"/>
      <c r="I1520" s="40"/>
      <c r="J1520" s="41"/>
      <c r="K1520" s="38"/>
      <c r="L1520" s="42" t="str">
        <f aca="false">IF($B1520="","",IF(AND(N($I1520)=0,N($J1520)=0),"금액이 없습니다",IF(AND($I1520&gt;0,$J1520&gt;0),"수입·지출 둘 다 적혔습니다",IF($C1520="","결제수단을 고르십시오",IF(ISNA(MATCH($C1520,'통합 ③ 통장·카드'!$A$5:$A$11,0)),"③ 통장·카드에 없는 결제수단입니다",IF($D1520="","계정과목을 고르십시오",IF($E1520="※없는 과목","④ 설정에 없는 과목입니다",IF(AND($E1520="수입",$J1520&gt;0),"수입 과목인데 지출에 적혔습니다",IF(AND(LEFT($E1520,2)&lt;&gt;"수입",$E1520&lt;&gt;"대체",$I1520&gt;0),"지출 과목인데 수입에 적혔습니다",IF($K1520="","증빙을 고르십시오",IF(AND($C1520="바우처통장",$J1520&gt;0,IFERROR(INDEX('통합 ④ 설정'!$E$6:$E$40,MATCH($D1520,'통합 ④ 설정'!$B$6:$B$40,0)),"")&lt;&gt;"○"),"바우처통장 지출 — 목적 확인",IF($H1520="","적요를 적으십시오",""))))))))))))</f>
        <v/>
      </c>
      <c r="M1520" s="39"/>
      <c r="O1520" s="11" t="str">
        <f aca="false">IF($B1520="","",YEAR($B1520)*100+MONTH($B1520))</f>
        <v/>
      </c>
      <c r="P1520" s="11" t="str">
        <f aca="false">IF($B1520="","",IF($E1520="대체",0,1))</f>
        <v/>
      </c>
    </row>
    <row r="1521" customFormat="false" ht="15" hidden="false" customHeight="false" outlineLevel="0" collapsed="false">
      <c r="A1521" s="36" t="str">
        <f aca="false">IF($B1521="","",COUNT($B$15:$B1521))</f>
        <v/>
      </c>
      <c r="B1521" s="37"/>
      <c r="C1521" s="38"/>
      <c r="D1521" s="39"/>
      <c r="E1521" s="36" t="str">
        <f aca="false">IF($D1521="","",IFERROR(INDEX('통합 ④ 설정'!$A$6:$A$40,MATCH($D1521,'통합 ④ 설정'!$B$6:$B$40,0)),"※없는 과목"))</f>
        <v/>
      </c>
      <c r="F1521" s="36" t="str">
        <f aca="false">IF($D1521="","",IFERROR(INDEX('통합 ④ 설정'!$C$6:$C$40,MATCH($D1521,'통합 ④ 설정'!$B$6:$B$40,0)),""))</f>
        <v/>
      </c>
      <c r="G1521" s="39"/>
      <c r="H1521" s="39"/>
      <c r="I1521" s="40"/>
      <c r="J1521" s="41"/>
      <c r="K1521" s="38"/>
      <c r="L1521" s="42" t="str">
        <f aca="false">IF($B1521="","",IF(AND(N($I1521)=0,N($J1521)=0),"금액이 없습니다",IF(AND($I1521&gt;0,$J1521&gt;0),"수입·지출 둘 다 적혔습니다",IF($C1521="","결제수단을 고르십시오",IF(ISNA(MATCH($C1521,'통합 ③ 통장·카드'!$A$5:$A$11,0)),"③ 통장·카드에 없는 결제수단입니다",IF($D1521="","계정과목을 고르십시오",IF($E1521="※없는 과목","④ 설정에 없는 과목입니다",IF(AND($E1521="수입",$J1521&gt;0),"수입 과목인데 지출에 적혔습니다",IF(AND(LEFT($E1521,2)&lt;&gt;"수입",$E1521&lt;&gt;"대체",$I1521&gt;0),"지출 과목인데 수입에 적혔습니다",IF($K1521="","증빙을 고르십시오",IF(AND($C1521="바우처통장",$J1521&gt;0,IFERROR(INDEX('통합 ④ 설정'!$E$6:$E$40,MATCH($D1521,'통합 ④ 설정'!$B$6:$B$40,0)),"")&lt;&gt;"○"),"바우처통장 지출 — 목적 확인",IF($H1521="","적요를 적으십시오",""))))))))))))</f>
        <v/>
      </c>
      <c r="M1521" s="39"/>
      <c r="O1521" s="11" t="str">
        <f aca="false">IF($B1521="","",YEAR($B1521)*100+MONTH($B1521))</f>
        <v/>
      </c>
      <c r="P1521" s="11" t="str">
        <f aca="false">IF($B1521="","",IF($E1521="대체",0,1))</f>
        <v/>
      </c>
    </row>
    <row r="1522" customFormat="false" ht="15" hidden="false" customHeight="false" outlineLevel="0" collapsed="false">
      <c r="A1522" s="36" t="str">
        <f aca="false">IF($B1522="","",COUNT($B$15:$B1522))</f>
        <v/>
      </c>
      <c r="B1522" s="37"/>
      <c r="C1522" s="38"/>
      <c r="D1522" s="39"/>
      <c r="E1522" s="36" t="str">
        <f aca="false">IF($D1522="","",IFERROR(INDEX('통합 ④ 설정'!$A$6:$A$40,MATCH($D1522,'통합 ④ 설정'!$B$6:$B$40,0)),"※없는 과목"))</f>
        <v/>
      </c>
      <c r="F1522" s="36" t="str">
        <f aca="false">IF($D1522="","",IFERROR(INDEX('통합 ④ 설정'!$C$6:$C$40,MATCH($D1522,'통합 ④ 설정'!$B$6:$B$40,0)),""))</f>
        <v/>
      </c>
      <c r="G1522" s="39"/>
      <c r="H1522" s="39"/>
      <c r="I1522" s="40"/>
      <c r="J1522" s="41"/>
      <c r="K1522" s="38"/>
      <c r="L1522" s="42" t="str">
        <f aca="false">IF($B1522="","",IF(AND(N($I1522)=0,N($J1522)=0),"금액이 없습니다",IF(AND($I1522&gt;0,$J1522&gt;0),"수입·지출 둘 다 적혔습니다",IF($C1522="","결제수단을 고르십시오",IF(ISNA(MATCH($C1522,'통합 ③ 통장·카드'!$A$5:$A$11,0)),"③ 통장·카드에 없는 결제수단입니다",IF($D1522="","계정과목을 고르십시오",IF($E1522="※없는 과목","④ 설정에 없는 과목입니다",IF(AND($E1522="수입",$J1522&gt;0),"수입 과목인데 지출에 적혔습니다",IF(AND(LEFT($E1522,2)&lt;&gt;"수입",$E1522&lt;&gt;"대체",$I1522&gt;0),"지출 과목인데 수입에 적혔습니다",IF($K1522="","증빙을 고르십시오",IF(AND($C1522="바우처통장",$J1522&gt;0,IFERROR(INDEX('통합 ④ 설정'!$E$6:$E$40,MATCH($D1522,'통합 ④ 설정'!$B$6:$B$40,0)),"")&lt;&gt;"○"),"바우처통장 지출 — 목적 확인",IF($H1522="","적요를 적으십시오",""))))))))))))</f>
        <v/>
      </c>
      <c r="M1522" s="39"/>
      <c r="O1522" s="11" t="str">
        <f aca="false">IF($B1522="","",YEAR($B1522)*100+MONTH($B1522))</f>
        <v/>
      </c>
      <c r="P1522" s="11" t="str">
        <f aca="false">IF($B1522="","",IF($E1522="대체",0,1))</f>
        <v/>
      </c>
    </row>
    <row r="1523" customFormat="false" ht="15" hidden="false" customHeight="false" outlineLevel="0" collapsed="false">
      <c r="A1523" s="36" t="str">
        <f aca="false">IF($B1523="","",COUNT($B$15:$B1523))</f>
        <v/>
      </c>
      <c r="B1523" s="37"/>
      <c r="C1523" s="38"/>
      <c r="D1523" s="39"/>
      <c r="E1523" s="36" t="str">
        <f aca="false">IF($D1523="","",IFERROR(INDEX('통합 ④ 설정'!$A$6:$A$40,MATCH($D1523,'통합 ④ 설정'!$B$6:$B$40,0)),"※없는 과목"))</f>
        <v/>
      </c>
      <c r="F1523" s="36" t="str">
        <f aca="false">IF($D1523="","",IFERROR(INDEX('통합 ④ 설정'!$C$6:$C$40,MATCH($D1523,'통합 ④ 설정'!$B$6:$B$40,0)),""))</f>
        <v/>
      </c>
      <c r="G1523" s="39"/>
      <c r="H1523" s="39"/>
      <c r="I1523" s="40"/>
      <c r="J1523" s="41"/>
      <c r="K1523" s="38"/>
      <c r="L1523" s="42" t="str">
        <f aca="false">IF($B1523="","",IF(AND(N($I1523)=0,N($J1523)=0),"금액이 없습니다",IF(AND($I1523&gt;0,$J1523&gt;0),"수입·지출 둘 다 적혔습니다",IF($C1523="","결제수단을 고르십시오",IF(ISNA(MATCH($C1523,'통합 ③ 통장·카드'!$A$5:$A$11,0)),"③ 통장·카드에 없는 결제수단입니다",IF($D1523="","계정과목을 고르십시오",IF($E1523="※없는 과목","④ 설정에 없는 과목입니다",IF(AND($E1523="수입",$J1523&gt;0),"수입 과목인데 지출에 적혔습니다",IF(AND(LEFT($E1523,2)&lt;&gt;"수입",$E1523&lt;&gt;"대체",$I1523&gt;0),"지출 과목인데 수입에 적혔습니다",IF($K1523="","증빙을 고르십시오",IF(AND($C1523="바우처통장",$J1523&gt;0,IFERROR(INDEX('통합 ④ 설정'!$E$6:$E$40,MATCH($D1523,'통합 ④ 설정'!$B$6:$B$40,0)),"")&lt;&gt;"○"),"바우처통장 지출 — 목적 확인",IF($H1523="","적요를 적으십시오",""))))))))))))</f>
        <v/>
      </c>
      <c r="M1523" s="39"/>
      <c r="O1523" s="11" t="str">
        <f aca="false">IF($B1523="","",YEAR($B1523)*100+MONTH($B1523))</f>
        <v/>
      </c>
      <c r="P1523" s="11" t="str">
        <f aca="false">IF($B1523="","",IF($E1523="대체",0,1))</f>
        <v/>
      </c>
    </row>
    <row r="1524" customFormat="false" ht="15" hidden="false" customHeight="false" outlineLevel="0" collapsed="false">
      <c r="A1524" s="36" t="str">
        <f aca="false">IF($B1524="","",COUNT($B$15:$B1524))</f>
        <v/>
      </c>
      <c r="B1524" s="37"/>
      <c r="C1524" s="38"/>
      <c r="D1524" s="39"/>
      <c r="E1524" s="36" t="str">
        <f aca="false">IF($D1524="","",IFERROR(INDEX('통합 ④ 설정'!$A$6:$A$40,MATCH($D1524,'통합 ④ 설정'!$B$6:$B$40,0)),"※없는 과목"))</f>
        <v/>
      </c>
      <c r="F1524" s="36" t="str">
        <f aca="false">IF($D1524="","",IFERROR(INDEX('통합 ④ 설정'!$C$6:$C$40,MATCH($D1524,'통합 ④ 설정'!$B$6:$B$40,0)),""))</f>
        <v/>
      </c>
      <c r="G1524" s="39"/>
      <c r="H1524" s="39"/>
      <c r="I1524" s="40"/>
      <c r="J1524" s="41"/>
      <c r="K1524" s="38"/>
      <c r="L1524" s="42" t="str">
        <f aca="false">IF($B1524="","",IF(AND(N($I1524)=0,N($J1524)=0),"금액이 없습니다",IF(AND($I1524&gt;0,$J1524&gt;0),"수입·지출 둘 다 적혔습니다",IF($C1524="","결제수단을 고르십시오",IF(ISNA(MATCH($C1524,'통합 ③ 통장·카드'!$A$5:$A$11,0)),"③ 통장·카드에 없는 결제수단입니다",IF($D1524="","계정과목을 고르십시오",IF($E1524="※없는 과목","④ 설정에 없는 과목입니다",IF(AND($E1524="수입",$J1524&gt;0),"수입 과목인데 지출에 적혔습니다",IF(AND(LEFT($E1524,2)&lt;&gt;"수입",$E1524&lt;&gt;"대체",$I1524&gt;0),"지출 과목인데 수입에 적혔습니다",IF($K1524="","증빙을 고르십시오",IF(AND($C1524="바우처통장",$J1524&gt;0,IFERROR(INDEX('통합 ④ 설정'!$E$6:$E$40,MATCH($D1524,'통합 ④ 설정'!$B$6:$B$40,0)),"")&lt;&gt;"○"),"바우처통장 지출 — 목적 확인",IF($H1524="","적요를 적으십시오",""))))))))))))</f>
        <v/>
      </c>
      <c r="M1524" s="39"/>
      <c r="O1524" s="11" t="str">
        <f aca="false">IF($B1524="","",YEAR($B1524)*100+MONTH($B1524))</f>
        <v/>
      </c>
      <c r="P1524" s="11" t="str">
        <f aca="false">IF($B1524="","",IF($E1524="대체",0,1))</f>
        <v/>
      </c>
    </row>
    <row r="1525" customFormat="false" ht="15" hidden="false" customHeight="false" outlineLevel="0" collapsed="false">
      <c r="A1525" s="36" t="str">
        <f aca="false">IF($B1525="","",COUNT($B$15:$B1525))</f>
        <v/>
      </c>
      <c r="B1525" s="37"/>
      <c r="C1525" s="38"/>
      <c r="D1525" s="39"/>
      <c r="E1525" s="36" t="str">
        <f aca="false">IF($D1525="","",IFERROR(INDEX('통합 ④ 설정'!$A$6:$A$40,MATCH($D1525,'통합 ④ 설정'!$B$6:$B$40,0)),"※없는 과목"))</f>
        <v/>
      </c>
      <c r="F1525" s="36" t="str">
        <f aca="false">IF($D1525="","",IFERROR(INDEX('통합 ④ 설정'!$C$6:$C$40,MATCH($D1525,'통합 ④ 설정'!$B$6:$B$40,0)),""))</f>
        <v/>
      </c>
      <c r="G1525" s="39"/>
      <c r="H1525" s="39"/>
      <c r="I1525" s="40"/>
      <c r="J1525" s="41"/>
      <c r="K1525" s="38"/>
      <c r="L1525" s="42" t="str">
        <f aca="false">IF($B1525="","",IF(AND(N($I1525)=0,N($J1525)=0),"금액이 없습니다",IF(AND($I1525&gt;0,$J1525&gt;0),"수입·지출 둘 다 적혔습니다",IF($C1525="","결제수단을 고르십시오",IF(ISNA(MATCH($C1525,'통합 ③ 통장·카드'!$A$5:$A$11,0)),"③ 통장·카드에 없는 결제수단입니다",IF($D1525="","계정과목을 고르십시오",IF($E1525="※없는 과목","④ 설정에 없는 과목입니다",IF(AND($E1525="수입",$J1525&gt;0),"수입 과목인데 지출에 적혔습니다",IF(AND(LEFT($E1525,2)&lt;&gt;"수입",$E1525&lt;&gt;"대체",$I1525&gt;0),"지출 과목인데 수입에 적혔습니다",IF($K1525="","증빙을 고르십시오",IF(AND($C1525="바우처통장",$J1525&gt;0,IFERROR(INDEX('통합 ④ 설정'!$E$6:$E$40,MATCH($D1525,'통합 ④ 설정'!$B$6:$B$40,0)),"")&lt;&gt;"○"),"바우처통장 지출 — 목적 확인",IF($H1525="","적요를 적으십시오",""))))))))))))</f>
        <v/>
      </c>
      <c r="M1525" s="39"/>
      <c r="O1525" s="11" t="str">
        <f aca="false">IF($B1525="","",YEAR($B1525)*100+MONTH($B1525))</f>
        <v/>
      </c>
      <c r="P1525" s="11" t="str">
        <f aca="false">IF($B1525="","",IF($E1525="대체",0,1))</f>
        <v/>
      </c>
    </row>
    <row r="1526" customFormat="false" ht="15" hidden="false" customHeight="false" outlineLevel="0" collapsed="false">
      <c r="A1526" s="36" t="str">
        <f aca="false">IF($B1526="","",COUNT($B$15:$B1526))</f>
        <v/>
      </c>
      <c r="B1526" s="37"/>
      <c r="C1526" s="38"/>
      <c r="D1526" s="39"/>
      <c r="E1526" s="36" t="str">
        <f aca="false">IF($D1526="","",IFERROR(INDEX('통합 ④ 설정'!$A$6:$A$40,MATCH($D1526,'통합 ④ 설정'!$B$6:$B$40,0)),"※없는 과목"))</f>
        <v/>
      </c>
      <c r="F1526" s="36" t="str">
        <f aca="false">IF($D1526="","",IFERROR(INDEX('통합 ④ 설정'!$C$6:$C$40,MATCH($D1526,'통합 ④ 설정'!$B$6:$B$40,0)),""))</f>
        <v/>
      </c>
      <c r="G1526" s="39"/>
      <c r="H1526" s="39"/>
      <c r="I1526" s="40"/>
      <c r="J1526" s="41"/>
      <c r="K1526" s="38"/>
      <c r="L1526" s="42" t="str">
        <f aca="false">IF($B1526="","",IF(AND(N($I1526)=0,N($J1526)=0),"금액이 없습니다",IF(AND($I1526&gt;0,$J1526&gt;0),"수입·지출 둘 다 적혔습니다",IF($C1526="","결제수단을 고르십시오",IF(ISNA(MATCH($C1526,'통합 ③ 통장·카드'!$A$5:$A$11,0)),"③ 통장·카드에 없는 결제수단입니다",IF($D1526="","계정과목을 고르십시오",IF($E1526="※없는 과목","④ 설정에 없는 과목입니다",IF(AND($E1526="수입",$J1526&gt;0),"수입 과목인데 지출에 적혔습니다",IF(AND(LEFT($E1526,2)&lt;&gt;"수입",$E1526&lt;&gt;"대체",$I1526&gt;0),"지출 과목인데 수입에 적혔습니다",IF($K1526="","증빙을 고르십시오",IF(AND($C1526="바우처통장",$J1526&gt;0,IFERROR(INDEX('통합 ④ 설정'!$E$6:$E$40,MATCH($D1526,'통합 ④ 설정'!$B$6:$B$40,0)),"")&lt;&gt;"○"),"바우처통장 지출 — 목적 확인",IF($H1526="","적요를 적으십시오",""))))))))))))</f>
        <v/>
      </c>
      <c r="M1526" s="39"/>
      <c r="O1526" s="11" t="str">
        <f aca="false">IF($B1526="","",YEAR($B1526)*100+MONTH($B1526))</f>
        <v/>
      </c>
      <c r="P1526" s="11" t="str">
        <f aca="false">IF($B1526="","",IF($E1526="대체",0,1))</f>
        <v/>
      </c>
    </row>
    <row r="1527" customFormat="false" ht="15" hidden="false" customHeight="false" outlineLevel="0" collapsed="false">
      <c r="A1527" s="36" t="str">
        <f aca="false">IF($B1527="","",COUNT($B$15:$B1527))</f>
        <v/>
      </c>
      <c r="B1527" s="37"/>
      <c r="C1527" s="38"/>
      <c r="D1527" s="39"/>
      <c r="E1527" s="36" t="str">
        <f aca="false">IF($D1527="","",IFERROR(INDEX('통합 ④ 설정'!$A$6:$A$40,MATCH($D1527,'통합 ④ 설정'!$B$6:$B$40,0)),"※없는 과목"))</f>
        <v/>
      </c>
      <c r="F1527" s="36" t="str">
        <f aca="false">IF($D1527="","",IFERROR(INDEX('통합 ④ 설정'!$C$6:$C$40,MATCH($D1527,'통합 ④ 설정'!$B$6:$B$40,0)),""))</f>
        <v/>
      </c>
      <c r="G1527" s="39"/>
      <c r="H1527" s="39"/>
      <c r="I1527" s="40"/>
      <c r="J1527" s="41"/>
      <c r="K1527" s="38"/>
      <c r="L1527" s="42" t="str">
        <f aca="false">IF($B1527="","",IF(AND(N($I1527)=0,N($J1527)=0),"금액이 없습니다",IF(AND($I1527&gt;0,$J1527&gt;0),"수입·지출 둘 다 적혔습니다",IF($C1527="","결제수단을 고르십시오",IF(ISNA(MATCH($C1527,'통합 ③ 통장·카드'!$A$5:$A$11,0)),"③ 통장·카드에 없는 결제수단입니다",IF($D1527="","계정과목을 고르십시오",IF($E1527="※없는 과목","④ 설정에 없는 과목입니다",IF(AND($E1527="수입",$J1527&gt;0),"수입 과목인데 지출에 적혔습니다",IF(AND(LEFT($E1527,2)&lt;&gt;"수입",$E1527&lt;&gt;"대체",$I1527&gt;0),"지출 과목인데 수입에 적혔습니다",IF($K1527="","증빙을 고르십시오",IF(AND($C1527="바우처통장",$J1527&gt;0,IFERROR(INDEX('통합 ④ 설정'!$E$6:$E$40,MATCH($D1527,'통합 ④ 설정'!$B$6:$B$40,0)),"")&lt;&gt;"○"),"바우처통장 지출 — 목적 확인",IF($H1527="","적요를 적으십시오",""))))))))))))</f>
        <v/>
      </c>
      <c r="M1527" s="39"/>
      <c r="O1527" s="11" t="str">
        <f aca="false">IF($B1527="","",YEAR($B1527)*100+MONTH($B1527))</f>
        <v/>
      </c>
      <c r="P1527" s="11" t="str">
        <f aca="false">IF($B1527="","",IF($E1527="대체",0,1))</f>
        <v/>
      </c>
    </row>
    <row r="1528" customFormat="false" ht="15" hidden="false" customHeight="false" outlineLevel="0" collapsed="false">
      <c r="A1528" s="36" t="str">
        <f aca="false">IF($B1528="","",COUNT($B$15:$B1528))</f>
        <v/>
      </c>
      <c r="B1528" s="37"/>
      <c r="C1528" s="38"/>
      <c r="D1528" s="39"/>
      <c r="E1528" s="36" t="str">
        <f aca="false">IF($D1528="","",IFERROR(INDEX('통합 ④ 설정'!$A$6:$A$40,MATCH($D1528,'통합 ④ 설정'!$B$6:$B$40,0)),"※없는 과목"))</f>
        <v/>
      </c>
      <c r="F1528" s="36" t="str">
        <f aca="false">IF($D1528="","",IFERROR(INDEX('통합 ④ 설정'!$C$6:$C$40,MATCH($D1528,'통합 ④ 설정'!$B$6:$B$40,0)),""))</f>
        <v/>
      </c>
      <c r="G1528" s="39"/>
      <c r="H1528" s="39"/>
      <c r="I1528" s="40"/>
      <c r="J1528" s="41"/>
      <c r="K1528" s="38"/>
      <c r="L1528" s="42" t="str">
        <f aca="false">IF($B1528="","",IF(AND(N($I1528)=0,N($J1528)=0),"금액이 없습니다",IF(AND($I1528&gt;0,$J1528&gt;0),"수입·지출 둘 다 적혔습니다",IF($C1528="","결제수단을 고르십시오",IF(ISNA(MATCH($C1528,'통합 ③ 통장·카드'!$A$5:$A$11,0)),"③ 통장·카드에 없는 결제수단입니다",IF($D1528="","계정과목을 고르십시오",IF($E1528="※없는 과목","④ 설정에 없는 과목입니다",IF(AND($E1528="수입",$J1528&gt;0),"수입 과목인데 지출에 적혔습니다",IF(AND(LEFT($E1528,2)&lt;&gt;"수입",$E1528&lt;&gt;"대체",$I1528&gt;0),"지출 과목인데 수입에 적혔습니다",IF($K1528="","증빙을 고르십시오",IF(AND($C1528="바우처통장",$J1528&gt;0,IFERROR(INDEX('통합 ④ 설정'!$E$6:$E$40,MATCH($D1528,'통합 ④ 설정'!$B$6:$B$40,0)),"")&lt;&gt;"○"),"바우처통장 지출 — 목적 확인",IF($H1528="","적요를 적으십시오",""))))))))))))</f>
        <v/>
      </c>
      <c r="M1528" s="39"/>
      <c r="O1528" s="11" t="str">
        <f aca="false">IF($B1528="","",YEAR($B1528)*100+MONTH($B1528))</f>
        <v/>
      </c>
      <c r="P1528" s="11" t="str">
        <f aca="false">IF($B1528="","",IF($E1528="대체",0,1))</f>
        <v/>
      </c>
    </row>
    <row r="1529" customFormat="false" ht="15" hidden="false" customHeight="false" outlineLevel="0" collapsed="false">
      <c r="A1529" s="36" t="str">
        <f aca="false">IF($B1529="","",COUNT($B$15:$B1529))</f>
        <v/>
      </c>
      <c r="B1529" s="37"/>
      <c r="C1529" s="38"/>
      <c r="D1529" s="39"/>
      <c r="E1529" s="36" t="str">
        <f aca="false">IF($D1529="","",IFERROR(INDEX('통합 ④ 설정'!$A$6:$A$40,MATCH($D1529,'통합 ④ 설정'!$B$6:$B$40,0)),"※없는 과목"))</f>
        <v/>
      </c>
      <c r="F1529" s="36" t="str">
        <f aca="false">IF($D1529="","",IFERROR(INDEX('통합 ④ 설정'!$C$6:$C$40,MATCH($D1529,'통합 ④ 설정'!$B$6:$B$40,0)),""))</f>
        <v/>
      </c>
      <c r="G1529" s="39"/>
      <c r="H1529" s="39"/>
      <c r="I1529" s="40"/>
      <c r="J1529" s="41"/>
      <c r="K1529" s="38"/>
      <c r="L1529" s="42" t="str">
        <f aca="false">IF($B1529="","",IF(AND(N($I1529)=0,N($J1529)=0),"금액이 없습니다",IF(AND($I1529&gt;0,$J1529&gt;0),"수입·지출 둘 다 적혔습니다",IF($C1529="","결제수단을 고르십시오",IF(ISNA(MATCH($C1529,'통합 ③ 통장·카드'!$A$5:$A$11,0)),"③ 통장·카드에 없는 결제수단입니다",IF($D1529="","계정과목을 고르십시오",IF($E1529="※없는 과목","④ 설정에 없는 과목입니다",IF(AND($E1529="수입",$J1529&gt;0),"수입 과목인데 지출에 적혔습니다",IF(AND(LEFT($E1529,2)&lt;&gt;"수입",$E1529&lt;&gt;"대체",$I1529&gt;0),"지출 과목인데 수입에 적혔습니다",IF($K1529="","증빙을 고르십시오",IF(AND($C1529="바우처통장",$J1529&gt;0,IFERROR(INDEX('통합 ④ 설정'!$E$6:$E$40,MATCH($D1529,'통합 ④ 설정'!$B$6:$B$40,0)),"")&lt;&gt;"○"),"바우처통장 지출 — 목적 확인",IF($H1529="","적요를 적으십시오",""))))))))))))</f>
        <v/>
      </c>
      <c r="M1529" s="39"/>
      <c r="O1529" s="11" t="str">
        <f aca="false">IF($B1529="","",YEAR($B1529)*100+MONTH($B1529))</f>
        <v/>
      </c>
      <c r="P1529" s="11" t="str">
        <f aca="false">IF($B1529="","",IF($E1529="대체",0,1))</f>
        <v/>
      </c>
    </row>
    <row r="1530" customFormat="false" ht="15" hidden="false" customHeight="false" outlineLevel="0" collapsed="false">
      <c r="A1530" s="36" t="str">
        <f aca="false">IF($B1530="","",COUNT($B$15:$B1530))</f>
        <v/>
      </c>
      <c r="B1530" s="37"/>
      <c r="C1530" s="38"/>
      <c r="D1530" s="39"/>
      <c r="E1530" s="36" t="str">
        <f aca="false">IF($D1530="","",IFERROR(INDEX('통합 ④ 설정'!$A$6:$A$40,MATCH($D1530,'통합 ④ 설정'!$B$6:$B$40,0)),"※없는 과목"))</f>
        <v/>
      </c>
      <c r="F1530" s="36" t="str">
        <f aca="false">IF($D1530="","",IFERROR(INDEX('통합 ④ 설정'!$C$6:$C$40,MATCH($D1530,'통합 ④ 설정'!$B$6:$B$40,0)),""))</f>
        <v/>
      </c>
      <c r="G1530" s="39"/>
      <c r="H1530" s="39"/>
      <c r="I1530" s="40"/>
      <c r="J1530" s="41"/>
      <c r="K1530" s="38"/>
      <c r="L1530" s="42" t="str">
        <f aca="false">IF($B1530="","",IF(AND(N($I1530)=0,N($J1530)=0),"금액이 없습니다",IF(AND($I1530&gt;0,$J1530&gt;0),"수입·지출 둘 다 적혔습니다",IF($C1530="","결제수단을 고르십시오",IF(ISNA(MATCH($C1530,'통합 ③ 통장·카드'!$A$5:$A$11,0)),"③ 통장·카드에 없는 결제수단입니다",IF($D1530="","계정과목을 고르십시오",IF($E1530="※없는 과목","④ 설정에 없는 과목입니다",IF(AND($E1530="수입",$J1530&gt;0),"수입 과목인데 지출에 적혔습니다",IF(AND(LEFT($E1530,2)&lt;&gt;"수입",$E1530&lt;&gt;"대체",$I1530&gt;0),"지출 과목인데 수입에 적혔습니다",IF($K1530="","증빙을 고르십시오",IF(AND($C1530="바우처통장",$J1530&gt;0,IFERROR(INDEX('통합 ④ 설정'!$E$6:$E$40,MATCH($D1530,'통합 ④ 설정'!$B$6:$B$40,0)),"")&lt;&gt;"○"),"바우처통장 지출 — 목적 확인",IF($H1530="","적요를 적으십시오",""))))))))))))</f>
        <v/>
      </c>
      <c r="M1530" s="39"/>
      <c r="O1530" s="11" t="str">
        <f aca="false">IF($B1530="","",YEAR($B1530)*100+MONTH($B1530))</f>
        <v/>
      </c>
      <c r="P1530" s="11" t="str">
        <f aca="false">IF($B1530="","",IF($E1530="대체",0,1))</f>
        <v/>
      </c>
    </row>
    <row r="1531" customFormat="false" ht="15" hidden="false" customHeight="false" outlineLevel="0" collapsed="false">
      <c r="A1531" s="36" t="str">
        <f aca="false">IF($B1531="","",COUNT($B$15:$B1531))</f>
        <v/>
      </c>
      <c r="B1531" s="37"/>
      <c r="C1531" s="38"/>
      <c r="D1531" s="39"/>
      <c r="E1531" s="36" t="str">
        <f aca="false">IF($D1531="","",IFERROR(INDEX('통합 ④ 설정'!$A$6:$A$40,MATCH($D1531,'통합 ④ 설정'!$B$6:$B$40,0)),"※없는 과목"))</f>
        <v/>
      </c>
      <c r="F1531" s="36" t="str">
        <f aca="false">IF($D1531="","",IFERROR(INDEX('통합 ④ 설정'!$C$6:$C$40,MATCH($D1531,'통합 ④ 설정'!$B$6:$B$40,0)),""))</f>
        <v/>
      </c>
      <c r="G1531" s="39"/>
      <c r="H1531" s="39"/>
      <c r="I1531" s="40"/>
      <c r="J1531" s="41"/>
      <c r="K1531" s="38"/>
      <c r="L1531" s="42" t="str">
        <f aca="false">IF($B1531="","",IF(AND(N($I1531)=0,N($J1531)=0),"금액이 없습니다",IF(AND($I1531&gt;0,$J1531&gt;0),"수입·지출 둘 다 적혔습니다",IF($C1531="","결제수단을 고르십시오",IF(ISNA(MATCH($C1531,'통합 ③ 통장·카드'!$A$5:$A$11,0)),"③ 통장·카드에 없는 결제수단입니다",IF($D1531="","계정과목을 고르십시오",IF($E1531="※없는 과목","④ 설정에 없는 과목입니다",IF(AND($E1531="수입",$J1531&gt;0),"수입 과목인데 지출에 적혔습니다",IF(AND(LEFT($E1531,2)&lt;&gt;"수입",$E1531&lt;&gt;"대체",$I1531&gt;0),"지출 과목인데 수입에 적혔습니다",IF($K1531="","증빙을 고르십시오",IF(AND($C1531="바우처통장",$J1531&gt;0,IFERROR(INDEX('통합 ④ 설정'!$E$6:$E$40,MATCH($D1531,'통합 ④ 설정'!$B$6:$B$40,0)),"")&lt;&gt;"○"),"바우처통장 지출 — 목적 확인",IF($H1531="","적요를 적으십시오",""))))))))))))</f>
        <v/>
      </c>
      <c r="M1531" s="39"/>
      <c r="O1531" s="11" t="str">
        <f aca="false">IF($B1531="","",YEAR($B1531)*100+MONTH($B1531))</f>
        <v/>
      </c>
      <c r="P1531" s="11" t="str">
        <f aca="false">IF($B1531="","",IF($E1531="대체",0,1))</f>
        <v/>
      </c>
    </row>
    <row r="1532" customFormat="false" ht="15" hidden="false" customHeight="false" outlineLevel="0" collapsed="false">
      <c r="A1532" s="36" t="str">
        <f aca="false">IF($B1532="","",COUNT($B$15:$B1532))</f>
        <v/>
      </c>
      <c r="B1532" s="37"/>
      <c r="C1532" s="38"/>
      <c r="D1532" s="39"/>
      <c r="E1532" s="36" t="str">
        <f aca="false">IF($D1532="","",IFERROR(INDEX('통합 ④ 설정'!$A$6:$A$40,MATCH($D1532,'통합 ④ 설정'!$B$6:$B$40,0)),"※없는 과목"))</f>
        <v/>
      </c>
      <c r="F1532" s="36" t="str">
        <f aca="false">IF($D1532="","",IFERROR(INDEX('통합 ④ 설정'!$C$6:$C$40,MATCH($D1532,'통합 ④ 설정'!$B$6:$B$40,0)),""))</f>
        <v/>
      </c>
      <c r="G1532" s="39"/>
      <c r="H1532" s="39"/>
      <c r="I1532" s="40"/>
      <c r="J1532" s="41"/>
      <c r="K1532" s="38"/>
      <c r="L1532" s="42" t="str">
        <f aca="false">IF($B1532="","",IF(AND(N($I1532)=0,N($J1532)=0),"금액이 없습니다",IF(AND($I1532&gt;0,$J1532&gt;0),"수입·지출 둘 다 적혔습니다",IF($C1532="","결제수단을 고르십시오",IF(ISNA(MATCH($C1532,'통합 ③ 통장·카드'!$A$5:$A$11,0)),"③ 통장·카드에 없는 결제수단입니다",IF($D1532="","계정과목을 고르십시오",IF($E1532="※없는 과목","④ 설정에 없는 과목입니다",IF(AND($E1532="수입",$J1532&gt;0),"수입 과목인데 지출에 적혔습니다",IF(AND(LEFT($E1532,2)&lt;&gt;"수입",$E1532&lt;&gt;"대체",$I1532&gt;0),"지출 과목인데 수입에 적혔습니다",IF($K1532="","증빙을 고르십시오",IF(AND($C1532="바우처통장",$J1532&gt;0,IFERROR(INDEX('통합 ④ 설정'!$E$6:$E$40,MATCH($D1532,'통합 ④ 설정'!$B$6:$B$40,0)),"")&lt;&gt;"○"),"바우처통장 지출 — 목적 확인",IF($H1532="","적요를 적으십시오",""))))))))))))</f>
        <v/>
      </c>
      <c r="M1532" s="39"/>
      <c r="O1532" s="11" t="str">
        <f aca="false">IF($B1532="","",YEAR($B1532)*100+MONTH($B1532))</f>
        <v/>
      </c>
      <c r="P1532" s="11" t="str">
        <f aca="false">IF($B1532="","",IF($E1532="대체",0,1))</f>
        <v/>
      </c>
    </row>
    <row r="1533" customFormat="false" ht="15" hidden="false" customHeight="false" outlineLevel="0" collapsed="false">
      <c r="A1533" s="36" t="str">
        <f aca="false">IF($B1533="","",COUNT($B$15:$B1533))</f>
        <v/>
      </c>
      <c r="B1533" s="37"/>
      <c r="C1533" s="38"/>
      <c r="D1533" s="39"/>
      <c r="E1533" s="36" t="str">
        <f aca="false">IF($D1533="","",IFERROR(INDEX('통합 ④ 설정'!$A$6:$A$40,MATCH($D1533,'통합 ④ 설정'!$B$6:$B$40,0)),"※없는 과목"))</f>
        <v/>
      </c>
      <c r="F1533" s="36" t="str">
        <f aca="false">IF($D1533="","",IFERROR(INDEX('통합 ④ 설정'!$C$6:$C$40,MATCH($D1533,'통합 ④ 설정'!$B$6:$B$40,0)),""))</f>
        <v/>
      </c>
      <c r="G1533" s="39"/>
      <c r="H1533" s="39"/>
      <c r="I1533" s="40"/>
      <c r="J1533" s="41"/>
      <c r="K1533" s="38"/>
      <c r="L1533" s="42" t="str">
        <f aca="false">IF($B1533="","",IF(AND(N($I1533)=0,N($J1533)=0),"금액이 없습니다",IF(AND($I1533&gt;0,$J1533&gt;0),"수입·지출 둘 다 적혔습니다",IF($C1533="","결제수단을 고르십시오",IF(ISNA(MATCH($C1533,'통합 ③ 통장·카드'!$A$5:$A$11,0)),"③ 통장·카드에 없는 결제수단입니다",IF($D1533="","계정과목을 고르십시오",IF($E1533="※없는 과목","④ 설정에 없는 과목입니다",IF(AND($E1533="수입",$J1533&gt;0),"수입 과목인데 지출에 적혔습니다",IF(AND(LEFT($E1533,2)&lt;&gt;"수입",$E1533&lt;&gt;"대체",$I1533&gt;0),"지출 과목인데 수입에 적혔습니다",IF($K1533="","증빙을 고르십시오",IF(AND($C1533="바우처통장",$J1533&gt;0,IFERROR(INDEX('통합 ④ 설정'!$E$6:$E$40,MATCH($D1533,'통합 ④ 설정'!$B$6:$B$40,0)),"")&lt;&gt;"○"),"바우처통장 지출 — 목적 확인",IF($H1533="","적요를 적으십시오",""))))))))))))</f>
        <v/>
      </c>
      <c r="M1533" s="39"/>
      <c r="O1533" s="11" t="str">
        <f aca="false">IF($B1533="","",YEAR($B1533)*100+MONTH($B1533))</f>
        <v/>
      </c>
      <c r="P1533" s="11" t="str">
        <f aca="false">IF($B1533="","",IF($E1533="대체",0,1))</f>
        <v/>
      </c>
    </row>
    <row r="1534" customFormat="false" ht="15" hidden="false" customHeight="false" outlineLevel="0" collapsed="false">
      <c r="A1534" s="36" t="str">
        <f aca="false">IF($B1534="","",COUNT($B$15:$B1534))</f>
        <v/>
      </c>
      <c r="B1534" s="37"/>
      <c r="C1534" s="38"/>
      <c r="D1534" s="39"/>
      <c r="E1534" s="36" t="str">
        <f aca="false">IF($D1534="","",IFERROR(INDEX('통합 ④ 설정'!$A$6:$A$40,MATCH($D1534,'통합 ④ 설정'!$B$6:$B$40,0)),"※없는 과목"))</f>
        <v/>
      </c>
      <c r="F1534" s="36" t="str">
        <f aca="false">IF($D1534="","",IFERROR(INDEX('통합 ④ 설정'!$C$6:$C$40,MATCH($D1534,'통합 ④ 설정'!$B$6:$B$40,0)),""))</f>
        <v/>
      </c>
      <c r="G1534" s="39"/>
      <c r="H1534" s="39"/>
      <c r="I1534" s="40"/>
      <c r="J1534" s="41"/>
      <c r="K1534" s="38"/>
      <c r="L1534" s="42" t="str">
        <f aca="false">IF($B1534="","",IF(AND(N($I1534)=0,N($J1534)=0),"금액이 없습니다",IF(AND($I1534&gt;0,$J1534&gt;0),"수입·지출 둘 다 적혔습니다",IF($C1534="","결제수단을 고르십시오",IF(ISNA(MATCH($C1534,'통합 ③ 통장·카드'!$A$5:$A$11,0)),"③ 통장·카드에 없는 결제수단입니다",IF($D1534="","계정과목을 고르십시오",IF($E1534="※없는 과목","④ 설정에 없는 과목입니다",IF(AND($E1534="수입",$J1534&gt;0),"수입 과목인데 지출에 적혔습니다",IF(AND(LEFT($E1534,2)&lt;&gt;"수입",$E1534&lt;&gt;"대체",$I1534&gt;0),"지출 과목인데 수입에 적혔습니다",IF($K1534="","증빙을 고르십시오",IF(AND($C1534="바우처통장",$J1534&gt;0,IFERROR(INDEX('통합 ④ 설정'!$E$6:$E$40,MATCH($D1534,'통합 ④ 설정'!$B$6:$B$40,0)),"")&lt;&gt;"○"),"바우처통장 지출 — 목적 확인",IF($H1534="","적요를 적으십시오",""))))))))))))</f>
        <v/>
      </c>
      <c r="M1534" s="39"/>
      <c r="O1534" s="11" t="str">
        <f aca="false">IF($B1534="","",YEAR($B1534)*100+MONTH($B1534))</f>
        <v/>
      </c>
      <c r="P1534" s="11" t="str">
        <f aca="false">IF($B1534="","",IF($E1534="대체",0,1))</f>
        <v/>
      </c>
    </row>
    <row r="1535" customFormat="false" ht="15" hidden="false" customHeight="false" outlineLevel="0" collapsed="false">
      <c r="A1535" s="36" t="str">
        <f aca="false">IF($B1535="","",COUNT($B$15:$B1535))</f>
        <v/>
      </c>
      <c r="B1535" s="37"/>
      <c r="C1535" s="38"/>
      <c r="D1535" s="39"/>
      <c r="E1535" s="36" t="str">
        <f aca="false">IF($D1535="","",IFERROR(INDEX('통합 ④ 설정'!$A$6:$A$40,MATCH($D1535,'통합 ④ 설정'!$B$6:$B$40,0)),"※없는 과목"))</f>
        <v/>
      </c>
      <c r="F1535" s="36" t="str">
        <f aca="false">IF($D1535="","",IFERROR(INDEX('통합 ④ 설정'!$C$6:$C$40,MATCH($D1535,'통합 ④ 설정'!$B$6:$B$40,0)),""))</f>
        <v/>
      </c>
      <c r="G1535" s="39"/>
      <c r="H1535" s="39"/>
      <c r="I1535" s="40"/>
      <c r="J1535" s="41"/>
      <c r="K1535" s="38"/>
      <c r="L1535" s="42" t="str">
        <f aca="false">IF($B1535="","",IF(AND(N($I1535)=0,N($J1535)=0),"금액이 없습니다",IF(AND($I1535&gt;0,$J1535&gt;0),"수입·지출 둘 다 적혔습니다",IF($C1535="","결제수단을 고르십시오",IF(ISNA(MATCH($C1535,'통합 ③ 통장·카드'!$A$5:$A$11,0)),"③ 통장·카드에 없는 결제수단입니다",IF($D1535="","계정과목을 고르십시오",IF($E1535="※없는 과목","④ 설정에 없는 과목입니다",IF(AND($E1535="수입",$J1535&gt;0),"수입 과목인데 지출에 적혔습니다",IF(AND(LEFT($E1535,2)&lt;&gt;"수입",$E1535&lt;&gt;"대체",$I1535&gt;0),"지출 과목인데 수입에 적혔습니다",IF($K1535="","증빙을 고르십시오",IF(AND($C1535="바우처통장",$J1535&gt;0,IFERROR(INDEX('통합 ④ 설정'!$E$6:$E$40,MATCH($D1535,'통합 ④ 설정'!$B$6:$B$40,0)),"")&lt;&gt;"○"),"바우처통장 지출 — 목적 확인",IF($H1535="","적요를 적으십시오",""))))))))))))</f>
        <v/>
      </c>
      <c r="M1535" s="39"/>
      <c r="O1535" s="11" t="str">
        <f aca="false">IF($B1535="","",YEAR($B1535)*100+MONTH($B1535))</f>
        <v/>
      </c>
      <c r="P1535" s="11" t="str">
        <f aca="false">IF($B1535="","",IF($E1535="대체",0,1))</f>
        <v/>
      </c>
    </row>
    <row r="1536" customFormat="false" ht="15" hidden="false" customHeight="false" outlineLevel="0" collapsed="false">
      <c r="A1536" s="36" t="str">
        <f aca="false">IF($B1536="","",COUNT($B$15:$B1536))</f>
        <v/>
      </c>
      <c r="B1536" s="37"/>
      <c r="C1536" s="38"/>
      <c r="D1536" s="39"/>
      <c r="E1536" s="36" t="str">
        <f aca="false">IF($D1536="","",IFERROR(INDEX('통합 ④ 설정'!$A$6:$A$40,MATCH($D1536,'통합 ④ 설정'!$B$6:$B$40,0)),"※없는 과목"))</f>
        <v/>
      </c>
      <c r="F1536" s="36" t="str">
        <f aca="false">IF($D1536="","",IFERROR(INDEX('통합 ④ 설정'!$C$6:$C$40,MATCH($D1536,'통합 ④ 설정'!$B$6:$B$40,0)),""))</f>
        <v/>
      </c>
      <c r="G1536" s="39"/>
      <c r="H1536" s="39"/>
      <c r="I1536" s="40"/>
      <c r="J1536" s="41"/>
      <c r="K1536" s="38"/>
      <c r="L1536" s="42" t="str">
        <f aca="false">IF($B1536="","",IF(AND(N($I1536)=0,N($J1536)=0),"금액이 없습니다",IF(AND($I1536&gt;0,$J1536&gt;0),"수입·지출 둘 다 적혔습니다",IF($C1536="","결제수단을 고르십시오",IF(ISNA(MATCH($C1536,'통합 ③ 통장·카드'!$A$5:$A$11,0)),"③ 통장·카드에 없는 결제수단입니다",IF($D1536="","계정과목을 고르십시오",IF($E1536="※없는 과목","④ 설정에 없는 과목입니다",IF(AND($E1536="수입",$J1536&gt;0),"수입 과목인데 지출에 적혔습니다",IF(AND(LEFT($E1536,2)&lt;&gt;"수입",$E1536&lt;&gt;"대체",$I1536&gt;0),"지출 과목인데 수입에 적혔습니다",IF($K1536="","증빙을 고르십시오",IF(AND($C1536="바우처통장",$J1536&gt;0,IFERROR(INDEX('통합 ④ 설정'!$E$6:$E$40,MATCH($D1536,'통합 ④ 설정'!$B$6:$B$40,0)),"")&lt;&gt;"○"),"바우처통장 지출 — 목적 확인",IF($H1536="","적요를 적으십시오",""))))))))))))</f>
        <v/>
      </c>
      <c r="M1536" s="39"/>
      <c r="O1536" s="11" t="str">
        <f aca="false">IF($B1536="","",YEAR($B1536)*100+MONTH($B1536))</f>
        <v/>
      </c>
      <c r="P1536" s="11" t="str">
        <f aca="false">IF($B1536="","",IF($E1536="대체",0,1))</f>
        <v/>
      </c>
    </row>
    <row r="1537" customFormat="false" ht="15" hidden="false" customHeight="false" outlineLevel="0" collapsed="false">
      <c r="A1537" s="36" t="str">
        <f aca="false">IF($B1537="","",COUNT($B$15:$B1537))</f>
        <v/>
      </c>
      <c r="B1537" s="37"/>
      <c r="C1537" s="38"/>
      <c r="D1537" s="39"/>
      <c r="E1537" s="36" t="str">
        <f aca="false">IF($D1537="","",IFERROR(INDEX('통합 ④ 설정'!$A$6:$A$40,MATCH($D1537,'통합 ④ 설정'!$B$6:$B$40,0)),"※없는 과목"))</f>
        <v/>
      </c>
      <c r="F1537" s="36" t="str">
        <f aca="false">IF($D1537="","",IFERROR(INDEX('통합 ④ 설정'!$C$6:$C$40,MATCH($D1537,'통합 ④ 설정'!$B$6:$B$40,0)),""))</f>
        <v/>
      </c>
      <c r="G1537" s="39"/>
      <c r="H1537" s="39"/>
      <c r="I1537" s="40"/>
      <c r="J1537" s="41"/>
      <c r="K1537" s="38"/>
      <c r="L1537" s="42" t="str">
        <f aca="false">IF($B1537="","",IF(AND(N($I1537)=0,N($J1537)=0),"금액이 없습니다",IF(AND($I1537&gt;0,$J1537&gt;0),"수입·지출 둘 다 적혔습니다",IF($C1537="","결제수단을 고르십시오",IF(ISNA(MATCH($C1537,'통합 ③ 통장·카드'!$A$5:$A$11,0)),"③ 통장·카드에 없는 결제수단입니다",IF($D1537="","계정과목을 고르십시오",IF($E1537="※없는 과목","④ 설정에 없는 과목입니다",IF(AND($E1537="수입",$J1537&gt;0),"수입 과목인데 지출에 적혔습니다",IF(AND(LEFT($E1537,2)&lt;&gt;"수입",$E1537&lt;&gt;"대체",$I1537&gt;0),"지출 과목인데 수입에 적혔습니다",IF($K1537="","증빙을 고르십시오",IF(AND($C1537="바우처통장",$J1537&gt;0,IFERROR(INDEX('통합 ④ 설정'!$E$6:$E$40,MATCH($D1537,'통합 ④ 설정'!$B$6:$B$40,0)),"")&lt;&gt;"○"),"바우처통장 지출 — 목적 확인",IF($H1537="","적요를 적으십시오",""))))))))))))</f>
        <v/>
      </c>
      <c r="M1537" s="39"/>
      <c r="O1537" s="11" t="str">
        <f aca="false">IF($B1537="","",YEAR($B1537)*100+MONTH($B1537))</f>
        <v/>
      </c>
      <c r="P1537" s="11" t="str">
        <f aca="false">IF($B1537="","",IF($E1537="대체",0,1))</f>
        <v/>
      </c>
    </row>
    <row r="1538" customFormat="false" ht="15" hidden="false" customHeight="false" outlineLevel="0" collapsed="false">
      <c r="A1538" s="36" t="str">
        <f aca="false">IF($B1538="","",COUNT($B$15:$B1538))</f>
        <v/>
      </c>
      <c r="B1538" s="37"/>
      <c r="C1538" s="38"/>
      <c r="D1538" s="39"/>
      <c r="E1538" s="36" t="str">
        <f aca="false">IF($D1538="","",IFERROR(INDEX('통합 ④ 설정'!$A$6:$A$40,MATCH($D1538,'통합 ④ 설정'!$B$6:$B$40,0)),"※없는 과목"))</f>
        <v/>
      </c>
      <c r="F1538" s="36" t="str">
        <f aca="false">IF($D1538="","",IFERROR(INDEX('통합 ④ 설정'!$C$6:$C$40,MATCH($D1538,'통합 ④ 설정'!$B$6:$B$40,0)),""))</f>
        <v/>
      </c>
      <c r="G1538" s="39"/>
      <c r="H1538" s="39"/>
      <c r="I1538" s="40"/>
      <c r="J1538" s="41"/>
      <c r="K1538" s="38"/>
      <c r="L1538" s="42" t="str">
        <f aca="false">IF($B1538="","",IF(AND(N($I1538)=0,N($J1538)=0),"금액이 없습니다",IF(AND($I1538&gt;0,$J1538&gt;0),"수입·지출 둘 다 적혔습니다",IF($C1538="","결제수단을 고르십시오",IF(ISNA(MATCH($C1538,'통합 ③ 통장·카드'!$A$5:$A$11,0)),"③ 통장·카드에 없는 결제수단입니다",IF($D1538="","계정과목을 고르십시오",IF($E1538="※없는 과목","④ 설정에 없는 과목입니다",IF(AND($E1538="수입",$J1538&gt;0),"수입 과목인데 지출에 적혔습니다",IF(AND(LEFT($E1538,2)&lt;&gt;"수입",$E1538&lt;&gt;"대체",$I1538&gt;0),"지출 과목인데 수입에 적혔습니다",IF($K1538="","증빙을 고르십시오",IF(AND($C1538="바우처통장",$J1538&gt;0,IFERROR(INDEX('통합 ④ 설정'!$E$6:$E$40,MATCH($D1538,'통합 ④ 설정'!$B$6:$B$40,0)),"")&lt;&gt;"○"),"바우처통장 지출 — 목적 확인",IF($H1538="","적요를 적으십시오",""))))))))))))</f>
        <v/>
      </c>
      <c r="M1538" s="39"/>
      <c r="O1538" s="11" t="str">
        <f aca="false">IF($B1538="","",YEAR($B1538)*100+MONTH($B1538))</f>
        <v/>
      </c>
      <c r="P1538" s="11" t="str">
        <f aca="false">IF($B1538="","",IF($E1538="대체",0,1))</f>
        <v/>
      </c>
    </row>
    <row r="1539" customFormat="false" ht="15" hidden="false" customHeight="false" outlineLevel="0" collapsed="false">
      <c r="A1539" s="36" t="str">
        <f aca="false">IF($B1539="","",COUNT($B$15:$B1539))</f>
        <v/>
      </c>
      <c r="B1539" s="37"/>
      <c r="C1539" s="38"/>
      <c r="D1539" s="39"/>
      <c r="E1539" s="36" t="str">
        <f aca="false">IF($D1539="","",IFERROR(INDEX('통합 ④ 설정'!$A$6:$A$40,MATCH($D1539,'통합 ④ 설정'!$B$6:$B$40,0)),"※없는 과목"))</f>
        <v/>
      </c>
      <c r="F1539" s="36" t="str">
        <f aca="false">IF($D1539="","",IFERROR(INDEX('통합 ④ 설정'!$C$6:$C$40,MATCH($D1539,'통합 ④ 설정'!$B$6:$B$40,0)),""))</f>
        <v/>
      </c>
      <c r="G1539" s="39"/>
      <c r="H1539" s="39"/>
      <c r="I1539" s="40"/>
      <c r="J1539" s="41"/>
      <c r="K1539" s="38"/>
      <c r="L1539" s="42" t="str">
        <f aca="false">IF($B1539="","",IF(AND(N($I1539)=0,N($J1539)=0),"금액이 없습니다",IF(AND($I1539&gt;0,$J1539&gt;0),"수입·지출 둘 다 적혔습니다",IF($C1539="","결제수단을 고르십시오",IF(ISNA(MATCH($C1539,'통합 ③ 통장·카드'!$A$5:$A$11,0)),"③ 통장·카드에 없는 결제수단입니다",IF($D1539="","계정과목을 고르십시오",IF($E1539="※없는 과목","④ 설정에 없는 과목입니다",IF(AND($E1539="수입",$J1539&gt;0),"수입 과목인데 지출에 적혔습니다",IF(AND(LEFT($E1539,2)&lt;&gt;"수입",$E1539&lt;&gt;"대체",$I1539&gt;0),"지출 과목인데 수입에 적혔습니다",IF($K1539="","증빙을 고르십시오",IF(AND($C1539="바우처통장",$J1539&gt;0,IFERROR(INDEX('통합 ④ 설정'!$E$6:$E$40,MATCH($D1539,'통합 ④ 설정'!$B$6:$B$40,0)),"")&lt;&gt;"○"),"바우처통장 지출 — 목적 확인",IF($H1539="","적요를 적으십시오",""))))))))))))</f>
        <v/>
      </c>
      <c r="M1539" s="39"/>
      <c r="O1539" s="11" t="str">
        <f aca="false">IF($B1539="","",YEAR($B1539)*100+MONTH($B1539))</f>
        <v/>
      </c>
      <c r="P1539" s="11" t="str">
        <f aca="false">IF($B1539="","",IF($E1539="대체",0,1))</f>
        <v/>
      </c>
    </row>
    <row r="1540" customFormat="false" ht="15" hidden="false" customHeight="false" outlineLevel="0" collapsed="false">
      <c r="A1540" s="36" t="str">
        <f aca="false">IF($B1540="","",COUNT($B$15:$B1540))</f>
        <v/>
      </c>
      <c r="B1540" s="37"/>
      <c r="C1540" s="38"/>
      <c r="D1540" s="39"/>
      <c r="E1540" s="36" t="str">
        <f aca="false">IF($D1540="","",IFERROR(INDEX('통합 ④ 설정'!$A$6:$A$40,MATCH($D1540,'통합 ④ 설정'!$B$6:$B$40,0)),"※없는 과목"))</f>
        <v/>
      </c>
      <c r="F1540" s="36" t="str">
        <f aca="false">IF($D1540="","",IFERROR(INDEX('통합 ④ 설정'!$C$6:$C$40,MATCH($D1540,'통합 ④ 설정'!$B$6:$B$40,0)),""))</f>
        <v/>
      </c>
      <c r="G1540" s="39"/>
      <c r="H1540" s="39"/>
      <c r="I1540" s="40"/>
      <c r="J1540" s="41"/>
      <c r="K1540" s="38"/>
      <c r="L1540" s="42" t="str">
        <f aca="false">IF($B1540="","",IF(AND(N($I1540)=0,N($J1540)=0),"금액이 없습니다",IF(AND($I1540&gt;0,$J1540&gt;0),"수입·지출 둘 다 적혔습니다",IF($C1540="","결제수단을 고르십시오",IF(ISNA(MATCH($C1540,'통합 ③ 통장·카드'!$A$5:$A$11,0)),"③ 통장·카드에 없는 결제수단입니다",IF($D1540="","계정과목을 고르십시오",IF($E1540="※없는 과목","④ 설정에 없는 과목입니다",IF(AND($E1540="수입",$J1540&gt;0),"수입 과목인데 지출에 적혔습니다",IF(AND(LEFT($E1540,2)&lt;&gt;"수입",$E1540&lt;&gt;"대체",$I1540&gt;0),"지출 과목인데 수입에 적혔습니다",IF($K1540="","증빙을 고르십시오",IF(AND($C1540="바우처통장",$J1540&gt;0,IFERROR(INDEX('통합 ④ 설정'!$E$6:$E$40,MATCH($D1540,'통합 ④ 설정'!$B$6:$B$40,0)),"")&lt;&gt;"○"),"바우처통장 지출 — 목적 확인",IF($H1540="","적요를 적으십시오",""))))))))))))</f>
        <v/>
      </c>
      <c r="M1540" s="39"/>
      <c r="O1540" s="11" t="str">
        <f aca="false">IF($B1540="","",YEAR($B1540)*100+MONTH($B1540))</f>
        <v/>
      </c>
      <c r="P1540" s="11" t="str">
        <f aca="false">IF($B1540="","",IF($E1540="대체",0,1))</f>
        <v/>
      </c>
    </row>
    <row r="1541" customFormat="false" ht="15" hidden="false" customHeight="false" outlineLevel="0" collapsed="false">
      <c r="A1541" s="36" t="str">
        <f aca="false">IF($B1541="","",COUNT($B$15:$B1541))</f>
        <v/>
      </c>
      <c r="B1541" s="37"/>
      <c r="C1541" s="38"/>
      <c r="D1541" s="39"/>
      <c r="E1541" s="36" t="str">
        <f aca="false">IF($D1541="","",IFERROR(INDEX('통합 ④ 설정'!$A$6:$A$40,MATCH($D1541,'통합 ④ 설정'!$B$6:$B$40,0)),"※없는 과목"))</f>
        <v/>
      </c>
      <c r="F1541" s="36" t="str">
        <f aca="false">IF($D1541="","",IFERROR(INDEX('통합 ④ 설정'!$C$6:$C$40,MATCH($D1541,'통합 ④ 설정'!$B$6:$B$40,0)),""))</f>
        <v/>
      </c>
      <c r="G1541" s="39"/>
      <c r="H1541" s="39"/>
      <c r="I1541" s="40"/>
      <c r="J1541" s="41"/>
      <c r="K1541" s="38"/>
      <c r="L1541" s="42" t="str">
        <f aca="false">IF($B1541="","",IF(AND(N($I1541)=0,N($J1541)=0),"금액이 없습니다",IF(AND($I1541&gt;0,$J1541&gt;0),"수입·지출 둘 다 적혔습니다",IF($C1541="","결제수단을 고르십시오",IF(ISNA(MATCH($C1541,'통합 ③ 통장·카드'!$A$5:$A$11,0)),"③ 통장·카드에 없는 결제수단입니다",IF($D1541="","계정과목을 고르십시오",IF($E1541="※없는 과목","④ 설정에 없는 과목입니다",IF(AND($E1541="수입",$J1541&gt;0),"수입 과목인데 지출에 적혔습니다",IF(AND(LEFT($E1541,2)&lt;&gt;"수입",$E1541&lt;&gt;"대체",$I1541&gt;0),"지출 과목인데 수입에 적혔습니다",IF($K1541="","증빙을 고르십시오",IF(AND($C1541="바우처통장",$J1541&gt;0,IFERROR(INDEX('통합 ④ 설정'!$E$6:$E$40,MATCH($D1541,'통합 ④ 설정'!$B$6:$B$40,0)),"")&lt;&gt;"○"),"바우처통장 지출 — 목적 확인",IF($H1541="","적요를 적으십시오",""))))))))))))</f>
        <v/>
      </c>
      <c r="M1541" s="39"/>
      <c r="O1541" s="11" t="str">
        <f aca="false">IF($B1541="","",YEAR($B1541)*100+MONTH($B1541))</f>
        <v/>
      </c>
      <c r="P1541" s="11" t="str">
        <f aca="false">IF($B1541="","",IF($E1541="대체",0,1))</f>
        <v/>
      </c>
    </row>
    <row r="1542" customFormat="false" ht="15" hidden="false" customHeight="false" outlineLevel="0" collapsed="false">
      <c r="A1542" s="36" t="str">
        <f aca="false">IF($B1542="","",COUNT($B$15:$B1542))</f>
        <v/>
      </c>
      <c r="B1542" s="37"/>
      <c r="C1542" s="38"/>
      <c r="D1542" s="39"/>
      <c r="E1542" s="36" t="str">
        <f aca="false">IF($D1542="","",IFERROR(INDEX('통합 ④ 설정'!$A$6:$A$40,MATCH($D1542,'통합 ④ 설정'!$B$6:$B$40,0)),"※없는 과목"))</f>
        <v/>
      </c>
      <c r="F1542" s="36" t="str">
        <f aca="false">IF($D1542="","",IFERROR(INDEX('통합 ④ 설정'!$C$6:$C$40,MATCH($D1542,'통합 ④ 설정'!$B$6:$B$40,0)),""))</f>
        <v/>
      </c>
      <c r="G1542" s="39"/>
      <c r="H1542" s="39"/>
      <c r="I1542" s="40"/>
      <c r="J1542" s="41"/>
      <c r="K1542" s="38"/>
      <c r="L1542" s="42" t="str">
        <f aca="false">IF($B1542="","",IF(AND(N($I1542)=0,N($J1542)=0),"금액이 없습니다",IF(AND($I1542&gt;0,$J1542&gt;0),"수입·지출 둘 다 적혔습니다",IF($C1542="","결제수단을 고르십시오",IF(ISNA(MATCH($C1542,'통합 ③ 통장·카드'!$A$5:$A$11,0)),"③ 통장·카드에 없는 결제수단입니다",IF($D1542="","계정과목을 고르십시오",IF($E1542="※없는 과목","④ 설정에 없는 과목입니다",IF(AND($E1542="수입",$J1542&gt;0),"수입 과목인데 지출에 적혔습니다",IF(AND(LEFT($E1542,2)&lt;&gt;"수입",$E1542&lt;&gt;"대체",$I1542&gt;0),"지출 과목인데 수입에 적혔습니다",IF($K1542="","증빙을 고르십시오",IF(AND($C1542="바우처통장",$J1542&gt;0,IFERROR(INDEX('통합 ④ 설정'!$E$6:$E$40,MATCH($D1542,'통합 ④ 설정'!$B$6:$B$40,0)),"")&lt;&gt;"○"),"바우처통장 지출 — 목적 확인",IF($H1542="","적요를 적으십시오",""))))))))))))</f>
        <v/>
      </c>
      <c r="M1542" s="39"/>
      <c r="O1542" s="11" t="str">
        <f aca="false">IF($B1542="","",YEAR($B1542)*100+MONTH($B1542))</f>
        <v/>
      </c>
      <c r="P1542" s="11" t="str">
        <f aca="false">IF($B1542="","",IF($E1542="대체",0,1))</f>
        <v/>
      </c>
    </row>
    <row r="1543" customFormat="false" ht="15" hidden="false" customHeight="false" outlineLevel="0" collapsed="false">
      <c r="A1543" s="36" t="str">
        <f aca="false">IF($B1543="","",COUNT($B$15:$B1543))</f>
        <v/>
      </c>
      <c r="B1543" s="37"/>
      <c r="C1543" s="38"/>
      <c r="D1543" s="39"/>
      <c r="E1543" s="36" t="str">
        <f aca="false">IF($D1543="","",IFERROR(INDEX('통합 ④ 설정'!$A$6:$A$40,MATCH($D1543,'통합 ④ 설정'!$B$6:$B$40,0)),"※없는 과목"))</f>
        <v/>
      </c>
      <c r="F1543" s="36" t="str">
        <f aca="false">IF($D1543="","",IFERROR(INDEX('통합 ④ 설정'!$C$6:$C$40,MATCH($D1543,'통합 ④ 설정'!$B$6:$B$40,0)),""))</f>
        <v/>
      </c>
      <c r="G1543" s="39"/>
      <c r="H1543" s="39"/>
      <c r="I1543" s="40"/>
      <c r="J1543" s="41"/>
      <c r="K1543" s="38"/>
      <c r="L1543" s="42" t="str">
        <f aca="false">IF($B1543="","",IF(AND(N($I1543)=0,N($J1543)=0),"금액이 없습니다",IF(AND($I1543&gt;0,$J1543&gt;0),"수입·지출 둘 다 적혔습니다",IF($C1543="","결제수단을 고르십시오",IF(ISNA(MATCH($C1543,'통합 ③ 통장·카드'!$A$5:$A$11,0)),"③ 통장·카드에 없는 결제수단입니다",IF($D1543="","계정과목을 고르십시오",IF($E1543="※없는 과목","④ 설정에 없는 과목입니다",IF(AND($E1543="수입",$J1543&gt;0),"수입 과목인데 지출에 적혔습니다",IF(AND(LEFT($E1543,2)&lt;&gt;"수입",$E1543&lt;&gt;"대체",$I1543&gt;0),"지출 과목인데 수입에 적혔습니다",IF($K1543="","증빙을 고르십시오",IF(AND($C1543="바우처통장",$J1543&gt;0,IFERROR(INDEX('통합 ④ 설정'!$E$6:$E$40,MATCH($D1543,'통합 ④ 설정'!$B$6:$B$40,0)),"")&lt;&gt;"○"),"바우처통장 지출 — 목적 확인",IF($H1543="","적요를 적으십시오",""))))))))))))</f>
        <v/>
      </c>
      <c r="M1543" s="39"/>
      <c r="O1543" s="11" t="str">
        <f aca="false">IF($B1543="","",YEAR($B1543)*100+MONTH($B1543))</f>
        <v/>
      </c>
      <c r="P1543" s="11" t="str">
        <f aca="false">IF($B1543="","",IF($E1543="대체",0,1))</f>
        <v/>
      </c>
    </row>
    <row r="1544" customFormat="false" ht="15" hidden="false" customHeight="false" outlineLevel="0" collapsed="false">
      <c r="A1544" s="36" t="str">
        <f aca="false">IF($B1544="","",COUNT($B$15:$B1544))</f>
        <v/>
      </c>
      <c r="B1544" s="37"/>
      <c r="C1544" s="38"/>
      <c r="D1544" s="39"/>
      <c r="E1544" s="36" t="str">
        <f aca="false">IF($D1544="","",IFERROR(INDEX('통합 ④ 설정'!$A$6:$A$40,MATCH($D1544,'통합 ④ 설정'!$B$6:$B$40,0)),"※없는 과목"))</f>
        <v/>
      </c>
      <c r="F1544" s="36" t="str">
        <f aca="false">IF($D1544="","",IFERROR(INDEX('통합 ④ 설정'!$C$6:$C$40,MATCH($D1544,'통합 ④ 설정'!$B$6:$B$40,0)),""))</f>
        <v/>
      </c>
      <c r="G1544" s="39"/>
      <c r="H1544" s="39"/>
      <c r="I1544" s="40"/>
      <c r="J1544" s="41"/>
      <c r="K1544" s="38"/>
      <c r="L1544" s="42" t="str">
        <f aca="false">IF($B1544="","",IF(AND(N($I1544)=0,N($J1544)=0),"금액이 없습니다",IF(AND($I1544&gt;0,$J1544&gt;0),"수입·지출 둘 다 적혔습니다",IF($C1544="","결제수단을 고르십시오",IF(ISNA(MATCH($C1544,'통합 ③ 통장·카드'!$A$5:$A$11,0)),"③ 통장·카드에 없는 결제수단입니다",IF($D1544="","계정과목을 고르십시오",IF($E1544="※없는 과목","④ 설정에 없는 과목입니다",IF(AND($E1544="수입",$J1544&gt;0),"수입 과목인데 지출에 적혔습니다",IF(AND(LEFT($E1544,2)&lt;&gt;"수입",$E1544&lt;&gt;"대체",$I1544&gt;0),"지출 과목인데 수입에 적혔습니다",IF($K1544="","증빙을 고르십시오",IF(AND($C1544="바우처통장",$J1544&gt;0,IFERROR(INDEX('통합 ④ 설정'!$E$6:$E$40,MATCH($D1544,'통합 ④ 설정'!$B$6:$B$40,0)),"")&lt;&gt;"○"),"바우처통장 지출 — 목적 확인",IF($H1544="","적요를 적으십시오",""))))))))))))</f>
        <v/>
      </c>
      <c r="M1544" s="39"/>
      <c r="O1544" s="11" t="str">
        <f aca="false">IF($B1544="","",YEAR($B1544)*100+MONTH($B1544))</f>
        <v/>
      </c>
      <c r="P1544" s="11" t="str">
        <f aca="false">IF($B1544="","",IF($E1544="대체",0,1))</f>
        <v/>
      </c>
    </row>
    <row r="1545" customFormat="false" ht="15" hidden="false" customHeight="false" outlineLevel="0" collapsed="false">
      <c r="A1545" s="36" t="str">
        <f aca="false">IF($B1545="","",COUNT($B$15:$B1545))</f>
        <v/>
      </c>
      <c r="B1545" s="37"/>
      <c r="C1545" s="38"/>
      <c r="D1545" s="39"/>
      <c r="E1545" s="36" t="str">
        <f aca="false">IF($D1545="","",IFERROR(INDEX('통합 ④ 설정'!$A$6:$A$40,MATCH($D1545,'통합 ④ 설정'!$B$6:$B$40,0)),"※없는 과목"))</f>
        <v/>
      </c>
      <c r="F1545" s="36" t="str">
        <f aca="false">IF($D1545="","",IFERROR(INDEX('통합 ④ 설정'!$C$6:$C$40,MATCH($D1545,'통합 ④ 설정'!$B$6:$B$40,0)),""))</f>
        <v/>
      </c>
      <c r="G1545" s="39"/>
      <c r="H1545" s="39"/>
      <c r="I1545" s="40"/>
      <c r="J1545" s="41"/>
      <c r="K1545" s="38"/>
      <c r="L1545" s="42" t="str">
        <f aca="false">IF($B1545="","",IF(AND(N($I1545)=0,N($J1545)=0),"금액이 없습니다",IF(AND($I1545&gt;0,$J1545&gt;0),"수입·지출 둘 다 적혔습니다",IF($C1545="","결제수단을 고르십시오",IF(ISNA(MATCH($C1545,'통합 ③ 통장·카드'!$A$5:$A$11,0)),"③ 통장·카드에 없는 결제수단입니다",IF($D1545="","계정과목을 고르십시오",IF($E1545="※없는 과목","④ 설정에 없는 과목입니다",IF(AND($E1545="수입",$J1545&gt;0),"수입 과목인데 지출에 적혔습니다",IF(AND(LEFT($E1545,2)&lt;&gt;"수입",$E1545&lt;&gt;"대체",$I1545&gt;0),"지출 과목인데 수입에 적혔습니다",IF($K1545="","증빙을 고르십시오",IF(AND($C1545="바우처통장",$J1545&gt;0,IFERROR(INDEX('통합 ④ 설정'!$E$6:$E$40,MATCH($D1545,'통합 ④ 설정'!$B$6:$B$40,0)),"")&lt;&gt;"○"),"바우처통장 지출 — 목적 확인",IF($H1545="","적요를 적으십시오",""))))))))))))</f>
        <v/>
      </c>
      <c r="M1545" s="39"/>
      <c r="O1545" s="11" t="str">
        <f aca="false">IF($B1545="","",YEAR($B1545)*100+MONTH($B1545))</f>
        <v/>
      </c>
      <c r="P1545" s="11" t="str">
        <f aca="false">IF($B1545="","",IF($E1545="대체",0,1))</f>
        <v/>
      </c>
    </row>
    <row r="1546" customFormat="false" ht="15" hidden="false" customHeight="false" outlineLevel="0" collapsed="false">
      <c r="A1546" s="36" t="str">
        <f aca="false">IF($B1546="","",COUNT($B$15:$B1546))</f>
        <v/>
      </c>
      <c r="B1546" s="37"/>
      <c r="C1546" s="38"/>
      <c r="D1546" s="39"/>
      <c r="E1546" s="36" t="str">
        <f aca="false">IF($D1546="","",IFERROR(INDEX('통합 ④ 설정'!$A$6:$A$40,MATCH($D1546,'통합 ④ 설정'!$B$6:$B$40,0)),"※없는 과목"))</f>
        <v/>
      </c>
      <c r="F1546" s="36" t="str">
        <f aca="false">IF($D1546="","",IFERROR(INDEX('통합 ④ 설정'!$C$6:$C$40,MATCH($D1546,'통합 ④ 설정'!$B$6:$B$40,0)),""))</f>
        <v/>
      </c>
      <c r="G1546" s="39"/>
      <c r="H1546" s="39"/>
      <c r="I1546" s="40"/>
      <c r="J1546" s="41"/>
      <c r="K1546" s="38"/>
      <c r="L1546" s="42" t="str">
        <f aca="false">IF($B1546="","",IF(AND(N($I1546)=0,N($J1546)=0),"금액이 없습니다",IF(AND($I1546&gt;0,$J1546&gt;0),"수입·지출 둘 다 적혔습니다",IF($C1546="","결제수단을 고르십시오",IF(ISNA(MATCH($C1546,'통합 ③ 통장·카드'!$A$5:$A$11,0)),"③ 통장·카드에 없는 결제수단입니다",IF($D1546="","계정과목을 고르십시오",IF($E1546="※없는 과목","④ 설정에 없는 과목입니다",IF(AND($E1546="수입",$J1546&gt;0),"수입 과목인데 지출에 적혔습니다",IF(AND(LEFT($E1546,2)&lt;&gt;"수입",$E1546&lt;&gt;"대체",$I1546&gt;0),"지출 과목인데 수입에 적혔습니다",IF($K1546="","증빙을 고르십시오",IF(AND($C1546="바우처통장",$J1546&gt;0,IFERROR(INDEX('통합 ④ 설정'!$E$6:$E$40,MATCH($D1546,'통합 ④ 설정'!$B$6:$B$40,0)),"")&lt;&gt;"○"),"바우처통장 지출 — 목적 확인",IF($H1546="","적요를 적으십시오",""))))))))))))</f>
        <v/>
      </c>
      <c r="M1546" s="39"/>
      <c r="O1546" s="11" t="str">
        <f aca="false">IF($B1546="","",YEAR($B1546)*100+MONTH($B1546))</f>
        <v/>
      </c>
      <c r="P1546" s="11" t="str">
        <f aca="false">IF($B1546="","",IF($E1546="대체",0,1))</f>
        <v/>
      </c>
    </row>
    <row r="1547" customFormat="false" ht="15" hidden="false" customHeight="false" outlineLevel="0" collapsed="false">
      <c r="A1547" s="36" t="str">
        <f aca="false">IF($B1547="","",COUNT($B$15:$B1547))</f>
        <v/>
      </c>
      <c r="B1547" s="37"/>
      <c r="C1547" s="38"/>
      <c r="D1547" s="39"/>
      <c r="E1547" s="36" t="str">
        <f aca="false">IF($D1547="","",IFERROR(INDEX('통합 ④ 설정'!$A$6:$A$40,MATCH($D1547,'통합 ④ 설정'!$B$6:$B$40,0)),"※없는 과목"))</f>
        <v/>
      </c>
      <c r="F1547" s="36" t="str">
        <f aca="false">IF($D1547="","",IFERROR(INDEX('통합 ④ 설정'!$C$6:$C$40,MATCH($D1547,'통합 ④ 설정'!$B$6:$B$40,0)),""))</f>
        <v/>
      </c>
      <c r="G1547" s="39"/>
      <c r="H1547" s="39"/>
      <c r="I1547" s="40"/>
      <c r="J1547" s="41"/>
      <c r="K1547" s="38"/>
      <c r="L1547" s="42" t="str">
        <f aca="false">IF($B1547="","",IF(AND(N($I1547)=0,N($J1547)=0),"금액이 없습니다",IF(AND($I1547&gt;0,$J1547&gt;0),"수입·지출 둘 다 적혔습니다",IF($C1547="","결제수단을 고르십시오",IF(ISNA(MATCH($C1547,'통합 ③ 통장·카드'!$A$5:$A$11,0)),"③ 통장·카드에 없는 결제수단입니다",IF($D1547="","계정과목을 고르십시오",IF($E1547="※없는 과목","④ 설정에 없는 과목입니다",IF(AND($E1547="수입",$J1547&gt;0),"수입 과목인데 지출에 적혔습니다",IF(AND(LEFT($E1547,2)&lt;&gt;"수입",$E1547&lt;&gt;"대체",$I1547&gt;0),"지출 과목인데 수입에 적혔습니다",IF($K1547="","증빙을 고르십시오",IF(AND($C1547="바우처통장",$J1547&gt;0,IFERROR(INDEX('통합 ④ 설정'!$E$6:$E$40,MATCH($D1547,'통합 ④ 설정'!$B$6:$B$40,0)),"")&lt;&gt;"○"),"바우처통장 지출 — 목적 확인",IF($H1547="","적요를 적으십시오",""))))))))))))</f>
        <v/>
      </c>
      <c r="M1547" s="39"/>
      <c r="O1547" s="11" t="str">
        <f aca="false">IF($B1547="","",YEAR($B1547)*100+MONTH($B1547))</f>
        <v/>
      </c>
      <c r="P1547" s="11" t="str">
        <f aca="false">IF($B1547="","",IF($E1547="대체",0,1))</f>
        <v/>
      </c>
    </row>
    <row r="1548" customFormat="false" ht="15" hidden="false" customHeight="false" outlineLevel="0" collapsed="false">
      <c r="A1548" s="36" t="str">
        <f aca="false">IF($B1548="","",COUNT($B$15:$B1548))</f>
        <v/>
      </c>
      <c r="B1548" s="37"/>
      <c r="C1548" s="38"/>
      <c r="D1548" s="39"/>
      <c r="E1548" s="36" t="str">
        <f aca="false">IF($D1548="","",IFERROR(INDEX('통합 ④ 설정'!$A$6:$A$40,MATCH($D1548,'통합 ④ 설정'!$B$6:$B$40,0)),"※없는 과목"))</f>
        <v/>
      </c>
      <c r="F1548" s="36" t="str">
        <f aca="false">IF($D1548="","",IFERROR(INDEX('통합 ④ 설정'!$C$6:$C$40,MATCH($D1548,'통합 ④ 설정'!$B$6:$B$40,0)),""))</f>
        <v/>
      </c>
      <c r="G1548" s="39"/>
      <c r="H1548" s="39"/>
      <c r="I1548" s="40"/>
      <c r="J1548" s="41"/>
      <c r="K1548" s="38"/>
      <c r="L1548" s="42" t="str">
        <f aca="false">IF($B1548="","",IF(AND(N($I1548)=0,N($J1548)=0),"금액이 없습니다",IF(AND($I1548&gt;0,$J1548&gt;0),"수입·지출 둘 다 적혔습니다",IF($C1548="","결제수단을 고르십시오",IF(ISNA(MATCH($C1548,'통합 ③ 통장·카드'!$A$5:$A$11,0)),"③ 통장·카드에 없는 결제수단입니다",IF($D1548="","계정과목을 고르십시오",IF($E1548="※없는 과목","④ 설정에 없는 과목입니다",IF(AND($E1548="수입",$J1548&gt;0),"수입 과목인데 지출에 적혔습니다",IF(AND(LEFT($E1548,2)&lt;&gt;"수입",$E1548&lt;&gt;"대체",$I1548&gt;0),"지출 과목인데 수입에 적혔습니다",IF($K1548="","증빙을 고르십시오",IF(AND($C1548="바우처통장",$J1548&gt;0,IFERROR(INDEX('통합 ④ 설정'!$E$6:$E$40,MATCH($D1548,'통합 ④ 설정'!$B$6:$B$40,0)),"")&lt;&gt;"○"),"바우처통장 지출 — 목적 확인",IF($H1548="","적요를 적으십시오",""))))))))))))</f>
        <v/>
      </c>
      <c r="M1548" s="39"/>
      <c r="O1548" s="11" t="str">
        <f aca="false">IF($B1548="","",YEAR($B1548)*100+MONTH($B1548))</f>
        <v/>
      </c>
      <c r="P1548" s="11" t="str">
        <f aca="false">IF($B1548="","",IF($E1548="대체",0,1))</f>
        <v/>
      </c>
    </row>
    <row r="1549" customFormat="false" ht="15" hidden="false" customHeight="false" outlineLevel="0" collapsed="false">
      <c r="A1549" s="36" t="str">
        <f aca="false">IF($B1549="","",COUNT($B$15:$B1549))</f>
        <v/>
      </c>
      <c r="B1549" s="37"/>
      <c r="C1549" s="38"/>
      <c r="D1549" s="39"/>
      <c r="E1549" s="36" t="str">
        <f aca="false">IF($D1549="","",IFERROR(INDEX('통합 ④ 설정'!$A$6:$A$40,MATCH($D1549,'통합 ④ 설정'!$B$6:$B$40,0)),"※없는 과목"))</f>
        <v/>
      </c>
      <c r="F1549" s="36" t="str">
        <f aca="false">IF($D1549="","",IFERROR(INDEX('통합 ④ 설정'!$C$6:$C$40,MATCH($D1549,'통합 ④ 설정'!$B$6:$B$40,0)),""))</f>
        <v/>
      </c>
      <c r="G1549" s="39"/>
      <c r="H1549" s="39"/>
      <c r="I1549" s="40"/>
      <c r="J1549" s="41"/>
      <c r="K1549" s="38"/>
      <c r="L1549" s="42" t="str">
        <f aca="false">IF($B1549="","",IF(AND(N($I1549)=0,N($J1549)=0),"금액이 없습니다",IF(AND($I1549&gt;0,$J1549&gt;0),"수입·지출 둘 다 적혔습니다",IF($C1549="","결제수단을 고르십시오",IF(ISNA(MATCH($C1549,'통합 ③ 통장·카드'!$A$5:$A$11,0)),"③ 통장·카드에 없는 결제수단입니다",IF($D1549="","계정과목을 고르십시오",IF($E1549="※없는 과목","④ 설정에 없는 과목입니다",IF(AND($E1549="수입",$J1549&gt;0),"수입 과목인데 지출에 적혔습니다",IF(AND(LEFT($E1549,2)&lt;&gt;"수입",$E1549&lt;&gt;"대체",$I1549&gt;0),"지출 과목인데 수입에 적혔습니다",IF($K1549="","증빙을 고르십시오",IF(AND($C1549="바우처통장",$J1549&gt;0,IFERROR(INDEX('통합 ④ 설정'!$E$6:$E$40,MATCH($D1549,'통합 ④ 설정'!$B$6:$B$40,0)),"")&lt;&gt;"○"),"바우처통장 지출 — 목적 확인",IF($H1549="","적요를 적으십시오",""))))))))))))</f>
        <v/>
      </c>
      <c r="M1549" s="39"/>
      <c r="O1549" s="11" t="str">
        <f aca="false">IF($B1549="","",YEAR($B1549)*100+MONTH($B1549))</f>
        <v/>
      </c>
      <c r="P1549" s="11" t="str">
        <f aca="false">IF($B1549="","",IF($E1549="대체",0,1))</f>
        <v/>
      </c>
    </row>
    <row r="1550" customFormat="false" ht="15" hidden="false" customHeight="false" outlineLevel="0" collapsed="false">
      <c r="A1550" s="36" t="str">
        <f aca="false">IF($B1550="","",COUNT($B$15:$B1550))</f>
        <v/>
      </c>
      <c r="B1550" s="37"/>
      <c r="C1550" s="38"/>
      <c r="D1550" s="39"/>
      <c r="E1550" s="36" t="str">
        <f aca="false">IF($D1550="","",IFERROR(INDEX('통합 ④ 설정'!$A$6:$A$40,MATCH($D1550,'통합 ④ 설정'!$B$6:$B$40,0)),"※없는 과목"))</f>
        <v/>
      </c>
      <c r="F1550" s="36" t="str">
        <f aca="false">IF($D1550="","",IFERROR(INDEX('통합 ④ 설정'!$C$6:$C$40,MATCH($D1550,'통합 ④ 설정'!$B$6:$B$40,0)),""))</f>
        <v/>
      </c>
      <c r="G1550" s="39"/>
      <c r="H1550" s="39"/>
      <c r="I1550" s="40"/>
      <c r="J1550" s="41"/>
      <c r="K1550" s="38"/>
      <c r="L1550" s="42" t="str">
        <f aca="false">IF($B1550="","",IF(AND(N($I1550)=0,N($J1550)=0),"금액이 없습니다",IF(AND($I1550&gt;0,$J1550&gt;0),"수입·지출 둘 다 적혔습니다",IF($C1550="","결제수단을 고르십시오",IF(ISNA(MATCH($C1550,'통합 ③ 통장·카드'!$A$5:$A$11,0)),"③ 통장·카드에 없는 결제수단입니다",IF($D1550="","계정과목을 고르십시오",IF($E1550="※없는 과목","④ 설정에 없는 과목입니다",IF(AND($E1550="수입",$J1550&gt;0),"수입 과목인데 지출에 적혔습니다",IF(AND(LEFT($E1550,2)&lt;&gt;"수입",$E1550&lt;&gt;"대체",$I1550&gt;0),"지출 과목인데 수입에 적혔습니다",IF($K1550="","증빙을 고르십시오",IF(AND($C1550="바우처통장",$J1550&gt;0,IFERROR(INDEX('통합 ④ 설정'!$E$6:$E$40,MATCH($D1550,'통합 ④ 설정'!$B$6:$B$40,0)),"")&lt;&gt;"○"),"바우처통장 지출 — 목적 확인",IF($H1550="","적요를 적으십시오",""))))))))))))</f>
        <v/>
      </c>
      <c r="M1550" s="39"/>
      <c r="O1550" s="11" t="str">
        <f aca="false">IF($B1550="","",YEAR($B1550)*100+MONTH($B1550))</f>
        <v/>
      </c>
      <c r="P1550" s="11" t="str">
        <f aca="false">IF($B1550="","",IF($E1550="대체",0,1))</f>
        <v/>
      </c>
    </row>
    <row r="1551" customFormat="false" ht="15" hidden="false" customHeight="false" outlineLevel="0" collapsed="false">
      <c r="A1551" s="36" t="str">
        <f aca="false">IF($B1551="","",COUNT($B$15:$B1551))</f>
        <v/>
      </c>
      <c r="B1551" s="37"/>
      <c r="C1551" s="38"/>
      <c r="D1551" s="39"/>
      <c r="E1551" s="36" t="str">
        <f aca="false">IF($D1551="","",IFERROR(INDEX('통합 ④ 설정'!$A$6:$A$40,MATCH($D1551,'통합 ④ 설정'!$B$6:$B$40,0)),"※없는 과목"))</f>
        <v/>
      </c>
      <c r="F1551" s="36" t="str">
        <f aca="false">IF($D1551="","",IFERROR(INDEX('통합 ④ 설정'!$C$6:$C$40,MATCH($D1551,'통합 ④ 설정'!$B$6:$B$40,0)),""))</f>
        <v/>
      </c>
      <c r="G1551" s="39"/>
      <c r="H1551" s="39"/>
      <c r="I1551" s="40"/>
      <c r="J1551" s="41"/>
      <c r="K1551" s="38"/>
      <c r="L1551" s="42" t="str">
        <f aca="false">IF($B1551="","",IF(AND(N($I1551)=0,N($J1551)=0),"금액이 없습니다",IF(AND($I1551&gt;0,$J1551&gt;0),"수입·지출 둘 다 적혔습니다",IF($C1551="","결제수단을 고르십시오",IF(ISNA(MATCH($C1551,'통합 ③ 통장·카드'!$A$5:$A$11,0)),"③ 통장·카드에 없는 결제수단입니다",IF($D1551="","계정과목을 고르십시오",IF($E1551="※없는 과목","④ 설정에 없는 과목입니다",IF(AND($E1551="수입",$J1551&gt;0),"수입 과목인데 지출에 적혔습니다",IF(AND(LEFT($E1551,2)&lt;&gt;"수입",$E1551&lt;&gt;"대체",$I1551&gt;0),"지출 과목인데 수입에 적혔습니다",IF($K1551="","증빙을 고르십시오",IF(AND($C1551="바우처통장",$J1551&gt;0,IFERROR(INDEX('통합 ④ 설정'!$E$6:$E$40,MATCH($D1551,'통합 ④ 설정'!$B$6:$B$40,0)),"")&lt;&gt;"○"),"바우처통장 지출 — 목적 확인",IF($H1551="","적요를 적으십시오",""))))))))))))</f>
        <v/>
      </c>
      <c r="M1551" s="39"/>
      <c r="O1551" s="11" t="str">
        <f aca="false">IF($B1551="","",YEAR($B1551)*100+MONTH($B1551))</f>
        <v/>
      </c>
      <c r="P1551" s="11" t="str">
        <f aca="false">IF($B1551="","",IF($E1551="대체",0,1))</f>
        <v/>
      </c>
    </row>
    <row r="1552" customFormat="false" ht="15" hidden="false" customHeight="false" outlineLevel="0" collapsed="false">
      <c r="A1552" s="36" t="str">
        <f aca="false">IF($B1552="","",COUNT($B$15:$B1552))</f>
        <v/>
      </c>
      <c r="B1552" s="37"/>
      <c r="C1552" s="38"/>
      <c r="D1552" s="39"/>
      <c r="E1552" s="36" t="str">
        <f aca="false">IF($D1552="","",IFERROR(INDEX('통합 ④ 설정'!$A$6:$A$40,MATCH($D1552,'통합 ④ 설정'!$B$6:$B$40,0)),"※없는 과목"))</f>
        <v/>
      </c>
      <c r="F1552" s="36" t="str">
        <f aca="false">IF($D1552="","",IFERROR(INDEX('통합 ④ 설정'!$C$6:$C$40,MATCH($D1552,'통합 ④ 설정'!$B$6:$B$40,0)),""))</f>
        <v/>
      </c>
      <c r="G1552" s="39"/>
      <c r="H1552" s="39"/>
      <c r="I1552" s="40"/>
      <c r="J1552" s="41"/>
      <c r="K1552" s="38"/>
      <c r="L1552" s="42" t="str">
        <f aca="false">IF($B1552="","",IF(AND(N($I1552)=0,N($J1552)=0),"금액이 없습니다",IF(AND($I1552&gt;0,$J1552&gt;0),"수입·지출 둘 다 적혔습니다",IF($C1552="","결제수단을 고르십시오",IF(ISNA(MATCH($C1552,'통합 ③ 통장·카드'!$A$5:$A$11,0)),"③ 통장·카드에 없는 결제수단입니다",IF($D1552="","계정과목을 고르십시오",IF($E1552="※없는 과목","④ 설정에 없는 과목입니다",IF(AND($E1552="수입",$J1552&gt;0),"수입 과목인데 지출에 적혔습니다",IF(AND(LEFT($E1552,2)&lt;&gt;"수입",$E1552&lt;&gt;"대체",$I1552&gt;0),"지출 과목인데 수입에 적혔습니다",IF($K1552="","증빙을 고르십시오",IF(AND($C1552="바우처통장",$J1552&gt;0,IFERROR(INDEX('통합 ④ 설정'!$E$6:$E$40,MATCH($D1552,'통합 ④ 설정'!$B$6:$B$40,0)),"")&lt;&gt;"○"),"바우처통장 지출 — 목적 확인",IF($H1552="","적요를 적으십시오",""))))))))))))</f>
        <v/>
      </c>
      <c r="M1552" s="39"/>
      <c r="O1552" s="11" t="str">
        <f aca="false">IF($B1552="","",YEAR($B1552)*100+MONTH($B1552))</f>
        <v/>
      </c>
      <c r="P1552" s="11" t="str">
        <f aca="false">IF($B1552="","",IF($E1552="대체",0,1))</f>
        <v/>
      </c>
    </row>
    <row r="1553" customFormat="false" ht="15" hidden="false" customHeight="false" outlineLevel="0" collapsed="false">
      <c r="A1553" s="36" t="str">
        <f aca="false">IF($B1553="","",COUNT($B$15:$B1553))</f>
        <v/>
      </c>
      <c r="B1553" s="37"/>
      <c r="C1553" s="38"/>
      <c r="D1553" s="39"/>
      <c r="E1553" s="36" t="str">
        <f aca="false">IF($D1553="","",IFERROR(INDEX('통합 ④ 설정'!$A$6:$A$40,MATCH($D1553,'통합 ④ 설정'!$B$6:$B$40,0)),"※없는 과목"))</f>
        <v/>
      </c>
      <c r="F1553" s="36" t="str">
        <f aca="false">IF($D1553="","",IFERROR(INDEX('통합 ④ 설정'!$C$6:$C$40,MATCH($D1553,'통합 ④ 설정'!$B$6:$B$40,0)),""))</f>
        <v/>
      </c>
      <c r="G1553" s="39"/>
      <c r="H1553" s="39"/>
      <c r="I1553" s="40"/>
      <c r="J1553" s="41"/>
      <c r="K1553" s="38"/>
      <c r="L1553" s="42" t="str">
        <f aca="false">IF($B1553="","",IF(AND(N($I1553)=0,N($J1553)=0),"금액이 없습니다",IF(AND($I1553&gt;0,$J1553&gt;0),"수입·지출 둘 다 적혔습니다",IF($C1553="","결제수단을 고르십시오",IF(ISNA(MATCH($C1553,'통합 ③ 통장·카드'!$A$5:$A$11,0)),"③ 통장·카드에 없는 결제수단입니다",IF($D1553="","계정과목을 고르십시오",IF($E1553="※없는 과목","④ 설정에 없는 과목입니다",IF(AND($E1553="수입",$J1553&gt;0),"수입 과목인데 지출에 적혔습니다",IF(AND(LEFT($E1553,2)&lt;&gt;"수입",$E1553&lt;&gt;"대체",$I1553&gt;0),"지출 과목인데 수입에 적혔습니다",IF($K1553="","증빙을 고르십시오",IF(AND($C1553="바우처통장",$J1553&gt;0,IFERROR(INDEX('통합 ④ 설정'!$E$6:$E$40,MATCH($D1553,'통합 ④ 설정'!$B$6:$B$40,0)),"")&lt;&gt;"○"),"바우처통장 지출 — 목적 확인",IF($H1553="","적요를 적으십시오",""))))))))))))</f>
        <v/>
      </c>
      <c r="M1553" s="39"/>
      <c r="O1553" s="11" t="str">
        <f aca="false">IF($B1553="","",YEAR($B1553)*100+MONTH($B1553))</f>
        <v/>
      </c>
      <c r="P1553" s="11" t="str">
        <f aca="false">IF($B1553="","",IF($E1553="대체",0,1))</f>
        <v/>
      </c>
    </row>
    <row r="1554" customFormat="false" ht="15" hidden="false" customHeight="false" outlineLevel="0" collapsed="false">
      <c r="A1554" s="36" t="str">
        <f aca="false">IF($B1554="","",COUNT($B$15:$B1554))</f>
        <v/>
      </c>
      <c r="B1554" s="37"/>
      <c r="C1554" s="38"/>
      <c r="D1554" s="39"/>
      <c r="E1554" s="36" t="str">
        <f aca="false">IF($D1554="","",IFERROR(INDEX('통합 ④ 설정'!$A$6:$A$40,MATCH($D1554,'통합 ④ 설정'!$B$6:$B$40,0)),"※없는 과목"))</f>
        <v/>
      </c>
      <c r="F1554" s="36" t="str">
        <f aca="false">IF($D1554="","",IFERROR(INDEX('통합 ④ 설정'!$C$6:$C$40,MATCH($D1554,'통합 ④ 설정'!$B$6:$B$40,0)),""))</f>
        <v/>
      </c>
      <c r="G1554" s="39"/>
      <c r="H1554" s="39"/>
      <c r="I1554" s="40"/>
      <c r="J1554" s="41"/>
      <c r="K1554" s="38"/>
      <c r="L1554" s="42" t="str">
        <f aca="false">IF($B1554="","",IF(AND(N($I1554)=0,N($J1554)=0),"금액이 없습니다",IF(AND($I1554&gt;0,$J1554&gt;0),"수입·지출 둘 다 적혔습니다",IF($C1554="","결제수단을 고르십시오",IF(ISNA(MATCH($C1554,'통합 ③ 통장·카드'!$A$5:$A$11,0)),"③ 통장·카드에 없는 결제수단입니다",IF($D1554="","계정과목을 고르십시오",IF($E1554="※없는 과목","④ 설정에 없는 과목입니다",IF(AND($E1554="수입",$J1554&gt;0),"수입 과목인데 지출에 적혔습니다",IF(AND(LEFT($E1554,2)&lt;&gt;"수입",$E1554&lt;&gt;"대체",$I1554&gt;0),"지출 과목인데 수입에 적혔습니다",IF($K1554="","증빙을 고르십시오",IF(AND($C1554="바우처통장",$J1554&gt;0,IFERROR(INDEX('통합 ④ 설정'!$E$6:$E$40,MATCH($D1554,'통합 ④ 설정'!$B$6:$B$40,0)),"")&lt;&gt;"○"),"바우처통장 지출 — 목적 확인",IF($H1554="","적요를 적으십시오",""))))))))))))</f>
        <v/>
      </c>
      <c r="M1554" s="39"/>
      <c r="O1554" s="11" t="str">
        <f aca="false">IF($B1554="","",YEAR($B1554)*100+MONTH($B1554))</f>
        <v/>
      </c>
      <c r="P1554" s="11" t="str">
        <f aca="false">IF($B1554="","",IF($E1554="대체",0,1))</f>
        <v/>
      </c>
    </row>
    <row r="1555" customFormat="false" ht="15" hidden="false" customHeight="false" outlineLevel="0" collapsed="false">
      <c r="A1555" s="36" t="str">
        <f aca="false">IF($B1555="","",COUNT($B$15:$B1555))</f>
        <v/>
      </c>
      <c r="B1555" s="37"/>
      <c r="C1555" s="38"/>
      <c r="D1555" s="39"/>
      <c r="E1555" s="36" t="str">
        <f aca="false">IF($D1555="","",IFERROR(INDEX('통합 ④ 설정'!$A$6:$A$40,MATCH($D1555,'통합 ④ 설정'!$B$6:$B$40,0)),"※없는 과목"))</f>
        <v/>
      </c>
      <c r="F1555" s="36" t="str">
        <f aca="false">IF($D1555="","",IFERROR(INDEX('통합 ④ 설정'!$C$6:$C$40,MATCH($D1555,'통합 ④ 설정'!$B$6:$B$40,0)),""))</f>
        <v/>
      </c>
      <c r="G1555" s="39"/>
      <c r="H1555" s="39"/>
      <c r="I1555" s="40"/>
      <c r="J1555" s="41"/>
      <c r="K1555" s="38"/>
      <c r="L1555" s="42" t="str">
        <f aca="false">IF($B1555="","",IF(AND(N($I1555)=0,N($J1555)=0),"금액이 없습니다",IF(AND($I1555&gt;0,$J1555&gt;0),"수입·지출 둘 다 적혔습니다",IF($C1555="","결제수단을 고르십시오",IF(ISNA(MATCH($C1555,'통합 ③ 통장·카드'!$A$5:$A$11,0)),"③ 통장·카드에 없는 결제수단입니다",IF($D1555="","계정과목을 고르십시오",IF($E1555="※없는 과목","④ 설정에 없는 과목입니다",IF(AND($E1555="수입",$J1555&gt;0),"수입 과목인데 지출에 적혔습니다",IF(AND(LEFT($E1555,2)&lt;&gt;"수입",$E1555&lt;&gt;"대체",$I1555&gt;0),"지출 과목인데 수입에 적혔습니다",IF($K1555="","증빙을 고르십시오",IF(AND($C1555="바우처통장",$J1555&gt;0,IFERROR(INDEX('통합 ④ 설정'!$E$6:$E$40,MATCH($D1555,'통합 ④ 설정'!$B$6:$B$40,0)),"")&lt;&gt;"○"),"바우처통장 지출 — 목적 확인",IF($H1555="","적요를 적으십시오",""))))))))))))</f>
        <v/>
      </c>
      <c r="M1555" s="39"/>
      <c r="O1555" s="11" t="str">
        <f aca="false">IF($B1555="","",YEAR($B1555)*100+MONTH($B1555))</f>
        <v/>
      </c>
      <c r="P1555" s="11" t="str">
        <f aca="false">IF($B1555="","",IF($E1555="대체",0,1))</f>
        <v/>
      </c>
    </row>
    <row r="1556" customFormat="false" ht="15" hidden="false" customHeight="false" outlineLevel="0" collapsed="false">
      <c r="A1556" s="36" t="str">
        <f aca="false">IF($B1556="","",COUNT($B$15:$B1556))</f>
        <v/>
      </c>
      <c r="B1556" s="37"/>
      <c r="C1556" s="38"/>
      <c r="D1556" s="39"/>
      <c r="E1556" s="36" t="str">
        <f aca="false">IF($D1556="","",IFERROR(INDEX('통합 ④ 설정'!$A$6:$A$40,MATCH($D1556,'통합 ④ 설정'!$B$6:$B$40,0)),"※없는 과목"))</f>
        <v/>
      </c>
      <c r="F1556" s="36" t="str">
        <f aca="false">IF($D1556="","",IFERROR(INDEX('통합 ④ 설정'!$C$6:$C$40,MATCH($D1556,'통합 ④ 설정'!$B$6:$B$40,0)),""))</f>
        <v/>
      </c>
      <c r="G1556" s="39"/>
      <c r="H1556" s="39"/>
      <c r="I1556" s="40"/>
      <c r="J1556" s="41"/>
      <c r="K1556" s="38"/>
      <c r="L1556" s="42" t="str">
        <f aca="false">IF($B1556="","",IF(AND(N($I1556)=0,N($J1556)=0),"금액이 없습니다",IF(AND($I1556&gt;0,$J1556&gt;0),"수입·지출 둘 다 적혔습니다",IF($C1556="","결제수단을 고르십시오",IF(ISNA(MATCH($C1556,'통합 ③ 통장·카드'!$A$5:$A$11,0)),"③ 통장·카드에 없는 결제수단입니다",IF($D1556="","계정과목을 고르십시오",IF($E1556="※없는 과목","④ 설정에 없는 과목입니다",IF(AND($E1556="수입",$J1556&gt;0),"수입 과목인데 지출에 적혔습니다",IF(AND(LEFT($E1556,2)&lt;&gt;"수입",$E1556&lt;&gt;"대체",$I1556&gt;0),"지출 과목인데 수입에 적혔습니다",IF($K1556="","증빙을 고르십시오",IF(AND($C1556="바우처통장",$J1556&gt;0,IFERROR(INDEX('통합 ④ 설정'!$E$6:$E$40,MATCH($D1556,'통합 ④ 설정'!$B$6:$B$40,0)),"")&lt;&gt;"○"),"바우처통장 지출 — 목적 확인",IF($H1556="","적요를 적으십시오",""))))))))))))</f>
        <v/>
      </c>
      <c r="M1556" s="39"/>
      <c r="O1556" s="11" t="str">
        <f aca="false">IF($B1556="","",YEAR($B1556)*100+MONTH($B1556))</f>
        <v/>
      </c>
      <c r="P1556" s="11" t="str">
        <f aca="false">IF($B1556="","",IF($E1556="대체",0,1))</f>
        <v/>
      </c>
    </row>
    <row r="1557" customFormat="false" ht="15" hidden="false" customHeight="false" outlineLevel="0" collapsed="false">
      <c r="A1557" s="36" t="str">
        <f aca="false">IF($B1557="","",COUNT($B$15:$B1557))</f>
        <v/>
      </c>
      <c r="B1557" s="37"/>
      <c r="C1557" s="38"/>
      <c r="D1557" s="39"/>
      <c r="E1557" s="36" t="str">
        <f aca="false">IF($D1557="","",IFERROR(INDEX('통합 ④ 설정'!$A$6:$A$40,MATCH($D1557,'통합 ④ 설정'!$B$6:$B$40,0)),"※없는 과목"))</f>
        <v/>
      </c>
      <c r="F1557" s="36" t="str">
        <f aca="false">IF($D1557="","",IFERROR(INDEX('통합 ④ 설정'!$C$6:$C$40,MATCH($D1557,'통합 ④ 설정'!$B$6:$B$40,0)),""))</f>
        <v/>
      </c>
      <c r="G1557" s="39"/>
      <c r="H1557" s="39"/>
      <c r="I1557" s="40"/>
      <c r="J1557" s="41"/>
      <c r="K1557" s="38"/>
      <c r="L1557" s="42" t="str">
        <f aca="false">IF($B1557="","",IF(AND(N($I1557)=0,N($J1557)=0),"금액이 없습니다",IF(AND($I1557&gt;0,$J1557&gt;0),"수입·지출 둘 다 적혔습니다",IF($C1557="","결제수단을 고르십시오",IF(ISNA(MATCH($C1557,'통합 ③ 통장·카드'!$A$5:$A$11,0)),"③ 통장·카드에 없는 결제수단입니다",IF($D1557="","계정과목을 고르십시오",IF($E1557="※없는 과목","④ 설정에 없는 과목입니다",IF(AND($E1557="수입",$J1557&gt;0),"수입 과목인데 지출에 적혔습니다",IF(AND(LEFT($E1557,2)&lt;&gt;"수입",$E1557&lt;&gt;"대체",$I1557&gt;0),"지출 과목인데 수입에 적혔습니다",IF($K1557="","증빙을 고르십시오",IF(AND($C1557="바우처통장",$J1557&gt;0,IFERROR(INDEX('통합 ④ 설정'!$E$6:$E$40,MATCH($D1557,'통합 ④ 설정'!$B$6:$B$40,0)),"")&lt;&gt;"○"),"바우처통장 지출 — 목적 확인",IF($H1557="","적요를 적으십시오",""))))))))))))</f>
        <v/>
      </c>
      <c r="M1557" s="39"/>
      <c r="O1557" s="11" t="str">
        <f aca="false">IF($B1557="","",YEAR($B1557)*100+MONTH($B1557))</f>
        <v/>
      </c>
      <c r="P1557" s="11" t="str">
        <f aca="false">IF($B1557="","",IF($E1557="대체",0,1))</f>
        <v/>
      </c>
    </row>
    <row r="1558" customFormat="false" ht="15" hidden="false" customHeight="false" outlineLevel="0" collapsed="false">
      <c r="A1558" s="36" t="str">
        <f aca="false">IF($B1558="","",COUNT($B$15:$B1558))</f>
        <v/>
      </c>
      <c r="B1558" s="37"/>
      <c r="C1558" s="38"/>
      <c r="D1558" s="39"/>
      <c r="E1558" s="36" t="str">
        <f aca="false">IF($D1558="","",IFERROR(INDEX('통합 ④ 설정'!$A$6:$A$40,MATCH($D1558,'통합 ④ 설정'!$B$6:$B$40,0)),"※없는 과목"))</f>
        <v/>
      </c>
      <c r="F1558" s="36" t="str">
        <f aca="false">IF($D1558="","",IFERROR(INDEX('통합 ④ 설정'!$C$6:$C$40,MATCH($D1558,'통합 ④ 설정'!$B$6:$B$40,0)),""))</f>
        <v/>
      </c>
      <c r="G1558" s="39"/>
      <c r="H1558" s="39"/>
      <c r="I1558" s="40"/>
      <c r="J1558" s="41"/>
      <c r="K1558" s="38"/>
      <c r="L1558" s="42" t="str">
        <f aca="false">IF($B1558="","",IF(AND(N($I1558)=0,N($J1558)=0),"금액이 없습니다",IF(AND($I1558&gt;0,$J1558&gt;0),"수입·지출 둘 다 적혔습니다",IF($C1558="","결제수단을 고르십시오",IF(ISNA(MATCH($C1558,'통합 ③ 통장·카드'!$A$5:$A$11,0)),"③ 통장·카드에 없는 결제수단입니다",IF($D1558="","계정과목을 고르십시오",IF($E1558="※없는 과목","④ 설정에 없는 과목입니다",IF(AND($E1558="수입",$J1558&gt;0),"수입 과목인데 지출에 적혔습니다",IF(AND(LEFT($E1558,2)&lt;&gt;"수입",$E1558&lt;&gt;"대체",$I1558&gt;0),"지출 과목인데 수입에 적혔습니다",IF($K1558="","증빙을 고르십시오",IF(AND($C1558="바우처통장",$J1558&gt;0,IFERROR(INDEX('통합 ④ 설정'!$E$6:$E$40,MATCH($D1558,'통합 ④ 설정'!$B$6:$B$40,0)),"")&lt;&gt;"○"),"바우처통장 지출 — 목적 확인",IF($H1558="","적요를 적으십시오",""))))))))))))</f>
        <v/>
      </c>
      <c r="M1558" s="39"/>
      <c r="O1558" s="11" t="str">
        <f aca="false">IF($B1558="","",YEAR($B1558)*100+MONTH($B1558))</f>
        <v/>
      </c>
      <c r="P1558" s="11" t="str">
        <f aca="false">IF($B1558="","",IF($E1558="대체",0,1))</f>
        <v/>
      </c>
    </row>
    <row r="1559" customFormat="false" ht="15" hidden="false" customHeight="false" outlineLevel="0" collapsed="false">
      <c r="A1559" s="36" t="str">
        <f aca="false">IF($B1559="","",COUNT($B$15:$B1559))</f>
        <v/>
      </c>
      <c r="B1559" s="37"/>
      <c r="C1559" s="38"/>
      <c r="D1559" s="39"/>
      <c r="E1559" s="36" t="str">
        <f aca="false">IF($D1559="","",IFERROR(INDEX('통합 ④ 설정'!$A$6:$A$40,MATCH($D1559,'통합 ④ 설정'!$B$6:$B$40,0)),"※없는 과목"))</f>
        <v/>
      </c>
      <c r="F1559" s="36" t="str">
        <f aca="false">IF($D1559="","",IFERROR(INDEX('통합 ④ 설정'!$C$6:$C$40,MATCH($D1559,'통합 ④ 설정'!$B$6:$B$40,0)),""))</f>
        <v/>
      </c>
      <c r="G1559" s="39"/>
      <c r="H1559" s="39"/>
      <c r="I1559" s="40"/>
      <c r="J1559" s="41"/>
      <c r="K1559" s="38"/>
      <c r="L1559" s="42" t="str">
        <f aca="false">IF($B1559="","",IF(AND(N($I1559)=0,N($J1559)=0),"금액이 없습니다",IF(AND($I1559&gt;0,$J1559&gt;0),"수입·지출 둘 다 적혔습니다",IF($C1559="","결제수단을 고르십시오",IF(ISNA(MATCH($C1559,'통합 ③ 통장·카드'!$A$5:$A$11,0)),"③ 통장·카드에 없는 결제수단입니다",IF($D1559="","계정과목을 고르십시오",IF($E1559="※없는 과목","④ 설정에 없는 과목입니다",IF(AND($E1559="수입",$J1559&gt;0),"수입 과목인데 지출에 적혔습니다",IF(AND(LEFT($E1559,2)&lt;&gt;"수입",$E1559&lt;&gt;"대체",$I1559&gt;0),"지출 과목인데 수입에 적혔습니다",IF($K1559="","증빙을 고르십시오",IF(AND($C1559="바우처통장",$J1559&gt;0,IFERROR(INDEX('통합 ④ 설정'!$E$6:$E$40,MATCH($D1559,'통합 ④ 설정'!$B$6:$B$40,0)),"")&lt;&gt;"○"),"바우처통장 지출 — 목적 확인",IF($H1559="","적요를 적으십시오",""))))))))))))</f>
        <v/>
      </c>
      <c r="M1559" s="39"/>
      <c r="O1559" s="11" t="str">
        <f aca="false">IF($B1559="","",YEAR($B1559)*100+MONTH($B1559))</f>
        <v/>
      </c>
      <c r="P1559" s="11" t="str">
        <f aca="false">IF($B1559="","",IF($E1559="대체",0,1))</f>
        <v/>
      </c>
    </row>
    <row r="1560" customFormat="false" ht="15" hidden="false" customHeight="false" outlineLevel="0" collapsed="false">
      <c r="A1560" s="36" t="str">
        <f aca="false">IF($B1560="","",COUNT($B$15:$B1560))</f>
        <v/>
      </c>
      <c r="B1560" s="37"/>
      <c r="C1560" s="38"/>
      <c r="D1560" s="39"/>
      <c r="E1560" s="36" t="str">
        <f aca="false">IF($D1560="","",IFERROR(INDEX('통합 ④ 설정'!$A$6:$A$40,MATCH($D1560,'통합 ④ 설정'!$B$6:$B$40,0)),"※없는 과목"))</f>
        <v/>
      </c>
      <c r="F1560" s="36" t="str">
        <f aca="false">IF($D1560="","",IFERROR(INDEX('통합 ④ 설정'!$C$6:$C$40,MATCH($D1560,'통합 ④ 설정'!$B$6:$B$40,0)),""))</f>
        <v/>
      </c>
      <c r="G1560" s="39"/>
      <c r="H1560" s="39"/>
      <c r="I1560" s="40"/>
      <c r="J1560" s="41"/>
      <c r="K1560" s="38"/>
      <c r="L1560" s="42" t="str">
        <f aca="false">IF($B1560="","",IF(AND(N($I1560)=0,N($J1560)=0),"금액이 없습니다",IF(AND($I1560&gt;0,$J1560&gt;0),"수입·지출 둘 다 적혔습니다",IF($C1560="","결제수단을 고르십시오",IF(ISNA(MATCH($C1560,'통합 ③ 통장·카드'!$A$5:$A$11,0)),"③ 통장·카드에 없는 결제수단입니다",IF($D1560="","계정과목을 고르십시오",IF($E1560="※없는 과목","④ 설정에 없는 과목입니다",IF(AND($E1560="수입",$J1560&gt;0),"수입 과목인데 지출에 적혔습니다",IF(AND(LEFT($E1560,2)&lt;&gt;"수입",$E1560&lt;&gt;"대체",$I1560&gt;0),"지출 과목인데 수입에 적혔습니다",IF($K1560="","증빙을 고르십시오",IF(AND($C1560="바우처통장",$J1560&gt;0,IFERROR(INDEX('통합 ④ 설정'!$E$6:$E$40,MATCH($D1560,'통합 ④ 설정'!$B$6:$B$40,0)),"")&lt;&gt;"○"),"바우처통장 지출 — 목적 확인",IF($H1560="","적요를 적으십시오",""))))))))))))</f>
        <v/>
      </c>
      <c r="M1560" s="39"/>
      <c r="O1560" s="11" t="str">
        <f aca="false">IF($B1560="","",YEAR($B1560)*100+MONTH($B1560))</f>
        <v/>
      </c>
      <c r="P1560" s="11" t="str">
        <f aca="false">IF($B1560="","",IF($E1560="대체",0,1))</f>
        <v/>
      </c>
    </row>
    <row r="1561" customFormat="false" ht="15" hidden="false" customHeight="false" outlineLevel="0" collapsed="false">
      <c r="A1561" s="36" t="str">
        <f aca="false">IF($B1561="","",COUNT($B$15:$B1561))</f>
        <v/>
      </c>
      <c r="B1561" s="37"/>
      <c r="C1561" s="38"/>
      <c r="D1561" s="39"/>
      <c r="E1561" s="36" t="str">
        <f aca="false">IF($D1561="","",IFERROR(INDEX('통합 ④ 설정'!$A$6:$A$40,MATCH($D1561,'통합 ④ 설정'!$B$6:$B$40,0)),"※없는 과목"))</f>
        <v/>
      </c>
      <c r="F1561" s="36" t="str">
        <f aca="false">IF($D1561="","",IFERROR(INDEX('통합 ④ 설정'!$C$6:$C$40,MATCH($D1561,'통합 ④ 설정'!$B$6:$B$40,0)),""))</f>
        <v/>
      </c>
      <c r="G1561" s="39"/>
      <c r="H1561" s="39"/>
      <c r="I1561" s="40"/>
      <c r="J1561" s="41"/>
      <c r="K1561" s="38"/>
      <c r="L1561" s="42" t="str">
        <f aca="false">IF($B1561="","",IF(AND(N($I1561)=0,N($J1561)=0),"금액이 없습니다",IF(AND($I1561&gt;0,$J1561&gt;0),"수입·지출 둘 다 적혔습니다",IF($C1561="","결제수단을 고르십시오",IF(ISNA(MATCH($C1561,'통합 ③ 통장·카드'!$A$5:$A$11,0)),"③ 통장·카드에 없는 결제수단입니다",IF($D1561="","계정과목을 고르십시오",IF($E1561="※없는 과목","④ 설정에 없는 과목입니다",IF(AND($E1561="수입",$J1561&gt;0),"수입 과목인데 지출에 적혔습니다",IF(AND(LEFT($E1561,2)&lt;&gt;"수입",$E1561&lt;&gt;"대체",$I1561&gt;0),"지출 과목인데 수입에 적혔습니다",IF($K1561="","증빙을 고르십시오",IF(AND($C1561="바우처통장",$J1561&gt;0,IFERROR(INDEX('통합 ④ 설정'!$E$6:$E$40,MATCH($D1561,'통합 ④ 설정'!$B$6:$B$40,0)),"")&lt;&gt;"○"),"바우처통장 지출 — 목적 확인",IF($H1561="","적요를 적으십시오",""))))))))))))</f>
        <v/>
      </c>
      <c r="M1561" s="39"/>
      <c r="O1561" s="11" t="str">
        <f aca="false">IF($B1561="","",YEAR($B1561)*100+MONTH($B1561))</f>
        <v/>
      </c>
      <c r="P1561" s="11" t="str">
        <f aca="false">IF($B1561="","",IF($E1561="대체",0,1))</f>
        <v/>
      </c>
    </row>
    <row r="1562" customFormat="false" ht="15" hidden="false" customHeight="false" outlineLevel="0" collapsed="false">
      <c r="A1562" s="36" t="str">
        <f aca="false">IF($B1562="","",COUNT($B$15:$B1562))</f>
        <v/>
      </c>
      <c r="B1562" s="37"/>
      <c r="C1562" s="38"/>
      <c r="D1562" s="39"/>
      <c r="E1562" s="36" t="str">
        <f aca="false">IF($D1562="","",IFERROR(INDEX('통합 ④ 설정'!$A$6:$A$40,MATCH($D1562,'통합 ④ 설정'!$B$6:$B$40,0)),"※없는 과목"))</f>
        <v/>
      </c>
      <c r="F1562" s="36" t="str">
        <f aca="false">IF($D1562="","",IFERROR(INDEX('통합 ④ 설정'!$C$6:$C$40,MATCH($D1562,'통합 ④ 설정'!$B$6:$B$40,0)),""))</f>
        <v/>
      </c>
      <c r="G1562" s="39"/>
      <c r="H1562" s="39"/>
      <c r="I1562" s="40"/>
      <c r="J1562" s="41"/>
      <c r="K1562" s="38"/>
      <c r="L1562" s="42" t="str">
        <f aca="false">IF($B1562="","",IF(AND(N($I1562)=0,N($J1562)=0),"금액이 없습니다",IF(AND($I1562&gt;0,$J1562&gt;0),"수입·지출 둘 다 적혔습니다",IF($C1562="","결제수단을 고르십시오",IF(ISNA(MATCH($C1562,'통합 ③ 통장·카드'!$A$5:$A$11,0)),"③ 통장·카드에 없는 결제수단입니다",IF($D1562="","계정과목을 고르십시오",IF($E1562="※없는 과목","④ 설정에 없는 과목입니다",IF(AND($E1562="수입",$J1562&gt;0),"수입 과목인데 지출에 적혔습니다",IF(AND(LEFT($E1562,2)&lt;&gt;"수입",$E1562&lt;&gt;"대체",$I1562&gt;0),"지출 과목인데 수입에 적혔습니다",IF($K1562="","증빙을 고르십시오",IF(AND($C1562="바우처통장",$J1562&gt;0,IFERROR(INDEX('통합 ④ 설정'!$E$6:$E$40,MATCH($D1562,'통합 ④ 설정'!$B$6:$B$40,0)),"")&lt;&gt;"○"),"바우처통장 지출 — 목적 확인",IF($H1562="","적요를 적으십시오",""))))))))))))</f>
        <v/>
      </c>
      <c r="M1562" s="39"/>
      <c r="O1562" s="11" t="str">
        <f aca="false">IF($B1562="","",YEAR($B1562)*100+MONTH($B1562))</f>
        <v/>
      </c>
      <c r="P1562" s="11" t="str">
        <f aca="false">IF($B1562="","",IF($E1562="대체",0,1))</f>
        <v/>
      </c>
    </row>
    <row r="1563" customFormat="false" ht="15" hidden="false" customHeight="false" outlineLevel="0" collapsed="false">
      <c r="A1563" s="36" t="str">
        <f aca="false">IF($B1563="","",COUNT($B$15:$B1563))</f>
        <v/>
      </c>
      <c r="B1563" s="37"/>
      <c r="C1563" s="38"/>
      <c r="D1563" s="39"/>
      <c r="E1563" s="36" t="str">
        <f aca="false">IF($D1563="","",IFERROR(INDEX('통합 ④ 설정'!$A$6:$A$40,MATCH($D1563,'통합 ④ 설정'!$B$6:$B$40,0)),"※없는 과목"))</f>
        <v/>
      </c>
      <c r="F1563" s="36" t="str">
        <f aca="false">IF($D1563="","",IFERROR(INDEX('통합 ④ 설정'!$C$6:$C$40,MATCH($D1563,'통합 ④ 설정'!$B$6:$B$40,0)),""))</f>
        <v/>
      </c>
      <c r="G1563" s="39"/>
      <c r="H1563" s="39"/>
      <c r="I1563" s="40"/>
      <c r="J1563" s="41"/>
      <c r="K1563" s="38"/>
      <c r="L1563" s="42" t="str">
        <f aca="false">IF($B1563="","",IF(AND(N($I1563)=0,N($J1563)=0),"금액이 없습니다",IF(AND($I1563&gt;0,$J1563&gt;0),"수입·지출 둘 다 적혔습니다",IF($C1563="","결제수단을 고르십시오",IF(ISNA(MATCH($C1563,'통합 ③ 통장·카드'!$A$5:$A$11,0)),"③ 통장·카드에 없는 결제수단입니다",IF($D1563="","계정과목을 고르십시오",IF($E1563="※없는 과목","④ 설정에 없는 과목입니다",IF(AND($E1563="수입",$J1563&gt;0),"수입 과목인데 지출에 적혔습니다",IF(AND(LEFT($E1563,2)&lt;&gt;"수입",$E1563&lt;&gt;"대체",$I1563&gt;0),"지출 과목인데 수입에 적혔습니다",IF($K1563="","증빙을 고르십시오",IF(AND($C1563="바우처통장",$J1563&gt;0,IFERROR(INDEX('통합 ④ 설정'!$E$6:$E$40,MATCH($D1563,'통합 ④ 설정'!$B$6:$B$40,0)),"")&lt;&gt;"○"),"바우처통장 지출 — 목적 확인",IF($H1563="","적요를 적으십시오",""))))))))))))</f>
        <v/>
      </c>
      <c r="M1563" s="39"/>
      <c r="O1563" s="11" t="str">
        <f aca="false">IF($B1563="","",YEAR($B1563)*100+MONTH($B1563))</f>
        <v/>
      </c>
      <c r="P1563" s="11" t="str">
        <f aca="false">IF($B1563="","",IF($E1563="대체",0,1))</f>
        <v/>
      </c>
    </row>
    <row r="1564" customFormat="false" ht="15" hidden="false" customHeight="false" outlineLevel="0" collapsed="false">
      <c r="A1564" s="36" t="str">
        <f aca="false">IF($B1564="","",COUNT($B$15:$B1564))</f>
        <v/>
      </c>
      <c r="B1564" s="37"/>
      <c r="C1564" s="38"/>
      <c r="D1564" s="39"/>
      <c r="E1564" s="36" t="str">
        <f aca="false">IF($D1564="","",IFERROR(INDEX('통합 ④ 설정'!$A$6:$A$40,MATCH($D1564,'통합 ④ 설정'!$B$6:$B$40,0)),"※없는 과목"))</f>
        <v/>
      </c>
      <c r="F1564" s="36" t="str">
        <f aca="false">IF($D1564="","",IFERROR(INDEX('통합 ④ 설정'!$C$6:$C$40,MATCH($D1564,'통합 ④ 설정'!$B$6:$B$40,0)),""))</f>
        <v/>
      </c>
      <c r="G1564" s="39"/>
      <c r="H1564" s="39"/>
      <c r="I1564" s="40"/>
      <c r="J1564" s="41"/>
      <c r="K1564" s="38"/>
      <c r="L1564" s="42" t="str">
        <f aca="false">IF($B1564="","",IF(AND(N($I1564)=0,N($J1564)=0),"금액이 없습니다",IF(AND($I1564&gt;0,$J1564&gt;0),"수입·지출 둘 다 적혔습니다",IF($C1564="","결제수단을 고르십시오",IF(ISNA(MATCH($C1564,'통합 ③ 통장·카드'!$A$5:$A$11,0)),"③ 통장·카드에 없는 결제수단입니다",IF($D1564="","계정과목을 고르십시오",IF($E1564="※없는 과목","④ 설정에 없는 과목입니다",IF(AND($E1564="수입",$J1564&gt;0),"수입 과목인데 지출에 적혔습니다",IF(AND(LEFT($E1564,2)&lt;&gt;"수입",$E1564&lt;&gt;"대체",$I1564&gt;0),"지출 과목인데 수입에 적혔습니다",IF($K1564="","증빙을 고르십시오",IF(AND($C1564="바우처통장",$J1564&gt;0,IFERROR(INDEX('통합 ④ 설정'!$E$6:$E$40,MATCH($D1564,'통합 ④ 설정'!$B$6:$B$40,0)),"")&lt;&gt;"○"),"바우처통장 지출 — 목적 확인",IF($H1564="","적요를 적으십시오",""))))))))))))</f>
        <v/>
      </c>
      <c r="M1564" s="39"/>
      <c r="O1564" s="11" t="str">
        <f aca="false">IF($B1564="","",YEAR($B1564)*100+MONTH($B1564))</f>
        <v/>
      </c>
      <c r="P1564" s="11" t="str">
        <f aca="false">IF($B1564="","",IF($E1564="대체",0,1))</f>
        <v/>
      </c>
    </row>
    <row r="1565" customFormat="false" ht="15" hidden="false" customHeight="false" outlineLevel="0" collapsed="false">
      <c r="A1565" s="36" t="str">
        <f aca="false">IF($B1565="","",COUNT($B$15:$B1565))</f>
        <v/>
      </c>
      <c r="B1565" s="37"/>
      <c r="C1565" s="38"/>
      <c r="D1565" s="39"/>
      <c r="E1565" s="36" t="str">
        <f aca="false">IF($D1565="","",IFERROR(INDEX('통합 ④ 설정'!$A$6:$A$40,MATCH($D1565,'통합 ④ 설정'!$B$6:$B$40,0)),"※없는 과목"))</f>
        <v/>
      </c>
      <c r="F1565" s="36" t="str">
        <f aca="false">IF($D1565="","",IFERROR(INDEX('통합 ④ 설정'!$C$6:$C$40,MATCH($D1565,'통합 ④ 설정'!$B$6:$B$40,0)),""))</f>
        <v/>
      </c>
      <c r="G1565" s="39"/>
      <c r="H1565" s="39"/>
      <c r="I1565" s="40"/>
      <c r="J1565" s="41"/>
      <c r="K1565" s="38"/>
      <c r="L1565" s="42" t="str">
        <f aca="false">IF($B1565="","",IF(AND(N($I1565)=0,N($J1565)=0),"금액이 없습니다",IF(AND($I1565&gt;0,$J1565&gt;0),"수입·지출 둘 다 적혔습니다",IF($C1565="","결제수단을 고르십시오",IF(ISNA(MATCH($C1565,'통합 ③ 통장·카드'!$A$5:$A$11,0)),"③ 통장·카드에 없는 결제수단입니다",IF($D1565="","계정과목을 고르십시오",IF($E1565="※없는 과목","④ 설정에 없는 과목입니다",IF(AND($E1565="수입",$J1565&gt;0),"수입 과목인데 지출에 적혔습니다",IF(AND(LEFT($E1565,2)&lt;&gt;"수입",$E1565&lt;&gt;"대체",$I1565&gt;0),"지출 과목인데 수입에 적혔습니다",IF($K1565="","증빙을 고르십시오",IF(AND($C1565="바우처통장",$J1565&gt;0,IFERROR(INDEX('통합 ④ 설정'!$E$6:$E$40,MATCH($D1565,'통합 ④ 설정'!$B$6:$B$40,0)),"")&lt;&gt;"○"),"바우처통장 지출 — 목적 확인",IF($H1565="","적요를 적으십시오",""))))))))))))</f>
        <v/>
      </c>
      <c r="M1565" s="39"/>
      <c r="O1565" s="11" t="str">
        <f aca="false">IF($B1565="","",YEAR($B1565)*100+MONTH($B1565))</f>
        <v/>
      </c>
      <c r="P1565" s="11" t="str">
        <f aca="false">IF($B1565="","",IF($E1565="대체",0,1))</f>
        <v/>
      </c>
    </row>
    <row r="1566" customFormat="false" ht="15" hidden="false" customHeight="false" outlineLevel="0" collapsed="false">
      <c r="A1566" s="36" t="str">
        <f aca="false">IF($B1566="","",COUNT($B$15:$B1566))</f>
        <v/>
      </c>
      <c r="B1566" s="37"/>
      <c r="C1566" s="38"/>
      <c r="D1566" s="39"/>
      <c r="E1566" s="36" t="str">
        <f aca="false">IF($D1566="","",IFERROR(INDEX('통합 ④ 설정'!$A$6:$A$40,MATCH($D1566,'통합 ④ 설정'!$B$6:$B$40,0)),"※없는 과목"))</f>
        <v/>
      </c>
      <c r="F1566" s="36" t="str">
        <f aca="false">IF($D1566="","",IFERROR(INDEX('통합 ④ 설정'!$C$6:$C$40,MATCH($D1566,'통합 ④ 설정'!$B$6:$B$40,0)),""))</f>
        <v/>
      </c>
      <c r="G1566" s="39"/>
      <c r="H1566" s="39"/>
      <c r="I1566" s="40"/>
      <c r="J1566" s="41"/>
      <c r="K1566" s="38"/>
      <c r="L1566" s="42" t="str">
        <f aca="false">IF($B1566="","",IF(AND(N($I1566)=0,N($J1566)=0),"금액이 없습니다",IF(AND($I1566&gt;0,$J1566&gt;0),"수입·지출 둘 다 적혔습니다",IF($C1566="","결제수단을 고르십시오",IF(ISNA(MATCH($C1566,'통합 ③ 통장·카드'!$A$5:$A$11,0)),"③ 통장·카드에 없는 결제수단입니다",IF($D1566="","계정과목을 고르십시오",IF($E1566="※없는 과목","④ 설정에 없는 과목입니다",IF(AND($E1566="수입",$J1566&gt;0),"수입 과목인데 지출에 적혔습니다",IF(AND(LEFT($E1566,2)&lt;&gt;"수입",$E1566&lt;&gt;"대체",$I1566&gt;0),"지출 과목인데 수입에 적혔습니다",IF($K1566="","증빙을 고르십시오",IF(AND($C1566="바우처통장",$J1566&gt;0,IFERROR(INDEX('통합 ④ 설정'!$E$6:$E$40,MATCH($D1566,'통합 ④ 설정'!$B$6:$B$40,0)),"")&lt;&gt;"○"),"바우처통장 지출 — 목적 확인",IF($H1566="","적요를 적으십시오",""))))))))))))</f>
        <v/>
      </c>
      <c r="M1566" s="39"/>
      <c r="O1566" s="11" t="str">
        <f aca="false">IF($B1566="","",YEAR($B1566)*100+MONTH($B1566))</f>
        <v/>
      </c>
      <c r="P1566" s="11" t="str">
        <f aca="false">IF($B1566="","",IF($E1566="대체",0,1))</f>
        <v/>
      </c>
    </row>
    <row r="1567" customFormat="false" ht="15" hidden="false" customHeight="false" outlineLevel="0" collapsed="false">
      <c r="A1567" s="36" t="str">
        <f aca="false">IF($B1567="","",COUNT($B$15:$B1567))</f>
        <v/>
      </c>
      <c r="B1567" s="37"/>
      <c r="C1567" s="38"/>
      <c r="D1567" s="39"/>
      <c r="E1567" s="36" t="str">
        <f aca="false">IF($D1567="","",IFERROR(INDEX('통합 ④ 설정'!$A$6:$A$40,MATCH($D1567,'통합 ④ 설정'!$B$6:$B$40,0)),"※없는 과목"))</f>
        <v/>
      </c>
      <c r="F1567" s="36" t="str">
        <f aca="false">IF($D1567="","",IFERROR(INDEX('통합 ④ 설정'!$C$6:$C$40,MATCH($D1567,'통합 ④ 설정'!$B$6:$B$40,0)),""))</f>
        <v/>
      </c>
      <c r="G1567" s="39"/>
      <c r="H1567" s="39"/>
      <c r="I1567" s="40"/>
      <c r="J1567" s="41"/>
      <c r="K1567" s="38"/>
      <c r="L1567" s="42" t="str">
        <f aca="false">IF($B1567="","",IF(AND(N($I1567)=0,N($J1567)=0),"금액이 없습니다",IF(AND($I1567&gt;0,$J1567&gt;0),"수입·지출 둘 다 적혔습니다",IF($C1567="","결제수단을 고르십시오",IF(ISNA(MATCH($C1567,'통합 ③ 통장·카드'!$A$5:$A$11,0)),"③ 통장·카드에 없는 결제수단입니다",IF($D1567="","계정과목을 고르십시오",IF($E1567="※없는 과목","④ 설정에 없는 과목입니다",IF(AND($E1567="수입",$J1567&gt;0),"수입 과목인데 지출에 적혔습니다",IF(AND(LEFT($E1567,2)&lt;&gt;"수입",$E1567&lt;&gt;"대체",$I1567&gt;0),"지출 과목인데 수입에 적혔습니다",IF($K1567="","증빙을 고르십시오",IF(AND($C1567="바우처통장",$J1567&gt;0,IFERROR(INDEX('통합 ④ 설정'!$E$6:$E$40,MATCH($D1567,'통합 ④ 설정'!$B$6:$B$40,0)),"")&lt;&gt;"○"),"바우처통장 지출 — 목적 확인",IF($H1567="","적요를 적으십시오",""))))))))))))</f>
        <v/>
      </c>
      <c r="M1567" s="39"/>
      <c r="O1567" s="11" t="str">
        <f aca="false">IF($B1567="","",YEAR($B1567)*100+MONTH($B1567))</f>
        <v/>
      </c>
      <c r="P1567" s="11" t="str">
        <f aca="false">IF($B1567="","",IF($E1567="대체",0,1))</f>
        <v/>
      </c>
    </row>
    <row r="1568" customFormat="false" ht="15" hidden="false" customHeight="false" outlineLevel="0" collapsed="false">
      <c r="A1568" s="36" t="str">
        <f aca="false">IF($B1568="","",COUNT($B$15:$B1568))</f>
        <v/>
      </c>
      <c r="B1568" s="37"/>
      <c r="C1568" s="38"/>
      <c r="D1568" s="39"/>
      <c r="E1568" s="36" t="str">
        <f aca="false">IF($D1568="","",IFERROR(INDEX('통합 ④ 설정'!$A$6:$A$40,MATCH($D1568,'통합 ④ 설정'!$B$6:$B$40,0)),"※없는 과목"))</f>
        <v/>
      </c>
      <c r="F1568" s="36" t="str">
        <f aca="false">IF($D1568="","",IFERROR(INDEX('통합 ④ 설정'!$C$6:$C$40,MATCH($D1568,'통합 ④ 설정'!$B$6:$B$40,0)),""))</f>
        <v/>
      </c>
      <c r="G1568" s="39"/>
      <c r="H1568" s="39"/>
      <c r="I1568" s="40"/>
      <c r="J1568" s="41"/>
      <c r="K1568" s="38"/>
      <c r="L1568" s="42" t="str">
        <f aca="false">IF($B1568="","",IF(AND(N($I1568)=0,N($J1568)=0),"금액이 없습니다",IF(AND($I1568&gt;0,$J1568&gt;0),"수입·지출 둘 다 적혔습니다",IF($C1568="","결제수단을 고르십시오",IF(ISNA(MATCH($C1568,'통합 ③ 통장·카드'!$A$5:$A$11,0)),"③ 통장·카드에 없는 결제수단입니다",IF($D1568="","계정과목을 고르십시오",IF($E1568="※없는 과목","④ 설정에 없는 과목입니다",IF(AND($E1568="수입",$J1568&gt;0),"수입 과목인데 지출에 적혔습니다",IF(AND(LEFT($E1568,2)&lt;&gt;"수입",$E1568&lt;&gt;"대체",$I1568&gt;0),"지출 과목인데 수입에 적혔습니다",IF($K1568="","증빙을 고르십시오",IF(AND($C1568="바우처통장",$J1568&gt;0,IFERROR(INDEX('통합 ④ 설정'!$E$6:$E$40,MATCH($D1568,'통합 ④ 설정'!$B$6:$B$40,0)),"")&lt;&gt;"○"),"바우처통장 지출 — 목적 확인",IF($H1568="","적요를 적으십시오",""))))))))))))</f>
        <v/>
      </c>
      <c r="M1568" s="39"/>
      <c r="O1568" s="11" t="str">
        <f aca="false">IF($B1568="","",YEAR($B1568)*100+MONTH($B1568))</f>
        <v/>
      </c>
      <c r="P1568" s="11" t="str">
        <f aca="false">IF($B1568="","",IF($E1568="대체",0,1))</f>
        <v/>
      </c>
    </row>
    <row r="1569" customFormat="false" ht="15" hidden="false" customHeight="false" outlineLevel="0" collapsed="false">
      <c r="A1569" s="36" t="str">
        <f aca="false">IF($B1569="","",COUNT($B$15:$B1569))</f>
        <v/>
      </c>
      <c r="B1569" s="37"/>
      <c r="C1569" s="38"/>
      <c r="D1569" s="39"/>
      <c r="E1569" s="36" t="str">
        <f aca="false">IF($D1569="","",IFERROR(INDEX('통합 ④ 설정'!$A$6:$A$40,MATCH($D1569,'통합 ④ 설정'!$B$6:$B$40,0)),"※없는 과목"))</f>
        <v/>
      </c>
      <c r="F1569" s="36" t="str">
        <f aca="false">IF($D1569="","",IFERROR(INDEX('통합 ④ 설정'!$C$6:$C$40,MATCH($D1569,'통합 ④ 설정'!$B$6:$B$40,0)),""))</f>
        <v/>
      </c>
      <c r="G1569" s="39"/>
      <c r="H1569" s="39"/>
      <c r="I1569" s="40"/>
      <c r="J1569" s="41"/>
      <c r="K1569" s="38"/>
      <c r="L1569" s="42" t="str">
        <f aca="false">IF($B1569="","",IF(AND(N($I1569)=0,N($J1569)=0),"금액이 없습니다",IF(AND($I1569&gt;0,$J1569&gt;0),"수입·지출 둘 다 적혔습니다",IF($C1569="","결제수단을 고르십시오",IF(ISNA(MATCH($C1569,'통합 ③ 통장·카드'!$A$5:$A$11,0)),"③ 통장·카드에 없는 결제수단입니다",IF($D1569="","계정과목을 고르십시오",IF($E1569="※없는 과목","④ 설정에 없는 과목입니다",IF(AND($E1569="수입",$J1569&gt;0),"수입 과목인데 지출에 적혔습니다",IF(AND(LEFT($E1569,2)&lt;&gt;"수입",$E1569&lt;&gt;"대체",$I1569&gt;0),"지출 과목인데 수입에 적혔습니다",IF($K1569="","증빙을 고르십시오",IF(AND($C1569="바우처통장",$J1569&gt;0,IFERROR(INDEX('통합 ④ 설정'!$E$6:$E$40,MATCH($D1569,'통합 ④ 설정'!$B$6:$B$40,0)),"")&lt;&gt;"○"),"바우처통장 지출 — 목적 확인",IF($H1569="","적요를 적으십시오",""))))))))))))</f>
        <v/>
      </c>
      <c r="M1569" s="39"/>
      <c r="O1569" s="11" t="str">
        <f aca="false">IF($B1569="","",YEAR($B1569)*100+MONTH($B1569))</f>
        <v/>
      </c>
      <c r="P1569" s="11" t="str">
        <f aca="false">IF($B1569="","",IF($E1569="대체",0,1))</f>
        <v/>
      </c>
    </row>
    <row r="1570" customFormat="false" ht="15" hidden="false" customHeight="false" outlineLevel="0" collapsed="false">
      <c r="A1570" s="36" t="str">
        <f aca="false">IF($B1570="","",COUNT($B$15:$B1570))</f>
        <v/>
      </c>
      <c r="B1570" s="37"/>
      <c r="C1570" s="38"/>
      <c r="D1570" s="39"/>
      <c r="E1570" s="36" t="str">
        <f aca="false">IF($D1570="","",IFERROR(INDEX('통합 ④ 설정'!$A$6:$A$40,MATCH($D1570,'통합 ④ 설정'!$B$6:$B$40,0)),"※없는 과목"))</f>
        <v/>
      </c>
      <c r="F1570" s="36" t="str">
        <f aca="false">IF($D1570="","",IFERROR(INDEX('통합 ④ 설정'!$C$6:$C$40,MATCH($D1570,'통합 ④ 설정'!$B$6:$B$40,0)),""))</f>
        <v/>
      </c>
      <c r="G1570" s="39"/>
      <c r="H1570" s="39"/>
      <c r="I1570" s="40"/>
      <c r="J1570" s="41"/>
      <c r="K1570" s="38"/>
      <c r="L1570" s="42" t="str">
        <f aca="false">IF($B1570="","",IF(AND(N($I1570)=0,N($J1570)=0),"금액이 없습니다",IF(AND($I1570&gt;0,$J1570&gt;0),"수입·지출 둘 다 적혔습니다",IF($C1570="","결제수단을 고르십시오",IF(ISNA(MATCH($C1570,'통합 ③ 통장·카드'!$A$5:$A$11,0)),"③ 통장·카드에 없는 결제수단입니다",IF($D1570="","계정과목을 고르십시오",IF($E1570="※없는 과목","④ 설정에 없는 과목입니다",IF(AND($E1570="수입",$J1570&gt;0),"수입 과목인데 지출에 적혔습니다",IF(AND(LEFT($E1570,2)&lt;&gt;"수입",$E1570&lt;&gt;"대체",$I1570&gt;0),"지출 과목인데 수입에 적혔습니다",IF($K1570="","증빙을 고르십시오",IF(AND($C1570="바우처통장",$J1570&gt;0,IFERROR(INDEX('통합 ④ 설정'!$E$6:$E$40,MATCH($D1570,'통합 ④ 설정'!$B$6:$B$40,0)),"")&lt;&gt;"○"),"바우처통장 지출 — 목적 확인",IF($H1570="","적요를 적으십시오",""))))))))))))</f>
        <v/>
      </c>
      <c r="M1570" s="39"/>
      <c r="O1570" s="11" t="str">
        <f aca="false">IF($B1570="","",YEAR($B1570)*100+MONTH($B1570))</f>
        <v/>
      </c>
      <c r="P1570" s="11" t="str">
        <f aca="false">IF($B1570="","",IF($E1570="대체",0,1))</f>
        <v/>
      </c>
    </row>
    <row r="1571" customFormat="false" ht="15" hidden="false" customHeight="false" outlineLevel="0" collapsed="false">
      <c r="A1571" s="36" t="str">
        <f aca="false">IF($B1571="","",COUNT($B$15:$B1571))</f>
        <v/>
      </c>
      <c r="B1571" s="37"/>
      <c r="C1571" s="38"/>
      <c r="D1571" s="39"/>
      <c r="E1571" s="36" t="str">
        <f aca="false">IF($D1571="","",IFERROR(INDEX('통합 ④ 설정'!$A$6:$A$40,MATCH($D1571,'통합 ④ 설정'!$B$6:$B$40,0)),"※없는 과목"))</f>
        <v/>
      </c>
      <c r="F1571" s="36" t="str">
        <f aca="false">IF($D1571="","",IFERROR(INDEX('통합 ④ 설정'!$C$6:$C$40,MATCH($D1571,'통합 ④ 설정'!$B$6:$B$40,0)),""))</f>
        <v/>
      </c>
      <c r="G1571" s="39"/>
      <c r="H1571" s="39"/>
      <c r="I1571" s="40"/>
      <c r="J1571" s="41"/>
      <c r="K1571" s="38"/>
      <c r="L1571" s="42" t="str">
        <f aca="false">IF($B1571="","",IF(AND(N($I1571)=0,N($J1571)=0),"금액이 없습니다",IF(AND($I1571&gt;0,$J1571&gt;0),"수입·지출 둘 다 적혔습니다",IF($C1571="","결제수단을 고르십시오",IF(ISNA(MATCH($C1571,'통합 ③ 통장·카드'!$A$5:$A$11,0)),"③ 통장·카드에 없는 결제수단입니다",IF($D1571="","계정과목을 고르십시오",IF($E1571="※없는 과목","④ 설정에 없는 과목입니다",IF(AND($E1571="수입",$J1571&gt;0),"수입 과목인데 지출에 적혔습니다",IF(AND(LEFT($E1571,2)&lt;&gt;"수입",$E1571&lt;&gt;"대체",$I1571&gt;0),"지출 과목인데 수입에 적혔습니다",IF($K1571="","증빙을 고르십시오",IF(AND($C1571="바우처통장",$J1571&gt;0,IFERROR(INDEX('통합 ④ 설정'!$E$6:$E$40,MATCH($D1571,'통합 ④ 설정'!$B$6:$B$40,0)),"")&lt;&gt;"○"),"바우처통장 지출 — 목적 확인",IF($H1571="","적요를 적으십시오",""))))))))))))</f>
        <v/>
      </c>
      <c r="M1571" s="39"/>
      <c r="O1571" s="11" t="str">
        <f aca="false">IF($B1571="","",YEAR($B1571)*100+MONTH($B1571))</f>
        <v/>
      </c>
      <c r="P1571" s="11" t="str">
        <f aca="false">IF($B1571="","",IF($E1571="대체",0,1))</f>
        <v/>
      </c>
    </row>
    <row r="1572" customFormat="false" ht="15" hidden="false" customHeight="false" outlineLevel="0" collapsed="false">
      <c r="A1572" s="36" t="str">
        <f aca="false">IF($B1572="","",COUNT($B$15:$B1572))</f>
        <v/>
      </c>
      <c r="B1572" s="37"/>
      <c r="C1572" s="38"/>
      <c r="D1572" s="39"/>
      <c r="E1572" s="36" t="str">
        <f aca="false">IF($D1572="","",IFERROR(INDEX('통합 ④ 설정'!$A$6:$A$40,MATCH($D1572,'통합 ④ 설정'!$B$6:$B$40,0)),"※없는 과목"))</f>
        <v/>
      </c>
      <c r="F1572" s="36" t="str">
        <f aca="false">IF($D1572="","",IFERROR(INDEX('통합 ④ 설정'!$C$6:$C$40,MATCH($D1572,'통합 ④ 설정'!$B$6:$B$40,0)),""))</f>
        <v/>
      </c>
      <c r="G1572" s="39"/>
      <c r="H1572" s="39"/>
      <c r="I1572" s="40"/>
      <c r="J1572" s="41"/>
      <c r="K1572" s="38"/>
      <c r="L1572" s="42" t="str">
        <f aca="false">IF($B1572="","",IF(AND(N($I1572)=0,N($J1572)=0),"금액이 없습니다",IF(AND($I1572&gt;0,$J1572&gt;0),"수입·지출 둘 다 적혔습니다",IF($C1572="","결제수단을 고르십시오",IF(ISNA(MATCH($C1572,'통합 ③ 통장·카드'!$A$5:$A$11,0)),"③ 통장·카드에 없는 결제수단입니다",IF($D1572="","계정과목을 고르십시오",IF($E1572="※없는 과목","④ 설정에 없는 과목입니다",IF(AND($E1572="수입",$J1572&gt;0),"수입 과목인데 지출에 적혔습니다",IF(AND(LEFT($E1572,2)&lt;&gt;"수입",$E1572&lt;&gt;"대체",$I1572&gt;0),"지출 과목인데 수입에 적혔습니다",IF($K1572="","증빙을 고르십시오",IF(AND($C1572="바우처통장",$J1572&gt;0,IFERROR(INDEX('통합 ④ 설정'!$E$6:$E$40,MATCH($D1572,'통합 ④ 설정'!$B$6:$B$40,0)),"")&lt;&gt;"○"),"바우처통장 지출 — 목적 확인",IF($H1572="","적요를 적으십시오",""))))))))))))</f>
        <v/>
      </c>
      <c r="M1572" s="39"/>
      <c r="O1572" s="11" t="str">
        <f aca="false">IF($B1572="","",YEAR($B1572)*100+MONTH($B1572))</f>
        <v/>
      </c>
      <c r="P1572" s="11" t="str">
        <f aca="false">IF($B1572="","",IF($E1572="대체",0,1))</f>
        <v/>
      </c>
    </row>
    <row r="1573" customFormat="false" ht="15" hidden="false" customHeight="false" outlineLevel="0" collapsed="false">
      <c r="A1573" s="36" t="str">
        <f aca="false">IF($B1573="","",COUNT($B$15:$B1573))</f>
        <v/>
      </c>
      <c r="B1573" s="37"/>
      <c r="C1573" s="38"/>
      <c r="D1573" s="39"/>
      <c r="E1573" s="36" t="str">
        <f aca="false">IF($D1573="","",IFERROR(INDEX('통합 ④ 설정'!$A$6:$A$40,MATCH($D1573,'통합 ④ 설정'!$B$6:$B$40,0)),"※없는 과목"))</f>
        <v/>
      </c>
      <c r="F1573" s="36" t="str">
        <f aca="false">IF($D1573="","",IFERROR(INDEX('통합 ④ 설정'!$C$6:$C$40,MATCH($D1573,'통합 ④ 설정'!$B$6:$B$40,0)),""))</f>
        <v/>
      </c>
      <c r="G1573" s="39"/>
      <c r="H1573" s="39"/>
      <c r="I1573" s="40"/>
      <c r="J1573" s="41"/>
      <c r="K1573" s="38"/>
      <c r="L1573" s="42" t="str">
        <f aca="false">IF($B1573="","",IF(AND(N($I1573)=0,N($J1573)=0),"금액이 없습니다",IF(AND($I1573&gt;0,$J1573&gt;0),"수입·지출 둘 다 적혔습니다",IF($C1573="","결제수단을 고르십시오",IF(ISNA(MATCH($C1573,'통합 ③ 통장·카드'!$A$5:$A$11,0)),"③ 통장·카드에 없는 결제수단입니다",IF($D1573="","계정과목을 고르십시오",IF($E1573="※없는 과목","④ 설정에 없는 과목입니다",IF(AND($E1573="수입",$J1573&gt;0),"수입 과목인데 지출에 적혔습니다",IF(AND(LEFT($E1573,2)&lt;&gt;"수입",$E1573&lt;&gt;"대체",$I1573&gt;0),"지출 과목인데 수입에 적혔습니다",IF($K1573="","증빙을 고르십시오",IF(AND($C1573="바우처통장",$J1573&gt;0,IFERROR(INDEX('통합 ④ 설정'!$E$6:$E$40,MATCH($D1573,'통합 ④ 설정'!$B$6:$B$40,0)),"")&lt;&gt;"○"),"바우처통장 지출 — 목적 확인",IF($H1573="","적요를 적으십시오",""))))))))))))</f>
        <v/>
      </c>
      <c r="M1573" s="39"/>
      <c r="O1573" s="11" t="str">
        <f aca="false">IF($B1573="","",YEAR($B1573)*100+MONTH($B1573))</f>
        <v/>
      </c>
      <c r="P1573" s="11" t="str">
        <f aca="false">IF($B1573="","",IF($E1573="대체",0,1))</f>
        <v/>
      </c>
    </row>
    <row r="1574" customFormat="false" ht="15" hidden="false" customHeight="false" outlineLevel="0" collapsed="false">
      <c r="A1574" s="36" t="str">
        <f aca="false">IF($B1574="","",COUNT($B$15:$B1574))</f>
        <v/>
      </c>
      <c r="B1574" s="37"/>
      <c r="C1574" s="38"/>
      <c r="D1574" s="39"/>
      <c r="E1574" s="36" t="str">
        <f aca="false">IF($D1574="","",IFERROR(INDEX('통합 ④ 설정'!$A$6:$A$40,MATCH($D1574,'통합 ④ 설정'!$B$6:$B$40,0)),"※없는 과목"))</f>
        <v/>
      </c>
      <c r="F1574" s="36" t="str">
        <f aca="false">IF($D1574="","",IFERROR(INDEX('통합 ④ 설정'!$C$6:$C$40,MATCH($D1574,'통합 ④ 설정'!$B$6:$B$40,0)),""))</f>
        <v/>
      </c>
      <c r="G1574" s="39"/>
      <c r="H1574" s="39"/>
      <c r="I1574" s="40"/>
      <c r="J1574" s="41"/>
      <c r="K1574" s="38"/>
      <c r="L1574" s="42" t="str">
        <f aca="false">IF($B1574="","",IF(AND(N($I1574)=0,N($J1574)=0),"금액이 없습니다",IF(AND($I1574&gt;0,$J1574&gt;0),"수입·지출 둘 다 적혔습니다",IF($C1574="","결제수단을 고르십시오",IF(ISNA(MATCH($C1574,'통합 ③ 통장·카드'!$A$5:$A$11,0)),"③ 통장·카드에 없는 결제수단입니다",IF($D1574="","계정과목을 고르십시오",IF($E1574="※없는 과목","④ 설정에 없는 과목입니다",IF(AND($E1574="수입",$J1574&gt;0),"수입 과목인데 지출에 적혔습니다",IF(AND(LEFT($E1574,2)&lt;&gt;"수입",$E1574&lt;&gt;"대체",$I1574&gt;0),"지출 과목인데 수입에 적혔습니다",IF($K1574="","증빙을 고르십시오",IF(AND($C1574="바우처통장",$J1574&gt;0,IFERROR(INDEX('통합 ④ 설정'!$E$6:$E$40,MATCH($D1574,'통합 ④ 설정'!$B$6:$B$40,0)),"")&lt;&gt;"○"),"바우처통장 지출 — 목적 확인",IF($H1574="","적요를 적으십시오",""))))))))))))</f>
        <v/>
      </c>
      <c r="M1574" s="39"/>
      <c r="O1574" s="11" t="str">
        <f aca="false">IF($B1574="","",YEAR($B1574)*100+MONTH($B1574))</f>
        <v/>
      </c>
      <c r="P1574" s="11" t="str">
        <f aca="false">IF($B1574="","",IF($E1574="대체",0,1))</f>
        <v/>
      </c>
    </row>
    <row r="1575" customFormat="false" ht="15" hidden="false" customHeight="false" outlineLevel="0" collapsed="false">
      <c r="A1575" s="36" t="str">
        <f aca="false">IF($B1575="","",COUNT($B$15:$B1575))</f>
        <v/>
      </c>
      <c r="B1575" s="37"/>
      <c r="C1575" s="38"/>
      <c r="D1575" s="39"/>
      <c r="E1575" s="36" t="str">
        <f aca="false">IF($D1575="","",IFERROR(INDEX('통합 ④ 설정'!$A$6:$A$40,MATCH($D1575,'통합 ④ 설정'!$B$6:$B$40,0)),"※없는 과목"))</f>
        <v/>
      </c>
      <c r="F1575" s="36" t="str">
        <f aca="false">IF($D1575="","",IFERROR(INDEX('통합 ④ 설정'!$C$6:$C$40,MATCH($D1575,'통합 ④ 설정'!$B$6:$B$40,0)),""))</f>
        <v/>
      </c>
      <c r="G1575" s="39"/>
      <c r="H1575" s="39"/>
      <c r="I1575" s="40"/>
      <c r="J1575" s="41"/>
      <c r="K1575" s="38"/>
      <c r="L1575" s="42" t="str">
        <f aca="false">IF($B1575="","",IF(AND(N($I1575)=0,N($J1575)=0),"금액이 없습니다",IF(AND($I1575&gt;0,$J1575&gt;0),"수입·지출 둘 다 적혔습니다",IF($C1575="","결제수단을 고르십시오",IF(ISNA(MATCH($C1575,'통합 ③ 통장·카드'!$A$5:$A$11,0)),"③ 통장·카드에 없는 결제수단입니다",IF($D1575="","계정과목을 고르십시오",IF($E1575="※없는 과목","④ 설정에 없는 과목입니다",IF(AND($E1575="수입",$J1575&gt;0),"수입 과목인데 지출에 적혔습니다",IF(AND(LEFT($E1575,2)&lt;&gt;"수입",$E1575&lt;&gt;"대체",$I1575&gt;0),"지출 과목인데 수입에 적혔습니다",IF($K1575="","증빙을 고르십시오",IF(AND($C1575="바우처통장",$J1575&gt;0,IFERROR(INDEX('통합 ④ 설정'!$E$6:$E$40,MATCH($D1575,'통합 ④ 설정'!$B$6:$B$40,0)),"")&lt;&gt;"○"),"바우처통장 지출 — 목적 확인",IF($H1575="","적요를 적으십시오",""))))))))))))</f>
        <v/>
      </c>
      <c r="M1575" s="39"/>
      <c r="O1575" s="11" t="str">
        <f aca="false">IF($B1575="","",YEAR($B1575)*100+MONTH($B1575))</f>
        <v/>
      </c>
      <c r="P1575" s="11" t="str">
        <f aca="false">IF($B1575="","",IF($E1575="대체",0,1))</f>
        <v/>
      </c>
    </row>
    <row r="1576" customFormat="false" ht="15" hidden="false" customHeight="false" outlineLevel="0" collapsed="false">
      <c r="A1576" s="36" t="str">
        <f aca="false">IF($B1576="","",COUNT($B$15:$B1576))</f>
        <v/>
      </c>
      <c r="B1576" s="37"/>
      <c r="C1576" s="38"/>
      <c r="D1576" s="39"/>
      <c r="E1576" s="36" t="str">
        <f aca="false">IF($D1576="","",IFERROR(INDEX('통합 ④ 설정'!$A$6:$A$40,MATCH($D1576,'통합 ④ 설정'!$B$6:$B$40,0)),"※없는 과목"))</f>
        <v/>
      </c>
      <c r="F1576" s="36" t="str">
        <f aca="false">IF($D1576="","",IFERROR(INDEX('통합 ④ 설정'!$C$6:$C$40,MATCH($D1576,'통합 ④ 설정'!$B$6:$B$40,0)),""))</f>
        <v/>
      </c>
      <c r="G1576" s="39"/>
      <c r="H1576" s="39"/>
      <c r="I1576" s="40"/>
      <c r="J1576" s="41"/>
      <c r="K1576" s="38"/>
      <c r="L1576" s="42" t="str">
        <f aca="false">IF($B1576="","",IF(AND(N($I1576)=0,N($J1576)=0),"금액이 없습니다",IF(AND($I1576&gt;0,$J1576&gt;0),"수입·지출 둘 다 적혔습니다",IF($C1576="","결제수단을 고르십시오",IF(ISNA(MATCH($C1576,'통합 ③ 통장·카드'!$A$5:$A$11,0)),"③ 통장·카드에 없는 결제수단입니다",IF($D1576="","계정과목을 고르십시오",IF($E1576="※없는 과목","④ 설정에 없는 과목입니다",IF(AND($E1576="수입",$J1576&gt;0),"수입 과목인데 지출에 적혔습니다",IF(AND(LEFT($E1576,2)&lt;&gt;"수입",$E1576&lt;&gt;"대체",$I1576&gt;0),"지출 과목인데 수입에 적혔습니다",IF($K1576="","증빙을 고르십시오",IF(AND($C1576="바우처통장",$J1576&gt;0,IFERROR(INDEX('통합 ④ 설정'!$E$6:$E$40,MATCH($D1576,'통합 ④ 설정'!$B$6:$B$40,0)),"")&lt;&gt;"○"),"바우처통장 지출 — 목적 확인",IF($H1576="","적요를 적으십시오",""))))))))))))</f>
        <v/>
      </c>
      <c r="M1576" s="39"/>
      <c r="O1576" s="11" t="str">
        <f aca="false">IF($B1576="","",YEAR($B1576)*100+MONTH($B1576))</f>
        <v/>
      </c>
      <c r="P1576" s="11" t="str">
        <f aca="false">IF($B1576="","",IF($E1576="대체",0,1))</f>
        <v/>
      </c>
    </row>
    <row r="1577" customFormat="false" ht="15" hidden="false" customHeight="false" outlineLevel="0" collapsed="false">
      <c r="A1577" s="36" t="str">
        <f aca="false">IF($B1577="","",COUNT($B$15:$B1577))</f>
        <v/>
      </c>
      <c r="B1577" s="37"/>
      <c r="C1577" s="38"/>
      <c r="D1577" s="39"/>
      <c r="E1577" s="36" t="str">
        <f aca="false">IF($D1577="","",IFERROR(INDEX('통합 ④ 설정'!$A$6:$A$40,MATCH($D1577,'통합 ④ 설정'!$B$6:$B$40,0)),"※없는 과목"))</f>
        <v/>
      </c>
      <c r="F1577" s="36" t="str">
        <f aca="false">IF($D1577="","",IFERROR(INDEX('통합 ④ 설정'!$C$6:$C$40,MATCH($D1577,'통합 ④ 설정'!$B$6:$B$40,0)),""))</f>
        <v/>
      </c>
      <c r="G1577" s="39"/>
      <c r="H1577" s="39"/>
      <c r="I1577" s="40"/>
      <c r="J1577" s="41"/>
      <c r="K1577" s="38"/>
      <c r="L1577" s="42" t="str">
        <f aca="false">IF($B1577="","",IF(AND(N($I1577)=0,N($J1577)=0),"금액이 없습니다",IF(AND($I1577&gt;0,$J1577&gt;0),"수입·지출 둘 다 적혔습니다",IF($C1577="","결제수단을 고르십시오",IF(ISNA(MATCH($C1577,'통합 ③ 통장·카드'!$A$5:$A$11,0)),"③ 통장·카드에 없는 결제수단입니다",IF($D1577="","계정과목을 고르십시오",IF($E1577="※없는 과목","④ 설정에 없는 과목입니다",IF(AND($E1577="수입",$J1577&gt;0),"수입 과목인데 지출에 적혔습니다",IF(AND(LEFT($E1577,2)&lt;&gt;"수입",$E1577&lt;&gt;"대체",$I1577&gt;0),"지출 과목인데 수입에 적혔습니다",IF($K1577="","증빙을 고르십시오",IF(AND($C1577="바우처통장",$J1577&gt;0,IFERROR(INDEX('통합 ④ 설정'!$E$6:$E$40,MATCH($D1577,'통합 ④ 설정'!$B$6:$B$40,0)),"")&lt;&gt;"○"),"바우처통장 지출 — 목적 확인",IF($H1577="","적요를 적으십시오",""))))))))))))</f>
        <v/>
      </c>
      <c r="M1577" s="39"/>
      <c r="O1577" s="11" t="str">
        <f aca="false">IF($B1577="","",YEAR($B1577)*100+MONTH($B1577))</f>
        <v/>
      </c>
      <c r="P1577" s="11" t="str">
        <f aca="false">IF($B1577="","",IF($E1577="대체",0,1))</f>
        <v/>
      </c>
    </row>
    <row r="1578" customFormat="false" ht="15" hidden="false" customHeight="false" outlineLevel="0" collapsed="false">
      <c r="A1578" s="36" t="str">
        <f aca="false">IF($B1578="","",COUNT($B$15:$B1578))</f>
        <v/>
      </c>
      <c r="B1578" s="37"/>
      <c r="C1578" s="38"/>
      <c r="D1578" s="39"/>
      <c r="E1578" s="36" t="str">
        <f aca="false">IF($D1578="","",IFERROR(INDEX('통합 ④ 설정'!$A$6:$A$40,MATCH($D1578,'통합 ④ 설정'!$B$6:$B$40,0)),"※없는 과목"))</f>
        <v/>
      </c>
      <c r="F1578" s="36" t="str">
        <f aca="false">IF($D1578="","",IFERROR(INDEX('통합 ④ 설정'!$C$6:$C$40,MATCH($D1578,'통합 ④ 설정'!$B$6:$B$40,0)),""))</f>
        <v/>
      </c>
      <c r="G1578" s="39"/>
      <c r="H1578" s="39"/>
      <c r="I1578" s="40"/>
      <c r="J1578" s="41"/>
      <c r="K1578" s="38"/>
      <c r="L1578" s="42" t="str">
        <f aca="false">IF($B1578="","",IF(AND(N($I1578)=0,N($J1578)=0),"금액이 없습니다",IF(AND($I1578&gt;0,$J1578&gt;0),"수입·지출 둘 다 적혔습니다",IF($C1578="","결제수단을 고르십시오",IF(ISNA(MATCH($C1578,'통합 ③ 통장·카드'!$A$5:$A$11,0)),"③ 통장·카드에 없는 결제수단입니다",IF($D1578="","계정과목을 고르십시오",IF($E1578="※없는 과목","④ 설정에 없는 과목입니다",IF(AND($E1578="수입",$J1578&gt;0),"수입 과목인데 지출에 적혔습니다",IF(AND(LEFT($E1578,2)&lt;&gt;"수입",$E1578&lt;&gt;"대체",$I1578&gt;0),"지출 과목인데 수입에 적혔습니다",IF($K1578="","증빙을 고르십시오",IF(AND($C1578="바우처통장",$J1578&gt;0,IFERROR(INDEX('통합 ④ 설정'!$E$6:$E$40,MATCH($D1578,'통합 ④ 설정'!$B$6:$B$40,0)),"")&lt;&gt;"○"),"바우처통장 지출 — 목적 확인",IF($H1578="","적요를 적으십시오",""))))))))))))</f>
        <v/>
      </c>
      <c r="M1578" s="39"/>
      <c r="O1578" s="11" t="str">
        <f aca="false">IF($B1578="","",YEAR($B1578)*100+MONTH($B1578))</f>
        <v/>
      </c>
      <c r="P1578" s="11" t="str">
        <f aca="false">IF($B1578="","",IF($E1578="대체",0,1))</f>
        <v/>
      </c>
    </row>
    <row r="1579" customFormat="false" ht="15" hidden="false" customHeight="false" outlineLevel="0" collapsed="false">
      <c r="A1579" s="36" t="str">
        <f aca="false">IF($B1579="","",COUNT($B$15:$B1579))</f>
        <v/>
      </c>
      <c r="B1579" s="37"/>
      <c r="C1579" s="38"/>
      <c r="D1579" s="39"/>
      <c r="E1579" s="36" t="str">
        <f aca="false">IF($D1579="","",IFERROR(INDEX('통합 ④ 설정'!$A$6:$A$40,MATCH($D1579,'통합 ④ 설정'!$B$6:$B$40,0)),"※없는 과목"))</f>
        <v/>
      </c>
      <c r="F1579" s="36" t="str">
        <f aca="false">IF($D1579="","",IFERROR(INDEX('통합 ④ 설정'!$C$6:$C$40,MATCH($D1579,'통합 ④ 설정'!$B$6:$B$40,0)),""))</f>
        <v/>
      </c>
      <c r="G1579" s="39"/>
      <c r="H1579" s="39"/>
      <c r="I1579" s="40"/>
      <c r="J1579" s="41"/>
      <c r="K1579" s="38"/>
      <c r="L1579" s="42" t="str">
        <f aca="false">IF($B1579="","",IF(AND(N($I1579)=0,N($J1579)=0),"금액이 없습니다",IF(AND($I1579&gt;0,$J1579&gt;0),"수입·지출 둘 다 적혔습니다",IF($C1579="","결제수단을 고르십시오",IF(ISNA(MATCH($C1579,'통합 ③ 통장·카드'!$A$5:$A$11,0)),"③ 통장·카드에 없는 결제수단입니다",IF($D1579="","계정과목을 고르십시오",IF($E1579="※없는 과목","④ 설정에 없는 과목입니다",IF(AND($E1579="수입",$J1579&gt;0),"수입 과목인데 지출에 적혔습니다",IF(AND(LEFT($E1579,2)&lt;&gt;"수입",$E1579&lt;&gt;"대체",$I1579&gt;0),"지출 과목인데 수입에 적혔습니다",IF($K1579="","증빙을 고르십시오",IF(AND($C1579="바우처통장",$J1579&gt;0,IFERROR(INDEX('통합 ④ 설정'!$E$6:$E$40,MATCH($D1579,'통합 ④ 설정'!$B$6:$B$40,0)),"")&lt;&gt;"○"),"바우처통장 지출 — 목적 확인",IF($H1579="","적요를 적으십시오",""))))))))))))</f>
        <v/>
      </c>
      <c r="M1579" s="39"/>
      <c r="O1579" s="11" t="str">
        <f aca="false">IF($B1579="","",YEAR($B1579)*100+MONTH($B1579))</f>
        <v/>
      </c>
      <c r="P1579" s="11" t="str">
        <f aca="false">IF($B1579="","",IF($E1579="대체",0,1))</f>
        <v/>
      </c>
    </row>
    <row r="1580" customFormat="false" ht="15" hidden="false" customHeight="false" outlineLevel="0" collapsed="false">
      <c r="A1580" s="36" t="str">
        <f aca="false">IF($B1580="","",COUNT($B$15:$B1580))</f>
        <v/>
      </c>
      <c r="B1580" s="37"/>
      <c r="C1580" s="38"/>
      <c r="D1580" s="39"/>
      <c r="E1580" s="36" t="str">
        <f aca="false">IF($D1580="","",IFERROR(INDEX('통합 ④ 설정'!$A$6:$A$40,MATCH($D1580,'통합 ④ 설정'!$B$6:$B$40,0)),"※없는 과목"))</f>
        <v/>
      </c>
      <c r="F1580" s="36" t="str">
        <f aca="false">IF($D1580="","",IFERROR(INDEX('통합 ④ 설정'!$C$6:$C$40,MATCH($D1580,'통합 ④ 설정'!$B$6:$B$40,0)),""))</f>
        <v/>
      </c>
      <c r="G1580" s="39"/>
      <c r="H1580" s="39"/>
      <c r="I1580" s="40"/>
      <c r="J1580" s="41"/>
      <c r="K1580" s="38"/>
      <c r="L1580" s="42" t="str">
        <f aca="false">IF($B1580="","",IF(AND(N($I1580)=0,N($J1580)=0),"금액이 없습니다",IF(AND($I1580&gt;0,$J1580&gt;0),"수입·지출 둘 다 적혔습니다",IF($C1580="","결제수단을 고르십시오",IF(ISNA(MATCH($C1580,'통합 ③ 통장·카드'!$A$5:$A$11,0)),"③ 통장·카드에 없는 결제수단입니다",IF($D1580="","계정과목을 고르십시오",IF($E1580="※없는 과목","④ 설정에 없는 과목입니다",IF(AND($E1580="수입",$J1580&gt;0),"수입 과목인데 지출에 적혔습니다",IF(AND(LEFT($E1580,2)&lt;&gt;"수입",$E1580&lt;&gt;"대체",$I1580&gt;0),"지출 과목인데 수입에 적혔습니다",IF($K1580="","증빙을 고르십시오",IF(AND($C1580="바우처통장",$J1580&gt;0,IFERROR(INDEX('통합 ④ 설정'!$E$6:$E$40,MATCH($D1580,'통합 ④ 설정'!$B$6:$B$40,0)),"")&lt;&gt;"○"),"바우처통장 지출 — 목적 확인",IF($H1580="","적요를 적으십시오",""))))))))))))</f>
        <v/>
      </c>
      <c r="M1580" s="39"/>
      <c r="O1580" s="11" t="str">
        <f aca="false">IF($B1580="","",YEAR($B1580)*100+MONTH($B1580))</f>
        <v/>
      </c>
      <c r="P1580" s="11" t="str">
        <f aca="false">IF($B1580="","",IF($E1580="대체",0,1))</f>
        <v/>
      </c>
    </row>
    <row r="1581" customFormat="false" ht="15" hidden="false" customHeight="false" outlineLevel="0" collapsed="false">
      <c r="A1581" s="36" t="str">
        <f aca="false">IF($B1581="","",COUNT($B$15:$B1581))</f>
        <v/>
      </c>
      <c r="B1581" s="37"/>
      <c r="C1581" s="38"/>
      <c r="D1581" s="39"/>
      <c r="E1581" s="36" t="str">
        <f aca="false">IF($D1581="","",IFERROR(INDEX('통합 ④ 설정'!$A$6:$A$40,MATCH($D1581,'통합 ④ 설정'!$B$6:$B$40,0)),"※없는 과목"))</f>
        <v/>
      </c>
      <c r="F1581" s="36" t="str">
        <f aca="false">IF($D1581="","",IFERROR(INDEX('통합 ④ 설정'!$C$6:$C$40,MATCH($D1581,'통합 ④ 설정'!$B$6:$B$40,0)),""))</f>
        <v/>
      </c>
      <c r="G1581" s="39"/>
      <c r="H1581" s="39"/>
      <c r="I1581" s="40"/>
      <c r="J1581" s="41"/>
      <c r="K1581" s="38"/>
      <c r="L1581" s="42" t="str">
        <f aca="false">IF($B1581="","",IF(AND(N($I1581)=0,N($J1581)=0),"금액이 없습니다",IF(AND($I1581&gt;0,$J1581&gt;0),"수입·지출 둘 다 적혔습니다",IF($C1581="","결제수단을 고르십시오",IF(ISNA(MATCH($C1581,'통합 ③ 통장·카드'!$A$5:$A$11,0)),"③ 통장·카드에 없는 결제수단입니다",IF($D1581="","계정과목을 고르십시오",IF($E1581="※없는 과목","④ 설정에 없는 과목입니다",IF(AND($E1581="수입",$J1581&gt;0),"수입 과목인데 지출에 적혔습니다",IF(AND(LEFT($E1581,2)&lt;&gt;"수입",$E1581&lt;&gt;"대체",$I1581&gt;0),"지출 과목인데 수입에 적혔습니다",IF($K1581="","증빙을 고르십시오",IF(AND($C1581="바우처통장",$J1581&gt;0,IFERROR(INDEX('통합 ④ 설정'!$E$6:$E$40,MATCH($D1581,'통합 ④ 설정'!$B$6:$B$40,0)),"")&lt;&gt;"○"),"바우처통장 지출 — 목적 확인",IF($H1581="","적요를 적으십시오",""))))))))))))</f>
        <v/>
      </c>
      <c r="M1581" s="39"/>
      <c r="O1581" s="11" t="str">
        <f aca="false">IF($B1581="","",YEAR($B1581)*100+MONTH($B1581))</f>
        <v/>
      </c>
      <c r="P1581" s="11" t="str">
        <f aca="false">IF($B1581="","",IF($E1581="대체",0,1))</f>
        <v/>
      </c>
    </row>
    <row r="1582" customFormat="false" ht="15" hidden="false" customHeight="false" outlineLevel="0" collapsed="false">
      <c r="A1582" s="36" t="str">
        <f aca="false">IF($B1582="","",COUNT($B$15:$B1582))</f>
        <v/>
      </c>
      <c r="B1582" s="37"/>
      <c r="C1582" s="38"/>
      <c r="D1582" s="39"/>
      <c r="E1582" s="36" t="str">
        <f aca="false">IF($D1582="","",IFERROR(INDEX('통합 ④ 설정'!$A$6:$A$40,MATCH($D1582,'통합 ④ 설정'!$B$6:$B$40,0)),"※없는 과목"))</f>
        <v/>
      </c>
      <c r="F1582" s="36" t="str">
        <f aca="false">IF($D1582="","",IFERROR(INDEX('통합 ④ 설정'!$C$6:$C$40,MATCH($D1582,'통합 ④ 설정'!$B$6:$B$40,0)),""))</f>
        <v/>
      </c>
      <c r="G1582" s="39"/>
      <c r="H1582" s="39"/>
      <c r="I1582" s="40"/>
      <c r="J1582" s="41"/>
      <c r="K1582" s="38"/>
      <c r="L1582" s="42" t="str">
        <f aca="false">IF($B1582="","",IF(AND(N($I1582)=0,N($J1582)=0),"금액이 없습니다",IF(AND($I1582&gt;0,$J1582&gt;0),"수입·지출 둘 다 적혔습니다",IF($C1582="","결제수단을 고르십시오",IF(ISNA(MATCH($C1582,'통합 ③ 통장·카드'!$A$5:$A$11,0)),"③ 통장·카드에 없는 결제수단입니다",IF($D1582="","계정과목을 고르십시오",IF($E1582="※없는 과목","④ 설정에 없는 과목입니다",IF(AND($E1582="수입",$J1582&gt;0),"수입 과목인데 지출에 적혔습니다",IF(AND(LEFT($E1582,2)&lt;&gt;"수입",$E1582&lt;&gt;"대체",$I1582&gt;0),"지출 과목인데 수입에 적혔습니다",IF($K1582="","증빙을 고르십시오",IF(AND($C1582="바우처통장",$J1582&gt;0,IFERROR(INDEX('통합 ④ 설정'!$E$6:$E$40,MATCH($D1582,'통합 ④ 설정'!$B$6:$B$40,0)),"")&lt;&gt;"○"),"바우처통장 지출 — 목적 확인",IF($H1582="","적요를 적으십시오",""))))))))))))</f>
        <v/>
      </c>
      <c r="M1582" s="39"/>
      <c r="O1582" s="11" t="str">
        <f aca="false">IF($B1582="","",YEAR($B1582)*100+MONTH($B1582))</f>
        <v/>
      </c>
      <c r="P1582" s="11" t="str">
        <f aca="false">IF($B1582="","",IF($E1582="대체",0,1))</f>
        <v/>
      </c>
    </row>
    <row r="1583" customFormat="false" ht="15" hidden="false" customHeight="false" outlineLevel="0" collapsed="false">
      <c r="A1583" s="36" t="str">
        <f aca="false">IF($B1583="","",COUNT($B$15:$B1583))</f>
        <v/>
      </c>
      <c r="B1583" s="37"/>
      <c r="C1583" s="38"/>
      <c r="D1583" s="39"/>
      <c r="E1583" s="36" t="str">
        <f aca="false">IF($D1583="","",IFERROR(INDEX('통합 ④ 설정'!$A$6:$A$40,MATCH($D1583,'통합 ④ 설정'!$B$6:$B$40,0)),"※없는 과목"))</f>
        <v/>
      </c>
      <c r="F1583" s="36" t="str">
        <f aca="false">IF($D1583="","",IFERROR(INDEX('통합 ④ 설정'!$C$6:$C$40,MATCH($D1583,'통합 ④ 설정'!$B$6:$B$40,0)),""))</f>
        <v/>
      </c>
      <c r="G1583" s="39"/>
      <c r="H1583" s="39"/>
      <c r="I1583" s="40"/>
      <c r="J1583" s="41"/>
      <c r="K1583" s="38"/>
      <c r="L1583" s="42" t="str">
        <f aca="false">IF($B1583="","",IF(AND(N($I1583)=0,N($J1583)=0),"금액이 없습니다",IF(AND($I1583&gt;0,$J1583&gt;0),"수입·지출 둘 다 적혔습니다",IF($C1583="","결제수단을 고르십시오",IF(ISNA(MATCH($C1583,'통합 ③ 통장·카드'!$A$5:$A$11,0)),"③ 통장·카드에 없는 결제수단입니다",IF($D1583="","계정과목을 고르십시오",IF($E1583="※없는 과목","④ 설정에 없는 과목입니다",IF(AND($E1583="수입",$J1583&gt;0),"수입 과목인데 지출에 적혔습니다",IF(AND(LEFT($E1583,2)&lt;&gt;"수입",$E1583&lt;&gt;"대체",$I1583&gt;0),"지출 과목인데 수입에 적혔습니다",IF($K1583="","증빙을 고르십시오",IF(AND($C1583="바우처통장",$J1583&gt;0,IFERROR(INDEX('통합 ④ 설정'!$E$6:$E$40,MATCH($D1583,'통합 ④ 설정'!$B$6:$B$40,0)),"")&lt;&gt;"○"),"바우처통장 지출 — 목적 확인",IF($H1583="","적요를 적으십시오",""))))))))))))</f>
        <v/>
      </c>
      <c r="M1583" s="39"/>
      <c r="O1583" s="11" t="str">
        <f aca="false">IF($B1583="","",YEAR($B1583)*100+MONTH($B1583))</f>
        <v/>
      </c>
      <c r="P1583" s="11" t="str">
        <f aca="false">IF($B1583="","",IF($E1583="대체",0,1))</f>
        <v/>
      </c>
    </row>
    <row r="1584" customFormat="false" ht="15" hidden="false" customHeight="false" outlineLevel="0" collapsed="false">
      <c r="A1584" s="36" t="str">
        <f aca="false">IF($B1584="","",COUNT($B$15:$B1584))</f>
        <v/>
      </c>
      <c r="B1584" s="37"/>
      <c r="C1584" s="38"/>
      <c r="D1584" s="39"/>
      <c r="E1584" s="36" t="str">
        <f aca="false">IF($D1584="","",IFERROR(INDEX('통합 ④ 설정'!$A$6:$A$40,MATCH($D1584,'통합 ④ 설정'!$B$6:$B$40,0)),"※없는 과목"))</f>
        <v/>
      </c>
      <c r="F1584" s="36" t="str">
        <f aca="false">IF($D1584="","",IFERROR(INDEX('통합 ④ 설정'!$C$6:$C$40,MATCH($D1584,'통합 ④ 설정'!$B$6:$B$40,0)),""))</f>
        <v/>
      </c>
      <c r="G1584" s="39"/>
      <c r="H1584" s="39"/>
      <c r="I1584" s="40"/>
      <c r="J1584" s="41"/>
      <c r="K1584" s="38"/>
      <c r="L1584" s="42" t="str">
        <f aca="false">IF($B1584="","",IF(AND(N($I1584)=0,N($J1584)=0),"금액이 없습니다",IF(AND($I1584&gt;0,$J1584&gt;0),"수입·지출 둘 다 적혔습니다",IF($C1584="","결제수단을 고르십시오",IF(ISNA(MATCH($C1584,'통합 ③ 통장·카드'!$A$5:$A$11,0)),"③ 통장·카드에 없는 결제수단입니다",IF($D1584="","계정과목을 고르십시오",IF($E1584="※없는 과목","④ 설정에 없는 과목입니다",IF(AND($E1584="수입",$J1584&gt;0),"수입 과목인데 지출에 적혔습니다",IF(AND(LEFT($E1584,2)&lt;&gt;"수입",$E1584&lt;&gt;"대체",$I1584&gt;0),"지출 과목인데 수입에 적혔습니다",IF($K1584="","증빙을 고르십시오",IF(AND($C1584="바우처통장",$J1584&gt;0,IFERROR(INDEX('통합 ④ 설정'!$E$6:$E$40,MATCH($D1584,'통합 ④ 설정'!$B$6:$B$40,0)),"")&lt;&gt;"○"),"바우처통장 지출 — 목적 확인",IF($H1584="","적요를 적으십시오",""))))))))))))</f>
        <v/>
      </c>
      <c r="M1584" s="39"/>
      <c r="O1584" s="11" t="str">
        <f aca="false">IF($B1584="","",YEAR($B1584)*100+MONTH($B1584))</f>
        <v/>
      </c>
      <c r="P1584" s="11" t="str">
        <f aca="false">IF($B1584="","",IF($E1584="대체",0,1))</f>
        <v/>
      </c>
    </row>
    <row r="1585" customFormat="false" ht="15" hidden="false" customHeight="false" outlineLevel="0" collapsed="false">
      <c r="A1585" s="36" t="str">
        <f aca="false">IF($B1585="","",COUNT($B$15:$B1585))</f>
        <v/>
      </c>
      <c r="B1585" s="37"/>
      <c r="C1585" s="38"/>
      <c r="D1585" s="39"/>
      <c r="E1585" s="36" t="str">
        <f aca="false">IF($D1585="","",IFERROR(INDEX('통합 ④ 설정'!$A$6:$A$40,MATCH($D1585,'통합 ④ 설정'!$B$6:$B$40,0)),"※없는 과목"))</f>
        <v/>
      </c>
      <c r="F1585" s="36" t="str">
        <f aca="false">IF($D1585="","",IFERROR(INDEX('통합 ④ 설정'!$C$6:$C$40,MATCH($D1585,'통합 ④ 설정'!$B$6:$B$40,0)),""))</f>
        <v/>
      </c>
      <c r="G1585" s="39"/>
      <c r="H1585" s="39"/>
      <c r="I1585" s="40"/>
      <c r="J1585" s="41"/>
      <c r="K1585" s="38"/>
      <c r="L1585" s="42" t="str">
        <f aca="false">IF($B1585="","",IF(AND(N($I1585)=0,N($J1585)=0),"금액이 없습니다",IF(AND($I1585&gt;0,$J1585&gt;0),"수입·지출 둘 다 적혔습니다",IF($C1585="","결제수단을 고르십시오",IF(ISNA(MATCH($C1585,'통합 ③ 통장·카드'!$A$5:$A$11,0)),"③ 통장·카드에 없는 결제수단입니다",IF($D1585="","계정과목을 고르십시오",IF($E1585="※없는 과목","④ 설정에 없는 과목입니다",IF(AND($E1585="수입",$J1585&gt;0),"수입 과목인데 지출에 적혔습니다",IF(AND(LEFT($E1585,2)&lt;&gt;"수입",$E1585&lt;&gt;"대체",$I1585&gt;0),"지출 과목인데 수입에 적혔습니다",IF($K1585="","증빙을 고르십시오",IF(AND($C1585="바우처통장",$J1585&gt;0,IFERROR(INDEX('통합 ④ 설정'!$E$6:$E$40,MATCH($D1585,'통합 ④ 설정'!$B$6:$B$40,0)),"")&lt;&gt;"○"),"바우처통장 지출 — 목적 확인",IF($H1585="","적요를 적으십시오",""))))))))))))</f>
        <v/>
      </c>
      <c r="M1585" s="39"/>
      <c r="O1585" s="11" t="str">
        <f aca="false">IF($B1585="","",YEAR($B1585)*100+MONTH($B1585))</f>
        <v/>
      </c>
      <c r="P1585" s="11" t="str">
        <f aca="false">IF($B1585="","",IF($E1585="대체",0,1))</f>
        <v/>
      </c>
    </row>
    <row r="1586" customFormat="false" ht="15" hidden="false" customHeight="false" outlineLevel="0" collapsed="false">
      <c r="A1586" s="36" t="str">
        <f aca="false">IF($B1586="","",COUNT($B$15:$B1586))</f>
        <v/>
      </c>
      <c r="B1586" s="37"/>
      <c r="C1586" s="38"/>
      <c r="D1586" s="39"/>
      <c r="E1586" s="36" t="str">
        <f aca="false">IF($D1586="","",IFERROR(INDEX('통합 ④ 설정'!$A$6:$A$40,MATCH($D1586,'통합 ④ 설정'!$B$6:$B$40,0)),"※없는 과목"))</f>
        <v/>
      </c>
      <c r="F1586" s="36" t="str">
        <f aca="false">IF($D1586="","",IFERROR(INDEX('통합 ④ 설정'!$C$6:$C$40,MATCH($D1586,'통합 ④ 설정'!$B$6:$B$40,0)),""))</f>
        <v/>
      </c>
      <c r="G1586" s="39"/>
      <c r="H1586" s="39"/>
      <c r="I1586" s="40"/>
      <c r="J1586" s="41"/>
      <c r="K1586" s="38"/>
      <c r="L1586" s="42" t="str">
        <f aca="false">IF($B1586="","",IF(AND(N($I1586)=0,N($J1586)=0),"금액이 없습니다",IF(AND($I1586&gt;0,$J1586&gt;0),"수입·지출 둘 다 적혔습니다",IF($C1586="","결제수단을 고르십시오",IF(ISNA(MATCH($C1586,'통합 ③ 통장·카드'!$A$5:$A$11,0)),"③ 통장·카드에 없는 결제수단입니다",IF($D1586="","계정과목을 고르십시오",IF($E1586="※없는 과목","④ 설정에 없는 과목입니다",IF(AND($E1586="수입",$J1586&gt;0),"수입 과목인데 지출에 적혔습니다",IF(AND(LEFT($E1586,2)&lt;&gt;"수입",$E1586&lt;&gt;"대체",$I1586&gt;0),"지출 과목인데 수입에 적혔습니다",IF($K1586="","증빙을 고르십시오",IF(AND($C1586="바우처통장",$J1586&gt;0,IFERROR(INDEX('통합 ④ 설정'!$E$6:$E$40,MATCH($D1586,'통합 ④ 설정'!$B$6:$B$40,0)),"")&lt;&gt;"○"),"바우처통장 지출 — 목적 확인",IF($H1586="","적요를 적으십시오",""))))))))))))</f>
        <v/>
      </c>
      <c r="M1586" s="39"/>
      <c r="O1586" s="11" t="str">
        <f aca="false">IF($B1586="","",YEAR($B1586)*100+MONTH($B1586))</f>
        <v/>
      </c>
      <c r="P1586" s="11" t="str">
        <f aca="false">IF($B1586="","",IF($E1586="대체",0,1))</f>
        <v/>
      </c>
    </row>
    <row r="1587" customFormat="false" ht="15" hidden="false" customHeight="false" outlineLevel="0" collapsed="false">
      <c r="A1587" s="36" t="str">
        <f aca="false">IF($B1587="","",COUNT($B$15:$B1587))</f>
        <v/>
      </c>
      <c r="B1587" s="37"/>
      <c r="C1587" s="38"/>
      <c r="D1587" s="39"/>
      <c r="E1587" s="36" t="str">
        <f aca="false">IF($D1587="","",IFERROR(INDEX('통합 ④ 설정'!$A$6:$A$40,MATCH($D1587,'통합 ④ 설정'!$B$6:$B$40,0)),"※없는 과목"))</f>
        <v/>
      </c>
      <c r="F1587" s="36" t="str">
        <f aca="false">IF($D1587="","",IFERROR(INDEX('통합 ④ 설정'!$C$6:$C$40,MATCH($D1587,'통합 ④ 설정'!$B$6:$B$40,0)),""))</f>
        <v/>
      </c>
      <c r="G1587" s="39"/>
      <c r="H1587" s="39"/>
      <c r="I1587" s="40"/>
      <c r="J1587" s="41"/>
      <c r="K1587" s="38"/>
      <c r="L1587" s="42" t="str">
        <f aca="false">IF($B1587="","",IF(AND(N($I1587)=0,N($J1587)=0),"금액이 없습니다",IF(AND($I1587&gt;0,$J1587&gt;0),"수입·지출 둘 다 적혔습니다",IF($C1587="","결제수단을 고르십시오",IF(ISNA(MATCH($C1587,'통합 ③ 통장·카드'!$A$5:$A$11,0)),"③ 통장·카드에 없는 결제수단입니다",IF($D1587="","계정과목을 고르십시오",IF($E1587="※없는 과목","④ 설정에 없는 과목입니다",IF(AND($E1587="수입",$J1587&gt;0),"수입 과목인데 지출에 적혔습니다",IF(AND(LEFT($E1587,2)&lt;&gt;"수입",$E1587&lt;&gt;"대체",$I1587&gt;0),"지출 과목인데 수입에 적혔습니다",IF($K1587="","증빙을 고르십시오",IF(AND($C1587="바우처통장",$J1587&gt;0,IFERROR(INDEX('통합 ④ 설정'!$E$6:$E$40,MATCH($D1587,'통합 ④ 설정'!$B$6:$B$40,0)),"")&lt;&gt;"○"),"바우처통장 지출 — 목적 확인",IF($H1587="","적요를 적으십시오",""))))))))))))</f>
        <v/>
      </c>
      <c r="M1587" s="39"/>
      <c r="O1587" s="11" t="str">
        <f aca="false">IF($B1587="","",YEAR($B1587)*100+MONTH($B1587))</f>
        <v/>
      </c>
      <c r="P1587" s="11" t="str">
        <f aca="false">IF($B1587="","",IF($E1587="대체",0,1))</f>
        <v/>
      </c>
    </row>
    <row r="1588" customFormat="false" ht="15" hidden="false" customHeight="false" outlineLevel="0" collapsed="false">
      <c r="A1588" s="36" t="str">
        <f aca="false">IF($B1588="","",COUNT($B$15:$B1588))</f>
        <v/>
      </c>
      <c r="B1588" s="37"/>
      <c r="C1588" s="38"/>
      <c r="D1588" s="39"/>
      <c r="E1588" s="36" t="str">
        <f aca="false">IF($D1588="","",IFERROR(INDEX('통합 ④ 설정'!$A$6:$A$40,MATCH($D1588,'통합 ④ 설정'!$B$6:$B$40,0)),"※없는 과목"))</f>
        <v/>
      </c>
      <c r="F1588" s="36" t="str">
        <f aca="false">IF($D1588="","",IFERROR(INDEX('통합 ④ 설정'!$C$6:$C$40,MATCH($D1588,'통합 ④ 설정'!$B$6:$B$40,0)),""))</f>
        <v/>
      </c>
      <c r="G1588" s="39"/>
      <c r="H1588" s="39"/>
      <c r="I1588" s="40"/>
      <c r="J1588" s="41"/>
      <c r="K1588" s="38"/>
      <c r="L1588" s="42" t="str">
        <f aca="false">IF($B1588="","",IF(AND(N($I1588)=0,N($J1588)=0),"금액이 없습니다",IF(AND($I1588&gt;0,$J1588&gt;0),"수입·지출 둘 다 적혔습니다",IF($C1588="","결제수단을 고르십시오",IF(ISNA(MATCH($C1588,'통합 ③ 통장·카드'!$A$5:$A$11,0)),"③ 통장·카드에 없는 결제수단입니다",IF($D1588="","계정과목을 고르십시오",IF($E1588="※없는 과목","④ 설정에 없는 과목입니다",IF(AND($E1588="수입",$J1588&gt;0),"수입 과목인데 지출에 적혔습니다",IF(AND(LEFT($E1588,2)&lt;&gt;"수입",$E1588&lt;&gt;"대체",$I1588&gt;0),"지출 과목인데 수입에 적혔습니다",IF($K1588="","증빙을 고르십시오",IF(AND($C1588="바우처통장",$J1588&gt;0,IFERROR(INDEX('통합 ④ 설정'!$E$6:$E$40,MATCH($D1588,'통합 ④ 설정'!$B$6:$B$40,0)),"")&lt;&gt;"○"),"바우처통장 지출 — 목적 확인",IF($H1588="","적요를 적으십시오",""))))))))))))</f>
        <v/>
      </c>
      <c r="M1588" s="39"/>
      <c r="O1588" s="11" t="str">
        <f aca="false">IF($B1588="","",YEAR($B1588)*100+MONTH($B1588))</f>
        <v/>
      </c>
      <c r="P1588" s="11" t="str">
        <f aca="false">IF($B1588="","",IF($E1588="대체",0,1))</f>
        <v/>
      </c>
    </row>
    <row r="1589" customFormat="false" ht="15" hidden="false" customHeight="false" outlineLevel="0" collapsed="false">
      <c r="A1589" s="36" t="str">
        <f aca="false">IF($B1589="","",COUNT($B$15:$B1589))</f>
        <v/>
      </c>
      <c r="B1589" s="37"/>
      <c r="C1589" s="38"/>
      <c r="D1589" s="39"/>
      <c r="E1589" s="36" t="str">
        <f aca="false">IF($D1589="","",IFERROR(INDEX('통합 ④ 설정'!$A$6:$A$40,MATCH($D1589,'통합 ④ 설정'!$B$6:$B$40,0)),"※없는 과목"))</f>
        <v/>
      </c>
      <c r="F1589" s="36" t="str">
        <f aca="false">IF($D1589="","",IFERROR(INDEX('통합 ④ 설정'!$C$6:$C$40,MATCH($D1589,'통합 ④ 설정'!$B$6:$B$40,0)),""))</f>
        <v/>
      </c>
      <c r="G1589" s="39"/>
      <c r="H1589" s="39"/>
      <c r="I1589" s="40"/>
      <c r="J1589" s="41"/>
      <c r="K1589" s="38"/>
      <c r="L1589" s="42" t="str">
        <f aca="false">IF($B1589="","",IF(AND(N($I1589)=0,N($J1589)=0),"금액이 없습니다",IF(AND($I1589&gt;0,$J1589&gt;0),"수입·지출 둘 다 적혔습니다",IF($C1589="","결제수단을 고르십시오",IF(ISNA(MATCH($C1589,'통합 ③ 통장·카드'!$A$5:$A$11,0)),"③ 통장·카드에 없는 결제수단입니다",IF($D1589="","계정과목을 고르십시오",IF($E1589="※없는 과목","④ 설정에 없는 과목입니다",IF(AND($E1589="수입",$J1589&gt;0),"수입 과목인데 지출에 적혔습니다",IF(AND(LEFT($E1589,2)&lt;&gt;"수입",$E1589&lt;&gt;"대체",$I1589&gt;0),"지출 과목인데 수입에 적혔습니다",IF($K1589="","증빙을 고르십시오",IF(AND($C1589="바우처통장",$J1589&gt;0,IFERROR(INDEX('통합 ④ 설정'!$E$6:$E$40,MATCH($D1589,'통합 ④ 설정'!$B$6:$B$40,0)),"")&lt;&gt;"○"),"바우처통장 지출 — 목적 확인",IF($H1589="","적요를 적으십시오",""))))))))))))</f>
        <v/>
      </c>
      <c r="M1589" s="39"/>
      <c r="O1589" s="11" t="str">
        <f aca="false">IF($B1589="","",YEAR($B1589)*100+MONTH($B1589))</f>
        <v/>
      </c>
      <c r="P1589" s="11" t="str">
        <f aca="false">IF($B1589="","",IF($E1589="대체",0,1))</f>
        <v/>
      </c>
    </row>
    <row r="1590" customFormat="false" ht="15" hidden="false" customHeight="false" outlineLevel="0" collapsed="false">
      <c r="A1590" s="36" t="str">
        <f aca="false">IF($B1590="","",COUNT($B$15:$B1590))</f>
        <v/>
      </c>
      <c r="B1590" s="37"/>
      <c r="C1590" s="38"/>
      <c r="D1590" s="39"/>
      <c r="E1590" s="36" t="str">
        <f aca="false">IF($D1590="","",IFERROR(INDEX('통합 ④ 설정'!$A$6:$A$40,MATCH($D1590,'통합 ④ 설정'!$B$6:$B$40,0)),"※없는 과목"))</f>
        <v/>
      </c>
      <c r="F1590" s="36" t="str">
        <f aca="false">IF($D1590="","",IFERROR(INDEX('통합 ④ 설정'!$C$6:$C$40,MATCH($D1590,'통합 ④ 설정'!$B$6:$B$40,0)),""))</f>
        <v/>
      </c>
      <c r="G1590" s="39"/>
      <c r="H1590" s="39"/>
      <c r="I1590" s="40"/>
      <c r="J1590" s="41"/>
      <c r="K1590" s="38"/>
      <c r="L1590" s="42" t="str">
        <f aca="false">IF($B1590="","",IF(AND(N($I1590)=0,N($J1590)=0),"금액이 없습니다",IF(AND($I1590&gt;0,$J1590&gt;0),"수입·지출 둘 다 적혔습니다",IF($C1590="","결제수단을 고르십시오",IF(ISNA(MATCH($C1590,'통합 ③ 통장·카드'!$A$5:$A$11,0)),"③ 통장·카드에 없는 결제수단입니다",IF($D1590="","계정과목을 고르십시오",IF($E1590="※없는 과목","④ 설정에 없는 과목입니다",IF(AND($E1590="수입",$J1590&gt;0),"수입 과목인데 지출에 적혔습니다",IF(AND(LEFT($E1590,2)&lt;&gt;"수입",$E1590&lt;&gt;"대체",$I1590&gt;0),"지출 과목인데 수입에 적혔습니다",IF($K1590="","증빙을 고르십시오",IF(AND($C1590="바우처통장",$J1590&gt;0,IFERROR(INDEX('통합 ④ 설정'!$E$6:$E$40,MATCH($D1590,'통합 ④ 설정'!$B$6:$B$40,0)),"")&lt;&gt;"○"),"바우처통장 지출 — 목적 확인",IF($H1590="","적요를 적으십시오",""))))))))))))</f>
        <v/>
      </c>
      <c r="M1590" s="39"/>
      <c r="O1590" s="11" t="str">
        <f aca="false">IF($B1590="","",YEAR($B1590)*100+MONTH($B1590))</f>
        <v/>
      </c>
      <c r="P1590" s="11" t="str">
        <f aca="false">IF($B1590="","",IF($E1590="대체",0,1))</f>
        <v/>
      </c>
    </row>
    <row r="1591" customFormat="false" ht="15" hidden="false" customHeight="false" outlineLevel="0" collapsed="false">
      <c r="A1591" s="36" t="str">
        <f aca="false">IF($B1591="","",COUNT($B$15:$B1591))</f>
        <v/>
      </c>
      <c r="B1591" s="37"/>
      <c r="C1591" s="38"/>
      <c r="D1591" s="39"/>
      <c r="E1591" s="36" t="str">
        <f aca="false">IF($D1591="","",IFERROR(INDEX('통합 ④ 설정'!$A$6:$A$40,MATCH($D1591,'통합 ④ 설정'!$B$6:$B$40,0)),"※없는 과목"))</f>
        <v/>
      </c>
      <c r="F1591" s="36" t="str">
        <f aca="false">IF($D1591="","",IFERROR(INDEX('통합 ④ 설정'!$C$6:$C$40,MATCH($D1591,'통합 ④ 설정'!$B$6:$B$40,0)),""))</f>
        <v/>
      </c>
      <c r="G1591" s="39"/>
      <c r="H1591" s="39"/>
      <c r="I1591" s="40"/>
      <c r="J1591" s="41"/>
      <c r="K1591" s="38"/>
      <c r="L1591" s="42" t="str">
        <f aca="false">IF($B1591="","",IF(AND(N($I1591)=0,N($J1591)=0),"금액이 없습니다",IF(AND($I1591&gt;0,$J1591&gt;0),"수입·지출 둘 다 적혔습니다",IF($C1591="","결제수단을 고르십시오",IF(ISNA(MATCH($C1591,'통합 ③ 통장·카드'!$A$5:$A$11,0)),"③ 통장·카드에 없는 결제수단입니다",IF($D1591="","계정과목을 고르십시오",IF($E1591="※없는 과목","④ 설정에 없는 과목입니다",IF(AND($E1591="수입",$J1591&gt;0),"수입 과목인데 지출에 적혔습니다",IF(AND(LEFT($E1591,2)&lt;&gt;"수입",$E1591&lt;&gt;"대체",$I1591&gt;0),"지출 과목인데 수입에 적혔습니다",IF($K1591="","증빙을 고르십시오",IF(AND($C1591="바우처통장",$J1591&gt;0,IFERROR(INDEX('통합 ④ 설정'!$E$6:$E$40,MATCH($D1591,'통합 ④ 설정'!$B$6:$B$40,0)),"")&lt;&gt;"○"),"바우처통장 지출 — 목적 확인",IF($H1591="","적요를 적으십시오",""))))))))))))</f>
        <v/>
      </c>
      <c r="M1591" s="39"/>
      <c r="O1591" s="11" t="str">
        <f aca="false">IF($B1591="","",YEAR($B1591)*100+MONTH($B1591))</f>
        <v/>
      </c>
      <c r="P1591" s="11" t="str">
        <f aca="false">IF($B1591="","",IF($E1591="대체",0,1))</f>
        <v/>
      </c>
    </row>
    <row r="1592" customFormat="false" ht="15" hidden="false" customHeight="false" outlineLevel="0" collapsed="false">
      <c r="A1592" s="36" t="str">
        <f aca="false">IF($B1592="","",COUNT($B$15:$B1592))</f>
        <v/>
      </c>
      <c r="B1592" s="37"/>
      <c r="C1592" s="38"/>
      <c r="D1592" s="39"/>
      <c r="E1592" s="36" t="str">
        <f aca="false">IF($D1592="","",IFERROR(INDEX('통합 ④ 설정'!$A$6:$A$40,MATCH($D1592,'통합 ④ 설정'!$B$6:$B$40,0)),"※없는 과목"))</f>
        <v/>
      </c>
      <c r="F1592" s="36" t="str">
        <f aca="false">IF($D1592="","",IFERROR(INDEX('통합 ④ 설정'!$C$6:$C$40,MATCH($D1592,'통합 ④ 설정'!$B$6:$B$40,0)),""))</f>
        <v/>
      </c>
      <c r="G1592" s="39"/>
      <c r="H1592" s="39"/>
      <c r="I1592" s="40"/>
      <c r="J1592" s="41"/>
      <c r="K1592" s="38"/>
      <c r="L1592" s="42" t="str">
        <f aca="false">IF($B1592="","",IF(AND(N($I1592)=0,N($J1592)=0),"금액이 없습니다",IF(AND($I1592&gt;0,$J1592&gt;0),"수입·지출 둘 다 적혔습니다",IF($C1592="","결제수단을 고르십시오",IF(ISNA(MATCH($C1592,'통합 ③ 통장·카드'!$A$5:$A$11,0)),"③ 통장·카드에 없는 결제수단입니다",IF($D1592="","계정과목을 고르십시오",IF($E1592="※없는 과목","④ 설정에 없는 과목입니다",IF(AND($E1592="수입",$J1592&gt;0),"수입 과목인데 지출에 적혔습니다",IF(AND(LEFT($E1592,2)&lt;&gt;"수입",$E1592&lt;&gt;"대체",$I1592&gt;0),"지출 과목인데 수입에 적혔습니다",IF($K1592="","증빙을 고르십시오",IF(AND($C1592="바우처통장",$J1592&gt;0,IFERROR(INDEX('통합 ④ 설정'!$E$6:$E$40,MATCH($D1592,'통합 ④ 설정'!$B$6:$B$40,0)),"")&lt;&gt;"○"),"바우처통장 지출 — 목적 확인",IF($H1592="","적요를 적으십시오",""))))))))))))</f>
        <v/>
      </c>
      <c r="M1592" s="39"/>
      <c r="O1592" s="11" t="str">
        <f aca="false">IF($B1592="","",YEAR($B1592)*100+MONTH($B1592))</f>
        <v/>
      </c>
      <c r="P1592" s="11" t="str">
        <f aca="false">IF($B1592="","",IF($E1592="대체",0,1))</f>
        <v/>
      </c>
    </row>
    <row r="1593" customFormat="false" ht="15" hidden="false" customHeight="false" outlineLevel="0" collapsed="false">
      <c r="A1593" s="36" t="str">
        <f aca="false">IF($B1593="","",COUNT($B$15:$B1593))</f>
        <v/>
      </c>
      <c r="B1593" s="37"/>
      <c r="C1593" s="38"/>
      <c r="D1593" s="39"/>
      <c r="E1593" s="36" t="str">
        <f aca="false">IF($D1593="","",IFERROR(INDEX('통합 ④ 설정'!$A$6:$A$40,MATCH($D1593,'통합 ④ 설정'!$B$6:$B$40,0)),"※없는 과목"))</f>
        <v/>
      </c>
      <c r="F1593" s="36" t="str">
        <f aca="false">IF($D1593="","",IFERROR(INDEX('통합 ④ 설정'!$C$6:$C$40,MATCH($D1593,'통합 ④ 설정'!$B$6:$B$40,0)),""))</f>
        <v/>
      </c>
      <c r="G1593" s="39"/>
      <c r="H1593" s="39"/>
      <c r="I1593" s="40"/>
      <c r="J1593" s="41"/>
      <c r="K1593" s="38"/>
      <c r="L1593" s="42" t="str">
        <f aca="false">IF($B1593="","",IF(AND(N($I1593)=0,N($J1593)=0),"금액이 없습니다",IF(AND($I1593&gt;0,$J1593&gt;0),"수입·지출 둘 다 적혔습니다",IF($C1593="","결제수단을 고르십시오",IF(ISNA(MATCH($C1593,'통합 ③ 통장·카드'!$A$5:$A$11,0)),"③ 통장·카드에 없는 결제수단입니다",IF($D1593="","계정과목을 고르십시오",IF($E1593="※없는 과목","④ 설정에 없는 과목입니다",IF(AND($E1593="수입",$J1593&gt;0),"수입 과목인데 지출에 적혔습니다",IF(AND(LEFT($E1593,2)&lt;&gt;"수입",$E1593&lt;&gt;"대체",$I1593&gt;0),"지출 과목인데 수입에 적혔습니다",IF($K1593="","증빙을 고르십시오",IF(AND($C1593="바우처통장",$J1593&gt;0,IFERROR(INDEX('통합 ④ 설정'!$E$6:$E$40,MATCH($D1593,'통합 ④ 설정'!$B$6:$B$40,0)),"")&lt;&gt;"○"),"바우처통장 지출 — 목적 확인",IF($H1593="","적요를 적으십시오",""))))))))))))</f>
        <v/>
      </c>
      <c r="M1593" s="39"/>
      <c r="O1593" s="11" t="str">
        <f aca="false">IF($B1593="","",YEAR($B1593)*100+MONTH($B1593))</f>
        <v/>
      </c>
      <c r="P1593" s="11" t="str">
        <f aca="false">IF($B1593="","",IF($E1593="대체",0,1))</f>
        <v/>
      </c>
    </row>
    <row r="1594" customFormat="false" ht="15" hidden="false" customHeight="false" outlineLevel="0" collapsed="false">
      <c r="A1594" s="36" t="str">
        <f aca="false">IF($B1594="","",COUNT($B$15:$B1594))</f>
        <v/>
      </c>
      <c r="B1594" s="37"/>
      <c r="C1594" s="38"/>
      <c r="D1594" s="39"/>
      <c r="E1594" s="36" t="str">
        <f aca="false">IF($D1594="","",IFERROR(INDEX('통합 ④ 설정'!$A$6:$A$40,MATCH($D1594,'통합 ④ 설정'!$B$6:$B$40,0)),"※없는 과목"))</f>
        <v/>
      </c>
      <c r="F1594" s="36" t="str">
        <f aca="false">IF($D1594="","",IFERROR(INDEX('통합 ④ 설정'!$C$6:$C$40,MATCH($D1594,'통합 ④ 설정'!$B$6:$B$40,0)),""))</f>
        <v/>
      </c>
      <c r="G1594" s="39"/>
      <c r="H1594" s="39"/>
      <c r="I1594" s="40"/>
      <c r="J1594" s="41"/>
      <c r="K1594" s="38"/>
      <c r="L1594" s="42" t="str">
        <f aca="false">IF($B1594="","",IF(AND(N($I1594)=0,N($J1594)=0),"금액이 없습니다",IF(AND($I1594&gt;0,$J1594&gt;0),"수입·지출 둘 다 적혔습니다",IF($C1594="","결제수단을 고르십시오",IF(ISNA(MATCH($C1594,'통합 ③ 통장·카드'!$A$5:$A$11,0)),"③ 통장·카드에 없는 결제수단입니다",IF($D1594="","계정과목을 고르십시오",IF($E1594="※없는 과목","④ 설정에 없는 과목입니다",IF(AND($E1594="수입",$J1594&gt;0),"수입 과목인데 지출에 적혔습니다",IF(AND(LEFT($E1594,2)&lt;&gt;"수입",$E1594&lt;&gt;"대체",$I1594&gt;0),"지출 과목인데 수입에 적혔습니다",IF($K1594="","증빙을 고르십시오",IF(AND($C1594="바우처통장",$J1594&gt;0,IFERROR(INDEX('통합 ④ 설정'!$E$6:$E$40,MATCH($D1594,'통합 ④ 설정'!$B$6:$B$40,0)),"")&lt;&gt;"○"),"바우처통장 지출 — 목적 확인",IF($H1594="","적요를 적으십시오",""))))))))))))</f>
        <v/>
      </c>
      <c r="M1594" s="39"/>
      <c r="O1594" s="11" t="str">
        <f aca="false">IF($B1594="","",YEAR($B1594)*100+MONTH($B1594))</f>
        <v/>
      </c>
      <c r="P1594" s="11" t="str">
        <f aca="false">IF($B1594="","",IF($E1594="대체",0,1))</f>
        <v/>
      </c>
    </row>
    <row r="1595" customFormat="false" ht="15" hidden="false" customHeight="false" outlineLevel="0" collapsed="false">
      <c r="A1595" s="36" t="str">
        <f aca="false">IF($B1595="","",COUNT($B$15:$B1595))</f>
        <v/>
      </c>
      <c r="B1595" s="37"/>
      <c r="C1595" s="38"/>
      <c r="D1595" s="39"/>
      <c r="E1595" s="36" t="str">
        <f aca="false">IF($D1595="","",IFERROR(INDEX('통합 ④ 설정'!$A$6:$A$40,MATCH($D1595,'통합 ④ 설정'!$B$6:$B$40,0)),"※없는 과목"))</f>
        <v/>
      </c>
      <c r="F1595" s="36" t="str">
        <f aca="false">IF($D1595="","",IFERROR(INDEX('통합 ④ 설정'!$C$6:$C$40,MATCH($D1595,'통합 ④ 설정'!$B$6:$B$40,0)),""))</f>
        <v/>
      </c>
      <c r="G1595" s="39"/>
      <c r="H1595" s="39"/>
      <c r="I1595" s="40"/>
      <c r="J1595" s="41"/>
      <c r="K1595" s="38"/>
      <c r="L1595" s="42" t="str">
        <f aca="false">IF($B1595="","",IF(AND(N($I1595)=0,N($J1595)=0),"금액이 없습니다",IF(AND($I1595&gt;0,$J1595&gt;0),"수입·지출 둘 다 적혔습니다",IF($C1595="","결제수단을 고르십시오",IF(ISNA(MATCH($C1595,'통합 ③ 통장·카드'!$A$5:$A$11,0)),"③ 통장·카드에 없는 결제수단입니다",IF($D1595="","계정과목을 고르십시오",IF($E1595="※없는 과목","④ 설정에 없는 과목입니다",IF(AND($E1595="수입",$J1595&gt;0),"수입 과목인데 지출에 적혔습니다",IF(AND(LEFT($E1595,2)&lt;&gt;"수입",$E1595&lt;&gt;"대체",$I1595&gt;0),"지출 과목인데 수입에 적혔습니다",IF($K1595="","증빙을 고르십시오",IF(AND($C1595="바우처통장",$J1595&gt;0,IFERROR(INDEX('통합 ④ 설정'!$E$6:$E$40,MATCH($D1595,'통합 ④ 설정'!$B$6:$B$40,0)),"")&lt;&gt;"○"),"바우처통장 지출 — 목적 확인",IF($H1595="","적요를 적으십시오",""))))))))))))</f>
        <v/>
      </c>
      <c r="M1595" s="39"/>
      <c r="O1595" s="11" t="str">
        <f aca="false">IF($B1595="","",YEAR($B1595)*100+MONTH($B1595))</f>
        <v/>
      </c>
      <c r="P1595" s="11" t="str">
        <f aca="false">IF($B1595="","",IF($E1595="대체",0,1))</f>
        <v/>
      </c>
    </row>
    <row r="1596" customFormat="false" ht="15" hidden="false" customHeight="false" outlineLevel="0" collapsed="false">
      <c r="A1596" s="36" t="str">
        <f aca="false">IF($B1596="","",COUNT($B$15:$B1596))</f>
        <v/>
      </c>
      <c r="B1596" s="37"/>
      <c r="C1596" s="38"/>
      <c r="D1596" s="39"/>
      <c r="E1596" s="36" t="str">
        <f aca="false">IF($D1596="","",IFERROR(INDEX('통합 ④ 설정'!$A$6:$A$40,MATCH($D1596,'통합 ④ 설정'!$B$6:$B$40,0)),"※없는 과목"))</f>
        <v/>
      </c>
      <c r="F1596" s="36" t="str">
        <f aca="false">IF($D1596="","",IFERROR(INDEX('통합 ④ 설정'!$C$6:$C$40,MATCH($D1596,'통합 ④ 설정'!$B$6:$B$40,0)),""))</f>
        <v/>
      </c>
      <c r="G1596" s="39"/>
      <c r="H1596" s="39"/>
      <c r="I1596" s="40"/>
      <c r="J1596" s="41"/>
      <c r="K1596" s="38"/>
      <c r="L1596" s="42" t="str">
        <f aca="false">IF($B1596="","",IF(AND(N($I1596)=0,N($J1596)=0),"금액이 없습니다",IF(AND($I1596&gt;0,$J1596&gt;0),"수입·지출 둘 다 적혔습니다",IF($C1596="","결제수단을 고르십시오",IF(ISNA(MATCH($C1596,'통합 ③ 통장·카드'!$A$5:$A$11,0)),"③ 통장·카드에 없는 결제수단입니다",IF($D1596="","계정과목을 고르십시오",IF($E1596="※없는 과목","④ 설정에 없는 과목입니다",IF(AND($E1596="수입",$J1596&gt;0),"수입 과목인데 지출에 적혔습니다",IF(AND(LEFT($E1596,2)&lt;&gt;"수입",$E1596&lt;&gt;"대체",$I1596&gt;0),"지출 과목인데 수입에 적혔습니다",IF($K1596="","증빙을 고르십시오",IF(AND($C1596="바우처통장",$J1596&gt;0,IFERROR(INDEX('통합 ④ 설정'!$E$6:$E$40,MATCH($D1596,'통합 ④ 설정'!$B$6:$B$40,0)),"")&lt;&gt;"○"),"바우처통장 지출 — 목적 확인",IF($H1596="","적요를 적으십시오",""))))))))))))</f>
        <v/>
      </c>
      <c r="M1596" s="39"/>
      <c r="O1596" s="11" t="str">
        <f aca="false">IF($B1596="","",YEAR($B1596)*100+MONTH($B1596))</f>
        <v/>
      </c>
      <c r="P1596" s="11" t="str">
        <f aca="false">IF($B1596="","",IF($E1596="대체",0,1))</f>
        <v/>
      </c>
    </row>
    <row r="1597" customFormat="false" ht="15" hidden="false" customHeight="false" outlineLevel="0" collapsed="false">
      <c r="A1597" s="36" t="str">
        <f aca="false">IF($B1597="","",COUNT($B$15:$B1597))</f>
        <v/>
      </c>
      <c r="B1597" s="37"/>
      <c r="C1597" s="38"/>
      <c r="D1597" s="39"/>
      <c r="E1597" s="36" t="str">
        <f aca="false">IF($D1597="","",IFERROR(INDEX('통합 ④ 설정'!$A$6:$A$40,MATCH($D1597,'통합 ④ 설정'!$B$6:$B$40,0)),"※없는 과목"))</f>
        <v/>
      </c>
      <c r="F1597" s="36" t="str">
        <f aca="false">IF($D1597="","",IFERROR(INDEX('통합 ④ 설정'!$C$6:$C$40,MATCH($D1597,'통합 ④ 설정'!$B$6:$B$40,0)),""))</f>
        <v/>
      </c>
      <c r="G1597" s="39"/>
      <c r="H1597" s="39"/>
      <c r="I1597" s="40"/>
      <c r="J1597" s="41"/>
      <c r="K1597" s="38"/>
      <c r="L1597" s="42" t="str">
        <f aca="false">IF($B1597="","",IF(AND(N($I1597)=0,N($J1597)=0),"금액이 없습니다",IF(AND($I1597&gt;0,$J1597&gt;0),"수입·지출 둘 다 적혔습니다",IF($C1597="","결제수단을 고르십시오",IF(ISNA(MATCH($C1597,'통합 ③ 통장·카드'!$A$5:$A$11,0)),"③ 통장·카드에 없는 결제수단입니다",IF($D1597="","계정과목을 고르십시오",IF($E1597="※없는 과목","④ 설정에 없는 과목입니다",IF(AND($E1597="수입",$J1597&gt;0),"수입 과목인데 지출에 적혔습니다",IF(AND(LEFT($E1597,2)&lt;&gt;"수입",$E1597&lt;&gt;"대체",$I1597&gt;0),"지출 과목인데 수입에 적혔습니다",IF($K1597="","증빙을 고르십시오",IF(AND($C1597="바우처통장",$J1597&gt;0,IFERROR(INDEX('통합 ④ 설정'!$E$6:$E$40,MATCH($D1597,'통합 ④ 설정'!$B$6:$B$40,0)),"")&lt;&gt;"○"),"바우처통장 지출 — 목적 확인",IF($H1597="","적요를 적으십시오",""))))))))))))</f>
        <v/>
      </c>
      <c r="M1597" s="39"/>
      <c r="O1597" s="11" t="str">
        <f aca="false">IF($B1597="","",YEAR($B1597)*100+MONTH($B1597))</f>
        <v/>
      </c>
      <c r="P1597" s="11" t="str">
        <f aca="false">IF($B1597="","",IF($E1597="대체",0,1))</f>
        <v/>
      </c>
    </row>
    <row r="1598" customFormat="false" ht="15" hidden="false" customHeight="false" outlineLevel="0" collapsed="false">
      <c r="A1598" s="36" t="str">
        <f aca="false">IF($B1598="","",COUNT($B$15:$B1598))</f>
        <v/>
      </c>
      <c r="B1598" s="37"/>
      <c r="C1598" s="38"/>
      <c r="D1598" s="39"/>
      <c r="E1598" s="36" t="str">
        <f aca="false">IF($D1598="","",IFERROR(INDEX('통합 ④ 설정'!$A$6:$A$40,MATCH($D1598,'통합 ④ 설정'!$B$6:$B$40,0)),"※없는 과목"))</f>
        <v/>
      </c>
      <c r="F1598" s="36" t="str">
        <f aca="false">IF($D1598="","",IFERROR(INDEX('통합 ④ 설정'!$C$6:$C$40,MATCH($D1598,'통합 ④ 설정'!$B$6:$B$40,0)),""))</f>
        <v/>
      </c>
      <c r="G1598" s="39"/>
      <c r="H1598" s="39"/>
      <c r="I1598" s="40"/>
      <c r="J1598" s="41"/>
      <c r="K1598" s="38"/>
      <c r="L1598" s="42" t="str">
        <f aca="false">IF($B1598="","",IF(AND(N($I1598)=0,N($J1598)=0),"금액이 없습니다",IF(AND($I1598&gt;0,$J1598&gt;0),"수입·지출 둘 다 적혔습니다",IF($C1598="","결제수단을 고르십시오",IF(ISNA(MATCH($C1598,'통합 ③ 통장·카드'!$A$5:$A$11,0)),"③ 통장·카드에 없는 결제수단입니다",IF($D1598="","계정과목을 고르십시오",IF($E1598="※없는 과목","④ 설정에 없는 과목입니다",IF(AND($E1598="수입",$J1598&gt;0),"수입 과목인데 지출에 적혔습니다",IF(AND(LEFT($E1598,2)&lt;&gt;"수입",$E1598&lt;&gt;"대체",$I1598&gt;0),"지출 과목인데 수입에 적혔습니다",IF($K1598="","증빙을 고르십시오",IF(AND($C1598="바우처통장",$J1598&gt;0,IFERROR(INDEX('통합 ④ 설정'!$E$6:$E$40,MATCH($D1598,'통합 ④ 설정'!$B$6:$B$40,0)),"")&lt;&gt;"○"),"바우처통장 지출 — 목적 확인",IF($H1598="","적요를 적으십시오",""))))))))))))</f>
        <v/>
      </c>
      <c r="M1598" s="39"/>
      <c r="O1598" s="11" t="str">
        <f aca="false">IF($B1598="","",YEAR($B1598)*100+MONTH($B1598))</f>
        <v/>
      </c>
      <c r="P1598" s="11" t="str">
        <f aca="false">IF($B1598="","",IF($E1598="대체",0,1))</f>
        <v/>
      </c>
    </row>
    <row r="1599" customFormat="false" ht="15" hidden="false" customHeight="false" outlineLevel="0" collapsed="false">
      <c r="A1599" s="36" t="str">
        <f aca="false">IF($B1599="","",COUNT($B$15:$B1599))</f>
        <v/>
      </c>
      <c r="B1599" s="37"/>
      <c r="C1599" s="38"/>
      <c r="D1599" s="39"/>
      <c r="E1599" s="36" t="str">
        <f aca="false">IF($D1599="","",IFERROR(INDEX('통합 ④ 설정'!$A$6:$A$40,MATCH($D1599,'통합 ④ 설정'!$B$6:$B$40,0)),"※없는 과목"))</f>
        <v/>
      </c>
      <c r="F1599" s="36" t="str">
        <f aca="false">IF($D1599="","",IFERROR(INDEX('통합 ④ 설정'!$C$6:$C$40,MATCH($D1599,'통합 ④ 설정'!$B$6:$B$40,0)),""))</f>
        <v/>
      </c>
      <c r="G1599" s="39"/>
      <c r="H1599" s="39"/>
      <c r="I1599" s="40"/>
      <c r="J1599" s="41"/>
      <c r="K1599" s="38"/>
      <c r="L1599" s="42" t="str">
        <f aca="false">IF($B1599="","",IF(AND(N($I1599)=0,N($J1599)=0),"금액이 없습니다",IF(AND($I1599&gt;0,$J1599&gt;0),"수입·지출 둘 다 적혔습니다",IF($C1599="","결제수단을 고르십시오",IF(ISNA(MATCH($C1599,'통합 ③ 통장·카드'!$A$5:$A$11,0)),"③ 통장·카드에 없는 결제수단입니다",IF($D1599="","계정과목을 고르십시오",IF($E1599="※없는 과목","④ 설정에 없는 과목입니다",IF(AND($E1599="수입",$J1599&gt;0),"수입 과목인데 지출에 적혔습니다",IF(AND(LEFT($E1599,2)&lt;&gt;"수입",$E1599&lt;&gt;"대체",$I1599&gt;0),"지출 과목인데 수입에 적혔습니다",IF($K1599="","증빙을 고르십시오",IF(AND($C1599="바우처통장",$J1599&gt;0,IFERROR(INDEX('통합 ④ 설정'!$E$6:$E$40,MATCH($D1599,'통합 ④ 설정'!$B$6:$B$40,0)),"")&lt;&gt;"○"),"바우처통장 지출 — 목적 확인",IF($H1599="","적요를 적으십시오",""))))))))))))</f>
        <v/>
      </c>
      <c r="M1599" s="39"/>
      <c r="O1599" s="11" t="str">
        <f aca="false">IF($B1599="","",YEAR($B1599)*100+MONTH($B1599))</f>
        <v/>
      </c>
      <c r="P1599" s="11" t="str">
        <f aca="false">IF($B1599="","",IF($E1599="대체",0,1))</f>
        <v/>
      </c>
    </row>
    <row r="1600" customFormat="false" ht="15" hidden="false" customHeight="false" outlineLevel="0" collapsed="false">
      <c r="A1600" s="36" t="str">
        <f aca="false">IF($B1600="","",COUNT($B$15:$B1600))</f>
        <v/>
      </c>
      <c r="B1600" s="37"/>
      <c r="C1600" s="38"/>
      <c r="D1600" s="39"/>
      <c r="E1600" s="36" t="str">
        <f aca="false">IF($D1600="","",IFERROR(INDEX('통합 ④ 설정'!$A$6:$A$40,MATCH($D1600,'통합 ④ 설정'!$B$6:$B$40,0)),"※없는 과목"))</f>
        <v/>
      </c>
      <c r="F1600" s="36" t="str">
        <f aca="false">IF($D1600="","",IFERROR(INDEX('통합 ④ 설정'!$C$6:$C$40,MATCH($D1600,'통합 ④ 설정'!$B$6:$B$40,0)),""))</f>
        <v/>
      </c>
      <c r="G1600" s="39"/>
      <c r="H1600" s="39"/>
      <c r="I1600" s="40"/>
      <c r="J1600" s="41"/>
      <c r="K1600" s="38"/>
      <c r="L1600" s="42" t="str">
        <f aca="false">IF($B1600="","",IF(AND(N($I1600)=0,N($J1600)=0),"금액이 없습니다",IF(AND($I1600&gt;0,$J1600&gt;0),"수입·지출 둘 다 적혔습니다",IF($C1600="","결제수단을 고르십시오",IF(ISNA(MATCH($C1600,'통합 ③ 통장·카드'!$A$5:$A$11,0)),"③ 통장·카드에 없는 결제수단입니다",IF($D1600="","계정과목을 고르십시오",IF($E1600="※없는 과목","④ 설정에 없는 과목입니다",IF(AND($E1600="수입",$J1600&gt;0),"수입 과목인데 지출에 적혔습니다",IF(AND(LEFT($E1600,2)&lt;&gt;"수입",$E1600&lt;&gt;"대체",$I1600&gt;0),"지출 과목인데 수입에 적혔습니다",IF($K1600="","증빙을 고르십시오",IF(AND($C1600="바우처통장",$J1600&gt;0,IFERROR(INDEX('통합 ④ 설정'!$E$6:$E$40,MATCH($D1600,'통합 ④ 설정'!$B$6:$B$40,0)),"")&lt;&gt;"○"),"바우처통장 지출 — 목적 확인",IF($H1600="","적요를 적으십시오",""))))))))))))</f>
        <v/>
      </c>
      <c r="M1600" s="39"/>
      <c r="O1600" s="11" t="str">
        <f aca="false">IF($B1600="","",YEAR($B1600)*100+MONTH($B1600))</f>
        <v/>
      </c>
      <c r="P1600" s="11" t="str">
        <f aca="false">IF($B1600="","",IF($E1600="대체",0,1))</f>
        <v/>
      </c>
    </row>
    <row r="1601" customFormat="false" ht="15" hidden="false" customHeight="false" outlineLevel="0" collapsed="false">
      <c r="A1601" s="36" t="str">
        <f aca="false">IF($B1601="","",COUNT($B$15:$B1601))</f>
        <v/>
      </c>
      <c r="B1601" s="37"/>
      <c r="C1601" s="38"/>
      <c r="D1601" s="39"/>
      <c r="E1601" s="36" t="str">
        <f aca="false">IF($D1601="","",IFERROR(INDEX('통합 ④ 설정'!$A$6:$A$40,MATCH($D1601,'통합 ④ 설정'!$B$6:$B$40,0)),"※없는 과목"))</f>
        <v/>
      </c>
      <c r="F1601" s="36" t="str">
        <f aca="false">IF($D1601="","",IFERROR(INDEX('통합 ④ 설정'!$C$6:$C$40,MATCH($D1601,'통합 ④ 설정'!$B$6:$B$40,0)),""))</f>
        <v/>
      </c>
      <c r="G1601" s="39"/>
      <c r="H1601" s="39"/>
      <c r="I1601" s="40"/>
      <c r="J1601" s="41"/>
      <c r="K1601" s="38"/>
      <c r="L1601" s="42" t="str">
        <f aca="false">IF($B1601="","",IF(AND(N($I1601)=0,N($J1601)=0),"금액이 없습니다",IF(AND($I1601&gt;0,$J1601&gt;0),"수입·지출 둘 다 적혔습니다",IF($C1601="","결제수단을 고르십시오",IF(ISNA(MATCH($C1601,'통합 ③ 통장·카드'!$A$5:$A$11,0)),"③ 통장·카드에 없는 결제수단입니다",IF($D1601="","계정과목을 고르십시오",IF($E1601="※없는 과목","④ 설정에 없는 과목입니다",IF(AND($E1601="수입",$J1601&gt;0),"수입 과목인데 지출에 적혔습니다",IF(AND(LEFT($E1601,2)&lt;&gt;"수입",$E1601&lt;&gt;"대체",$I1601&gt;0),"지출 과목인데 수입에 적혔습니다",IF($K1601="","증빙을 고르십시오",IF(AND($C1601="바우처통장",$J1601&gt;0,IFERROR(INDEX('통합 ④ 설정'!$E$6:$E$40,MATCH($D1601,'통합 ④ 설정'!$B$6:$B$40,0)),"")&lt;&gt;"○"),"바우처통장 지출 — 목적 확인",IF($H1601="","적요를 적으십시오",""))))))))))))</f>
        <v/>
      </c>
      <c r="M1601" s="39"/>
      <c r="O1601" s="11" t="str">
        <f aca="false">IF($B1601="","",YEAR($B1601)*100+MONTH($B1601))</f>
        <v/>
      </c>
      <c r="P1601" s="11" t="str">
        <f aca="false">IF($B1601="","",IF($E1601="대체",0,1))</f>
        <v/>
      </c>
    </row>
    <row r="1602" customFormat="false" ht="15" hidden="false" customHeight="false" outlineLevel="0" collapsed="false">
      <c r="A1602" s="36" t="str">
        <f aca="false">IF($B1602="","",COUNT($B$15:$B1602))</f>
        <v/>
      </c>
      <c r="B1602" s="37"/>
      <c r="C1602" s="38"/>
      <c r="D1602" s="39"/>
      <c r="E1602" s="36" t="str">
        <f aca="false">IF($D1602="","",IFERROR(INDEX('통합 ④ 설정'!$A$6:$A$40,MATCH($D1602,'통합 ④ 설정'!$B$6:$B$40,0)),"※없는 과목"))</f>
        <v/>
      </c>
      <c r="F1602" s="36" t="str">
        <f aca="false">IF($D1602="","",IFERROR(INDEX('통합 ④ 설정'!$C$6:$C$40,MATCH($D1602,'통합 ④ 설정'!$B$6:$B$40,0)),""))</f>
        <v/>
      </c>
      <c r="G1602" s="39"/>
      <c r="H1602" s="39"/>
      <c r="I1602" s="40"/>
      <c r="J1602" s="41"/>
      <c r="K1602" s="38"/>
      <c r="L1602" s="42" t="str">
        <f aca="false">IF($B1602="","",IF(AND(N($I1602)=0,N($J1602)=0),"금액이 없습니다",IF(AND($I1602&gt;0,$J1602&gt;0),"수입·지출 둘 다 적혔습니다",IF($C1602="","결제수단을 고르십시오",IF(ISNA(MATCH($C1602,'통합 ③ 통장·카드'!$A$5:$A$11,0)),"③ 통장·카드에 없는 결제수단입니다",IF($D1602="","계정과목을 고르십시오",IF($E1602="※없는 과목","④ 설정에 없는 과목입니다",IF(AND($E1602="수입",$J1602&gt;0),"수입 과목인데 지출에 적혔습니다",IF(AND(LEFT($E1602,2)&lt;&gt;"수입",$E1602&lt;&gt;"대체",$I1602&gt;0),"지출 과목인데 수입에 적혔습니다",IF($K1602="","증빙을 고르십시오",IF(AND($C1602="바우처통장",$J1602&gt;0,IFERROR(INDEX('통합 ④ 설정'!$E$6:$E$40,MATCH($D1602,'통합 ④ 설정'!$B$6:$B$40,0)),"")&lt;&gt;"○"),"바우처통장 지출 — 목적 확인",IF($H1602="","적요를 적으십시오",""))))))))))))</f>
        <v/>
      </c>
      <c r="M1602" s="39"/>
      <c r="O1602" s="11" t="str">
        <f aca="false">IF($B1602="","",YEAR($B1602)*100+MONTH($B1602))</f>
        <v/>
      </c>
      <c r="P1602" s="11" t="str">
        <f aca="false">IF($B1602="","",IF($E1602="대체",0,1))</f>
        <v/>
      </c>
    </row>
    <row r="1603" customFormat="false" ht="15" hidden="false" customHeight="false" outlineLevel="0" collapsed="false">
      <c r="A1603" s="36" t="str">
        <f aca="false">IF($B1603="","",COUNT($B$15:$B1603))</f>
        <v/>
      </c>
      <c r="B1603" s="37"/>
      <c r="C1603" s="38"/>
      <c r="D1603" s="39"/>
      <c r="E1603" s="36" t="str">
        <f aca="false">IF($D1603="","",IFERROR(INDEX('통합 ④ 설정'!$A$6:$A$40,MATCH($D1603,'통합 ④ 설정'!$B$6:$B$40,0)),"※없는 과목"))</f>
        <v/>
      </c>
      <c r="F1603" s="36" t="str">
        <f aca="false">IF($D1603="","",IFERROR(INDEX('통합 ④ 설정'!$C$6:$C$40,MATCH($D1603,'통합 ④ 설정'!$B$6:$B$40,0)),""))</f>
        <v/>
      </c>
      <c r="G1603" s="39"/>
      <c r="H1603" s="39"/>
      <c r="I1603" s="40"/>
      <c r="J1603" s="41"/>
      <c r="K1603" s="38"/>
      <c r="L1603" s="42" t="str">
        <f aca="false">IF($B1603="","",IF(AND(N($I1603)=0,N($J1603)=0),"금액이 없습니다",IF(AND($I1603&gt;0,$J1603&gt;0),"수입·지출 둘 다 적혔습니다",IF($C1603="","결제수단을 고르십시오",IF(ISNA(MATCH($C1603,'통합 ③ 통장·카드'!$A$5:$A$11,0)),"③ 통장·카드에 없는 결제수단입니다",IF($D1603="","계정과목을 고르십시오",IF($E1603="※없는 과목","④ 설정에 없는 과목입니다",IF(AND($E1603="수입",$J1603&gt;0),"수입 과목인데 지출에 적혔습니다",IF(AND(LEFT($E1603,2)&lt;&gt;"수입",$E1603&lt;&gt;"대체",$I1603&gt;0),"지출 과목인데 수입에 적혔습니다",IF($K1603="","증빙을 고르십시오",IF(AND($C1603="바우처통장",$J1603&gt;0,IFERROR(INDEX('통합 ④ 설정'!$E$6:$E$40,MATCH($D1603,'통합 ④ 설정'!$B$6:$B$40,0)),"")&lt;&gt;"○"),"바우처통장 지출 — 목적 확인",IF($H1603="","적요를 적으십시오",""))))))))))))</f>
        <v/>
      </c>
      <c r="M1603" s="39"/>
      <c r="O1603" s="11" t="str">
        <f aca="false">IF($B1603="","",YEAR($B1603)*100+MONTH($B1603))</f>
        <v/>
      </c>
      <c r="P1603" s="11" t="str">
        <f aca="false">IF($B1603="","",IF($E1603="대체",0,1))</f>
        <v/>
      </c>
    </row>
    <row r="1604" customFormat="false" ht="15" hidden="false" customHeight="false" outlineLevel="0" collapsed="false">
      <c r="A1604" s="36" t="str">
        <f aca="false">IF($B1604="","",COUNT($B$15:$B1604))</f>
        <v/>
      </c>
      <c r="B1604" s="37"/>
      <c r="C1604" s="38"/>
      <c r="D1604" s="39"/>
      <c r="E1604" s="36" t="str">
        <f aca="false">IF($D1604="","",IFERROR(INDEX('통합 ④ 설정'!$A$6:$A$40,MATCH($D1604,'통합 ④ 설정'!$B$6:$B$40,0)),"※없는 과목"))</f>
        <v/>
      </c>
      <c r="F1604" s="36" t="str">
        <f aca="false">IF($D1604="","",IFERROR(INDEX('통합 ④ 설정'!$C$6:$C$40,MATCH($D1604,'통합 ④ 설정'!$B$6:$B$40,0)),""))</f>
        <v/>
      </c>
      <c r="G1604" s="39"/>
      <c r="H1604" s="39"/>
      <c r="I1604" s="40"/>
      <c r="J1604" s="41"/>
      <c r="K1604" s="38"/>
      <c r="L1604" s="42" t="str">
        <f aca="false">IF($B1604="","",IF(AND(N($I1604)=0,N($J1604)=0),"금액이 없습니다",IF(AND($I1604&gt;0,$J1604&gt;0),"수입·지출 둘 다 적혔습니다",IF($C1604="","결제수단을 고르십시오",IF(ISNA(MATCH($C1604,'통합 ③ 통장·카드'!$A$5:$A$11,0)),"③ 통장·카드에 없는 결제수단입니다",IF($D1604="","계정과목을 고르십시오",IF($E1604="※없는 과목","④ 설정에 없는 과목입니다",IF(AND($E1604="수입",$J1604&gt;0),"수입 과목인데 지출에 적혔습니다",IF(AND(LEFT($E1604,2)&lt;&gt;"수입",$E1604&lt;&gt;"대체",$I1604&gt;0),"지출 과목인데 수입에 적혔습니다",IF($K1604="","증빙을 고르십시오",IF(AND($C1604="바우처통장",$J1604&gt;0,IFERROR(INDEX('통합 ④ 설정'!$E$6:$E$40,MATCH($D1604,'통합 ④ 설정'!$B$6:$B$40,0)),"")&lt;&gt;"○"),"바우처통장 지출 — 목적 확인",IF($H1604="","적요를 적으십시오",""))))))))))))</f>
        <v/>
      </c>
      <c r="M1604" s="39"/>
      <c r="O1604" s="11" t="str">
        <f aca="false">IF($B1604="","",YEAR($B1604)*100+MONTH($B1604))</f>
        <v/>
      </c>
      <c r="P1604" s="11" t="str">
        <f aca="false">IF($B1604="","",IF($E1604="대체",0,1))</f>
        <v/>
      </c>
    </row>
    <row r="1605" customFormat="false" ht="15" hidden="false" customHeight="false" outlineLevel="0" collapsed="false">
      <c r="A1605" s="36" t="str">
        <f aca="false">IF($B1605="","",COUNT($B$15:$B1605))</f>
        <v/>
      </c>
      <c r="B1605" s="37"/>
      <c r="C1605" s="38"/>
      <c r="D1605" s="39"/>
      <c r="E1605" s="36" t="str">
        <f aca="false">IF($D1605="","",IFERROR(INDEX('통합 ④ 설정'!$A$6:$A$40,MATCH($D1605,'통합 ④ 설정'!$B$6:$B$40,0)),"※없는 과목"))</f>
        <v/>
      </c>
      <c r="F1605" s="36" t="str">
        <f aca="false">IF($D1605="","",IFERROR(INDEX('통합 ④ 설정'!$C$6:$C$40,MATCH($D1605,'통합 ④ 설정'!$B$6:$B$40,0)),""))</f>
        <v/>
      </c>
      <c r="G1605" s="39"/>
      <c r="H1605" s="39"/>
      <c r="I1605" s="40"/>
      <c r="J1605" s="41"/>
      <c r="K1605" s="38"/>
      <c r="L1605" s="42" t="str">
        <f aca="false">IF($B1605="","",IF(AND(N($I1605)=0,N($J1605)=0),"금액이 없습니다",IF(AND($I1605&gt;0,$J1605&gt;0),"수입·지출 둘 다 적혔습니다",IF($C1605="","결제수단을 고르십시오",IF(ISNA(MATCH($C1605,'통합 ③ 통장·카드'!$A$5:$A$11,0)),"③ 통장·카드에 없는 결제수단입니다",IF($D1605="","계정과목을 고르십시오",IF($E1605="※없는 과목","④ 설정에 없는 과목입니다",IF(AND($E1605="수입",$J1605&gt;0),"수입 과목인데 지출에 적혔습니다",IF(AND(LEFT($E1605,2)&lt;&gt;"수입",$E1605&lt;&gt;"대체",$I1605&gt;0),"지출 과목인데 수입에 적혔습니다",IF($K1605="","증빙을 고르십시오",IF(AND($C1605="바우처통장",$J1605&gt;0,IFERROR(INDEX('통합 ④ 설정'!$E$6:$E$40,MATCH($D1605,'통합 ④ 설정'!$B$6:$B$40,0)),"")&lt;&gt;"○"),"바우처통장 지출 — 목적 확인",IF($H1605="","적요를 적으십시오",""))))))))))))</f>
        <v/>
      </c>
      <c r="M1605" s="39"/>
      <c r="O1605" s="11" t="str">
        <f aca="false">IF($B1605="","",YEAR($B1605)*100+MONTH($B1605))</f>
        <v/>
      </c>
      <c r="P1605" s="11" t="str">
        <f aca="false">IF($B1605="","",IF($E1605="대체",0,1))</f>
        <v/>
      </c>
    </row>
    <row r="1606" customFormat="false" ht="15" hidden="false" customHeight="false" outlineLevel="0" collapsed="false">
      <c r="A1606" s="36" t="str">
        <f aca="false">IF($B1606="","",COUNT($B$15:$B1606))</f>
        <v/>
      </c>
      <c r="B1606" s="37"/>
      <c r="C1606" s="38"/>
      <c r="D1606" s="39"/>
      <c r="E1606" s="36" t="str">
        <f aca="false">IF($D1606="","",IFERROR(INDEX('통합 ④ 설정'!$A$6:$A$40,MATCH($D1606,'통합 ④ 설정'!$B$6:$B$40,0)),"※없는 과목"))</f>
        <v/>
      </c>
      <c r="F1606" s="36" t="str">
        <f aca="false">IF($D1606="","",IFERROR(INDEX('통합 ④ 설정'!$C$6:$C$40,MATCH($D1606,'통합 ④ 설정'!$B$6:$B$40,0)),""))</f>
        <v/>
      </c>
      <c r="G1606" s="39"/>
      <c r="H1606" s="39"/>
      <c r="I1606" s="40"/>
      <c r="J1606" s="41"/>
      <c r="K1606" s="38"/>
      <c r="L1606" s="42" t="str">
        <f aca="false">IF($B1606="","",IF(AND(N($I1606)=0,N($J1606)=0),"금액이 없습니다",IF(AND($I1606&gt;0,$J1606&gt;0),"수입·지출 둘 다 적혔습니다",IF($C1606="","결제수단을 고르십시오",IF(ISNA(MATCH($C1606,'통합 ③ 통장·카드'!$A$5:$A$11,0)),"③ 통장·카드에 없는 결제수단입니다",IF($D1606="","계정과목을 고르십시오",IF($E1606="※없는 과목","④ 설정에 없는 과목입니다",IF(AND($E1606="수입",$J1606&gt;0),"수입 과목인데 지출에 적혔습니다",IF(AND(LEFT($E1606,2)&lt;&gt;"수입",$E1606&lt;&gt;"대체",$I1606&gt;0),"지출 과목인데 수입에 적혔습니다",IF($K1606="","증빙을 고르십시오",IF(AND($C1606="바우처통장",$J1606&gt;0,IFERROR(INDEX('통합 ④ 설정'!$E$6:$E$40,MATCH($D1606,'통합 ④ 설정'!$B$6:$B$40,0)),"")&lt;&gt;"○"),"바우처통장 지출 — 목적 확인",IF($H1606="","적요를 적으십시오",""))))))))))))</f>
        <v/>
      </c>
      <c r="M1606" s="39"/>
      <c r="O1606" s="11" t="str">
        <f aca="false">IF($B1606="","",YEAR($B1606)*100+MONTH($B1606))</f>
        <v/>
      </c>
      <c r="P1606" s="11" t="str">
        <f aca="false">IF($B1606="","",IF($E1606="대체",0,1))</f>
        <v/>
      </c>
    </row>
    <row r="1607" customFormat="false" ht="15" hidden="false" customHeight="false" outlineLevel="0" collapsed="false">
      <c r="A1607" s="36" t="str">
        <f aca="false">IF($B1607="","",COUNT($B$15:$B1607))</f>
        <v/>
      </c>
      <c r="B1607" s="37"/>
      <c r="C1607" s="38"/>
      <c r="D1607" s="39"/>
      <c r="E1607" s="36" t="str">
        <f aca="false">IF($D1607="","",IFERROR(INDEX('통합 ④ 설정'!$A$6:$A$40,MATCH($D1607,'통합 ④ 설정'!$B$6:$B$40,0)),"※없는 과목"))</f>
        <v/>
      </c>
      <c r="F1607" s="36" t="str">
        <f aca="false">IF($D1607="","",IFERROR(INDEX('통합 ④ 설정'!$C$6:$C$40,MATCH($D1607,'통합 ④ 설정'!$B$6:$B$40,0)),""))</f>
        <v/>
      </c>
      <c r="G1607" s="39"/>
      <c r="H1607" s="39"/>
      <c r="I1607" s="40"/>
      <c r="J1607" s="41"/>
      <c r="K1607" s="38"/>
      <c r="L1607" s="42" t="str">
        <f aca="false">IF($B1607="","",IF(AND(N($I1607)=0,N($J1607)=0),"금액이 없습니다",IF(AND($I1607&gt;0,$J1607&gt;0),"수입·지출 둘 다 적혔습니다",IF($C1607="","결제수단을 고르십시오",IF(ISNA(MATCH($C1607,'통합 ③ 통장·카드'!$A$5:$A$11,0)),"③ 통장·카드에 없는 결제수단입니다",IF($D1607="","계정과목을 고르십시오",IF($E1607="※없는 과목","④ 설정에 없는 과목입니다",IF(AND($E1607="수입",$J1607&gt;0),"수입 과목인데 지출에 적혔습니다",IF(AND(LEFT($E1607,2)&lt;&gt;"수입",$E1607&lt;&gt;"대체",$I1607&gt;0),"지출 과목인데 수입에 적혔습니다",IF($K1607="","증빙을 고르십시오",IF(AND($C1607="바우처통장",$J1607&gt;0,IFERROR(INDEX('통합 ④ 설정'!$E$6:$E$40,MATCH($D1607,'통합 ④ 설정'!$B$6:$B$40,0)),"")&lt;&gt;"○"),"바우처통장 지출 — 목적 확인",IF($H1607="","적요를 적으십시오",""))))))))))))</f>
        <v/>
      </c>
      <c r="M1607" s="39"/>
      <c r="O1607" s="11" t="str">
        <f aca="false">IF($B1607="","",YEAR($B1607)*100+MONTH($B1607))</f>
        <v/>
      </c>
      <c r="P1607" s="11" t="str">
        <f aca="false">IF($B1607="","",IF($E1607="대체",0,1))</f>
        <v/>
      </c>
    </row>
    <row r="1608" customFormat="false" ht="15" hidden="false" customHeight="false" outlineLevel="0" collapsed="false">
      <c r="A1608" s="36" t="str">
        <f aca="false">IF($B1608="","",COUNT($B$15:$B1608))</f>
        <v/>
      </c>
      <c r="B1608" s="37"/>
      <c r="C1608" s="38"/>
      <c r="D1608" s="39"/>
      <c r="E1608" s="36" t="str">
        <f aca="false">IF($D1608="","",IFERROR(INDEX('통합 ④ 설정'!$A$6:$A$40,MATCH($D1608,'통합 ④ 설정'!$B$6:$B$40,0)),"※없는 과목"))</f>
        <v/>
      </c>
      <c r="F1608" s="36" t="str">
        <f aca="false">IF($D1608="","",IFERROR(INDEX('통합 ④ 설정'!$C$6:$C$40,MATCH($D1608,'통합 ④ 설정'!$B$6:$B$40,0)),""))</f>
        <v/>
      </c>
      <c r="G1608" s="39"/>
      <c r="H1608" s="39"/>
      <c r="I1608" s="40"/>
      <c r="J1608" s="41"/>
      <c r="K1608" s="38"/>
      <c r="L1608" s="42" t="str">
        <f aca="false">IF($B1608="","",IF(AND(N($I1608)=0,N($J1608)=0),"금액이 없습니다",IF(AND($I1608&gt;0,$J1608&gt;0),"수입·지출 둘 다 적혔습니다",IF($C1608="","결제수단을 고르십시오",IF(ISNA(MATCH($C1608,'통합 ③ 통장·카드'!$A$5:$A$11,0)),"③ 통장·카드에 없는 결제수단입니다",IF($D1608="","계정과목을 고르십시오",IF($E1608="※없는 과목","④ 설정에 없는 과목입니다",IF(AND($E1608="수입",$J1608&gt;0),"수입 과목인데 지출에 적혔습니다",IF(AND(LEFT($E1608,2)&lt;&gt;"수입",$E1608&lt;&gt;"대체",$I1608&gt;0),"지출 과목인데 수입에 적혔습니다",IF($K1608="","증빙을 고르십시오",IF(AND($C1608="바우처통장",$J1608&gt;0,IFERROR(INDEX('통합 ④ 설정'!$E$6:$E$40,MATCH($D1608,'통합 ④ 설정'!$B$6:$B$40,0)),"")&lt;&gt;"○"),"바우처통장 지출 — 목적 확인",IF($H1608="","적요를 적으십시오",""))))))))))))</f>
        <v/>
      </c>
      <c r="M1608" s="39"/>
      <c r="O1608" s="11" t="str">
        <f aca="false">IF($B1608="","",YEAR($B1608)*100+MONTH($B1608))</f>
        <v/>
      </c>
      <c r="P1608" s="11" t="str">
        <f aca="false">IF($B1608="","",IF($E1608="대체",0,1))</f>
        <v/>
      </c>
    </row>
    <row r="1609" customFormat="false" ht="15" hidden="false" customHeight="false" outlineLevel="0" collapsed="false">
      <c r="A1609" s="36" t="str">
        <f aca="false">IF($B1609="","",COUNT($B$15:$B1609))</f>
        <v/>
      </c>
      <c r="B1609" s="37"/>
      <c r="C1609" s="38"/>
      <c r="D1609" s="39"/>
      <c r="E1609" s="36" t="str">
        <f aca="false">IF($D1609="","",IFERROR(INDEX('통합 ④ 설정'!$A$6:$A$40,MATCH($D1609,'통합 ④ 설정'!$B$6:$B$40,0)),"※없는 과목"))</f>
        <v/>
      </c>
      <c r="F1609" s="36" t="str">
        <f aca="false">IF($D1609="","",IFERROR(INDEX('통합 ④ 설정'!$C$6:$C$40,MATCH($D1609,'통합 ④ 설정'!$B$6:$B$40,0)),""))</f>
        <v/>
      </c>
      <c r="G1609" s="39"/>
      <c r="H1609" s="39"/>
      <c r="I1609" s="40"/>
      <c r="J1609" s="41"/>
      <c r="K1609" s="38"/>
      <c r="L1609" s="42" t="str">
        <f aca="false">IF($B1609="","",IF(AND(N($I1609)=0,N($J1609)=0),"금액이 없습니다",IF(AND($I1609&gt;0,$J1609&gt;0),"수입·지출 둘 다 적혔습니다",IF($C1609="","결제수단을 고르십시오",IF(ISNA(MATCH($C1609,'통합 ③ 통장·카드'!$A$5:$A$11,0)),"③ 통장·카드에 없는 결제수단입니다",IF($D1609="","계정과목을 고르십시오",IF($E1609="※없는 과목","④ 설정에 없는 과목입니다",IF(AND($E1609="수입",$J1609&gt;0),"수입 과목인데 지출에 적혔습니다",IF(AND(LEFT($E1609,2)&lt;&gt;"수입",$E1609&lt;&gt;"대체",$I1609&gt;0),"지출 과목인데 수입에 적혔습니다",IF($K1609="","증빙을 고르십시오",IF(AND($C1609="바우처통장",$J1609&gt;0,IFERROR(INDEX('통합 ④ 설정'!$E$6:$E$40,MATCH($D1609,'통합 ④ 설정'!$B$6:$B$40,0)),"")&lt;&gt;"○"),"바우처통장 지출 — 목적 확인",IF($H1609="","적요를 적으십시오",""))))))))))))</f>
        <v/>
      </c>
      <c r="M1609" s="39"/>
      <c r="O1609" s="11" t="str">
        <f aca="false">IF($B1609="","",YEAR($B1609)*100+MONTH($B1609))</f>
        <v/>
      </c>
      <c r="P1609" s="11" t="str">
        <f aca="false">IF($B1609="","",IF($E1609="대체",0,1))</f>
        <v/>
      </c>
    </row>
    <row r="1610" customFormat="false" ht="15" hidden="false" customHeight="false" outlineLevel="0" collapsed="false">
      <c r="A1610" s="36" t="str">
        <f aca="false">IF($B1610="","",COUNT($B$15:$B1610))</f>
        <v/>
      </c>
      <c r="B1610" s="37"/>
      <c r="C1610" s="38"/>
      <c r="D1610" s="39"/>
      <c r="E1610" s="36" t="str">
        <f aca="false">IF($D1610="","",IFERROR(INDEX('통합 ④ 설정'!$A$6:$A$40,MATCH($D1610,'통합 ④ 설정'!$B$6:$B$40,0)),"※없는 과목"))</f>
        <v/>
      </c>
      <c r="F1610" s="36" t="str">
        <f aca="false">IF($D1610="","",IFERROR(INDEX('통합 ④ 설정'!$C$6:$C$40,MATCH($D1610,'통합 ④ 설정'!$B$6:$B$40,0)),""))</f>
        <v/>
      </c>
      <c r="G1610" s="39"/>
      <c r="H1610" s="39"/>
      <c r="I1610" s="40"/>
      <c r="J1610" s="41"/>
      <c r="K1610" s="38"/>
      <c r="L1610" s="42" t="str">
        <f aca="false">IF($B1610="","",IF(AND(N($I1610)=0,N($J1610)=0),"금액이 없습니다",IF(AND($I1610&gt;0,$J1610&gt;0),"수입·지출 둘 다 적혔습니다",IF($C1610="","결제수단을 고르십시오",IF(ISNA(MATCH($C1610,'통합 ③ 통장·카드'!$A$5:$A$11,0)),"③ 통장·카드에 없는 결제수단입니다",IF($D1610="","계정과목을 고르십시오",IF($E1610="※없는 과목","④ 설정에 없는 과목입니다",IF(AND($E1610="수입",$J1610&gt;0),"수입 과목인데 지출에 적혔습니다",IF(AND(LEFT($E1610,2)&lt;&gt;"수입",$E1610&lt;&gt;"대체",$I1610&gt;0),"지출 과목인데 수입에 적혔습니다",IF($K1610="","증빙을 고르십시오",IF(AND($C1610="바우처통장",$J1610&gt;0,IFERROR(INDEX('통합 ④ 설정'!$E$6:$E$40,MATCH($D1610,'통합 ④ 설정'!$B$6:$B$40,0)),"")&lt;&gt;"○"),"바우처통장 지출 — 목적 확인",IF($H1610="","적요를 적으십시오",""))))))))))))</f>
        <v/>
      </c>
      <c r="M1610" s="39"/>
      <c r="O1610" s="11" t="str">
        <f aca="false">IF($B1610="","",YEAR($B1610)*100+MONTH($B1610))</f>
        <v/>
      </c>
      <c r="P1610" s="11" t="str">
        <f aca="false">IF($B1610="","",IF($E1610="대체",0,1))</f>
        <v/>
      </c>
    </row>
    <row r="1611" customFormat="false" ht="15" hidden="false" customHeight="false" outlineLevel="0" collapsed="false">
      <c r="A1611" s="36" t="str">
        <f aca="false">IF($B1611="","",COUNT($B$15:$B1611))</f>
        <v/>
      </c>
      <c r="B1611" s="37"/>
      <c r="C1611" s="38"/>
      <c r="D1611" s="39"/>
      <c r="E1611" s="36" t="str">
        <f aca="false">IF($D1611="","",IFERROR(INDEX('통합 ④ 설정'!$A$6:$A$40,MATCH($D1611,'통합 ④ 설정'!$B$6:$B$40,0)),"※없는 과목"))</f>
        <v/>
      </c>
      <c r="F1611" s="36" t="str">
        <f aca="false">IF($D1611="","",IFERROR(INDEX('통합 ④ 설정'!$C$6:$C$40,MATCH($D1611,'통합 ④ 설정'!$B$6:$B$40,0)),""))</f>
        <v/>
      </c>
      <c r="G1611" s="39"/>
      <c r="H1611" s="39"/>
      <c r="I1611" s="40"/>
      <c r="J1611" s="41"/>
      <c r="K1611" s="38"/>
      <c r="L1611" s="42" t="str">
        <f aca="false">IF($B1611="","",IF(AND(N($I1611)=0,N($J1611)=0),"금액이 없습니다",IF(AND($I1611&gt;0,$J1611&gt;0),"수입·지출 둘 다 적혔습니다",IF($C1611="","결제수단을 고르십시오",IF(ISNA(MATCH($C1611,'통합 ③ 통장·카드'!$A$5:$A$11,0)),"③ 통장·카드에 없는 결제수단입니다",IF($D1611="","계정과목을 고르십시오",IF($E1611="※없는 과목","④ 설정에 없는 과목입니다",IF(AND($E1611="수입",$J1611&gt;0),"수입 과목인데 지출에 적혔습니다",IF(AND(LEFT($E1611,2)&lt;&gt;"수입",$E1611&lt;&gt;"대체",$I1611&gt;0),"지출 과목인데 수입에 적혔습니다",IF($K1611="","증빙을 고르십시오",IF(AND($C1611="바우처통장",$J1611&gt;0,IFERROR(INDEX('통합 ④ 설정'!$E$6:$E$40,MATCH($D1611,'통합 ④ 설정'!$B$6:$B$40,0)),"")&lt;&gt;"○"),"바우처통장 지출 — 목적 확인",IF($H1611="","적요를 적으십시오",""))))))))))))</f>
        <v/>
      </c>
      <c r="M1611" s="39"/>
      <c r="O1611" s="11" t="str">
        <f aca="false">IF($B1611="","",YEAR($B1611)*100+MONTH($B1611))</f>
        <v/>
      </c>
      <c r="P1611" s="11" t="str">
        <f aca="false">IF($B1611="","",IF($E1611="대체",0,1))</f>
        <v/>
      </c>
    </row>
    <row r="1612" customFormat="false" ht="15" hidden="false" customHeight="false" outlineLevel="0" collapsed="false">
      <c r="A1612" s="36" t="str">
        <f aca="false">IF($B1612="","",COUNT($B$15:$B1612))</f>
        <v/>
      </c>
      <c r="B1612" s="37"/>
      <c r="C1612" s="38"/>
      <c r="D1612" s="39"/>
      <c r="E1612" s="36" t="str">
        <f aca="false">IF($D1612="","",IFERROR(INDEX('통합 ④ 설정'!$A$6:$A$40,MATCH($D1612,'통합 ④ 설정'!$B$6:$B$40,0)),"※없는 과목"))</f>
        <v/>
      </c>
      <c r="F1612" s="36" t="str">
        <f aca="false">IF($D1612="","",IFERROR(INDEX('통합 ④ 설정'!$C$6:$C$40,MATCH($D1612,'통합 ④ 설정'!$B$6:$B$40,0)),""))</f>
        <v/>
      </c>
      <c r="G1612" s="39"/>
      <c r="H1612" s="39"/>
      <c r="I1612" s="40"/>
      <c r="J1612" s="41"/>
      <c r="K1612" s="38"/>
      <c r="L1612" s="42" t="str">
        <f aca="false">IF($B1612="","",IF(AND(N($I1612)=0,N($J1612)=0),"금액이 없습니다",IF(AND($I1612&gt;0,$J1612&gt;0),"수입·지출 둘 다 적혔습니다",IF($C1612="","결제수단을 고르십시오",IF(ISNA(MATCH($C1612,'통합 ③ 통장·카드'!$A$5:$A$11,0)),"③ 통장·카드에 없는 결제수단입니다",IF($D1612="","계정과목을 고르십시오",IF($E1612="※없는 과목","④ 설정에 없는 과목입니다",IF(AND($E1612="수입",$J1612&gt;0),"수입 과목인데 지출에 적혔습니다",IF(AND(LEFT($E1612,2)&lt;&gt;"수입",$E1612&lt;&gt;"대체",$I1612&gt;0),"지출 과목인데 수입에 적혔습니다",IF($K1612="","증빙을 고르십시오",IF(AND($C1612="바우처통장",$J1612&gt;0,IFERROR(INDEX('통합 ④ 설정'!$E$6:$E$40,MATCH($D1612,'통합 ④ 설정'!$B$6:$B$40,0)),"")&lt;&gt;"○"),"바우처통장 지출 — 목적 확인",IF($H1612="","적요를 적으십시오",""))))))))))))</f>
        <v/>
      </c>
      <c r="M1612" s="39"/>
      <c r="O1612" s="11" t="str">
        <f aca="false">IF($B1612="","",YEAR($B1612)*100+MONTH($B1612))</f>
        <v/>
      </c>
      <c r="P1612" s="11" t="str">
        <f aca="false">IF($B1612="","",IF($E1612="대체",0,1))</f>
        <v/>
      </c>
    </row>
    <row r="1613" customFormat="false" ht="15" hidden="false" customHeight="false" outlineLevel="0" collapsed="false">
      <c r="A1613" s="36" t="str">
        <f aca="false">IF($B1613="","",COUNT($B$15:$B1613))</f>
        <v/>
      </c>
      <c r="B1613" s="37"/>
      <c r="C1613" s="38"/>
      <c r="D1613" s="39"/>
      <c r="E1613" s="36" t="str">
        <f aca="false">IF($D1613="","",IFERROR(INDEX('통합 ④ 설정'!$A$6:$A$40,MATCH($D1613,'통합 ④ 설정'!$B$6:$B$40,0)),"※없는 과목"))</f>
        <v/>
      </c>
      <c r="F1613" s="36" t="str">
        <f aca="false">IF($D1613="","",IFERROR(INDEX('통합 ④ 설정'!$C$6:$C$40,MATCH($D1613,'통합 ④ 설정'!$B$6:$B$40,0)),""))</f>
        <v/>
      </c>
      <c r="G1613" s="39"/>
      <c r="H1613" s="39"/>
      <c r="I1613" s="40"/>
      <c r="J1613" s="41"/>
      <c r="K1613" s="38"/>
      <c r="L1613" s="42" t="str">
        <f aca="false">IF($B1613="","",IF(AND(N($I1613)=0,N($J1613)=0),"금액이 없습니다",IF(AND($I1613&gt;0,$J1613&gt;0),"수입·지출 둘 다 적혔습니다",IF($C1613="","결제수단을 고르십시오",IF(ISNA(MATCH($C1613,'통합 ③ 통장·카드'!$A$5:$A$11,0)),"③ 통장·카드에 없는 결제수단입니다",IF($D1613="","계정과목을 고르십시오",IF($E1613="※없는 과목","④ 설정에 없는 과목입니다",IF(AND($E1613="수입",$J1613&gt;0),"수입 과목인데 지출에 적혔습니다",IF(AND(LEFT($E1613,2)&lt;&gt;"수입",$E1613&lt;&gt;"대체",$I1613&gt;0),"지출 과목인데 수입에 적혔습니다",IF($K1613="","증빙을 고르십시오",IF(AND($C1613="바우처통장",$J1613&gt;0,IFERROR(INDEX('통합 ④ 설정'!$E$6:$E$40,MATCH($D1613,'통합 ④ 설정'!$B$6:$B$40,0)),"")&lt;&gt;"○"),"바우처통장 지출 — 목적 확인",IF($H1613="","적요를 적으십시오",""))))))))))))</f>
        <v/>
      </c>
      <c r="M1613" s="39"/>
      <c r="O1613" s="11" t="str">
        <f aca="false">IF($B1613="","",YEAR($B1613)*100+MONTH($B1613))</f>
        <v/>
      </c>
      <c r="P1613" s="11" t="str">
        <f aca="false">IF($B1613="","",IF($E1613="대체",0,1))</f>
        <v/>
      </c>
    </row>
    <row r="1614" customFormat="false" ht="15" hidden="false" customHeight="false" outlineLevel="0" collapsed="false">
      <c r="A1614" s="36" t="str">
        <f aca="false">IF($B1614="","",COUNT($B$15:$B1614))</f>
        <v/>
      </c>
      <c r="B1614" s="37"/>
      <c r="C1614" s="38"/>
      <c r="D1614" s="39"/>
      <c r="E1614" s="36" t="str">
        <f aca="false">IF($D1614="","",IFERROR(INDEX('통합 ④ 설정'!$A$6:$A$40,MATCH($D1614,'통합 ④ 설정'!$B$6:$B$40,0)),"※없는 과목"))</f>
        <v/>
      </c>
      <c r="F1614" s="36" t="str">
        <f aca="false">IF($D1614="","",IFERROR(INDEX('통합 ④ 설정'!$C$6:$C$40,MATCH($D1614,'통합 ④ 설정'!$B$6:$B$40,0)),""))</f>
        <v/>
      </c>
      <c r="G1614" s="39"/>
      <c r="H1614" s="39"/>
      <c r="I1614" s="40"/>
      <c r="J1614" s="41"/>
      <c r="K1614" s="38"/>
      <c r="L1614" s="42" t="str">
        <f aca="false">IF($B1614="","",IF(AND(N($I1614)=0,N($J1614)=0),"금액이 없습니다",IF(AND($I1614&gt;0,$J1614&gt;0),"수입·지출 둘 다 적혔습니다",IF($C1614="","결제수단을 고르십시오",IF(ISNA(MATCH($C1614,'통합 ③ 통장·카드'!$A$5:$A$11,0)),"③ 통장·카드에 없는 결제수단입니다",IF($D1614="","계정과목을 고르십시오",IF($E1614="※없는 과목","④ 설정에 없는 과목입니다",IF(AND($E1614="수입",$J1614&gt;0),"수입 과목인데 지출에 적혔습니다",IF(AND(LEFT($E1614,2)&lt;&gt;"수입",$E1614&lt;&gt;"대체",$I1614&gt;0),"지출 과목인데 수입에 적혔습니다",IF($K1614="","증빙을 고르십시오",IF(AND($C1614="바우처통장",$J1614&gt;0,IFERROR(INDEX('통합 ④ 설정'!$E$6:$E$40,MATCH($D1614,'통합 ④ 설정'!$B$6:$B$40,0)),"")&lt;&gt;"○"),"바우처통장 지출 — 목적 확인",IF($H1614="","적요를 적으십시오",""))))))))))))</f>
        <v/>
      </c>
      <c r="M1614" s="39"/>
      <c r="O1614" s="11" t="str">
        <f aca="false">IF($B1614="","",YEAR($B1614)*100+MONTH($B1614))</f>
        <v/>
      </c>
      <c r="P1614" s="11" t="str">
        <f aca="false">IF($B1614="","",IF($E1614="대체",0,1))</f>
        <v/>
      </c>
    </row>
    <row r="1615" customFormat="false" ht="15" hidden="false" customHeight="false" outlineLevel="0" collapsed="false">
      <c r="A1615" s="36" t="str">
        <f aca="false">IF($B1615="","",COUNT($B$15:$B1615))</f>
        <v/>
      </c>
      <c r="B1615" s="37"/>
      <c r="C1615" s="38"/>
      <c r="D1615" s="39"/>
      <c r="E1615" s="36" t="str">
        <f aca="false">IF($D1615="","",IFERROR(INDEX('통합 ④ 설정'!$A$6:$A$40,MATCH($D1615,'통합 ④ 설정'!$B$6:$B$40,0)),"※없는 과목"))</f>
        <v/>
      </c>
      <c r="F1615" s="36" t="str">
        <f aca="false">IF($D1615="","",IFERROR(INDEX('통합 ④ 설정'!$C$6:$C$40,MATCH($D1615,'통합 ④ 설정'!$B$6:$B$40,0)),""))</f>
        <v/>
      </c>
      <c r="G1615" s="39"/>
      <c r="H1615" s="39"/>
      <c r="I1615" s="40"/>
      <c r="J1615" s="41"/>
      <c r="K1615" s="38"/>
      <c r="L1615" s="42" t="str">
        <f aca="false">IF($B1615="","",IF(AND(N($I1615)=0,N($J1615)=0),"금액이 없습니다",IF(AND($I1615&gt;0,$J1615&gt;0),"수입·지출 둘 다 적혔습니다",IF($C1615="","결제수단을 고르십시오",IF(ISNA(MATCH($C1615,'통합 ③ 통장·카드'!$A$5:$A$11,0)),"③ 통장·카드에 없는 결제수단입니다",IF($D1615="","계정과목을 고르십시오",IF($E1615="※없는 과목","④ 설정에 없는 과목입니다",IF(AND($E1615="수입",$J1615&gt;0),"수입 과목인데 지출에 적혔습니다",IF(AND(LEFT($E1615,2)&lt;&gt;"수입",$E1615&lt;&gt;"대체",$I1615&gt;0),"지출 과목인데 수입에 적혔습니다",IF($K1615="","증빙을 고르십시오",IF(AND($C1615="바우처통장",$J1615&gt;0,IFERROR(INDEX('통합 ④ 설정'!$E$6:$E$40,MATCH($D1615,'통합 ④ 설정'!$B$6:$B$40,0)),"")&lt;&gt;"○"),"바우처통장 지출 — 목적 확인",IF($H1615="","적요를 적으십시오",""))))))))))))</f>
        <v/>
      </c>
      <c r="M1615" s="39"/>
      <c r="O1615" s="11" t="str">
        <f aca="false">IF($B1615="","",YEAR($B1615)*100+MONTH($B1615))</f>
        <v/>
      </c>
      <c r="P1615" s="11" t="str">
        <f aca="false">IF($B1615="","",IF($E1615="대체",0,1))</f>
        <v/>
      </c>
    </row>
    <row r="1616" customFormat="false" ht="15" hidden="false" customHeight="false" outlineLevel="0" collapsed="false">
      <c r="A1616" s="36" t="str">
        <f aca="false">IF($B1616="","",COUNT($B$15:$B1616))</f>
        <v/>
      </c>
      <c r="B1616" s="37"/>
      <c r="C1616" s="38"/>
      <c r="D1616" s="39"/>
      <c r="E1616" s="36" t="str">
        <f aca="false">IF($D1616="","",IFERROR(INDEX('통합 ④ 설정'!$A$6:$A$40,MATCH($D1616,'통합 ④ 설정'!$B$6:$B$40,0)),"※없는 과목"))</f>
        <v/>
      </c>
      <c r="F1616" s="36" t="str">
        <f aca="false">IF($D1616="","",IFERROR(INDEX('통합 ④ 설정'!$C$6:$C$40,MATCH($D1616,'통합 ④ 설정'!$B$6:$B$40,0)),""))</f>
        <v/>
      </c>
      <c r="G1616" s="39"/>
      <c r="H1616" s="39"/>
      <c r="I1616" s="40"/>
      <c r="J1616" s="41"/>
      <c r="K1616" s="38"/>
      <c r="L1616" s="42" t="str">
        <f aca="false">IF($B1616="","",IF(AND(N($I1616)=0,N($J1616)=0),"금액이 없습니다",IF(AND($I1616&gt;0,$J1616&gt;0),"수입·지출 둘 다 적혔습니다",IF($C1616="","결제수단을 고르십시오",IF(ISNA(MATCH($C1616,'통합 ③ 통장·카드'!$A$5:$A$11,0)),"③ 통장·카드에 없는 결제수단입니다",IF($D1616="","계정과목을 고르십시오",IF($E1616="※없는 과목","④ 설정에 없는 과목입니다",IF(AND($E1616="수입",$J1616&gt;0),"수입 과목인데 지출에 적혔습니다",IF(AND(LEFT($E1616,2)&lt;&gt;"수입",$E1616&lt;&gt;"대체",$I1616&gt;0),"지출 과목인데 수입에 적혔습니다",IF($K1616="","증빙을 고르십시오",IF(AND($C1616="바우처통장",$J1616&gt;0,IFERROR(INDEX('통합 ④ 설정'!$E$6:$E$40,MATCH($D1616,'통합 ④ 설정'!$B$6:$B$40,0)),"")&lt;&gt;"○"),"바우처통장 지출 — 목적 확인",IF($H1616="","적요를 적으십시오",""))))))))))))</f>
        <v/>
      </c>
      <c r="M1616" s="39"/>
      <c r="O1616" s="11" t="str">
        <f aca="false">IF($B1616="","",YEAR($B1616)*100+MONTH($B1616))</f>
        <v/>
      </c>
      <c r="P1616" s="11" t="str">
        <f aca="false">IF($B1616="","",IF($E1616="대체",0,1))</f>
        <v/>
      </c>
    </row>
    <row r="1617" customFormat="false" ht="15" hidden="false" customHeight="false" outlineLevel="0" collapsed="false">
      <c r="A1617" s="36" t="str">
        <f aca="false">IF($B1617="","",COUNT($B$15:$B1617))</f>
        <v/>
      </c>
      <c r="B1617" s="37"/>
      <c r="C1617" s="38"/>
      <c r="D1617" s="39"/>
      <c r="E1617" s="36" t="str">
        <f aca="false">IF($D1617="","",IFERROR(INDEX('통합 ④ 설정'!$A$6:$A$40,MATCH($D1617,'통합 ④ 설정'!$B$6:$B$40,0)),"※없는 과목"))</f>
        <v/>
      </c>
      <c r="F1617" s="36" t="str">
        <f aca="false">IF($D1617="","",IFERROR(INDEX('통합 ④ 설정'!$C$6:$C$40,MATCH($D1617,'통합 ④ 설정'!$B$6:$B$40,0)),""))</f>
        <v/>
      </c>
      <c r="G1617" s="39"/>
      <c r="H1617" s="39"/>
      <c r="I1617" s="40"/>
      <c r="J1617" s="41"/>
      <c r="K1617" s="38"/>
      <c r="L1617" s="42" t="str">
        <f aca="false">IF($B1617="","",IF(AND(N($I1617)=0,N($J1617)=0),"금액이 없습니다",IF(AND($I1617&gt;0,$J1617&gt;0),"수입·지출 둘 다 적혔습니다",IF($C1617="","결제수단을 고르십시오",IF(ISNA(MATCH($C1617,'통합 ③ 통장·카드'!$A$5:$A$11,0)),"③ 통장·카드에 없는 결제수단입니다",IF($D1617="","계정과목을 고르십시오",IF($E1617="※없는 과목","④ 설정에 없는 과목입니다",IF(AND($E1617="수입",$J1617&gt;0),"수입 과목인데 지출에 적혔습니다",IF(AND(LEFT($E1617,2)&lt;&gt;"수입",$E1617&lt;&gt;"대체",$I1617&gt;0),"지출 과목인데 수입에 적혔습니다",IF($K1617="","증빙을 고르십시오",IF(AND($C1617="바우처통장",$J1617&gt;0,IFERROR(INDEX('통합 ④ 설정'!$E$6:$E$40,MATCH($D1617,'통합 ④ 설정'!$B$6:$B$40,0)),"")&lt;&gt;"○"),"바우처통장 지출 — 목적 확인",IF($H1617="","적요를 적으십시오",""))))))))))))</f>
        <v/>
      </c>
      <c r="M1617" s="39"/>
      <c r="O1617" s="11" t="str">
        <f aca="false">IF($B1617="","",YEAR($B1617)*100+MONTH($B1617))</f>
        <v/>
      </c>
      <c r="P1617" s="11" t="str">
        <f aca="false">IF($B1617="","",IF($E1617="대체",0,1))</f>
        <v/>
      </c>
    </row>
    <row r="1618" customFormat="false" ht="15" hidden="false" customHeight="false" outlineLevel="0" collapsed="false">
      <c r="A1618" s="36" t="str">
        <f aca="false">IF($B1618="","",COUNT($B$15:$B1618))</f>
        <v/>
      </c>
      <c r="B1618" s="37"/>
      <c r="C1618" s="38"/>
      <c r="D1618" s="39"/>
      <c r="E1618" s="36" t="str">
        <f aca="false">IF($D1618="","",IFERROR(INDEX('통합 ④ 설정'!$A$6:$A$40,MATCH($D1618,'통합 ④ 설정'!$B$6:$B$40,0)),"※없는 과목"))</f>
        <v/>
      </c>
      <c r="F1618" s="36" t="str">
        <f aca="false">IF($D1618="","",IFERROR(INDEX('통합 ④ 설정'!$C$6:$C$40,MATCH($D1618,'통합 ④ 설정'!$B$6:$B$40,0)),""))</f>
        <v/>
      </c>
      <c r="G1618" s="39"/>
      <c r="H1618" s="39"/>
      <c r="I1618" s="40"/>
      <c r="J1618" s="41"/>
      <c r="K1618" s="38"/>
      <c r="L1618" s="42" t="str">
        <f aca="false">IF($B1618="","",IF(AND(N($I1618)=0,N($J1618)=0),"금액이 없습니다",IF(AND($I1618&gt;0,$J1618&gt;0),"수입·지출 둘 다 적혔습니다",IF($C1618="","결제수단을 고르십시오",IF(ISNA(MATCH($C1618,'통합 ③ 통장·카드'!$A$5:$A$11,0)),"③ 통장·카드에 없는 결제수단입니다",IF($D1618="","계정과목을 고르십시오",IF($E1618="※없는 과목","④ 설정에 없는 과목입니다",IF(AND($E1618="수입",$J1618&gt;0),"수입 과목인데 지출에 적혔습니다",IF(AND(LEFT($E1618,2)&lt;&gt;"수입",$E1618&lt;&gt;"대체",$I1618&gt;0),"지출 과목인데 수입에 적혔습니다",IF($K1618="","증빙을 고르십시오",IF(AND($C1618="바우처통장",$J1618&gt;0,IFERROR(INDEX('통합 ④ 설정'!$E$6:$E$40,MATCH($D1618,'통합 ④ 설정'!$B$6:$B$40,0)),"")&lt;&gt;"○"),"바우처통장 지출 — 목적 확인",IF($H1618="","적요를 적으십시오",""))))))))))))</f>
        <v/>
      </c>
      <c r="M1618" s="39"/>
      <c r="O1618" s="11" t="str">
        <f aca="false">IF($B1618="","",YEAR($B1618)*100+MONTH($B1618))</f>
        <v/>
      </c>
      <c r="P1618" s="11" t="str">
        <f aca="false">IF($B1618="","",IF($E1618="대체",0,1))</f>
        <v/>
      </c>
    </row>
    <row r="1619" customFormat="false" ht="15" hidden="false" customHeight="false" outlineLevel="0" collapsed="false">
      <c r="A1619" s="36" t="str">
        <f aca="false">IF($B1619="","",COUNT($B$15:$B1619))</f>
        <v/>
      </c>
      <c r="B1619" s="37"/>
      <c r="C1619" s="38"/>
      <c r="D1619" s="39"/>
      <c r="E1619" s="36" t="str">
        <f aca="false">IF($D1619="","",IFERROR(INDEX('통합 ④ 설정'!$A$6:$A$40,MATCH($D1619,'통합 ④ 설정'!$B$6:$B$40,0)),"※없는 과목"))</f>
        <v/>
      </c>
      <c r="F1619" s="36" t="str">
        <f aca="false">IF($D1619="","",IFERROR(INDEX('통합 ④ 설정'!$C$6:$C$40,MATCH($D1619,'통합 ④ 설정'!$B$6:$B$40,0)),""))</f>
        <v/>
      </c>
      <c r="G1619" s="39"/>
      <c r="H1619" s="39"/>
      <c r="I1619" s="40"/>
      <c r="J1619" s="41"/>
      <c r="K1619" s="38"/>
      <c r="L1619" s="42" t="str">
        <f aca="false">IF($B1619="","",IF(AND(N($I1619)=0,N($J1619)=0),"금액이 없습니다",IF(AND($I1619&gt;0,$J1619&gt;0),"수입·지출 둘 다 적혔습니다",IF($C1619="","결제수단을 고르십시오",IF(ISNA(MATCH($C1619,'통합 ③ 통장·카드'!$A$5:$A$11,0)),"③ 통장·카드에 없는 결제수단입니다",IF($D1619="","계정과목을 고르십시오",IF($E1619="※없는 과목","④ 설정에 없는 과목입니다",IF(AND($E1619="수입",$J1619&gt;0),"수입 과목인데 지출에 적혔습니다",IF(AND(LEFT($E1619,2)&lt;&gt;"수입",$E1619&lt;&gt;"대체",$I1619&gt;0),"지출 과목인데 수입에 적혔습니다",IF($K1619="","증빙을 고르십시오",IF(AND($C1619="바우처통장",$J1619&gt;0,IFERROR(INDEX('통합 ④ 설정'!$E$6:$E$40,MATCH($D1619,'통합 ④ 설정'!$B$6:$B$40,0)),"")&lt;&gt;"○"),"바우처통장 지출 — 목적 확인",IF($H1619="","적요를 적으십시오",""))))))))))))</f>
        <v/>
      </c>
      <c r="M1619" s="39"/>
      <c r="O1619" s="11" t="str">
        <f aca="false">IF($B1619="","",YEAR($B1619)*100+MONTH($B1619))</f>
        <v/>
      </c>
      <c r="P1619" s="11" t="str">
        <f aca="false">IF($B1619="","",IF($E1619="대체",0,1))</f>
        <v/>
      </c>
    </row>
    <row r="1620" customFormat="false" ht="15" hidden="false" customHeight="false" outlineLevel="0" collapsed="false">
      <c r="A1620" s="36" t="str">
        <f aca="false">IF($B1620="","",COUNT($B$15:$B1620))</f>
        <v/>
      </c>
      <c r="B1620" s="37"/>
      <c r="C1620" s="38"/>
      <c r="D1620" s="39"/>
      <c r="E1620" s="36" t="str">
        <f aca="false">IF($D1620="","",IFERROR(INDEX('통합 ④ 설정'!$A$6:$A$40,MATCH($D1620,'통합 ④ 설정'!$B$6:$B$40,0)),"※없는 과목"))</f>
        <v/>
      </c>
      <c r="F1620" s="36" t="str">
        <f aca="false">IF($D1620="","",IFERROR(INDEX('통합 ④ 설정'!$C$6:$C$40,MATCH($D1620,'통합 ④ 설정'!$B$6:$B$40,0)),""))</f>
        <v/>
      </c>
      <c r="G1620" s="39"/>
      <c r="H1620" s="39"/>
      <c r="I1620" s="40"/>
      <c r="J1620" s="41"/>
      <c r="K1620" s="38"/>
      <c r="L1620" s="42" t="str">
        <f aca="false">IF($B1620="","",IF(AND(N($I1620)=0,N($J1620)=0),"금액이 없습니다",IF(AND($I1620&gt;0,$J1620&gt;0),"수입·지출 둘 다 적혔습니다",IF($C1620="","결제수단을 고르십시오",IF(ISNA(MATCH($C1620,'통합 ③ 통장·카드'!$A$5:$A$11,0)),"③ 통장·카드에 없는 결제수단입니다",IF($D1620="","계정과목을 고르십시오",IF($E1620="※없는 과목","④ 설정에 없는 과목입니다",IF(AND($E1620="수입",$J1620&gt;0),"수입 과목인데 지출에 적혔습니다",IF(AND(LEFT($E1620,2)&lt;&gt;"수입",$E1620&lt;&gt;"대체",$I1620&gt;0),"지출 과목인데 수입에 적혔습니다",IF($K1620="","증빙을 고르십시오",IF(AND($C1620="바우처통장",$J1620&gt;0,IFERROR(INDEX('통합 ④ 설정'!$E$6:$E$40,MATCH($D1620,'통합 ④ 설정'!$B$6:$B$40,0)),"")&lt;&gt;"○"),"바우처통장 지출 — 목적 확인",IF($H1620="","적요를 적으십시오",""))))))))))))</f>
        <v/>
      </c>
      <c r="M1620" s="39"/>
      <c r="O1620" s="11" t="str">
        <f aca="false">IF($B1620="","",YEAR($B1620)*100+MONTH($B1620))</f>
        <v/>
      </c>
      <c r="P1620" s="11" t="str">
        <f aca="false">IF($B1620="","",IF($E1620="대체",0,1))</f>
        <v/>
      </c>
    </row>
    <row r="1621" customFormat="false" ht="15" hidden="false" customHeight="false" outlineLevel="0" collapsed="false">
      <c r="A1621" s="36" t="str">
        <f aca="false">IF($B1621="","",COUNT($B$15:$B1621))</f>
        <v/>
      </c>
      <c r="B1621" s="37"/>
      <c r="C1621" s="38"/>
      <c r="D1621" s="39"/>
      <c r="E1621" s="36" t="str">
        <f aca="false">IF($D1621="","",IFERROR(INDEX('통합 ④ 설정'!$A$6:$A$40,MATCH($D1621,'통합 ④ 설정'!$B$6:$B$40,0)),"※없는 과목"))</f>
        <v/>
      </c>
      <c r="F1621" s="36" t="str">
        <f aca="false">IF($D1621="","",IFERROR(INDEX('통합 ④ 설정'!$C$6:$C$40,MATCH($D1621,'통합 ④ 설정'!$B$6:$B$40,0)),""))</f>
        <v/>
      </c>
      <c r="G1621" s="39"/>
      <c r="H1621" s="39"/>
      <c r="I1621" s="40"/>
      <c r="J1621" s="41"/>
      <c r="K1621" s="38"/>
      <c r="L1621" s="42" t="str">
        <f aca="false">IF($B1621="","",IF(AND(N($I1621)=0,N($J1621)=0),"금액이 없습니다",IF(AND($I1621&gt;0,$J1621&gt;0),"수입·지출 둘 다 적혔습니다",IF($C1621="","결제수단을 고르십시오",IF(ISNA(MATCH($C1621,'통합 ③ 통장·카드'!$A$5:$A$11,0)),"③ 통장·카드에 없는 결제수단입니다",IF($D1621="","계정과목을 고르십시오",IF($E1621="※없는 과목","④ 설정에 없는 과목입니다",IF(AND($E1621="수입",$J1621&gt;0),"수입 과목인데 지출에 적혔습니다",IF(AND(LEFT($E1621,2)&lt;&gt;"수입",$E1621&lt;&gt;"대체",$I1621&gt;0),"지출 과목인데 수입에 적혔습니다",IF($K1621="","증빙을 고르십시오",IF(AND($C1621="바우처통장",$J1621&gt;0,IFERROR(INDEX('통합 ④ 설정'!$E$6:$E$40,MATCH($D1621,'통합 ④ 설정'!$B$6:$B$40,0)),"")&lt;&gt;"○"),"바우처통장 지출 — 목적 확인",IF($H1621="","적요를 적으십시오",""))))))))))))</f>
        <v/>
      </c>
      <c r="M1621" s="39"/>
      <c r="O1621" s="11" t="str">
        <f aca="false">IF($B1621="","",YEAR($B1621)*100+MONTH($B1621))</f>
        <v/>
      </c>
      <c r="P1621" s="11" t="str">
        <f aca="false">IF($B1621="","",IF($E1621="대체",0,1))</f>
        <v/>
      </c>
    </row>
    <row r="1622" customFormat="false" ht="15" hidden="false" customHeight="false" outlineLevel="0" collapsed="false">
      <c r="A1622" s="36" t="str">
        <f aca="false">IF($B1622="","",COUNT($B$15:$B1622))</f>
        <v/>
      </c>
      <c r="B1622" s="37"/>
      <c r="C1622" s="38"/>
      <c r="D1622" s="39"/>
      <c r="E1622" s="36" t="str">
        <f aca="false">IF($D1622="","",IFERROR(INDEX('통합 ④ 설정'!$A$6:$A$40,MATCH($D1622,'통합 ④ 설정'!$B$6:$B$40,0)),"※없는 과목"))</f>
        <v/>
      </c>
      <c r="F1622" s="36" t="str">
        <f aca="false">IF($D1622="","",IFERROR(INDEX('통합 ④ 설정'!$C$6:$C$40,MATCH($D1622,'통합 ④ 설정'!$B$6:$B$40,0)),""))</f>
        <v/>
      </c>
      <c r="G1622" s="39"/>
      <c r="H1622" s="39"/>
      <c r="I1622" s="40"/>
      <c r="J1622" s="41"/>
      <c r="K1622" s="38"/>
      <c r="L1622" s="42" t="str">
        <f aca="false">IF($B1622="","",IF(AND(N($I1622)=0,N($J1622)=0),"금액이 없습니다",IF(AND($I1622&gt;0,$J1622&gt;0),"수입·지출 둘 다 적혔습니다",IF($C1622="","결제수단을 고르십시오",IF(ISNA(MATCH($C1622,'통합 ③ 통장·카드'!$A$5:$A$11,0)),"③ 통장·카드에 없는 결제수단입니다",IF($D1622="","계정과목을 고르십시오",IF($E1622="※없는 과목","④ 설정에 없는 과목입니다",IF(AND($E1622="수입",$J1622&gt;0),"수입 과목인데 지출에 적혔습니다",IF(AND(LEFT($E1622,2)&lt;&gt;"수입",$E1622&lt;&gt;"대체",$I1622&gt;0),"지출 과목인데 수입에 적혔습니다",IF($K1622="","증빙을 고르십시오",IF(AND($C1622="바우처통장",$J1622&gt;0,IFERROR(INDEX('통합 ④ 설정'!$E$6:$E$40,MATCH($D1622,'통합 ④ 설정'!$B$6:$B$40,0)),"")&lt;&gt;"○"),"바우처통장 지출 — 목적 확인",IF($H1622="","적요를 적으십시오",""))))))))))))</f>
        <v/>
      </c>
      <c r="M1622" s="39"/>
      <c r="O1622" s="11" t="str">
        <f aca="false">IF($B1622="","",YEAR($B1622)*100+MONTH($B1622))</f>
        <v/>
      </c>
      <c r="P1622" s="11" t="str">
        <f aca="false">IF($B1622="","",IF($E1622="대체",0,1))</f>
        <v/>
      </c>
    </row>
    <row r="1623" customFormat="false" ht="15" hidden="false" customHeight="false" outlineLevel="0" collapsed="false">
      <c r="A1623" s="36" t="str">
        <f aca="false">IF($B1623="","",COUNT($B$15:$B1623))</f>
        <v/>
      </c>
      <c r="B1623" s="37"/>
      <c r="C1623" s="38"/>
      <c r="D1623" s="39"/>
      <c r="E1623" s="36" t="str">
        <f aca="false">IF($D1623="","",IFERROR(INDEX('통합 ④ 설정'!$A$6:$A$40,MATCH($D1623,'통합 ④ 설정'!$B$6:$B$40,0)),"※없는 과목"))</f>
        <v/>
      </c>
      <c r="F1623" s="36" t="str">
        <f aca="false">IF($D1623="","",IFERROR(INDEX('통합 ④ 설정'!$C$6:$C$40,MATCH($D1623,'통합 ④ 설정'!$B$6:$B$40,0)),""))</f>
        <v/>
      </c>
      <c r="G1623" s="39"/>
      <c r="H1623" s="39"/>
      <c r="I1623" s="40"/>
      <c r="J1623" s="41"/>
      <c r="K1623" s="38"/>
      <c r="L1623" s="42" t="str">
        <f aca="false">IF($B1623="","",IF(AND(N($I1623)=0,N($J1623)=0),"금액이 없습니다",IF(AND($I1623&gt;0,$J1623&gt;0),"수입·지출 둘 다 적혔습니다",IF($C1623="","결제수단을 고르십시오",IF(ISNA(MATCH($C1623,'통합 ③ 통장·카드'!$A$5:$A$11,0)),"③ 통장·카드에 없는 결제수단입니다",IF($D1623="","계정과목을 고르십시오",IF($E1623="※없는 과목","④ 설정에 없는 과목입니다",IF(AND($E1623="수입",$J1623&gt;0),"수입 과목인데 지출에 적혔습니다",IF(AND(LEFT($E1623,2)&lt;&gt;"수입",$E1623&lt;&gt;"대체",$I1623&gt;0),"지출 과목인데 수입에 적혔습니다",IF($K1623="","증빙을 고르십시오",IF(AND($C1623="바우처통장",$J1623&gt;0,IFERROR(INDEX('통합 ④ 설정'!$E$6:$E$40,MATCH($D1623,'통합 ④ 설정'!$B$6:$B$40,0)),"")&lt;&gt;"○"),"바우처통장 지출 — 목적 확인",IF($H1623="","적요를 적으십시오",""))))))))))))</f>
        <v/>
      </c>
      <c r="M1623" s="39"/>
      <c r="O1623" s="11" t="str">
        <f aca="false">IF($B1623="","",YEAR($B1623)*100+MONTH($B1623))</f>
        <v/>
      </c>
      <c r="P1623" s="11" t="str">
        <f aca="false">IF($B1623="","",IF($E1623="대체",0,1))</f>
        <v/>
      </c>
    </row>
    <row r="1624" customFormat="false" ht="15" hidden="false" customHeight="false" outlineLevel="0" collapsed="false">
      <c r="A1624" s="36" t="str">
        <f aca="false">IF($B1624="","",COUNT($B$15:$B1624))</f>
        <v/>
      </c>
      <c r="B1624" s="37"/>
      <c r="C1624" s="38"/>
      <c r="D1624" s="39"/>
      <c r="E1624" s="36" t="str">
        <f aca="false">IF($D1624="","",IFERROR(INDEX('통합 ④ 설정'!$A$6:$A$40,MATCH($D1624,'통합 ④ 설정'!$B$6:$B$40,0)),"※없는 과목"))</f>
        <v/>
      </c>
      <c r="F1624" s="36" t="str">
        <f aca="false">IF($D1624="","",IFERROR(INDEX('통합 ④ 설정'!$C$6:$C$40,MATCH($D1624,'통합 ④ 설정'!$B$6:$B$40,0)),""))</f>
        <v/>
      </c>
      <c r="G1624" s="39"/>
      <c r="H1624" s="39"/>
      <c r="I1624" s="40"/>
      <c r="J1624" s="41"/>
      <c r="K1624" s="38"/>
      <c r="L1624" s="42" t="str">
        <f aca="false">IF($B1624="","",IF(AND(N($I1624)=0,N($J1624)=0),"금액이 없습니다",IF(AND($I1624&gt;0,$J1624&gt;0),"수입·지출 둘 다 적혔습니다",IF($C1624="","결제수단을 고르십시오",IF(ISNA(MATCH($C1624,'통합 ③ 통장·카드'!$A$5:$A$11,0)),"③ 통장·카드에 없는 결제수단입니다",IF($D1624="","계정과목을 고르십시오",IF($E1624="※없는 과목","④ 설정에 없는 과목입니다",IF(AND($E1624="수입",$J1624&gt;0),"수입 과목인데 지출에 적혔습니다",IF(AND(LEFT($E1624,2)&lt;&gt;"수입",$E1624&lt;&gt;"대체",$I1624&gt;0),"지출 과목인데 수입에 적혔습니다",IF($K1624="","증빙을 고르십시오",IF(AND($C1624="바우처통장",$J1624&gt;0,IFERROR(INDEX('통합 ④ 설정'!$E$6:$E$40,MATCH($D1624,'통합 ④ 설정'!$B$6:$B$40,0)),"")&lt;&gt;"○"),"바우처통장 지출 — 목적 확인",IF($H1624="","적요를 적으십시오",""))))))))))))</f>
        <v/>
      </c>
      <c r="M1624" s="39"/>
      <c r="O1624" s="11" t="str">
        <f aca="false">IF($B1624="","",YEAR($B1624)*100+MONTH($B1624))</f>
        <v/>
      </c>
      <c r="P1624" s="11" t="str">
        <f aca="false">IF($B1624="","",IF($E1624="대체",0,1))</f>
        <v/>
      </c>
    </row>
    <row r="1625" customFormat="false" ht="15" hidden="false" customHeight="false" outlineLevel="0" collapsed="false">
      <c r="A1625" s="36" t="str">
        <f aca="false">IF($B1625="","",COUNT($B$15:$B1625))</f>
        <v/>
      </c>
      <c r="B1625" s="37"/>
      <c r="C1625" s="38"/>
      <c r="D1625" s="39"/>
      <c r="E1625" s="36" t="str">
        <f aca="false">IF($D1625="","",IFERROR(INDEX('통합 ④ 설정'!$A$6:$A$40,MATCH($D1625,'통합 ④ 설정'!$B$6:$B$40,0)),"※없는 과목"))</f>
        <v/>
      </c>
      <c r="F1625" s="36" t="str">
        <f aca="false">IF($D1625="","",IFERROR(INDEX('통합 ④ 설정'!$C$6:$C$40,MATCH($D1625,'통합 ④ 설정'!$B$6:$B$40,0)),""))</f>
        <v/>
      </c>
      <c r="G1625" s="39"/>
      <c r="H1625" s="39"/>
      <c r="I1625" s="40"/>
      <c r="J1625" s="41"/>
      <c r="K1625" s="38"/>
      <c r="L1625" s="42" t="str">
        <f aca="false">IF($B1625="","",IF(AND(N($I1625)=0,N($J1625)=0),"금액이 없습니다",IF(AND($I1625&gt;0,$J1625&gt;0),"수입·지출 둘 다 적혔습니다",IF($C1625="","결제수단을 고르십시오",IF(ISNA(MATCH($C1625,'통합 ③ 통장·카드'!$A$5:$A$11,0)),"③ 통장·카드에 없는 결제수단입니다",IF($D1625="","계정과목을 고르십시오",IF($E1625="※없는 과목","④ 설정에 없는 과목입니다",IF(AND($E1625="수입",$J1625&gt;0),"수입 과목인데 지출에 적혔습니다",IF(AND(LEFT($E1625,2)&lt;&gt;"수입",$E1625&lt;&gt;"대체",$I1625&gt;0),"지출 과목인데 수입에 적혔습니다",IF($K1625="","증빙을 고르십시오",IF(AND($C1625="바우처통장",$J1625&gt;0,IFERROR(INDEX('통합 ④ 설정'!$E$6:$E$40,MATCH($D1625,'통합 ④ 설정'!$B$6:$B$40,0)),"")&lt;&gt;"○"),"바우처통장 지출 — 목적 확인",IF($H1625="","적요를 적으십시오",""))))))))))))</f>
        <v/>
      </c>
      <c r="M1625" s="39"/>
      <c r="O1625" s="11" t="str">
        <f aca="false">IF($B1625="","",YEAR($B1625)*100+MONTH($B1625))</f>
        <v/>
      </c>
      <c r="P1625" s="11" t="str">
        <f aca="false">IF($B1625="","",IF($E1625="대체",0,1))</f>
        <v/>
      </c>
    </row>
    <row r="1626" customFormat="false" ht="15" hidden="false" customHeight="false" outlineLevel="0" collapsed="false">
      <c r="A1626" s="36" t="str">
        <f aca="false">IF($B1626="","",COUNT($B$15:$B1626))</f>
        <v/>
      </c>
      <c r="B1626" s="37"/>
      <c r="C1626" s="38"/>
      <c r="D1626" s="39"/>
      <c r="E1626" s="36" t="str">
        <f aca="false">IF($D1626="","",IFERROR(INDEX('통합 ④ 설정'!$A$6:$A$40,MATCH($D1626,'통합 ④ 설정'!$B$6:$B$40,0)),"※없는 과목"))</f>
        <v/>
      </c>
      <c r="F1626" s="36" t="str">
        <f aca="false">IF($D1626="","",IFERROR(INDEX('통합 ④ 설정'!$C$6:$C$40,MATCH($D1626,'통합 ④ 설정'!$B$6:$B$40,0)),""))</f>
        <v/>
      </c>
      <c r="G1626" s="39"/>
      <c r="H1626" s="39"/>
      <c r="I1626" s="40"/>
      <c r="J1626" s="41"/>
      <c r="K1626" s="38"/>
      <c r="L1626" s="42" t="str">
        <f aca="false">IF($B1626="","",IF(AND(N($I1626)=0,N($J1626)=0),"금액이 없습니다",IF(AND($I1626&gt;0,$J1626&gt;0),"수입·지출 둘 다 적혔습니다",IF($C1626="","결제수단을 고르십시오",IF(ISNA(MATCH($C1626,'통합 ③ 통장·카드'!$A$5:$A$11,0)),"③ 통장·카드에 없는 결제수단입니다",IF($D1626="","계정과목을 고르십시오",IF($E1626="※없는 과목","④ 설정에 없는 과목입니다",IF(AND($E1626="수입",$J1626&gt;0),"수입 과목인데 지출에 적혔습니다",IF(AND(LEFT($E1626,2)&lt;&gt;"수입",$E1626&lt;&gt;"대체",$I1626&gt;0),"지출 과목인데 수입에 적혔습니다",IF($K1626="","증빙을 고르십시오",IF(AND($C1626="바우처통장",$J1626&gt;0,IFERROR(INDEX('통합 ④ 설정'!$E$6:$E$40,MATCH($D1626,'통합 ④ 설정'!$B$6:$B$40,0)),"")&lt;&gt;"○"),"바우처통장 지출 — 목적 확인",IF($H1626="","적요를 적으십시오",""))))))))))))</f>
        <v/>
      </c>
      <c r="M1626" s="39"/>
      <c r="O1626" s="11" t="str">
        <f aca="false">IF($B1626="","",YEAR($B1626)*100+MONTH($B1626))</f>
        <v/>
      </c>
      <c r="P1626" s="11" t="str">
        <f aca="false">IF($B1626="","",IF($E1626="대체",0,1))</f>
        <v/>
      </c>
    </row>
    <row r="1627" customFormat="false" ht="15" hidden="false" customHeight="false" outlineLevel="0" collapsed="false">
      <c r="A1627" s="36" t="str">
        <f aca="false">IF($B1627="","",COUNT($B$15:$B1627))</f>
        <v/>
      </c>
      <c r="B1627" s="37"/>
      <c r="C1627" s="38"/>
      <c r="D1627" s="39"/>
      <c r="E1627" s="36" t="str">
        <f aca="false">IF($D1627="","",IFERROR(INDEX('통합 ④ 설정'!$A$6:$A$40,MATCH($D1627,'통합 ④ 설정'!$B$6:$B$40,0)),"※없는 과목"))</f>
        <v/>
      </c>
      <c r="F1627" s="36" t="str">
        <f aca="false">IF($D1627="","",IFERROR(INDEX('통합 ④ 설정'!$C$6:$C$40,MATCH($D1627,'통합 ④ 설정'!$B$6:$B$40,0)),""))</f>
        <v/>
      </c>
      <c r="G1627" s="39"/>
      <c r="H1627" s="39"/>
      <c r="I1627" s="40"/>
      <c r="J1627" s="41"/>
      <c r="K1627" s="38"/>
      <c r="L1627" s="42" t="str">
        <f aca="false">IF($B1627="","",IF(AND(N($I1627)=0,N($J1627)=0),"금액이 없습니다",IF(AND($I1627&gt;0,$J1627&gt;0),"수입·지출 둘 다 적혔습니다",IF($C1627="","결제수단을 고르십시오",IF(ISNA(MATCH($C1627,'통합 ③ 통장·카드'!$A$5:$A$11,0)),"③ 통장·카드에 없는 결제수단입니다",IF($D1627="","계정과목을 고르십시오",IF($E1627="※없는 과목","④ 설정에 없는 과목입니다",IF(AND($E1627="수입",$J1627&gt;0),"수입 과목인데 지출에 적혔습니다",IF(AND(LEFT($E1627,2)&lt;&gt;"수입",$E1627&lt;&gt;"대체",$I1627&gt;0),"지출 과목인데 수입에 적혔습니다",IF($K1627="","증빙을 고르십시오",IF(AND($C1627="바우처통장",$J1627&gt;0,IFERROR(INDEX('통합 ④ 설정'!$E$6:$E$40,MATCH($D1627,'통합 ④ 설정'!$B$6:$B$40,0)),"")&lt;&gt;"○"),"바우처통장 지출 — 목적 확인",IF($H1627="","적요를 적으십시오",""))))))))))))</f>
        <v/>
      </c>
      <c r="M1627" s="39"/>
      <c r="O1627" s="11" t="str">
        <f aca="false">IF($B1627="","",YEAR($B1627)*100+MONTH($B1627))</f>
        <v/>
      </c>
      <c r="P1627" s="11" t="str">
        <f aca="false">IF($B1627="","",IF($E1627="대체",0,1))</f>
        <v/>
      </c>
    </row>
    <row r="1628" customFormat="false" ht="15" hidden="false" customHeight="false" outlineLevel="0" collapsed="false">
      <c r="A1628" s="36" t="str">
        <f aca="false">IF($B1628="","",COUNT($B$15:$B1628))</f>
        <v/>
      </c>
      <c r="B1628" s="37"/>
      <c r="C1628" s="38"/>
      <c r="D1628" s="39"/>
      <c r="E1628" s="36" t="str">
        <f aca="false">IF($D1628="","",IFERROR(INDEX('통합 ④ 설정'!$A$6:$A$40,MATCH($D1628,'통합 ④ 설정'!$B$6:$B$40,0)),"※없는 과목"))</f>
        <v/>
      </c>
      <c r="F1628" s="36" t="str">
        <f aca="false">IF($D1628="","",IFERROR(INDEX('통합 ④ 설정'!$C$6:$C$40,MATCH($D1628,'통합 ④ 설정'!$B$6:$B$40,0)),""))</f>
        <v/>
      </c>
      <c r="G1628" s="39"/>
      <c r="H1628" s="39"/>
      <c r="I1628" s="40"/>
      <c r="J1628" s="41"/>
      <c r="K1628" s="38"/>
      <c r="L1628" s="42" t="str">
        <f aca="false">IF($B1628="","",IF(AND(N($I1628)=0,N($J1628)=0),"금액이 없습니다",IF(AND($I1628&gt;0,$J1628&gt;0),"수입·지출 둘 다 적혔습니다",IF($C1628="","결제수단을 고르십시오",IF(ISNA(MATCH($C1628,'통합 ③ 통장·카드'!$A$5:$A$11,0)),"③ 통장·카드에 없는 결제수단입니다",IF($D1628="","계정과목을 고르십시오",IF($E1628="※없는 과목","④ 설정에 없는 과목입니다",IF(AND($E1628="수입",$J1628&gt;0),"수입 과목인데 지출에 적혔습니다",IF(AND(LEFT($E1628,2)&lt;&gt;"수입",$E1628&lt;&gt;"대체",$I1628&gt;0),"지출 과목인데 수입에 적혔습니다",IF($K1628="","증빙을 고르십시오",IF(AND($C1628="바우처통장",$J1628&gt;0,IFERROR(INDEX('통합 ④ 설정'!$E$6:$E$40,MATCH($D1628,'통합 ④ 설정'!$B$6:$B$40,0)),"")&lt;&gt;"○"),"바우처통장 지출 — 목적 확인",IF($H1628="","적요를 적으십시오",""))))))))))))</f>
        <v/>
      </c>
      <c r="M1628" s="39"/>
      <c r="O1628" s="11" t="str">
        <f aca="false">IF($B1628="","",YEAR($B1628)*100+MONTH($B1628))</f>
        <v/>
      </c>
      <c r="P1628" s="11" t="str">
        <f aca="false">IF($B1628="","",IF($E1628="대체",0,1))</f>
        <v/>
      </c>
    </row>
    <row r="1629" customFormat="false" ht="15" hidden="false" customHeight="false" outlineLevel="0" collapsed="false">
      <c r="A1629" s="36" t="str">
        <f aca="false">IF($B1629="","",COUNT($B$15:$B1629))</f>
        <v/>
      </c>
      <c r="B1629" s="37"/>
      <c r="C1629" s="38"/>
      <c r="D1629" s="39"/>
      <c r="E1629" s="36" t="str">
        <f aca="false">IF($D1629="","",IFERROR(INDEX('통합 ④ 설정'!$A$6:$A$40,MATCH($D1629,'통합 ④ 설정'!$B$6:$B$40,0)),"※없는 과목"))</f>
        <v/>
      </c>
      <c r="F1629" s="36" t="str">
        <f aca="false">IF($D1629="","",IFERROR(INDEX('통합 ④ 설정'!$C$6:$C$40,MATCH($D1629,'통합 ④ 설정'!$B$6:$B$40,0)),""))</f>
        <v/>
      </c>
      <c r="G1629" s="39"/>
      <c r="H1629" s="39"/>
      <c r="I1629" s="40"/>
      <c r="J1629" s="41"/>
      <c r="K1629" s="38"/>
      <c r="L1629" s="42" t="str">
        <f aca="false">IF($B1629="","",IF(AND(N($I1629)=0,N($J1629)=0),"금액이 없습니다",IF(AND($I1629&gt;0,$J1629&gt;0),"수입·지출 둘 다 적혔습니다",IF($C1629="","결제수단을 고르십시오",IF(ISNA(MATCH($C1629,'통합 ③ 통장·카드'!$A$5:$A$11,0)),"③ 통장·카드에 없는 결제수단입니다",IF($D1629="","계정과목을 고르십시오",IF($E1629="※없는 과목","④ 설정에 없는 과목입니다",IF(AND($E1629="수입",$J1629&gt;0),"수입 과목인데 지출에 적혔습니다",IF(AND(LEFT($E1629,2)&lt;&gt;"수입",$E1629&lt;&gt;"대체",$I1629&gt;0),"지출 과목인데 수입에 적혔습니다",IF($K1629="","증빙을 고르십시오",IF(AND($C1629="바우처통장",$J1629&gt;0,IFERROR(INDEX('통합 ④ 설정'!$E$6:$E$40,MATCH($D1629,'통합 ④ 설정'!$B$6:$B$40,0)),"")&lt;&gt;"○"),"바우처통장 지출 — 목적 확인",IF($H1629="","적요를 적으십시오",""))))))))))))</f>
        <v/>
      </c>
      <c r="M1629" s="39"/>
      <c r="O1629" s="11" t="str">
        <f aca="false">IF($B1629="","",YEAR($B1629)*100+MONTH($B1629))</f>
        <v/>
      </c>
      <c r="P1629" s="11" t="str">
        <f aca="false">IF($B1629="","",IF($E1629="대체",0,1))</f>
        <v/>
      </c>
    </row>
    <row r="1630" customFormat="false" ht="15" hidden="false" customHeight="false" outlineLevel="0" collapsed="false">
      <c r="A1630" s="36" t="str">
        <f aca="false">IF($B1630="","",COUNT($B$15:$B1630))</f>
        <v/>
      </c>
      <c r="B1630" s="37"/>
      <c r="C1630" s="38"/>
      <c r="D1630" s="39"/>
      <c r="E1630" s="36" t="str">
        <f aca="false">IF($D1630="","",IFERROR(INDEX('통합 ④ 설정'!$A$6:$A$40,MATCH($D1630,'통합 ④ 설정'!$B$6:$B$40,0)),"※없는 과목"))</f>
        <v/>
      </c>
      <c r="F1630" s="36" t="str">
        <f aca="false">IF($D1630="","",IFERROR(INDEX('통합 ④ 설정'!$C$6:$C$40,MATCH($D1630,'통합 ④ 설정'!$B$6:$B$40,0)),""))</f>
        <v/>
      </c>
      <c r="G1630" s="39"/>
      <c r="H1630" s="39"/>
      <c r="I1630" s="40"/>
      <c r="J1630" s="41"/>
      <c r="K1630" s="38"/>
      <c r="L1630" s="42" t="str">
        <f aca="false">IF($B1630="","",IF(AND(N($I1630)=0,N($J1630)=0),"금액이 없습니다",IF(AND($I1630&gt;0,$J1630&gt;0),"수입·지출 둘 다 적혔습니다",IF($C1630="","결제수단을 고르십시오",IF(ISNA(MATCH($C1630,'통합 ③ 통장·카드'!$A$5:$A$11,0)),"③ 통장·카드에 없는 결제수단입니다",IF($D1630="","계정과목을 고르십시오",IF($E1630="※없는 과목","④ 설정에 없는 과목입니다",IF(AND($E1630="수입",$J1630&gt;0),"수입 과목인데 지출에 적혔습니다",IF(AND(LEFT($E1630,2)&lt;&gt;"수입",$E1630&lt;&gt;"대체",$I1630&gt;0),"지출 과목인데 수입에 적혔습니다",IF($K1630="","증빙을 고르십시오",IF(AND($C1630="바우처통장",$J1630&gt;0,IFERROR(INDEX('통합 ④ 설정'!$E$6:$E$40,MATCH($D1630,'통합 ④ 설정'!$B$6:$B$40,0)),"")&lt;&gt;"○"),"바우처통장 지출 — 목적 확인",IF($H1630="","적요를 적으십시오",""))))))))))))</f>
        <v/>
      </c>
      <c r="M1630" s="39"/>
      <c r="O1630" s="11" t="str">
        <f aca="false">IF($B1630="","",YEAR($B1630)*100+MONTH($B1630))</f>
        <v/>
      </c>
      <c r="P1630" s="11" t="str">
        <f aca="false">IF($B1630="","",IF($E1630="대체",0,1))</f>
        <v/>
      </c>
    </row>
    <row r="1631" customFormat="false" ht="15" hidden="false" customHeight="false" outlineLevel="0" collapsed="false">
      <c r="A1631" s="36" t="str">
        <f aca="false">IF($B1631="","",COUNT($B$15:$B1631))</f>
        <v/>
      </c>
      <c r="B1631" s="37"/>
      <c r="C1631" s="38"/>
      <c r="D1631" s="39"/>
      <c r="E1631" s="36" t="str">
        <f aca="false">IF($D1631="","",IFERROR(INDEX('통합 ④ 설정'!$A$6:$A$40,MATCH($D1631,'통합 ④ 설정'!$B$6:$B$40,0)),"※없는 과목"))</f>
        <v/>
      </c>
      <c r="F1631" s="36" t="str">
        <f aca="false">IF($D1631="","",IFERROR(INDEX('통합 ④ 설정'!$C$6:$C$40,MATCH($D1631,'통합 ④ 설정'!$B$6:$B$40,0)),""))</f>
        <v/>
      </c>
      <c r="G1631" s="39"/>
      <c r="H1631" s="39"/>
      <c r="I1631" s="40"/>
      <c r="J1631" s="41"/>
      <c r="K1631" s="38"/>
      <c r="L1631" s="42" t="str">
        <f aca="false">IF($B1631="","",IF(AND(N($I1631)=0,N($J1631)=0),"금액이 없습니다",IF(AND($I1631&gt;0,$J1631&gt;0),"수입·지출 둘 다 적혔습니다",IF($C1631="","결제수단을 고르십시오",IF(ISNA(MATCH($C1631,'통합 ③ 통장·카드'!$A$5:$A$11,0)),"③ 통장·카드에 없는 결제수단입니다",IF($D1631="","계정과목을 고르십시오",IF($E1631="※없는 과목","④ 설정에 없는 과목입니다",IF(AND($E1631="수입",$J1631&gt;0),"수입 과목인데 지출에 적혔습니다",IF(AND(LEFT($E1631,2)&lt;&gt;"수입",$E1631&lt;&gt;"대체",$I1631&gt;0),"지출 과목인데 수입에 적혔습니다",IF($K1631="","증빙을 고르십시오",IF(AND($C1631="바우처통장",$J1631&gt;0,IFERROR(INDEX('통합 ④ 설정'!$E$6:$E$40,MATCH($D1631,'통합 ④ 설정'!$B$6:$B$40,0)),"")&lt;&gt;"○"),"바우처통장 지출 — 목적 확인",IF($H1631="","적요를 적으십시오",""))))))))))))</f>
        <v/>
      </c>
      <c r="M1631" s="39"/>
      <c r="O1631" s="11" t="str">
        <f aca="false">IF($B1631="","",YEAR($B1631)*100+MONTH($B1631))</f>
        <v/>
      </c>
      <c r="P1631" s="11" t="str">
        <f aca="false">IF($B1631="","",IF($E1631="대체",0,1))</f>
        <v/>
      </c>
    </row>
    <row r="1632" customFormat="false" ht="15" hidden="false" customHeight="false" outlineLevel="0" collapsed="false">
      <c r="A1632" s="36" t="str">
        <f aca="false">IF($B1632="","",COUNT($B$15:$B1632))</f>
        <v/>
      </c>
      <c r="B1632" s="37"/>
      <c r="C1632" s="38"/>
      <c r="D1632" s="39"/>
      <c r="E1632" s="36" t="str">
        <f aca="false">IF($D1632="","",IFERROR(INDEX('통합 ④ 설정'!$A$6:$A$40,MATCH($D1632,'통합 ④ 설정'!$B$6:$B$40,0)),"※없는 과목"))</f>
        <v/>
      </c>
      <c r="F1632" s="36" t="str">
        <f aca="false">IF($D1632="","",IFERROR(INDEX('통합 ④ 설정'!$C$6:$C$40,MATCH($D1632,'통합 ④ 설정'!$B$6:$B$40,0)),""))</f>
        <v/>
      </c>
      <c r="G1632" s="39"/>
      <c r="H1632" s="39"/>
      <c r="I1632" s="40"/>
      <c r="J1632" s="41"/>
      <c r="K1632" s="38"/>
      <c r="L1632" s="42" t="str">
        <f aca="false">IF($B1632="","",IF(AND(N($I1632)=0,N($J1632)=0),"금액이 없습니다",IF(AND($I1632&gt;0,$J1632&gt;0),"수입·지출 둘 다 적혔습니다",IF($C1632="","결제수단을 고르십시오",IF(ISNA(MATCH($C1632,'통합 ③ 통장·카드'!$A$5:$A$11,0)),"③ 통장·카드에 없는 결제수단입니다",IF($D1632="","계정과목을 고르십시오",IF($E1632="※없는 과목","④ 설정에 없는 과목입니다",IF(AND($E1632="수입",$J1632&gt;0),"수입 과목인데 지출에 적혔습니다",IF(AND(LEFT($E1632,2)&lt;&gt;"수입",$E1632&lt;&gt;"대체",$I1632&gt;0),"지출 과목인데 수입에 적혔습니다",IF($K1632="","증빙을 고르십시오",IF(AND($C1632="바우처통장",$J1632&gt;0,IFERROR(INDEX('통합 ④ 설정'!$E$6:$E$40,MATCH($D1632,'통합 ④ 설정'!$B$6:$B$40,0)),"")&lt;&gt;"○"),"바우처통장 지출 — 목적 확인",IF($H1632="","적요를 적으십시오",""))))))))))))</f>
        <v/>
      </c>
      <c r="M1632" s="39"/>
      <c r="O1632" s="11" t="str">
        <f aca="false">IF($B1632="","",YEAR($B1632)*100+MONTH($B1632))</f>
        <v/>
      </c>
      <c r="P1632" s="11" t="str">
        <f aca="false">IF($B1632="","",IF($E1632="대체",0,1))</f>
        <v/>
      </c>
    </row>
    <row r="1633" customFormat="false" ht="15" hidden="false" customHeight="false" outlineLevel="0" collapsed="false">
      <c r="A1633" s="36" t="str">
        <f aca="false">IF($B1633="","",COUNT($B$15:$B1633))</f>
        <v/>
      </c>
      <c r="B1633" s="37"/>
      <c r="C1633" s="38"/>
      <c r="D1633" s="39"/>
      <c r="E1633" s="36" t="str">
        <f aca="false">IF($D1633="","",IFERROR(INDEX('통합 ④ 설정'!$A$6:$A$40,MATCH($D1633,'통합 ④ 설정'!$B$6:$B$40,0)),"※없는 과목"))</f>
        <v/>
      </c>
      <c r="F1633" s="36" t="str">
        <f aca="false">IF($D1633="","",IFERROR(INDEX('통합 ④ 설정'!$C$6:$C$40,MATCH($D1633,'통합 ④ 설정'!$B$6:$B$40,0)),""))</f>
        <v/>
      </c>
      <c r="G1633" s="39"/>
      <c r="H1633" s="39"/>
      <c r="I1633" s="40"/>
      <c r="J1633" s="41"/>
      <c r="K1633" s="38"/>
      <c r="L1633" s="42" t="str">
        <f aca="false">IF($B1633="","",IF(AND(N($I1633)=0,N($J1633)=0),"금액이 없습니다",IF(AND($I1633&gt;0,$J1633&gt;0),"수입·지출 둘 다 적혔습니다",IF($C1633="","결제수단을 고르십시오",IF(ISNA(MATCH($C1633,'통합 ③ 통장·카드'!$A$5:$A$11,0)),"③ 통장·카드에 없는 결제수단입니다",IF($D1633="","계정과목을 고르십시오",IF($E1633="※없는 과목","④ 설정에 없는 과목입니다",IF(AND($E1633="수입",$J1633&gt;0),"수입 과목인데 지출에 적혔습니다",IF(AND(LEFT($E1633,2)&lt;&gt;"수입",$E1633&lt;&gt;"대체",$I1633&gt;0),"지출 과목인데 수입에 적혔습니다",IF($K1633="","증빙을 고르십시오",IF(AND($C1633="바우처통장",$J1633&gt;0,IFERROR(INDEX('통합 ④ 설정'!$E$6:$E$40,MATCH($D1633,'통합 ④ 설정'!$B$6:$B$40,0)),"")&lt;&gt;"○"),"바우처통장 지출 — 목적 확인",IF($H1633="","적요를 적으십시오",""))))))))))))</f>
        <v/>
      </c>
      <c r="M1633" s="39"/>
      <c r="O1633" s="11" t="str">
        <f aca="false">IF($B1633="","",YEAR($B1633)*100+MONTH($B1633))</f>
        <v/>
      </c>
      <c r="P1633" s="11" t="str">
        <f aca="false">IF($B1633="","",IF($E1633="대체",0,1))</f>
        <v/>
      </c>
    </row>
    <row r="1634" customFormat="false" ht="15" hidden="false" customHeight="false" outlineLevel="0" collapsed="false">
      <c r="A1634" s="36" t="str">
        <f aca="false">IF($B1634="","",COUNT($B$15:$B1634))</f>
        <v/>
      </c>
      <c r="B1634" s="37"/>
      <c r="C1634" s="38"/>
      <c r="D1634" s="39"/>
      <c r="E1634" s="36" t="str">
        <f aca="false">IF($D1634="","",IFERROR(INDEX('통합 ④ 설정'!$A$6:$A$40,MATCH($D1634,'통합 ④ 설정'!$B$6:$B$40,0)),"※없는 과목"))</f>
        <v/>
      </c>
      <c r="F1634" s="36" t="str">
        <f aca="false">IF($D1634="","",IFERROR(INDEX('통합 ④ 설정'!$C$6:$C$40,MATCH($D1634,'통합 ④ 설정'!$B$6:$B$40,0)),""))</f>
        <v/>
      </c>
      <c r="G1634" s="39"/>
      <c r="H1634" s="39"/>
      <c r="I1634" s="40"/>
      <c r="J1634" s="41"/>
      <c r="K1634" s="38"/>
      <c r="L1634" s="42" t="str">
        <f aca="false">IF($B1634="","",IF(AND(N($I1634)=0,N($J1634)=0),"금액이 없습니다",IF(AND($I1634&gt;0,$J1634&gt;0),"수입·지출 둘 다 적혔습니다",IF($C1634="","결제수단을 고르십시오",IF(ISNA(MATCH($C1634,'통합 ③ 통장·카드'!$A$5:$A$11,0)),"③ 통장·카드에 없는 결제수단입니다",IF($D1634="","계정과목을 고르십시오",IF($E1634="※없는 과목","④ 설정에 없는 과목입니다",IF(AND($E1634="수입",$J1634&gt;0),"수입 과목인데 지출에 적혔습니다",IF(AND(LEFT($E1634,2)&lt;&gt;"수입",$E1634&lt;&gt;"대체",$I1634&gt;0),"지출 과목인데 수입에 적혔습니다",IF($K1634="","증빙을 고르십시오",IF(AND($C1634="바우처통장",$J1634&gt;0,IFERROR(INDEX('통합 ④ 설정'!$E$6:$E$40,MATCH($D1634,'통합 ④ 설정'!$B$6:$B$40,0)),"")&lt;&gt;"○"),"바우처통장 지출 — 목적 확인",IF($H1634="","적요를 적으십시오",""))))))))))))</f>
        <v/>
      </c>
      <c r="M1634" s="39"/>
      <c r="O1634" s="11" t="str">
        <f aca="false">IF($B1634="","",YEAR($B1634)*100+MONTH($B1634))</f>
        <v/>
      </c>
      <c r="P1634" s="11" t="str">
        <f aca="false">IF($B1634="","",IF($E1634="대체",0,1))</f>
        <v/>
      </c>
    </row>
    <row r="1635" customFormat="false" ht="15" hidden="false" customHeight="false" outlineLevel="0" collapsed="false">
      <c r="A1635" s="36" t="str">
        <f aca="false">IF($B1635="","",COUNT($B$15:$B1635))</f>
        <v/>
      </c>
      <c r="B1635" s="37"/>
      <c r="C1635" s="38"/>
      <c r="D1635" s="39"/>
      <c r="E1635" s="36" t="str">
        <f aca="false">IF($D1635="","",IFERROR(INDEX('통합 ④ 설정'!$A$6:$A$40,MATCH($D1635,'통합 ④ 설정'!$B$6:$B$40,0)),"※없는 과목"))</f>
        <v/>
      </c>
      <c r="F1635" s="36" t="str">
        <f aca="false">IF($D1635="","",IFERROR(INDEX('통합 ④ 설정'!$C$6:$C$40,MATCH($D1635,'통합 ④ 설정'!$B$6:$B$40,0)),""))</f>
        <v/>
      </c>
      <c r="G1635" s="39"/>
      <c r="H1635" s="39"/>
      <c r="I1635" s="40"/>
      <c r="J1635" s="41"/>
      <c r="K1635" s="38"/>
      <c r="L1635" s="42" t="str">
        <f aca="false">IF($B1635="","",IF(AND(N($I1635)=0,N($J1635)=0),"금액이 없습니다",IF(AND($I1635&gt;0,$J1635&gt;0),"수입·지출 둘 다 적혔습니다",IF($C1635="","결제수단을 고르십시오",IF(ISNA(MATCH($C1635,'통합 ③ 통장·카드'!$A$5:$A$11,0)),"③ 통장·카드에 없는 결제수단입니다",IF($D1635="","계정과목을 고르십시오",IF($E1635="※없는 과목","④ 설정에 없는 과목입니다",IF(AND($E1635="수입",$J1635&gt;0),"수입 과목인데 지출에 적혔습니다",IF(AND(LEFT($E1635,2)&lt;&gt;"수입",$E1635&lt;&gt;"대체",$I1635&gt;0),"지출 과목인데 수입에 적혔습니다",IF($K1635="","증빙을 고르십시오",IF(AND($C1635="바우처통장",$J1635&gt;0,IFERROR(INDEX('통합 ④ 설정'!$E$6:$E$40,MATCH($D1635,'통합 ④ 설정'!$B$6:$B$40,0)),"")&lt;&gt;"○"),"바우처통장 지출 — 목적 확인",IF($H1635="","적요를 적으십시오",""))))))))))))</f>
        <v/>
      </c>
      <c r="M1635" s="39"/>
      <c r="O1635" s="11" t="str">
        <f aca="false">IF($B1635="","",YEAR($B1635)*100+MONTH($B1635))</f>
        <v/>
      </c>
      <c r="P1635" s="11" t="str">
        <f aca="false">IF($B1635="","",IF($E1635="대체",0,1))</f>
        <v/>
      </c>
    </row>
    <row r="1636" customFormat="false" ht="15" hidden="false" customHeight="false" outlineLevel="0" collapsed="false">
      <c r="A1636" s="36" t="str">
        <f aca="false">IF($B1636="","",COUNT($B$15:$B1636))</f>
        <v/>
      </c>
      <c r="B1636" s="37"/>
      <c r="C1636" s="38"/>
      <c r="D1636" s="39"/>
      <c r="E1636" s="36" t="str">
        <f aca="false">IF($D1636="","",IFERROR(INDEX('통합 ④ 설정'!$A$6:$A$40,MATCH($D1636,'통합 ④ 설정'!$B$6:$B$40,0)),"※없는 과목"))</f>
        <v/>
      </c>
      <c r="F1636" s="36" t="str">
        <f aca="false">IF($D1636="","",IFERROR(INDEX('통합 ④ 설정'!$C$6:$C$40,MATCH($D1636,'통합 ④ 설정'!$B$6:$B$40,0)),""))</f>
        <v/>
      </c>
      <c r="G1636" s="39"/>
      <c r="H1636" s="39"/>
      <c r="I1636" s="40"/>
      <c r="J1636" s="41"/>
      <c r="K1636" s="38"/>
      <c r="L1636" s="42" t="str">
        <f aca="false">IF($B1636="","",IF(AND(N($I1636)=0,N($J1636)=0),"금액이 없습니다",IF(AND($I1636&gt;0,$J1636&gt;0),"수입·지출 둘 다 적혔습니다",IF($C1636="","결제수단을 고르십시오",IF(ISNA(MATCH($C1636,'통합 ③ 통장·카드'!$A$5:$A$11,0)),"③ 통장·카드에 없는 결제수단입니다",IF($D1636="","계정과목을 고르십시오",IF($E1636="※없는 과목","④ 설정에 없는 과목입니다",IF(AND($E1636="수입",$J1636&gt;0),"수입 과목인데 지출에 적혔습니다",IF(AND(LEFT($E1636,2)&lt;&gt;"수입",$E1636&lt;&gt;"대체",$I1636&gt;0),"지출 과목인데 수입에 적혔습니다",IF($K1636="","증빙을 고르십시오",IF(AND($C1636="바우처통장",$J1636&gt;0,IFERROR(INDEX('통합 ④ 설정'!$E$6:$E$40,MATCH($D1636,'통합 ④ 설정'!$B$6:$B$40,0)),"")&lt;&gt;"○"),"바우처통장 지출 — 목적 확인",IF($H1636="","적요를 적으십시오",""))))))))))))</f>
        <v/>
      </c>
      <c r="M1636" s="39"/>
      <c r="O1636" s="11" t="str">
        <f aca="false">IF($B1636="","",YEAR($B1636)*100+MONTH($B1636))</f>
        <v/>
      </c>
      <c r="P1636" s="11" t="str">
        <f aca="false">IF($B1636="","",IF($E1636="대체",0,1))</f>
        <v/>
      </c>
    </row>
    <row r="1637" customFormat="false" ht="15" hidden="false" customHeight="false" outlineLevel="0" collapsed="false">
      <c r="A1637" s="36" t="str">
        <f aca="false">IF($B1637="","",COUNT($B$15:$B1637))</f>
        <v/>
      </c>
      <c r="B1637" s="37"/>
      <c r="C1637" s="38"/>
      <c r="D1637" s="39"/>
      <c r="E1637" s="36" t="str">
        <f aca="false">IF($D1637="","",IFERROR(INDEX('통합 ④ 설정'!$A$6:$A$40,MATCH($D1637,'통합 ④ 설정'!$B$6:$B$40,0)),"※없는 과목"))</f>
        <v/>
      </c>
      <c r="F1637" s="36" t="str">
        <f aca="false">IF($D1637="","",IFERROR(INDEX('통합 ④ 설정'!$C$6:$C$40,MATCH($D1637,'통합 ④ 설정'!$B$6:$B$40,0)),""))</f>
        <v/>
      </c>
      <c r="G1637" s="39"/>
      <c r="H1637" s="39"/>
      <c r="I1637" s="40"/>
      <c r="J1637" s="41"/>
      <c r="K1637" s="38"/>
      <c r="L1637" s="42" t="str">
        <f aca="false">IF($B1637="","",IF(AND(N($I1637)=0,N($J1637)=0),"금액이 없습니다",IF(AND($I1637&gt;0,$J1637&gt;0),"수입·지출 둘 다 적혔습니다",IF($C1637="","결제수단을 고르십시오",IF(ISNA(MATCH($C1637,'통합 ③ 통장·카드'!$A$5:$A$11,0)),"③ 통장·카드에 없는 결제수단입니다",IF($D1637="","계정과목을 고르십시오",IF($E1637="※없는 과목","④ 설정에 없는 과목입니다",IF(AND($E1637="수입",$J1637&gt;0),"수입 과목인데 지출에 적혔습니다",IF(AND(LEFT($E1637,2)&lt;&gt;"수입",$E1637&lt;&gt;"대체",$I1637&gt;0),"지출 과목인데 수입에 적혔습니다",IF($K1637="","증빙을 고르십시오",IF(AND($C1637="바우처통장",$J1637&gt;0,IFERROR(INDEX('통합 ④ 설정'!$E$6:$E$40,MATCH($D1637,'통합 ④ 설정'!$B$6:$B$40,0)),"")&lt;&gt;"○"),"바우처통장 지출 — 목적 확인",IF($H1637="","적요를 적으십시오",""))))))))))))</f>
        <v/>
      </c>
      <c r="M1637" s="39"/>
      <c r="O1637" s="11" t="str">
        <f aca="false">IF($B1637="","",YEAR($B1637)*100+MONTH($B1637))</f>
        <v/>
      </c>
      <c r="P1637" s="11" t="str">
        <f aca="false">IF($B1637="","",IF($E1637="대체",0,1))</f>
        <v/>
      </c>
    </row>
    <row r="1638" customFormat="false" ht="15" hidden="false" customHeight="false" outlineLevel="0" collapsed="false">
      <c r="A1638" s="36" t="str">
        <f aca="false">IF($B1638="","",COUNT($B$15:$B1638))</f>
        <v/>
      </c>
      <c r="B1638" s="37"/>
      <c r="C1638" s="38"/>
      <c r="D1638" s="39"/>
      <c r="E1638" s="36" t="str">
        <f aca="false">IF($D1638="","",IFERROR(INDEX('통합 ④ 설정'!$A$6:$A$40,MATCH($D1638,'통합 ④ 설정'!$B$6:$B$40,0)),"※없는 과목"))</f>
        <v/>
      </c>
      <c r="F1638" s="36" t="str">
        <f aca="false">IF($D1638="","",IFERROR(INDEX('통합 ④ 설정'!$C$6:$C$40,MATCH($D1638,'통합 ④ 설정'!$B$6:$B$40,0)),""))</f>
        <v/>
      </c>
      <c r="G1638" s="39"/>
      <c r="H1638" s="39"/>
      <c r="I1638" s="40"/>
      <c r="J1638" s="41"/>
      <c r="K1638" s="38"/>
      <c r="L1638" s="42" t="str">
        <f aca="false">IF($B1638="","",IF(AND(N($I1638)=0,N($J1638)=0),"금액이 없습니다",IF(AND($I1638&gt;0,$J1638&gt;0),"수입·지출 둘 다 적혔습니다",IF($C1638="","결제수단을 고르십시오",IF(ISNA(MATCH($C1638,'통합 ③ 통장·카드'!$A$5:$A$11,0)),"③ 통장·카드에 없는 결제수단입니다",IF($D1638="","계정과목을 고르십시오",IF($E1638="※없는 과목","④ 설정에 없는 과목입니다",IF(AND($E1638="수입",$J1638&gt;0),"수입 과목인데 지출에 적혔습니다",IF(AND(LEFT($E1638,2)&lt;&gt;"수입",$E1638&lt;&gt;"대체",$I1638&gt;0),"지출 과목인데 수입에 적혔습니다",IF($K1638="","증빙을 고르십시오",IF(AND($C1638="바우처통장",$J1638&gt;0,IFERROR(INDEX('통합 ④ 설정'!$E$6:$E$40,MATCH($D1638,'통합 ④ 설정'!$B$6:$B$40,0)),"")&lt;&gt;"○"),"바우처통장 지출 — 목적 확인",IF($H1638="","적요를 적으십시오",""))))))))))))</f>
        <v/>
      </c>
      <c r="M1638" s="39"/>
      <c r="O1638" s="11" t="str">
        <f aca="false">IF($B1638="","",YEAR($B1638)*100+MONTH($B1638))</f>
        <v/>
      </c>
      <c r="P1638" s="11" t="str">
        <f aca="false">IF($B1638="","",IF($E1638="대체",0,1))</f>
        <v/>
      </c>
    </row>
    <row r="1639" customFormat="false" ht="15" hidden="false" customHeight="false" outlineLevel="0" collapsed="false">
      <c r="A1639" s="36" t="str">
        <f aca="false">IF($B1639="","",COUNT($B$15:$B1639))</f>
        <v/>
      </c>
      <c r="B1639" s="37"/>
      <c r="C1639" s="38"/>
      <c r="D1639" s="39"/>
      <c r="E1639" s="36" t="str">
        <f aca="false">IF($D1639="","",IFERROR(INDEX('통합 ④ 설정'!$A$6:$A$40,MATCH($D1639,'통합 ④ 설정'!$B$6:$B$40,0)),"※없는 과목"))</f>
        <v/>
      </c>
      <c r="F1639" s="36" t="str">
        <f aca="false">IF($D1639="","",IFERROR(INDEX('통합 ④ 설정'!$C$6:$C$40,MATCH($D1639,'통합 ④ 설정'!$B$6:$B$40,0)),""))</f>
        <v/>
      </c>
      <c r="G1639" s="39"/>
      <c r="H1639" s="39"/>
      <c r="I1639" s="40"/>
      <c r="J1639" s="41"/>
      <c r="K1639" s="38"/>
      <c r="L1639" s="42" t="str">
        <f aca="false">IF($B1639="","",IF(AND(N($I1639)=0,N($J1639)=0),"금액이 없습니다",IF(AND($I1639&gt;0,$J1639&gt;0),"수입·지출 둘 다 적혔습니다",IF($C1639="","결제수단을 고르십시오",IF(ISNA(MATCH($C1639,'통합 ③ 통장·카드'!$A$5:$A$11,0)),"③ 통장·카드에 없는 결제수단입니다",IF($D1639="","계정과목을 고르십시오",IF($E1639="※없는 과목","④ 설정에 없는 과목입니다",IF(AND($E1639="수입",$J1639&gt;0),"수입 과목인데 지출에 적혔습니다",IF(AND(LEFT($E1639,2)&lt;&gt;"수입",$E1639&lt;&gt;"대체",$I1639&gt;0),"지출 과목인데 수입에 적혔습니다",IF($K1639="","증빙을 고르십시오",IF(AND($C1639="바우처통장",$J1639&gt;0,IFERROR(INDEX('통합 ④ 설정'!$E$6:$E$40,MATCH($D1639,'통합 ④ 설정'!$B$6:$B$40,0)),"")&lt;&gt;"○"),"바우처통장 지출 — 목적 확인",IF($H1639="","적요를 적으십시오",""))))))))))))</f>
        <v/>
      </c>
      <c r="M1639" s="39"/>
      <c r="O1639" s="11" t="str">
        <f aca="false">IF($B1639="","",YEAR($B1639)*100+MONTH($B1639))</f>
        <v/>
      </c>
      <c r="P1639" s="11" t="str">
        <f aca="false">IF($B1639="","",IF($E1639="대체",0,1))</f>
        <v/>
      </c>
    </row>
    <row r="1640" customFormat="false" ht="15" hidden="false" customHeight="false" outlineLevel="0" collapsed="false">
      <c r="A1640" s="36" t="str">
        <f aca="false">IF($B1640="","",COUNT($B$15:$B1640))</f>
        <v/>
      </c>
      <c r="B1640" s="37"/>
      <c r="C1640" s="38"/>
      <c r="D1640" s="39"/>
      <c r="E1640" s="36" t="str">
        <f aca="false">IF($D1640="","",IFERROR(INDEX('통합 ④ 설정'!$A$6:$A$40,MATCH($D1640,'통합 ④ 설정'!$B$6:$B$40,0)),"※없는 과목"))</f>
        <v/>
      </c>
      <c r="F1640" s="36" t="str">
        <f aca="false">IF($D1640="","",IFERROR(INDEX('통합 ④ 설정'!$C$6:$C$40,MATCH($D1640,'통합 ④ 설정'!$B$6:$B$40,0)),""))</f>
        <v/>
      </c>
      <c r="G1640" s="39"/>
      <c r="H1640" s="39"/>
      <c r="I1640" s="40"/>
      <c r="J1640" s="41"/>
      <c r="K1640" s="38"/>
      <c r="L1640" s="42" t="str">
        <f aca="false">IF($B1640="","",IF(AND(N($I1640)=0,N($J1640)=0),"금액이 없습니다",IF(AND($I1640&gt;0,$J1640&gt;0),"수입·지출 둘 다 적혔습니다",IF($C1640="","결제수단을 고르십시오",IF(ISNA(MATCH($C1640,'통합 ③ 통장·카드'!$A$5:$A$11,0)),"③ 통장·카드에 없는 결제수단입니다",IF($D1640="","계정과목을 고르십시오",IF($E1640="※없는 과목","④ 설정에 없는 과목입니다",IF(AND($E1640="수입",$J1640&gt;0),"수입 과목인데 지출에 적혔습니다",IF(AND(LEFT($E1640,2)&lt;&gt;"수입",$E1640&lt;&gt;"대체",$I1640&gt;0),"지출 과목인데 수입에 적혔습니다",IF($K1640="","증빙을 고르십시오",IF(AND($C1640="바우처통장",$J1640&gt;0,IFERROR(INDEX('통합 ④ 설정'!$E$6:$E$40,MATCH($D1640,'통합 ④ 설정'!$B$6:$B$40,0)),"")&lt;&gt;"○"),"바우처통장 지출 — 목적 확인",IF($H1640="","적요를 적으십시오",""))))))))))))</f>
        <v/>
      </c>
      <c r="M1640" s="39"/>
      <c r="O1640" s="11" t="str">
        <f aca="false">IF($B1640="","",YEAR($B1640)*100+MONTH($B1640))</f>
        <v/>
      </c>
      <c r="P1640" s="11" t="str">
        <f aca="false">IF($B1640="","",IF($E1640="대체",0,1))</f>
        <v/>
      </c>
    </row>
    <row r="1641" customFormat="false" ht="15" hidden="false" customHeight="false" outlineLevel="0" collapsed="false">
      <c r="A1641" s="36" t="str">
        <f aca="false">IF($B1641="","",COUNT($B$15:$B1641))</f>
        <v/>
      </c>
      <c r="B1641" s="37"/>
      <c r="C1641" s="38"/>
      <c r="D1641" s="39"/>
      <c r="E1641" s="36" t="str">
        <f aca="false">IF($D1641="","",IFERROR(INDEX('통합 ④ 설정'!$A$6:$A$40,MATCH($D1641,'통합 ④ 설정'!$B$6:$B$40,0)),"※없는 과목"))</f>
        <v/>
      </c>
      <c r="F1641" s="36" t="str">
        <f aca="false">IF($D1641="","",IFERROR(INDEX('통합 ④ 설정'!$C$6:$C$40,MATCH($D1641,'통합 ④ 설정'!$B$6:$B$40,0)),""))</f>
        <v/>
      </c>
      <c r="G1641" s="39"/>
      <c r="H1641" s="39"/>
      <c r="I1641" s="40"/>
      <c r="J1641" s="41"/>
      <c r="K1641" s="38"/>
      <c r="L1641" s="42" t="str">
        <f aca="false">IF($B1641="","",IF(AND(N($I1641)=0,N($J1641)=0),"금액이 없습니다",IF(AND($I1641&gt;0,$J1641&gt;0),"수입·지출 둘 다 적혔습니다",IF($C1641="","결제수단을 고르십시오",IF(ISNA(MATCH($C1641,'통합 ③ 통장·카드'!$A$5:$A$11,0)),"③ 통장·카드에 없는 결제수단입니다",IF($D1641="","계정과목을 고르십시오",IF($E1641="※없는 과목","④ 설정에 없는 과목입니다",IF(AND($E1641="수입",$J1641&gt;0),"수입 과목인데 지출에 적혔습니다",IF(AND(LEFT($E1641,2)&lt;&gt;"수입",$E1641&lt;&gt;"대체",$I1641&gt;0),"지출 과목인데 수입에 적혔습니다",IF($K1641="","증빙을 고르십시오",IF(AND($C1641="바우처통장",$J1641&gt;0,IFERROR(INDEX('통합 ④ 설정'!$E$6:$E$40,MATCH($D1641,'통합 ④ 설정'!$B$6:$B$40,0)),"")&lt;&gt;"○"),"바우처통장 지출 — 목적 확인",IF($H1641="","적요를 적으십시오",""))))))))))))</f>
        <v/>
      </c>
      <c r="M1641" s="39"/>
      <c r="O1641" s="11" t="str">
        <f aca="false">IF($B1641="","",YEAR($B1641)*100+MONTH($B1641))</f>
        <v/>
      </c>
      <c r="P1641" s="11" t="str">
        <f aca="false">IF($B1641="","",IF($E1641="대체",0,1))</f>
        <v/>
      </c>
    </row>
    <row r="1642" customFormat="false" ht="15" hidden="false" customHeight="false" outlineLevel="0" collapsed="false">
      <c r="A1642" s="36" t="str">
        <f aca="false">IF($B1642="","",COUNT($B$15:$B1642))</f>
        <v/>
      </c>
      <c r="B1642" s="37"/>
      <c r="C1642" s="38"/>
      <c r="D1642" s="39"/>
      <c r="E1642" s="36" t="str">
        <f aca="false">IF($D1642="","",IFERROR(INDEX('통합 ④ 설정'!$A$6:$A$40,MATCH($D1642,'통합 ④ 설정'!$B$6:$B$40,0)),"※없는 과목"))</f>
        <v/>
      </c>
      <c r="F1642" s="36" t="str">
        <f aca="false">IF($D1642="","",IFERROR(INDEX('통합 ④ 설정'!$C$6:$C$40,MATCH($D1642,'통합 ④ 설정'!$B$6:$B$40,0)),""))</f>
        <v/>
      </c>
      <c r="G1642" s="39"/>
      <c r="H1642" s="39"/>
      <c r="I1642" s="40"/>
      <c r="J1642" s="41"/>
      <c r="K1642" s="38"/>
      <c r="L1642" s="42" t="str">
        <f aca="false">IF($B1642="","",IF(AND(N($I1642)=0,N($J1642)=0),"금액이 없습니다",IF(AND($I1642&gt;0,$J1642&gt;0),"수입·지출 둘 다 적혔습니다",IF($C1642="","결제수단을 고르십시오",IF(ISNA(MATCH($C1642,'통합 ③ 통장·카드'!$A$5:$A$11,0)),"③ 통장·카드에 없는 결제수단입니다",IF($D1642="","계정과목을 고르십시오",IF($E1642="※없는 과목","④ 설정에 없는 과목입니다",IF(AND($E1642="수입",$J1642&gt;0),"수입 과목인데 지출에 적혔습니다",IF(AND(LEFT($E1642,2)&lt;&gt;"수입",$E1642&lt;&gt;"대체",$I1642&gt;0),"지출 과목인데 수입에 적혔습니다",IF($K1642="","증빙을 고르십시오",IF(AND($C1642="바우처통장",$J1642&gt;0,IFERROR(INDEX('통합 ④ 설정'!$E$6:$E$40,MATCH($D1642,'통합 ④ 설정'!$B$6:$B$40,0)),"")&lt;&gt;"○"),"바우처통장 지출 — 목적 확인",IF($H1642="","적요를 적으십시오",""))))))))))))</f>
        <v/>
      </c>
      <c r="M1642" s="39"/>
      <c r="O1642" s="11" t="str">
        <f aca="false">IF($B1642="","",YEAR($B1642)*100+MONTH($B1642))</f>
        <v/>
      </c>
      <c r="P1642" s="11" t="str">
        <f aca="false">IF($B1642="","",IF($E1642="대체",0,1))</f>
        <v/>
      </c>
    </row>
    <row r="1643" customFormat="false" ht="15" hidden="false" customHeight="false" outlineLevel="0" collapsed="false">
      <c r="A1643" s="36" t="str">
        <f aca="false">IF($B1643="","",COUNT($B$15:$B1643))</f>
        <v/>
      </c>
      <c r="B1643" s="37"/>
      <c r="C1643" s="38"/>
      <c r="D1643" s="39"/>
      <c r="E1643" s="36" t="str">
        <f aca="false">IF($D1643="","",IFERROR(INDEX('통합 ④ 설정'!$A$6:$A$40,MATCH($D1643,'통합 ④ 설정'!$B$6:$B$40,0)),"※없는 과목"))</f>
        <v/>
      </c>
      <c r="F1643" s="36" t="str">
        <f aca="false">IF($D1643="","",IFERROR(INDEX('통합 ④ 설정'!$C$6:$C$40,MATCH($D1643,'통합 ④ 설정'!$B$6:$B$40,0)),""))</f>
        <v/>
      </c>
      <c r="G1643" s="39"/>
      <c r="H1643" s="39"/>
      <c r="I1643" s="40"/>
      <c r="J1643" s="41"/>
      <c r="K1643" s="38"/>
      <c r="L1643" s="42" t="str">
        <f aca="false">IF($B1643="","",IF(AND(N($I1643)=0,N($J1643)=0),"금액이 없습니다",IF(AND($I1643&gt;0,$J1643&gt;0),"수입·지출 둘 다 적혔습니다",IF($C1643="","결제수단을 고르십시오",IF(ISNA(MATCH($C1643,'통합 ③ 통장·카드'!$A$5:$A$11,0)),"③ 통장·카드에 없는 결제수단입니다",IF($D1643="","계정과목을 고르십시오",IF($E1643="※없는 과목","④ 설정에 없는 과목입니다",IF(AND($E1643="수입",$J1643&gt;0),"수입 과목인데 지출에 적혔습니다",IF(AND(LEFT($E1643,2)&lt;&gt;"수입",$E1643&lt;&gt;"대체",$I1643&gt;0),"지출 과목인데 수입에 적혔습니다",IF($K1643="","증빙을 고르십시오",IF(AND($C1643="바우처통장",$J1643&gt;0,IFERROR(INDEX('통합 ④ 설정'!$E$6:$E$40,MATCH($D1643,'통합 ④ 설정'!$B$6:$B$40,0)),"")&lt;&gt;"○"),"바우처통장 지출 — 목적 확인",IF($H1643="","적요를 적으십시오",""))))))))))))</f>
        <v/>
      </c>
      <c r="M1643" s="39"/>
      <c r="O1643" s="11" t="str">
        <f aca="false">IF($B1643="","",YEAR($B1643)*100+MONTH($B1643))</f>
        <v/>
      </c>
      <c r="P1643" s="11" t="str">
        <f aca="false">IF($B1643="","",IF($E1643="대체",0,1))</f>
        <v/>
      </c>
    </row>
    <row r="1644" customFormat="false" ht="15" hidden="false" customHeight="false" outlineLevel="0" collapsed="false">
      <c r="A1644" s="36" t="str">
        <f aca="false">IF($B1644="","",COUNT($B$15:$B1644))</f>
        <v/>
      </c>
      <c r="B1644" s="37"/>
      <c r="C1644" s="38"/>
      <c r="D1644" s="39"/>
      <c r="E1644" s="36" t="str">
        <f aca="false">IF($D1644="","",IFERROR(INDEX('통합 ④ 설정'!$A$6:$A$40,MATCH($D1644,'통합 ④ 설정'!$B$6:$B$40,0)),"※없는 과목"))</f>
        <v/>
      </c>
      <c r="F1644" s="36" t="str">
        <f aca="false">IF($D1644="","",IFERROR(INDEX('통합 ④ 설정'!$C$6:$C$40,MATCH($D1644,'통합 ④ 설정'!$B$6:$B$40,0)),""))</f>
        <v/>
      </c>
      <c r="G1644" s="39"/>
      <c r="H1644" s="39"/>
      <c r="I1644" s="40"/>
      <c r="J1644" s="41"/>
      <c r="K1644" s="38"/>
      <c r="L1644" s="42" t="str">
        <f aca="false">IF($B1644="","",IF(AND(N($I1644)=0,N($J1644)=0),"금액이 없습니다",IF(AND($I1644&gt;0,$J1644&gt;0),"수입·지출 둘 다 적혔습니다",IF($C1644="","결제수단을 고르십시오",IF(ISNA(MATCH($C1644,'통합 ③ 통장·카드'!$A$5:$A$11,0)),"③ 통장·카드에 없는 결제수단입니다",IF($D1644="","계정과목을 고르십시오",IF($E1644="※없는 과목","④ 설정에 없는 과목입니다",IF(AND($E1644="수입",$J1644&gt;0),"수입 과목인데 지출에 적혔습니다",IF(AND(LEFT($E1644,2)&lt;&gt;"수입",$E1644&lt;&gt;"대체",$I1644&gt;0),"지출 과목인데 수입에 적혔습니다",IF($K1644="","증빙을 고르십시오",IF(AND($C1644="바우처통장",$J1644&gt;0,IFERROR(INDEX('통합 ④ 설정'!$E$6:$E$40,MATCH($D1644,'통합 ④ 설정'!$B$6:$B$40,0)),"")&lt;&gt;"○"),"바우처통장 지출 — 목적 확인",IF($H1644="","적요를 적으십시오",""))))))))))))</f>
        <v/>
      </c>
      <c r="M1644" s="39"/>
      <c r="O1644" s="11" t="str">
        <f aca="false">IF($B1644="","",YEAR($B1644)*100+MONTH($B1644))</f>
        <v/>
      </c>
      <c r="P1644" s="11" t="str">
        <f aca="false">IF($B1644="","",IF($E1644="대체",0,1))</f>
        <v/>
      </c>
    </row>
    <row r="1645" customFormat="false" ht="15" hidden="false" customHeight="false" outlineLevel="0" collapsed="false">
      <c r="A1645" s="36" t="str">
        <f aca="false">IF($B1645="","",COUNT($B$15:$B1645))</f>
        <v/>
      </c>
      <c r="B1645" s="37"/>
      <c r="C1645" s="38"/>
      <c r="D1645" s="39"/>
      <c r="E1645" s="36" t="str">
        <f aca="false">IF($D1645="","",IFERROR(INDEX('통합 ④ 설정'!$A$6:$A$40,MATCH($D1645,'통합 ④ 설정'!$B$6:$B$40,0)),"※없는 과목"))</f>
        <v/>
      </c>
      <c r="F1645" s="36" t="str">
        <f aca="false">IF($D1645="","",IFERROR(INDEX('통합 ④ 설정'!$C$6:$C$40,MATCH($D1645,'통합 ④ 설정'!$B$6:$B$40,0)),""))</f>
        <v/>
      </c>
      <c r="G1645" s="39"/>
      <c r="H1645" s="39"/>
      <c r="I1645" s="40"/>
      <c r="J1645" s="41"/>
      <c r="K1645" s="38"/>
      <c r="L1645" s="42" t="str">
        <f aca="false">IF($B1645="","",IF(AND(N($I1645)=0,N($J1645)=0),"금액이 없습니다",IF(AND($I1645&gt;0,$J1645&gt;0),"수입·지출 둘 다 적혔습니다",IF($C1645="","결제수단을 고르십시오",IF(ISNA(MATCH($C1645,'통합 ③ 통장·카드'!$A$5:$A$11,0)),"③ 통장·카드에 없는 결제수단입니다",IF($D1645="","계정과목을 고르십시오",IF($E1645="※없는 과목","④ 설정에 없는 과목입니다",IF(AND($E1645="수입",$J1645&gt;0),"수입 과목인데 지출에 적혔습니다",IF(AND(LEFT($E1645,2)&lt;&gt;"수입",$E1645&lt;&gt;"대체",$I1645&gt;0),"지출 과목인데 수입에 적혔습니다",IF($K1645="","증빙을 고르십시오",IF(AND($C1645="바우처통장",$J1645&gt;0,IFERROR(INDEX('통합 ④ 설정'!$E$6:$E$40,MATCH($D1645,'통합 ④ 설정'!$B$6:$B$40,0)),"")&lt;&gt;"○"),"바우처통장 지출 — 목적 확인",IF($H1645="","적요를 적으십시오",""))))))))))))</f>
        <v/>
      </c>
      <c r="M1645" s="39"/>
      <c r="O1645" s="11" t="str">
        <f aca="false">IF($B1645="","",YEAR($B1645)*100+MONTH($B1645))</f>
        <v/>
      </c>
      <c r="P1645" s="11" t="str">
        <f aca="false">IF($B1645="","",IF($E1645="대체",0,1))</f>
        <v/>
      </c>
    </row>
    <row r="1646" customFormat="false" ht="15" hidden="false" customHeight="false" outlineLevel="0" collapsed="false">
      <c r="A1646" s="36" t="str">
        <f aca="false">IF($B1646="","",COUNT($B$15:$B1646))</f>
        <v/>
      </c>
      <c r="B1646" s="37"/>
      <c r="C1646" s="38"/>
      <c r="D1646" s="39"/>
      <c r="E1646" s="36" t="str">
        <f aca="false">IF($D1646="","",IFERROR(INDEX('통합 ④ 설정'!$A$6:$A$40,MATCH($D1646,'통합 ④ 설정'!$B$6:$B$40,0)),"※없는 과목"))</f>
        <v/>
      </c>
      <c r="F1646" s="36" t="str">
        <f aca="false">IF($D1646="","",IFERROR(INDEX('통합 ④ 설정'!$C$6:$C$40,MATCH($D1646,'통합 ④ 설정'!$B$6:$B$40,0)),""))</f>
        <v/>
      </c>
      <c r="G1646" s="39"/>
      <c r="H1646" s="39"/>
      <c r="I1646" s="40"/>
      <c r="J1646" s="41"/>
      <c r="K1646" s="38"/>
      <c r="L1646" s="42" t="str">
        <f aca="false">IF($B1646="","",IF(AND(N($I1646)=0,N($J1646)=0),"금액이 없습니다",IF(AND($I1646&gt;0,$J1646&gt;0),"수입·지출 둘 다 적혔습니다",IF($C1646="","결제수단을 고르십시오",IF(ISNA(MATCH($C1646,'통합 ③ 통장·카드'!$A$5:$A$11,0)),"③ 통장·카드에 없는 결제수단입니다",IF($D1646="","계정과목을 고르십시오",IF($E1646="※없는 과목","④ 설정에 없는 과목입니다",IF(AND($E1646="수입",$J1646&gt;0),"수입 과목인데 지출에 적혔습니다",IF(AND(LEFT($E1646,2)&lt;&gt;"수입",$E1646&lt;&gt;"대체",$I1646&gt;0),"지출 과목인데 수입에 적혔습니다",IF($K1646="","증빙을 고르십시오",IF(AND($C1646="바우처통장",$J1646&gt;0,IFERROR(INDEX('통합 ④ 설정'!$E$6:$E$40,MATCH($D1646,'통합 ④ 설정'!$B$6:$B$40,0)),"")&lt;&gt;"○"),"바우처통장 지출 — 목적 확인",IF($H1646="","적요를 적으십시오",""))))))))))))</f>
        <v/>
      </c>
      <c r="M1646" s="39"/>
      <c r="O1646" s="11" t="str">
        <f aca="false">IF($B1646="","",YEAR($B1646)*100+MONTH($B1646))</f>
        <v/>
      </c>
      <c r="P1646" s="11" t="str">
        <f aca="false">IF($B1646="","",IF($E1646="대체",0,1))</f>
        <v/>
      </c>
    </row>
    <row r="1647" customFormat="false" ht="15" hidden="false" customHeight="false" outlineLevel="0" collapsed="false">
      <c r="A1647" s="36" t="str">
        <f aca="false">IF($B1647="","",COUNT($B$15:$B1647))</f>
        <v/>
      </c>
      <c r="B1647" s="37"/>
      <c r="C1647" s="38"/>
      <c r="D1647" s="39"/>
      <c r="E1647" s="36" t="str">
        <f aca="false">IF($D1647="","",IFERROR(INDEX('통합 ④ 설정'!$A$6:$A$40,MATCH($D1647,'통합 ④ 설정'!$B$6:$B$40,0)),"※없는 과목"))</f>
        <v/>
      </c>
      <c r="F1647" s="36" t="str">
        <f aca="false">IF($D1647="","",IFERROR(INDEX('통합 ④ 설정'!$C$6:$C$40,MATCH($D1647,'통합 ④ 설정'!$B$6:$B$40,0)),""))</f>
        <v/>
      </c>
      <c r="G1647" s="39"/>
      <c r="H1647" s="39"/>
      <c r="I1647" s="40"/>
      <c r="J1647" s="41"/>
      <c r="K1647" s="38"/>
      <c r="L1647" s="42" t="str">
        <f aca="false">IF($B1647="","",IF(AND(N($I1647)=0,N($J1647)=0),"금액이 없습니다",IF(AND($I1647&gt;0,$J1647&gt;0),"수입·지출 둘 다 적혔습니다",IF($C1647="","결제수단을 고르십시오",IF(ISNA(MATCH($C1647,'통합 ③ 통장·카드'!$A$5:$A$11,0)),"③ 통장·카드에 없는 결제수단입니다",IF($D1647="","계정과목을 고르십시오",IF($E1647="※없는 과목","④ 설정에 없는 과목입니다",IF(AND($E1647="수입",$J1647&gt;0),"수입 과목인데 지출에 적혔습니다",IF(AND(LEFT($E1647,2)&lt;&gt;"수입",$E1647&lt;&gt;"대체",$I1647&gt;0),"지출 과목인데 수입에 적혔습니다",IF($K1647="","증빙을 고르십시오",IF(AND($C1647="바우처통장",$J1647&gt;0,IFERROR(INDEX('통합 ④ 설정'!$E$6:$E$40,MATCH($D1647,'통합 ④ 설정'!$B$6:$B$40,0)),"")&lt;&gt;"○"),"바우처통장 지출 — 목적 확인",IF($H1647="","적요를 적으십시오",""))))))))))))</f>
        <v/>
      </c>
      <c r="M1647" s="39"/>
      <c r="O1647" s="11" t="str">
        <f aca="false">IF($B1647="","",YEAR($B1647)*100+MONTH($B1647))</f>
        <v/>
      </c>
      <c r="P1647" s="11" t="str">
        <f aca="false">IF($B1647="","",IF($E1647="대체",0,1))</f>
        <v/>
      </c>
    </row>
    <row r="1648" customFormat="false" ht="15" hidden="false" customHeight="false" outlineLevel="0" collapsed="false">
      <c r="A1648" s="36" t="str">
        <f aca="false">IF($B1648="","",COUNT($B$15:$B1648))</f>
        <v/>
      </c>
      <c r="B1648" s="37"/>
      <c r="C1648" s="38"/>
      <c r="D1648" s="39"/>
      <c r="E1648" s="36" t="str">
        <f aca="false">IF($D1648="","",IFERROR(INDEX('통합 ④ 설정'!$A$6:$A$40,MATCH($D1648,'통합 ④ 설정'!$B$6:$B$40,0)),"※없는 과목"))</f>
        <v/>
      </c>
      <c r="F1648" s="36" t="str">
        <f aca="false">IF($D1648="","",IFERROR(INDEX('통합 ④ 설정'!$C$6:$C$40,MATCH($D1648,'통합 ④ 설정'!$B$6:$B$40,0)),""))</f>
        <v/>
      </c>
      <c r="G1648" s="39"/>
      <c r="H1648" s="39"/>
      <c r="I1648" s="40"/>
      <c r="J1648" s="41"/>
      <c r="K1648" s="38"/>
      <c r="L1648" s="42" t="str">
        <f aca="false">IF($B1648="","",IF(AND(N($I1648)=0,N($J1648)=0),"금액이 없습니다",IF(AND($I1648&gt;0,$J1648&gt;0),"수입·지출 둘 다 적혔습니다",IF($C1648="","결제수단을 고르십시오",IF(ISNA(MATCH($C1648,'통합 ③ 통장·카드'!$A$5:$A$11,0)),"③ 통장·카드에 없는 결제수단입니다",IF($D1648="","계정과목을 고르십시오",IF($E1648="※없는 과목","④ 설정에 없는 과목입니다",IF(AND($E1648="수입",$J1648&gt;0),"수입 과목인데 지출에 적혔습니다",IF(AND(LEFT($E1648,2)&lt;&gt;"수입",$E1648&lt;&gt;"대체",$I1648&gt;0),"지출 과목인데 수입에 적혔습니다",IF($K1648="","증빙을 고르십시오",IF(AND($C1648="바우처통장",$J1648&gt;0,IFERROR(INDEX('통합 ④ 설정'!$E$6:$E$40,MATCH($D1648,'통합 ④ 설정'!$B$6:$B$40,0)),"")&lt;&gt;"○"),"바우처통장 지출 — 목적 확인",IF($H1648="","적요를 적으십시오",""))))))))))))</f>
        <v/>
      </c>
      <c r="M1648" s="39"/>
      <c r="O1648" s="11" t="str">
        <f aca="false">IF($B1648="","",YEAR($B1648)*100+MONTH($B1648))</f>
        <v/>
      </c>
      <c r="P1648" s="11" t="str">
        <f aca="false">IF($B1648="","",IF($E1648="대체",0,1))</f>
        <v/>
      </c>
    </row>
    <row r="1649" customFormat="false" ht="15" hidden="false" customHeight="false" outlineLevel="0" collapsed="false">
      <c r="A1649" s="36" t="str">
        <f aca="false">IF($B1649="","",COUNT($B$15:$B1649))</f>
        <v/>
      </c>
      <c r="B1649" s="37"/>
      <c r="C1649" s="38"/>
      <c r="D1649" s="39"/>
      <c r="E1649" s="36" t="str">
        <f aca="false">IF($D1649="","",IFERROR(INDEX('통합 ④ 설정'!$A$6:$A$40,MATCH($D1649,'통합 ④ 설정'!$B$6:$B$40,0)),"※없는 과목"))</f>
        <v/>
      </c>
      <c r="F1649" s="36" t="str">
        <f aca="false">IF($D1649="","",IFERROR(INDEX('통합 ④ 설정'!$C$6:$C$40,MATCH($D1649,'통합 ④ 설정'!$B$6:$B$40,0)),""))</f>
        <v/>
      </c>
      <c r="G1649" s="39"/>
      <c r="H1649" s="39"/>
      <c r="I1649" s="40"/>
      <c r="J1649" s="41"/>
      <c r="K1649" s="38"/>
      <c r="L1649" s="42" t="str">
        <f aca="false">IF($B1649="","",IF(AND(N($I1649)=0,N($J1649)=0),"금액이 없습니다",IF(AND($I1649&gt;0,$J1649&gt;0),"수입·지출 둘 다 적혔습니다",IF($C1649="","결제수단을 고르십시오",IF(ISNA(MATCH($C1649,'통합 ③ 통장·카드'!$A$5:$A$11,0)),"③ 통장·카드에 없는 결제수단입니다",IF($D1649="","계정과목을 고르십시오",IF($E1649="※없는 과목","④ 설정에 없는 과목입니다",IF(AND($E1649="수입",$J1649&gt;0),"수입 과목인데 지출에 적혔습니다",IF(AND(LEFT($E1649,2)&lt;&gt;"수입",$E1649&lt;&gt;"대체",$I1649&gt;0),"지출 과목인데 수입에 적혔습니다",IF($K1649="","증빙을 고르십시오",IF(AND($C1649="바우처통장",$J1649&gt;0,IFERROR(INDEX('통합 ④ 설정'!$E$6:$E$40,MATCH($D1649,'통합 ④ 설정'!$B$6:$B$40,0)),"")&lt;&gt;"○"),"바우처통장 지출 — 목적 확인",IF($H1649="","적요를 적으십시오",""))))))))))))</f>
        <v/>
      </c>
      <c r="M1649" s="39"/>
      <c r="O1649" s="11" t="str">
        <f aca="false">IF($B1649="","",YEAR($B1649)*100+MONTH($B1649))</f>
        <v/>
      </c>
      <c r="P1649" s="11" t="str">
        <f aca="false">IF($B1649="","",IF($E1649="대체",0,1))</f>
        <v/>
      </c>
    </row>
    <row r="1650" customFormat="false" ht="15" hidden="false" customHeight="false" outlineLevel="0" collapsed="false">
      <c r="A1650" s="36" t="str">
        <f aca="false">IF($B1650="","",COUNT($B$15:$B1650))</f>
        <v/>
      </c>
      <c r="B1650" s="37"/>
      <c r="C1650" s="38"/>
      <c r="D1650" s="39"/>
      <c r="E1650" s="36" t="str">
        <f aca="false">IF($D1650="","",IFERROR(INDEX('통합 ④ 설정'!$A$6:$A$40,MATCH($D1650,'통합 ④ 설정'!$B$6:$B$40,0)),"※없는 과목"))</f>
        <v/>
      </c>
      <c r="F1650" s="36" t="str">
        <f aca="false">IF($D1650="","",IFERROR(INDEX('통합 ④ 설정'!$C$6:$C$40,MATCH($D1650,'통합 ④ 설정'!$B$6:$B$40,0)),""))</f>
        <v/>
      </c>
      <c r="G1650" s="39"/>
      <c r="H1650" s="39"/>
      <c r="I1650" s="40"/>
      <c r="J1650" s="41"/>
      <c r="K1650" s="38"/>
      <c r="L1650" s="42" t="str">
        <f aca="false">IF($B1650="","",IF(AND(N($I1650)=0,N($J1650)=0),"금액이 없습니다",IF(AND($I1650&gt;0,$J1650&gt;0),"수입·지출 둘 다 적혔습니다",IF($C1650="","결제수단을 고르십시오",IF(ISNA(MATCH($C1650,'통합 ③ 통장·카드'!$A$5:$A$11,0)),"③ 통장·카드에 없는 결제수단입니다",IF($D1650="","계정과목을 고르십시오",IF($E1650="※없는 과목","④ 설정에 없는 과목입니다",IF(AND($E1650="수입",$J1650&gt;0),"수입 과목인데 지출에 적혔습니다",IF(AND(LEFT($E1650,2)&lt;&gt;"수입",$E1650&lt;&gt;"대체",$I1650&gt;0),"지출 과목인데 수입에 적혔습니다",IF($K1650="","증빙을 고르십시오",IF(AND($C1650="바우처통장",$J1650&gt;0,IFERROR(INDEX('통합 ④ 설정'!$E$6:$E$40,MATCH($D1650,'통합 ④ 설정'!$B$6:$B$40,0)),"")&lt;&gt;"○"),"바우처통장 지출 — 목적 확인",IF($H1650="","적요를 적으십시오",""))))))))))))</f>
        <v/>
      </c>
      <c r="M1650" s="39"/>
      <c r="O1650" s="11" t="str">
        <f aca="false">IF($B1650="","",YEAR($B1650)*100+MONTH($B1650))</f>
        <v/>
      </c>
      <c r="P1650" s="11" t="str">
        <f aca="false">IF($B1650="","",IF($E1650="대체",0,1))</f>
        <v/>
      </c>
    </row>
    <row r="1651" customFormat="false" ht="15" hidden="false" customHeight="false" outlineLevel="0" collapsed="false">
      <c r="A1651" s="36" t="str">
        <f aca="false">IF($B1651="","",COUNT($B$15:$B1651))</f>
        <v/>
      </c>
      <c r="B1651" s="37"/>
      <c r="C1651" s="38"/>
      <c r="D1651" s="39"/>
      <c r="E1651" s="36" t="str">
        <f aca="false">IF($D1651="","",IFERROR(INDEX('통합 ④ 설정'!$A$6:$A$40,MATCH($D1651,'통합 ④ 설정'!$B$6:$B$40,0)),"※없는 과목"))</f>
        <v/>
      </c>
      <c r="F1651" s="36" t="str">
        <f aca="false">IF($D1651="","",IFERROR(INDEX('통합 ④ 설정'!$C$6:$C$40,MATCH($D1651,'통합 ④ 설정'!$B$6:$B$40,0)),""))</f>
        <v/>
      </c>
      <c r="G1651" s="39"/>
      <c r="H1651" s="39"/>
      <c r="I1651" s="40"/>
      <c r="J1651" s="41"/>
      <c r="K1651" s="38"/>
      <c r="L1651" s="42" t="str">
        <f aca="false">IF($B1651="","",IF(AND(N($I1651)=0,N($J1651)=0),"금액이 없습니다",IF(AND($I1651&gt;0,$J1651&gt;0),"수입·지출 둘 다 적혔습니다",IF($C1651="","결제수단을 고르십시오",IF(ISNA(MATCH($C1651,'통합 ③ 통장·카드'!$A$5:$A$11,0)),"③ 통장·카드에 없는 결제수단입니다",IF($D1651="","계정과목을 고르십시오",IF($E1651="※없는 과목","④ 설정에 없는 과목입니다",IF(AND($E1651="수입",$J1651&gt;0),"수입 과목인데 지출에 적혔습니다",IF(AND(LEFT($E1651,2)&lt;&gt;"수입",$E1651&lt;&gt;"대체",$I1651&gt;0),"지출 과목인데 수입에 적혔습니다",IF($K1651="","증빙을 고르십시오",IF(AND($C1651="바우처통장",$J1651&gt;0,IFERROR(INDEX('통합 ④ 설정'!$E$6:$E$40,MATCH($D1651,'통합 ④ 설정'!$B$6:$B$40,0)),"")&lt;&gt;"○"),"바우처통장 지출 — 목적 확인",IF($H1651="","적요를 적으십시오",""))))))))))))</f>
        <v/>
      </c>
      <c r="M1651" s="39"/>
      <c r="O1651" s="11" t="str">
        <f aca="false">IF($B1651="","",YEAR($B1651)*100+MONTH($B1651))</f>
        <v/>
      </c>
      <c r="P1651" s="11" t="str">
        <f aca="false">IF($B1651="","",IF($E1651="대체",0,1))</f>
        <v/>
      </c>
    </row>
    <row r="1652" customFormat="false" ht="15" hidden="false" customHeight="false" outlineLevel="0" collapsed="false">
      <c r="A1652" s="36" t="str">
        <f aca="false">IF($B1652="","",COUNT($B$15:$B1652))</f>
        <v/>
      </c>
      <c r="B1652" s="37"/>
      <c r="C1652" s="38"/>
      <c r="D1652" s="39"/>
      <c r="E1652" s="36" t="str">
        <f aca="false">IF($D1652="","",IFERROR(INDEX('통합 ④ 설정'!$A$6:$A$40,MATCH($D1652,'통합 ④ 설정'!$B$6:$B$40,0)),"※없는 과목"))</f>
        <v/>
      </c>
      <c r="F1652" s="36" t="str">
        <f aca="false">IF($D1652="","",IFERROR(INDEX('통합 ④ 설정'!$C$6:$C$40,MATCH($D1652,'통합 ④ 설정'!$B$6:$B$40,0)),""))</f>
        <v/>
      </c>
      <c r="G1652" s="39"/>
      <c r="H1652" s="39"/>
      <c r="I1652" s="40"/>
      <c r="J1652" s="41"/>
      <c r="K1652" s="38"/>
      <c r="L1652" s="42" t="str">
        <f aca="false">IF($B1652="","",IF(AND(N($I1652)=0,N($J1652)=0),"금액이 없습니다",IF(AND($I1652&gt;0,$J1652&gt;0),"수입·지출 둘 다 적혔습니다",IF($C1652="","결제수단을 고르십시오",IF(ISNA(MATCH($C1652,'통합 ③ 통장·카드'!$A$5:$A$11,0)),"③ 통장·카드에 없는 결제수단입니다",IF($D1652="","계정과목을 고르십시오",IF($E1652="※없는 과목","④ 설정에 없는 과목입니다",IF(AND($E1652="수입",$J1652&gt;0),"수입 과목인데 지출에 적혔습니다",IF(AND(LEFT($E1652,2)&lt;&gt;"수입",$E1652&lt;&gt;"대체",$I1652&gt;0),"지출 과목인데 수입에 적혔습니다",IF($K1652="","증빙을 고르십시오",IF(AND($C1652="바우처통장",$J1652&gt;0,IFERROR(INDEX('통합 ④ 설정'!$E$6:$E$40,MATCH($D1652,'통합 ④ 설정'!$B$6:$B$40,0)),"")&lt;&gt;"○"),"바우처통장 지출 — 목적 확인",IF($H1652="","적요를 적으십시오",""))))))))))))</f>
        <v/>
      </c>
      <c r="M1652" s="39"/>
      <c r="O1652" s="11" t="str">
        <f aca="false">IF($B1652="","",YEAR($B1652)*100+MONTH($B1652))</f>
        <v/>
      </c>
      <c r="P1652" s="11" t="str">
        <f aca="false">IF($B1652="","",IF($E1652="대체",0,1))</f>
        <v/>
      </c>
    </row>
    <row r="1653" customFormat="false" ht="15" hidden="false" customHeight="false" outlineLevel="0" collapsed="false">
      <c r="A1653" s="36" t="str">
        <f aca="false">IF($B1653="","",COUNT($B$15:$B1653))</f>
        <v/>
      </c>
      <c r="B1653" s="37"/>
      <c r="C1653" s="38"/>
      <c r="D1653" s="39"/>
      <c r="E1653" s="36" t="str">
        <f aca="false">IF($D1653="","",IFERROR(INDEX('통합 ④ 설정'!$A$6:$A$40,MATCH($D1653,'통합 ④ 설정'!$B$6:$B$40,0)),"※없는 과목"))</f>
        <v/>
      </c>
      <c r="F1653" s="36" t="str">
        <f aca="false">IF($D1653="","",IFERROR(INDEX('통합 ④ 설정'!$C$6:$C$40,MATCH($D1653,'통합 ④ 설정'!$B$6:$B$40,0)),""))</f>
        <v/>
      </c>
      <c r="G1653" s="39"/>
      <c r="H1653" s="39"/>
      <c r="I1653" s="40"/>
      <c r="J1653" s="41"/>
      <c r="K1653" s="38"/>
      <c r="L1653" s="42" t="str">
        <f aca="false">IF($B1653="","",IF(AND(N($I1653)=0,N($J1653)=0),"금액이 없습니다",IF(AND($I1653&gt;0,$J1653&gt;0),"수입·지출 둘 다 적혔습니다",IF($C1653="","결제수단을 고르십시오",IF(ISNA(MATCH($C1653,'통합 ③ 통장·카드'!$A$5:$A$11,0)),"③ 통장·카드에 없는 결제수단입니다",IF($D1653="","계정과목을 고르십시오",IF($E1653="※없는 과목","④ 설정에 없는 과목입니다",IF(AND($E1653="수입",$J1653&gt;0),"수입 과목인데 지출에 적혔습니다",IF(AND(LEFT($E1653,2)&lt;&gt;"수입",$E1653&lt;&gt;"대체",$I1653&gt;0),"지출 과목인데 수입에 적혔습니다",IF($K1653="","증빙을 고르십시오",IF(AND($C1653="바우처통장",$J1653&gt;0,IFERROR(INDEX('통합 ④ 설정'!$E$6:$E$40,MATCH($D1653,'통합 ④ 설정'!$B$6:$B$40,0)),"")&lt;&gt;"○"),"바우처통장 지출 — 목적 확인",IF($H1653="","적요를 적으십시오",""))))))))))))</f>
        <v/>
      </c>
      <c r="M1653" s="39"/>
      <c r="O1653" s="11" t="str">
        <f aca="false">IF($B1653="","",YEAR($B1653)*100+MONTH($B1653))</f>
        <v/>
      </c>
      <c r="P1653" s="11" t="str">
        <f aca="false">IF($B1653="","",IF($E1653="대체",0,1))</f>
        <v/>
      </c>
    </row>
    <row r="1654" customFormat="false" ht="15" hidden="false" customHeight="false" outlineLevel="0" collapsed="false">
      <c r="A1654" s="36" t="str">
        <f aca="false">IF($B1654="","",COUNT($B$15:$B1654))</f>
        <v/>
      </c>
      <c r="B1654" s="37"/>
      <c r="C1654" s="38"/>
      <c r="D1654" s="39"/>
      <c r="E1654" s="36" t="str">
        <f aca="false">IF($D1654="","",IFERROR(INDEX('통합 ④ 설정'!$A$6:$A$40,MATCH($D1654,'통합 ④ 설정'!$B$6:$B$40,0)),"※없는 과목"))</f>
        <v/>
      </c>
      <c r="F1654" s="36" t="str">
        <f aca="false">IF($D1654="","",IFERROR(INDEX('통합 ④ 설정'!$C$6:$C$40,MATCH($D1654,'통합 ④ 설정'!$B$6:$B$40,0)),""))</f>
        <v/>
      </c>
      <c r="G1654" s="39"/>
      <c r="H1654" s="39"/>
      <c r="I1654" s="40"/>
      <c r="J1654" s="41"/>
      <c r="K1654" s="38"/>
      <c r="L1654" s="42" t="str">
        <f aca="false">IF($B1654="","",IF(AND(N($I1654)=0,N($J1654)=0),"금액이 없습니다",IF(AND($I1654&gt;0,$J1654&gt;0),"수입·지출 둘 다 적혔습니다",IF($C1654="","결제수단을 고르십시오",IF(ISNA(MATCH($C1654,'통합 ③ 통장·카드'!$A$5:$A$11,0)),"③ 통장·카드에 없는 결제수단입니다",IF($D1654="","계정과목을 고르십시오",IF($E1654="※없는 과목","④ 설정에 없는 과목입니다",IF(AND($E1654="수입",$J1654&gt;0),"수입 과목인데 지출에 적혔습니다",IF(AND(LEFT($E1654,2)&lt;&gt;"수입",$E1654&lt;&gt;"대체",$I1654&gt;0),"지출 과목인데 수입에 적혔습니다",IF($K1654="","증빙을 고르십시오",IF(AND($C1654="바우처통장",$J1654&gt;0,IFERROR(INDEX('통합 ④ 설정'!$E$6:$E$40,MATCH($D1654,'통합 ④ 설정'!$B$6:$B$40,0)),"")&lt;&gt;"○"),"바우처통장 지출 — 목적 확인",IF($H1654="","적요를 적으십시오",""))))))))))))</f>
        <v/>
      </c>
      <c r="M1654" s="39"/>
      <c r="O1654" s="11" t="str">
        <f aca="false">IF($B1654="","",YEAR($B1654)*100+MONTH($B1654))</f>
        <v/>
      </c>
      <c r="P1654" s="11" t="str">
        <f aca="false">IF($B1654="","",IF($E1654="대체",0,1))</f>
        <v/>
      </c>
    </row>
    <row r="1655" customFormat="false" ht="15" hidden="false" customHeight="false" outlineLevel="0" collapsed="false">
      <c r="A1655" s="36" t="str">
        <f aca="false">IF($B1655="","",COUNT($B$15:$B1655))</f>
        <v/>
      </c>
      <c r="B1655" s="37"/>
      <c r="C1655" s="38"/>
      <c r="D1655" s="39"/>
      <c r="E1655" s="36" t="str">
        <f aca="false">IF($D1655="","",IFERROR(INDEX('통합 ④ 설정'!$A$6:$A$40,MATCH($D1655,'통합 ④ 설정'!$B$6:$B$40,0)),"※없는 과목"))</f>
        <v/>
      </c>
      <c r="F1655" s="36" t="str">
        <f aca="false">IF($D1655="","",IFERROR(INDEX('통합 ④ 설정'!$C$6:$C$40,MATCH($D1655,'통합 ④ 설정'!$B$6:$B$40,0)),""))</f>
        <v/>
      </c>
      <c r="G1655" s="39"/>
      <c r="H1655" s="39"/>
      <c r="I1655" s="40"/>
      <c r="J1655" s="41"/>
      <c r="K1655" s="38"/>
      <c r="L1655" s="42" t="str">
        <f aca="false">IF($B1655="","",IF(AND(N($I1655)=0,N($J1655)=0),"금액이 없습니다",IF(AND($I1655&gt;0,$J1655&gt;0),"수입·지출 둘 다 적혔습니다",IF($C1655="","결제수단을 고르십시오",IF(ISNA(MATCH($C1655,'통합 ③ 통장·카드'!$A$5:$A$11,0)),"③ 통장·카드에 없는 결제수단입니다",IF($D1655="","계정과목을 고르십시오",IF($E1655="※없는 과목","④ 설정에 없는 과목입니다",IF(AND($E1655="수입",$J1655&gt;0),"수입 과목인데 지출에 적혔습니다",IF(AND(LEFT($E1655,2)&lt;&gt;"수입",$E1655&lt;&gt;"대체",$I1655&gt;0),"지출 과목인데 수입에 적혔습니다",IF($K1655="","증빙을 고르십시오",IF(AND($C1655="바우처통장",$J1655&gt;0,IFERROR(INDEX('통합 ④ 설정'!$E$6:$E$40,MATCH($D1655,'통합 ④ 설정'!$B$6:$B$40,0)),"")&lt;&gt;"○"),"바우처통장 지출 — 목적 확인",IF($H1655="","적요를 적으십시오",""))))))))))))</f>
        <v/>
      </c>
      <c r="M1655" s="39"/>
      <c r="O1655" s="11" t="str">
        <f aca="false">IF($B1655="","",YEAR($B1655)*100+MONTH($B1655))</f>
        <v/>
      </c>
      <c r="P1655" s="11" t="str">
        <f aca="false">IF($B1655="","",IF($E1655="대체",0,1))</f>
        <v/>
      </c>
    </row>
    <row r="1656" customFormat="false" ht="15" hidden="false" customHeight="false" outlineLevel="0" collapsed="false">
      <c r="A1656" s="36" t="str">
        <f aca="false">IF($B1656="","",COUNT($B$15:$B1656))</f>
        <v/>
      </c>
      <c r="B1656" s="37"/>
      <c r="C1656" s="38"/>
      <c r="D1656" s="39"/>
      <c r="E1656" s="36" t="str">
        <f aca="false">IF($D1656="","",IFERROR(INDEX('통합 ④ 설정'!$A$6:$A$40,MATCH($D1656,'통합 ④ 설정'!$B$6:$B$40,0)),"※없는 과목"))</f>
        <v/>
      </c>
      <c r="F1656" s="36" t="str">
        <f aca="false">IF($D1656="","",IFERROR(INDEX('통합 ④ 설정'!$C$6:$C$40,MATCH($D1656,'통합 ④ 설정'!$B$6:$B$40,0)),""))</f>
        <v/>
      </c>
      <c r="G1656" s="39"/>
      <c r="H1656" s="39"/>
      <c r="I1656" s="40"/>
      <c r="J1656" s="41"/>
      <c r="K1656" s="38"/>
      <c r="L1656" s="42" t="str">
        <f aca="false">IF($B1656="","",IF(AND(N($I1656)=0,N($J1656)=0),"금액이 없습니다",IF(AND($I1656&gt;0,$J1656&gt;0),"수입·지출 둘 다 적혔습니다",IF($C1656="","결제수단을 고르십시오",IF(ISNA(MATCH($C1656,'통합 ③ 통장·카드'!$A$5:$A$11,0)),"③ 통장·카드에 없는 결제수단입니다",IF($D1656="","계정과목을 고르십시오",IF($E1656="※없는 과목","④ 설정에 없는 과목입니다",IF(AND($E1656="수입",$J1656&gt;0),"수입 과목인데 지출에 적혔습니다",IF(AND(LEFT($E1656,2)&lt;&gt;"수입",$E1656&lt;&gt;"대체",$I1656&gt;0),"지출 과목인데 수입에 적혔습니다",IF($K1656="","증빙을 고르십시오",IF(AND($C1656="바우처통장",$J1656&gt;0,IFERROR(INDEX('통합 ④ 설정'!$E$6:$E$40,MATCH($D1656,'통합 ④ 설정'!$B$6:$B$40,0)),"")&lt;&gt;"○"),"바우처통장 지출 — 목적 확인",IF($H1656="","적요를 적으십시오",""))))))))))))</f>
        <v/>
      </c>
      <c r="M1656" s="39"/>
      <c r="O1656" s="11" t="str">
        <f aca="false">IF($B1656="","",YEAR($B1656)*100+MONTH($B1656))</f>
        <v/>
      </c>
      <c r="P1656" s="11" t="str">
        <f aca="false">IF($B1656="","",IF($E1656="대체",0,1))</f>
        <v/>
      </c>
    </row>
    <row r="1657" customFormat="false" ht="15" hidden="false" customHeight="false" outlineLevel="0" collapsed="false">
      <c r="A1657" s="36" t="str">
        <f aca="false">IF($B1657="","",COUNT($B$15:$B1657))</f>
        <v/>
      </c>
      <c r="B1657" s="37"/>
      <c r="C1657" s="38"/>
      <c r="D1657" s="39"/>
      <c r="E1657" s="36" t="str">
        <f aca="false">IF($D1657="","",IFERROR(INDEX('통합 ④ 설정'!$A$6:$A$40,MATCH($D1657,'통합 ④ 설정'!$B$6:$B$40,0)),"※없는 과목"))</f>
        <v/>
      </c>
      <c r="F1657" s="36" t="str">
        <f aca="false">IF($D1657="","",IFERROR(INDEX('통합 ④ 설정'!$C$6:$C$40,MATCH($D1657,'통합 ④ 설정'!$B$6:$B$40,0)),""))</f>
        <v/>
      </c>
      <c r="G1657" s="39"/>
      <c r="H1657" s="39"/>
      <c r="I1657" s="40"/>
      <c r="J1657" s="41"/>
      <c r="K1657" s="38"/>
      <c r="L1657" s="42" t="str">
        <f aca="false">IF($B1657="","",IF(AND(N($I1657)=0,N($J1657)=0),"금액이 없습니다",IF(AND($I1657&gt;0,$J1657&gt;0),"수입·지출 둘 다 적혔습니다",IF($C1657="","결제수단을 고르십시오",IF(ISNA(MATCH($C1657,'통합 ③ 통장·카드'!$A$5:$A$11,0)),"③ 통장·카드에 없는 결제수단입니다",IF($D1657="","계정과목을 고르십시오",IF($E1657="※없는 과목","④ 설정에 없는 과목입니다",IF(AND($E1657="수입",$J1657&gt;0),"수입 과목인데 지출에 적혔습니다",IF(AND(LEFT($E1657,2)&lt;&gt;"수입",$E1657&lt;&gt;"대체",$I1657&gt;0),"지출 과목인데 수입에 적혔습니다",IF($K1657="","증빙을 고르십시오",IF(AND($C1657="바우처통장",$J1657&gt;0,IFERROR(INDEX('통합 ④ 설정'!$E$6:$E$40,MATCH($D1657,'통합 ④ 설정'!$B$6:$B$40,0)),"")&lt;&gt;"○"),"바우처통장 지출 — 목적 확인",IF($H1657="","적요를 적으십시오",""))))))))))))</f>
        <v/>
      </c>
      <c r="M1657" s="39"/>
      <c r="O1657" s="11" t="str">
        <f aca="false">IF($B1657="","",YEAR($B1657)*100+MONTH($B1657))</f>
        <v/>
      </c>
      <c r="P1657" s="11" t="str">
        <f aca="false">IF($B1657="","",IF($E1657="대체",0,1))</f>
        <v/>
      </c>
    </row>
    <row r="1658" customFormat="false" ht="15" hidden="false" customHeight="false" outlineLevel="0" collapsed="false">
      <c r="A1658" s="36" t="str">
        <f aca="false">IF($B1658="","",COUNT($B$15:$B1658))</f>
        <v/>
      </c>
      <c r="B1658" s="37"/>
      <c r="C1658" s="38"/>
      <c r="D1658" s="39"/>
      <c r="E1658" s="36" t="str">
        <f aca="false">IF($D1658="","",IFERROR(INDEX('통합 ④ 설정'!$A$6:$A$40,MATCH($D1658,'통합 ④ 설정'!$B$6:$B$40,0)),"※없는 과목"))</f>
        <v/>
      </c>
      <c r="F1658" s="36" t="str">
        <f aca="false">IF($D1658="","",IFERROR(INDEX('통합 ④ 설정'!$C$6:$C$40,MATCH($D1658,'통합 ④ 설정'!$B$6:$B$40,0)),""))</f>
        <v/>
      </c>
      <c r="G1658" s="39"/>
      <c r="H1658" s="39"/>
      <c r="I1658" s="40"/>
      <c r="J1658" s="41"/>
      <c r="K1658" s="38"/>
      <c r="L1658" s="42" t="str">
        <f aca="false">IF($B1658="","",IF(AND(N($I1658)=0,N($J1658)=0),"금액이 없습니다",IF(AND($I1658&gt;0,$J1658&gt;0),"수입·지출 둘 다 적혔습니다",IF($C1658="","결제수단을 고르십시오",IF(ISNA(MATCH($C1658,'통합 ③ 통장·카드'!$A$5:$A$11,0)),"③ 통장·카드에 없는 결제수단입니다",IF($D1658="","계정과목을 고르십시오",IF($E1658="※없는 과목","④ 설정에 없는 과목입니다",IF(AND($E1658="수입",$J1658&gt;0),"수입 과목인데 지출에 적혔습니다",IF(AND(LEFT($E1658,2)&lt;&gt;"수입",$E1658&lt;&gt;"대체",$I1658&gt;0),"지출 과목인데 수입에 적혔습니다",IF($K1658="","증빙을 고르십시오",IF(AND($C1658="바우처통장",$J1658&gt;0,IFERROR(INDEX('통합 ④ 설정'!$E$6:$E$40,MATCH($D1658,'통합 ④ 설정'!$B$6:$B$40,0)),"")&lt;&gt;"○"),"바우처통장 지출 — 목적 확인",IF($H1658="","적요를 적으십시오",""))))))))))))</f>
        <v/>
      </c>
      <c r="M1658" s="39"/>
      <c r="O1658" s="11" t="str">
        <f aca="false">IF($B1658="","",YEAR($B1658)*100+MONTH($B1658))</f>
        <v/>
      </c>
      <c r="P1658" s="11" t="str">
        <f aca="false">IF($B1658="","",IF($E1658="대체",0,1))</f>
        <v/>
      </c>
    </row>
    <row r="1659" customFormat="false" ht="15" hidden="false" customHeight="false" outlineLevel="0" collapsed="false">
      <c r="A1659" s="36" t="str">
        <f aca="false">IF($B1659="","",COUNT($B$15:$B1659))</f>
        <v/>
      </c>
      <c r="B1659" s="37"/>
      <c r="C1659" s="38"/>
      <c r="D1659" s="39"/>
      <c r="E1659" s="36" t="str">
        <f aca="false">IF($D1659="","",IFERROR(INDEX('통합 ④ 설정'!$A$6:$A$40,MATCH($D1659,'통합 ④ 설정'!$B$6:$B$40,0)),"※없는 과목"))</f>
        <v/>
      </c>
      <c r="F1659" s="36" t="str">
        <f aca="false">IF($D1659="","",IFERROR(INDEX('통합 ④ 설정'!$C$6:$C$40,MATCH($D1659,'통합 ④ 설정'!$B$6:$B$40,0)),""))</f>
        <v/>
      </c>
      <c r="G1659" s="39"/>
      <c r="H1659" s="39"/>
      <c r="I1659" s="40"/>
      <c r="J1659" s="41"/>
      <c r="K1659" s="38"/>
      <c r="L1659" s="42" t="str">
        <f aca="false">IF($B1659="","",IF(AND(N($I1659)=0,N($J1659)=0),"금액이 없습니다",IF(AND($I1659&gt;0,$J1659&gt;0),"수입·지출 둘 다 적혔습니다",IF($C1659="","결제수단을 고르십시오",IF(ISNA(MATCH($C1659,'통합 ③ 통장·카드'!$A$5:$A$11,0)),"③ 통장·카드에 없는 결제수단입니다",IF($D1659="","계정과목을 고르십시오",IF($E1659="※없는 과목","④ 설정에 없는 과목입니다",IF(AND($E1659="수입",$J1659&gt;0),"수입 과목인데 지출에 적혔습니다",IF(AND(LEFT($E1659,2)&lt;&gt;"수입",$E1659&lt;&gt;"대체",$I1659&gt;0),"지출 과목인데 수입에 적혔습니다",IF($K1659="","증빙을 고르십시오",IF(AND($C1659="바우처통장",$J1659&gt;0,IFERROR(INDEX('통합 ④ 설정'!$E$6:$E$40,MATCH($D1659,'통합 ④ 설정'!$B$6:$B$40,0)),"")&lt;&gt;"○"),"바우처통장 지출 — 목적 확인",IF($H1659="","적요를 적으십시오",""))))))))))))</f>
        <v/>
      </c>
      <c r="M1659" s="39"/>
      <c r="O1659" s="11" t="str">
        <f aca="false">IF($B1659="","",YEAR($B1659)*100+MONTH($B1659))</f>
        <v/>
      </c>
      <c r="P1659" s="11" t="str">
        <f aca="false">IF($B1659="","",IF($E1659="대체",0,1))</f>
        <v/>
      </c>
    </row>
    <row r="1660" customFormat="false" ht="15" hidden="false" customHeight="false" outlineLevel="0" collapsed="false">
      <c r="A1660" s="36" t="str">
        <f aca="false">IF($B1660="","",COUNT($B$15:$B1660))</f>
        <v/>
      </c>
      <c r="B1660" s="37"/>
      <c r="C1660" s="38"/>
      <c r="D1660" s="39"/>
      <c r="E1660" s="36" t="str">
        <f aca="false">IF($D1660="","",IFERROR(INDEX('통합 ④ 설정'!$A$6:$A$40,MATCH($D1660,'통합 ④ 설정'!$B$6:$B$40,0)),"※없는 과목"))</f>
        <v/>
      </c>
      <c r="F1660" s="36" t="str">
        <f aca="false">IF($D1660="","",IFERROR(INDEX('통합 ④ 설정'!$C$6:$C$40,MATCH($D1660,'통합 ④ 설정'!$B$6:$B$40,0)),""))</f>
        <v/>
      </c>
      <c r="G1660" s="39"/>
      <c r="H1660" s="39"/>
      <c r="I1660" s="40"/>
      <c r="J1660" s="41"/>
      <c r="K1660" s="38"/>
      <c r="L1660" s="42" t="str">
        <f aca="false">IF($B1660="","",IF(AND(N($I1660)=0,N($J1660)=0),"금액이 없습니다",IF(AND($I1660&gt;0,$J1660&gt;0),"수입·지출 둘 다 적혔습니다",IF($C1660="","결제수단을 고르십시오",IF(ISNA(MATCH($C1660,'통합 ③ 통장·카드'!$A$5:$A$11,0)),"③ 통장·카드에 없는 결제수단입니다",IF($D1660="","계정과목을 고르십시오",IF($E1660="※없는 과목","④ 설정에 없는 과목입니다",IF(AND($E1660="수입",$J1660&gt;0),"수입 과목인데 지출에 적혔습니다",IF(AND(LEFT($E1660,2)&lt;&gt;"수입",$E1660&lt;&gt;"대체",$I1660&gt;0),"지출 과목인데 수입에 적혔습니다",IF($K1660="","증빙을 고르십시오",IF(AND($C1660="바우처통장",$J1660&gt;0,IFERROR(INDEX('통합 ④ 설정'!$E$6:$E$40,MATCH($D1660,'통합 ④ 설정'!$B$6:$B$40,0)),"")&lt;&gt;"○"),"바우처통장 지출 — 목적 확인",IF($H1660="","적요를 적으십시오",""))))))))))))</f>
        <v/>
      </c>
      <c r="M1660" s="39"/>
      <c r="O1660" s="11" t="str">
        <f aca="false">IF($B1660="","",YEAR($B1660)*100+MONTH($B1660))</f>
        <v/>
      </c>
      <c r="P1660" s="11" t="str">
        <f aca="false">IF($B1660="","",IF($E1660="대체",0,1))</f>
        <v/>
      </c>
    </row>
    <row r="1661" customFormat="false" ht="15" hidden="false" customHeight="false" outlineLevel="0" collapsed="false">
      <c r="A1661" s="36" t="str">
        <f aca="false">IF($B1661="","",COUNT($B$15:$B1661))</f>
        <v/>
      </c>
      <c r="B1661" s="37"/>
      <c r="C1661" s="38"/>
      <c r="D1661" s="39"/>
      <c r="E1661" s="36" t="str">
        <f aca="false">IF($D1661="","",IFERROR(INDEX('통합 ④ 설정'!$A$6:$A$40,MATCH($D1661,'통합 ④ 설정'!$B$6:$B$40,0)),"※없는 과목"))</f>
        <v/>
      </c>
      <c r="F1661" s="36" t="str">
        <f aca="false">IF($D1661="","",IFERROR(INDEX('통합 ④ 설정'!$C$6:$C$40,MATCH($D1661,'통합 ④ 설정'!$B$6:$B$40,0)),""))</f>
        <v/>
      </c>
      <c r="G1661" s="39"/>
      <c r="H1661" s="39"/>
      <c r="I1661" s="40"/>
      <c r="J1661" s="41"/>
      <c r="K1661" s="38"/>
      <c r="L1661" s="42" t="str">
        <f aca="false">IF($B1661="","",IF(AND(N($I1661)=0,N($J1661)=0),"금액이 없습니다",IF(AND($I1661&gt;0,$J1661&gt;0),"수입·지출 둘 다 적혔습니다",IF($C1661="","결제수단을 고르십시오",IF(ISNA(MATCH($C1661,'통합 ③ 통장·카드'!$A$5:$A$11,0)),"③ 통장·카드에 없는 결제수단입니다",IF($D1661="","계정과목을 고르십시오",IF($E1661="※없는 과목","④ 설정에 없는 과목입니다",IF(AND($E1661="수입",$J1661&gt;0),"수입 과목인데 지출에 적혔습니다",IF(AND(LEFT($E1661,2)&lt;&gt;"수입",$E1661&lt;&gt;"대체",$I1661&gt;0),"지출 과목인데 수입에 적혔습니다",IF($K1661="","증빙을 고르십시오",IF(AND($C1661="바우처통장",$J1661&gt;0,IFERROR(INDEX('통합 ④ 설정'!$E$6:$E$40,MATCH($D1661,'통합 ④ 설정'!$B$6:$B$40,0)),"")&lt;&gt;"○"),"바우처통장 지출 — 목적 확인",IF($H1661="","적요를 적으십시오",""))))))))))))</f>
        <v/>
      </c>
      <c r="M1661" s="39"/>
      <c r="O1661" s="11" t="str">
        <f aca="false">IF($B1661="","",YEAR($B1661)*100+MONTH($B1661))</f>
        <v/>
      </c>
      <c r="P1661" s="11" t="str">
        <f aca="false">IF($B1661="","",IF($E1661="대체",0,1))</f>
        <v/>
      </c>
    </row>
    <row r="1662" customFormat="false" ht="15" hidden="false" customHeight="false" outlineLevel="0" collapsed="false">
      <c r="A1662" s="36" t="str">
        <f aca="false">IF($B1662="","",COUNT($B$15:$B1662))</f>
        <v/>
      </c>
      <c r="B1662" s="37"/>
      <c r="C1662" s="38"/>
      <c r="D1662" s="39"/>
      <c r="E1662" s="36" t="str">
        <f aca="false">IF($D1662="","",IFERROR(INDEX('통합 ④ 설정'!$A$6:$A$40,MATCH($D1662,'통합 ④ 설정'!$B$6:$B$40,0)),"※없는 과목"))</f>
        <v/>
      </c>
      <c r="F1662" s="36" t="str">
        <f aca="false">IF($D1662="","",IFERROR(INDEX('통합 ④ 설정'!$C$6:$C$40,MATCH($D1662,'통합 ④ 설정'!$B$6:$B$40,0)),""))</f>
        <v/>
      </c>
      <c r="G1662" s="39"/>
      <c r="H1662" s="39"/>
      <c r="I1662" s="40"/>
      <c r="J1662" s="41"/>
      <c r="K1662" s="38"/>
      <c r="L1662" s="42" t="str">
        <f aca="false">IF($B1662="","",IF(AND(N($I1662)=0,N($J1662)=0),"금액이 없습니다",IF(AND($I1662&gt;0,$J1662&gt;0),"수입·지출 둘 다 적혔습니다",IF($C1662="","결제수단을 고르십시오",IF(ISNA(MATCH($C1662,'통합 ③ 통장·카드'!$A$5:$A$11,0)),"③ 통장·카드에 없는 결제수단입니다",IF($D1662="","계정과목을 고르십시오",IF($E1662="※없는 과목","④ 설정에 없는 과목입니다",IF(AND($E1662="수입",$J1662&gt;0),"수입 과목인데 지출에 적혔습니다",IF(AND(LEFT($E1662,2)&lt;&gt;"수입",$E1662&lt;&gt;"대체",$I1662&gt;0),"지출 과목인데 수입에 적혔습니다",IF($K1662="","증빙을 고르십시오",IF(AND($C1662="바우처통장",$J1662&gt;0,IFERROR(INDEX('통합 ④ 설정'!$E$6:$E$40,MATCH($D1662,'통합 ④ 설정'!$B$6:$B$40,0)),"")&lt;&gt;"○"),"바우처통장 지출 — 목적 확인",IF($H1662="","적요를 적으십시오",""))))))))))))</f>
        <v/>
      </c>
      <c r="M1662" s="39"/>
      <c r="O1662" s="11" t="str">
        <f aca="false">IF($B1662="","",YEAR($B1662)*100+MONTH($B1662))</f>
        <v/>
      </c>
      <c r="P1662" s="11" t="str">
        <f aca="false">IF($B1662="","",IF($E1662="대체",0,1))</f>
        <v/>
      </c>
    </row>
    <row r="1663" customFormat="false" ht="15" hidden="false" customHeight="false" outlineLevel="0" collapsed="false">
      <c r="A1663" s="36" t="str">
        <f aca="false">IF($B1663="","",COUNT($B$15:$B1663))</f>
        <v/>
      </c>
      <c r="B1663" s="37"/>
      <c r="C1663" s="38"/>
      <c r="D1663" s="39"/>
      <c r="E1663" s="36" t="str">
        <f aca="false">IF($D1663="","",IFERROR(INDEX('통합 ④ 설정'!$A$6:$A$40,MATCH($D1663,'통합 ④ 설정'!$B$6:$B$40,0)),"※없는 과목"))</f>
        <v/>
      </c>
      <c r="F1663" s="36" t="str">
        <f aca="false">IF($D1663="","",IFERROR(INDEX('통합 ④ 설정'!$C$6:$C$40,MATCH($D1663,'통합 ④ 설정'!$B$6:$B$40,0)),""))</f>
        <v/>
      </c>
      <c r="G1663" s="39"/>
      <c r="H1663" s="39"/>
      <c r="I1663" s="40"/>
      <c r="J1663" s="41"/>
      <c r="K1663" s="38"/>
      <c r="L1663" s="42" t="str">
        <f aca="false">IF($B1663="","",IF(AND(N($I1663)=0,N($J1663)=0),"금액이 없습니다",IF(AND($I1663&gt;0,$J1663&gt;0),"수입·지출 둘 다 적혔습니다",IF($C1663="","결제수단을 고르십시오",IF(ISNA(MATCH($C1663,'통합 ③ 통장·카드'!$A$5:$A$11,0)),"③ 통장·카드에 없는 결제수단입니다",IF($D1663="","계정과목을 고르십시오",IF($E1663="※없는 과목","④ 설정에 없는 과목입니다",IF(AND($E1663="수입",$J1663&gt;0),"수입 과목인데 지출에 적혔습니다",IF(AND(LEFT($E1663,2)&lt;&gt;"수입",$E1663&lt;&gt;"대체",$I1663&gt;0),"지출 과목인데 수입에 적혔습니다",IF($K1663="","증빙을 고르십시오",IF(AND($C1663="바우처통장",$J1663&gt;0,IFERROR(INDEX('통합 ④ 설정'!$E$6:$E$40,MATCH($D1663,'통합 ④ 설정'!$B$6:$B$40,0)),"")&lt;&gt;"○"),"바우처통장 지출 — 목적 확인",IF($H1663="","적요를 적으십시오",""))))))))))))</f>
        <v/>
      </c>
      <c r="M1663" s="39"/>
      <c r="O1663" s="11" t="str">
        <f aca="false">IF($B1663="","",YEAR($B1663)*100+MONTH($B1663))</f>
        <v/>
      </c>
      <c r="P1663" s="11" t="str">
        <f aca="false">IF($B1663="","",IF($E1663="대체",0,1))</f>
        <v/>
      </c>
    </row>
    <row r="1664" customFormat="false" ht="15" hidden="false" customHeight="false" outlineLevel="0" collapsed="false">
      <c r="A1664" s="36" t="str">
        <f aca="false">IF($B1664="","",COUNT($B$15:$B1664))</f>
        <v/>
      </c>
      <c r="B1664" s="37"/>
      <c r="C1664" s="38"/>
      <c r="D1664" s="39"/>
      <c r="E1664" s="36" t="str">
        <f aca="false">IF($D1664="","",IFERROR(INDEX('통합 ④ 설정'!$A$6:$A$40,MATCH($D1664,'통합 ④ 설정'!$B$6:$B$40,0)),"※없는 과목"))</f>
        <v/>
      </c>
      <c r="F1664" s="36" t="str">
        <f aca="false">IF($D1664="","",IFERROR(INDEX('통합 ④ 설정'!$C$6:$C$40,MATCH($D1664,'통합 ④ 설정'!$B$6:$B$40,0)),""))</f>
        <v/>
      </c>
      <c r="G1664" s="39"/>
      <c r="H1664" s="39"/>
      <c r="I1664" s="40"/>
      <c r="J1664" s="41"/>
      <c r="K1664" s="38"/>
      <c r="L1664" s="42" t="str">
        <f aca="false">IF($B1664="","",IF(AND(N($I1664)=0,N($J1664)=0),"금액이 없습니다",IF(AND($I1664&gt;0,$J1664&gt;0),"수입·지출 둘 다 적혔습니다",IF($C1664="","결제수단을 고르십시오",IF(ISNA(MATCH($C1664,'통합 ③ 통장·카드'!$A$5:$A$11,0)),"③ 통장·카드에 없는 결제수단입니다",IF($D1664="","계정과목을 고르십시오",IF($E1664="※없는 과목","④ 설정에 없는 과목입니다",IF(AND($E1664="수입",$J1664&gt;0),"수입 과목인데 지출에 적혔습니다",IF(AND(LEFT($E1664,2)&lt;&gt;"수입",$E1664&lt;&gt;"대체",$I1664&gt;0),"지출 과목인데 수입에 적혔습니다",IF($K1664="","증빙을 고르십시오",IF(AND($C1664="바우처통장",$J1664&gt;0,IFERROR(INDEX('통합 ④ 설정'!$E$6:$E$40,MATCH($D1664,'통합 ④ 설정'!$B$6:$B$40,0)),"")&lt;&gt;"○"),"바우처통장 지출 — 목적 확인",IF($H1664="","적요를 적으십시오",""))))))))))))</f>
        <v/>
      </c>
      <c r="M1664" s="39"/>
      <c r="O1664" s="11" t="str">
        <f aca="false">IF($B1664="","",YEAR($B1664)*100+MONTH($B1664))</f>
        <v/>
      </c>
      <c r="P1664" s="11" t="str">
        <f aca="false">IF($B1664="","",IF($E1664="대체",0,1))</f>
        <v/>
      </c>
    </row>
    <row r="1665" customFormat="false" ht="15" hidden="false" customHeight="false" outlineLevel="0" collapsed="false">
      <c r="A1665" s="36" t="str">
        <f aca="false">IF($B1665="","",COUNT($B$15:$B1665))</f>
        <v/>
      </c>
      <c r="B1665" s="37"/>
      <c r="C1665" s="38"/>
      <c r="D1665" s="39"/>
      <c r="E1665" s="36" t="str">
        <f aca="false">IF($D1665="","",IFERROR(INDEX('통합 ④ 설정'!$A$6:$A$40,MATCH($D1665,'통합 ④ 설정'!$B$6:$B$40,0)),"※없는 과목"))</f>
        <v/>
      </c>
      <c r="F1665" s="36" t="str">
        <f aca="false">IF($D1665="","",IFERROR(INDEX('통합 ④ 설정'!$C$6:$C$40,MATCH($D1665,'통합 ④ 설정'!$B$6:$B$40,0)),""))</f>
        <v/>
      </c>
      <c r="G1665" s="39"/>
      <c r="H1665" s="39"/>
      <c r="I1665" s="40"/>
      <c r="J1665" s="41"/>
      <c r="K1665" s="38"/>
      <c r="L1665" s="42" t="str">
        <f aca="false">IF($B1665="","",IF(AND(N($I1665)=0,N($J1665)=0),"금액이 없습니다",IF(AND($I1665&gt;0,$J1665&gt;0),"수입·지출 둘 다 적혔습니다",IF($C1665="","결제수단을 고르십시오",IF(ISNA(MATCH($C1665,'통합 ③ 통장·카드'!$A$5:$A$11,0)),"③ 통장·카드에 없는 결제수단입니다",IF($D1665="","계정과목을 고르십시오",IF($E1665="※없는 과목","④ 설정에 없는 과목입니다",IF(AND($E1665="수입",$J1665&gt;0),"수입 과목인데 지출에 적혔습니다",IF(AND(LEFT($E1665,2)&lt;&gt;"수입",$E1665&lt;&gt;"대체",$I1665&gt;0),"지출 과목인데 수입에 적혔습니다",IF($K1665="","증빙을 고르십시오",IF(AND($C1665="바우처통장",$J1665&gt;0,IFERROR(INDEX('통합 ④ 설정'!$E$6:$E$40,MATCH($D1665,'통합 ④ 설정'!$B$6:$B$40,0)),"")&lt;&gt;"○"),"바우처통장 지출 — 목적 확인",IF($H1665="","적요를 적으십시오",""))))))))))))</f>
        <v/>
      </c>
      <c r="M1665" s="39"/>
      <c r="O1665" s="11" t="str">
        <f aca="false">IF($B1665="","",YEAR($B1665)*100+MONTH($B1665))</f>
        <v/>
      </c>
      <c r="P1665" s="11" t="str">
        <f aca="false">IF($B1665="","",IF($E1665="대체",0,1))</f>
        <v/>
      </c>
    </row>
    <row r="1666" customFormat="false" ht="15" hidden="false" customHeight="false" outlineLevel="0" collapsed="false">
      <c r="A1666" s="36" t="str">
        <f aca="false">IF($B1666="","",COUNT($B$15:$B1666))</f>
        <v/>
      </c>
      <c r="B1666" s="37"/>
      <c r="C1666" s="38"/>
      <c r="D1666" s="39"/>
      <c r="E1666" s="36" t="str">
        <f aca="false">IF($D1666="","",IFERROR(INDEX('통합 ④ 설정'!$A$6:$A$40,MATCH($D1666,'통합 ④ 설정'!$B$6:$B$40,0)),"※없는 과목"))</f>
        <v/>
      </c>
      <c r="F1666" s="36" t="str">
        <f aca="false">IF($D1666="","",IFERROR(INDEX('통합 ④ 설정'!$C$6:$C$40,MATCH($D1666,'통합 ④ 설정'!$B$6:$B$40,0)),""))</f>
        <v/>
      </c>
      <c r="G1666" s="39"/>
      <c r="H1666" s="39"/>
      <c r="I1666" s="40"/>
      <c r="J1666" s="41"/>
      <c r="K1666" s="38"/>
      <c r="L1666" s="42" t="str">
        <f aca="false">IF($B1666="","",IF(AND(N($I1666)=0,N($J1666)=0),"금액이 없습니다",IF(AND($I1666&gt;0,$J1666&gt;0),"수입·지출 둘 다 적혔습니다",IF($C1666="","결제수단을 고르십시오",IF(ISNA(MATCH($C1666,'통합 ③ 통장·카드'!$A$5:$A$11,0)),"③ 통장·카드에 없는 결제수단입니다",IF($D1666="","계정과목을 고르십시오",IF($E1666="※없는 과목","④ 설정에 없는 과목입니다",IF(AND($E1666="수입",$J1666&gt;0),"수입 과목인데 지출에 적혔습니다",IF(AND(LEFT($E1666,2)&lt;&gt;"수입",$E1666&lt;&gt;"대체",$I1666&gt;0),"지출 과목인데 수입에 적혔습니다",IF($K1666="","증빙을 고르십시오",IF(AND($C1666="바우처통장",$J1666&gt;0,IFERROR(INDEX('통합 ④ 설정'!$E$6:$E$40,MATCH($D1666,'통합 ④ 설정'!$B$6:$B$40,0)),"")&lt;&gt;"○"),"바우처통장 지출 — 목적 확인",IF($H1666="","적요를 적으십시오",""))))))))))))</f>
        <v/>
      </c>
      <c r="M1666" s="39"/>
      <c r="O1666" s="11" t="str">
        <f aca="false">IF($B1666="","",YEAR($B1666)*100+MONTH($B1666))</f>
        <v/>
      </c>
      <c r="P1666" s="11" t="str">
        <f aca="false">IF($B1666="","",IF($E1666="대체",0,1))</f>
        <v/>
      </c>
    </row>
    <row r="1667" customFormat="false" ht="15" hidden="false" customHeight="false" outlineLevel="0" collapsed="false">
      <c r="A1667" s="36" t="str">
        <f aca="false">IF($B1667="","",COUNT($B$15:$B1667))</f>
        <v/>
      </c>
      <c r="B1667" s="37"/>
      <c r="C1667" s="38"/>
      <c r="D1667" s="39"/>
      <c r="E1667" s="36" t="str">
        <f aca="false">IF($D1667="","",IFERROR(INDEX('통합 ④ 설정'!$A$6:$A$40,MATCH($D1667,'통합 ④ 설정'!$B$6:$B$40,0)),"※없는 과목"))</f>
        <v/>
      </c>
      <c r="F1667" s="36" t="str">
        <f aca="false">IF($D1667="","",IFERROR(INDEX('통합 ④ 설정'!$C$6:$C$40,MATCH($D1667,'통합 ④ 설정'!$B$6:$B$40,0)),""))</f>
        <v/>
      </c>
      <c r="G1667" s="39"/>
      <c r="H1667" s="39"/>
      <c r="I1667" s="40"/>
      <c r="J1667" s="41"/>
      <c r="K1667" s="38"/>
      <c r="L1667" s="42" t="str">
        <f aca="false">IF($B1667="","",IF(AND(N($I1667)=0,N($J1667)=0),"금액이 없습니다",IF(AND($I1667&gt;0,$J1667&gt;0),"수입·지출 둘 다 적혔습니다",IF($C1667="","결제수단을 고르십시오",IF(ISNA(MATCH($C1667,'통합 ③ 통장·카드'!$A$5:$A$11,0)),"③ 통장·카드에 없는 결제수단입니다",IF($D1667="","계정과목을 고르십시오",IF($E1667="※없는 과목","④ 설정에 없는 과목입니다",IF(AND($E1667="수입",$J1667&gt;0),"수입 과목인데 지출에 적혔습니다",IF(AND(LEFT($E1667,2)&lt;&gt;"수입",$E1667&lt;&gt;"대체",$I1667&gt;0),"지출 과목인데 수입에 적혔습니다",IF($K1667="","증빙을 고르십시오",IF(AND($C1667="바우처통장",$J1667&gt;0,IFERROR(INDEX('통합 ④ 설정'!$E$6:$E$40,MATCH($D1667,'통합 ④ 설정'!$B$6:$B$40,0)),"")&lt;&gt;"○"),"바우처통장 지출 — 목적 확인",IF($H1667="","적요를 적으십시오",""))))))))))))</f>
        <v/>
      </c>
      <c r="M1667" s="39"/>
      <c r="O1667" s="11" t="str">
        <f aca="false">IF($B1667="","",YEAR($B1667)*100+MONTH($B1667))</f>
        <v/>
      </c>
      <c r="P1667" s="11" t="str">
        <f aca="false">IF($B1667="","",IF($E1667="대체",0,1))</f>
        <v/>
      </c>
    </row>
    <row r="1668" customFormat="false" ht="15" hidden="false" customHeight="false" outlineLevel="0" collapsed="false">
      <c r="A1668" s="36" t="str">
        <f aca="false">IF($B1668="","",COUNT($B$15:$B1668))</f>
        <v/>
      </c>
      <c r="B1668" s="37"/>
      <c r="C1668" s="38"/>
      <c r="D1668" s="39"/>
      <c r="E1668" s="36" t="str">
        <f aca="false">IF($D1668="","",IFERROR(INDEX('통합 ④ 설정'!$A$6:$A$40,MATCH($D1668,'통합 ④ 설정'!$B$6:$B$40,0)),"※없는 과목"))</f>
        <v/>
      </c>
      <c r="F1668" s="36" t="str">
        <f aca="false">IF($D1668="","",IFERROR(INDEX('통합 ④ 설정'!$C$6:$C$40,MATCH($D1668,'통합 ④ 설정'!$B$6:$B$40,0)),""))</f>
        <v/>
      </c>
      <c r="G1668" s="39"/>
      <c r="H1668" s="39"/>
      <c r="I1668" s="40"/>
      <c r="J1668" s="41"/>
      <c r="K1668" s="38"/>
      <c r="L1668" s="42" t="str">
        <f aca="false">IF($B1668="","",IF(AND(N($I1668)=0,N($J1668)=0),"금액이 없습니다",IF(AND($I1668&gt;0,$J1668&gt;0),"수입·지출 둘 다 적혔습니다",IF($C1668="","결제수단을 고르십시오",IF(ISNA(MATCH($C1668,'통합 ③ 통장·카드'!$A$5:$A$11,0)),"③ 통장·카드에 없는 결제수단입니다",IF($D1668="","계정과목을 고르십시오",IF($E1668="※없는 과목","④ 설정에 없는 과목입니다",IF(AND($E1668="수입",$J1668&gt;0),"수입 과목인데 지출에 적혔습니다",IF(AND(LEFT($E1668,2)&lt;&gt;"수입",$E1668&lt;&gt;"대체",$I1668&gt;0),"지출 과목인데 수입에 적혔습니다",IF($K1668="","증빙을 고르십시오",IF(AND($C1668="바우처통장",$J1668&gt;0,IFERROR(INDEX('통합 ④ 설정'!$E$6:$E$40,MATCH($D1668,'통합 ④ 설정'!$B$6:$B$40,0)),"")&lt;&gt;"○"),"바우처통장 지출 — 목적 확인",IF($H1668="","적요를 적으십시오",""))))))))))))</f>
        <v/>
      </c>
      <c r="M1668" s="39"/>
      <c r="O1668" s="11" t="str">
        <f aca="false">IF($B1668="","",YEAR($B1668)*100+MONTH($B1668))</f>
        <v/>
      </c>
      <c r="P1668" s="11" t="str">
        <f aca="false">IF($B1668="","",IF($E1668="대체",0,1))</f>
        <v/>
      </c>
    </row>
    <row r="1669" customFormat="false" ht="15" hidden="false" customHeight="false" outlineLevel="0" collapsed="false">
      <c r="A1669" s="36" t="str">
        <f aca="false">IF($B1669="","",COUNT($B$15:$B1669))</f>
        <v/>
      </c>
      <c r="B1669" s="37"/>
      <c r="C1669" s="38"/>
      <c r="D1669" s="39"/>
      <c r="E1669" s="36" t="str">
        <f aca="false">IF($D1669="","",IFERROR(INDEX('통합 ④ 설정'!$A$6:$A$40,MATCH($D1669,'통합 ④ 설정'!$B$6:$B$40,0)),"※없는 과목"))</f>
        <v/>
      </c>
      <c r="F1669" s="36" t="str">
        <f aca="false">IF($D1669="","",IFERROR(INDEX('통합 ④ 설정'!$C$6:$C$40,MATCH($D1669,'통합 ④ 설정'!$B$6:$B$40,0)),""))</f>
        <v/>
      </c>
      <c r="G1669" s="39"/>
      <c r="H1669" s="39"/>
      <c r="I1669" s="40"/>
      <c r="J1669" s="41"/>
      <c r="K1669" s="38"/>
      <c r="L1669" s="42" t="str">
        <f aca="false">IF($B1669="","",IF(AND(N($I1669)=0,N($J1669)=0),"금액이 없습니다",IF(AND($I1669&gt;0,$J1669&gt;0),"수입·지출 둘 다 적혔습니다",IF($C1669="","결제수단을 고르십시오",IF(ISNA(MATCH($C1669,'통합 ③ 통장·카드'!$A$5:$A$11,0)),"③ 통장·카드에 없는 결제수단입니다",IF($D1669="","계정과목을 고르십시오",IF($E1669="※없는 과목","④ 설정에 없는 과목입니다",IF(AND($E1669="수입",$J1669&gt;0),"수입 과목인데 지출에 적혔습니다",IF(AND(LEFT($E1669,2)&lt;&gt;"수입",$E1669&lt;&gt;"대체",$I1669&gt;0),"지출 과목인데 수입에 적혔습니다",IF($K1669="","증빙을 고르십시오",IF(AND($C1669="바우처통장",$J1669&gt;0,IFERROR(INDEX('통합 ④ 설정'!$E$6:$E$40,MATCH($D1669,'통합 ④ 설정'!$B$6:$B$40,0)),"")&lt;&gt;"○"),"바우처통장 지출 — 목적 확인",IF($H1669="","적요를 적으십시오",""))))))))))))</f>
        <v/>
      </c>
      <c r="M1669" s="39"/>
      <c r="O1669" s="11" t="str">
        <f aca="false">IF($B1669="","",YEAR($B1669)*100+MONTH($B1669))</f>
        <v/>
      </c>
      <c r="P1669" s="11" t="str">
        <f aca="false">IF($B1669="","",IF($E1669="대체",0,1))</f>
        <v/>
      </c>
    </row>
    <row r="1670" customFormat="false" ht="15" hidden="false" customHeight="false" outlineLevel="0" collapsed="false">
      <c r="A1670" s="36" t="str">
        <f aca="false">IF($B1670="","",COUNT($B$15:$B1670))</f>
        <v/>
      </c>
      <c r="B1670" s="37"/>
      <c r="C1670" s="38"/>
      <c r="D1670" s="39"/>
      <c r="E1670" s="36" t="str">
        <f aca="false">IF($D1670="","",IFERROR(INDEX('통합 ④ 설정'!$A$6:$A$40,MATCH($D1670,'통합 ④ 설정'!$B$6:$B$40,0)),"※없는 과목"))</f>
        <v/>
      </c>
      <c r="F1670" s="36" t="str">
        <f aca="false">IF($D1670="","",IFERROR(INDEX('통합 ④ 설정'!$C$6:$C$40,MATCH($D1670,'통합 ④ 설정'!$B$6:$B$40,0)),""))</f>
        <v/>
      </c>
      <c r="G1670" s="39"/>
      <c r="H1670" s="39"/>
      <c r="I1670" s="40"/>
      <c r="J1670" s="41"/>
      <c r="K1670" s="38"/>
      <c r="L1670" s="42" t="str">
        <f aca="false">IF($B1670="","",IF(AND(N($I1670)=0,N($J1670)=0),"금액이 없습니다",IF(AND($I1670&gt;0,$J1670&gt;0),"수입·지출 둘 다 적혔습니다",IF($C1670="","결제수단을 고르십시오",IF(ISNA(MATCH($C1670,'통합 ③ 통장·카드'!$A$5:$A$11,0)),"③ 통장·카드에 없는 결제수단입니다",IF($D1670="","계정과목을 고르십시오",IF($E1670="※없는 과목","④ 설정에 없는 과목입니다",IF(AND($E1670="수입",$J1670&gt;0),"수입 과목인데 지출에 적혔습니다",IF(AND(LEFT($E1670,2)&lt;&gt;"수입",$E1670&lt;&gt;"대체",$I1670&gt;0),"지출 과목인데 수입에 적혔습니다",IF($K1670="","증빙을 고르십시오",IF(AND($C1670="바우처통장",$J1670&gt;0,IFERROR(INDEX('통합 ④ 설정'!$E$6:$E$40,MATCH($D1670,'통합 ④ 설정'!$B$6:$B$40,0)),"")&lt;&gt;"○"),"바우처통장 지출 — 목적 확인",IF($H1670="","적요를 적으십시오",""))))))))))))</f>
        <v/>
      </c>
      <c r="M1670" s="39"/>
      <c r="O1670" s="11" t="str">
        <f aca="false">IF($B1670="","",YEAR($B1670)*100+MONTH($B1670))</f>
        <v/>
      </c>
      <c r="P1670" s="11" t="str">
        <f aca="false">IF($B1670="","",IF($E1670="대체",0,1))</f>
        <v/>
      </c>
    </row>
    <row r="1671" customFormat="false" ht="15" hidden="false" customHeight="false" outlineLevel="0" collapsed="false">
      <c r="A1671" s="36" t="str">
        <f aca="false">IF($B1671="","",COUNT($B$15:$B1671))</f>
        <v/>
      </c>
      <c r="B1671" s="37"/>
      <c r="C1671" s="38"/>
      <c r="D1671" s="39"/>
      <c r="E1671" s="36" t="str">
        <f aca="false">IF($D1671="","",IFERROR(INDEX('통합 ④ 설정'!$A$6:$A$40,MATCH($D1671,'통합 ④ 설정'!$B$6:$B$40,0)),"※없는 과목"))</f>
        <v/>
      </c>
      <c r="F1671" s="36" t="str">
        <f aca="false">IF($D1671="","",IFERROR(INDEX('통합 ④ 설정'!$C$6:$C$40,MATCH($D1671,'통합 ④ 설정'!$B$6:$B$40,0)),""))</f>
        <v/>
      </c>
      <c r="G1671" s="39"/>
      <c r="H1671" s="39"/>
      <c r="I1671" s="40"/>
      <c r="J1671" s="41"/>
      <c r="K1671" s="38"/>
      <c r="L1671" s="42" t="str">
        <f aca="false">IF($B1671="","",IF(AND(N($I1671)=0,N($J1671)=0),"금액이 없습니다",IF(AND($I1671&gt;0,$J1671&gt;0),"수입·지출 둘 다 적혔습니다",IF($C1671="","결제수단을 고르십시오",IF(ISNA(MATCH($C1671,'통합 ③ 통장·카드'!$A$5:$A$11,0)),"③ 통장·카드에 없는 결제수단입니다",IF($D1671="","계정과목을 고르십시오",IF($E1671="※없는 과목","④ 설정에 없는 과목입니다",IF(AND($E1671="수입",$J1671&gt;0),"수입 과목인데 지출에 적혔습니다",IF(AND(LEFT($E1671,2)&lt;&gt;"수입",$E1671&lt;&gt;"대체",$I1671&gt;0),"지출 과목인데 수입에 적혔습니다",IF($K1671="","증빙을 고르십시오",IF(AND($C1671="바우처통장",$J1671&gt;0,IFERROR(INDEX('통합 ④ 설정'!$E$6:$E$40,MATCH($D1671,'통합 ④ 설정'!$B$6:$B$40,0)),"")&lt;&gt;"○"),"바우처통장 지출 — 목적 확인",IF($H1671="","적요를 적으십시오",""))))))))))))</f>
        <v/>
      </c>
      <c r="M1671" s="39"/>
      <c r="O1671" s="11" t="str">
        <f aca="false">IF($B1671="","",YEAR($B1671)*100+MONTH($B1671))</f>
        <v/>
      </c>
      <c r="P1671" s="11" t="str">
        <f aca="false">IF($B1671="","",IF($E1671="대체",0,1))</f>
        <v/>
      </c>
    </row>
    <row r="1672" customFormat="false" ht="15" hidden="false" customHeight="false" outlineLevel="0" collapsed="false">
      <c r="A1672" s="36" t="str">
        <f aca="false">IF($B1672="","",COUNT($B$15:$B1672))</f>
        <v/>
      </c>
      <c r="B1672" s="37"/>
      <c r="C1672" s="38"/>
      <c r="D1672" s="39"/>
      <c r="E1672" s="36" t="str">
        <f aca="false">IF($D1672="","",IFERROR(INDEX('통합 ④ 설정'!$A$6:$A$40,MATCH($D1672,'통합 ④ 설정'!$B$6:$B$40,0)),"※없는 과목"))</f>
        <v/>
      </c>
      <c r="F1672" s="36" t="str">
        <f aca="false">IF($D1672="","",IFERROR(INDEX('통합 ④ 설정'!$C$6:$C$40,MATCH($D1672,'통합 ④ 설정'!$B$6:$B$40,0)),""))</f>
        <v/>
      </c>
      <c r="G1672" s="39"/>
      <c r="H1672" s="39"/>
      <c r="I1672" s="40"/>
      <c r="J1672" s="41"/>
      <c r="K1672" s="38"/>
      <c r="L1672" s="42" t="str">
        <f aca="false">IF($B1672="","",IF(AND(N($I1672)=0,N($J1672)=0),"금액이 없습니다",IF(AND($I1672&gt;0,$J1672&gt;0),"수입·지출 둘 다 적혔습니다",IF($C1672="","결제수단을 고르십시오",IF(ISNA(MATCH($C1672,'통합 ③ 통장·카드'!$A$5:$A$11,0)),"③ 통장·카드에 없는 결제수단입니다",IF($D1672="","계정과목을 고르십시오",IF($E1672="※없는 과목","④ 설정에 없는 과목입니다",IF(AND($E1672="수입",$J1672&gt;0),"수입 과목인데 지출에 적혔습니다",IF(AND(LEFT($E1672,2)&lt;&gt;"수입",$E1672&lt;&gt;"대체",$I1672&gt;0),"지출 과목인데 수입에 적혔습니다",IF($K1672="","증빙을 고르십시오",IF(AND($C1672="바우처통장",$J1672&gt;0,IFERROR(INDEX('통합 ④ 설정'!$E$6:$E$40,MATCH($D1672,'통합 ④ 설정'!$B$6:$B$40,0)),"")&lt;&gt;"○"),"바우처통장 지출 — 목적 확인",IF($H1672="","적요를 적으십시오",""))))))))))))</f>
        <v/>
      </c>
      <c r="M1672" s="39"/>
      <c r="O1672" s="11" t="str">
        <f aca="false">IF($B1672="","",YEAR($B1672)*100+MONTH($B1672))</f>
        <v/>
      </c>
      <c r="P1672" s="11" t="str">
        <f aca="false">IF($B1672="","",IF($E1672="대체",0,1))</f>
        <v/>
      </c>
    </row>
    <row r="1673" customFormat="false" ht="15" hidden="false" customHeight="false" outlineLevel="0" collapsed="false">
      <c r="A1673" s="36" t="str">
        <f aca="false">IF($B1673="","",COUNT($B$15:$B1673))</f>
        <v/>
      </c>
      <c r="B1673" s="37"/>
      <c r="C1673" s="38"/>
      <c r="D1673" s="39"/>
      <c r="E1673" s="36" t="str">
        <f aca="false">IF($D1673="","",IFERROR(INDEX('통합 ④ 설정'!$A$6:$A$40,MATCH($D1673,'통합 ④ 설정'!$B$6:$B$40,0)),"※없는 과목"))</f>
        <v/>
      </c>
      <c r="F1673" s="36" t="str">
        <f aca="false">IF($D1673="","",IFERROR(INDEX('통합 ④ 설정'!$C$6:$C$40,MATCH($D1673,'통합 ④ 설정'!$B$6:$B$40,0)),""))</f>
        <v/>
      </c>
      <c r="G1673" s="39"/>
      <c r="H1673" s="39"/>
      <c r="I1673" s="40"/>
      <c r="J1673" s="41"/>
      <c r="K1673" s="38"/>
      <c r="L1673" s="42" t="str">
        <f aca="false">IF($B1673="","",IF(AND(N($I1673)=0,N($J1673)=0),"금액이 없습니다",IF(AND($I1673&gt;0,$J1673&gt;0),"수입·지출 둘 다 적혔습니다",IF($C1673="","결제수단을 고르십시오",IF(ISNA(MATCH($C1673,'통합 ③ 통장·카드'!$A$5:$A$11,0)),"③ 통장·카드에 없는 결제수단입니다",IF($D1673="","계정과목을 고르십시오",IF($E1673="※없는 과목","④ 설정에 없는 과목입니다",IF(AND($E1673="수입",$J1673&gt;0),"수입 과목인데 지출에 적혔습니다",IF(AND(LEFT($E1673,2)&lt;&gt;"수입",$E1673&lt;&gt;"대체",$I1673&gt;0),"지출 과목인데 수입에 적혔습니다",IF($K1673="","증빙을 고르십시오",IF(AND($C1673="바우처통장",$J1673&gt;0,IFERROR(INDEX('통합 ④ 설정'!$E$6:$E$40,MATCH($D1673,'통합 ④ 설정'!$B$6:$B$40,0)),"")&lt;&gt;"○"),"바우처통장 지출 — 목적 확인",IF($H1673="","적요를 적으십시오",""))))))))))))</f>
        <v/>
      </c>
      <c r="M1673" s="39"/>
      <c r="O1673" s="11" t="str">
        <f aca="false">IF($B1673="","",YEAR($B1673)*100+MONTH($B1673))</f>
        <v/>
      </c>
      <c r="P1673" s="11" t="str">
        <f aca="false">IF($B1673="","",IF($E1673="대체",0,1))</f>
        <v/>
      </c>
    </row>
    <row r="1674" customFormat="false" ht="15" hidden="false" customHeight="false" outlineLevel="0" collapsed="false">
      <c r="A1674" s="36" t="str">
        <f aca="false">IF($B1674="","",COUNT($B$15:$B1674))</f>
        <v/>
      </c>
      <c r="B1674" s="37"/>
      <c r="C1674" s="38"/>
      <c r="D1674" s="39"/>
      <c r="E1674" s="36" t="str">
        <f aca="false">IF($D1674="","",IFERROR(INDEX('통합 ④ 설정'!$A$6:$A$40,MATCH($D1674,'통합 ④ 설정'!$B$6:$B$40,0)),"※없는 과목"))</f>
        <v/>
      </c>
      <c r="F1674" s="36" t="str">
        <f aca="false">IF($D1674="","",IFERROR(INDEX('통합 ④ 설정'!$C$6:$C$40,MATCH($D1674,'통합 ④ 설정'!$B$6:$B$40,0)),""))</f>
        <v/>
      </c>
      <c r="G1674" s="39"/>
      <c r="H1674" s="39"/>
      <c r="I1674" s="40"/>
      <c r="J1674" s="41"/>
      <c r="K1674" s="38"/>
      <c r="L1674" s="42" t="str">
        <f aca="false">IF($B1674="","",IF(AND(N($I1674)=0,N($J1674)=0),"금액이 없습니다",IF(AND($I1674&gt;0,$J1674&gt;0),"수입·지출 둘 다 적혔습니다",IF($C1674="","결제수단을 고르십시오",IF(ISNA(MATCH($C1674,'통합 ③ 통장·카드'!$A$5:$A$11,0)),"③ 통장·카드에 없는 결제수단입니다",IF($D1674="","계정과목을 고르십시오",IF($E1674="※없는 과목","④ 설정에 없는 과목입니다",IF(AND($E1674="수입",$J1674&gt;0),"수입 과목인데 지출에 적혔습니다",IF(AND(LEFT($E1674,2)&lt;&gt;"수입",$E1674&lt;&gt;"대체",$I1674&gt;0),"지출 과목인데 수입에 적혔습니다",IF($K1674="","증빙을 고르십시오",IF(AND($C1674="바우처통장",$J1674&gt;0,IFERROR(INDEX('통합 ④ 설정'!$E$6:$E$40,MATCH($D1674,'통합 ④ 설정'!$B$6:$B$40,0)),"")&lt;&gt;"○"),"바우처통장 지출 — 목적 확인",IF($H1674="","적요를 적으십시오",""))))))))))))</f>
        <v/>
      </c>
      <c r="M1674" s="39"/>
      <c r="O1674" s="11" t="str">
        <f aca="false">IF($B1674="","",YEAR($B1674)*100+MONTH($B1674))</f>
        <v/>
      </c>
      <c r="P1674" s="11" t="str">
        <f aca="false">IF($B1674="","",IF($E1674="대체",0,1))</f>
        <v/>
      </c>
    </row>
    <row r="1675" customFormat="false" ht="15" hidden="false" customHeight="false" outlineLevel="0" collapsed="false">
      <c r="A1675" s="36" t="str">
        <f aca="false">IF($B1675="","",COUNT($B$15:$B1675))</f>
        <v/>
      </c>
      <c r="B1675" s="37"/>
      <c r="C1675" s="38"/>
      <c r="D1675" s="39"/>
      <c r="E1675" s="36" t="str">
        <f aca="false">IF($D1675="","",IFERROR(INDEX('통합 ④ 설정'!$A$6:$A$40,MATCH($D1675,'통합 ④ 설정'!$B$6:$B$40,0)),"※없는 과목"))</f>
        <v/>
      </c>
      <c r="F1675" s="36" t="str">
        <f aca="false">IF($D1675="","",IFERROR(INDEX('통합 ④ 설정'!$C$6:$C$40,MATCH($D1675,'통합 ④ 설정'!$B$6:$B$40,0)),""))</f>
        <v/>
      </c>
      <c r="G1675" s="39"/>
      <c r="H1675" s="39"/>
      <c r="I1675" s="40"/>
      <c r="J1675" s="41"/>
      <c r="K1675" s="38"/>
      <c r="L1675" s="42" t="str">
        <f aca="false">IF($B1675="","",IF(AND(N($I1675)=0,N($J1675)=0),"금액이 없습니다",IF(AND($I1675&gt;0,$J1675&gt;0),"수입·지출 둘 다 적혔습니다",IF($C1675="","결제수단을 고르십시오",IF(ISNA(MATCH($C1675,'통합 ③ 통장·카드'!$A$5:$A$11,0)),"③ 통장·카드에 없는 결제수단입니다",IF($D1675="","계정과목을 고르십시오",IF($E1675="※없는 과목","④ 설정에 없는 과목입니다",IF(AND($E1675="수입",$J1675&gt;0),"수입 과목인데 지출에 적혔습니다",IF(AND(LEFT($E1675,2)&lt;&gt;"수입",$E1675&lt;&gt;"대체",$I1675&gt;0),"지출 과목인데 수입에 적혔습니다",IF($K1675="","증빙을 고르십시오",IF(AND($C1675="바우처통장",$J1675&gt;0,IFERROR(INDEX('통합 ④ 설정'!$E$6:$E$40,MATCH($D1675,'통합 ④ 설정'!$B$6:$B$40,0)),"")&lt;&gt;"○"),"바우처통장 지출 — 목적 확인",IF($H1675="","적요를 적으십시오",""))))))))))))</f>
        <v/>
      </c>
      <c r="M1675" s="39"/>
      <c r="O1675" s="11" t="str">
        <f aca="false">IF($B1675="","",YEAR($B1675)*100+MONTH($B1675))</f>
        <v/>
      </c>
      <c r="P1675" s="11" t="str">
        <f aca="false">IF($B1675="","",IF($E1675="대체",0,1))</f>
        <v/>
      </c>
    </row>
    <row r="1676" customFormat="false" ht="15" hidden="false" customHeight="false" outlineLevel="0" collapsed="false">
      <c r="A1676" s="36" t="str">
        <f aca="false">IF($B1676="","",COUNT($B$15:$B1676))</f>
        <v/>
      </c>
      <c r="B1676" s="37"/>
      <c r="C1676" s="38"/>
      <c r="D1676" s="39"/>
      <c r="E1676" s="36" t="str">
        <f aca="false">IF($D1676="","",IFERROR(INDEX('통합 ④ 설정'!$A$6:$A$40,MATCH($D1676,'통합 ④ 설정'!$B$6:$B$40,0)),"※없는 과목"))</f>
        <v/>
      </c>
      <c r="F1676" s="36" t="str">
        <f aca="false">IF($D1676="","",IFERROR(INDEX('통합 ④ 설정'!$C$6:$C$40,MATCH($D1676,'통합 ④ 설정'!$B$6:$B$40,0)),""))</f>
        <v/>
      </c>
      <c r="G1676" s="39"/>
      <c r="H1676" s="39"/>
      <c r="I1676" s="40"/>
      <c r="J1676" s="41"/>
      <c r="K1676" s="38"/>
      <c r="L1676" s="42" t="str">
        <f aca="false">IF($B1676="","",IF(AND(N($I1676)=0,N($J1676)=0),"금액이 없습니다",IF(AND($I1676&gt;0,$J1676&gt;0),"수입·지출 둘 다 적혔습니다",IF($C1676="","결제수단을 고르십시오",IF(ISNA(MATCH($C1676,'통합 ③ 통장·카드'!$A$5:$A$11,0)),"③ 통장·카드에 없는 결제수단입니다",IF($D1676="","계정과목을 고르십시오",IF($E1676="※없는 과목","④ 설정에 없는 과목입니다",IF(AND($E1676="수입",$J1676&gt;0),"수입 과목인데 지출에 적혔습니다",IF(AND(LEFT($E1676,2)&lt;&gt;"수입",$E1676&lt;&gt;"대체",$I1676&gt;0),"지출 과목인데 수입에 적혔습니다",IF($K1676="","증빙을 고르십시오",IF(AND($C1676="바우처통장",$J1676&gt;0,IFERROR(INDEX('통합 ④ 설정'!$E$6:$E$40,MATCH($D1676,'통합 ④ 설정'!$B$6:$B$40,0)),"")&lt;&gt;"○"),"바우처통장 지출 — 목적 확인",IF($H1676="","적요를 적으십시오",""))))))))))))</f>
        <v/>
      </c>
      <c r="M1676" s="39"/>
      <c r="O1676" s="11" t="str">
        <f aca="false">IF($B1676="","",YEAR($B1676)*100+MONTH($B1676))</f>
        <v/>
      </c>
      <c r="P1676" s="11" t="str">
        <f aca="false">IF($B1676="","",IF($E1676="대체",0,1))</f>
        <v/>
      </c>
    </row>
    <row r="1677" customFormat="false" ht="15" hidden="false" customHeight="false" outlineLevel="0" collapsed="false">
      <c r="A1677" s="36" t="str">
        <f aca="false">IF($B1677="","",COUNT($B$15:$B1677))</f>
        <v/>
      </c>
      <c r="B1677" s="37"/>
      <c r="C1677" s="38"/>
      <c r="D1677" s="39"/>
      <c r="E1677" s="36" t="str">
        <f aca="false">IF($D1677="","",IFERROR(INDEX('통합 ④ 설정'!$A$6:$A$40,MATCH($D1677,'통합 ④ 설정'!$B$6:$B$40,0)),"※없는 과목"))</f>
        <v/>
      </c>
      <c r="F1677" s="36" t="str">
        <f aca="false">IF($D1677="","",IFERROR(INDEX('통합 ④ 설정'!$C$6:$C$40,MATCH($D1677,'통합 ④ 설정'!$B$6:$B$40,0)),""))</f>
        <v/>
      </c>
      <c r="G1677" s="39"/>
      <c r="H1677" s="39"/>
      <c r="I1677" s="40"/>
      <c r="J1677" s="41"/>
      <c r="K1677" s="38"/>
      <c r="L1677" s="42" t="str">
        <f aca="false">IF($B1677="","",IF(AND(N($I1677)=0,N($J1677)=0),"금액이 없습니다",IF(AND($I1677&gt;0,$J1677&gt;0),"수입·지출 둘 다 적혔습니다",IF($C1677="","결제수단을 고르십시오",IF(ISNA(MATCH($C1677,'통합 ③ 통장·카드'!$A$5:$A$11,0)),"③ 통장·카드에 없는 결제수단입니다",IF($D1677="","계정과목을 고르십시오",IF($E1677="※없는 과목","④ 설정에 없는 과목입니다",IF(AND($E1677="수입",$J1677&gt;0),"수입 과목인데 지출에 적혔습니다",IF(AND(LEFT($E1677,2)&lt;&gt;"수입",$E1677&lt;&gt;"대체",$I1677&gt;0),"지출 과목인데 수입에 적혔습니다",IF($K1677="","증빙을 고르십시오",IF(AND($C1677="바우처통장",$J1677&gt;0,IFERROR(INDEX('통합 ④ 설정'!$E$6:$E$40,MATCH($D1677,'통합 ④ 설정'!$B$6:$B$40,0)),"")&lt;&gt;"○"),"바우처통장 지출 — 목적 확인",IF($H1677="","적요를 적으십시오",""))))))))))))</f>
        <v/>
      </c>
      <c r="M1677" s="39"/>
      <c r="O1677" s="11" t="str">
        <f aca="false">IF($B1677="","",YEAR($B1677)*100+MONTH($B1677))</f>
        <v/>
      </c>
      <c r="P1677" s="11" t="str">
        <f aca="false">IF($B1677="","",IF($E1677="대체",0,1))</f>
        <v/>
      </c>
    </row>
    <row r="1678" customFormat="false" ht="15" hidden="false" customHeight="false" outlineLevel="0" collapsed="false">
      <c r="A1678" s="36" t="str">
        <f aca="false">IF($B1678="","",COUNT($B$15:$B1678))</f>
        <v/>
      </c>
      <c r="B1678" s="37"/>
      <c r="C1678" s="38"/>
      <c r="D1678" s="39"/>
      <c r="E1678" s="36" t="str">
        <f aca="false">IF($D1678="","",IFERROR(INDEX('통합 ④ 설정'!$A$6:$A$40,MATCH($D1678,'통합 ④ 설정'!$B$6:$B$40,0)),"※없는 과목"))</f>
        <v/>
      </c>
      <c r="F1678" s="36" t="str">
        <f aca="false">IF($D1678="","",IFERROR(INDEX('통합 ④ 설정'!$C$6:$C$40,MATCH($D1678,'통합 ④ 설정'!$B$6:$B$40,0)),""))</f>
        <v/>
      </c>
      <c r="G1678" s="39"/>
      <c r="H1678" s="39"/>
      <c r="I1678" s="40"/>
      <c r="J1678" s="41"/>
      <c r="K1678" s="38"/>
      <c r="L1678" s="42" t="str">
        <f aca="false">IF($B1678="","",IF(AND(N($I1678)=0,N($J1678)=0),"금액이 없습니다",IF(AND($I1678&gt;0,$J1678&gt;0),"수입·지출 둘 다 적혔습니다",IF($C1678="","결제수단을 고르십시오",IF(ISNA(MATCH($C1678,'통합 ③ 통장·카드'!$A$5:$A$11,0)),"③ 통장·카드에 없는 결제수단입니다",IF($D1678="","계정과목을 고르십시오",IF($E1678="※없는 과목","④ 설정에 없는 과목입니다",IF(AND($E1678="수입",$J1678&gt;0),"수입 과목인데 지출에 적혔습니다",IF(AND(LEFT($E1678,2)&lt;&gt;"수입",$E1678&lt;&gt;"대체",$I1678&gt;0),"지출 과목인데 수입에 적혔습니다",IF($K1678="","증빙을 고르십시오",IF(AND($C1678="바우처통장",$J1678&gt;0,IFERROR(INDEX('통합 ④ 설정'!$E$6:$E$40,MATCH($D1678,'통합 ④ 설정'!$B$6:$B$40,0)),"")&lt;&gt;"○"),"바우처통장 지출 — 목적 확인",IF($H1678="","적요를 적으십시오",""))))))))))))</f>
        <v/>
      </c>
      <c r="M1678" s="39"/>
      <c r="O1678" s="11" t="str">
        <f aca="false">IF($B1678="","",YEAR($B1678)*100+MONTH($B1678))</f>
        <v/>
      </c>
      <c r="P1678" s="11" t="str">
        <f aca="false">IF($B1678="","",IF($E1678="대체",0,1))</f>
        <v/>
      </c>
    </row>
    <row r="1679" customFormat="false" ht="15" hidden="false" customHeight="false" outlineLevel="0" collapsed="false">
      <c r="A1679" s="36" t="str">
        <f aca="false">IF($B1679="","",COUNT($B$15:$B1679))</f>
        <v/>
      </c>
      <c r="B1679" s="37"/>
      <c r="C1679" s="38"/>
      <c r="D1679" s="39"/>
      <c r="E1679" s="36" t="str">
        <f aca="false">IF($D1679="","",IFERROR(INDEX('통합 ④ 설정'!$A$6:$A$40,MATCH($D1679,'통합 ④ 설정'!$B$6:$B$40,0)),"※없는 과목"))</f>
        <v/>
      </c>
      <c r="F1679" s="36" t="str">
        <f aca="false">IF($D1679="","",IFERROR(INDEX('통합 ④ 설정'!$C$6:$C$40,MATCH($D1679,'통합 ④ 설정'!$B$6:$B$40,0)),""))</f>
        <v/>
      </c>
      <c r="G1679" s="39"/>
      <c r="H1679" s="39"/>
      <c r="I1679" s="40"/>
      <c r="J1679" s="41"/>
      <c r="K1679" s="38"/>
      <c r="L1679" s="42" t="str">
        <f aca="false">IF($B1679="","",IF(AND(N($I1679)=0,N($J1679)=0),"금액이 없습니다",IF(AND($I1679&gt;0,$J1679&gt;0),"수입·지출 둘 다 적혔습니다",IF($C1679="","결제수단을 고르십시오",IF(ISNA(MATCH($C1679,'통합 ③ 통장·카드'!$A$5:$A$11,0)),"③ 통장·카드에 없는 결제수단입니다",IF($D1679="","계정과목을 고르십시오",IF($E1679="※없는 과목","④ 설정에 없는 과목입니다",IF(AND($E1679="수입",$J1679&gt;0),"수입 과목인데 지출에 적혔습니다",IF(AND(LEFT($E1679,2)&lt;&gt;"수입",$E1679&lt;&gt;"대체",$I1679&gt;0),"지출 과목인데 수입에 적혔습니다",IF($K1679="","증빙을 고르십시오",IF(AND($C1679="바우처통장",$J1679&gt;0,IFERROR(INDEX('통합 ④ 설정'!$E$6:$E$40,MATCH($D1679,'통합 ④ 설정'!$B$6:$B$40,0)),"")&lt;&gt;"○"),"바우처통장 지출 — 목적 확인",IF($H1679="","적요를 적으십시오",""))))))))))))</f>
        <v/>
      </c>
      <c r="M1679" s="39"/>
      <c r="O1679" s="11" t="str">
        <f aca="false">IF($B1679="","",YEAR($B1679)*100+MONTH($B1679))</f>
        <v/>
      </c>
      <c r="P1679" s="11" t="str">
        <f aca="false">IF($B1679="","",IF($E1679="대체",0,1))</f>
        <v/>
      </c>
    </row>
    <row r="1680" customFormat="false" ht="15" hidden="false" customHeight="false" outlineLevel="0" collapsed="false">
      <c r="A1680" s="36" t="str">
        <f aca="false">IF($B1680="","",COUNT($B$15:$B1680))</f>
        <v/>
      </c>
      <c r="B1680" s="37"/>
      <c r="C1680" s="38"/>
      <c r="D1680" s="39"/>
      <c r="E1680" s="36" t="str">
        <f aca="false">IF($D1680="","",IFERROR(INDEX('통합 ④ 설정'!$A$6:$A$40,MATCH($D1680,'통합 ④ 설정'!$B$6:$B$40,0)),"※없는 과목"))</f>
        <v/>
      </c>
      <c r="F1680" s="36" t="str">
        <f aca="false">IF($D1680="","",IFERROR(INDEX('통합 ④ 설정'!$C$6:$C$40,MATCH($D1680,'통합 ④ 설정'!$B$6:$B$40,0)),""))</f>
        <v/>
      </c>
      <c r="G1680" s="39"/>
      <c r="H1680" s="39"/>
      <c r="I1680" s="40"/>
      <c r="J1680" s="41"/>
      <c r="K1680" s="38"/>
      <c r="L1680" s="42" t="str">
        <f aca="false">IF($B1680="","",IF(AND(N($I1680)=0,N($J1680)=0),"금액이 없습니다",IF(AND($I1680&gt;0,$J1680&gt;0),"수입·지출 둘 다 적혔습니다",IF($C1680="","결제수단을 고르십시오",IF(ISNA(MATCH($C1680,'통합 ③ 통장·카드'!$A$5:$A$11,0)),"③ 통장·카드에 없는 결제수단입니다",IF($D1680="","계정과목을 고르십시오",IF($E1680="※없는 과목","④ 설정에 없는 과목입니다",IF(AND($E1680="수입",$J1680&gt;0),"수입 과목인데 지출에 적혔습니다",IF(AND(LEFT($E1680,2)&lt;&gt;"수입",$E1680&lt;&gt;"대체",$I1680&gt;0),"지출 과목인데 수입에 적혔습니다",IF($K1680="","증빙을 고르십시오",IF(AND($C1680="바우처통장",$J1680&gt;0,IFERROR(INDEX('통합 ④ 설정'!$E$6:$E$40,MATCH($D1680,'통합 ④ 설정'!$B$6:$B$40,0)),"")&lt;&gt;"○"),"바우처통장 지출 — 목적 확인",IF($H1680="","적요를 적으십시오",""))))))))))))</f>
        <v/>
      </c>
      <c r="M1680" s="39"/>
      <c r="O1680" s="11" t="str">
        <f aca="false">IF($B1680="","",YEAR($B1680)*100+MONTH($B1680))</f>
        <v/>
      </c>
      <c r="P1680" s="11" t="str">
        <f aca="false">IF($B1680="","",IF($E1680="대체",0,1))</f>
        <v/>
      </c>
    </row>
    <row r="1681" customFormat="false" ht="15" hidden="false" customHeight="false" outlineLevel="0" collapsed="false">
      <c r="A1681" s="36" t="str">
        <f aca="false">IF($B1681="","",COUNT($B$15:$B1681))</f>
        <v/>
      </c>
      <c r="B1681" s="37"/>
      <c r="C1681" s="38"/>
      <c r="D1681" s="39"/>
      <c r="E1681" s="36" t="str">
        <f aca="false">IF($D1681="","",IFERROR(INDEX('통합 ④ 설정'!$A$6:$A$40,MATCH($D1681,'통합 ④ 설정'!$B$6:$B$40,0)),"※없는 과목"))</f>
        <v/>
      </c>
      <c r="F1681" s="36" t="str">
        <f aca="false">IF($D1681="","",IFERROR(INDEX('통합 ④ 설정'!$C$6:$C$40,MATCH($D1681,'통합 ④ 설정'!$B$6:$B$40,0)),""))</f>
        <v/>
      </c>
      <c r="G1681" s="39"/>
      <c r="H1681" s="39"/>
      <c r="I1681" s="40"/>
      <c r="J1681" s="41"/>
      <c r="K1681" s="38"/>
      <c r="L1681" s="42" t="str">
        <f aca="false">IF($B1681="","",IF(AND(N($I1681)=0,N($J1681)=0),"금액이 없습니다",IF(AND($I1681&gt;0,$J1681&gt;0),"수입·지출 둘 다 적혔습니다",IF($C1681="","결제수단을 고르십시오",IF(ISNA(MATCH($C1681,'통합 ③ 통장·카드'!$A$5:$A$11,0)),"③ 통장·카드에 없는 결제수단입니다",IF($D1681="","계정과목을 고르십시오",IF($E1681="※없는 과목","④ 설정에 없는 과목입니다",IF(AND($E1681="수입",$J1681&gt;0),"수입 과목인데 지출에 적혔습니다",IF(AND(LEFT($E1681,2)&lt;&gt;"수입",$E1681&lt;&gt;"대체",$I1681&gt;0),"지출 과목인데 수입에 적혔습니다",IF($K1681="","증빙을 고르십시오",IF(AND($C1681="바우처통장",$J1681&gt;0,IFERROR(INDEX('통합 ④ 설정'!$E$6:$E$40,MATCH($D1681,'통합 ④ 설정'!$B$6:$B$40,0)),"")&lt;&gt;"○"),"바우처통장 지출 — 목적 확인",IF($H1681="","적요를 적으십시오",""))))))))))))</f>
        <v/>
      </c>
      <c r="M1681" s="39"/>
      <c r="O1681" s="11" t="str">
        <f aca="false">IF($B1681="","",YEAR($B1681)*100+MONTH($B1681))</f>
        <v/>
      </c>
      <c r="P1681" s="11" t="str">
        <f aca="false">IF($B1681="","",IF($E1681="대체",0,1))</f>
        <v/>
      </c>
    </row>
    <row r="1682" customFormat="false" ht="15" hidden="false" customHeight="false" outlineLevel="0" collapsed="false">
      <c r="A1682" s="36" t="str">
        <f aca="false">IF($B1682="","",COUNT($B$15:$B1682))</f>
        <v/>
      </c>
      <c r="B1682" s="37"/>
      <c r="C1682" s="38"/>
      <c r="D1682" s="39"/>
      <c r="E1682" s="36" t="str">
        <f aca="false">IF($D1682="","",IFERROR(INDEX('통합 ④ 설정'!$A$6:$A$40,MATCH($D1682,'통합 ④ 설정'!$B$6:$B$40,0)),"※없는 과목"))</f>
        <v/>
      </c>
      <c r="F1682" s="36" t="str">
        <f aca="false">IF($D1682="","",IFERROR(INDEX('통합 ④ 설정'!$C$6:$C$40,MATCH($D1682,'통합 ④ 설정'!$B$6:$B$40,0)),""))</f>
        <v/>
      </c>
      <c r="G1682" s="39"/>
      <c r="H1682" s="39"/>
      <c r="I1682" s="40"/>
      <c r="J1682" s="41"/>
      <c r="K1682" s="38"/>
      <c r="L1682" s="42" t="str">
        <f aca="false">IF($B1682="","",IF(AND(N($I1682)=0,N($J1682)=0),"금액이 없습니다",IF(AND($I1682&gt;0,$J1682&gt;0),"수입·지출 둘 다 적혔습니다",IF($C1682="","결제수단을 고르십시오",IF(ISNA(MATCH($C1682,'통합 ③ 통장·카드'!$A$5:$A$11,0)),"③ 통장·카드에 없는 결제수단입니다",IF($D1682="","계정과목을 고르십시오",IF($E1682="※없는 과목","④ 설정에 없는 과목입니다",IF(AND($E1682="수입",$J1682&gt;0),"수입 과목인데 지출에 적혔습니다",IF(AND(LEFT($E1682,2)&lt;&gt;"수입",$E1682&lt;&gt;"대체",$I1682&gt;0),"지출 과목인데 수입에 적혔습니다",IF($K1682="","증빙을 고르십시오",IF(AND($C1682="바우처통장",$J1682&gt;0,IFERROR(INDEX('통합 ④ 설정'!$E$6:$E$40,MATCH($D1682,'통합 ④ 설정'!$B$6:$B$40,0)),"")&lt;&gt;"○"),"바우처통장 지출 — 목적 확인",IF($H1682="","적요를 적으십시오",""))))))))))))</f>
        <v/>
      </c>
      <c r="M1682" s="39"/>
      <c r="O1682" s="11" t="str">
        <f aca="false">IF($B1682="","",YEAR($B1682)*100+MONTH($B1682))</f>
        <v/>
      </c>
      <c r="P1682" s="11" t="str">
        <f aca="false">IF($B1682="","",IF($E1682="대체",0,1))</f>
        <v/>
      </c>
    </row>
    <row r="1683" customFormat="false" ht="15" hidden="false" customHeight="false" outlineLevel="0" collapsed="false">
      <c r="A1683" s="36" t="str">
        <f aca="false">IF($B1683="","",COUNT($B$15:$B1683))</f>
        <v/>
      </c>
      <c r="B1683" s="37"/>
      <c r="C1683" s="38"/>
      <c r="D1683" s="39"/>
      <c r="E1683" s="36" t="str">
        <f aca="false">IF($D1683="","",IFERROR(INDEX('통합 ④ 설정'!$A$6:$A$40,MATCH($D1683,'통합 ④ 설정'!$B$6:$B$40,0)),"※없는 과목"))</f>
        <v/>
      </c>
      <c r="F1683" s="36" t="str">
        <f aca="false">IF($D1683="","",IFERROR(INDEX('통합 ④ 설정'!$C$6:$C$40,MATCH($D1683,'통합 ④ 설정'!$B$6:$B$40,0)),""))</f>
        <v/>
      </c>
      <c r="G1683" s="39"/>
      <c r="H1683" s="39"/>
      <c r="I1683" s="40"/>
      <c r="J1683" s="41"/>
      <c r="K1683" s="38"/>
      <c r="L1683" s="42" t="str">
        <f aca="false">IF($B1683="","",IF(AND(N($I1683)=0,N($J1683)=0),"금액이 없습니다",IF(AND($I1683&gt;0,$J1683&gt;0),"수입·지출 둘 다 적혔습니다",IF($C1683="","결제수단을 고르십시오",IF(ISNA(MATCH($C1683,'통합 ③ 통장·카드'!$A$5:$A$11,0)),"③ 통장·카드에 없는 결제수단입니다",IF($D1683="","계정과목을 고르십시오",IF($E1683="※없는 과목","④ 설정에 없는 과목입니다",IF(AND($E1683="수입",$J1683&gt;0),"수입 과목인데 지출에 적혔습니다",IF(AND(LEFT($E1683,2)&lt;&gt;"수입",$E1683&lt;&gt;"대체",$I1683&gt;0),"지출 과목인데 수입에 적혔습니다",IF($K1683="","증빙을 고르십시오",IF(AND($C1683="바우처통장",$J1683&gt;0,IFERROR(INDEX('통합 ④ 설정'!$E$6:$E$40,MATCH($D1683,'통합 ④ 설정'!$B$6:$B$40,0)),"")&lt;&gt;"○"),"바우처통장 지출 — 목적 확인",IF($H1683="","적요를 적으십시오",""))))))))))))</f>
        <v/>
      </c>
      <c r="M1683" s="39"/>
      <c r="O1683" s="11" t="str">
        <f aca="false">IF($B1683="","",YEAR($B1683)*100+MONTH($B1683))</f>
        <v/>
      </c>
      <c r="P1683" s="11" t="str">
        <f aca="false">IF($B1683="","",IF($E1683="대체",0,1))</f>
        <v/>
      </c>
    </row>
    <row r="1684" customFormat="false" ht="15" hidden="false" customHeight="false" outlineLevel="0" collapsed="false">
      <c r="A1684" s="36" t="str">
        <f aca="false">IF($B1684="","",COUNT($B$15:$B1684))</f>
        <v/>
      </c>
      <c r="B1684" s="37"/>
      <c r="C1684" s="38"/>
      <c r="D1684" s="39"/>
      <c r="E1684" s="36" t="str">
        <f aca="false">IF($D1684="","",IFERROR(INDEX('통합 ④ 설정'!$A$6:$A$40,MATCH($D1684,'통합 ④ 설정'!$B$6:$B$40,0)),"※없는 과목"))</f>
        <v/>
      </c>
      <c r="F1684" s="36" t="str">
        <f aca="false">IF($D1684="","",IFERROR(INDEX('통합 ④ 설정'!$C$6:$C$40,MATCH($D1684,'통합 ④ 설정'!$B$6:$B$40,0)),""))</f>
        <v/>
      </c>
      <c r="G1684" s="39"/>
      <c r="H1684" s="39"/>
      <c r="I1684" s="40"/>
      <c r="J1684" s="41"/>
      <c r="K1684" s="38"/>
      <c r="L1684" s="42" t="str">
        <f aca="false">IF($B1684="","",IF(AND(N($I1684)=0,N($J1684)=0),"금액이 없습니다",IF(AND($I1684&gt;0,$J1684&gt;0),"수입·지출 둘 다 적혔습니다",IF($C1684="","결제수단을 고르십시오",IF(ISNA(MATCH($C1684,'통합 ③ 통장·카드'!$A$5:$A$11,0)),"③ 통장·카드에 없는 결제수단입니다",IF($D1684="","계정과목을 고르십시오",IF($E1684="※없는 과목","④ 설정에 없는 과목입니다",IF(AND($E1684="수입",$J1684&gt;0),"수입 과목인데 지출에 적혔습니다",IF(AND(LEFT($E1684,2)&lt;&gt;"수입",$E1684&lt;&gt;"대체",$I1684&gt;0),"지출 과목인데 수입에 적혔습니다",IF($K1684="","증빙을 고르십시오",IF(AND($C1684="바우처통장",$J1684&gt;0,IFERROR(INDEX('통합 ④ 설정'!$E$6:$E$40,MATCH($D1684,'통합 ④ 설정'!$B$6:$B$40,0)),"")&lt;&gt;"○"),"바우처통장 지출 — 목적 확인",IF($H1684="","적요를 적으십시오",""))))))))))))</f>
        <v/>
      </c>
      <c r="M1684" s="39"/>
      <c r="O1684" s="11" t="str">
        <f aca="false">IF($B1684="","",YEAR($B1684)*100+MONTH($B1684))</f>
        <v/>
      </c>
      <c r="P1684" s="11" t="str">
        <f aca="false">IF($B1684="","",IF($E1684="대체",0,1))</f>
        <v/>
      </c>
    </row>
    <row r="1685" customFormat="false" ht="15" hidden="false" customHeight="false" outlineLevel="0" collapsed="false">
      <c r="A1685" s="36" t="str">
        <f aca="false">IF($B1685="","",COUNT($B$15:$B1685))</f>
        <v/>
      </c>
      <c r="B1685" s="37"/>
      <c r="C1685" s="38"/>
      <c r="D1685" s="39"/>
      <c r="E1685" s="36" t="str">
        <f aca="false">IF($D1685="","",IFERROR(INDEX('통합 ④ 설정'!$A$6:$A$40,MATCH($D1685,'통합 ④ 설정'!$B$6:$B$40,0)),"※없는 과목"))</f>
        <v/>
      </c>
      <c r="F1685" s="36" t="str">
        <f aca="false">IF($D1685="","",IFERROR(INDEX('통합 ④ 설정'!$C$6:$C$40,MATCH($D1685,'통합 ④ 설정'!$B$6:$B$40,0)),""))</f>
        <v/>
      </c>
      <c r="G1685" s="39"/>
      <c r="H1685" s="39"/>
      <c r="I1685" s="40"/>
      <c r="J1685" s="41"/>
      <c r="K1685" s="38"/>
      <c r="L1685" s="42" t="str">
        <f aca="false">IF($B1685="","",IF(AND(N($I1685)=0,N($J1685)=0),"금액이 없습니다",IF(AND($I1685&gt;0,$J1685&gt;0),"수입·지출 둘 다 적혔습니다",IF($C1685="","결제수단을 고르십시오",IF(ISNA(MATCH($C1685,'통합 ③ 통장·카드'!$A$5:$A$11,0)),"③ 통장·카드에 없는 결제수단입니다",IF($D1685="","계정과목을 고르십시오",IF($E1685="※없는 과목","④ 설정에 없는 과목입니다",IF(AND($E1685="수입",$J1685&gt;0),"수입 과목인데 지출에 적혔습니다",IF(AND(LEFT($E1685,2)&lt;&gt;"수입",$E1685&lt;&gt;"대체",$I1685&gt;0),"지출 과목인데 수입에 적혔습니다",IF($K1685="","증빙을 고르십시오",IF(AND($C1685="바우처통장",$J1685&gt;0,IFERROR(INDEX('통합 ④ 설정'!$E$6:$E$40,MATCH($D1685,'통합 ④ 설정'!$B$6:$B$40,0)),"")&lt;&gt;"○"),"바우처통장 지출 — 목적 확인",IF($H1685="","적요를 적으십시오",""))))))))))))</f>
        <v/>
      </c>
      <c r="M1685" s="39"/>
      <c r="O1685" s="11" t="str">
        <f aca="false">IF($B1685="","",YEAR($B1685)*100+MONTH($B1685))</f>
        <v/>
      </c>
      <c r="P1685" s="11" t="str">
        <f aca="false">IF($B1685="","",IF($E1685="대체",0,1))</f>
        <v/>
      </c>
    </row>
    <row r="1686" customFormat="false" ht="15" hidden="false" customHeight="false" outlineLevel="0" collapsed="false">
      <c r="A1686" s="36" t="str">
        <f aca="false">IF($B1686="","",COUNT($B$15:$B1686))</f>
        <v/>
      </c>
      <c r="B1686" s="37"/>
      <c r="C1686" s="38"/>
      <c r="D1686" s="39"/>
      <c r="E1686" s="36" t="str">
        <f aca="false">IF($D1686="","",IFERROR(INDEX('통합 ④ 설정'!$A$6:$A$40,MATCH($D1686,'통합 ④ 설정'!$B$6:$B$40,0)),"※없는 과목"))</f>
        <v/>
      </c>
      <c r="F1686" s="36" t="str">
        <f aca="false">IF($D1686="","",IFERROR(INDEX('통합 ④ 설정'!$C$6:$C$40,MATCH($D1686,'통합 ④ 설정'!$B$6:$B$40,0)),""))</f>
        <v/>
      </c>
      <c r="G1686" s="39"/>
      <c r="H1686" s="39"/>
      <c r="I1686" s="40"/>
      <c r="J1686" s="41"/>
      <c r="K1686" s="38"/>
      <c r="L1686" s="42" t="str">
        <f aca="false">IF($B1686="","",IF(AND(N($I1686)=0,N($J1686)=0),"금액이 없습니다",IF(AND($I1686&gt;0,$J1686&gt;0),"수입·지출 둘 다 적혔습니다",IF($C1686="","결제수단을 고르십시오",IF(ISNA(MATCH($C1686,'통합 ③ 통장·카드'!$A$5:$A$11,0)),"③ 통장·카드에 없는 결제수단입니다",IF($D1686="","계정과목을 고르십시오",IF($E1686="※없는 과목","④ 설정에 없는 과목입니다",IF(AND($E1686="수입",$J1686&gt;0),"수입 과목인데 지출에 적혔습니다",IF(AND(LEFT($E1686,2)&lt;&gt;"수입",$E1686&lt;&gt;"대체",$I1686&gt;0),"지출 과목인데 수입에 적혔습니다",IF($K1686="","증빙을 고르십시오",IF(AND($C1686="바우처통장",$J1686&gt;0,IFERROR(INDEX('통합 ④ 설정'!$E$6:$E$40,MATCH($D1686,'통합 ④ 설정'!$B$6:$B$40,0)),"")&lt;&gt;"○"),"바우처통장 지출 — 목적 확인",IF($H1686="","적요를 적으십시오",""))))))))))))</f>
        <v/>
      </c>
      <c r="M1686" s="39"/>
      <c r="O1686" s="11" t="str">
        <f aca="false">IF($B1686="","",YEAR($B1686)*100+MONTH($B1686))</f>
        <v/>
      </c>
      <c r="P1686" s="11" t="str">
        <f aca="false">IF($B1686="","",IF($E1686="대체",0,1))</f>
        <v/>
      </c>
    </row>
    <row r="1687" customFormat="false" ht="15" hidden="false" customHeight="false" outlineLevel="0" collapsed="false">
      <c r="A1687" s="36" t="str">
        <f aca="false">IF($B1687="","",COUNT($B$15:$B1687))</f>
        <v/>
      </c>
      <c r="B1687" s="37"/>
      <c r="C1687" s="38"/>
      <c r="D1687" s="39"/>
      <c r="E1687" s="36" t="str">
        <f aca="false">IF($D1687="","",IFERROR(INDEX('통합 ④ 설정'!$A$6:$A$40,MATCH($D1687,'통합 ④ 설정'!$B$6:$B$40,0)),"※없는 과목"))</f>
        <v/>
      </c>
      <c r="F1687" s="36" t="str">
        <f aca="false">IF($D1687="","",IFERROR(INDEX('통합 ④ 설정'!$C$6:$C$40,MATCH($D1687,'통합 ④ 설정'!$B$6:$B$40,0)),""))</f>
        <v/>
      </c>
      <c r="G1687" s="39"/>
      <c r="H1687" s="39"/>
      <c r="I1687" s="40"/>
      <c r="J1687" s="41"/>
      <c r="K1687" s="38"/>
      <c r="L1687" s="42" t="str">
        <f aca="false">IF($B1687="","",IF(AND(N($I1687)=0,N($J1687)=0),"금액이 없습니다",IF(AND($I1687&gt;0,$J1687&gt;0),"수입·지출 둘 다 적혔습니다",IF($C1687="","결제수단을 고르십시오",IF(ISNA(MATCH($C1687,'통합 ③ 통장·카드'!$A$5:$A$11,0)),"③ 통장·카드에 없는 결제수단입니다",IF($D1687="","계정과목을 고르십시오",IF($E1687="※없는 과목","④ 설정에 없는 과목입니다",IF(AND($E1687="수입",$J1687&gt;0),"수입 과목인데 지출에 적혔습니다",IF(AND(LEFT($E1687,2)&lt;&gt;"수입",$E1687&lt;&gt;"대체",$I1687&gt;0),"지출 과목인데 수입에 적혔습니다",IF($K1687="","증빙을 고르십시오",IF(AND($C1687="바우처통장",$J1687&gt;0,IFERROR(INDEX('통합 ④ 설정'!$E$6:$E$40,MATCH($D1687,'통합 ④ 설정'!$B$6:$B$40,0)),"")&lt;&gt;"○"),"바우처통장 지출 — 목적 확인",IF($H1687="","적요를 적으십시오",""))))))))))))</f>
        <v/>
      </c>
      <c r="M1687" s="39"/>
      <c r="O1687" s="11" t="str">
        <f aca="false">IF($B1687="","",YEAR($B1687)*100+MONTH($B1687))</f>
        <v/>
      </c>
      <c r="P1687" s="11" t="str">
        <f aca="false">IF($B1687="","",IF($E1687="대체",0,1))</f>
        <v/>
      </c>
    </row>
    <row r="1688" customFormat="false" ht="15" hidden="false" customHeight="false" outlineLevel="0" collapsed="false">
      <c r="A1688" s="36" t="str">
        <f aca="false">IF($B1688="","",COUNT($B$15:$B1688))</f>
        <v/>
      </c>
      <c r="B1688" s="37"/>
      <c r="C1688" s="38"/>
      <c r="D1688" s="39"/>
      <c r="E1688" s="36" t="str">
        <f aca="false">IF($D1688="","",IFERROR(INDEX('통합 ④ 설정'!$A$6:$A$40,MATCH($D1688,'통합 ④ 설정'!$B$6:$B$40,0)),"※없는 과목"))</f>
        <v/>
      </c>
      <c r="F1688" s="36" t="str">
        <f aca="false">IF($D1688="","",IFERROR(INDEX('통합 ④ 설정'!$C$6:$C$40,MATCH($D1688,'통합 ④ 설정'!$B$6:$B$40,0)),""))</f>
        <v/>
      </c>
      <c r="G1688" s="39"/>
      <c r="H1688" s="39"/>
      <c r="I1688" s="40"/>
      <c r="J1688" s="41"/>
      <c r="K1688" s="38"/>
      <c r="L1688" s="42" t="str">
        <f aca="false">IF($B1688="","",IF(AND(N($I1688)=0,N($J1688)=0),"금액이 없습니다",IF(AND($I1688&gt;0,$J1688&gt;0),"수입·지출 둘 다 적혔습니다",IF($C1688="","결제수단을 고르십시오",IF(ISNA(MATCH($C1688,'통합 ③ 통장·카드'!$A$5:$A$11,0)),"③ 통장·카드에 없는 결제수단입니다",IF($D1688="","계정과목을 고르십시오",IF($E1688="※없는 과목","④ 설정에 없는 과목입니다",IF(AND($E1688="수입",$J1688&gt;0),"수입 과목인데 지출에 적혔습니다",IF(AND(LEFT($E1688,2)&lt;&gt;"수입",$E1688&lt;&gt;"대체",$I1688&gt;0),"지출 과목인데 수입에 적혔습니다",IF($K1688="","증빙을 고르십시오",IF(AND($C1688="바우처통장",$J1688&gt;0,IFERROR(INDEX('통합 ④ 설정'!$E$6:$E$40,MATCH($D1688,'통합 ④ 설정'!$B$6:$B$40,0)),"")&lt;&gt;"○"),"바우처통장 지출 — 목적 확인",IF($H1688="","적요를 적으십시오",""))))))))))))</f>
        <v/>
      </c>
      <c r="M1688" s="39"/>
      <c r="O1688" s="11" t="str">
        <f aca="false">IF($B1688="","",YEAR($B1688)*100+MONTH($B1688))</f>
        <v/>
      </c>
      <c r="P1688" s="11" t="str">
        <f aca="false">IF($B1688="","",IF($E1688="대체",0,1))</f>
        <v/>
      </c>
    </row>
    <row r="1689" customFormat="false" ht="15" hidden="false" customHeight="false" outlineLevel="0" collapsed="false">
      <c r="A1689" s="36" t="str">
        <f aca="false">IF($B1689="","",COUNT($B$15:$B1689))</f>
        <v/>
      </c>
      <c r="B1689" s="37"/>
      <c r="C1689" s="38"/>
      <c r="D1689" s="39"/>
      <c r="E1689" s="36" t="str">
        <f aca="false">IF($D1689="","",IFERROR(INDEX('통합 ④ 설정'!$A$6:$A$40,MATCH($D1689,'통합 ④ 설정'!$B$6:$B$40,0)),"※없는 과목"))</f>
        <v/>
      </c>
      <c r="F1689" s="36" t="str">
        <f aca="false">IF($D1689="","",IFERROR(INDEX('통합 ④ 설정'!$C$6:$C$40,MATCH($D1689,'통합 ④ 설정'!$B$6:$B$40,0)),""))</f>
        <v/>
      </c>
      <c r="G1689" s="39"/>
      <c r="H1689" s="39"/>
      <c r="I1689" s="40"/>
      <c r="J1689" s="41"/>
      <c r="K1689" s="38"/>
      <c r="L1689" s="42" t="str">
        <f aca="false">IF($B1689="","",IF(AND(N($I1689)=0,N($J1689)=0),"금액이 없습니다",IF(AND($I1689&gt;0,$J1689&gt;0),"수입·지출 둘 다 적혔습니다",IF($C1689="","결제수단을 고르십시오",IF(ISNA(MATCH($C1689,'통합 ③ 통장·카드'!$A$5:$A$11,0)),"③ 통장·카드에 없는 결제수단입니다",IF($D1689="","계정과목을 고르십시오",IF($E1689="※없는 과목","④ 설정에 없는 과목입니다",IF(AND($E1689="수입",$J1689&gt;0),"수입 과목인데 지출에 적혔습니다",IF(AND(LEFT($E1689,2)&lt;&gt;"수입",$E1689&lt;&gt;"대체",$I1689&gt;0),"지출 과목인데 수입에 적혔습니다",IF($K1689="","증빙을 고르십시오",IF(AND($C1689="바우처통장",$J1689&gt;0,IFERROR(INDEX('통합 ④ 설정'!$E$6:$E$40,MATCH($D1689,'통합 ④ 설정'!$B$6:$B$40,0)),"")&lt;&gt;"○"),"바우처통장 지출 — 목적 확인",IF($H1689="","적요를 적으십시오",""))))))))))))</f>
        <v/>
      </c>
      <c r="M1689" s="39"/>
      <c r="O1689" s="11" t="str">
        <f aca="false">IF($B1689="","",YEAR($B1689)*100+MONTH($B1689))</f>
        <v/>
      </c>
      <c r="P1689" s="11" t="str">
        <f aca="false">IF($B1689="","",IF($E1689="대체",0,1))</f>
        <v/>
      </c>
    </row>
    <row r="1690" customFormat="false" ht="15" hidden="false" customHeight="false" outlineLevel="0" collapsed="false">
      <c r="A1690" s="36" t="str">
        <f aca="false">IF($B1690="","",COUNT($B$15:$B1690))</f>
        <v/>
      </c>
      <c r="B1690" s="37"/>
      <c r="C1690" s="38"/>
      <c r="D1690" s="39"/>
      <c r="E1690" s="36" t="str">
        <f aca="false">IF($D1690="","",IFERROR(INDEX('통합 ④ 설정'!$A$6:$A$40,MATCH($D1690,'통합 ④ 설정'!$B$6:$B$40,0)),"※없는 과목"))</f>
        <v/>
      </c>
      <c r="F1690" s="36" t="str">
        <f aca="false">IF($D1690="","",IFERROR(INDEX('통합 ④ 설정'!$C$6:$C$40,MATCH($D1690,'통합 ④ 설정'!$B$6:$B$40,0)),""))</f>
        <v/>
      </c>
      <c r="G1690" s="39"/>
      <c r="H1690" s="39"/>
      <c r="I1690" s="40"/>
      <c r="J1690" s="41"/>
      <c r="K1690" s="38"/>
      <c r="L1690" s="42" t="str">
        <f aca="false">IF($B1690="","",IF(AND(N($I1690)=0,N($J1690)=0),"금액이 없습니다",IF(AND($I1690&gt;0,$J1690&gt;0),"수입·지출 둘 다 적혔습니다",IF($C1690="","결제수단을 고르십시오",IF(ISNA(MATCH($C1690,'통합 ③ 통장·카드'!$A$5:$A$11,0)),"③ 통장·카드에 없는 결제수단입니다",IF($D1690="","계정과목을 고르십시오",IF($E1690="※없는 과목","④ 설정에 없는 과목입니다",IF(AND($E1690="수입",$J1690&gt;0),"수입 과목인데 지출에 적혔습니다",IF(AND(LEFT($E1690,2)&lt;&gt;"수입",$E1690&lt;&gt;"대체",$I1690&gt;0),"지출 과목인데 수입에 적혔습니다",IF($K1690="","증빙을 고르십시오",IF(AND($C1690="바우처통장",$J1690&gt;0,IFERROR(INDEX('통합 ④ 설정'!$E$6:$E$40,MATCH($D1690,'통합 ④ 설정'!$B$6:$B$40,0)),"")&lt;&gt;"○"),"바우처통장 지출 — 목적 확인",IF($H1690="","적요를 적으십시오",""))))))))))))</f>
        <v/>
      </c>
      <c r="M1690" s="39"/>
      <c r="O1690" s="11" t="str">
        <f aca="false">IF($B1690="","",YEAR($B1690)*100+MONTH($B1690))</f>
        <v/>
      </c>
      <c r="P1690" s="11" t="str">
        <f aca="false">IF($B1690="","",IF($E1690="대체",0,1))</f>
        <v/>
      </c>
    </row>
    <row r="1691" customFormat="false" ht="15" hidden="false" customHeight="false" outlineLevel="0" collapsed="false">
      <c r="A1691" s="36" t="str">
        <f aca="false">IF($B1691="","",COUNT($B$15:$B1691))</f>
        <v/>
      </c>
      <c r="B1691" s="37"/>
      <c r="C1691" s="38"/>
      <c r="D1691" s="39"/>
      <c r="E1691" s="36" t="str">
        <f aca="false">IF($D1691="","",IFERROR(INDEX('통합 ④ 설정'!$A$6:$A$40,MATCH($D1691,'통합 ④ 설정'!$B$6:$B$40,0)),"※없는 과목"))</f>
        <v/>
      </c>
      <c r="F1691" s="36" t="str">
        <f aca="false">IF($D1691="","",IFERROR(INDEX('통합 ④ 설정'!$C$6:$C$40,MATCH($D1691,'통합 ④ 설정'!$B$6:$B$40,0)),""))</f>
        <v/>
      </c>
      <c r="G1691" s="39"/>
      <c r="H1691" s="39"/>
      <c r="I1691" s="40"/>
      <c r="J1691" s="41"/>
      <c r="K1691" s="38"/>
      <c r="L1691" s="42" t="str">
        <f aca="false">IF($B1691="","",IF(AND(N($I1691)=0,N($J1691)=0),"금액이 없습니다",IF(AND($I1691&gt;0,$J1691&gt;0),"수입·지출 둘 다 적혔습니다",IF($C1691="","결제수단을 고르십시오",IF(ISNA(MATCH($C1691,'통합 ③ 통장·카드'!$A$5:$A$11,0)),"③ 통장·카드에 없는 결제수단입니다",IF($D1691="","계정과목을 고르십시오",IF($E1691="※없는 과목","④ 설정에 없는 과목입니다",IF(AND($E1691="수입",$J1691&gt;0),"수입 과목인데 지출에 적혔습니다",IF(AND(LEFT($E1691,2)&lt;&gt;"수입",$E1691&lt;&gt;"대체",$I1691&gt;0),"지출 과목인데 수입에 적혔습니다",IF($K1691="","증빙을 고르십시오",IF(AND($C1691="바우처통장",$J1691&gt;0,IFERROR(INDEX('통합 ④ 설정'!$E$6:$E$40,MATCH($D1691,'통합 ④ 설정'!$B$6:$B$40,0)),"")&lt;&gt;"○"),"바우처통장 지출 — 목적 확인",IF($H1691="","적요를 적으십시오",""))))))))))))</f>
        <v/>
      </c>
      <c r="M1691" s="39"/>
      <c r="O1691" s="11" t="str">
        <f aca="false">IF($B1691="","",YEAR($B1691)*100+MONTH($B1691))</f>
        <v/>
      </c>
      <c r="P1691" s="11" t="str">
        <f aca="false">IF($B1691="","",IF($E1691="대체",0,1))</f>
        <v/>
      </c>
    </row>
    <row r="1692" customFormat="false" ht="15" hidden="false" customHeight="false" outlineLevel="0" collapsed="false">
      <c r="A1692" s="36" t="str">
        <f aca="false">IF($B1692="","",COUNT($B$15:$B1692))</f>
        <v/>
      </c>
      <c r="B1692" s="37"/>
      <c r="C1692" s="38"/>
      <c r="D1692" s="39"/>
      <c r="E1692" s="36" t="str">
        <f aca="false">IF($D1692="","",IFERROR(INDEX('통합 ④ 설정'!$A$6:$A$40,MATCH($D1692,'통합 ④ 설정'!$B$6:$B$40,0)),"※없는 과목"))</f>
        <v/>
      </c>
      <c r="F1692" s="36" t="str">
        <f aca="false">IF($D1692="","",IFERROR(INDEX('통합 ④ 설정'!$C$6:$C$40,MATCH($D1692,'통합 ④ 설정'!$B$6:$B$40,0)),""))</f>
        <v/>
      </c>
      <c r="G1692" s="39"/>
      <c r="H1692" s="39"/>
      <c r="I1692" s="40"/>
      <c r="J1692" s="41"/>
      <c r="K1692" s="38"/>
      <c r="L1692" s="42" t="str">
        <f aca="false">IF($B1692="","",IF(AND(N($I1692)=0,N($J1692)=0),"금액이 없습니다",IF(AND($I1692&gt;0,$J1692&gt;0),"수입·지출 둘 다 적혔습니다",IF($C1692="","결제수단을 고르십시오",IF(ISNA(MATCH($C1692,'통합 ③ 통장·카드'!$A$5:$A$11,0)),"③ 통장·카드에 없는 결제수단입니다",IF($D1692="","계정과목을 고르십시오",IF($E1692="※없는 과목","④ 설정에 없는 과목입니다",IF(AND($E1692="수입",$J1692&gt;0),"수입 과목인데 지출에 적혔습니다",IF(AND(LEFT($E1692,2)&lt;&gt;"수입",$E1692&lt;&gt;"대체",$I1692&gt;0),"지출 과목인데 수입에 적혔습니다",IF($K1692="","증빙을 고르십시오",IF(AND($C1692="바우처통장",$J1692&gt;0,IFERROR(INDEX('통합 ④ 설정'!$E$6:$E$40,MATCH($D1692,'통합 ④ 설정'!$B$6:$B$40,0)),"")&lt;&gt;"○"),"바우처통장 지출 — 목적 확인",IF($H1692="","적요를 적으십시오",""))))))))))))</f>
        <v/>
      </c>
      <c r="M1692" s="39"/>
      <c r="O1692" s="11" t="str">
        <f aca="false">IF($B1692="","",YEAR($B1692)*100+MONTH($B1692))</f>
        <v/>
      </c>
      <c r="P1692" s="11" t="str">
        <f aca="false">IF($B1692="","",IF($E1692="대체",0,1))</f>
        <v/>
      </c>
    </row>
    <row r="1693" customFormat="false" ht="15" hidden="false" customHeight="false" outlineLevel="0" collapsed="false">
      <c r="A1693" s="36" t="str">
        <f aca="false">IF($B1693="","",COUNT($B$15:$B1693))</f>
        <v/>
      </c>
      <c r="B1693" s="37"/>
      <c r="C1693" s="38"/>
      <c r="D1693" s="39"/>
      <c r="E1693" s="36" t="str">
        <f aca="false">IF($D1693="","",IFERROR(INDEX('통합 ④ 설정'!$A$6:$A$40,MATCH($D1693,'통합 ④ 설정'!$B$6:$B$40,0)),"※없는 과목"))</f>
        <v/>
      </c>
      <c r="F1693" s="36" t="str">
        <f aca="false">IF($D1693="","",IFERROR(INDEX('통합 ④ 설정'!$C$6:$C$40,MATCH($D1693,'통합 ④ 설정'!$B$6:$B$40,0)),""))</f>
        <v/>
      </c>
      <c r="G1693" s="39"/>
      <c r="H1693" s="39"/>
      <c r="I1693" s="40"/>
      <c r="J1693" s="41"/>
      <c r="K1693" s="38"/>
      <c r="L1693" s="42" t="str">
        <f aca="false">IF($B1693="","",IF(AND(N($I1693)=0,N($J1693)=0),"금액이 없습니다",IF(AND($I1693&gt;0,$J1693&gt;0),"수입·지출 둘 다 적혔습니다",IF($C1693="","결제수단을 고르십시오",IF(ISNA(MATCH($C1693,'통합 ③ 통장·카드'!$A$5:$A$11,0)),"③ 통장·카드에 없는 결제수단입니다",IF($D1693="","계정과목을 고르십시오",IF($E1693="※없는 과목","④ 설정에 없는 과목입니다",IF(AND($E1693="수입",$J1693&gt;0),"수입 과목인데 지출에 적혔습니다",IF(AND(LEFT($E1693,2)&lt;&gt;"수입",$E1693&lt;&gt;"대체",$I1693&gt;0),"지출 과목인데 수입에 적혔습니다",IF($K1693="","증빙을 고르십시오",IF(AND($C1693="바우처통장",$J1693&gt;0,IFERROR(INDEX('통합 ④ 설정'!$E$6:$E$40,MATCH($D1693,'통합 ④ 설정'!$B$6:$B$40,0)),"")&lt;&gt;"○"),"바우처통장 지출 — 목적 확인",IF($H1693="","적요를 적으십시오",""))))))))))))</f>
        <v/>
      </c>
      <c r="M1693" s="39"/>
      <c r="O1693" s="11" t="str">
        <f aca="false">IF($B1693="","",YEAR($B1693)*100+MONTH($B1693))</f>
        <v/>
      </c>
      <c r="P1693" s="11" t="str">
        <f aca="false">IF($B1693="","",IF($E1693="대체",0,1))</f>
        <v/>
      </c>
    </row>
    <row r="1694" customFormat="false" ht="15" hidden="false" customHeight="false" outlineLevel="0" collapsed="false">
      <c r="A1694" s="36" t="str">
        <f aca="false">IF($B1694="","",COUNT($B$15:$B1694))</f>
        <v/>
      </c>
      <c r="B1694" s="37"/>
      <c r="C1694" s="38"/>
      <c r="D1694" s="39"/>
      <c r="E1694" s="36" t="str">
        <f aca="false">IF($D1694="","",IFERROR(INDEX('통합 ④ 설정'!$A$6:$A$40,MATCH($D1694,'통합 ④ 설정'!$B$6:$B$40,0)),"※없는 과목"))</f>
        <v/>
      </c>
      <c r="F1694" s="36" t="str">
        <f aca="false">IF($D1694="","",IFERROR(INDEX('통합 ④ 설정'!$C$6:$C$40,MATCH($D1694,'통합 ④ 설정'!$B$6:$B$40,0)),""))</f>
        <v/>
      </c>
      <c r="G1694" s="39"/>
      <c r="H1694" s="39"/>
      <c r="I1694" s="40"/>
      <c r="J1694" s="41"/>
      <c r="K1694" s="38"/>
      <c r="L1694" s="42" t="str">
        <f aca="false">IF($B1694="","",IF(AND(N($I1694)=0,N($J1694)=0),"금액이 없습니다",IF(AND($I1694&gt;0,$J1694&gt;0),"수입·지출 둘 다 적혔습니다",IF($C1694="","결제수단을 고르십시오",IF(ISNA(MATCH($C1694,'통합 ③ 통장·카드'!$A$5:$A$11,0)),"③ 통장·카드에 없는 결제수단입니다",IF($D1694="","계정과목을 고르십시오",IF($E1694="※없는 과목","④ 설정에 없는 과목입니다",IF(AND($E1694="수입",$J1694&gt;0),"수입 과목인데 지출에 적혔습니다",IF(AND(LEFT($E1694,2)&lt;&gt;"수입",$E1694&lt;&gt;"대체",$I1694&gt;0),"지출 과목인데 수입에 적혔습니다",IF($K1694="","증빙을 고르십시오",IF(AND($C1694="바우처통장",$J1694&gt;0,IFERROR(INDEX('통합 ④ 설정'!$E$6:$E$40,MATCH($D1694,'통합 ④ 설정'!$B$6:$B$40,0)),"")&lt;&gt;"○"),"바우처통장 지출 — 목적 확인",IF($H1694="","적요를 적으십시오",""))))))))))))</f>
        <v/>
      </c>
      <c r="M1694" s="39"/>
      <c r="O1694" s="11" t="str">
        <f aca="false">IF($B1694="","",YEAR($B1694)*100+MONTH($B1694))</f>
        <v/>
      </c>
      <c r="P1694" s="11" t="str">
        <f aca="false">IF($B1694="","",IF($E1694="대체",0,1))</f>
        <v/>
      </c>
    </row>
    <row r="1695" customFormat="false" ht="15" hidden="false" customHeight="false" outlineLevel="0" collapsed="false">
      <c r="A1695" s="36" t="str">
        <f aca="false">IF($B1695="","",COUNT($B$15:$B1695))</f>
        <v/>
      </c>
      <c r="B1695" s="37"/>
      <c r="C1695" s="38"/>
      <c r="D1695" s="39"/>
      <c r="E1695" s="36" t="str">
        <f aca="false">IF($D1695="","",IFERROR(INDEX('통합 ④ 설정'!$A$6:$A$40,MATCH($D1695,'통합 ④ 설정'!$B$6:$B$40,0)),"※없는 과목"))</f>
        <v/>
      </c>
      <c r="F1695" s="36" t="str">
        <f aca="false">IF($D1695="","",IFERROR(INDEX('통합 ④ 설정'!$C$6:$C$40,MATCH($D1695,'통합 ④ 설정'!$B$6:$B$40,0)),""))</f>
        <v/>
      </c>
      <c r="G1695" s="39"/>
      <c r="H1695" s="39"/>
      <c r="I1695" s="40"/>
      <c r="J1695" s="41"/>
      <c r="K1695" s="38"/>
      <c r="L1695" s="42" t="str">
        <f aca="false">IF($B1695="","",IF(AND(N($I1695)=0,N($J1695)=0),"금액이 없습니다",IF(AND($I1695&gt;0,$J1695&gt;0),"수입·지출 둘 다 적혔습니다",IF($C1695="","결제수단을 고르십시오",IF(ISNA(MATCH($C1695,'통합 ③ 통장·카드'!$A$5:$A$11,0)),"③ 통장·카드에 없는 결제수단입니다",IF($D1695="","계정과목을 고르십시오",IF($E1695="※없는 과목","④ 설정에 없는 과목입니다",IF(AND($E1695="수입",$J1695&gt;0),"수입 과목인데 지출에 적혔습니다",IF(AND(LEFT($E1695,2)&lt;&gt;"수입",$E1695&lt;&gt;"대체",$I1695&gt;0),"지출 과목인데 수입에 적혔습니다",IF($K1695="","증빙을 고르십시오",IF(AND($C1695="바우처통장",$J1695&gt;0,IFERROR(INDEX('통합 ④ 설정'!$E$6:$E$40,MATCH($D1695,'통합 ④ 설정'!$B$6:$B$40,0)),"")&lt;&gt;"○"),"바우처통장 지출 — 목적 확인",IF($H1695="","적요를 적으십시오",""))))))))))))</f>
        <v/>
      </c>
      <c r="M1695" s="39"/>
      <c r="O1695" s="11" t="str">
        <f aca="false">IF($B1695="","",YEAR($B1695)*100+MONTH($B1695))</f>
        <v/>
      </c>
      <c r="P1695" s="11" t="str">
        <f aca="false">IF($B1695="","",IF($E1695="대체",0,1))</f>
        <v/>
      </c>
    </row>
    <row r="1696" customFormat="false" ht="15" hidden="false" customHeight="false" outlineLevel="0" collapsed="false">
      <c r="A1696" s="36" t="str">
        <f aca="false">IF($B1696="","",COUNT($B$15:$B1696))</f>
        <v/>
      </c>
      <c r="B1696" s="37"/>
      <c r="C1696" s="38"/>
      <c r="D1696" s="39"/>
      <c r="E1696" s="36" t="str">
        <f aca="false">IF($D1696="","",IFERROR(INDEX('통합 ④ 설정'!$A$6:$A$40,MATCH($D1696,'통합 ④ 설정'!$B$6:$B$40,0)),"※없는 과목"))</f>
        <v/>
      </c>
      <c r="F1696" s="36" t="str">
        <f aca="false">IF($D1696="","",IFERROR(INDEX('통합 ④ 설정'!$C$6:$C$40,MATCH($D1696,'통합 ④ 설정'!$B$6:$B$40,0)),""))</f>
        <v/>
      </c>
      <c r="G1696" s="39"/>
      <c r="H1696" s="39"/>
      <c r="I1696" s="40"/>
      <c r="J1696" s="41"/>
      <c r="K1696" s="38"/>
      <c r="L1696" s="42" t="str">
        <f aca="false">IF($B1696="","",IF(AND(N($I1696)=0,N($J1696)=0),"금액이 없습니다",IF(AND($I1696&gt;0,$J1696&gt;0),"수입·지출 둘 다 적혔습니다",IF($C1696="","결제수단을 고르십시오",IF(ISNA(MATCH($C1696,'통합 ③ 통장·카드'!$A$5:$A$11,0)),"③ 통장·카드에 없는 결제수단입니다",IF($D1696="","계정과목을 고르십시오",IF($E1696="※없는 과목","④ 설정에 없는 과목입니다",IF(AND($E1696="수입",$J1696&gt;0),"수입 과목인데 지출에 적혔습니다",IF(AND(LEFT($E1696,2)&lt;&gt;"수입",$E1696&lt;&gt;"대체",$I1696&gt;0),"지출 과목인데 수입에 적혔습니다",IF($K1696="","증빙을 고르십시오",IF(AND($C1696="바우처통장",$J1696&gt;0,IFERROR(INDEX('통합 ④ 설정'!$E$6:$E$40,MATCH($D1696,'통합 ④ 설정'!$B$6:$B$40,0)),"")&lt;&gt;"○"),"바우처통장 지출 — 목적 확인",IF($H1696="","적요를 적으십시오",""))))))))))))</f>
        <v/>
      </c>
      <c r="M1696" s="39"/>
      <c r="O1696" s="11" t="str">
        <f aca="false">IF($B1696="","",YEAR($B1696)*100+MONTH($B1696))</f>
        <v/>
      </c>
      <c r="P1696" s="11" t="str">
        <f aca="false">IF($B1696="","",IF($E1696="대체",0,1))</f>
        <v/>
      </c>
    </row>
    <row r="1697" customFormat="false" ht="15" hidden="false" customHeight="false" outlineLevel="0" collapsed="false">
      <c r="A1697" s="36" t="str">
        <f aca="false">IF($B1697="","",COUNT($B$15:$B1697))</f>
        <v/>
      </c>
      <c r="B1697" s="37"/>
      <c r="C1697" s="38"/>
      <c r="D1697" s="39"/>
      <c r="E1697" s="36" t="str">
        <f aca="false">IF($D1697="","",IFERROR(INDEX('통합 ④ 설정'!$A$6:$A$40,MATCH($D1697,'통합 ④ 설정'!$B$6:$B$40,0)),"※없는 과목"))</f>
        <v/>
      </c>
      <c r="F1697" s="36" t="str">
        <f aca="false">IF($D1697="","",IFERROR(INDEX('통합 ④ 설정'!$C$6:$C$40,MATCH($D1697,'통합 ④ 설정'!$B$6:$B$40,0)),""))</f>
        <v/>
      </c>
      <c r="G1697" s="39"/>
      <c r="H1697" s="39"/>
      <c r="I1697" s="40"/>
      <c r="J1697" s="41"/>
      <c r="K1697" s="38"/>
      <c r="L1697" s="42" t="str">
        <f aca="false">IF($B1697="","",IF(AND(N($I1697)=0,N($J1697)=0),"금액이 없습니다",IF(AND($I1697&gt;0,$J1697&gt;0),"수입·지출 둘 다 적혔습니다",IF($C1697="","결제수단을 고르십시오",IF(ISNA(MATCH($C1697,'통합 ③ 통장·카드'!$A$5:$A$11,0)),"③ 통장·카드에 없는 결제수단입니다",IF($D1697="","계정과목을 고르십시오",IF($E1697="※없는 과목","④ 설정에 없는 과목입니다",IF(AND($E1697="수입",$J1697&gt;0),"수입 과목인데 지출에 적혔습니다",IF(AND(LEFT($E1697,2)&lt;&gt;"수입",$E1697&lt;&gt;"대체",$I1697&gt;0),"지출 과목인데 수입에 적혔습니다",IF($K1697="","증빙을 고르십시오",IF(AND($C1697="바우처통장",$J1697&gt;0,IFERROR(INDEX('통합 ④ 설정'!$E$6:$E$40,MATCH($D1697,'통합 ④ 설정'!$B$6:$B$40,0)),"")&lt;&gt;"○"),"바우처통장 지출 — 목적 확인",IF($H1697="","적요를 적으십시오",""))))))))))))</f>
        <v/>
      </c>
      <c r="M1697" s="39"/>
      <c r="O1697" s="11" t="str">
        <f aca="false">IF($B1697="","",YEAR($B1697)*100+MONTH($B1697))</f>
        <v/>
      </c>
      <c r="P1697" s="11" t="str">
        <f aca="false">IF($B1697="","",IF($E1697="대체",0,1))</f>
        <v/>
      </c>
    </row>
    <row r="1698" customFormat="false" ht="15" hidden="false" customHeight="false" outlineLevel="0" collapsed="false">
      <c r="A1698" s="36" t="str">
        <f aca="false">IF($B1698="","",COUNT($B$15:$B1698))</f>
        <v/>
      </c>
      <c r="B1698" s="37"/>
      <c r="C1698" s="38"/>
      <c r="D1698" s="39"/>
      <c r="E1698" s="36" t="str">
        <f aca="false">IF($D1698="","",IFERROR(INDEX('통합 ④ 설정'!$A$6:$A$40,MATCH($D1698,'통합 ④ 설정'!$B$6:$B$40,0)),"※없는 과목"))</f>
        <v/>
      </c>
      <c r="F1698" s="36" t="str">
        <f aca="false">IF($D1698="","",IFERROR(INDEX('통합 ④ 설정'!$C$6:$C$40,MATCH($D1698,'통합 ④ 설정'!$B$6:$B$40,0)),""))</f>
        <v/>
      </c>
      <c r="G1698" s="39"/>
      <c r="H1698" s="39"/>
      <c r="I1698" s="40"/>
      <c r="J1698" s="41"/>
      <c r="K1698" s="38"/>
      <c r="L1698" s="42" t="str">
        <f aca="false">IF($B1698="","",IF(AND(N($I1698)=0,N($J1698)=0),"금액이 없습니다",IF(AND($I1698&gt;0,$J1698&gt;0),"수입·지출 둘 다 적혔습니다",IF($C1698="","결제수단을 고르십시오",IF(ISNA(MATCH($C1698,'통합 ③ 통장·카드'!$A$5:$A$11,0)),"③ 통장·카드에 없는 결제수단입니다",IF($D1698="","계정과목을 고르십시오",IF($E1698="※없는 과목","④ 설정에 없는 과목입니다",IF(AND($E1698="수입",$J1698&gt;0),"수입 과목인데 지출에 적혔습니다",IF(AND(LEFT($E1698,2)&lt;&gt;"수입",$E1698&lt;&gt;"대체",$I1698&gt;0),"지출 과목인데 수입에 적혔습니다",IF($K1698="","증빙을 고르십시오",IF(AND($C1698="바우처통장",$J1698&gt;0,IFERROR(INDEX('통합 ④ 설정'!$E$6:$E$40,MATCH($D1698,'통합 ④ 설정'!$B$6:$B$40,0)),"")&lt;&gt;"○"),"바우처통장 지출 — 목적 확인",IF($H1698="","적요를 적으십시오",""))))))))))))</f>
        <v/>
      </c>
      <c r="M1698" s="39"/>
      <c r="O1698" s="11" t="str">
        <f aca="false">IF($B1698="","",YEAR($B1698)*100+MONTH($B1698))</f>
        <v/>
      </c>
      <c r="P1698" s="11" t="str">
        <f aca="false">IF($B1698="","",IF($E1698="대체",0,1))</f>
        <v/>
      </c>
    </row>
    <row r="1699" customFormat="false" ht="15" hidden="false" customHeight="false" outlineLevel="0" collapsed="false">
      <c r="A1699" s="36" t="str">
        <f aca="false">IF($B1699="","",COUNT($B$15:$B1699))</f>
        <v/>
      </c>
      <c r="B1699" s="37"/>
      <c r="C1699" s="38"/>
      <c r="D1699" s="39"/>
      <c r="E1699" s="36" t="str">
        <f aca="false">IF($D1699="","",IFERROR(INDEX('통합 ④ 설정'!$A$6:$A$40,MATCH($D1699,'통합 ④ 설정'!$B$6:$B$40,0)),"※없는 과목"))</f>
        <v/>
      </c>
      <c r="F1699" s="36" t="str">
        <f aca="false">IF($D1699="","",IFERROR(INDEX('통합 ④ 설정'!$C$6:$C$40,MATCH($D1699,'통합 ④ 설정'!$B$6:$B$40,0)),""))</f>
        <v/>
      </c>
      <c r="G1699" s="39"/>
      <c r="H1699" s="39"/>
      <c r="I1699" s="40"/>
      <c r="J1699" s="41"/>
      <c r="K1699" s="38"/>
      <c r="L1699" s="42" t="str">
        <f aca="false">IF($B1699="","",IF(AND(N($I1699)=0,N($J1699)=0),"금액이 없습니다",IF(AND($I1699&gt;0,$J1699&gt;0),"수입·지출 둘 다 적혔습니다",IF($C1699="","결제수단을 고르십시오",IF(ISNA(MATCH($C1699,'통합 ③ 통장·카드'!$A$5:$A$11,0)),"③ 통장·카드에 없는 결제수단입니다",IF($D1699="","계정과목을 고르십시오",IF($E1699="※없는 과목","④ 설정에 없는 과목입니다",IF(AND($E1699="수입",$J1699&gt;0),"수입 과목인데 지출에 적혔습니다",IF(AND(LEFT($E1699,2)&lt;&gt;"수입",$E1699&lt;&gt;"대체",$I1699&gt;0),"지출 과목인데 수입에 적혔습니다",IF($K1699="","증빙을 고르십시오",IF(AND($C1699="바우처통장",$J1699&gt;0,IFERROR(INDEX('통합 ④ 설정'!$E$6:$E$40,MATCH($D1699,'통합 ④ 설정'!$B$6:$B$40,0)),"")&lt;&gt;"○"),"바우처통장 지출 — 목적 확인",IF($H1699="","적요를 적으십시오",""))))))))))))</f>
        <v/>
      </c>
      <c r="M1699" s="39"/>
      <c r="O1699" s="11" t="str">
        <f aca="false">IF($B1699="","",YEAR($B1699)*100+MONTH($B1699))</f>
        <v/>
      </c>
      <c r="P1699" s="11" t="str">
        <f aca="false">IF($B1699="","",IF($E1699="대체",0,1))</f>
        <v/>
      </c>
    </row>
    <row r="1700" customFormat="false" ht="15" hidden="false" customHeight="false" outlineLevel="0" collapsed="false">
      <c r="A1700" s="36" t="str">
        <f aca="false">IF($B1700="","",COUNT($B$15:$B1700))</f>
        <v/>
      </c>
      <c r="B1700" s="37"/>
      <c r="C1700" s="38"/>
      <c r="D1700" s="39"/>
      <c r="E1700" s="36" t="str">
        <f aca="false">IF($D1700="","",IFERROR(INDEX('통합 ④ 설정'!$A$6:$A$40,MATCH($D1700,'통합 ④ 설정'!$B$6:$B$40,0)),"※없는 과목"))</f>
        <v/>
      </c>
      <c r="F1700" s="36" t="str">
        <f aca="false">IF($D1700="","",IFERROR(INDEX('통합 ④ 설정'!$C$6:$C$40,MATCH($D1700,'통합 ④ 설정'!$B$6:$B$40,0)),""))</f>
        <v/>
      </c>
      <c r="G1700" s="39"/>
      <c r="H1700" s="39"/>
      <c r="I1700" s="40"/>
      <c r="J1700" s="41"/>
      <c r="K1700" s="38"/>
      <c r="L1700" s="42" t="str">
        <f aca="false">IF($B1700="","",IF(AND(N($I1700)=0,N($J1700)=0),"금액이 없습니다",IF(AND($I1700&gt;0,$J1700&gt;0),"수입·지출 둘 다 적혔습니다",IF($C1700="","결제수단을 고르십시오",IF(ISNA(MATCH($C1700,'통합 ③ 통장·카드'!$A$5:$A$11,0)),"③ 통장·카드에 없는 결제수단입니다",IF($D1700="","계정과목을 고르십시오",IF($E1700="※없는 과목","④ 설정에 없는 과목입니다",IF(AND($E1700="수입",$J1700&gt;0),"수입 과목인데 지출에 적혔습니다",IF(AND(LEFT($E1700,2)&lt;&gt;"수입",$E1700&lt;&gt;"대체",$I1700&gt;0),"지출 과목인데 수입에 적혔습니다",IF($K1700="","증빙을 고르십시오",IF(AND($C1700="바우처통장",$J1700&gt;0,IFERROR(INDEX('통합 ④ 설정'!$E$6:$E$40,MATCH($D1700,'통합 ④ 설정'!$B$6:$B$40,0)),"")&lt;&gt;"○"),"바우처통장 지출 — 목적 확인",IF($H1700="","적요를 적으십시오",""))))))))))))</f>
        <v/>
      </c>
      <c r="M1700" s="39"/>
      <c r="O1700" s="11" t="str">
        <f aca="false">IF($B1700="","",YEAR($B1700)*100+MONTH($B1700))</f>
        <v/>
      </c>
      <c r="P1700" s="11" t="str">
        <f aca="false">IF($B1700="","",IF($E1700="대체",0,1))</f>
        <v/>
      </c>
    </row>
    <row r="1701" customFormat="false" ht="15" hidden="false" customHeight="false" outlineLevel="0" collapsed="false">
      <c r="A1701" s="36" t="str">
        <f aca="false">IF($B1701="","",COUNT($B$15:$B1701))</f>
        <v/>
      </c>
      <c r="B1701" s="37"/>
      <c r="C1701" s="38"/>
      <c r="D1701" s="39"/>
      <c r="E1701" s="36" t="str">
        <f aca="false">IF($D1701="","",IFERROR(INDEX('통합 ④ 설정'!$A$6:$A$40,MATCH($D1701,'통합 ④ 설정'!$B$6:$B$40,0)),"※없는 과목"))</f>
        <v/>
      </c>
      <c r="F1701" s="36" t="str">
        <f aca="false">IF($D1701="","",IFERROR(INDEX('통합 ④ 설정'!$C$6:$C$40,MATCH($D1701,'통합 ④ 설정'!$B$6:$B$40,0)),""))</f>
        <v/>
      </c>
      <c r="G1701" s="39"/>
      <c r="H1701" s="39"/>
      <c r="I1701" s="40"/>
      <c r="J1701" s="41"/>
      <c r="K1701" s="38"/>
      <c r="L1701" s="42" t="str">
        <f aca="false">IF($B1701="","",IF(AND(N($I1701)=0,N($J1701)=0),"금액이 없습니다",IF(AND($I1701&gt;0,$J1701&gt;0),"수입·지출 둘 다 적혔습니다",IF($C1701="","결제수단을 고르십시오",IF(ISNA(MATCH($C1701,'통합 ③ 통장·카드'!$A$5:$A$11,0)),"③ 통장·카드에 없는 결제수단입니다",IF($D1701="","계정과목을 고르십시오",IF($E1701="※없는 과목","④ 설정에 없는 과목입니다",IF(AND($E1701="수입",$J1701&gt;0),"수입 과목인데 지출에 적혔습니다",IF(AND(LEFT($E1701,2)&lt;&gt;"수입",$E1701&lt;&gt;"대체",$I1701&gt;0),"지출 과목인데 수입에 적혔습니다",IF($K1701="","증빙을 고르십시오",IF(AND($C1701="바우처통장",$J1701&gt;0,IFERROR(INDEX('통합 ④ 설정'!$E$6:$E$40,MATCH($D1701,'통합 ④ 설정'!$B$6:$B$40,0)),"")&lt;&gt;"○"),"바우처통장 지출 — 목적 확인",IF($H1701="","적요를 적으십시오",""))))))))))))</f>
        <v/>
      </c>
      <c r="M1701" s="39"/>
      <c r="O1701" s="11" t="str">
        <f aca="false">IF($B1701="","",YEAR($B1701)*100+MONTH($B1701))</f>
        <v/>
      </c>
      <c r="P1701" s="11" t="str">
        <f aca="false">IF($B1701="","",IF($E1701="대체",0,1))</f>
        <v/>
      </c>
    </row>
    <row r="1702" customFormat="false" ht="15" hidden="false" customHeight="false" outlineLevel="0" collapsed="false">
      <c r="A1702" s="36" t="str">
        <f aca="false">IF($B1702="","",COUNT($B$15:$B1702))</f>
        <v/>
      </c>
      <c r="B1702" s="37"/>
      <c r="C1702" s="38"/>
      <c r="D1702" s="39"/>
      <c r="E1702" s="36" t="str">
        <f aca="false">IF($D1702="","",IFERROR(INDEX('통합 ④ 설정'!$A$6:$A$40,MATCH($D1702,'통합 ④ 설정'!$B$6:$B$40,0)),"※없는 과목"))</f>
        <v/>
      </c>
      <c r="F1702" s="36" t="str">
        <f aca="false">IF($D1702="","",IFERROR(INDEX('통합 ④ 설정'!$C$6:$C$40,MATCH($D1702,'통합 ④ 설정'!$B$6:$B$40,0)),""))</f>
        <v/>
      </c>
      <c r="G1702" s="39"/>
      <c r="H1702" s="39"/>
      <c r="I1702" s="40"/>
      <c r="J1702" s="41"/>
      <c r="K1702" s="38"/>
      <c r="L1702" s="42" t="str">
        <f aca="false">IF($B1702="","",IF(AND(N($I1702)=0,N($J1702)=0),"금액이 없습니다",IF(AND($I1702&gt;0,$J1702&gt;0),"수입·지출 둘 다 적혔습니다",IF($C1702="","결제수단을 고르십시오",IF(ISNA(MATCH($C1702,'통합 ③ 통장·카드'!$A$5:$A$11,0)),"③ 통장·카드에 없는 결제수단입니다",IF($D1702="","계정과목을 고르십시오",IF($E1702="※없는 과목","④ 설정에 없는 과목입니다",IF(AND($E1702="수입",$J1702&gt;0),"수입 과목인데 지출에 적혔습니다",IF(AND(LEFT($E1702,2)&lt;&gt;"수입",$E1702&lt;&gt;"대체",$I1702&gt;0),"지출 과목인데 수입에 적혔습니다",IF($K1702="","증빙을 고르십시오",IF(AND($C1702="바우처통장",$J1702&gt;0,IFERROR(INDEX('통합 ④ 설정'!$E$6:$E$40,MATCH($D1702,'통합 ④ 설정'!$B$6:$B$40,0)),"")&lt;&gt;"○"),"바우처통장 지출 — 목적 확인",IF($H1702="","적요를 적으십시오",""))))))))))))</f>
        <v/>
      </c>
      <c r="M1702" s="39"/>
      <c r="O1702" s="11" t="str">
        <f aca="false">IF($B1702="","",YEAR($B1702)*100+MONTH($B1702))</f>
        <v/>
      </c>
      <c r="P1702" s="11" t="str">
        <f aca="false">IF($B1702="","",IF($E1702="대체",0,1))</f>
        <v/>
      </c>
    </row>
    <row r="1703" customFormat="false" ht="15" hidden="false" customHeight="false" outlineLevel="0" collapsed="false">
      <c r="A1703" s="36" t="str">
        <f aca="false">IF($B1703="","",COUNT($B$15:$B1703))</f>
        <v/>
      </c>
      <c r="B1703" s="37"/>
      <c r="C1703" s="38"/>
      <c r="D1703" s="39"/>
      <c r="E1703" s="36" t="str">
        <f aca="false">IF($D1703="","",IFERROR(INDEX('통합 ④ 설정'!$A$6:$A$40,MATCH($D1703,'통합 ④ 설정'!$B$6:$B$40,0)),"※없는 과목"))</f>
        <v/>
      </c>
      <c r="F1703" s="36" t="str">
        <f aca="false">IF($D1703="","",IFERROR(INDEX('통합 ④ 설정'!$C$6:$C$40,MATCH($D1703,'통합 ④ 설정'!$B$6:$B$40,0)),""))</f>
        <v/>
      </c>
      <c r="G1703" s="39"/>
      <c r="H1703" s="39"/>
      <c r="I1703" s="40"/>
      <c r="J1703" s="41"/>
      <c r="K1703" s="38"/>
      <c r="L1703" s="42" t="str">
        <f aca="false">IF($B1703="","",IF(AND(N($I1703)=0,N($J1703)=0),"금액이 없습니다",IF(AND($I1703&gt;0,$J1703&gt;0),"수입·지출 둘 다 적혔습니다",IF($C1703="","결제수단을 고르십시오",IF(ISNA(MATCH($C1703,'통합 ③ 통장·카드'!$A$5:$A$11,0)),"③ 통장·카드에 없는 결제수단입니다",IF($D1703="","계정과목을 고르십시오",IF($E1703="※없는 과목","④ 설정에 없는 과목입니다",IF(AND($E1703="수입",$J1703&gt;0),"수입 과목인데 지출에 적혔습니다",IF(AND(LEFT($E1703,2)&lt;&gt;"수입",$E1703&lt;&gt;"대체",$I1703&gt;0),"지출 과목인데 수입에 적혔습니다",IF($K1703="","증빙을 고르십시오",IF(AND($C1703="바우처통장",$J1703&gt;0,IFERROR(INDEX('통합 ④ 설정'!$E$6:$E$40,MATCH($D1703,'통합 ④ 설정'!$B$6:$B$40,0)),"")&lt;&gt;"○"),"바우처통장 지출 — 목적 확인",IF($H1703="","적요를 적으십시오",""))))))))))))</f>
        <v/>
      </c>
      <c r="M1703" s="39"/>
      <c r="O1703" s="11" t="str">
        <f aca="false">IF($B1703="","",YEAR($B1703)*100+MONTH($B1703))</f>
        <v/>
      </c>
      <c r="P1703" s="11" t="str">
        <f aca="false">IF($B1703="","",IF($E1703="대체",0,1))</f>
        <v/>
      </c>
    </row>
    <row r="1704" customFormat="false" ht="15" hidden="false" customHeight="false" outlineLevel="0" collapsed="false">
      <c r="A1704" s="36" t="str">
        <f aca="false">IF($B1704="","",COUNT($B$15:$B1704))</f>
        <v/>
      </c>
      <c r="B1704" s="37"/>
      <c r="C1704" s="38"/>
      <c r="D1704" s="39"/>
      <c r="E1704" s="36" t="str">
        <f aca="false">IF($D1704="","",IFERROR(INDEX('통합 ④ 설정'!$A$6:$A$40,MATCH($D1704,'통합 ④ 설정'!$B$6:$B$40,0)),"※없는 과목"))</f>
        <v/>
      </c>
      <c r="F1704" s="36" t="str">
        <f aca="false">IF($D1704="","",IFERROR(INDEX('통합 ④ 설정'!$C$6:$C$40,MATCH($D1704,'통합 ④ 설정'!$B$6:$B$40,0)),""))</f>
        <v/>
      </c>
      <c r="G1704" s="39"/>
      <c r="H1704" s="39"/>
      <c r="I1704" s="40"/>
      <c r="J1704" s="41"/>
      <c r="K1704" s="38"/>
      <c r="L1704" s="42" t="str">
        <f aca="false">IF($B1704="","",IF(AND(N($I1704)=0,N($J1704)=0),"금액이 없습니다",IF(AND($I1704&gt;0,$J1704&gt;0),"수입·지출 둘 다 적혔습니다",IF($C1704="","결제수단을 고르십시오",IF(ISNA(MATCH($C1704,'통합 ③ 통장·카드'!$A$5:$A$11,0)),"③ 통장·카드에 없는 결제수단입니다",IF($D1704="","계정과목을 고르십시오",IF($E1704="※없는 과목","④ 설정에 없는 과목입니다",IF(AND($E1704="수입",$J1704&gt;0),"수입 과목인데 지출에 적혔습니다",IF(AND(LEFT($E1704,2)&lt;&gt;"수입",$E1704&lt;&gt;"대체",$I1704&gt;0),"지출 과목인데 수입에 적혔습니다",IF($K1704="","증빙을 고르십시오",IF(AND($C1704="바우처통장",$J1704&gt;0,IFERROR(INDEX('통합 ④ 설정'!$E$6:$E$40,MATCH($D1704,'통합 ④ 설정'!$B$6:$B$40,0)),"")&lt;&gt;"○"),"바우처통장 지출 — 목적 확인",IF($H1704="","적요를 적으십시오",""))))))))))))</f>
        <v/>
      </c>
      <c r="M1704" s="39"/>
      <c r="O1704" s="11" t="str">
        <f aca="false">IF($B1704="","",YEAR($B1704)*100+MONTH($B1704))</f>
        <v/>
      </c>
      <c r="P1704" s="11" t="str">
        <f aca="false">IF($B1704="","",IF($E1704="대체",0,1))</f>
        <v/>
      </c>
    </row>
    <row r="1705" customFormat="false" ht="15" hidden="false" customHeight="false" outlineLevel="0" collapsed="false">
      <c r="A1705" s="36" t="str">
        <f aca="false">IF($B1705="","",COUNT($B$15:$B1705))</f>
        <v/>
      </c>
      <c r="B1705" s="37"/>
      <c r="C1705" s="38"/>
      <c r="D1705" s="39"/>
      <c r="E1705" s="36" t="str">
        <f aca="false">IF($D1705="","",IFERROR(INDEX('통합 ④ 설정'!$A$6:$A$40,MATCH($D1705,'통합 ④ 설정'!$B$6:$B$40,0)),"※없는 과목"))</f>
        <v/>
      </c>
      <c r="F1705" s="36" t="str">
        <f aca="false">IF($D1705="","",IFERROR(INDEX('통합 ④ 설정'!$C$6:$C$40,MATCH($D1705,'통합 ④ 설정'!$B$6:$B$40,0)),""))</f>
        <v/>
      </c>
      <c r="G1705" s="39"/>
      <c r="H1705" s="39"/>
      <c r="I1705" s="40"/>
      <c r="J1705" s="41"/>
      <c r="K1705" s="38"/>
      <c r="L1705" s="42" t="str">
        <f aca="false">IF($B1705="","",IF(AND(N($I1705)=0,N($J1705)=0),"금액이 없습니다",IF(AND($I1705&gt;0,$J1705&gt;0),"수입·지출 둘 다 적혔습니다",IF($C1705="","결제수단을 고르십시오",IF(ISNA(MATCH($C1705,'통합 ③ 통장·카드'!$A$5:$A$11,0)),"③ 통장·카드에 없는 결제수단입니다",IF($D1705="","계정과목을 고르십시오",IF($E1705="※없는 과목","④ 설정에 없는 과목입니다",IF(AND($E1705="수입",$J1705&gt;0),"수입 과목인데 지출에 적혔습니다",IF(AND(LEFT($E1705,2)&lt;&gt;"수입",$E1705&lt;&gt;"대체",$I1705&gt;0),"지출 과목인데 수입에 적혔습니다",IF($K1705="","증빙을 고르십시오",IF(AND($C1705="바우처통장",$J1705&gt;0,IFERROR(INDEX('통합 ④ 설정'!$E$6:$E$40,MATCH($D1705,'통합 ④ 설정'!$B$6:$B$40,0)),"")&lt;&gt;"○"),"바우처통장 지출 — 목적 확인",IF($H1705="","적요를 적으십시오",""))))))))))))</f>
        <v/>
      </c>
      <c r="M1705" s="39"/>
      <c r="O1705" s="11" t="str">
        <f aca="false">IF($B1705="","",YEAR($B1705)*100+MONTH($B1705))</f>
        <v/>
      </c>
      <c r="P1705" s="11" t="str">
        <f aca="false">IF($B1705="","",IF($E1705="대체",0,1))</f>
        <v/>
      </c>
    </row>
    <row r="1706" customFormat="false" ht="15" hidden="false" customHeight="false" outlineLevel="0" collapsed="false">
      <c r="A1706" s="36" t="str">
        <f aca="false">IF($B1706="","",COUNT($B$15:$B1706))</f>
        <v/>
      </c>
      <c r="B1706" s="37"/>
      <c r="C1706" s="38"/>
      <c r="D1706" s="39"/>
      <c r="E1706" s="36" t="str">
        <f aca="false">IF($D1706="","",IFERROR(INDEX('통합 ④ 설정'!$A$6:$A$40,MATCH($D1706,'통합 ④ 설정'!$B$6:$B$40,0)),"※없는 과목"))</f>
        <v/>
      </c>
      <c r="F1706" s="36" t="str">
        <f aca="false">IF($D1706="","",IFERROR(INDEX('통합 ④ 설정'!$C$6:$C$40,MATCH($D1706,'통합 ④ 설정'!$B$6:$B$40,0)),""))</f>
        <v/>
      </c>
      <c r="G1706" s="39"/>
      <c r="H1706" s="39"/>
      <c r="I1706" s="40"/>
      <c r="J1706" s="41"/>
      <c r="K1706" s="38"/>
      <c r="L1706" s="42" t="str">
        <f aca="false">IF($B1706="","",IF(AND(N($I1706)=0,N($J1706)=0),"금액이 없습니다",IF(AND($I1706&gt;0,$J1706&gt;0),"수입·지출 둘 다 적혔습니다",IF($C1706="","결제수단을 고르십시오",IF(ISNA(MATCH($C1706,'통합 ③ 통장·카드'!$A$5:$A$11,0)),"③ 통장·카드에 없는 결제수단입니다",IF($D1706="","계정과목을 고르십시오",IF($E1706="※없는 과목","④ 설정에 없는 과목입니다",IF(AND($E1706="수입",$J1706&gt;0),"수입 과목인데 지출에 적혔습니다",IF(AND(LEFT($E1706,2)&lt;&gt;"수입",$E1706&lt;&gt;"대체",$I1706&gt;0),"지출 과목인데 수입에 적혔습니다",IF($K1706="","증빙을 고르십시오",IF(AND($C1706="바우처통장",$J1706&gt;0,IFERROR(INDEX('통합 ④ 설정'!$E$6:$E$40,MATCH($D1706,'통합 ④ 설정'!$B$6:$B$40,0)),"")&lt;&gt;"○"),"바우처통장 지출 — 목적 확인",IF($H1706="","적요를 적으십시오",""))))))))))))</f>
        <v/>
      </c>
      <c r="M1706" s="39"/>
      <c r="O1706" s="11" t="str">
        <f aca="false">IF($B1706="","",YEAR($B1706)*100+MONTH($B1706))</f>
        <v/>
      </c>
      <c r="P1706" s="11" t="str">
        <f aca="false">IF($B1706="","",IF($E1706="대체",0,1))</f>
        <v/>
      </c>
    </row>
    <row r="1707" customFormat="false" ht="15" hidden="false" customHeight="false" outlineLevel="0" collapsed="false">
      <c r="A1707" s="36" t="str">
        <f aca="false">IF($B1707="","",COUNT($B$15:$B1707))</f>
        <v/>
      </c>
      <c r="B1707" s="37"/>
      <c r="C1707" s="38"/>
      <c r="D1707" s="39"/>
      <c r="E1707" s="36" t="str">
        <f aca="false">IF($D1707="","",IFERROR(INDEX('통합 ④ 설정'!$A$6:$A$40,MATCH($D1707,'통합 ④ 설정'!$B$6:$B$40,0)),"※없는 과목"))</f>
        <v/>
      </c>
      <c r="F1707" s="36" t="str">
        <f aca="false">IF($D1707="","",IFERROR(INDEX('통합 ④ 설정'!$C$6:$C$40,MATCH($D1707,'통합 ④ 설정'!$B$6:$B$40,0)),""))</f>
        <v/>
      </c>
      <c r="G1707" s="39"/>
      <c r="H1707" s="39"/>
      <c r="I1707" s="40"/>
      <c r="J1707" s="41"/>
      <c r="K1707" s="38"/>
      <c r="L1707" s="42" t="str">
        <f aca="false">IF($B1707="","",IF(AND(N($I1707)=0,N($J1707)=0),"금액이 없습니다",IF(AND($I1707&gt;0,$J1707&gt;0),"수입·지출 둘 다 적혔습니다",IF($C1707="","결제수단을 고르십시오",IF(ISNA(MATCH($C1707,'통합 ③ 통장·카드'!$A$5:$A$11,0)),"③ 통장·카드에 없는 결제수단입니다",IF($D1707="","계정과목을 고르십시오",IF($E1707="※없는 과목","④ 설정에 없는 과목입니다",IF(AND($E1707="수입",$J1707&gt;0),"수입 과목인데 지출에 적혔습니다",IF(AND(LEFT($E1707,2)&lt;&gt;"수입",$E1707&lt;&gt;"대체",$I1707&gt;0),"지출 과목인데 수입에 적혔습니다",IF($K1707="","증빙을 고르십시오",IF(AND($C1707="바우처통장",$J1707&gt;0,IFERROR(INDEX('통합 ④ 설정'!$E$6:$E$40,MATCH($D1707,'통합 ④ 설정'!$B$6:$B$40,0)),"")&lt;&gt;"○"),"바우처통장 지출 — 목적 확인",IF($H1707="","적요를 적으십시오",""))))))))))))</f>
        <v/>
      </c>
      <c r="M1707" s="39"/>
      <c r="O1707" s="11" t="str">
        <f aca="false">IF($B1707="","",YEAR($B1707)*100+MONTH($B1707))</f>
        <v/>
      </c>
      <c r="P1707" s="11" t="str">
        <f aca="false">IF($B1707="","",IF($E1707="대체",0,1))</f>
        <v/>
      </c>
    </row>
    <row r="1708" customFormat="false" ht="15" hidden="false" customHeight="false" outlineLevel="0" collapsed="false">
      <c r="A1708" s="36" t="str">
        <f aca="false">IF($B1708="","",COUNT($B$15:$B1708))</f>
        <v/>
      </c>
      <c r="B1708" s="37"/>
      <c r="C1708" s="38"/>
      <c r="D1708" s="39"/>
      <c r="E1708" s="36" t="str">
        <f aca="false">IF($D1708="","",IFERROR(INDEX('통합 ④ 설정'!$A$6:$A$40,MATCH($D1708,'통합 ④ 설정'!$B$6:$B$40,0)),"※없는 과목"))</f>
        <v/>
      </c>
      <c r="F1708" s="36" t="str">
        <f aca="false">IF($D1708="","",IFERROR(INDEX('통합 ④ 설정'!$C$6:$C$40,MATCH($D1708,'통합 ④ 설정'!$B$6:$B$40,0)),""))</f>
        <v/>
      </c>
      <c r="G1708" s="39"/>
      <c r="H1708" s="39"/>
      <c r="I1708" s="40"/>
      <c r="J1708" s="41"/>
      <c r="K1708" s="38"/>
      <c r="L1708" s="42" t="str">
        <f aca="false">IF($B1708="","",IF(AND(N($I1708)=0,N($J1708)=0),"금액이 없습니다",IF(AND($I1708&gt;0,$J1708&gt;0),"수입·지출 둘 다 적혔습니다",IF($C1708="","결제수단을 고르십시오",IF(ISNA(MATCH($C1708,'통합 ③ 통장·카드'!$A$5:$A$11,0)),"③ 통장·카드에 없는 결제수단입니다",IF($D1708="","계정과목을 고르십시오",IF($E1708="※없는 과목","④ 설정에 없는 과목입니다",IF(AND($E1708="수입",$J1708&gt;0),"수입 과목인데 지출에 적혔습니다",IF(AND(LEFT($E1708,2)&lt;&gt;"수입",$E1708&lt;&gt;"대체",$I1708&gt;0),"지출 과목인데 수입에 적혔습니다",IF($K1708="","증빙을 고르십시오",IF(AND($C1708="바우처통장",$J1708&gt;0,IFERROR(INDEX('통합 ④ 설정'!$E$6:$E$40,MATCH($D1708,'통합 ④ 설정'!$B$6:$B$40,0)),"")&lt;&gt;"○"),"바우처통장 지출 — 목적 확인",IF($H1708="","적요를 적으십시오",""))))))))))))</f>
        <v/>
      </c>
      <c r="M1708" s="39"/>
      <c r="O1708" s="11" t="str">
        <f aca="false">IF($B1708="","",YEAR($B1708)*100+MONTH($B1708))</f>
        <v/>
      </c>
      <c r="P1708" s="11" t="str">
        <f aca="false">IF($B1708="","",IF($E1708="대체",0,1))</f>
        <v/>
      </c>
    </row>
    <row r="1709" customFormat="false" ht="15" hidden="false" customHeight="false" outlineLevel="0" collapsed="false">
      <c r="A1709" s="36" t="str">
        <f aca="false">IF($B1709="","",COUNT($B$15:$B1709))</f>
        <v/>
      </c>
      <c r="B1709" s="37"/>
      <c r="C1709" s="38"/>
      <c r="D1709" s="39"/>
      <c r="E1709" s="36" t="str">
        <f aca="false">IF($D1709="","",IFERROR(INDEX('통합 ④ 설정'!$A$6:$A$40,MATCH($D1709,'통합 ④ 설정'!$B$6:$B$40,0)),"※없는 과목"))</f>
        <v/>
      </c>
      <c r="F1709" s="36" t="str">
        <f aca="false">IF($D1709="","",IFERROR(INDEX('통합 ④ 설정'!$C$6:$C$40,MATCH($D1709,'통합 ④ 설정'!$B$6:$B$40,0)),""))</f>
        <v/>
      </c>
      <c r="G1709" s="39"/>
      <c r="H1709" s="39"/>
      <c r="I1709" s="40"/>
      <c r="J1709" s="41"/>
      <c r="K1709" s="38"/>
      <c r="L1709" s="42" t="str">
        <f aca="false">IF($B1709="","",IF(AND(N($I1709)=0,N($J1709)=0),"금액이 없습니다",IF(AND($I1709&gt;0,$J1709&gt;0),"수입·지출 둘 다 적혔습니다",IF($C1709="","결제수단을 고르십시오",IF(ISNA(MATCH($C1709,'통합 ③ 통장·카드'!$A$5:$A$11,0)),"③ 통장·카드에 없는 결제수단입니다",IF($D1709="","계정과목을 고르십시오",IF($E1709="※없는 과목","④ 설정에 없는 과목입니다",IF(AND($E1709="수입",$J1709&gt;0),"수입 과목인데 지출에 적혔습니다",IF(AND(LEFT($E1709,2)&lt;&gt;"수입",$E1709&lt;&gt;"대체",$I1709&gt;0),"지출 과목인데 수입에 적혔습니다",IF($K1709="","증빙을 고르십시오",IF(AND($C1709="바우처통장",$J1709&gt;0,IFERROR(INDEX('통합 ④ 설정'!$E$6:$E$40,MATCH($D1709,'통합 ④ 설정'!$B$6:$B$40,0)),"")&lt;&gt;"○"),"바우처통장 지출 — 목적 확인",IF($H1709="","적요를 적으십시오",""))))))))))))</f>
        <v/>
      </c>
      <c r="M1709" s="39"/>
      <c r="O1709" s="11" t="str">
        <f aca="false">IF($B1709="","",YEAR($B1709)*100+MONTH($B1709))</f>
        <v/>
      </c>
      <c r="P1709" s="11" t="str">
        <f aca="false">IF($B1709="","",IF($E1709="대체",0,1))</f>
        <v/>
      </c>
    </row>
    <row r="1710" customFormat="false" ht="15" hidden="false" customHeight="false" outlineLevel="0" collapsed="false">
      <c r="A1710" s="36" t="str">
        <f aca="false">IF($B1710="","",COUNT($B$15:$B1710))</f>
        <v/>
      </c>
      <c r="B1710" s="37"/>
      <c r="C1710" s="38"/>
      <c r="D1710" s="39"/>
      <c r="E1710" s="36" t="str">
        <f aca="false">IF($D1710="","",IFERROR(INDEX('통합 ④ 설정'!$A$6:$A$40,MATCH($D1710,'통합 ④ 설정'!$B$6:$B$40,0)),"※없는 과목"))</f>
        <v/>
      </c>
      <c r="F1710" s="36" t="str">
        <f aca="false">IF($D1710="","",IFERROR(INDEX('통합 ④ 설정'!$C$6:$C$40,MATCH($D1710,'통합 ④ 설정'!$B$6:$B$40,0)),""))</f>
        <v/>
      </c>
      <c r="G1710" s="39"/>
      <c r="H1710" s="39"/>
      <c r="I1710" s="40"/>
      <c r="J1710" s="41"/>
      <c r="K1710" s="38"/>
      <c r="L1710" s="42" t="str">
        <f aca="false">IF($B1710="","",IF(AND(N($I1710)=0,N($J1710)=0),"금액이 없습니다",IF(AND($I1710&gt;0,$J1710&gt;0),"수입·지출 둘 다 적혔습니다",IF($C1710="","결제수단을 고르십시오",IF(ISNA(MATCH($C1710,'통합 ③ 통장·카드'!$A$5:$A$11,0)),"③ 통장·카드에 없는 결제수단입니다",IF($D1710="","계정과목을 고르십시오",IF($E1710="※없는 과목","④ 설정에 없는 과목입니다",IF(AND($E1710="수입",$J1710&gt;0),"수입 과목인데 지출에 적혔습니다",IF(AND(LEFT($E1710,2)&lt;&gt;"수입",$E1710&lt;&gt;"대체",$I1710&gt;0),"지출 과목인데 수입에 적혔습니다",IF($K1710="","증빙을 고르십시오",IF(AND($C1710="바우처통장",$J1710&gt;0,IFERROR(INDEX('통합 ④ 설정'!$E$6:$E$40,MATCH($D1710,'통합 ④ 설정'!$B$6:$B$40,0)),"")&lt;&gt;"○"),"바우처통장 지출 — 목적 확인",IF($H1710="","적요를 적으십시오",""))))))))))))</f>
        <v/>
      </c>
      <c r="M1710" s="39"/>
      <c r="O1710" s="11" t="str">
        <f aca="false">IF($B1710="","",YEAR($B1710)*100+MONTH($B1710))</f>
        <v/>
      </c>
      <c r="P1710" s="11" t="str">
        <f aca="false">IF($B1710="","",IF($E1710="대체",0,1))</f>
        <v/>
      </c>
    </row>
    <row r="1711" customFormat="false" ht="15" hidden="false" customHeight="false" outlineLevel="0" collapsed="false">
      <c r="A1711" s="36" t="str">
        <f aca="false">IF($B1711="","",COUNT($B$15:$B1711))</f>
        <v/>
      </c>
      <c r="B1711" s="37"/>
      <c r="C1711" s="38"/>
      <c r="D1711" s="39"/>
      <c r="E1711" s="36" t="str">
        <f aca="false">IF($D1711="","",IFERROR(INDEX('통합 ④ 설정'!$A$6:$A$40,MATCH($D1711,'통합 ④ 설정'!$B$6:$B$40,0)),"※없는 과목"))</f>
        <v/>
      </c>
      <c r="F1711" s="36" t="str">
        <f aca="false">IF($D1711="","",IFERROR(INDEX('통합 ④ 설정'!$C$6:$C$40,MATCH($D1711,'통합 ④ 설정'!$B$6:$B$40,0)),""))</f>
        <v/>
      </c>
      <c r="G1711" s="39"/>
      <c r="H1711" s="39"/>
      <c r="I1711" s="40"/>
      <c r="J1711" s="41"/>
      <c r="K1711" s="38"/>
      <c r="L1711" s="42" t="str">
        <f aca="false">IF($B1711="","",IF(AND(N($I1711)=0,N($J1711)=0),"금액이 없습니다",IF(AND($I1711&gt;0,$J1711&gt;0),"수입·지출 둘 다 적혔습니다",IF($C1711="","결제수단을 고르십시오",IF(ISNA(MATCH($C1711,'통합 ③ 통장·카드'!$A$5:$A$11,0)),"③ 통장·카드에 없는 결제수단입니다",IF($D1711="","계정과목을 고르십시오",IF($E1711="※없는 과목","④ 설정에 없는 과목입니다",IF(AND($E1711="수입",$J1711&gt;0),"수입 과목인데 지출에 적혔습니다",IF(AND(LEFT($E1711,2)&lt;&gt;"수입",$E1711&lt;&gt;"대체",$I1711&gt;0),"지출 과목인데 수입에 적혔습니다",IF($K1711="","증빙을 고르십시오",IF(AND($C1711="바우처통장",$J1711&gt;0,IFERROR(INDEX('통합 ④ 설정'!$E$6:$E$40,MATCH($D1711,'통합 ④ 설정'!$B$6:$B$40,0)),"")&lt;&gt;"○"),"바우처통장 지출 — 목적 확인",IF($H1711="","적요를 적으십시오",""))))))))))))</f>
        <v/>
      </c>
      <c r="M1711" s="39"/>
      <c r="O1711" s="11" t="str">
        <f aca="false">IF($B1711="","",YEAR($B1711)*100+MONTH($B1711))</f>
        <v/>
      </c>
      <c r="P1711" s="11" t="str">
        <f aca="false">IF($B1711="","",IF($E1711="대체",0,1))</f>
        <v/>
      </c>
    </row>
    <row r="1712" customFormat="false" ht="15" hidden="false" customHeight="false" outlineLevel="0" collapsed="false">
      <c r="A1712" s="36" t="str">
        <f aca="false">IF($B1712="","",COUNT($B$15:$B1712))</f>
        <v/>
      </c>
      <c r="B1712" s="37"/>
      <c r="C1712" s="38"/>
      <c r="D1712" s="39"/>
      <c r="E1712" s="36" t="str">
        <f aca="false">IF($D1712="","",IFERROR(INDEX('통합 ④ 설정'!$A$6:$A$40,MATCH($D1712,'통합 ④ 설정'!$B$6:$B$40,0)),"※없는 과목"))</f>
        <v/>
      </c>
      <c r="F1712" s="36" t="str">
        <f aca="false">IF($D1712="","",IFERROR(INDEX('통합 ④ 설정'!$C$6:$C$40,MATCH($D1712,'통합 ④ 설정'!$B$6:$B$40,0)),""))</f>
        <v/>
      </c>
      <c r="G1712" s="39"/>
      <c r="H1712" s="39"/>
      <c r="I1712" s="40"/>
      <c r="J1712" s="41"/>
      <c r="K1712" s="38"/>
      <c r="L1712" s="42" t="str">
        <f aca="false">IF($B1712="","",IF(AND(N($I1712)=0,N($J1712)=0),"금액이 없습니다",IF(AND($I1712&gt;0,$J1712&gt;0),"수입·지출 둘 다 적혔습니다",IF($C1712="","결제수단을 고르십시오",IF(ISNA(MATCH($C1712,'통합 ③ 통장·카드'!$A$5:$A$11,0)),"③ 통장·카드에 없는 결제수단입니다",IF($D1712="","계정과목을 고르십시오",IF($E1712="※없는 과목","④ 설정에 없는 과목입니다",IF(AND($E1712="수입",$J1712&gt;0),"수입 과목인데 지출에 적혔습니다",IF(AND(LEFT($E1712,2)&lt;&gt;"수입",$E1712&lt;&gt;"대체",$I1712&gt;0),"지출 과목인데 수입에 적혔습니다",IF($K1712="","증빙을 고르십시오",IF(AND($C1712="바우처통장",$J1712&gt;0,IFERROR(INDEX('통합 ④ 설정'!$E$6:$E$40,MATCH($D1712,'통합 ④ 설정'!$B$6:$B$40,0)),"")&lt;&gt;"○"),"바우처통장 지출 — 목적 확인",IF($H1712="","적요를 적으십시오",""))))))))))))</f>
        <v/>
      </c>
      <c r="M1712" s="39"/>
      <c r="O1712" s="11" t="str">
        <f aca="false">IF($B1712="","",YEAR($B1712)*100+MONTH($B1712))</f>
        <v/>
      </c>
      <c r="P1712" s="11" t="str">
        <f aca="false">IF($B1712="","",IF($E1712="대체",0,1))</f>
        <v/>
      </c>
    </row>
    <row r="1713" customFormat="false" ht="15" hidden="false" customHeight="false" outlineLevel="0" collapsed="false">
      <c r="A1713" s="36" t="str">
        <f aca="false">IF($B1713="","",COUNT($B$15:$B1713))</f>
        <v/>
      </c>
      <c r="B1713" s="37"/>
      <c r="C1713" s="38"/>
      <c r="D1713" s="39"/>
      <c r="E1713" s="36" t="str">
        <f aca="false">IF($D1713="","",IFERROR(INDEX('통합 ④ 설정'!$A$6:$A$40,MATCH($D1713,'통합 ④ 설정'!$B$6:$B$40,0)),"※없는 과목"))</f>
        <v/>
      </c>
      <c r="F1713" s="36" t="str">
        <f aca="false">IF($D1713="","",IFERROR(INDEX('통합 ④ 설정'!$C$6:$C$40,MATCH($D1713,'통합 ④ 설정'!$B$6:$B$40,0)),""))</f>
        <v/>
      </c>
      <c r="G1713" s="39"/>
      <c r="H1713" s="39"/>
      <c r="I1713" s="40"/>
      <c r="J1713" s="41"/>
      <c r="K1713" s="38"/>
      <c r="L1713" s="42" t="str">
        <f aca="false">IF($B1713="","",IF(AND(N($I1713)=0,N($J1713)=0),"금액이 없습니다",IF(AND($I1713&gt;0,$J1713&gt;0),"수입·지출 둘 다 적혔습니다",IF($C1713="","결제수단을 고르십시오",IF(ISNA(MATCH($C1713,'통합 ③ 통장·카드'!$A$5:$A$11,0)),"③ 통장·카드에 없는 결제수단입니다",IF($D1713="","계정과목을 고르십시오",IF($E1713="※없는 과목","④ 설정에 없는 과목입니다",IF(AND($E1713="수입",$J1713&gt;0),"수입 과목인데 지출에 적혔습니다",IF(AND(LEFT($E1713,2)&lt;&gt;"수입",$E1713&lt;&gt;"대체",$I1713&gt;0),"지출 과목인데 수입에 적혔습니다",IF($K1713="","증빙을 고르십시오",IF(AND($C1713="바우처통장",$J1713&gt;0,IFERROR(INDEX('통합 ④ 설정'!$E$6:$E$40,MATCH($D1713,'통합 ④ 설정'!$B$6:$B$40,0)),"")&lt;&gt;"○"),"바우처통장 지출 — 목적 확인",IF($H1713="","적요를 적으십시오",""))))))))))))</f>
        <v/>
      </c>
      <c r="M1713" s="39"/>
      <c r="O1713" s="11" t="str">
        <f aca="false">IF($B1713="","",YEAR($B1713)*100+MONTH($B1713))</f>
        <v/>
      </c>
      <c r="P1713" s="11" t="str">
        <f aca="false">IF($B1713="","",IF($E1713="대체",0,1))</f>
        <v/>
      </c>
    </row>
    <row r="1714" customFormat="false" ht="15" hidden="false" customHeight="false" outlineLevel="0" collapsed="false">
      <c r="A1714" s="36" t="str">
        <f aca="false">IF($B1714="","",COUNT($B$15:$B1714))</f>
        <v/>
      </c>
      <c r="B1714" s="37"/>
      <c r="C1714" s="38"/>
      <c r="D1714" s="39"/>
      <c r="E1714" s="36" t="str">
        <f aca="false">IF($D1714="","",IFERROR(INDEX('통합 ④ 설정'!$A$6:$A$40,MATCH($D1714,'통합 ④ 설정'!$B$6:$B$40,0)),"※없는 과목"))</f>
        <v/>
      </c>
      <c r="F1714" s="36" t="str">
        <f aca="false">IF($D1714="","",IFERROR(INDEX('통합 ④ 설정'!$C$6:$C$40,MATCH($D1714,'통합 ④ 설정'!$B$6:$B$40,0)),""))</f>
        <v/>
      </c>
      <c r="G1714" s="39"/>
      <c r="H1714" s="39"/>
      <c r="I1714" s="40"/>
      <c r="J1714" s="41"/>
      <c r="K1714" s="38"/>
      <c r="L1714" s="42" t="str">
        <f aca="false">IF($B1714="","",IF(AND(N($I1714)=0,N($J1714)=0),"금액이 없습니다",IF(AND($I1714&gt;0,$J1714&gt;0),"수입·지출 둘 다 적혔습니다",IF($C1714="","결제수단을 고르십시오",IF(ISNA(MATCH($C1714,'통합 ③ 통장·카드'!$A$5:$A$11,0)),"③ 통장·카드에 없는 결제수단입니다",IF($D1714="","계정과목을 고르십시오",IF($E1714="※없는 과목","④ 설정에 없는 과목입니다",IF(AND($E1714="수입",$J1714&gt;0),"수입 과목인데 지출에 적혔습니다",IF(AND(LEFT($E1714,2)&lt;&gt;"수입",$E1714&lt;&gt;"대체",$I1714&gt;0),"지출 과목인데 수입에 적혔습니다",IF($K1714="","증빙을 고르십시오",IF(AND($C1714="바우처통장",$J1714&gt;0,IFERROR(INDEX('통합 ④ 설정'!$E$6:$E$40,MATCH($D1714,'통합 ④ 설정'!$B$6:$B$40,0)),"")&lt;&gt;"○"),"바우처통장 지출 — 목적 확인",IF($H1714="","적요를 적으십시오",""))))))))))))</f>
        <v/>
      </c>
      <c r="M1714" s="39"/>
      <c r="O1714" s="11" t="str">
        <f aca="false">IF($B1714="","",YEAR($B1714)*100+MONTH($B1714))</f>
        <v/>
      </c>
      <c r="P1714" s="11" t="str">
        <f aca="false">IF($B1714="","",IF($E1714="대체",0,1))</f>
        <v/>
      </c>
    </row>
    <row r="1715" customFormat="false" ht="15" hidden="false" customHeight="false" outlineLevel="0" collapsed="false">
      <c r="A1715" s="36" t="str">
        <f aca="false">IF($B1715="","",COUNT($B$15:$B1715))</f>
        <v/>
      </c>
      <c r="B1715" s="37"/>
      <c r="C1715" s="38"/>
      <c r="D1715" s="39"/>
      <c r="E1715" s="36" t="str">
        <f aca="false">IF($D1715="","",IFERROR(INDEX('통합 ④ 설정'!$A$6:$A$40,MATCH($D1715,'통합 ④ 설정'!$B$6:$B$40,0)),"※없는 과목"))</f>
        <v/>
      </c>
      <c r="F1715" s="36" t="str">
        <f aca="false">IF($D1715="","",IFERROR(INDEX('통합 ④ 설정'!$C$6:$C$40,MATCH($D1715,'통합 ④ 설정'!$B$6:$B$40,0)),""))</f>
        <v/>
      </c>
      <c r="G1715" s="39"/>
      <c r="H1715" s="39"/>
      <c r="I1715" s="40"/>
      <c r="J1715" s="41"/>
      <c r="K1715" s="38"/>
      <c r="L1715" s="42" t="str">
        <f aca="false">IF($B1715="","",IF(AND(N($I1715)=0,N($J1715)=0),"금액이 없습니다",IF(AND($I1715&gt;0,$J1715&gt;0),"수입·지출 둘 다 적혔습니다",IF($C1715="","결제수단을 고르십시오",IF(ISNA(MATCH($C1715,'통합 ③ 통장·카드'!$A$5:$A$11,0)),"③ 통장·카드에 없는 결제수단입니다",IF($D1715="","계정과목을 고르십시오",IF($E1715="※없는 과목","④ 설정에 없는 과목입니다",IF(AND($E1715="수입",$J1715&gt;0),"수입 과목인데 지출에 적혔습니다",IF(AND(LEFT($E1715,2)&lt;&gt;"수입",$E1715&lt;&gt;"대체",$I1715&gt;0),"지출 과목인데 수입에 적혔습니다",IF($K1715="","증빙을 고르십시오",IF(AND($C1715="바우처통장",$J1715&gt;0,IFERROR(INDEX('통합 ④ 설정'!$E$6:$E$40,MATCH($D1715,'통합 ④ 설정'!$B$6:$B$40,0)),"")&lt;&gt;"○"),"바우처통장 지출 — 목적 확인",IF($H1715="","적요를 적으십시오",""))))))))))))</f>
        <v/>
      </c>
      <c r="M1715" s="39"/>
      <c r="O1715" s="11" t="str">
        <f aca="false">IF($B1715="","",YEAR($B1715)*100+MONTH($B1715))</f>
        <v/>
      </c>
      <c r="P1715" s="11" t="str">
        <f aca="false">IF($B1715="","",IF($E1715="대체",0,1))</f>
        <v/>
      </c>
    </row>
    <row r="1716" customFormat="false" ht="15" hidden="false" customHeight="false" outlineLevel="0" collapsed="false">
      <c r="A1716" s="36" t="str">
        <f aca="false">IF($B1716="","",COUNT($B$15:$B1716))</f>
        <v/>
      </c>
      <c r="B1716" s="37"/>
      <c r="C1716" s="38"/>
      <c r="D1716" s="39"/>
      <c r="E1716" s="36" t="str">
        <f aca="false">IF($D1716="","",IFERROR(INDEX('통합 ④ 설정'!$A$6:$A$40,MATCH($D1716,'통합 ④ 설정'!$B$6:$B$40,0)),"※없는 과목"))</f>
        <v/>
      </c>
      <c r="F1716" s="36" t="str">
        <f aca="false">IF($D1716="","",IFERROR(INDEX('통합 ④ 설정'!$C$6:$C$40,MATCH($D1716,'통합 ④ 설정'!$B$6:$B$40,0)),""))</f>
        <v/>
      </c>
      <c r="G1716" s="39"/>
      <c r="H1716" s="39"/>
      <c r="I1716" s="40"/>
      <c r="J1716" s="41"/>
      <c r="K1716" s="38"/>
      <c r="L1716" s="42" t="str">
        <f aca="false">IF($B1716="","",IF(AND(N($I1716)=0,N($J1716)=0),"금액이 없습니다",IF(AND($I1716&gt;0,$J1716&gt;0),"수입·지출 둘 다 적혔습니다",IF($C1716="","결제수단을 고르십시오",IF(ISNA(MATCH($C1716,'통합 ③ 통장·카드'!$A$5:$A$11,0)),"③ 통장·카드에 없는 결제수단입니다",IF($D1716="","계정과목을 고르십시오",IF($E1716="※없는 과목","④ 설정에 없는 과목입니다",IF(AND($E1716="수입",$J1716&gt;0),"수입 과목인데 지출에 적혔습니다",IF(AND(LEFT($E1716,2)&lt;&gt;"수입",$E1716&lt;&gt;"대체",$I1716&gt;0),"지출 과목인데 수입에 적혔습니다",IF($K1716="","증빙을 고르십시오",IF(AND($C1716="바우처통장",$J1716&gt;0,IFERROR(INDEX('통합 ④ 설정'!$E$6:$E$40,MATCH($D1716,'통합 ④ 설정'!$B$6:$B$40,0)),"")&lt;&gt;"○"),"바우처통장 지출 — 목적 확인",IF($H1716="","적요를 적으십시오",""))))))))))))</f>
        <v/>
      </c>
      <c r="M1716" s="39"/>
      <c r="O1716" s="11" t="str">
        <f aca="false">IF($B1716="","",YEAR($B1716)*100+MONTH($B1716))</f>
        <v/>
      </c>
      <c r="P1716" s="11" t="str">
        <f aca="false">IF($B1716="","",IF($E1716="대체",0,1))</f>
        <v/>
      </c>
    </row>
    <row r="1717" customFormat="false" ht="15" hidden="false" customHeight="false" outlineLevel="0" collapsed="false">
      <c r="A1717" s="36" t="str">
        <f aca="false">IF($B1717="","",COUNT($B$15:$B1717))</f>
        <v/>
      </c>
      <c r="B1717" s="37"/>
      <c r="C1717" s="38"/>
      <c r="D1717" s="39"/>
      <c r="E1717" s="36" t="str">
        <f aca="false">IF($D1717="","",IFERROR(INDEX('통합 ④ 설정'!$A$6:$A$40,MATCH($D1717,'통합 ④ 설정'!$B$6:$B$40,0)),"※없는 과목"))</f>
        <v/>
      </c>
      <c r="F1717" s="36" t="str">
        <f aca="false">IF($D1717="","",IFERROR(INDEX('통합 ④ 설정'!$C$6:$C$40,MATCH($D1717,'통합 ④ 설정'!$B$6:$B$40,0)),""))</f>
        <v/>
      </c>
      <c r="G1717" s="39"/>
      <c r="H1717" s="39"/>
      <c r="I1717" s="40"/>
      <c r="J1717" s="41"/>
      <c r="K1717" s="38"/>
      <c r="L1717" s="42" t="str">
        <f aca="false">IF($B1717="","",IF(AND(N($I1717)=0,N($J1717)=0),"금액이 없습니다",IF(AND($I1717&gt;0,$J1717&gt;0),"수입·지출 둘 다 적혔습니다",IF($C1717="","결제수단을 고르십시오",IF(ISNA(MATCH($C1717,'통합 ③ 통장·카드'!$A$5:$A$11,0)),"③ 통장·카드에 없는 결제수단입니다",IF($D1717="","계정과목을 고르십시오",IF($E1717="※없는 과목","④ 설정에 없는 과목입니다",IF(AND($E1717="수입",$J1717&gt;0),"수입 과목인데 지출에 적혔습니다",IF(AND(LEFT($E1717,2)&lt;&gt;"수입",$E1717&lt;&gt;"대체",$I1717&gt;0),"지출 과목인데 수입에 적혔습니다",IF($K1717="","증빙을 고르십시오",IF(AND($C1717="바우처통장",$J1717&gt;0,IFERROR(INDEX('통합 ④ 설정'!$E$6:$E$40,MATCH($D1717,'통합 ④ 설정'!$B$6:$B$40,0)),"")&lt;&gt;"○"),"바우처통장 지출 — 목적 확인",IF($H1717="","적요를 적으십시오",""))))))))))))</f>
        <v/>
      </c>
      <c r="M1717" s="39"/>
      <c r="O1717" s="11" t="str">
        <f aca="false">IF($B1717="","",YEAR($B1717)*100+MONTH($B1717))</f>
        <v/>
      </c>
      <c r="P1717" s="11" t="str">
        <f aca="false">IF($B1717="","",IF($E1717="대체",0,1))</f>
        <v/>
      </c>
    </row>
    <row r="1718" customFormat="false" ht="15" hidden="false" customHeight="false" outlineLevel="0" collapsed="false">
      <c r="A1718" s="36" t="str">
        <f aca="false">IF($B1718="","",COUNT($B$15:$B1718))</f>
        <v/>
      </c>
      <c r="B1718" s="37"/>
      <c r="C1718" s="38"/>
      <c r="D1718" s="39"/>
      <c r="E1718" s="36" t="str">
        <f aca="false">IF($D1718="","",IFERROR(INDEX('통합 ④ 설정'!$A$6:$A$40,MATCH($D1718,'통합 ④ 설정'!$B$6:$B$40,0)),"※없는 과목"))</f>
        <v/>
      </c>
      <c r="F1718" s="36" t="str">
        <f aca="false">IF($D1718="","",IFERROR(INDEX('통합 ④ 설정'!$C$6:$C$40,MATCH($D1718,'통합 ④ 설정'!$B$6:$B$40,0)),""))</f>
        <v/>
      </c>
      <c r="G1718" s="39"/>
      <c r="H1718" s="39"/>
      <c r="I1718" s="40"/>
      <c r="J1718" s="41"/>
      <c r="K1718" s="38"/>
      <c r="L1718" s="42" t="str">
        <f aca="false">IF($B1718="","",IF(AND(N($I1718)=0,N($J1718)=0),"금액이 없습니다",IF(AND($I1718&gt;0,$J1718&gt;0),"수입·지출 둘 다 적혔습니다",IF($C1718="","결제수단을 고르십시오",IF(ISNA(MATCH($C1718,'통합 ③ 통장·카드'!$A$5:$A$11,0)),"③ 통장·카드에 없는 결제수단입니다",IF($D1718="","계정과목을 고르십시오",IF($E1718="※없는 과목","④ 설정에 없는 과목입니다",IF(AND($E1718="수입",$J1718&gt;0),"수입 과목인데 지출에 적혔습니다",IF(AND(LEFT($E1718,2)&lt;&gt;"수입",$E1718&lt;&gt;"대체",$I1718&gt;0),"지출 과목인데 수입에 적혔습니다",IF($K1718="","증빙을 고르십시오",IF(AND($C1718="바우처통장",$J1718&gt;0,IFERROR(INDEX('통합 ④ 설정'!$E$6:$E$40,MATCH($D1718,'통합 ④ 설정'!$B$6:$B$40,0)),"")&lt;&gt;"○"),"바우처통장 지출 — 목적 확인",IF($H1718="","적요를 적으십시오",""))))))))))))</f>
        <v/>
      </c>
      <c r="M1718" s="39"/>
      <c r="O1718" s="11" t="str">
        <f aca="false">IF($B1718="","",YEAR($B1718)*100+MONTH($B1718))</f>
        <v/>
      </c>
      <c r="P1718" s="11" t="str">
        <f aca="false">IF($B1718="","",IF($E1718="대체",0,1))</f>
        <v/>
      </c>
    </row>
    <row r="1719" customFormat="false" ht="15" hidden="false" customHeight="false" outlineLevel="0" collapsed="false">
      <c r="A1719" s="36" t="str">
        <f aca="false">IF($B1719="","",COUNT($B$15:$B1719))</f>
        <v/>
      </c>
      <c r="B1719" s="37"/>
      <c r="C1719" s="38"/>
      <c r="D1719" s="39"/>
      <c r="E1719" s="36" t="str">
        <f aca="false">IF($D1719="","",IFERROR(INDEX('통합 ④ 설정'!$A$6:$A$40,MATCH($D1719,'통합 ④ 설정'!$B$6:$B$40,0)),"※없는 과목"))</f>
        <v/>
      </c>
      <c r="F1719" s="36" t="str">
        <f aca="false">IF($D1719="","",IFERROR(INDEX('통합 ④ 설정'!$C$6:$C$40,MATCH($D1719,'통합 ④ 설정'!$B$6:$B$40,0)),""))</f>
        <v/>
      </c>
      <c r="G1719" s="39"/>
      <c r="H1719" s="39"/>
      <c r="I1719" s="40"/>
      <c r="J1719" s="41"/>
      <c r="K1719" s="38"/>
      <c r="L1719" s="42" t="str">
        <f aca="false">IF($B1719="","",IF(AND(N($I1719)=0,N($J1719)=0),"금액이 없습니다",IF(AND($I1719&gt;0,$J1719&gt;0),"수입·지출 둘 다 적혔습니다",IF($C1719="","결제수단을 고르십시오",IF(ISNA(MATCH($C1719,'통합 ③ 통장·카드'!$A$5:$A$11,0)),"③ 통장·카드에 없는 결제수단입니다",IF($D1719="","계정과목을 고르십시오",IF($E1719="※없는 과목","④ 설정에 없는 과목입니다",IF(AND($E1719="수입",$J1719&gt;0),"수입 과목인데 지출에 적혔습니다",IF(AND(LEFT($E1719,2)&lt;&gt;"수입",$E1719&lt;&gt;"대체",$I1719&gt;0),"지출 과목인데 수입에 적혔습니다",IF($K1719="","증빙을 고르십시오",IF(AND($C1719="바우처통장",$J1719&gt;0,IFERROR(INDEX('통합 ④ 설정'!$E$6:$E$40,MATCH($D1719,'통합 ④ 설정'!$B$6:$B$40,0)),"")&lt;&gt;"○"),"바우처통장 지출 — 목적 확인",IF($H1719="","적요를 적으십시오",""))))))))))))</f>
        <v/>
      </c>
      <c r="M1719" s="39"/>
      <c r="O1719" s="11" t="str">
        <f aca="false">IF($B1719="","",YEAR($B1719)*100+MONTH($B1719))</f>
        <v/>
      </c>
      <c r="P1719" s="11" t="str">
        <f aca="false">IF($B1719="","",IF($E1719="대체",0,1))</f>
        <v/>
      </c>
    </row>
    <row r="1720" customFormat="false" ht="15" hidden="false" customHeight="false" outlineLevel="0" collapsed="false">
      <c r="A1720" s="36" t="str">
        <f aca="false">IF($B1720="","",COUNT($B$15:$B1720))</f>
        <v/>
      </c>
      <c r="B1720" s="37"/>
      <c r="C1720" s="38"/>
      <c r="D1720" s="39"/>
      <c r="E1720" s="36" t="str">
        <f aca="false">IF($D1720="","",IFERROR(INDEX('통합 ④ 설정'!$A$6:$A$40,MATCH($D1720,'통합 ④ 설정'!$B$6:$B$40,0)),"※없는 과목"))</f>
        <v/>
      </c>
      <c r="F1720" s="36" t="str">
        <f aca="false">IF($D1720="","",IFERROR(INDEX('통합 ④ 설정'!$C$6:$C$40,MATCH($D1720,'통합 ④ 설정'!$B$6:$B$40,0)),""))</f>
        <v/>
      </c>
      <c r="G1720" s="39"/>
      <c r="H1720" s="39"/>
      <c r="I1720" s="40"/>
      <c r="J1720" s="41"/>
      <c r="K1720" s="38"/>
      <c r="L1720" s="42" t="str">
        <f aca="false">IF($B1720="","",IF(AND(N($I1720)=0,N($J1720)=0),"금액이 없습니다",IF(AND($I1720&gt;0,$J1720&gt;0),"수입·지출 둘 다 적혔습니다",IF($C1720="","결제수단을 고르십시오",IF(ISNA(MATCH($C1720,'통합 ③ 통장·카드'!$A$5:$A$11,0)),"③ 통장·카드에 없는 결제수단입니다",IF($D1720="","계정과목을 고르십시오",IF($E1720="※없는 과목","④ 설정에 없는 과목입니다",IF(AND($E1720="수입",$J1720&gt;0),"수입 과목인데 지출에 적혔습니다",IF(AND(LEFT($E1720,2)&lt;&gt;"수입",$E1720&lt;&gt;"대체",$I1720&gt;0),"지출 과목인데 수입에 적혔습니다",IF($K1720="","증빙을 고르십시오",IF(AND($C1720="바우처통장",$J1720&gt;0,IFERROR(INDEX('통합 ④ 설정'!$E$6:$E$40,MATCH($D1720,'통합 ④ 설정'!$B$6:$B$40,0)),"")&lt;&gt;"○"),"바우처통장 지출 — 목적 확인",IF($H1720="","적요를 적으십시오",""))))))))))))</f>
        <v/>
      </c>
      <c r="M1720" s="39"/>
      <c r="O1720" s="11" t="str">
        <f aca="false">IF($B1720="","",YEAR($B1720)*100+MONTH($B1720))</f>
        <v/>
      </c>
      <c r="P1720" s="11" t="str">
        <f aca="false">IF($B1720="","",IF($E1720="대체",0,1))</f>
        <v/>
      </c>
    </row>
    <row r="1721" customFormat="false" ht="15" hidden="false" customHeight="false" outlineLevel="0" collapsed="false">
      <c r="A1721" s="36" t="str">
        <f aca="false">IF($B1721="","",COUNT($B$15:$B1721))</f>
        <v/>
      </c>
      <c r="B1721" s="37"/>
      <c r="C1721" s="38"/>
      <c r="D1721" s="39"/>
      <c r="E1721" s="36" t="str">
        <f aca="false">IF($D1721="","",IFERROR(INDEX('통합 ④ 설정'!$A$6:$A$40,MATCH($D1721,'통합 ④ 설정'!$B$6:$B$40,0)),"※없는 과목"))</f>
        <v/>
      </c>
      <c r="F1721" s="36" t="str">
        <f aca="false">IF($D1721="","",IFERROR(INDEX('통합 ④ 설정'!$C$6:$C$40,MATCH($D1721,'통합 ④ 설정'!$B$6:$B$40,0)),""))</f>
        <v/>
      </c>
      <c r="G1721" s="39"/>
      <c r="H1721" s="39"/>
      <c r="I1721" s="40"/>
      <c r="J1721" s="41"/>
      <c r="K1721" s="38"/>
      <c r="L1721" s="42" t="str">
        <f aca="false">IF($B1721="","",IF(AND(N($I1721)=0,N($J1721)=0),"금액이 없습니다",IF(AND($I1721&gt;0,$J1721&gt;0),"수입·지출 둘 다 적혔습니다",IF($C1721="","결제수단을 고르십시오",IF(ISNA(MATCH($C1721,'통합 ③ 통장·카드'!$A$5:$A$11,0)),"③ 통장·카드에 없는 결제수단입니다",IF($D1721="","계정과목을 고르십시오",IF($E1721="※없는 과목","④ 설정에 없는 과목입니다",IF(AND($E1721="수입",$J1721&gt;0),"수입 과목인데 지출에 적혔습니다",IF(AND(LEFT($E1721,2)&lt;&gt;"수입",$E1721&lt;&gt;"대체",$I1721&gt;0),"지출 과목인데 수입에 적혔습니다",IF($K1721="","증빙을 고르십시오",IF(AND($C1721="바우처통장",$J1721&gt;0,IFERROR(INDEX('통합 ④ 설정'!$E$6:$E$40,MATCH($D1721,'통합 ④ 설정'!$B$6:$B$40,0)),"")&lt;&gt;"○"),"바우처통장 지출 — 목적 확인",IF($H1721="","적요를 적으십시오",""))))))))))))</f>
        <v/>
      </c>
      <c r="M1721" s="39"/>
      <c r="O1721" s="11" t="str">
        <f aca="false">IF($B1721="","",YEAR($B1721)*100+MONTH($B1721))</f>
        <v/>
      </c>
      <c r="P1721" s="11" t="str">
        <f aca="false">IF($B1721="","",IF($E1721="대체",0,1))</f>
        <v/>
      </c>
    </row>
    <row r="1722" customFormat="false" ht="15" hidden="false" customHeight="false" outlineLevel="0" collapsed="false">
      <c r="A1722" s="36" t="str">
        <f aca="false">IF($B1722="","",COUNT($B$15:$B1722))</f>
        <v/>
      </c>
      <c r="B1722" s="37"/>
      <c r="C1722" s="38"/>
      <c r="D1722" s="39"/>
      <c r="E1722" s="36" t="str">
        <f aca="false">IF($D1722="","",IFERROR(INDEX('통합 ④ 설정'!$A$6:$A$40,MATCH($D1722,'통합 ④ 설정'!$B$6:$B$40,0)),"※없는 과목"))</f>
        <v/>
      </c>
      <c r="F1722" s="36" t="str">
        <f aca="false">IF($D1722="","",IFERROR(INDEX('통합 ④ 설정'!$C$6:$C$40,MATCH($D1722,'통합 ④ 설정'!$B$6:$B$40,0)),""))</f>
        <v/>
      </c>
      <c r="G1722" s="39"/>
      <c r="H1722" s="39"/>
      <c r="I1722" s="40"/>
      <c r="J1722" s="41"/>
      <c r="K1722" s="38"/>
      <c r="L1722" s="42" t="str">
        <f aca="false">IF($B1722="","",IF(AND(N($I1722)=0,N($J1722)=0),"금액이 없습니다",IF(AND($I1722&gt;0,$J1722&gt;0),"수입·지출 둘 다 적혔습니다",IF($C1722="","결제수단을 고르십시오",IF(ISNA(MATCH($C1722,'통합 ③ 통장·카드'!$A$5:$A$11,0)),"③ 통장·카드에 없는 결제수단입니다",IF($D1722="","계정과목을 고르십시오",IF($E1722="※없는 과목","④ 설정에 없는 과목입니다",IF(AND($E1722="수입",$J1722&gt;0),"수입 과목인데 지출에 적혔습니다",IF(AND(LEFT($E1722,2)&lt;&gt;"수입",$E1722&lt;&gt;"대체",$I1722&gt;0),"지출 과목인데 수입에 적혔습니다",IF($K1722="","증빙을 고르십시오",IF(AND($C1722="바우처통장",$J1722&gt;0,IFERROR(INDEX('통합 ④ 설정'!$E$6:$E$40,MATCH($D1722,'통합 ④ 설정'!$B$6:$B$40,0)),"")&lt;&gt;"○"),"바우처통장 지출 — 목적 확인",IF($H1722="","적요를 적으십시오",""))))))))))))</f>
        <v/>
      </c>
      <c r="M1722" s="39"/>
      <c r="O1722" s="11" t="str">
        <f aca="false">IF($B1722="","",YEAR($B1722)*100+MONTH($B1722))</f>
        <v/>
      </c>
      <c r="P1722" s="11" t="str">
        <f aca="false">IF($B1722="","",IF($E1722="대체",0,1))</f>
        <v/>
      </c>
    </row>
    <row r="1723" customFormat="false" ht="15" hidden="false" customHeight="false" outlineLevel="0" collapsed="false">
      <c r="A1723" s="36" t="str">
        <f aca="false">IF($B1723="","",COUNT($B$15:$B1723))</f>
        <v/>
      </c>
      <c r="B1723" s="37"/>
      <c r="C1723" s="38"/>
      <c r="D1723" s="39"/>
      <c r="E1723" s="36" t="str">
        <f aca="false">IF($D1723="","",IFERROR(INDEX('통합 ④ 설정'!$A$6:$A$40,MATCH($D1723,'통합 ④ 설정'!$B$6:$B$40,0)),"※없는 과목"))</f>
        <v/>
      </c>
      <c r="F1723" s="36" t="str">
        <f aca="false">IF($D1723="","",IFERROR(INDEX('통합 ④ 설정'!$C$6:$C$40,MATCH($D1723,'통합 ④ 설정'!$B$6:$B$40,0)),""))</f>
        <v/>
      </c>
      <c r="G1723" s="39"/>
      <c r="H1723" s="39"/>
      <c r="I1723" s="40"/>
      <c r="J1723" s="41"/>
      <c r="K1723" s="38"/>
      <c r="L1723" s="42" t="str">
        <f aca="false">IF($B1723="","",IF(AND(N($I1723)=0,N($J1723)=0),"금액이 없습니다",IF(AND($I1723&gt;0,$J1723&gt;0),"수입·지출 둘 다 적혔습니다",IF($C1723="","결제수단을 고르십시오",IF(ISNA(MATCH($C1723,'통합 ③ 통장·카드'!$A$5:$A$11,0)),"③ 통장·카드에 없는 결제수단입니다",IF($D1723="","계정과목을 고르십시오",IF($E1723="※없는 과목","④ 설정에 없는 과목입니다",IF(AND($E1723="수입",$J1723&gt;0),"수입 과목인데 지출에 적혔습니다",IF(AND(LEFT($E1723,2)&lt;&gt;"수입",$E1723&lt;&gt;"대체",$I1723&gt;0),"지출 과목인데 수입에 적혔습니다",IF($K1723="","증빙을 고르십시오",IF(AND($C1723="바우처통장",$J1723&gt;0,IFERROR(INDEX('통합 ④ 설정'!$E$6:$E$40,MATCH($D1723,'통합 ④ 설정'!$B$6:$B$40,0)),"")&lt;&gt;"○"),"바우처통장 지출 — 목적 확인",IF($H1723="","적요를 적으십시오",""))))))))))))</f>
        <v/>
      </c>
      <c r="M1723" s="39"/>
      <c r="O1723" s="11" t="str">
        <f aca="false">IF($B1723="","",YEAR($B1723)*100+MONTH($B1723))</f>
        <v/>
      </c>
      <c r="P1723" s="11" t="str">
        <f aca="false">IF($B1723="","",IF($E1723="대체",0,1))</f>
        <v/>
      </c>
    </row>
    <row r="1724" customFormat="false" ht="15" hidden="false" customHeight="false" outlineLevel="0" collapsed="false">
      <c r="A1724" s="36" t="str">
        <f aca="false">IF($B1724="","",COUNT($B$15:$B1724))</f>
        <v/>
      </c>
      <c r="B1724" s="37"/>
      <c r="C1724" s="38"/>
      <c r="D1724" s="39"/>
      <c r="E1724" s="36" t="str">
        <f aca="false">IF($D1724="","",IFERROR(INDEX('통합 ④ 설정'!$A$6:$A$40,MATCH($D1724,'통합 ④ 설정'!$B$6:$B$40,0)),"※없는 과목"))</f>
        <v/>
      </c>
      <c r="F1724" s="36" t="str">
        <f aca="false">IF($D1724="","",IFERROR(INDEX('통합 ④ 설정'!$C$6:$C$40,MATCH($D1724,'통합 ④ 설정'!$B$6:$B$40,0)),""))</f>
        <v/>
      </c>
      <c r="G1724" s="39"/>
      <c r="H1724" s="39"/>
      <c r="I1724" s="40"/>
      <c r="J1724" s="41"/>
      <c r="K1724" s="38"/>
      <c r="L1724" s="42" t="str">
        <f aca="false">IF($B1724="","",IF(AND(N($I1724)=0,N($J1724)=0),"금액이 없습니다",IF(AND($I1724&gt;0,$J1724&gt;0),"수입·지출 둘 다 적혔습니다",IF($C1724="","결제수단을 고르십시오",IF(ISNA(MATCH($C1724,'통합 ③ 통장·카드'!$A$5:$A$11,0)),"③ 통장·카드에 없는 결제수단입니다",IF($D1724="","계정과목을 고르십시오",IF($E1724="※없는 과목","④ 설정에 없는 과목입니다",IF(AND($E1724="수입",$J1724&gt;0),"수입 과목인데 지출에 적혔습니다",IF(AND(LEFT($E1724,2)&lt;&gt;"수입",$E1724&lt;&gt;"대체",$I1724&gt;0),"지출 과목인데 수입에 적혔습니다",IF($K1724="","증빙을 고르십시오",IF(AND($C1724="바우처통장",$J1724&gt;0,IFERROR(INDEX('통합 ④ 설정'!$E$6:$E$40,MATCH($D1724,'통합 ④ 설정'!$B$6:$B$40,0)),"")&lt;&gt;"○"),"바우처통장 지출 — 목적 확인",IF($H1724="","적요를 적으십시오",""))))))))))))</f>
        <v/>
      </c>
      <c r="M1724" s="39"/>
      <c r="O1724" s="11" t="str">
        <f aca="false">IF($B1724="","",YEAR($B1724)*100+MONTH($B1724))</f>
        <v/>
      </c>
      <c r="P1724" s="11" t="str">
        <f aca="false">IF($B1724="","",IF($E1724="대체",0,1))</f>
        <v/>
      </c>
    </row>
    <row r="1725" customFormat="false" ht="15" hidden="false" customHeight="false" outlineLevel="0" collapsed="false">
      <c r="A1725" s="36" t="str">
        <f aca="false">IF($B1725="","",COUNT($B$15:$B1725))</f>
        <v/>
      </c>
      <c r="B1725" s="37"/>
      <c r="C1725" s="38"/>
      <c r="D1725" s="39"/>
      <c r="E1725" s="36" t="str">
        <f aca="false">IF($D1725="","",IFERROR(INDEX('통합 ④ 설정'!$A$6:$A$40,MATCH($D1725,'통합 ④ 설정'!$B$6:$B$40,0)),"※없는 과목"))</f>
        <v/>
      </c>
      <c r="F1725" s="36" t="str">
        <f aca="false">IF($D1725="","",IFERROR(INDEX('통합 ④ 설정'!$C$6:$C$40,MATCH($D1725,'통합 ④ 설정'!$B$6:$B$40,0)),""))</f>
        <v/>
      </c>
      <c r="G1725" s="39"/>
      <c r="H1725" s="39"/>
      <c r="I1725" s="40"/>
      <c r="J1725" s="41"/>
      <c r="K1725" s="38"/>
      <c r="L1725" s="42" t="str">
        <f aca="false">IF($B1725="","",IF(AND(N($I1725)=0,N($J1725)=0),"금액이 없습니다",IF(AND($I1725&gt;0,$J1725&gt;0),"수입·지출 둘 다 적혔습니다",IF($C1725="","결제수단을 고르십시오",IF(ISNA(MATCH($C1725,'통합 ③ 통장·카드'!$A$5:$A$11,0)),"③ 통장·카드에 없는 결제수단입니다",IF($D1725="","계정과목을 고르십시오",IF($E1725="※없는 과목","④ 설정에 없는 과목입니다",IF(AND($E1725="수입",$J1725&gt;0),"수입 과목인데 지출에 적혔습니다",IF(AND(LEFT($E1725,2)&lt;&gt;"수입",$E1725&lt;&gt;"대체",$I1725&gt;0),"지출 과목인데 수입에 적혔습니다",IF($K1725="","증빙을 고르십시오",IF(AND($C1725="바우처통장",$J1725&gt;0,IFERROR(INDEX('통합 ④ 설정'!$E$6:$E$40,MATCH($D1725,'통합 ④ 설정'!$B$6:$B$40,0)),"")&lt;&gt;"○"),"바우처통장 지출 — 목적 확인",IF($H1725="","적요를 적으십시오",""))))))))))))</f>
        <v/>
      </c>
      <c r="M1725" s="39"/>
      <c r="O1725" s="11" t="str">
        <f aca="false">IF($B1725="","",YEAR($B1725)*100+MONTH($B1725))</f>
        <v/>
      </c>
      <c r="P1725" s="11" t="str">
        <f aca="false">IF($B1725="","",IF($E1725="대체",0,1))</f>
        <v/>
      </c>
    </row>
    <row r="1726" customFormat="false" ht="15" hidden="false" customHeight="false" outlineLevel="0" collapsed="false">
      <c r="A1726" s="36" t="str">
        <f aca="false">IF($B1726="","",COUNT($B$15:$B1726))</f>
        <v/>
      </c>
      <c r="B1726" s="37"/>
      <c r="C1726" s="38"/>
      <c r="D1726" s="39"/>
      <c r="E1726" s="36" t="str">
        <f aca="false">IF($D1726="","",IFERROR(INDEX('통합 ④ 설정'!$A$6:$A$40,MATCH($D1726,'통합 ④ 설정'!$B$6:$B$40,0)),"※없는 과목"))</f>
        <v/>
      </c>
      <c r="F1726" s="36" t="str">
        <f aca="false">IF($D1726="","",IFERROR(INDEX('통합 ④ 설정'!$C$6:$C$40,MATCH($D1726,'통합 ④ 설정'!$B$6:$B$40,0)),""))</f>
        <v/>
      </c>
      <c r="G1726" s="39"/>
      <c r="H1726" s="39"/>
      <c r="I1726" s="40"/>
      <c r="J1726" s="41"/>
      <c r="K1726" s="38"/>
      <c r="L1726" s="42" t="str">
        <f aca="false">IF($B1726="","",IF(AND(N($I1726)=0,N($J1726)=0),"금액이 없습니다",IF(AND($I1726&gt;0,$J1726&gt;0),"수입·지출 둘 다 적혔습니다",IF($C1726="","결제수단을 고르십시오",IF(ISNA(MATCH($C1726,'통합 ③ 통장·카드'!$A$5:$A$11,0)),"③ 통장·카드에 없는 결제수단입니다",IF($D1726="","계정과목을 고르십시오",IF($E1726="※없는 과목","④ 설정에 없는 과목입니다",IF(AND($E1726="수입",$J1726&gt;0),"수입 과목인데 지출에 적혔습니다",IF(AND(LEFT($E1726,2)&lt;&gt;"수입",$E1726&lt;&gt;"대체",$I1726&gt;0),"지출 과목인데 수입에 적혔습니다",IF($K1726="","증빙을 고르십시오",IF(AND($C1726="바우처통장",$J1726&gt;0,IFERROR(INDEX('통합 ④ 설정'!$E$6:$E$40,MATCH($D1726,'통합 ④ 설정'!$B$6:$B$40,0)),"")&lt;&gt;"○"),"바우처통장 지출 — 목적 확인",IF($H1726="","적요를 적으십시오",""))))))))))))</f>
        <v/>
      </c>
      <c r="M1726" s="39"/>
      <c r="O1726" s="11" t="str">
        <f aca="false">IF($B1726="","",YEAR($B1726)*100+MONTH($B1726))</f>
        <v/>
      </c>
      <c r="P1726" s="11" t="str">
        <f aca="false">IF($B1726="","",IF($E1726="대체",0,1))</f>
        <v/>
      </c>
    </row>
    <row r="1727" customFormat="false" ht="15" hidden="false" customHeight="false" outlineLevel="0" collapsed="false">
      <c r="A1727" s="36" t="str">
        <f aca="false">IF($B1727="","",COUNT($B$15:$B1727))</f>
        <v/>
      </c>
      <c r="B1727" s="37"/>
      <c r="C1727" s="38"/>
      <c r="D1727" s="39"/>
      <c r="E1727" s="36" t="str">
        <f aca="false">IF($D1727="","",IFERROR(INDEX('통합 ④ 설정'!$A$6:$A$40,MATCH($D1727,'통합 ④ 설정'!$B$6:$B$40,0)),"※없는 과목"))</f>
        <v/>
      </c>
      <c r="F1727" s="36" t="str">
        <f aca="false">IF($D1727="","",IFERROR(INDEX('통합 ④ 설정'!$C$6:$C$40,MATCH($D1727,'통합 ④ 설정'!$B$6:$B$40,0)),""))</f>
        <v/>
      </c>
      <c r="G1727" s="39"/>
      <c r="H1727" s="39"/>
      <c r="I1727" s="40"/>
      <c r="J1727" s="41"/>
      <c r="K1727" s="38"/>
      <c r="L1727" s="42" t="str">
        <f aca="false">IF($B1727="","",IF(AND(N($I1727)=0,N($J1727)=0),"금액이 없습니다",IF(AND($I1727&gt;0,$J1727&gt;0),"수입·지출 둘 다 적혔습니다",IF($C1727="","결제수단을 고르십시오",IF(ISNA(MATCH($C1727,'통합 ③ 통장·카드'!$A$5:$A$11,0)),"③ 통장·카드에 없는 결제수단입니다",IF($D1727="","계정과목을 고르십시오",IF($E1727="※없는 과목","④ 설정에 없는 과목입니다",IF(AND($E1727="수입",$J1727&gt;0),"수입 과목인데 지출에 적혔습니다",IF(AND(LEFT($E1727,2)&lt;&gt;"수입",$E1727&lt;&gt;"대체",$I1727&gt;0),"지출 과목인데 수입에 적혔습니다",IF($K1727="","증빙을 고르십시오",IF(AND($C1727="바우처통장",$J1727&gt;0,IFERROR(INDEX('통합 ④ 설정'!$E$6:$E$40,MATCH($D1727,'통합 ④ 설정'!$B$6:$B$40,0)),"")&lt;&gt;"○"),"바우처통장 지출 — 목적 확인",IF($H1727="","적요를 적으십시오",""))))))))))))</f>
        <v/>
      </c>
      <c r="M1727" s="39"/>
      <c r="O1727" s="11" t="str">
        <f aca="false">IF($B1727="","",YEAR($B1727)*100+MONTH($B1727))</f>
        <v/>
      </c>
      <c r="P1727" s="11" t="str">
        <f aca="false">IF($B1727="","",IF($E1727="대체",0,1))</f>
        <v/>
      </c>
    </row>
    <row r="1728" customFormat="false" ht="15" hidden="false" customHeight="false" outlineLevel="0" collapsed="false">
      <c r="A1728" s="36" t="str">
        <f aca="false">IF($B1728="","",COUNT($B$15:$B1728))</f>
        <v/>
      </c>
      <c r="B1728" s="37"/>
      <c r="C1728" s="38"/>
      <c r="D1728" s="39"/>
      <c r="E1728" s="36" t="str">
        <f aca="false">IF($D1728="","",IFERROR(INDEX('통합 ④ 설정'!$A$6:$A$40,MATCH($D1728,'통합 ④ 설정'!$B$6:$B$40,0)),"※없는 과목"))</f>
        <v/>
      </c>
      <c r="F1728" s="36" t="str">
        <f aca="false">IF($D1728="","",IFERROR(INDEX('통합 ④ 설정'!$C$6:$C$40,MATCH($D1728,'통합 ④ 설정'!$B$6:$B$40,0)),""))</f>
        <v/>
      </c>
      <c r="G1728" s="39"/>
      <c r="H1728" s="39"/>
      <c r="I1728" s="40"/>
      <c r="J1728" s="41"/>
      <c r="K1728" s="38"/>
      <c r="L1728" s="42" t="str">
        <f aca="false">IF($B1728="","",IF(AND(N($I1728)=0,N($J1728)=0),"금액이 없습니다",IF(AND($I1728&gt;0,$J1728&gt;0),"수입·지출 둘 다 적혔습니다",IF($C1728="","결제수단을 고르십시오",IF(ISNA(MATCH($C1728,'통합 ③ 통장·카드'!$A$5:$A$11,0)),"③ 통장·카드에 없는 결제수단입니다",IF($D1728="","계정과목을 고르십시오",IF($E1728="※없는 과목","④ 설정에 없는 과목입니다",IF(AND($E1728="수입",$J1728&gt;0),"수입 과목인데 지출에 적혔습니다",IF(AND(LEFT($E1728,2)&lt;&gt;"수입",$E1728&lt;&gt;"대체",$I1728&gt;0),"지출 과목인데 수입에 적혔습니다",IF($K1728="","증빙을 고르십시오",IF(AND($C1728="바우처통장",$J1728&gt;0,IFERROR(INDEX('통합 ④ 설정'!$E$6:$E$40,MATCH($D1728,'통합 ④ 설정'!$B$6:$B$40,0)),"")&lt;&gt;"○"),"바우처통장 지출 — 목적 확인",IF($H1728="","적요를 적으십시오",""))))))))))))</f>
        <v/>
      </c>
      <c r="M1728" s="39"/>
      <c r="O1728" s="11" t="str">
        <f aca="false">IF($B1728="","",YEAR($B1728)*100+MONTH($B1728))</f>
        <v/>
      </c>
      <c r="P1728" s="11" t="str">
        <f aca="false">IF($B1728="","",IF($E1728="대체",0,1))</f>
        <v/>
      </c>
    </row>
    <row r="1729" customFormat="false" ht="15" hidden="false" customHeight="false" outlineLevel="0" collapsed="false">
      <c r="A1729" s="36" t="str">
        <f aca="false">IF($B1729="","",COUNT($B$15:$B1729))</f>
        <v/>
      </c>
      <c r="B1729" s="37"/>
      <c r="C1729" s="38"/>
      <c r="D1729" s="39"/>
      <c r="E1729" s="36" t="str">
        <f aca="false">IF($D1729="","",IFERROR(INDEX('통합 ④ 설정'!$A$6:$A$40,MATCH($D1729,'통합 ④ 설정'!$B$6:$B$40,0)),"※없는 과목"))</f>
        <v/>
      </c>
      <c r="F1729" s="36" t="str">
        <f aca="false">IF($D1729="","",IFERROR(INDEX('통합 ④ 설정'!$C$6:$C$40,MATCH($D1729,'통합 ④ 설정'!$B$6:$B$40,0)),""))</f>
        <v/>
      </c>
      <c r="G1729" s="39"/>
      <c r="H1729" s="39"/>
      <c r="I1729" s="40"/>
      <c r="J1729" s="41"/>
      <c r="K1729" s="38"/>
      <c r="L1729" s="42" t="str">
        <f aca="false">IF($B1729="","",IF(AND(N($I1729)=0,N($J1729)=0),"금액이 없습니다",IF(AND($I1729&gt;0,$J1729&gt;0),"수입·지출 둘 다 적혔습니다",IF($C1729="","결제수단을 고르십시오",IF(ISNA(MATCH($C1729,'통합 ③ 통장·카드'!$A$5:$A$11,0)),"③ 통장·카드에 없는 결제수단입니다",IF($D1729="","계정과목을 고르십시오",IF($E1729="※없는 과목","④ 설정에 없는 과목입니다",IF(AND($E1729="수입",$J1729&gt;0),"수입 과목인데 지출에 적혔습니다",IF(AND(LEFT($E1729,2)&lt;&gt;"수입",$E1729&lt;&gt;"대체",$I1729&gt;0),"지출 과목인데 수입에 적혔습니다",IF($K1729="","증빙을 고르십시오",IF(AND($C1729="바우처통장",$J1729&gt;0,IFERROR(INDEX('통합 ④ 설정'!$E$6:$E$40,MATCH($D1729,'통합 ④ 설정'!$B$6:$B$40,0)),"")&lt;&gt;"○"),"바우처통장 지출 — 목적 확인",IF($H1729="","적요를 적으십시오",""))))))))))))</f>
        <v/>
      </c>
      <c r="M1729" s="39"/>
      <c r="O1729" s="11" t="str">
        <f aca="false">IF($B1729="","",YEAR($B1729)*100+MONTH($B1729))</f>
        <v/>
      </c>
      <c r="P1729" s="11" t="str">
        <f aca="false">IF($B1729="","",IF($E1729="대체",0,1))</f>
        <v/>
      </c>
    </row>
    <row r="1730" customFormat="false" ht="15" hidden="false" customHeight="false" outlineLevel="0" collapsed="false">
      <c r="A1730" s="36" t="str">
        <f aca="false">IF($B1730="","",COUNT($B$15:$B1730))</f>
        <v/>
      </c>
      <c r="B1730" s="37"/>
      <c r="C1730" s="38"/>
      <c r="D1730" s="39"/>
      <c r="E1730" s="36" t="str">
        <f aca="false">IF($D1730="","",IFERROR(INDEX('통합 ④ 설정'!$A$6:$A$40,MATCH($D1730,'통합 ④ 설정'!$B$6:$B$40,0)),"※없는 과목"))</f>
        <v/>
      </c>
      <c r="F1730" s="36" t="str">
        <f aca="false">IF($D1730="","",IFERROR(INDEX('통합 ④ 설정'!$C$6:$C$40,MATCH($D1730,'통합 ④ 설정'!$B$6:$B$40,0)),""))</f>
        <v/>
      </c>
      <c r="G1730" s="39"/>
      <c r="H1730" s="39"/>
      <c r="I1730" s="40"/>
      <c r="J1730" s="41"/>
      <c r="K1730" s="38"/>
      <c r="L1730" s="42" t="str">
        <f aca="false">IF($B1730="","",IF(AND(N($I1730)=0,N($J1730)=0),"금액이 없습니다",IF(AND($I1730&gt;0,$J1730&gt;0),"수입·지출 둘 다 적혔습니다",IF($C1730="","결제수단을 고르십시오",IF(ISNA(MATCH($C1730,'통합 ③ 통장·카드'!$A$5:$A$11,0)),"③ 통장·카드에 없는 결제수단입니다",IF($D1730="","계정과목을 고르십시오",IF($E1730="※없는 과목","④ 설정에 없는 과목입니다",IF(AND($E1730="수입",$J1730&gt;0),"수입 과목인데 지출에 적혔습니다",IF(AND(LEFT($E1730,2)&lt;&gt;"수입",$E1730&lt;&gt;"대체",$I1730&gt;0),"지출 과목인데 수입에 적혔습니다",IF($K1730="","증빙을 고르십시오",IF(AND($C1730="바우처통장",$J1730&gt;0,IFERROR(INDEX('통합 ④ 설정'!$E$6:$E$40,MATCH($D1730,'통합 ④ 설정'!$B$6:$B$40,0)),"")&lt;&gt;"○"),"바우처통장 지출 — 목적 확인",IF($H1730="","적요를 적으십시오",""))))))))))))</f>
        <v/>
      </c>
      <c r="M1730" s="39"/>
      <c r="O1730" s="11" t="str">
        <f aca="false">IF($B1730="","",YEAR($B1730)*100+MONTH($B1730))</f>
        <v/>
      </c>
      <c r="P1730" s="11" t="str">
        <f aca="false">IF($B1730="","",IF($E1730="대체",0,1))</f>
        <v/>
      </c>
    </row>
    <row r="1731" customFormat="false" ht="15" hidden="false" customHeight="false" outlineLevel="0" collapsed="false">
      <c r="A1731" s="36" t="str">
        <f aca="false">IF($B1731="","",COUNT($B$15:$B1731))</f>
        <v/>
      </c>
      <c r="B1731" s="37"/>
      <c r="C1731" s="38"/>
      <c r="D1731" s="39"/>
      <c r="E1731" s="36" t="str">
        <f aca="false">IF($D1731="","",IFERROR(INDEX('통합 ④ 설정'!$A$6:$A$40,MATCH($D1731,'통합 ④ 설정'!$B$6:$B$40,0)),"※없는 과목"))</f>
        <v/>
      </c>
      <c r="F1731" s="36" t="str">
        <f aca="false">IF($D1731="","",IFERROR(INDEX('통합 ④ 설정'!$C$6:$C$40,MATCH($D1731,'통합 ④ 설정'!$B$6:$B$40,0)),""))</f>
        <v/>
      </c>
      <c r="G1731" s="39"/>
      <c r="H1731" s="39"/>
      <c r="I1731" s="40"/>
      <c r="J1731" s="41"/>
      <c r="K1731" s="38"/>
      <c r="L1731" s="42" t="str">
        <f aca="false">IF($B1731="","",IF(AND(N($I1731)=0,N($J1731)=0),"금액이 없습니다",IF(AND($I1731&gt;0,$J1731&gt;0),"수입·지출 둘 다 적혔습니다",IF($C1731="","결제수단을 고르십시오",IF(ISNA(MATCH($C1731,'통합 ③ 통장·카드'!$A$5:$A$11,0)),"③ 통장·카드에 없는 결제수단입니다",IF($D1731="","계정과목을 고르십시오",IF($E1731="※없는 과목","④ 설정에 없는 과목입니다",IF(AND($E1731="수입",$J1731&gt;0),"수입 과목인데 지출에 적혔습니다",IF(AND(LEFT($E1731,2)&lt;&gt;"수입",$E1731&lt;&gt;"대체",$I1731&gt;0),"지출 과목인데 수입에 적혔습니다",IF($K1731="","증빙을 고르십시오",IF(AND($C1731="바우처통장",$J1731&gt;0,IFERROR(INDEX('통합 ④ 설정'!$E$6:$E$40,MATCH($D1731,'통합 ④ 설정'!$B$6:$B$40,0)),"")&lt;&gt;"○"),"바우처통장 지출 — 목적 확인",IF($H1731="","적요를 적으십시오",""))))))))))))</f>
        <v/>
      </c>
      <c r="M1731" s="39"/>
      <c r="O1731" s="11" t="str">
        <f aca="false">IF($B1731="","",YEAR($B1731)*100+MONTH($B1731))</f>
        <v/>
      </c>
      <c r="P1731" s="11" t="str">
        <f aca="false">IF($B1731="","",IF($E1731="대체",0,1))</f>
        <v/>
      </c>
    </row>
    <row r="1732" customFormat="false" ht="15" hidden="false" customHeight="false" outlineLevel="0" collapsed="false">
      <c r="A1732" s="36" t="str">
        <f aca="false">IF($B1732="","",COUNT($B$15:$B1732))</f>
        <v/>
      </c>
      <c r="B1732" s="37"/>
      <c r="C1732" s="38"/>
      <c r="D1732" s="39"/>
      <c r="E1732" s="36" t="str">
        <f aca="false">IF($D1732="","",IFERROR(INDEX('통합 ④ 설정'!$A$6:$A$40,MATCH($D1732,'통합 ④ 설정'!$B$6:$B$40,0)),"※없는 과목"))</f>
        <v/>
      </c>
      <c r="F1732" s="36" t="str">
        <f aca="false">IF($D1732="","",IFERROR(INDEX('통합 ④ 설정'!$C$6:$C$40,MATCH($D1732,'통합 ④ 설정'!$B$6:$B$40,0)),""))</f>
        <v/>
      </c>
      <c r="G1732" s="39"/>
      <c r="H1732" s="39"/>
      <c r="I1732" s="40"/>
      <c r="J1732" s="41"/>
      <c r="K1732" s="38"/>
      <c r="L1732" s="42" t="str">
        <f aca="false">IF($B1732="","",IF(AND(N($I1732)=0,N($J1732)=0),"금액이 없습니다",IF(AND($I1732&gt;0,$J1732&gt;0),"수입·지출 둘 다 적혔습니다",IF($C1732="","결제수단을 고르십시오",IF(ISNA(MATCH($C1732,'통합 ③ 통장·카드'!$A$5:$A$11,0)),"③ 통장·카드에 없는 결제수단입니다",IF($D1732="","계정과목을 고르십시오",IF($E1732="※없는 과목","④ 설정에 없는 과목입니다",IF(AND($E1732="수입",$J1732&gt;0),"수입 과목인데 지출에 적혔습니다",IF(AND(LEFT($E1732,2)&lt;&gt;"수입",$E1732&lt;&gt;"대체",$I1732&gt;0),"지출 과목인데 수입에 적혔습니다",IF($K1732="","증빙을 고르십시오",IF(AND($C1732="바우처통장",$J1732&gt;0,IFERROR(INDEX('통합 ④ 설정'!$E$6:$E$40,MATCH($D1732,'통합 ④ 설정'!$B$6:$B$40,0)),"")&lt;&gt;"○"),"바우처통장 지출 — 목적 확인",IF($H1732="","적요를 적으십시오",""))))))))))))</f>
        <v/>
      </c>
      <c r="M1732" s="39"/>
      <c r="O1732" s="11" t="str">
        <f aca="false">IF($B1732="","",YEAR($B1732)*100+MONTH($B1732))</f>
        <v/>
      </c>
      <c r="P1732" s="11" t="str">
        <f aca="false">IF($B1732="","",IF($E1732="대체",0,1))</f>
        <v/>
      </c>
    </row>
    <row r="1733" customFormat="false" ht="15" hidden="false" customHeight="false" outlineLevel="0" collapsed="false">
      <c r="A1733" s="36" t="str">
        <f aca="false">IF($B1733="","",COUNT($B$15:$B1733))</f>
        <v/>
      </c>
      <c r="B1733" s="37"/>
      <c r="C1733" s="38"/>
      <c r="D1733" s="39"/>
      <c r="E1733" s="36" t="str">
        <f aca="false">IF($D1733="","",IFERROR(INDEX('통합 ④ 설정'!$A$6:$A$40,MATCH($D1733,'통합 ④ 설정'!$B$6:$B$40,0)),"※없는 과목"))</f>
        <v/>
      </c>
      <c r="F1733" s="36" t="str">
        <f aca="false">IF($D1733="","",IFERROR(INDEX('통합 ④ 설정'!$C$6:$C$40,MATCH($D1733,'통합 ④ 설정'!$B$6:$B$40,0)),""))</f>
        <v/>
      </c>
      <c r="G1733" s="39"/>
      <c r="H1733" s="39"/>
      <c r="I1733" s="40"/>
      <c r="J1733" s="41"/>
      <c r="K1733" s="38"/>
      <c r="L1733" s="42" t="str">
        <f aca="false">IF($B1733="","",IF(AND(N($I1733)=0,N($J1733)=0),"금액이 없습니다",IF(AND($I1733&gt;0,$J1733&gt;0),"수입·지출 둘 다 적혔습니다",IF($C1733="","결제수단을 고르십시오",IF(ISNA(MATCH($C1733,'통합 ③ 통장·카드'!$A$5:$A$11,0)),"③ 통장·카드에 없는 결제수단입니다",IF($D1733="","계정과목을 고르십시오",IF($E1733="※없는 과목","④ 설정에 없는 과목입니다",IF(AND($E1733="수입",$J1733&gt;0),"수입 과목인데 지출에 적혔습니다",IF(AND(LEFT($E1733,2)&lt;&gt;"수입",$E1733&lt;&gt;"대체",$I1733&gt;0),"지출 과목인데 수입에 적혔습니다",IF($K1733="","증빙을 고르십시오",IF(AND($C1733="바우처통장",$J1733&gt;0,IFERROR(INDEX('통합 ④ 설정'!$E$6:$E$40,MATCH($D1733,'통합 ④ 설정'!$B$6:$B$40,0)),"")&lt;&gt;"○"),"바우처통장 지출 — 목적 확인",IF($H1733="","적요를 적으십시오",""))))))))))))</f>
        <v/>
      </c>
      <c r="M1733" s="39"/>
      <c r="O1733" s="11" t="str">
        <f aca="false">IF($B1733="","",YEAR($B1733)*100+MONTH($B1733))</f>
        <v/>
      </c>
      <c r="P1733" s="11" t="str">
        <f aca="false">IF($B1733="","",IF($E1733="대체",0,1))</f>
        <v/>
      </c>
    </row>
    <row r="1734" customFormat="false" ht="15" hidden="false" customHeight="false" outlineLevel="0" collapsed="false">
      <c r="A1734" s="36" t="str">
        <f aca="false">IF($B1734="","",COUNT($B$15:$B1734))</f>
        <v/>
      </c>
      <c r="B1734" s="37"/>
      <c r="C1734" s="38"/>
      <c r="D1734" s="39"/>
      <c r="E1734" s="36" t="str">
        <f aca="false">IF($D1734="","",IFERROR(INDEX('통합 ④ 설정'!$A$6:$A$40,MATCH($D1734,'통합 ④ 설정'!$B$6:$B$40,0)),"※없는 과목"))</f>
        <v/>
      </c>
      <c r="F1734" s="36" t="str">
        <f aca="false">IF($D1734="","",IFERROR(INDEX('통합 ④ 설정'!$C$6:$C$40,MATCH($D1734,'통합 ④ 설정'!$B$6:$B$40,0)),""))</f>
        <v/>
      </c>
      <c r="G1734" s="39"/>
      <c r="H1734" s="39"/>
      <c r="I1734" s="40"/>
      <c r="J1734" s="41"/>
      <c r="K1734" s="38"/>
      <c r="L1734" s="42" t="str">
        <f aca="false">IF($B1734="","",IF(AND(N($I1734)=0,N($J1734)=0),"금액이 없습니다",IF(AND($I1734&gt;0,$J1734&gt;0),"수입·지출 둘 다 적혔습니다",IF($C1734="","결제수단을 고르십시오",IF(ISNA(MATCH($C1734,'통합 ③ 통장·카드'!$A$5:$A$11,0)),"③ 통장·카드에 없는 결제수단입니다",IF($D1734="","계정과목을 고르십시오",IF($E1734="※없는 과목","④ 설정에 없는 과목입니다",IF(AND($E1734="수입",$J1734&gt;0),"수입 과목인데 지출에 적혔습니다",IF(AND(LEFT($E1734,2)&lt;&gt;"수입",$E1734&lt;&gt;"대체",$I1734&gt;0),"지출 과목인데 수입에 적혔습니다",IF($K1734="","증빙을 고르십시오",IF(AND($C1734="바우처통장",$J1734&gt;0,IFERROR(INDEX('통합 ④ 설정'!$E$6:$E$40,MATCH($D1734,'통합 ④ 설정'!$B$6:$B$40,0)),"")&lt;&gt;"○"),"바우처통장 지출 — 목적 확인",IF($H1734="","적요를 적으십시오",""))))))))))))</f>
        <v/>
      </c>
      <c r="M1734" s="39"/>
      <c r="O1734" s="11" t="str">
        <f aca="false">IF($B1734="","",YEAR($B1734)*100+MONTH($B1734))</f>
        <v/>
      </c>
      <c r="P1734" s="11" t="str">
        <f aca="false">IF($B1734="","",IF($E1734="대체",0,1))</f>
        <v/>
      </c>
    </row>
    <row r="1735" customFormat="false" ht="15" hidden="false" customHeight="false" outlineLevel="0" collapsed="false">
      <c r="A1735" s="36" t="str">
        <f aca="false">IF($B1735="","",COUNT($B$15:$B1735))</f>
        <v/>
      </c>
      <c r="B1735" s="37"/>
      <c r="C1735" s="38"/>
      <c r="D1735" s="39"/>
      <c r="E1735" s="36" t="str">
        <f aca="false">IF($D1735="","",IFERROR(INDEX('통합 ④ 설정'!$A$6:$A$40,MATCH($D1735,'통합 ④ 설정'!$B$6:$B$40,0)),"※없는 과목"))</f>
        <v/>
      </c>
      <c r="F1735" s="36" t="str">
        <f aca="false">IF($D1735="","",IFERROR(INDEX('통합 ④ 설정'!$C$6:$C$40,MATCH($D1735,'통합 ④ 설정'!$B$6:$B$40,0)),""))</f>
        <v/>
      </c>
      <c r="G1735" s="39"/>
      <c r="H1735" s="39"/>
      <c r="I1735" s="40"/>
      <c r="J1735" s="41"/>
      <c r="K1735" s="38"/>
      <c r="L1735" s="42" t="str">
        <f aca="false">IF($B1735="","",IF(AND(N($I1735)=0,N($J1735)=0),"금액이 없습니다",IF(AND($I1735&gt;0,$J1735&gt;0),"수입·지출 둘 다 적혔습니다",IF($C1735="","결제수단을 고르십시오",IF(ISNA(MATCH($C1735,'통합 ③ 통장·카드'!$A$5:$A$11,0)),"③ 통장·카드에 없는 결제수단입니다",IF($D1735="","계정과목을 고르십시오",IF($E1735="※없는 과목","④ 설정에 없는 과목입니다",IF(AND($E1735="수입",$J1735&gt;0),"수입 과목인데 지출에 적혔습니다",IF(AND(LEFT($E1735,2)&lt;&gt;"수입",$E1735&lt;&gt;"대체",$I1735&gt;0),"지출 과목인데 수입에 적혔습니다",IF($K1735="","증빙을 고르십시오",IF(AND($C1735="바우처통장",$J1735&gt;0,IFERROR(INDEX('통합 ④ 설정'!$E$6:$E$40,MATCH($D1735,'통합 ④ 설정'!$B$6:$B$40,0)),"")&lt;&gt;"○"),"바우처통장 지출 — 목적 확인",IF($H1735="","적요를 적으십시오",""))))))))))))</f>
        <v/>
      </c>
      <c r="M1735" s="39"/>
      <c r="O1735" s="11" t="str">
        <f aca="false">IF($B1735="","",YEAR($B1735)*100+MONTH($B1735))</f>
        <v/>
      </c>
      <c r="P1735" s="11" t="str">
        <f aca="false">IF($B1735="","",IF($E1735="대체",0,1))</f>
        <v/>
      </c>
    </row>
    <row r="1736" customFormat="false" ht="15" hidden="false" customHeight="false" outlineLevel="0" collapsed="false">
      <c r="A1736" s="36" t="str">
        <f aca="false">IF($B1736="","",COUNT($B$15:$B1736))</f>
        <v/>
      </c>
      <c r="B1736" s="37"/>
      <c r="C1736" s="38"/>
      <c r="D1736" s="39"/>
      <c r="E1736" s="36" t="str">
        <f aca="false">IF($D1736="","",IFERROR(INDEX('통합 ④ 설정'!$A$6:$A$40,MATCH($D1736,'통합 ④ 설정'!$B$6:$B$40,0)),"※없는 과목"))</f>
        <v/>
      </c>
      <c r="F1736" s="36" t="str">
        <f aca="false">IF($D1736="","",IFERROR(INDEX('통합 ④ 설정'!$C$6:$C$40,MATCH($D1736,'통합 ④ 설정'!$B$6:$B$40,0)),""))</f>
        <v/>
      </c>
      <c r="G1736" s="39"/>
      <c r="H1736" s="39"/>
      <c r="I1736" s="40"/>
      <c r="J1736" s="41"/>
      <c r="K1736" s="38"/>
      <c r="L1736" s="42" t="str">
        <f aca="false">IF($B1736="","",IF(AND(N($I1736)=0,N($J1736)=0),"금액이 없습니다",IF(AND($I1736&gt;0,$J1736&gt;0),"수입·지출 둘 다 적혔습니다",IF($C1736="","결제수단을 고르십시오",IF(ISNA(MATCH($C1736,'통합 ③ 통장·카드'!$A$5:$A$11,0)),"③ 통장·카드에 없는 결제수단입니다",IF($D1736="","계정과목을 고르십시오",IF($E1736="※없는 과목","④ 설정에 없는 과목입니다",IF(AND($E1736="수입",$J1736&gt;0),"수입 과목인데 지출에 적혔습니다",IF(AND(LEFT($E1736,2)&lt;&gt;"수입",$E1736&lt;&gt;"대체",$I1736&gt;0),"지출 과목인데 수입에 적혔습니다",IF($K1736="","증빙을 고르십시오",IF(AND($C1736="바우처통장",$J1736&gt;0,IFERROR(INDEX('통합 ④ 설정'!$E$6:$E$40,MATCH($D1736,'통합 ④ 설정'!$B$6:$B$40,0)),"")&lt;&gt;"○"),"바우처통장 지출 — 목적 확인",IF($H1736="","적요를 적으십시오",""))))))))))))</f>
        <v/>
      </c>
      <c r="M1736" s="39"/>
      <c r="O1736" s="11" t="str">
        <f aca="false">IF($B1736="","",YEAR($B1736)*100+MONTH($B1736))</f>
        <v/>
      </c>
      <c r="P1736" s="11" t="str">
        <f aca="false">IF($B1736="","",IF($E1736="대체",0,1))</f>
        <v/>
      </c>
    </row>
    <row r="1737" customFormat="false" ht="15" hidden="false" customHeight="false" outlineLevel="0" collapsed="false">
      <c r="A1737" s="36" t="str">
        <f aca="false">IF($B1737="","",COUNT($B$15:$B1737))</f>
        <v/>
      </c>
      <c r="B1737" s="37"/>
      <c r="C1737" s="38"/>
      <c r="D1737" s="39"/>
      <c r="E1737" s="36" t="str">
        <f aca="false">IF($D1737="","",IFERROR(INDEX('통합 ④ 설정'!$A$6:$A$40,MATCH($D1737,'통합 ④ 설정'!$B$6:$B$40,0)),"※없는 과목"))</f>
        <v/>
      </c>
      <c r="F1737" s="36" t="str">
        <f aca="false">IF($D1737="","",IFERROR(INDEX('통합 ④ 설정'!$C$6:$C$40,MATCH($D1737,'통합 ④ 설정'!$B$6:$B$40,0)),""))</f>
        <v/>
      </c>
      <c r="G1737" s="39"/>
      <c r="H1737" s="39"/>
      <c r="I1737" s="40"/>
      <c r="J1737" s="41"/>
      <c r="K1737" s="38"/>
      <c r="L1737" s="42" t="str">
        <f aca="false">IF($B1737="","",IF(AND(N($I1737)=0,N($J1737)=0),"금액이 없습니다",IF(AND($I1737&gt;0,$J1737&gt;0),"수입·지출 둘 다 적혔습니다",IF($C1737="","결제수단을 고르십시오",IF(ISNA(MATCH($C1737,'통합 ③ 통장·카드'!$A$5:$A$11,0)),"③ 통장·카드에 없는 결제수단입니다",IF($D1737="","계정과목을 고르십시오",IF($E1737="※없는 과목","④ 설정에 없는 과목입니다",IF(AND($E1737="수입",$J1737&gt;0),"수입 과목인데 지출에 적혔습니다",IF(AND(LEFT($E1737,2)&lt;&gt;"수입",$E1737&lt;&gt;"대체",$I1737&gt;0),"지출 과목인데 수입에 적혔습니다",IF($K1737="","증빙을 고르십시오",IF(AND($C1737="바우처통장",$J1737&gt;0,IFERROR(INDEX('통합 ④ 설정'!$E$6:$E$40,MATCH($D1737,'통합 ④ 설정'!$B$6:$B$40,0)),"")&lt;&gt;"○"),"바우처통장 지출 — 목적 확인",IF($H1737="","적요를 적으십시오",""))))))))))))</f>
        <v/>
      </c>
      <c r="M1737" s="39"/>
      <c r="O1737" s="11" t="str">
        <f aca="false">IF($B1737="","",YEAR($B1737)*100+MONTH($B1737))</f>
        <v/>
      </c>
      <c r="P1737" s="11" t="str">
        <f aca="false">IF($B1737="","",IF($E1737="대체",0,1))</f>
        <v/>
      </c>
    </row>
    <row r="1738" customFormat="false" ht="15" hidden="false" customHeight="false" outlineLevel="0" collapsed="false">
      <c r="A1738" s="36" t="str">
        <f aca="false">IF($B1738="","",COUNT($B$15:$B1738))</f>
        <v/>
      </c>
      <c r="B1738" s="37"/>
      <c r="C1738" s="38"/>
      <c r="D1738" s="39"/>
      <c r="E1738" s="36" t="str">
        <f aca="false">IF($D1738="","",IFERROR(INDEX('통합 ④ 설정'!$A$6:$A$40,MATCH($D1738,'통합 ④ 설정'!$B$6:$B$40,0)),"※없는 과목"))</f>
        <v/>
      </c>
      <c r="F1738" s="36" t="str">
        <f aca="false">IF($D1738="","",IFERROR(INDEX('통합 ④ 설정'!$C$6:$C$40,MATCH($D1738,'통합 ④ 설정'!$B$6:$B$40,0)),""))</f>
        <v/>
      </c>
      <c r="G1738" s="39"/>
      <c r="H1738" s="39"/>
      <c r="I1738" s="40"/>
      <c r="J1738" s="41"/>
      <c r="K1738" s="38"/>
      <c r="L1738" s="42" t="str">
        <f aca="false">IF($B1738="","",IF(AND(N($I1738)=0,N($J1738)=0),"금액이 없습니다",IF(AND($I1738&gt;0,$J1738&gt;0),"수입·지출 둘 다 적혔습니다",IF($C1738="","결제수단을 고르십시오",IF(ISNA(MATCH($C1738,'통합 ③ 통장·카드'!$A$5:$A$11,0)),"③ 통장·카드에 없는 결제수단입니다",IF($D1738="","계정과목을 고르십시오",IF($E1738="※없는 과목","④ 설정에 없는 과목입니다",IF(AND($E1738="수입",$J1738&gt;0),"수입 과목인데 지출에 적혔습니다",IF(AND(LEFT($E1738,2)&lt;&gt;"수입",$E1738&lt;&gt;"대체",$I1738&gt;0),"지출 과목인데 수입에 적혔습니다",IF($K1738="","증빙을 고르십시오",IF(AND($C1738="바우처통장",$J1738&gt;0,IFERROR(INDEX('통합 ④ 설정'!$E$6:$E$40,MATCH($D1738,'통합 ④ 설정'!$B$6:$B$40,0)),"")&lt;&gt;"○"),"바우처통장 지출 — 목적 확인",IF($H1738="","적요를 적으십시오",""))))))))))))</f>
        <v/>
      </c>
      <c r="M1738" s="39"/>
      <c r="O1738" s="11" t="str">
        <f aca="false">IF($B1738="","",YEAR($B1738)*100+MONTH($B1738))</f>
        <v/>
      </c>
      <c r="P1738" s="11" t="str">
        <f aca="false">IF($B1738="","",IF($E1738="대체",0,1))</f>
        <v/>
      </c>
    </row>
    <row r="1739" customFormat="false" ht="15" hidden="false" customHeight="false" outlineLevel="0" collapsed="false">
      <c r="A1739" s="36" t="str">
        <f aca="false">IF($B1739="","",COUNT($B$15:$B1739))</f>
        <v/>
      </c>
      <c r="B1739" s="37"/>
      <c r="C1739" s="38"/>
      <c r="D1739" s="39"/>
      <c r="E1739" s="36" t="str">
        <f aca="false">IF($D1739="","",IFERROR(INDEX('통합 ④ 설정'!$A$6:$A$40,MATCH($D1739,'통합 ④ 설정'!$B$6:$B$40,0)),"※없는 과목"))</f>
        <v/>
      </c>
      <c r="F1739" s="36" t="str">
        <f aca="false">IF($D1739="","",IFERROR(INDEX('통합 ④ 설정'!$C$6:$C$40,MATCH($D1739,'통합 ④ 설정'!$B$6:$B$40,0)),""))</f>
        <v/>
      </c>
      <c r="G1739" s="39"/>
      <c r="H1739" s="39"/>
      <c r="I1739" s="40"/>
      <c r="J1739" s="41"/>
      <c r="K1739" s="38"/>
      <c r="L1739" s="42" t="str">
        <f aca="false">IF($B1739="","",IF(AND(N($I1739)=0,N($J1739)=0),"금액이 없습니다",IF(AND($I1739&gt;0,$J1739&gt;0),"수입·지출 둘 다 적혔습니다",IF($C1739="","결제수단을 고르십시오",IF(ISNA(MATCH($C1739,'통합 ③ 통장·카드'!$A$5:$A$11,0)),"③ 통장·카드에 없는 결제수단입니다",IF($D1739="","계정과목을 고르십시오",IF($E1739="※없는 과목","④ 설정에 없는 과목입니다",IF(AND($E1739="수입",$J1739&gt;0),"수입 과목인데 지출에 적혔습니다",IF(AND(LEFT($E1739,2)&lt;&gt;"수입",$E1739&lt;&gt;"대체",$I1739&gt;0),"지출 과목인데 수입에 적혔습니다",IF($K1739="","증빙을 고르십시오",IF(AND($C1739="바우처통장",$J1739&gt;0,IFERROR(INDEX('통합 ④ 설정'!$E$6:$E$40,MATCH($D1739,'통합 ④ 설정'!$B$6:$B$40,0)),"")&lt;&gt;"○"),"바우처통장 지출 — 목적 확인",IF($H1739="","적요를 적으십시오",""))))))))))))</f>
        <v/>
      </c>
      <c r="M1739" s="39"/>
      <c r="O1739" s="11" t="str">
        <f aca="false">IF($B1739="","",YEAR($B1739)*100+MONTH($B1739))</f>
        <v/>
      </c>
      <c r="P1739" s="11" t="str">
        <f aca="false">IF($B1739="","",IF($E1739="대체",0,1))</f>
        <v/>
      </c>
    </row>
    <row r="1740" customFormat="false" ht="15" hidden="false" customHeight="false" outlineLevel="0" collapsed="false">
      <c r="A1740" s="36" t="str">
        <f aca="false">IF($B1740="","",COUNT($B$15:$B1740))</f>
        <v/>
      </c>
      <c r="B1740" s="37"/>
      <c r="C1740" s="38"/>
      <c r="D1740" s="39"/>
      <c r="E1740" s="36" t="str">
        <f aca="false">IF($D1740="","",IFERROR(INDEX('통합 ④ 설정'!$A$6:$A$40,MATCH($D1740,'통합 ④ 설정'!$B$6:$B$40,0)),"※없는 과목"))</f>
        <v/>
      </c>
      <c r="F1740" s="36" t="str">
        <f aca="false">IF($D1740="","",IFERROR(INDEX('통합 ④ 설정'!$C$6:$C$40,MATCH($D1740,'통합 ④ 설정'!$B$6:$B$40,0)),""))</f>
        <v/>
      </c>
      <c r="G1740" s="39"/>
      <c r="H1740" s="39"/>
      <c r="I1740" s="40"/>
      <c r="J1740" s="41"/>
      <c r="K1740" s="38"/>
      <c r="L1740" s="42" t="str">
        <f aca="false">IF($B1740="","",IF(AND(N($I1740)=0,N($J1740)=0),"금액이 없습니다",IF(AND($I1740&gt;0,$J1740&gt;0),"수입·지출 둘 다 적혔습니다",IF($C1740="","결제수단을 고르십시오",IF(ISNA(MATCH($C1740,'통합 ③ 통장·카드'!$A$5:$A$11,0)),"③ 통장·카드에 없는 결제수단입니다",IF($D1740="","계정과목을 고르십시오",IF($E1740="※없는 과목","④ 설정에 없는 과목입니다",IF(AND($E1740="수입",$J1740&gt;0),"수입 과목인데 지출에 적혔습니다",IF(AND(LEFT($E1740,2)&lt;&gt;"수입",$E1740&lt;&gt;"대체",$I1740&gt;0),"지출 과목인데 수입에 적혔습니다",IF($K1740="","증빙을 고르십시오",IF(AND($C1740="바우처통장",$J1740&gt;0,IFERROR(INDEX('통합 ④ 설정'!$E$6:$E$40,MATCH($D1740,'통합 ④ 설정'!$B$6:$B$40,0)),"")&lt;&gt;"○"),"바우처통장 지출 — 목적 확인",IF($H1740="","적요를 적으십시오",""))))))))))))</f>
        <v/>
      </c>
      <c r="M1740" s="39"/>
      <c r="O1740" s="11" t="str">
        <f aca="false">IF($B1740="","",YEAR($B1740)*100+MONTH($B1740))</f>
        <v/>
      </c>
      <c r="P1740" s="11" t="str">
        <f aca="false">IF($B1740="","",IF($E1740="대체",0,1))</f>
        <v/>
      </c>
    </row>
    <row r="1741" customFormat="false" ht="15" hidden="false" customHeight="false" outlineLevel="0" collapsed="false">
      <c r="A1741" s="36" t="str">
        <f aca="false">IF($B1741="","",COUNT($B$15:$B1741))</f>
        <v/>
      </c>
      <c r="B1741" s="37"/>
      <c r="C1741" s="38"/>
      <c r="D1741" s="39"/>
      <c r="E1741" s="36" t="str">
        <f aca="false">IF($D1741="","",IFERROR(INDEX('통합 ④ 설정'!$A$6:$A$40,MATCH($D1741,'통합 ④ 설정'!$B$6:$B$40,0)),"※없는 과목"))</f>
        <v/>
      </c>
      <c r="F1741" s="36" t="str">
        <f aca="false">IF($D1741="","",IFERROR(INDEX('통합 ④ 설정'!$C$6:$C$40,MATCH($D1741,'통합 ④ 설정'!$B$6:$B$40,0)),""))</f>
        <v/>
      </c>
      <c r="G1741" s="39"/>
      <c r="H1741" s="39"/>
      <c r="I1741" s="40"/>
      <c r="J1741" s="41"/>
      <c r="K1741" s="38"/>
      <c r="L1741" s="42" t="str">
        <f aca="false">IF($B1741="","",IF(AND(N($I1741)=0,N($J1741)=0),"금액이 없습니다",IF(AND($I1741&gt;0,$J1741&gt;0),"수입·지출 둘 다 적혔습니다",IF($C1741="","결제수단을 고르십시오",IF(ISNA(MATCH($C1741,'통합 ③ 통장·카드'!$A$5:$A$11,0)),"③ 통장·카드에 없는 결제수단입니다",IF($D1741="","계정과목을 고르십시오",IF($E1741="※없는 과목","④ 설정에 없는 과목입니다",IF(AND($E1741="수입",$J1741&gt;0),"수입 과목인데 지출에 적혔습니다",IF(AND(LEFT($E1741,2)&lt;&gt;"수입",$E1741&lt;&gt;"대체",$I1741&gt;0),"지출 과목인데 수입에 적혔습니다",IF($K1741="","증빙을 고르십시오",IF(AND($C1741="바우처통장",$J1741&gt;0,IFERROR(INDEX('통합 ④ 설정'!$E$6:$E$40,MATCH($D1741,'통합 ④ 설정'!$B$6:$B$40,0)),"")&lt;&gt;"○"),"바우처통장 지출 — 목적 확인",IF($H1741="","적요를 적으십시오",""))))))))))))</f>
        <v/>
      </c>
      <c r="M1741" s="39"/>
      <c r="O1741" s="11" t="str">
        <f aca="false">IF($B1741="","",YEAR($B1741)*100+MONTH($B1741))</f>
        <v/>
      </c>
      <c r="P1741" s="11" t="str">
        <f aca="false">IF($B1741="","",IF($E1741="대체",0,1))</f>
        <v/>
      </c>
    </row>
    <row r="1742" customFormat="false" ht="15" hidden="false" customHeight="false" outlineLevel="0" collapsed="false">
      <c r="A1742" s="36" t="str">
        <f aca="false">IF($B1742="","",COUNT($B$15:$B1742))</f>
        <v/>
      </c>
      <c r="B1742" s="37"/>
      <c r="C1742" s="38"/>
      <c r="D1742" s="39"/>
      <c r="E1742" s="36" t="str">
        <f aca="false">IF($D1742="","",IFERROR(INDEX('통합 ④ 설정'!$A$6:$A$40,MATCH($D1742,'통합 ④ 설정'!$B$6:$B$40,0)),"※없는 과목"))</f>
        <v/>
      </c>
      <c r="F1742" s="36" t="str">
        <f aca="false">IF($D1742="","",IFERROR(INDEX('통합 ④ 설정'!$C$6:$C$40,MATCH($D1742,'통합 ④ 설정'!$B$6:$B$40,0)),""))</f>
        <v/>
      </c>
      <c r="G1742" s="39"/>
      <c r="H1742" s="39"/>
      <c r="I1742" s="40"/>
      <c r="J1742" s="41"/>
      <c r="K1742" s="38"/>
      <c r="L1742" s="42" t="str">
        <f aca="false">IF($B1742="","",IF(AND(N($I1742)=0,N($J1742)=0),"금액이 없습니다",IF(AND($I1742&gt;0,$J1742&gt;0),"수입·지출 둘 다 적혔습니다",IF($C1742="","결제수단을 고르십시오",IF(ISNA(MATCH($C1742,'통합 ③ 통장·카드'!$A$5:$A$11,0)),"③ 통장·카드에 없는 결제수단입니다",IF($D1742="","계정과목을 고르십시오",IF($E1742="※없는 과목","④ 설정에 없는 과목입니다",IF(AND($E1742="수입",$J1742&gt;0),"수입 과목인데 지출에 적혔습니다",IF(AND(LEFT($E1742,2)&lt;&gt;"수입",$E1742&lt;&gt;"대체",$I1742&gt;0),"지출 과목인데 수입에 적혔습니다",IF($K1742="","증빙을 고르십시오",IF(AND($C1742="바우처통장",$J1742&gt;0,IFERROR(INDEX('통합 ④ 설정'!$E$6:$E$40,MATCH($D1742,'통합 ④ 설정'!$B$6:$B$40,0)),"")&lt;&gt;"○"),"바우처통장 지출 — 목적 확인",IF($H1742="","적요를 적으십시오",""))))))))))))</f>
        <v/>
      </c>
      <c r="M1742" s="39"/>
      <c r="O1742" s="11" t="str">
        <f aca="false">IF($B1742="","",YEAR($B1742)*100+MONTH($B1742))</f>
        <v/>
      </c>
      <c r="P1742" s="11" t="str">
        <f aca="false">IF($B1742="","",IF($E1742="대체",0,1))</f>
        <v/>
      </c>
    </row>
    <row r="1743" customFormat="false" ht="15" hidden="false" customHeight="false" outlineLevel="0" collapsed="false">
      <c r="A1743" s="36" t="str">
        <f aca="false">IF($B1743="","",COUNT($B$15:$B1743))</f>
        <v/>
      </c>
      <c r="B1743" s="37"/>
      <c r="C1743" s="38"/>
      <c r="D1743" s="39"/>
      <c r="E1743" s="36" t="str">
        <f aca="false">IF($D1743="","",IFERROR(INDEX('통합 ④ 설정'!$A$6:$A$40,MATCH($D1743,'통합 ④ 설정'!$B$6:$B$40,0)),"※없는 과목"))</f>
        <v/>
      </c>
      <c r="F1743" s="36" t="str">
        <f aca="false">IF($D1743="","",IFERROR(INDEX('통합 ④ 설정'!$C$6:$C$40,MATCH($D1743,'통합 ④ 설정'!$B$6:$B$40,0)),""))</f>
        <v/>
      </c>
      <c r="G1743" s="39"/>
      <c r="H1743" s="39"/>
      <c r="I1743" s="40"/>
      <c r="J1743" s="41"/>
      <c r="K1743" s="38"/>
      <c r="L1743" s="42" t="str">
        <f aca="false">IF($B1743="","",IF(AND(N($I1743)=0,N($J1743)=0),"금액이 없습니다",IF(AND($I1743&gt;0,$J1743&gt;0),"수입·지출 둘 다 적혔습니다",IF($C1743="","결제수단을 고르십시오",IF(ISNA(MATCH($C1743,'통합 ③ 통장·카드'!$A$5:$A$11,0)),"③ 통장·카드에 없는 결제수단입니다",IF($D1743="","계정과목을 고르십시오",IF($E1743="※없는 과목","④ 설정에 없는 과목입니다",IF(AND($E1743="수입",$J1743&gt;0),"수입 과목인데 지출에 적혔습니다",IF(AND(LEFT($E1743,2)&lt;&gt;"수입",$E1743&lt;&gt;"대체",$I1743&gt;0),"지출 과목인데 수입에 적혔습니다",IF($K1743="","증빙을 고르십시오",IF(AND($C1743="바우처통장",$J1743&gt;0,IFERROR(INDEX('통합 ④ 설정'!$E$6:$E$40,MATCH($D1743,'통합 ④ 설정'!$B$6:$B$40,0)),"")&lt;&gt;"○"),"바우처통장 지출 — 목적 확인",IF($H1743="","적요를 적으십시오",""))))))))))))</f>
        <v/>
      </c>
      <c r="M1743" s="39"/>
      <c r="O1743" s="11" t="str">
        <f aca="false">IF($B1743="","",YEAR($B1743)*100+MONTH($B1743))</f>
        <v/>
      </c>
      <c r="P1743" s="11" t="str">
        <f aca="false">IF($B1743="","",IF($E1743="대체",0,1))</f>
        <v/>
      </c>
    </row>
    <row r="1744" customFormat="false" ht="15" hidden="false" customHeight="false" outlineLevel="0" collapsed="false">
      <c r="A1744" s="36" t="str">
        <f aca="false">IF($B1744="","",COUNT($B$15:$B1744))</f>
        <v/>
      </c>
      <c r="B1744" s="37"/>
      <c r="C1744" s="38"/>
      <c r="D1744" s="39"/>
      <c r="E1744" s="36" t="str">
        <f aca="false">IF($D1744="","",IFERROR(INDEX('통합 ④ 설정'!$A$6:$A$40,MATCH($D1744,'통합 ④ 설정'!$B$6:$B$40,0)),"※없는 과목"))</f>
        <v/>
      </c>
      <c r="F1744" s="36" t="str">
        <f aca="false">IF($D1744="","",IFERROR(INDEX('통합 ④ 설정'!$C$6:$C$40,MATCH($D1744,'통합 ④ 설정'!$B$6:$B$40,0)),""))</f>
        <v/>
      </c>
      <c r="G1744" s="39"/>
      <c r="H1744" s="39"/>
      <c r="I1744" s="40"/>
      <c r="J1744" s="41"/>
      <c r="K1744" s="38"/>
      <c r="L1744" s="42" t="str">
        <f aca="false">IF($B1744="","",IF(AND(N($I1744)=0,N($J1744)=0),"금액이 없습니다",IF(AND($I1744&gt;0,$J1744&gt;0),"수입·지출 둘 다 적혔습니다",IF($C1744="","결제수단을 고르십시오",IF(ISNA(MATCH($C1744,'통합 ③ 통장·카드'!$A$5:$A$11,0)),"③ 통장·카드에 없는 결제수단입니다",IF($D1744="","계정과목을 고르십시오",IF($E1744="※없는 과목","④ 설정에 없는 과목입니다",IF(AND($E1744="수입",$J1744&gt;0),"수입 과목인데 지출에 적혔습니다",IF(AND(LEFT($E1744,2)&lt;&gt;"수입",$E1744&lt;&gt;"대체",$I1744&gt;0),"지출 과목인데 수입에 적혔습니다",IF($K1744="","증빙을 고르십시오",IF(AND($C1744="바우처통장",$J1744&gt;0,IFERROR(INDEX('통합 ④ 설정'!$E$6:$E$40,MATCH($D1744,'통합 ④ 설정'!$B$6:$B$40,0)),"")&lt;&gt;"○"),"바우처통장 지출 — 목적 확인",IF($H1744="","적요를 적으십시오",""))))))))))))</f>
        <v/>
      </c>
      <c r="M1744" s="39"/>
      <c r="O1744" s="11" t="str">
        <f aca="false">IF($B1744="","",YEAR($B1744)*100+MONTH($B1744))</f>
        <v/>
      </c>
      <c r="P1744" s="11" t="str">
        <f aca="false">IF($B1744="","",IF($E1744="대체",0,1))</f>
        <v/>
      </c>
    </row>
    <row r="1745" customFormat="false" ht="15" hidden="false" customHeight="false" outlineLevel="0" collapsed="false">
      <c r="A1745" s="36" t="str">
        <f aca="false">IF($B1745="","",COUNT($B$15:$B1745))</f>
        <v/>
      </c>
      <c r="B1745" s="37"/>
      <c r="C1745" s="38"/>
      <c r="D1745" s="39"/>
      <c r="E1745" s="36" t="str">
        <f aca="false">IF($D1745="","",IFERROR(INDEX('통합 ④ 설정'!$A$6:$A$40,MATCH($D1745,'통합 ④ 설정'!$B$6:$B$40,0)),"※없는 과목"))</f>
        <v/>
      </c>
      <c r="F1745" s="36" t="str">
        <f aca="false">IF($D1745="","",IFERROR(INDEX('통합 ④ 설정'!$C$6:$C$40,MATCH($D1745,'통합 ④ 설정'!$B$6:$B$40,0)),""))</f>
        <v/>
      </c>
      <c r="G1745" s="39"/>
      <c r="H1745" s="39"/>
      <c r="I1745" s="40"/>
      <c r="J1745" s="41"/>
      <c r="K1745" s="38"/>
      <c r="L1745" s="42" t="str">
        <f aca="false">IF($B1745="","",IF(AND(N($I1745)=0,N($J1745)=0),"금액이 없습니다",IF(AND($I1745&gt;0,$J1745&gt;0),"수입·지출 둘 다 적혔습니다",IF($C1745="","결제수단을 고르십시오",IF(ISNA(MATCH($C1745,'통합 ③ 통장·카드'!$A$5:$A$11,0)),"③ 통장·카드에 없는 결제수단입니다",IF($D1745="","계정과목을 고르십시오",IF($E1745="※없는 과목","④ 설정에 없는 과목입니다",IF(AND($E1745="수입",$J1745&gt;0),"수입 과목인데 지출에 적혔습니다",IF(AND(LEFT($E1745,2)&lt;&gt;"수입",$E1745&lt;&gt;"대체",$I1745&gt;0),"지출 과목인데 수입에 적혔습니다",IF($K1745="","증빙을 고르십시오",IF(AND($C1745="바우처통장",$J1745&gt;0,IFERROR(INDEX('통합 ④ 설정'!$E$6:$E$40,MATCH($D1745,'통합 ④ 설정'!$B$6:$B$40,0)),"")&lt;&gt;"○"),"바우처통장 지출 — 목적 확인",IF($H1745="","적요를 적으십시오",""))))))))))))</f>
        <v/>
      </c>
      <c r="M1745" s="39"/>
      <c r="O1745" s="11" t="str">
        <f aca="false">IF($B1745="","",YEAR($B1745)*100+MONTH($B1745))</f>
        <v/>
      </c>
      <c r="P1745" s="11" t="str">
        <f aca="false">IF($B1745="","",IF($E1745="대체",0,1))</f>
        <v/>
      </c>
    </row>
    <row r="1746" customFormat="false" ht="15" hidden="false" customHeight="false" outlineLevel="0" collapsed="false">
      <c r="A1746" s="36" t="str">
        <f aca="false">IF($B1746="","",COUNT($B$15:$B1746))</f>
        <v/>
      </c>
      <c r="B1746" s="37"/>
      <c r="C1746" s="38"/>
      <c r="D1746" s="39"/>
      <c r="E1746" s="36" t="str">
        <f aca="false">IF($D1746="","",IFERROR(INDEX('통합 ④ 설정'!$A$6:$A$40,MATCH($D1746,'통합 ④ 설정'!$B$6:$B$40,0)),"※없는 과목"))</f>
        <v/>
      </c>
      <c r="F1746" s="36" t="str">
        <f aca="false">IF($D1746="","",IFERROR(INDEX('통합 ④ 설정'!$C$6:$C$40,MATCH($D1746,'통합 ④ 설정'!$B$6:$B$40,0)),""))</f>
        <v/>
      </c>
      <c r="G1746" s="39"/>
      <c r="H1746" s="39"/>
      <c r="I1746" s="40"/>
      <c r="J1746" s="41"/>
      <c r="K1746" s="38"/>
      <c r="L1746" s="42" t="str">
        <f aca="false">IF($B1746="","",IF(AND(N($I1746)=0,N($J1746)=0),"금액이 없습니다",IF(AND($I1746&gt;0,$J1746&gt;0),"수입·지출 둘 다 적혔습니다",IF($C1746="","결제수단을 고르십시오",IF(ISNA(MATCH($C1746,'통합 ③ 통장·카드'!$A$5:$A$11,0)),"③ 통장·카드에 없는 결제수단입니다",IF($D1746="","계정과목을 고르십시오",IF($E1746="※없는 과목","④ 설정에 없는 과목입니다",IF(AND($E1746="수입",$J1746&gt;0),"수입 과목인데 지출에 적혔습니다",IF(AND(LEFT($E1746,2)&lt;&gt;"수입",$E1746&lt;&gt;"대체",$I1746&gt;0),"지출 과목인데 수입에 적혔습니다",IF($K1746="","증빙을 고르십시오",IF(AND($C1746="바우처통장",$J1746&gt;0,IFERROR(INDEX('통합 ④ 설정'!$E$6:$E$40,MATCH($D1746,'통합 ④ 설정'!$B$6:$B$40,0)),"")&lt;&gt;"○"),"바우처통장 지출 — 목적 확인",IF($H1746="","적요를 적으십시오",""))))))))))))</f>
        <v/>
      </c>
      <c r="M1746" s="39"/>
      <c r="O1746" s="11" t="str">
        <f aca="false">IF($B1746="","",YEAR($B1746)*100+MONTH($B1746))</f>
        <v/>
      </c>
      <c r="P1746" s="11" t="str">
        <f aca="false">IF($B1746="","",IF($E1746="대체",0,1))</f>
        <v/>
      </c>
    </row>
    <row r="1747" customFormat="false" ht="15" hidden="false" customHeight="false" outlineLevel="0" collapsed="false">
      <c r="A1747" s="36" t="str">
        <f aca="false">IF($B1747="","",COUNT($B$15:$B1747))</f>
        <v/>
      </c>
      <c r="B1747" s="37"/>
      <c r="C1747" s="38"/>
      <c r="D1747" s="39"/>
      <c r="E1747" s="36" t="str">
        <f aca="false">IF($D1747="","",IFERROR(INDEX('통합 ④ 설정'!$A$6:$A$40,MATCH($D1747,'통합 ④ 설정'!$B$6:$B$40,0)),"※없는 과목"))</f>
        <v/>
      </c>
      <c r="F1747" s="36" t="str">
        <f aca="false">IF($D1747="","",IFERROR(INDEX('통합 ④ 설정'!$C$6:$C$40,MATCH($D1747,'통합 ④ 설정'!$B$6:$B$40,0)),""))</f>
        <v/>
      </c>
      <c r="G1747" s="39"/>
      <c r="H1747" s="39"/>
      <c r="I1747" s="40"/>
      <c r="J1747" s="41"/>
      <c r="K1747" s="38"/>
      <c r="L1747" s="42" t="str">
        <f aca="false">IF($B1747="","",IF(AND(N($I1747)=0,N($J1747)=0),"금액이 없습니다",IF(AND($I1747&gt;0,$J1747&gt;0),"수입·지출 둘 다 적혔습니다",IF($C1747="","결제수단을 고르십시오",IF(ISNA(MATCH($C1747,'통합 ③ 통장·카드'!$A$5:$A$11,0)),"③ 통장·카드에 없는 결제수단입니다",IF($D1747="","계정과목을 고르십시오",IF($E1747="※없는 과목","④ 설정에 없는 과목입니다",IF(AND($E1747="수입",$J1747&gt;0),"수입 과목인데 지출에 적혔습니다",IF(AND(LEFT($E1747,2)&lt;&gt;"수입",$E1747&lt;&gt;"대체",$I1747&gt;0),"지출 과목인데 수입에 적혔습니다",IF($K1747="","증빙을 고르십시오",IF(AND($C1747="바우처통장",$J1747&gt;0,IFERROR(INDEX('통합 ④ 설정'!$E$6:$E$40,MATCH($D1747,'통합 ④ 설정'!$B$6:$B$40,0)),"")&lt;&gt;"○"),"바우처통장 지출 — 목적 확인",IF($H1747="","적요를 적으십시오",""))))))))))))</f>
        <v/>
      </c>
      <c r="M1747" s="39"/>
      <c r="O1747" s="11" t="str">
        <f aca="false">IF($B1747="","",YEAR($B1747)*100+MONTH($B1747))</f>
        <v/>
      </c>
      <c r="P1747" s="11" t="str">
        <f aca="false">IF($B1747="","",IF($E1747="대체",0,1))</f>
        <v/>
      </c>
    </row>
    <row r="1748" customFormat="false" ht="15" hidden="false" customHeight="false" outlineLevel="0" collapsed="false">
      <c r="A1748" s="36" t="str">
        <f aca="false">IF($B1748="","",COUNT($B$15:$B1748))</f>
        <v/>
      </c>
      <c r="B1748" s="37"/>
      <c r="C1748" s="38"/>
      <c r="D1748" s="39"/>
      <c r="E1748" s="36" t="str">
        <f aca="false">IF($D1748="","",IFERROR(INDEX('통합 ④ 설정'!$A$6:$A$40,MATCH($D1748,'통합 ④ 설정'!$B$6:$B$40,0)),"※없는 과목"))</f>
        <v/>
      </c>
      <c r="F1748" s="36" t="str">
        <f aca="false">IF($D1748="","",IFERROR(INDEX('통합 ④ 설정'!$C$6:$C$40,MATCH($D1748,'통합 ④ 설정'!$B$6:$B$40,0)),""))</f>
        <v/>
      </c>
      <c r="G1748" s="39"/>
      <c r="H1748" s="39"/>
      <c r="I1748" s="40"/>
      <c r="J1748" s="41"/>
      <c r="K1748" s="38"/>
      <c r="L1748" s="42" t="str">
        <f aca="false">IF($B1748="","",IF(AND(N($I1748)=0,N($J1748)=0),"금액이 없습니다",IF(AND($I1748&gt;0,$J1748&gt;0),"수입·지출 둘 다 적혔습니다",IF($C1748="","결제수단을 고르십시오",IF(ISNA(MATCH($C1748,'통합 ③ 통장·카드'!$A$5:$A$11,0)),"③ 통장·카드에 없는 결제수단입니다",IF($D1748="","계정과목을 고르십시오",IF($E1748="※없는 과목","④ 설정에 없는 과목입니다",IF(AND($E1748="수입",$J1748&gt;0),"수입 과목인데 지출에 적혔습니다",IF(AND(LEFT($E1748,2)&lt;&gt;"수입",$E1748&lt;&gt;"대체",$I1748&gt;0),"지출 과목인데 수입에 적혔습니다",IF($K1748="","증빙을 고르십시오",IF(AND($C1748="바우처통장",$J1748&gt;0,IFERROR(INDEX('통합 ④ 설정'!$E$6:$E$40,MATCH($D1748,'통합 ④ 설정'!$B$6:$B$40,0)),"")&lt;&gt;"○"),"바우처통장 지출 — 목적 확인",IF($H1748="","적요를 적으십시오",""))))))))))))</f>
        <v/>
      </c>
      <c r="M1748" s="39"/>
      <c r="O1748" s="11" t="str">
        <f aca="false">IF($B1748="","",YEAR($B1748)*100+MONTH($B1748))</f>
        <v/>
      </c>
      <c r="P1748" s="11" t="str">
        <f aca="false">IF($B1748="","",IF($E1748="대체",0,1))</f>
        <v/>
      </c>
    </row>
    <row r="1749" customFormat="false" ht="15" hidden="false" customHeight="false" outlineLevel="0" collapsed="false">
      <c r="A1749" s="36" t="str">
        <f aca="false">IF($B1749="","",COUNT($B$15:$B1749))</f>
        <v/>
      </c>
      <c r="B1749" s="37"/>
      <c r="C1749" s="38"/>
      <c r="D1749" s="39"/>
      <c r="E1749" s="36" t="str">
        <f aca="false">IF($D1749="","",IFERROR(INDEX('통합 ④ 설정'!$A$6:$A$40,MATCH($D1749,'통합 ④ 설정'!$B$6:$B$40,0)),"※없는 과목"))</f>
        <v/>
      </c>
      <c r="F1749" s="36" t="str">
        <f aca="false">IF($D1749="","",IFERROR(INDEX('통합 ④ 설정'!$C$6:$C$40,MATCH($D1749,'통합 ④ 설정'!$B$6:$B$40,0)),""))</f>
        <v/>
      </c>
      <c r="G1749" s="39"/>
      <c r="H1749" s="39"/>
      <c r="I1749" s="40"/>
      <c r="J1749" s="41"/>
      <c r="K1749" s="38"/>
      <c r="L1749" s="42" t="str">
        <f aca="false">IF($B1749="","",IF(AND(N($I1749)=0,N($J1749)=0),"금액이 없습니다",IF(AND($I1749&gt;0,$J1749&gt;0),"수입·지출 둘 다 적혔습니다",IF($C1749="","결제수단을 고르십시오",IF(ISNA(MATCH($C1749,'통합 ③ 통장·카드'!$A$5:$A$11,0)),"③ 통장·카드에 없는 결제수단입니다",IF($D1749="","계정과목을 고르십시오",IF($E1749="※없는 과목","④ 설정에 없는 과목입니다",IF(AND($E1749="수입",$J1749&gt;0),"수입 과목인데 지출에 적혔습니다",IF(AND(LEFT($E1749,2)&lt;&gt;"수입",$E1749&lt;&gt;"대체",$I1749&gt;0),"지출 과목인데 수입에 적혔습니다",IF($K1749="","증빙을 고르십시오",IF(AND($C1749="바우처통장",$J1749&gt;0,IFERROR(INDEX('통합 ④ 설정'!$E$6:$E$40,MATCH($D1749,'통합 ④ 설정'!$B$6:$B$40,0)),"")&lt;&gt;"○"),"바우처통장 지출 — 목적 확인",IF($H1749="","적요를 적으십시오",""))))))))))))</f>
        <v/>
      </c>
      <c r="M1749" s="39"/>
      <c r="O1749" s="11" t="str">
        <f aca="false">IF($B1749="","",YEAR($B1749)*100+MONTH($B1749))</f>
        <v/>
      </c>
      <c r="P1749" s="11" t="str">
        <f aca="false">IF($B1749="","",IF($E1749="대체",0,1))</f>
        <v/>
      </c>
    </row>
    <row r="1750" customFormat="false" ht="15" hidden="false" customHeight="false" outlineLevel="0" collapsed="false">
      <c r="A1750" s="36" t="str">
        <f aca="false">IF($B1750="","",COUNT($B$15:$B1750))</f>
        <v/>
      </c>
      <c r="B1750" s="37"/>
      <c r="C1750" s="38"/>
      <c r="D1750" s="39"/>
      <c r="E1750" s="36" t="str">
        <f aca="false">IF($D1750="","",IFERROR(INDEX('통합 ④ 설정'!$A$6:$A$40,MATCH($D1750,'통합 ④ 설정'!$B$6:$B$40,0)),"※없는 과목"))</f>
        <v/>
      </c>
      <c r="F1750" s="36" t="str">
        <f aca="false">IF($D1750="","",IFERROR(INDEX('통합 ④ 설정'!$C$6:$C$40,MATCH($D1750,'통합 ④ 설정'!$B$6:$B$40,0)),""))</f>
        <v/>
      </c>
      <c r="G1750" s="39"/>
      <c r="H1750" s="39"/>
      <c r="I1750" s="40"/>
      <c r="J1750" s="41"/>
      <c r="K1750" s="38"/>
      <c r="L1750" s="42" t="str">
        <f aca="false">IF($B1750="","",IF(AND(N($I1750)=0,N($J1750)=0),"금액이 없습니다",IF(AND($I1750&gt;0,$J1750&gt;0),"수입·지출 둘 다 적혔습니다",IF($C1750="","결제수단을 고르십시오",IF(ISNA(MATCH($C1750,'통합 ③ 통장·카드'!$A$5:$A$11,0)),"③ 통장·카드에 없는 결제수단입니다",IF($D1750="","계정과목을 고르십시오",IF($E1750="※없는 과목","④ 설정에 없는 과목입니다",IF(AND($E1750="수입",$J1750&gt;0),"수입 과목인데 지출에 적혔습니다",IF(AND(LEFT($E1750,2)&lt;&gt;"수입",$E1750&lt;&gt;"대체",$I1750&gt;0),"지출 과목인데 수입에 적혔습니다",IF($K1750="","증빙을 고르십시오",IF(AND($C1750="바우처통장",$J1750&gt;0,IFERROR(INDEX('통합 ④ 설정'!$E$6:$E$40,MATCH($D1750,'통합 ④ 설정'!$B$6:$B$40,0)),"")&lt;&gt;"○"),"바우처통장 지출 — 목적 확인",IF($H1750="","적요를 적으십시오",""))))))))))))</f>
        <v/>
      </c>
      <c r="M1750" s="39"/>
      <c r="O1750" s="11" t="str">
        <f aca="false">IF($B1750="","",YEAR($B1750)*100+MONTH($B1750))</f>
        <v/>
      </c>
      <c r="P1750" s="11" t="str">
        <f aca="false">IF($B1750="","",IF($E1750="대체",0,1))</f>
        <v/>
      </c>
    </row>
    <row r="1751" customFormat="false" ht="15" hidden="false" customHeight="false" outlineLevel="0" collapsed="false">
      <c r="A1751" s="36" t="str">
        <f aca="false">IF($B1751="","",COUNT($B$15:$B1751))</f>
        <v/>
      </c>
      <c r="B1751" s="37"/>
      <c r="C1751" s="38"/>
      <c r="D1751" s="39"/>
      <c r="E1751" s="36" t="str">
        <f aca="false">IF($D1751="","",IFERROR(INDEX('통합 ④ 설정'!$A$6:$A$40,MATCH($D1751,'통합 ④ 설정'!$B$6:$B$40,0)),"※없는 과목"))</f>
        <v/>
      </c>
      <c r="F1751" s="36" t="str">
        <f aca="false">IF($D1751="","",IFERROR(INDEX('통합 ④ 설정'!$C$6:$C$40,MATCH($D1751,'통합 ④ 설정'!$B$6:$B$40,0)),""))</f>
        <v/>
      </c>
      <c r="G1751" s="39"/>
      <c r="H1751" s="39"/>
      <c r="I1751" s="40"/>
      <c r="J1751" s="41"/>
      <c r="K1751" s="38"/>
      <c r="L1751" s="42" t="str">
        <f aca="false">IF($B1751="","",IF(AND(N($I1751)=0,N($J1751)=0),"금액이 없습니다",IF(AND($I1751&gt;0,$J1751&gt;0),"수입·지출 둘 다 적혔습니다",IF($C1751="","결제수단을 고르십시오",IF(ISNA(MATCH($C1751,'통합 ③ 통장·카드'!$A$5:$A$11,0)),"③ 통장·카드에 없는 결제수단입니다",IF($D1751="","계정과목을 고르십시오",IF($E1751="※없는 과목","④ 설정에 없는 과목입니다",IF(AND($E1751="수입",$J1751&gt;0),"수입 과목인데 지출에 적혔습니다",IF(AND(LEFT($E1751,2)&lt;&gt;"수입",$E1751&lt;&gt;"대체",$I1751&gt;0),"지출 과목인데 수입에 적혔습니다",IF($K1751="","증빙을 고르십시오",IF(AND($C1751="바우처통장",$J1751&gt;0,IFERROR(INDEX('통합 ④ 설정'!$E$6:$E$40,MATCH($D1751,'통합 ④ 설정'!$B$6:$B$40,0)),"")&lt;&gt;"○"),"바우처통장 지출 — 목적 확인",IF($H1751="","적요를 적으십시오",""))))))))))))</f>
        <v/>
      </c>
      <c r="M1751" s="39"/>
      <c r="O1751" s="11" t="str">
        <f aca="false">IF($B1751="","",YEAR($B1751)*100+MONTH($B1751))</f>
        <v/>
      </c>
      <c r="P1751" s="11" t="str">
        <f aca="false">IF($B1751="","",IF($E1751="대체",0,1))</f>
        <v/>
      </c>
    </row>
    <row r="1752" customFormat="false" ht="15" hidden="false" customHeight="false" outlineLevel="0" collapsed="false">
      <c r="A1752" s="36" t="str">
        <f aca="false">IF($B1752="","",COUNT($B$15:$B1752))</f>
        <v/>
      </c>
      <c r="B1752" s="37"/>
      <c r="C1752" s="38"/>
      <c r="D1752" s="39"/>
      <c r="E1752" s="36" t="str">
        <f aca="false">IF($D1752="","",IFERROR(INDEX('통합 ④ 설정'!$A$6:$A$40,MATCH($D1752,'통합 ④ 설정'!$B$6:$B$40,0)),"※없는 과목"))</f>
        <v/>
      </c>
      <c r="F1752" s="36" t="str">
        <f aca="false">IF($D1752="","",IFERROR(INDEX('통합 ④ 설정'!$C$6:$C$40,MATCH($D1752,'통합 ④ 설정'!$B$6:$B$40,0)),""))</f>
        <v/>
      </c>
      <c r="G1752" s="39"/>
      <c r="H1752" s="39"/>
      <c r="I1752" s="40"/>
      <c r="J1752" s="41"/>
      <c r="K1752" s="38"/>
      <c r="L1752" s="42" t="str">
        <f aca="false">IF($B1752="","",IF(AND(N($I1752)=0,N($J1752)=0),"금액이 없습니다",IF(AND($I1752&gt;0,$J1752&gt;0),"수입·지출 둘 다 적혔습니다",IF($C1752="","결제수단을 고르십시오",IF(ISNA(MATCH($C1752,'통합 ③ 통장·카드'!$A$5:$A$11,0)),"③ 통장·카드에 없는 결제수단입니다",IF($D1752="","계정과목을 고르십시오",IF($E1752="※없는 과목","④ 설정에 없는 과목입니다",IF(AND($E1752="수입",$J1752&gt;0),"수입 과목인데 지출에 적혔습니다",IF(AND(LEFT($E1752,2)&lt;&gt;"수입",$E1752&lt;&gt;"대체",$I1752&gt;0),"지출 과목인데 수입에 적혔습니다",IF($K1752="","증빙을 고르십시오",IF(AND($C1752="바우처통장",$J1752&gt;0,IFERROR(INDEX('통합 ④ 설정'!$E$6:$E$40,MATCH($D1752,'통합 ④ 설정'!$B$6:$B$40,0)),"")&lt;&gt;"○"),"바우처통장 지출 — 목적 확인",IF($H1752="","적요를 적으십시오",""))))))))))))</f>
        <v/>
      </c>
      <c r="M1752" s="39"/>
      <c r="O1752" s="11" t="str">
        <f aca="false">IF($B1752="","",YEAR($B1752)*100+MONTH($B1752))</f>
        <v/>
      </c>
      <c r="P1752" s="11" t="str">
        <f aca="false">IF($B1752="","",IF($E1752="대체",0,1))</f>
        <v/>
      </c>
    </row>
    <row r="1753" customFormat="false" ht="15" hidden="false" customHeight="false" outlineLevel="0" collapsed="false">
      <c r="A1753" s="36" t="str">
        <f aca="false">IF($B1753="","",COUNT($B$15:$B1753))</f>
        <v/>
      </c>
      <c r="B1753" s="37"/>
      <c r="C1753" s="38"/>
      <c r="D1753" s="39"/>
      <c r="E1753" s="36" t="str">
        <f aca="false">IF($D1753="","",IFERROR(INDEX('통합 ④ 설정'!$A$6:$A$40,MATCH($D1753,'통합 ④ 설정'!$B$6:$B$40,0)),"※없는 과목"))</f>
        <v/>
      </c>
      <c r="F1753" s="36" t="str">
        <f aca="false">IF($D1753="","",IFERROR(INDEX('통합 ④ 설정'!$C$6:$C$40,MATCH($D1753,'통합 ④ 설정'!$B$6:$B$40,0)),""))</f>
        <v/>
      </c>
      <c r="G1753" s="39"/>
      <c r="H1753" s="39"/>
      <c r="I1753" s="40"/>
      <c r="J1753" s="41"/>
      <c r="K1753" s="38"/>
      <c r="L1753" s="42" t="str">
        <f aca="false">IF($B1753="","",IF(AND(N($I1753)=0,N($J1753)=0),"금액이 없습니다",IF(AND($I1753&gt;0,$J1753&gt;0),"수입·지출 둘 다 적혔습니다",IF($C1753="","결제수단을 고르십시오",IF(ISNA(MATCH($C1753,'통합 ③ 통장·카드'!$A$5:$A$11,0)),"③ 통장·카드에 없는 결제수단입니다",IF($D1753="","계정과목을 고르십시오",IF($E1753="※없는 과목","④ 설정에 없는 과목입니다",IF(AND($E1753="수입",$J1753&gt;0),"수입 과목인데 지출에 적혔습니다",IF(AND(LEFT($E1753,2)&lt;&gt;"수입",$E1753&lt;&gt;"대체",$I1753&gt;0),"지출 과목인데 수입에 적혔습니다",IF($K1753="","증빙을 고르십시오",IF(AND($C1753="바우처통장",$J1753&gt;0,IFERROR(INDEX('통합 ④ 설정'!$E$6:$E$40,MATCH($D1753,'통합 ④ 설정'!$B$6:$B$40,0)),"")&lt;&gt;"○"),"바우처통장 지출 — 목적 확인",IF($H1753="","적요를 적으십시오",""))))))))))))</f>
        <v/>
      </c>
      <c r="M1753" s="39"/>
      <c r="O1753" s="11" t="str">
        <f aca="false">IF($B1753="","",YEAR($B1753)*100+MONTH($B1753))</f>
        <v/>
      </c>
      <c r="P1753" s="11" t="str">
        <f aca="false">IF($B1753="","",IF($E1753="대체",0,1))</f>
        <v/>
      </c>
    </row>
    <row r="1754" customFormat="false" ht="15" hidden="false" customHeight="false" outlineLevel="0" collapsed="false">
      <c r="A1754" s="36" t="str">
        <f aca="false">IF($B1754="","",COUNT($B$15:$B1754))</f>
        <v/>
      </c>
      <c r="B1754" s="37"/>
      <c r="C1754" s="38"/>
      <c r="D1754" s="39"/>
      <c r="E1754" s="36" t="str">
        <f aca="false">IF($D1754="","",IFERROR(INDEX('통합 ④ 설정'!$A$6:$A$40,MATCH($D1754,'통합 ④ 설정'!$B$6:$B$40,0)),"※없는 과목"))</f>
        <v/>
      </c>
      <c r="F1754" s="36" t="str">
        <f aca="false">IF($D1754="","",IFERROR(INDEX('통합 ④ 설정'!$C$6:$C$40,MATCH($D1754,'통합 ④ 설정'!$B$6:$B$40,0)),""))</f>
        <v/>
      </c>
      <c r="G1754" s="39"/>
      <c r="H1754" s="39"/>
      <c r="I1754" s="40"/>
      <c r="J1754" s="41"/>
      <c r="K1754" s="38"/>
      <c r="L1754" s="42" t="str">
        <f aca="false">IF($B1754="","",IF(AND(N($I1754)=0,N($J1754)=0),"금액이 없습니다",IF(AND($I1754&gt;0,$J1754&gt;0),"수입·지출 둘 다 적혔습니다",IF($C1754="","결제수단을 고르십시오",IF(ISNA(MATCH($C1754,'통합 ③ 통장·카드'!$A$5:$A$11,0)),"③ 통장·카드에 없는 결제수단입니다",IF($D1754="","계정과목을 고르십시오",IF($E1754="※없는 과목","④ 설정에 없는 과목입니다",IF(AND($E1754="수입",$J1754&gt;0),"수입 과목인데 지출에 적혔습니다",IF(AND(LEFT($E1754,2)&lt;&gt;"수입",$E1754&lt;&gt;"대체",$I1754&gt;0),"지출 과목인데 수입에 적혔습니다",IF($K1754="","증빙을 고르십시오",IF(AND($C1754="바우처통장",$J1754&gt;0,IFERROR(INDEX('통합 ④ 설정'!$E$6:$E$40,MATCH($D1754,'통합 ④ 설정'!$B$6:$B$40,0)),"")&lt;&gt;"○"),"바우처통장 지출 — 목적 확인",IF($H1754="","적요를 적으십시오",""))))))))))))</f>
        <v/>
      </c>
      <c r="M1754" s="39"/>
      <c r="O1754" s="11" t="str">
        <f aca="false">IF($B1754="","",YEAR($B1754)*100+MONTH($B1754))</f>
        <v/>
      </c>
      <c r="P1754" s="11" t="str">
        <f aca="false">IF($B1754="","",IF($E1754="대체",0,1))</f>
        <v/>
      </c>
    </row>
    <row r="1755" customFormat="false" ht="15" hidden="false" customHeight="false" outlineLevel="0" collapsed="false">
      <c r="A1755" s="36" t="str">
        <f aca="false">IF($B1755="","",COUNT($B$15:$B1755))</f>
        <v/>
      </c>
      <c r="B1755" s="37"/>
      <c r="C1755" s="38"/>
      <c r="D1755" s="39"/>
      <c r="E1755" s="36" t="str">
        <f aca="false">IF($D1755="","",IFERROR(INDEX('통합 ④ 설정'!$A$6:$A$40,MATCH($D1755,'통합 ④ 설정'!$B$6:$B$40,0)),"※없는 과목"))</f>
        <v/>
      </c>
      <c r="F1755" s="36" t="str">
        <f aca="false">IF($D1755="","",IFERROR(INDEX('통합 ④ 설정'!$C$6:$C$40,MATCH($D1755,'통합 ④ 설정'!$B$6:$B$40,0)),""))</f>
        <v/>
      </c>
      <c r="G1755" s="39"/>
      <c r="H1755" s="39"/>
      <c r="I1755" s="40"/>
      <c r="J1755" s="41"/>
      <c r="K1755" s="38"/>
      <c r="L1755" s="42" t="str">
        <f aca="false">IF($B1755="","",IF(AND(N($I1755)=0,N($J1755)=0),"금액이 없습니다",IF(AND($I1755&gt;0,$J1755&gt;0),"수입·지출 둘 다 적혔습니다",IF($C1755="","결제수단을 고르십시오",IF(ISNA(MATCH($C1755,'통합 ③ 통장·카드'!$A$5:$A$11,0)),"③ 통장·카드에 없는 결제수단입니다",IF($D1755="","계정과목을 고르십시오",IF($E1755="※없는 과목","④ 설정에 없는 과목입니다",IF(AND($E1755="수입",$J1755&gt;0),"수입 과목인데 지출에 적혔습니다",IF(AND(LEFT($E1755,2)&lt;&gt;"수입",$E1755&lt;&gt;"대체",$I1755&gt;0),"지출 과목인데 수입에 적혔습니다",IF($K1755="","증빙을 고르십시오",IF(AND($C1755="바우처통장",$J1755&gt;0,IFERROR(INDEX('통합 ④ 설정'!$E$6:$E$40,MATCH($D1755,'통합 ④ 설정'!$B$6:$B$40,0)),"")&lt;&gt;"○"),"바우처통장 지출 — 목적 확인",IF($H1755="","적요를 적으십시오",""))))))))))))</f>
        <v/>
      </c>
      <c r="M1755" s="39"/>
      <c r="O1755" s="11" t="str">
        <f aca="false">IF($B1755="","",YEAR($B1755)*100+MONTH($B1755))</f>
        <v/>
      </c>
      <c r="P1755" s="11" t="str">
        <f aca="false">IF($B1755="","",IF($E1755="대체",0,1))</f>
        <v/>
      </c>
    </row>
    <row r="1756" customFormat="false" ht="15" hidden="false" customHeight="false" outlineLevel="0" collapsed="false">
      <c r="A1756" s="36" t="str">
        <f aca="false">IF($B1756="","",COUNT($B$15:$B1756))</f>
        <v/>
      </c>
      <c r="B1756" s="37"/>
      <c r="C1756" s="38"/>
      <c r="D1756" s="39"/>
      <c r="E1756" s="36" t="str">
        <f aca="false">IF($D1756="","",IFERROR(INDEX('통합 ④ 설정'!$A$6:$A$40,MATCH($D1756,'통합 ④ 설정'!$B$6:$B$40,0)),"※없는 과목"))</f>
        <v/>
      </c>
      <c r="F1756" s="36" t="str">
        <f aca="false">IF($D1756="","",IFERROR(INDEX('통합 ④ 설정'!$C$6:$C$40,MATCH($D1756,'통합 ④ 설정'!$B$6:$B$40,0)),""))</f>
        <v/>
      </c>
      <c r="G1756" s="39"/>
      <c r="H1756" s="39"/>
      <c r="I1756" s="40"/>
      <c r="J1756" s="41"/>
      <c r="K1756" s="38"/>
      <c r="L1756" s="42" t="str">
        <f aca="false">IF($B1756="","",IF(AND(N($I1756)=0,N($J1756)=0),"금액이 없습니다",IF(AND($I1756&gt;0,$J1756&gt;0),"수입·지출 둘 다 적혔습니다",IF($C1756="","결제수단을 고르십시오",IF(ISNA(MATCH($C1756,'통합 ③ 통장·카드'!$A$5:$A$11,0)),"③ 통장·카드에 없는 결제수단입니다",IF($D1756="","계정과목을 고르십시오",IF($E1756="※없는 과목","④ 설정에 없는 과목입니다",IF(AND($E1756="수입",$J1756&gt;0),"수입 과목인데 지출에 적혔습니다",IF(AND(LEFT($E1756,2)&lt;&gt;"수입",$E1756&lt;&gt;"대체",$I1756&gt;0),"지출 과목인데 수입에 적혔습니다",IF($K1756="","증빙을 고르십시오",IF(AND($C1756="바우처통장",$J1756&gt;0,IFERROR(INDEX('통합 ④ 설정'!$E$6:$E$40,MATCH($D1756,'통합 ④ 설정'!$B$6:$B$40,0)),"")&lt;&gt;"○"),"바우처통장 지출 — 목적 확인",IF($H1756="","적요를 적으십시오",""))))))))))))</f>
        <v/>
      </c>
      <c r="M1756" s="39"/>
      <c r="O1756" s="11" t="str">
        <f aca="false">IF($B1756="","",YEAR($B1756)*100+MONTH($B1756))</f>
        <v/>
      </c>
      <c r="P1756" s="11" t="str">
        <f aca="false">IF($B1756="","",IF($E1756="대체",0,1))</f>
        <v/>
      </c>
    </row>
    <row r="1757" customFormat="false" ht="15" hidden="false" customHeight="false" outlineLevel="0" collapsed="false">
      <c r="A1757" s="36" t="str">
        <f aca="false">IF($B1757="","",COUNT($B$15:$B1757))</f>
        <v/>
      </c>
      <c r="B1757" s="37"/>
      <c r="C1757" s="38"/>
      <c r="D1757" s="39"/>
      <c r="E1757" s="36" t="str">
        <f aca="false">IF($D1757="","",IFERROR(INDEX('통합 ④ 설정'!$A$6:$A$40,MATCH($D1757,'통합 ④ 설정'!$B$6:$B$40,0)),"※없는 과목"))</f>
        <v/>
      </c>
      <c r="F1757" s="36" t="str">
        <f aca="false">IF($D1757="","",IFERROR(INDEX('통합 ④ 설정'!$C$6:$C$40,MATCH($D1757,'통합 ④ 설정'!$B$6:$B$40,0)),""))</f>
        <v/>
      </c>
      <c r="G1757" s="39"/>
      <c r="H1757" s="39"/>
      <c r="I1757" s="40"/>
      <c r="J1757" s="41"/>
      <c r="K1757" s="38"/>
      <c r="L1757" s="42" t="str">
        <f aca="false">IF($B1757="","",IF(AND(N($I1757)=0,N($J1757)=0),"금액이 없습니다",IF(AND($I1757&gt;0,$J1757&gt;0),"수입·지출 둘 다 적혔습니다",IF($C1757="","결제수단을 고르십시오",IF(ISNA(MATCH($C1757,'통합 ③ 통장·카드'!$A$5:$A$11,0)),"③ 통장·카드에 없는 결제수단입니다",IF($D1757="","계정과목을 고르십시오",IF($E1757="※없는 과목","④ 설정에 없는 과목입니다",IF(AND($E1757="수입",$J1757&gt;0),"수입 과목인데 지출에 적혔습니다",IF(AND(LEFT($E1757,2)&lt;&gt;"수입",$E1757&lt;&gt;"대체",$I1757&gt;0),"지출 과목인데 수입에 적혔습니다",IF($K1757="","증빙을 고르십시오",IF(AND($C1757="바우처통장",$J1757&gt;0,IFERROR(INDEX('통합 ④ 설정'!$E$6:$E$40,MATCH($D1757,'통합 ④ 설정'!$B$6:$B$40,0)),"")&lt;&gt;"○"),"바우처통장 지출 — 목적 확인",IF($H1757="","적요를 적으십시오",""))))))))))))</f>
        <v/>
      </c>
      <c r="M1757" s="39"/>
      <c r="O1757" s="11" t="str">
        <f aca="false">IF($B1757="","",YEAR($B1757)*100+MONTH($B1757))</f>
        <v/>
      </c>
      <c r="P1757" s="11" t="str">
        <f aca="false">IF($B1757="","",IF($E1757="대체",0,1))</f>
        <v/>
      </c>
    </row>
    <row r="1758" customFormat="false" ht="15" hidden="false" customHeight="false" outlineLevel="0" collapsed="false">
      <c r="A1758" s="36" t="str">
        <f aca="false">IF($B1758="","",COUNT($B$15:$B1758))</f>
        <v/>
      </c>
      <c r="B1758" s="37"/>
      <c r="C1758" s="38"/>
      <c r="D1758" s="39"/>
      <c r="E1758" s="36" t="str">
        <f aca="false">IF($D1758="","",IFERROR(INDEX('통합 ④ 설정'!$A$6:$A$40,MATCH($D1758,'통합 ④ 설정'!$B$6:$B$40,0)),"※없는 과목"))</f>
        <v/>
      </c>
      <c r="F1758" s="36" t="str">
        <f aca="false">IF($D1758="","",IFERROR(INDEX('통합 ④ 설정'!$C$6:$C$40,MATCH($D1758,'통합 ④ 설정'!$B$6:$B$40,0)),""))</f>
        <v/>
      </c>
      <c r="G1758" s="39"/>
      <c r="H1758" s="39"/>
      <c r="I1758" s="40"/>
      <c r="J1758" s="41"/>
      <c r="K1758" s="38"/>
      <c r="L1758" s="42" t="str">
        <f aca="false">IF($B1758="","",IF(AND(N($I1758)=0,N($J1758)=0),"금액이 없습니다",IF(AND($I1758&gt;0,$J1758&gt;0),"수입·지출 둘 다 적혔습니다",IF($C1758="","결제수단을 고르십시오",IF(ISNA(MATCH($C1758,'통합 ③ 통장·카드'!$A$5:$A$11,0)),"③ 통장·카드에 없는 결제수단입니다",IF($D1758="","계정과목을 고르십시오",IF($E1758="※없는 과목","④ 설정에 없는 과목입니다",IF(AND($E1758="수입",$J1758&gt;0),"수입 과목인데 지출에 적혔습니다",IF(AND(LEFT($E1758,2)&lt;&gt;"수입",$E1758&lt;&gt;"대체",$I1758&gt;0),"지출 과목인데 수입에 적혔습니다",IF($K1758="","증빙을 고르십시오",IF(AND($C1758="바우처통장",$J1758&gt;0,IFERROR(INDEX('통합 ④ 설정'!$E$6:$E$40,MATCH($D1758,'통합 ④ 설정'!$B$6:$B$40,0)),"")&lt;&gt;"○"),"바우처통장 지출 — 목적 확인",IF($H1758="","적요를 적으십시오",""))))))))))))</f>
        <v/>
      </c>
      <c r="M1758" s="39"/>
      <c r="O1758" s="11" t="str">
        <f aca="false">IF($B1758="","",YEAR($B1758)*100+MONTH($B1758))</f>
        <v/>
      </c>
      <c r="P1758" s="11" t="str">
        <f aca="false">IF($B1758="","",IF($E1758="대체",0,1))</f>
        <v/>
      </c>
    </row>
    <row r="1759" customFormat="false" ht="15" hidden="false" customHeight="false" outlineLevel="0" collapsed="false">
      <c r="A1759" s="36" t="str">
        <f aca="false">IF($B1759="","",COUNT($B$15:$B1759))</f>
        <v/>
      </c>
      <c r="B1759" s="37"/>
      <c r="C1759" s="38"/>
      <c r="D1759" s="39"/>
      <c r="E1759" s="36" t="str">
        <f aca="false">IF($D1759="","",IFERROR(INDEX('통합 ④ 설정'!$A$6:$A$40,MATCH($D1759,'통합 ④ 설정'!$B$6:$B$40,0)),"※없는 과목"))</f>
        <v/>
      </c>
      <c r="F1759" s="36" t="str">
        <f aca="false">IF($D1759="","",IFERROR(INDEX('통합 ④ 설정'!$C$6:$C$40,MATCH($D1759,'통합 ④ 설정'!$B$6:$B$40,0)),""))</f>
        <v/>
      </c>
      <c r="G1759" s="39"/>
      <c r="H1759" s="39"/>
      <c r="I1759" s="40"/>
      <c r="J1759" s="41"/>
      <c r="K1759" s="38"/>
      <c r="L1759" s="42" t="str">
        <f aca="false">IF($B1759="","",IF(AND(N($I1759)=0,N($J1759)=0),"금액이 없습니다",IF(AND($I1759&gt;0,$J1759&gt;0),"수입·지출 둘 다 적혔습니다",IF($C1759="","결제수단을 고르십시오",IF(ISNA(MATCH($C1759,'통합 ③ 통장·카드'!$A$5:$A$11,0)),"③ 통장·카드에 없는 결제수단입니다",IF($D1759="","계정과목을 고르십시오",IF($E1759="※없는 과목","④ 설정에 없는 과목입니다",IF(AND($E1759="수입",$J1759&gt;0),"수입 과목인데 지출에 적혔습니다",IF(AND(LEFT($E1759,2)&lt;&gt;"수입",$E1759&lt;&gt;"대체",$I1759&gt;0),"지출 과목인데 수입에 적혔습니다",IF($K1759="","증빙을 고르십시오",IF(AND($C1759="바우처통장",$J1759&gt;0,IFERROR(INDEX('통합 ④ 설정'!$E$6:$E$40,MATCH($D1759,'통합 ④ 설정'!$B$6:$B$40,0)),"")&lt;&gt;"○"),"바우처통장 지출 — 목적 확인",IF($H1759="","적요를 적으십시오",""))))))))))))</f>
        <v/>
      </c>
      <c r="M1759" s="39"/>
      <c r="O1759" s="11" t="str">
        <f aca="false">IF($B1759="","",YEAR($B1759)*100+MONTH($B1759))</f>
        <v/>
      </c>
      <c r="P1759" s="11" t="str">
        <f aca="false">IF($B1759="","",IF($E1759="대체",0,1))</f>
        <v/>
      </c>
    </row>
    <row r="1760" customFormat="false" ht="15" hidden="false" customHeight="false" outlineLevel="0" collapsed="false">
      <c r="A1760" s="36" t="str">
        <f aca="false">IF($B1760="","",COUNT($B$15:$B1760))</f>
        <v/>
      </c>
      <c r="B1760" s="37"/>
      <c r="C1760" s="38"/>
      <c r="D1760" s="39"/>
      <c r="E1760" s="36" t="str">
        <f aca="false">IF($D1760="","",IFERROR(INDEX('통합 ④ 설정'!$A$6:$A$40,MATCH($D1760,'통합 ④ 설정'!$B$6:$B$40,0)),"※없는 과목"))</f>
        <v/>
      </c>
      <c r="F1760" s="36" t="str">
        <f aca="false">IF($D1760="","",IFERROR(INDEX('통합 ④ 설정'!$C$6:$C$40,MATCH($D1760,'통합 ④ 설정'!$B$6:$B$40,0)),""))</f>
        <v/>
      </c>
      <c r="G1760" s="39"/>
      <c r="H1760" s="39"/>
      <c r="I1760" s="40"/>
      <c r="J1760" s="41"/>
      <c r="K1760" s="38"/>
      <c r="L1760" s="42" t="str">
        <f aca="false">IF($B1760="","",IF(AND(N($I1760)=0,N($J1760)=0),"금액이 없습니다",IF(AND($I1760&gt;0,$J1760&gt;0),"수입·지출 둘 다 적혔습니다",IF($C1760="","결제수단을 고르십시오",IF(ISNA(MATCH($C1760,'통합 ③ 통장·카드'!$A$5:$A$11,0)),"③ 통장·카드에 없는 결제수단입니다",IF($D1760="","계정과목을 고르십시오",IF($E1760="※없는 과목","④ 설정에 없는 과목입니다",IF(AND($E1760="수입",$J1760&gt;0),"수입 과목인데 지출에 적혔습니다",IF(AND(LEFT($E1760,2)&lt;&gt;"수입",$E1760&lt;&gt;"대체",$I1760&gt;0),"지출 과목인데 수입에 적혔습니다",IF($K1760="","증빙을 고르십시오",IF(AND($C1760="바우처통장",$J1760&gt;0,IFERROR(INDEX('통합 ④ 설정'!$E$6:$E$40,MATCH($D1760,'통합 ④ 설정'!$B$6:$B$40,0)),"")&lt;&gt;"○"),"바우처통장 지출 — 목적 확인",IF($H1760="","적요를 적으십시오",""))))))))))))</f>
        <v/>
      </c>
      <c r="M1760" s="39"/>
      <c r="O1760" s="11" t="str">
        <f aca="false">IF($B1760="","",YEAR($B1760)*100+MONTH($B1760))</f>
        <v/>
      </c>
      <c r="P1760" s="11" t="str">
        <f aca="false">IF($B1760="","",IF($E1760="대체",0,1))</f>
        <v/>
      </c>
    </row>
    <row r="1761" customFormat="false" ht="15" hidden="false" customHeight="false" outlineLevel="0" collapsed="false">
      <c r="A1761" s="36" t="str">
        <f aca="false">IF($B1761="","",COUNT($B$15:$B1761))</f>
        <v/>
      </c>
      <c r="B1761" s="37"/>
      <c r="C1761" s="38"/>
      <c r="D1761" s="39"/>
      <c r="E1761" s="36" t="str">
        <f aca="false">IF($D1761="","",IFERROR(INDEX('통합 ④ 설정'!$A$6:$A$40,MATCH($D1761,'통합 ④ 설정'!$B$6:$B$40,0)),"※없는 과목"))</f>
        <v/>
      </c>
      <c r="F1761" s="36" t="str">
        <f aca="false">IF($D1761="","",IFERROR(INDEX('통합 ④ 설정'!$C$6:$C$40,MATCH($D1761,'통합 ④ 설정'!$B$6:$B$40,0)),""))</f>
        <v/>
      </c>
      <c r="G1761" s="39"/>
      <c r="H1761" s="39"/>
      <c r="I1761" s="40"/>
      <c r="J1761" s="41"/>
      <c r="K1761" s="38"/>
      <c r="L1761" s="42" t="str">
        <f aca="false">IF($B1761="","",IF(AND(N($I1761)=0,N($J1761)=0),"금액이 없습니다",IF(AND($I1761&gt;0,$J1761&gt;0),"수입·지출 둘 다 적혔습니다",IF($C1761="","결제수단을 고르십시오",IF(ISNA(MATCH($C1761,'통합 ③ 통장·카드'!$A$5:$A$11,0)),"③ 통장·카드에 없는 결제수단입니다",IF($D1761="","계정과목을 고르십시오",IF($E1761="※없는 과목","④ 설정에 없는 과목입니다",IF(AND($E1761="수입",$J1761&gt;0),"수입 과목인데 지출에 적혔습니다",IF(AND(LEFT($E1761,2)&lt;&gt;"수입",$E1761&lt;&gt;"대체",$I1761&gt;0),"지출 과목인데 수입에 적혔습니다",IF($K1761="","증빙을 고르십시오",IF(AND($C1761="바우처통장",$J1761&gt;0,IFERROR(INDEX('통합 ④ 설정'!$E$6:$E$40,MATCH($D1761,'통합 ④ 설정'!$B$6:$B$40,0)),"")&lt;&gt;"○"),"바우처통장 지출 — 목적 확인",IF($H1761="","적요를 적으십시오",""))))))))))))</f>
        <v/>
      </c>
      <c r="M1761" s="39"/>
      <c r="O1761" s="11" t="str">
        <f aca="false">IF($B1761="","",YEAR($B1761)*100+MONTH($B1761))</f>
        <v/>
      </c>
      <c r="P1761" s="11" t="str">
        <f aca="false">IF($B1761="","",IF($E1761="대체",0,1))</f>
        <v/>
      </c>
    </row>
    <row r="1762" customFormat="false" ht="15" hidden="false" customHeight="false" outlineLevel="0" collapsed="false">
      <c r="A1762" s="36" t="str">
        <f aca="false">IF($B1762="","",COUNT($B$15:$B1762))</f>
        <v/>
      </c>
      <c r="B1762" s="37"/>
      <c r="C1762" s="38"/>
      <c r="D1762" s="39"/>
      <c r="E1762" s="36" t="str">
        <f aca="false">IF($D1762="","",IFERROR(INDEX('통합 ④ 설정'!$A$6:$A$40,MATCH($D1762,'통합 ④ 설정'!$B$6:$B$40,0)),"※없는 과목"))</f>
        <v/>
      </c>
      <c r="F1762" s="36" t="str">
        <f aca="false">IF($D1762="","",IFERROR(INDEX('통합 ④ 설정'!$C$6:$C$40,MATCH($D1762,'통합 ④ 설정'!$B$6:$B$40,0)),""))</f>
        <v/>
      </c>
      <c r="G1762" s="39"/>
      <c r="H1762" s="39"/>
      <c r="I1762" s="40"/>
      <c r="J1762" s="41"/>
      <c r="K1762" s="38"/>
      <c r="L1762" s="42" t="str">
        <f aca="false">IF($B1762="","",IF(AND(N($I1762)=0,N($J1762)=0),"금액이 없습니다",IF(AND($I1762&gt;0,$J1762&gt;0),"수입·지출 둘 다 적혔습니다",IF($C1762="","결제수단을 고르십시오",IF(ISNA(MATCH($C1762,'통합 ③ 통장·카드'!$A$5:$A$11,0)),"③ 통장·카드에 없는 결제수단입니다",IF($D1762="","계정과목을 고르십시오",IF($E1762="※없는 과목","④ 설정에 없는 과목입니다",IF(AND($E1762="수입",$J1762&gt;0),"수입 과목인데 지출에 적혔습니다",IF(AND(LEFT($E1762,2)&lt;&gt;"수입",$E1762&lt;&gt;"대체",$I1762&gt;0),"지출 과목인데 수입에 적혔습니다",IF($K1762="","증빙을 고르십시오",IF(AND($C1762="바우처통장",$J1762&gt;0,IFERROR(INDEX('통합 ④ 설정'!$E$6:$E$40,MATCH($D1762,'통합 ④ 설정'!$B$6:$B$40,0)),"")&lt;&gt;"○"),"바우처통장 지출 — 목적 확인",IF($H1762="","적요를 적으십시오",""))))))))))))</f>
        <v/>
      </c>
      <c r="M1762" s="39"/>
      <c r="O1762" s="11" t="str">
        <f aca="false">IF($B1762="","",YEAR($B1762)*100+MONTH($B1762))</f>
        <v/>
      </c>
      <c r="P1762" s="11" t="str">
        <f aca="false">IF($B1762="","",IF($E1762="대체",0,1))</f>
        <v/>
      </c>
    </row>
    <row r="1763" customFormat="false" ht="15" hidden="false" customHeight="false" outlineLevel="0" collapsed="false">
      <c r="A1763" s="36" t="str">
        <f aca="false">IF($B1763="","",COUNT($B$15:$B1763))</f>
        <v/>
      </c>
      <c r="B1763" s="37"/>
      <c r="C1763" s="38"/>
      <c r="D1763" s="39"/>
      <c r="E1763" s="36" t="str">
        <f aca="false">IF($D1763="","",IFERROR(INDEX('통합 ④ 설정'!$A$6:$A$40,MATCH($D1763,'통합 ④ 설정'!$B$6:$B$40,0)),"※없는 과목"))</f>
        <v/>
      </c>
      <c r="F1763" s="36" t="str">
        <f aca="false">IF($D1763="","",IFERROR(INDEX('통합 ④ 설정'!$C$6:$C$40,MATCH($D1763,'통합 ④ 설정'!$B$6:$B$40,0)),""))</f>
        <v/>
      </c>
      <c r="G1763" s="39"/>
      <c r="H1763" s="39"/>
      <c r="I1763" s="40"/>
      <c r="J1763" s="41"/>
      <c r="K1763" s="38"/>
      <c r="L1763" s="42" t="str">
        <f aca="false">IF($B1763="","",IF(AND(N($I1763)=0,N($J1763)=0),"금액이 없습니다",IF(AND($I1763&gt;0,$J1763&gt;0),"수입·지출 둘 다 적혔습니다",IF($C1763="","결제수단을 고르십시오",IF(ISNA(MATCH($C1763,'통합 ③ 통장·카드'!$A$5:$A$11,0)),"③ 통장·카드에 없는 결제수단입니다",IF($D1763="","계정과목을 고르십시오",IF($E1763="※없는 과목","④ 설정에 없는 과목입니다",IF(AND($E1763="수입",$J1763&gt;0),"수입 과목인데 지출에 적혔습니다",IF(AND(LEFT($E1763,2)&lt;&gt;"수입",$E1763&lt;&gt;"대체",$I1763&gt;0),"지출 과목인데 수입에 적혔습니다",IF($K1763="","증빙을 고르십시오",IF(AND($C1763="바우처통장",$J1763&gt;0,IFERROR(INDEX('통합 ④ 설정'!$E$6:$E$40,MATCH($D1763,'통합 ④ 설정'!$B$6:$B$40,0)),"")&lt;&gt;"○"),"바우처통장 지출 — 목적 확인",IF($H1763="","적요를 적으십시오",""))))))))))))</f>
        <v/>
      </c>
      <c r="M1763" s="39"/>
      <c r="O1763" s="11" t="str">
        <f aca="false">IF($B1763="","",YEAR($B1763)*100+MONTH($B1763))</f>
        <v/>
      </c>
      <c r="P1763" s="11" t="str">
        <f aca="false">IF($B1763="","",IF($E1763="대체",0,1))</f>
        <v/>
      </c>
    </row>
    <row r="1764" customFormat="false" ht="15" hidden="false" customHeight="false" outlineLevel="0" collapsed="false">
      <c r="A1764" s="36" t="str">
        <f aca="false">IF($B1764="","",COUNT($B$15:$B1764))</f>
        <v/>
      </c>
      <c r="B1764" s="37"/>
      <c r="C1764" s="38"/>
      <c r="D1764" s="39"/>
      <c r="E1764" s="36" t="str">
        <f aca="false">IF($D1764="","",IFERROR(INDEX('통합 ④ 설정'!$A$6:$A$40,MATCH($D1764,'통합 ④ 설정'!$B$6:$B$40,0)),"※없는 과목"))</f>
        <v/>
      </c>
      <c r="F1764" s="36" t="str">
        <f aca="false">IF($D1764="","",IFERROR(INDEX('통합 ④ 설정'!$C$6:$C$40,MATCH($D1764,'통합 ④ 설정'!$B$6:$B$40,0)),""))</f>
        <v/>
      </c>
      <c r="G1764" s="39"/>
      <c r="H1764" s="39"/>
      <c r="I1764" s="40"/>
      <c r="J1764" s="41"/>
      <c r="K1764" s="38"/>
      <c r="L1764" s="42" t="str">
        <f aca="false">IF($B1764="","",IF(AND(N($I1764)=0,N($J1764)=0),"금액이 없습니다",IF(AND($I1764&gt;0,$J1764&gt;0),"수입·지출 둘 다 적혔습니다",IF($C1764="","결제수단을 고르십시오",IF(ISNA(MATCH($C1764,'통합 ③ 통장·카드'!$A$5:$A$11,0)),"③ 통장·카드에 없는 결제수단입니다",IF($D1764="","계정과목을 고르십시오",IF($E1764="※없는 과목","④ 설정에 없는 과목입니다",IF(AND($E1764="수입",$J1764&gt;0),"수입 과목인데 지출에 적혔습니다",IF(AND(LEFT($E1764,2)&lt;&gt;"수입",$E1764&lt;&gt;"대체",$I1764&gt;0),"지출 과목인데 수입에 적혔습니다",IF($K1764="","증빙을 고르십시오",IF(AND($C1764="바우처통장",$J1764&gt;0,IFERROR(INDEX('통합 ④ 설정'!$E$6:$E$40,MATCH($D1764,'통합 ④ 설정'!$B$6:$B$40,0)),"")&lt;&gt;"○"),"바우처통장 지출 — 목적 확인",IF($H1764="","적요를 적으십시오",""))))))))))))</f>
        <v/>
      </c>
      <c r="M1764" s="39"/>
      <c r="O1764" s="11" t="str">
        <f aca="false">IF($B1764="","",YEAR($B1764)*100+MONTH($B1764))</f>
        <v/>
      </c>
      <c r="P1764" s="11" t="str">
        <f aca="false">IF($B1764="","",IF($E1764="대체",0,1))</f>
        <v/>
      </c>
    </row>
    <row r="1765" customFormat="false" ht="15" hidden="false" customHeight="false" outlineLevel="0" collapsed="false">
      <c r="A1765" s="36" t="str">
        <f aca="false">IF($B1765="","",COUNT($B$15:$B1765))</f>
        <v/>
      </c>
      <c r="B1765" s="37"/>
      <c r="C1765" s="38"/>
      <c r="D1765" s="39"/>
      <c r="E1765" s="36" t="str">
        <f aca="false">IF($D1765="","",IFERROR(INDEX('통합 ④ 설정'!$A$6:$A$40,MATCH($D1765,'통합 ④ 설정'!$B$6:$B$40,0)),"※없는 과목"))</f>
        <v/>
      </c>
      <c r="F1765" s="36" t="str">
        <f aca="false">IF($D1765="","",IFERROR(INDEX('통합 ④ 설정'!$C$6:$C$40,MATCH($D1765,'통합 ④ 설정'!$B$6:$B$40,0)),""))</f>
        <v/>
      </c>
      <c r="G1765" s="39"/>
      <c r="H1765" s="39"/>
      <c r="I1765" s="40"/>
      <c r="J1765" s="41"/>
      <c r="K1765" s="38"/>
      <c r="L1765" s="42" t="str">
        <f aca="false">IF($B1765="","",IF(AND(N($I1765)=0,N($J1765)=0),"금액이 없습니다",IF(AND($I1765&gt;0,$J1765&gt;0),"수입·지출 둘 다 적혔습니다",IF($C1765="","결제수단을 고르십시오",IF(ISNA(MATCH($C1765,'통합 ③ 통장·카드'!$A$5:$A$11,0)),"③ 통장·카드에 없는 결제수단입니다",IF($D1765="","계정과목을 고르십시오",IF($E1765="※없는 과목","④ 설정에 없는 과목입니다",IF(AND($E1765="수입",$J1765&gt;0),"수입 과목인데 지출에 적혔습니다",IF(AND(LEFT($E1765,2)&lt;&gt;"수입",$E1765&lt;&gt;"대체",$I1765&gt;0),"지출 과목인데 수입에 적혔습니다",IF($K1765="","증빙을 고르십시오",IF(AND($C1765="바우처통장",$J1765&gt;0,IFERROR(INDEX('통합 ④ 설정'!$E$6:$E$40,MATCH($D1765,'통합 ④ 설정'!$B$6:$B$40,0)),"")&lt;&gt;"○"),"바우처통장 지출 — 목적 확인",IF($H1765="","적요를 적으십시오",""))))))))))))</f>
        <v/>
      </c>
      <c r="M1765" s="39"/>
      <c r="O1765" s="11" t="str">
        <f aca="false">IF($B1765="","",YEAR($B1765)*100+MONTH($B1765))</f>
        <v/>
      </c>
      <c r="P1765" s="11" t="str">
        <f aca="false">IF($B1765="","",IF($E1765="대체",0,1))</f>
        <v/>
      </c>
    </row>
    <row r="1766" customFormat="false" ht="15" hidden="false" customHeight="false" outlineLevel="0" collapsed="false">
      <c r="A1766" s="36" t="str">
        <f aca="false">IF($B1766="","",COUNT($B$15:$B1766))</f>
        <v/>
      </c>
      <c r="B1766" s="37"/>
      <c r="C1766" s="38"/>
      <c r="D1766" s="39"/>
      <c r="E1766" s="36" t="str">
        <f aca="false">IF($D1766="","",IFERROR(INDEX('통합 ④ 설정'!$A$6:$A$40,MATCH($D1766,'통합 ④ 설정'!$B$6:$B$40,0)),"※없는 과목"))</f>
        <v/>
      </c>
      <c r="F1766" s="36" t="str">
        <f aca="false">IF($D1766="","",IFERROR(INDEX('통합 ④ 설정'!$C$6:$C$40,MATCH($D1766,'통합 ④ 설정'!$B$6:$B$40,0)),""))</f>
        <v/>
      </c>
      <c r="G1766" s="39"/>
      <c r="H1766" s="39"/>
      <c r="I1766" s="40"/>
      <c r="J1766" s="41"/>
      <c r="K1766" s="38"/>
      <c r="L1766" s="42" t="str">
        <f aca="false">IF($B1766="","",IF(AND(N($I1766)=0,N($J1766)=0),"금액이 없습니다",IF(AND($I1766&gt;0,$J1766&gt;0),"수입·지출 둘 다 적혔습니다",IF($C1766="","결제수단을 고르십시오",IF(ISNA(MATCH($C1766,'통합 ③ 통장·카드'!$A$5:$A$11,0)),"③ 통장·카드에 없는 결제수단입니다",IF($D1766="","계정과목을 고르십시오",IF($E1766="※없는 과목","④ 설정에 없는 과목입니다",IF(AND($E1766="수입",$J1766&gt;0),"수입 과목인데 지출에 적혔습니다",IF(AND(LEFT($E1766,2)&lt;&gt;"수입",$E1766&lt;&gt;"대체",$I1766&gt;0),"지출 과목인데 수입에 적혔습니다",IF($K1766="","증빙을 고르십시오",IF(AND($C1766="바우처통장",$J1766&gt;0,IFERROR(INDEX('통합 ④ 설정'!$E$6:$E$40,MATCH($D1766,'통합 ④ 설정'!$B$6:$B$40,0)),"")&lt;&gt;"○"),"바우처통장 지출 — 목적 확인",IF($H1766="","적요를 적으십시오",""))))))))))))</f>
        <v/>
      </c>
      <c r="M1766" s="39"/>
      <c r="O1766" s="11" t="str">
        <f aca="false">IF($B1766="","",YEAR($B1766)*100+MONTH($B1766))</f>
        <v/>
      </c>
      <c r="P1766" s="11" t="str">
        <f aca="false">IF($B1766="","",IF($E1766="대체",0,1))</f>
        <v/>
      </c>
    </row>
    <row r="1767" customFormat="false" ht="15" hidden="false" customHeight="false" outlineLevel="0" collapsed="false">
      <c r="A1767" s="36" t="str">
        <f aca="false">IF($B1767="","",COUNT($B$15:$B1767))</f>
        <v/>
      </c>
      <c r="B1767" s="37"/>
      <c r="C1767" s="38"/>
      <c r="D1767" s="39"/>
      <c r="E1767" s="36" t="str">
        <f aca="false">IF($D1767="","",IFERROR(INDEX('통합 ④ 설정'!$A$6:$A$40,MATCH($D1767,'통합 ④ 설정'!$B$6:$B$40,0)),"※없는 과목"))</f>
        <v/>
      </c>
      <c r="F1767" s="36" t="str">
        <f aca="false">IF($D1767="","",IFERROR(INDEX('통합 ④ 설정'!$C$6:$C$40,MATCH($D1767,'통합 ④ 설정'!$B$6:$B$40,0)),""))</f>
        <v/>
      </c>
      <c r="G1767" s="39"/>
      <c r="H1767" s="39"/>
      <c r="I1767" s="40"/>
      <c r="J1767" s="41"/>
      <c r="K1767" s="38"/>
      <c r="L1767" s="42" t="str">
        <f aca="false">IF($B1767="","",IF(AND(N($I1767)=0,N($J1767)=0),"금액이 없습니다",IF(AND($I1767&gt;0,$J1767&gt;0),"수입·지출 둘 다 적혔습니다",IF($C1767="","결제수단을 고르십시오",IF(ISNA(MATCH($C1767,'통합 ③ 통장·카드'!$A$5:$A$11,0)),"③ 통장·카드에 없는 결제수단입니다",IF($D1767="","계정과목을 고르십시오",IF($E1767="※없는 과목","④ 설정에 없는 과목입니다",IF(AND($E1767="수입",$J1767&gt;0),"수입 과목인데 지출에 적혔습니다",IF(AND(LEFT($E1767,2)&lt;&gt;"수입",$E1767&lt;&gt;"대체",$I1767&gt;0),"지출 과목인데 수입에 적혔습니다",IF($K1767="","증빙을 고르십시오",IF(AND($C1767="바우처통장",$J1767&gt;0,IFERROR(INDEX('통합 ④ 설정'!$E$6:$E$40,MATCH($D1767,'통합 ④ 설정'!$B$6:$B$40,0)),"")&lt;&gt;"○"),"바우처통장 지출 — 목적 확인",IF($H1767="","적요를 적으십시오",""))))))))))))</f>
        <v/>
      </c>
      <c r="M1767" s="39"/>
      <c r="O1767" s="11" t="str">
        <f aca="false">IF($B1767="","",YEAR($B1767)*100+MONTH($B1767))</f>
        <v/>
      </c>
      <c r="P1767" s="11" t="str">
        <f aca="false">IF($B1767="","",IF($E1767="대체",0,1))</f>
        <v/>
      </c>
    </row>
    <row r="1768" customFormat="false" ht="15" hidden="false" customHeight="false" outlineLevel="0" collapsed="false">
      <c r="A1768" s="36" t="str">
        <f aca="false">IF($B1768="","",COUNT($B$15:$B1768))</f>
        <v/>
      </c>
      <c r="B1768" s="37"/>
      <c r="C1768" s="38"/>
      <c r="D1768" s="39"/>
      <c r="E1768" s="36" t="str">
        <f aca="false">IF($D1768="","",IFERROR(INDEX('통합 ④ 설정'!$A$6:$A$40,MATCH($D1768,'통합 ④ 설정'!$B$6:$B$40,0)),"※없는 과목"))</f>
        <v/>
      </c>
      <c r="F1768" s="36" t="str">
        <f aca="false">IF($D1768="","",IFERROR(INDEX('통합 ④ 설정'!$C$6:$C$40,MATCH($D1768,'통합 ④ 설정'!$B$6:$B$40,0)),""))</f>
        <v/>
      </c>
      <c r="G1768" s="39"/>
      <c r="H1768" s="39"/>
      <c r="I1768" s="40"/>
      <c r="J1768" s="41"/>
      <c r="K1768" s="38"/>
      <c r="L1768" s="42" t="str">
        <f aca="false">IF($B1768="","",IF(AND(N($I1768)=0,N($J1768)=0),"금액이 없습니다",IF(AND($I1768&gt;0,$J1768&gt;0),"수입·지출 둘 다 적혔습니다",IF($C1768="","결제수단을 고르십시오",IF(ISNA(MATCH($C1768,'통합 ③ 통장·카드'!$A$5:$A$11,0)),"③ 통장·카드에 없는 결제수단입니다",IF($D1768="","계정과목을 고르십시오",IF($E1768="※없는 과목","④ 설정에 없는 과목입니다",IF(AND($E1768="수입",$J1768&gt;0),"수입 과목인데 지출에 적혔습니다",IF(AND(LEFT($E1768,2)&lt;&gt;"수입",$E1768&lt;&gt;"대체",$I1768&gt;0),"지출 과목인데 수입에 적혔습니다",IF($K1768="","증빙을 고르십시오",IF(AND($C1768="바우처통장",$J1768&gt;0,IFERROR(INDEX('통합 ④ 설정'!$E$6:$E$40,MATCH($D1768,'통합 ④ 설정'!$B$6:$B$40,0)),"")&lt;&gt;"○"),"바우처통장 지출 — 목적 확인",IF($H1768="","적요를 적으십시오",""))))))))))))</f>
        <v/>
      </c>
      <c r="M1768" s="39"/>
      <c r="O1768" s="11" t="str">
        <f aca="false">IF($B1768="","",YEAR($B1768)*100+MONTH($B1768))</f>
        <v/>
      </c>
      <c r="P1768" s="11" t="str">
        <f aca="false">IF($B1768="","",IF($E1768="대체",0,1))</f>
        <v/>
      </c>
    </row>
    <row r="1769" customFormat="false" ht="15" hidden="false" customHeight="false" outlineLevel="0" collapsed="false">
      <c r="A1769" s="36" t="str">
        <f aca="false">IF($B1769="","",COUNT($B$15:$B1769))</f>
        <v/>
      </c>
      <c r="B1769" s="37"/>
      <c r="C1769" s="38"/>
      <c r="D1769" s="39"/>
      <c r="E1769" s="36" t="str">
        <f aca="false">IF($D1769="","",IFERROR(INDEX('통합 ④ 설정'!$A$6:$A$40,MATCH($D1769,'통합 ④ 설정'!$B$6:$B$40,0)),"※없는 과목"))</f>
        <v/>
      </c>
      <c r="F1769" s="36" t="str">
        <f aca="false">IF($D1769="","",IFERROR(INDEX('통합 ④ 설정'!$C$6:$C$40,MATCH($D1769,'통합 ④ 설정'!$B$6:$B$40,0)),""))</f>
        <v/>
      </c>
      <c r="G1769" s="39"/>
      <c r="H1769" s="39"/>
      <c r="I1769" s="40"/>
      <c r="J1769" s="41"/>
      <c r="K1769" s="38"/>
      <c r="L1769" s="42" t="str">
        <f aca="false">IF($B1769="","",IF(AND(N($I1769)=0,N($J1769)=0),"금액이 없습니다",IF(AND($I1769&gt;0,$J1769&gt;0),"수입·지출 둘 다 적혔습니다",IF($C1769="","결제수단을 고르십시오",IF(ISNA(MATCH($C1769,'통합 ③ 통장·카드'!$A$5:$A$11,0)),"③ 통장·카드에 없는 결제수단입니다",IF($D1769="","계정과목을 고르십시오",IF($E1769="※없는 과목","④ 설정에 없는 과목입니다",IF(AND($E1769="수입",$J1769&gt;0),"수입 과목인데 지출에 적혔습니다",IF(AND(LEFT($E1769,2)&lt;&gt;"수입",$E1769&lt;&gt;"대체",$I1769&gt;0),"지출 과목인데 수입에 적혔습니다",IF($K1769="","증빙을 고르십시오",IF(AND($C1769="바우처통장",$J1769&gt;0,IFERROR(INDEX('통합 ④ 설정'!$E$6:$E$40,MATCH($D1769,'통합 ④ 설정'!$B$6:$B$40,0)),"")&lt;&gt;"○"),"바우처통장 지출 — 목적 확인",IF($H1769="","적요를 적으십시오",""))))))))))))</f>
        <v/>
      </c>
      <c r="M1769" s="39"/>
      <c r="O1769" s="11" t="str">
        <f aca="false">IF($B1769="","",YEAR($B1769)*100+MONTH($B1769))</f>
        <v/>
      </c>
      <c r="P1769" s="11" t="str">
        <f aca="false">IF($B1769="","",IF($E1769="대체",0,1))</f>
        <v/>
      </c>
    </row>
    <row r="1770" customFormat="false" ht="15" hidden="false" customHeight="false" outlineLevel="0" collapsed="false">
      <c r="A1770" s="36" t="str">
        <f aca="false">IF($B1770="","",COUNT($B$15:$B1770))</f>
        <v/>
      </c>
      <c r="B1770" s="37"/>
      <c r="C1770" s="38"/>
      <c r="D1770" s="39"/>
      <c r="E1770" s="36" t="str">
        <f aca="false">IF($D1770="","",IFERROR(INDEX('통합 ④ 설정'!$A$6:$A$40,MATCH($D1770,'통합 ④ 설정'!$B$6:$B$40,0)),"※없는 과목"))</f>
        <v/>
      </c>
      <c r="F1770" s="36" t="str">
        <f aca="false">IF($D1770="","",IFERROR(INDEX('통합 ④ 설정'!$C$6:$C$40,MATCH($D1770,'통합 ④ 설정'!$B$6:$B$40,0)),""))</f>
        <v/>
      </c>
      <c r="G1770" s="39"/>
      <c r="H1770" s="39"/>
      <c r="I1770" s="40"/>
      <c r="J1770" s="41"/>
      <c r="K1770" s="38"/>
      <c r="L1770" s="42" t="str">
        <f aca="false">IF($B1770="","",IF(AND(N($I1770)=0,N($J1770)=0),"금액이 없습니다",IF(AND($I1770&gt;0,$J1770&gt;0),"수입·지출 둘 다 적혔습니다",IF($C1770="","결제수단을 고르십시오",IF(ISNA(MATCH($C1770,'통합 ③ 통장·카드'!$A$5:$A$11,0)),"③ 통장·카드에 없는 결제수단입니다",IF($D1770="","계정과목을 고르십시오",IF($E1770="※없는 과목","④ 설정에 없는 과목입니다",IF(AND($E1770="수입",$J1770&gt;0),"수입 과목인데 지출에 적혔습니다",IF(AND(LEFT($E1770,2)&lt;&gt;"수입",$E1770&lt;&gt;"대체",$I1770&gt;0),"지출 과목인데 수입에 적혔습니다",IF($K1770="","증빙을 고르십시오",IF(AND($C1770="바우처통장",$J1770&gt;0,IFERROR(INDEX('통합 ④ 설정'!$E$6:$E$40,MATCH($D1770,'통합 ④ 설정'!$B$6:$B$40,0)),"")&lt;&gt;"○"),"바우처통장 지출 — 목적 확인",IF($H1770="","적요를 적으십시오",""))))))))))))</f>
        <v/>
      </c>
      <c r="M1770" s="39"/>
      <c r="O1770" s="11" t="str">
        <f aca="false">IF($B1770="","",YEAR($B1770)*100+MONTH($B1770))</f>
        <v/>
      </c>
      <c r="P1770" s="11" t="str">
        <f aca="false">IF($B1770="","",IF($E1770="대체",0,1))</f>
        <v/>
      </c>
    </row>
    <row r="1771" customFormat="false" ht="15" hidden="false" customHeight="false" outlineLevel="0" collapsed="false">
      <c r="A1771" s="36" t="str">
        <f aca="false">IF($B1771="","",COUNT($B$15:$B1771))</f>
        <v/>
      </c>
      <c r="B1771" s="37"/>
      <c r="C1771" s="38"/>
      <c r="D1771" s="39"/>
      <c r="E1771" s="36" t="str">
        <f aca="false">IF($D1771="","",IFERROR(INDEX('통합 ④ 설정'!$A$6:$A$40,MATCH($D1771,'통합 ④ 설정'!$B$6:$B$40,0)),"※없는 과목"))</f>
        <v/>
      </c>
      <c r="F1771" s="36" t="str">
        <f aca="false">IF($D1771="","",IFERROR(INDEX('통합 ④ 설정'!$C$6:$C$40,MATCH($D1771,'통합 ④ 설정'!$B$6:$B$40,0)),""))</f>
        <v/>
      </c>
      <c r="G1771" s="39"/>
      <c r="H1771" s="39"/>
      <c r="I1771" s="40"/>
      <c r="J1771" s="41"/>
      <c r="K1771" s="38"/>
      <c r="L1771" s="42" t="str">
        <f aca="false">IF($B1771="","",IF(AND(N($I1771)=0,N($J1771)=0),"금액이 없습니다",IF(AND($I1771&gt;0,$J1771&gt;0),"수입·지출 둘 다 적혔습니다",IF($C1771="","결제수단을 고르십시오",IF(ISNA(MATCH($C1771,'통합 ③ 통장·카드'!$A$5:$A$11,0)),"③ 통장·카드에 없는 결제수단입니다",IF($D1771="","계정과목을 고르십시오",IF($E1771="※없는 과목","④ 설정에 없는 과목입니다",IF(AND($E1771="수입",$J1771&gt;0),"수입 과목인데 지출에 적혔습니다",IF(AND(LEFT($E1771,2)&lt;&gt;"수입",$E1771&lt;&gt;"대체",$I1771&gt;0),"지출 과목인데 수입에 적혔습니다",IF($K1771="","증빙을 고르십시오",IF(AND($C1771="바우처통장",$J1771&gt;0,IFERROR(INDEX('통합 ④ 설정'!$E$6:$E$40,MATCH($D1771,'통합 ④ 설정'!$B$6:$B$40,0)),"")&lt;&gt;"○"),"바우처통장 지출 — 목적 확인",IF($H1771="","적요를 적으십시오",""))))))))))))</f>
        <v/>
      </c>
      <c r="M1771" s="39"/>
      <c r="O1771" s="11" t="str">
        <f aca="false">IF($B1771="","",YEAR($B1771)*100+MONTH($B1771))</f>
        <v/>
      </c>
      <c r="P1771" s="11" t="str">
        <f aca="false">IF($B1771="","",IF($E1771="대체",0,1))</f>
        <v/>
      </c>
    </row>
    <row r="1772" customFormat="false" ht="15" hidden="false" customHeight="false" outlineLevel="0" collapsed="false">
      <c r="A1772" s="36" t="str">
        <f aca="false">IF($B1772="","",COUNT($B$15:$B1772))</f>
        <v/>
      </c>
      <c r="B1772" s="37"/>
      <c r="C1772" s="38"/>
      <c r="D1772" s="39"/>
      <c r="E1772" s="36" t="str">
        <f aca="false">IF($D1772="","",IFERROR(INDEX('통합 ④ 설정'!$A$6:$A$40,MATCH($D1772,'통합 ④ 설정'!$B$6:$B$40,0)),"※없는 과목"))</f>
        <v/>
      </c>
      <c r="F1772" s="36" t="str">
        <f aca="false">IF($D1772="","",IFERROR(INDEX('통합 ④ 설정'!$C$6:$C$40,MATCH($D1772,'통합 ④ 설정'!$B$6:$B$40,0)),""))</f>
        <v/>
      </c>
      <c r="G1772" s="39"/>
      <c r="H1772" s="39"/>
      <c r="I1772" s="40"/>
      <c r="J1772" s="41"/>
      <c r="K1772" s="38"/>
      <c r="L1772" s="42" t="str">
        <f aca="false">IF($B1772="","",IF(AND(N($I1772)=0,N($J1772)=0),"금액이 없습니다",IF(AND($I1772&gt;0,$J1772&gt;0),"수입·지출 둘 다 적혔습니다",IF($C1772="","결제수단을 고르십시오",IF(ISNA(MATCH($C1772,'통합 ③ 통장·카드'!$A$5:$A$11,0)),"③ 통장·카드에 없는 결제수단입니다",IF($D1772="","계정과목을 고르십시오",IF($E1772="※없는 과목","④ 설정에 없는 과목입니다",IF(AND($E1772="수입",$J1772&gt;0),"수입 과목인데 지출에 적혔습니다",IF(AND(LEFT($E1772,2)&lt;&gt;"수입",$E1772&lt;&gt;"대체",$I1772&gt;0),"지출 과목인데 수입에 적혔습니다",IF($K1772="","증빙을 고르십시오",IF(AND($C1772="바우처통장",$J1772&gt;0,IFERROR(INDEX('통합 ④ 설정'!$E$6:$E$40,MATCH($D1772,'통합 ④ 설정'!$B$6:$B$40,0)),"")&lt;&gt;"○"),"바우처통장 지출 — 목적 확인",IF($H1772="","적요를 적으십시오",""))))))))))))</f>
        <v/>
      </c>
      <c r="M1772" s="39"/>
      <c r="O1772" s="11" t="str">
        <f aca="false">IF($B1772="","",YEAR($B1772)*100+MONTH($B1772))</f>
        <v/>
      </c>
      <c r="P1772" s="11" t="str">
        <f aca="false">IF($B1772="","",IF($E1772="대체",0,1))</f>
        <v/>
      </c>
    </row>
    <row r="1773" customFormat="false" ht="15" hidden="false" customHeight="false" outlineLevel="0" collapsed="false">
      <c r="A1773" s="36" t="str">
        <f aca="false">IF($B1773="","",COUNT($B$15:$B1773))</f>
        <v/>
      </c>
      <c r="B1773" s="37"/>
      <c r="C1773" s="38"/>
      <c r="D1773" s="39"/>
      <c r="E1773" s="36" t="str">
        <f aca="false">IF($D1773="","",IFERROR(INDEX('통합 ④ 설정'!$A$6:$A$40,MATCH($D1773,'통합 ④ 설정'!$B$6:$B$40,0)),"※없는 과목"))</f>
        <v/>
      </c>
      <c r="F1773" s="36" t="str">
        <f aca="false">IF($D1773="","",IFERROR(INDEX('통합 ④ 설정'!$C$6:$C$40,MATCH($D1773,'통합 ④ 설정'!$B$6:$B$40,0)),""))</f>
        <v/>
      </c>
      <c r="G1773" s="39"/>
      <c r="H1773" s="39"/>
      <c r="I1773" s="40"/>
      <c r="J1773" s="41"/>
      <c r="K1773" s="38"/>
      <c r="L1773" s="42" t="str">
        <f aca="false">IF($B1773="","",IF(AND(N($I1773)=0,N($J1773)=0),"금액이 없습니다",IF(AND($I1773&gt;0,$J1773&gt;0),"수입·지출 둘 다 적혔습니다",IF($C1773="","결제수단을 고르십시오",IF(ISNA(MATCH($C1773,'통합 ③ 통장·카드'!$A$5:$A$11,0)),"③ 통장·카드에 없는 결제수단입니다",IF($D1773="","계정과목을 고르십시오",IF($E1773="※없는 과목","④ 설정에 없는 과목입니다",IF(AND($E1773="수입",$J1773&gt;0),"수입 과목인데 지출에 적혔습니다",IF(AND(LEFT($E1773,2)&lt;&gt;"수입",$E1773&lt;&gt;"대체",$I1773&gt;0),"지출 과목인데 수입에 적혔습니다",IF($K1773="","증빙을 고르십시오",IF(AND($C1773="바우처통장",$J1773&gt;0,IFERROR(INDEX('통합 ④ 설정'!$E$6:$E$40,MATCH($D1773,'통합 ④ 설정'!$B$6:$B$40,0)),"")&lt;&gt;"○"),"바우처통장 지출 — 목적 확인",IF($H1773="","적요를 적으십시오",""))))))))))))</f>
        <v/>
      </c>
      <c r="M1773" s="39"/>
      <c r="O1773" s="11" t="str">
        <f aca="false">IF($B1773="","",YEAR($B1773)*100+MONTH($B1773))</f>
        <v/>
      </c>
      <c r="P1773" s="11" t="str">
        <f aca="false">IF($B1773="","",IF($E1773="대체",0,1))</f>
        <v/>
      </c>
    </row>
    <row r="1774" customFormat="false" ht="15" hidden="false" customHeight="false" outlineLevel="0" collapsed="false">
      <c r="A1774" s="36" t="str">
        <f aca="false">IF($B1774="","",COUNT($B$15:$B1774))</f>
        <v/>
      </c>
      <c r="B1774" s="37"/>
      <c r="C1774" s="38"/>
      <c r="D1774" s="39"/>
      <c r="E1774" s="36" t="str">
        <f aca="false">IF($D1774="","",IFERROR(INDEX('통합 ④ 설정'!$A$6:$A$40,MATCH($D1774,'통합 ④ 설정'!$B$6:$B$40,0)),"※없는 과목"))</f>
        <v/>
      </c>
      <c r="F1774" s="36" t="str">
        <f aca="false">IF($D1774="","",IFERROR(INDEX('통합 ④ 설정'!$C$6:$C$40,MATCH($D1774,'통합 ④ 설정'!$B$6:$B$40,0)),""))</f>
        <v/>
      </c>
      <c r="G1774" s="39"/>
      <c r="H1774" s="39"/>
      <c r="I1774" s="40"/>
      <c r="J1774" s="41"/>
      <c r="K1774" s="38"/>
      <c r="L1774" s="42" t="str">
        <f aca="false">IF($B1774="","",IF(AND(N($I1774)=0,N($J1774)=0),"금액이 없습니다",IF(AND($I1774&gt;0,$J1774&gt;0),"수입·지출 둘 다 적혔습니다",IF($C1774="","결제수단을 고르십시오",IF(ISNA(MATCH($C1774,'통합 ③ 통장·카드'!$A$5:$A$11,0)),"③ 통장·카드에 없는 결제수단입니다",IF($D1774="","계정과목을 고르십시오",IF($E1774="※없는 과목","④ 설정에 없는 과목입니다",IF(AND($E1774="수입",$J1774&gt;0),"수입 과목인데 지출에 적혔습니다",IF(AND(LEFT($E1774,2)&lt;&gt;"수입",$E1774&lt;&gt;"대체",$I1774&gt;0),"지출 과목인데 수입에 적혔습니다",IF($K1774="","증빙을 고르십시오",IF(AND($C1774="바우처통장",$J1774&gt;0,IFERROR(INDEX('통합 ④ 설정'!$E$6:$E$40,MATCH($D1774,'통합 ④ 설정'!$B$6:$B$40,0)),"")&lt;&gt;"○"),"바우처통장 지출 — 목적 확인",IF($H1774="","적요를 적으십시오",""))))))))))))</f>
        <v/>
      </c>
      <c r="M1774" s="39"/>
      <c r="O1774" s="11" t="str">
        <f aca="false">IF($B1774="","",YEAR($B1774)*100+MONTH($B1774))</f>
        <v/>
      </c>
      <c r="P1774" s="11" t="str">
        <f aca="false">IF($B1774="","",IF($E1774="대체",0,1))</f>
        <v/>
      </c>
    </row>
    <row r="1775" customFormat="false" ht="15" hidden="false" customHeight="false" outlineLevel="0" collapsed="false">
      <c r="A1775" s="36" t="str">
        <f aca="false">IF($B1775="","",COUNT($B$15:$B1775))</f>
        <v/>
      </c>
      <c r="B1775" s="37"/>
      <c r="C1775" s="38"/>
      <c r="D1775" s="39"/>
      <c r="E1775" s="36" t="str">
        <f aca="false">IF($D1775="","",IFERROR(INDEX('통합 ④ 설정'!$A$6:$A$40,MATCH($D1775,'통합 ④ 설정'!$B$6:$B$40,0)),"※없는 과목"))</f>
        <v/>
      </c>
      <c r="F1775" s="36" t="str">
        <f aca="false">IF($D1775="","",IFERROR(INDEX('통합 ④ 설정'!$C$6:$C$40,MATCH($D1775,'통합 ④ 설정'!$B$6:$B$40,0)),""))</f>
        <v/>
      </c>
      <c r="G1775" s="39"/>
      <c r="H1775" s="39"/>
      <c r="I1775" s="40"/>
      <c r="J1775" s="41"/>
      <c r="K1775" s="38"/>
      <c r="L1775" s="42" t="str">
        <f aca="false">IF($B1775="","",IF(AND(N($I1775)=0,N($J1775)=0),"금액이 없습니다",IF(AND($I1775&gt;0,$J1775&gt;0),"수입·지출 둘 다 적혔습니다",IF($C1775="","결제수단을 고르십시오",IF(ISNA(MATCH($C1775,'통합 ③ 통장·카드'!$A$5:$A$11,0)),"③ 통장·카드에 없는 결제수단입니다",IF($D1775="","계정과목을 고르십시오",IF($E1775="※없는 과목","④ 설정에 없는 과목입니다",IF(AND($E1775="수입",$J1775&gt;0),"수입 과목인데 지출에 적혔습니다",IF(AND(LEFT($E1775,2)&lt;&gt;"수입",$E1775&lt;&gt;"대체",$I1775&gt;0),"지출 과목인데 수입에 적혔습니다",IF($K1775="","증빙을 고르십시오",IF(AND($C1775="바우처통장",$J1775&gt;0,IFERROR(INDEX('통합 ④ 설정'!$E$6:$E$40,MATCH($D1775,'통합 ④ 설정'!$B$6:$B$40,0)),"")&lt;&gt;"○"),"바우처통장 지출 — 목적 확인",IF($H1775="","적요를 적으십시오",""))))))))))))</f>
        <v/>
      </c>
      <c r="M1775" s="39"/>
      <c r="O1775" s="11" t="str">
        <f aca="false">IF($B1775="","",YEAR($B1775)*100+MONTH($B1775))</f>
        <v/>
      </c>
      <c r="P1775" s="11" t="str">
        <f aca="false">IF($B1775="","",IF($E1775="대체",0,1))</f>
        <v/>
      </c>
    </row>
    <row r="1776" customFormat="false" ht="15" hidden="false" customHeight="false" outlineLevel="0" collapsed="false">
      <c r="A1776" s="36" t="str">
        <f aca="false">IF($B1776="","",COUNT($B$15:$B1776))</f>
        <v/>
      </c>
      <c r="B1776" s="37"/>
      <c r="C1776" s="38"/>
      <c r="D1776" s="39"/>
      <c r="E1776" s="36" t="str">
        <f aca="false">IF($D1776="","",IFERROR(INDEX('통합 ④ 설정'!$A$6:$A$40,MATCH($D1776,'통합 ④ 설정'!$B$6:$B$40,0)),"※없는 과목"))</f>
        <v/>
      </c>
      <c r="F1776" s="36" t="str">
        <f aca="false">IF($D1776="","",IFERROR(INDEX('통합 ④ 설정'!$C$6:$C$40,MATCH($D1776,'통합 ④ 설정'!$B$6:$B$40,0)),""))</f>
        <v/>
      </c>
      <c r="G1776" s="39"/>
      <c r="H1776" s="39"/>
      <c r="I1776" s="40"/>
      <c r="J1776" s="41"/>
      <c r="K1776" s="38"/>
      <c r="L1776" s="42" t="str">
        <f aca="false">IF($B1776="","",IF(AND(N($I1776)=0,N($J1776)=0),"금액이 없습니다",IF(AND($I1776&gt;0,$J1776&gt;0),"수입·지출 둘 다 적혔습니다",IF($C1776="","결제수단을 고르십시오",IF(ISNA(MATCH($C1776,'통합 ③ 통장·카드'!$A$5:$A$11,0)),"③ 통장·카드에 없는 결제수단입니다",IF($D1776="","계정과목을 고르십시오",IF($E1776="※없는 과목","④ 설정에 없는 과목입니다",IF(AND($E1776="수입",$J1776&gt;0),"수입 과목인데 지출에 적혔습니다",IF(AND(LEFT($E1776,2)&lt;&gt;"수입",$E1776&lt;&gt;"대체",$I1776&gt;0),"지출 과목인데 수입에 적혔습니다",IF($K1776="","증빙을 고르십시오",IF(AND($C1776="바우처통장",$J1776&gt;0,IFERROR(INDEX('통합 ④ 설정'!$E$6:$E$40,MATCH($D1776,'통합 ④ 설정'!$B$6:$B$40,0)),"")&lt;&gt;"○"),"바우처통장 지출 — 목적 확인",IF($H1776="","적요를 적으십시오",""))))))))))))</f>
        <v/>
      </c>
      <c r="M1776" s="39"/>
      <c r="O1776" s="11" t="str">
        <f aca="false">IF($B1776="","",YEAR($B1776)*100+MONTH($B1776))</f>
        <v/>
      </c>
      <c r="P1776" s="11" t="str">
        <f aca="false">IF($B1776="","",IF($E1776="대체",0,1))</f>
        <v/>
      </c>
    </row>
    <row r="1777" customFormat="false" ht="15" hidden="false" customHeight="false" outlineLevel="0" collapsed="false">
      <c r="A1777" s="36" t="str">
        <f aca="false">IF($B1777="","",COUNT($B$15:$B1777))</f>
        <v/>
      </c>
      <c r="B1777" s="37"/>
      <c r="C1777" s="38"/>
      <c r="D1777" s="39"/>
      <c r="E1777" s="36" t="str">
        <f aca="false">IF($D1777="","",IFERROR(INDEX('통합 ④ 설정'!$A$6:$A$40,MATCH($D1777,'통합 ④ 설정'!$B$6:$B$40,0)),"※없는 과목"))</f>
        <v/>
      </c>
      <c r="F1777" s="36" t="str">
        <f aca="false">IF($D1777="","",IFERROR(INDEX('통합 ④ 설정'!$C$6:$C$40,MATCH($D1777,'통합 ④ 설정'!$B$6:$B$40,0)),""))</f>
        <v/>
      </c>
      <c r="G1777" s="39"/>
      <c r="H1777" s="39"/>
      <c r="I1777" s="40"/>
      <c r="J1777" s="41"/>
      <c r="K1777" s="38"/>
      <c r="L1777" s="42" t="str">
        <f aca="false">IF($B1777="","",IF(AND(N($I1777)=0,N($J1777)=0),"금액이 없습니다",IF(AND($I1777&gt;0,$J1777&gt;0),"수입·지출 둘 다 적혔습니다",IF($C1777="","결제수단을 고르십시오",IF(ISNA(MATCH($C1777,'통합 ③ 통장·카드'!$A$5:$A$11,0)),"③ 통장·카드에 없는 결제수단입니다",IF($D1777="","계정과목을 고르십시오",IF($E1777="※없는 과목","④ 설정에 없는 과목입니다",IF(AND($E1777="수입",$J1777&gt;0),"수입 과목인데 지출에 적혔습니다",IF(AND(LEFT($E1777,2)&lt;&gt;"수입",$E1777&lt;&gt;"대체",$I1777&gt;0),"지출 과목인데 수입에 적혔습니다",IF($K1777="","증빙을 고르십시오",IF(AND($C1777="바우처통장",$J1777&gt;0,IFERROR(INDEX('통합 ④ 설정'!$E$6:$E$40,MATCH($D1777,'통합 ④ 설정'!$B$6:$B$40,0)),"")&lt;&gt;"○"),"바우처통장 지출 — 목적 확인",IF($H1777="","적요를 적으십시오",""))))))))))))</f>
        <v/>
      </c>
      <c r="M1777" s="39"/>
      <c r="O1777" s="11" t="str">
        <f aca="false">IF($B1777="","",YEAR($B1777)*100+MONTH($B1777))</f>
        <v/>
      </c>
      <c r="P1777" s="11" t="str">
        <f aca="false">IF($B1777="","",IF($E1777="대체",0,1))</f>
        <v/>
      </c>
    </row>
    <row r="1778" customFormat="false" ht="15" hidden="false" customHeight="false" outlineLevel="0" collapsed="false">
      <c r="A1778" s="36" t="str">
        <f aca="false">IF($B1778="","",COUNT($B$15:$B1778))</f>
        <v/>
      </c>
      <c r="B1778" s="37"/>
      <c r="C1778" s="38"/>
      <c r="D1778" s="39"/>
      <c r="E1778" s="36" t="str">
        <f aca="false">IF($D1778="","",IFERROR(INDEX('통합 ④ 설정'!$A$6:$A$40,MATCH($D1778,'통합 ④ 설정'!$B$6:$B$40,0)),"※없는 과목"))</f>
        <v/>
      </c>
      <c r="F1778" s="36" t="str">
        <f aca="false">IF($D1778="","",IFERROR(INDEX('통합 ④ 설정'!$C$6:$C$40,MATCH($D1778,'통합 ④ 설정'!$B$6:$B$40,0)),""))</f>
        <v/>
      </c>
      <c r="G1778" s="39"/>
      <c r="H1778" s="39"/>
      <c r="I1778" s="40"/>
      <c r="J1778" s="41"/>
      <c r="K1778" s="38"/>
      <c r="L1778" s="42" t="str">
        <f aca="false">IF($B1778="","",IF(AND(N($I1778)=0,N($J1778)=0),"금액이 없습니다",IF(AND($I1778&gt;0,$J1778&gt;0),"수입·지출 둘 다 적혔습니다",IF($C1778="","결제수단을 고르십시오",IF(ISNA(MATCH($C1778,'통합 ③ 통장·카드'!$A$5:$A$11,0)),"③ 통장·카드에 없는 결제수단입니다",IF($D1778="","계정과목을 고르십시오",IF($E1778="※없는 과목","④ 설정에 없는 과목입니다",IF(AND($E1778="수입",$J1778&gt;0),"수입 과목인데 지출에 적혔습니다",IF(AND(LEFT($E1778,2)&lt;&gt;"수입",$E1778&lt;&gt;"대체",$I1778&gt;0),"지출 과목인데 수입에 적혔습니다",IF($K1778="","증빙을 고르십시오",IF(AND($C1778="바우처통장",$J1778&gt;0,IFERROR(INDEX('통합 ④ 설정'!$E$6:$E$40,MATCH($D1778,'통합 ④ 설정'!$B$6:$B$40,0)),"")&lt;&gt;"○"),"바우처통장 지출 — 목적 확인",IF($H1778="","적요를 적으십시오",""))))))))))))</f>
        <v/>
      </c>
      <c r="M1778" s="39"/>
      <c r="O1778" s="11" t="str">
        <f aca="false">IF($B1778="","",YEAR($B1778)*100+MONTH($B1778))</f>
        <v/>
      </c>
      <c r="P1778" s="11" t="str">
        <f aca="false">IF($B1778="","",IF($E1778="대체",0,1))</f>
        <v/>
      </c>
    </row>
    <row r="1779" customFormat="false" ht="15" hidden="false" customHeight="false" outlineLevel="0" collapsed="false">
      <c r="A1779" s="36" t="str">
        <f aca="false">IF($B1779="","",COUNT($B$15:$B1779))</f>
        <v/>
      </c>
      <c r="B1779" s="37"/>
      <c r="C1779" s="38"/>
      <c r="D1779" s="39"/>
      <c r="E1779" s="36" t="str">
        <f aca="false">IF($D1779="","",IFERROR(INDEX('통합 ④ 설정'!$A$6:$A$40,MATCH($D1779,'통합 ④ 설정'!$B$6:$B$40,0)),"※없는 과목"))</f>
        <v/>
      </c>
      <c r="F1779" s="36" t="str">
        <f aca="false">IF($D1779="","",IFERROR(INDEX('통합 ④ 설정'!$C$6:$C$40,MATCH($D1779,'통합 ④ 설정'!$B$6:$B$40,0)),""))</f>
        <v/>
      </c>
      <c r="G1779" s="39"/>
      <c r="H1779" s="39"/>
      <c r="I1779" s="40"/>
      <c r="J1779" s="41"/>
      <c r="K1779" s="38"/>
      <c r="L1779" s="42" t="str">
        <f aca="false">IF($B1779="","",IF(AND(N($I1779)=0,N($J1779)=0),"금액이 없습니다",IF(AND($I1779&gt;0,$J1779&gt;0),"수입·지출 둘 다 적혔습니다",IF($C1779="","결제수단을 고르십시오",IF(ISNA(MATCH($C1779,'통합 ③ 통장·카드'!$A$5:$A$11,0)),"③ 통장·카드에 없는 결제수단입니다",IF($D1779="","계정과목을 고르십시오",IF($E1779="※없는 과목","④ 설정에 없는 과목입니다",IF(AND($E1779="수입",$J1779&gt;0),"수입 과목인데 지출에 적혔습니다",IF(AND(LEFT($E1779,2)&lt;&gt;"수입",$E1779&lt;&gt;"대체",$I1779&gt;0),"지출 과목인데 수입에 적혔습니다",IF($K1779="","증빙을 고르십시오",IF(AND($C1779="바우처통장",$J1779&gt;0,IFERROR(INDEX('통합 ④ 설정'!$E$6:$E$40,MATCH($D1779,'통합 ④ 설정'!$B$6:$B$40,0)),"")&lt;&gt;"○"),"바우처통장 지출 — 목적 확인",IF($H1779="","적요를 적으십시오",""))))))))))))</f>
        <v/>
      </c>
      <c r="M1779" s="39"/>
      <c r="O1779" s="11" t="str">
        <f aca="false">IF($B1779="","",YEAR($B1779)*100+MONTH($B1779))</f>
        <v/>
      </c>
      <c r="P1779" s="11" t="str">
        <f aca="false">IF($B1779="","",IF($E1779="대체",0,1))</f>
        <v/>
      </c>
    </row>
    <row r="1780" customFormat="false" ht="15" hidden="false" customHeight="false" outlineLevel="0" collapsed="false">
      <c r="A1780" s="36" t="str">
        <f aca="false">IF($B1780="","",COUNT($B$15:$B1780))</f>
        <v/>
      </c>
      <c r="B1780" s="37"/>
      <c r="C1780" s="38"/>
      <c r="D1780" s="39"/>
      <c r="E1780" s="36" t="str">
        <f aca="false">IF($D1780="","",IFERROR(INDEX('통합 ④ 설정'!$A$6:$A$40,MATCH($D1780,'통합 ④ 설정'!$B$6:$B$40,0)),"※없는 과목"))</f>
        <v/>
      </c>
      <c r="F1780" s="36" t="str">
        <f aca="false">IF($D1780="","",IFERROR(INDEX('통합 ④ 설정'!$C$6:$C$40,MATCH($D1780,'통합 ④ 설정'!$B$6:$B$40,0)),""))</f>
        <v/>
      </c>
      <c r="G1780" s="39"/>
      <c r="H1780" s="39"/>
      <c r="I1780" s="40"/>
      <c r="J1780" s="41"/>
      <c r="K1780" s="38"/>
      <c r="L1780" s="42" t="str">
        <f aca="false">IF($B1780="","",IF(AND(N($I1780)=0,N($J1780)=0),"금액이 없습니다",IF(AND($I1780&gt;0,$J1780&gt;0),"수입·지출 둘 다 적혔습니다",IF($C1780="","결제수단을 고르십시오",IF(ISNA(MATCH($C1780,'통합 ③ 통장·카드'!$A$5:$A$11,0)),"③ 통장·카드에 없는 결제수단입니다",IF($D1780="","계정과목을 고르십시오",IF($E1780="※없는 과목","④ 설정에 없는 과목입니다",IF(AND($E1780="수입",$J1780&gt;0),"수입 과목인데 지출에 적혔습니다",IF(AND(LEFT($E1780,2)&lt;&gt;"수입",$E1780&lt;&gt;"대체",$I1780&gt;0),"지출 과목인데 수입에 적혔습니다",IF($K1780="","증빙을 고르십시오",IF(AND($C1780="바우처통장",$J1780&gt;0,IFERROR(INDEX('통합 ④ 설정'!$E$6:$E$40,MATCH($D1780,'통합 ④ 설정'!$B$6:$B$40,0)),"")&lt;&gt;"○"),"바우처통장 지출 — 목적 확인",IF($H1780="","적요를 적으십시오",""))))))))))))</f>
        <v/>
      </c>
      <c r="M1780" s="39"/>
      <c r="O1780" s="11" t="str">
        <f aca="false">IF($B1780="","",YEAR($B1780)*100+MONTH($B1780))</f>
        <v/>
      </c>
      <c r="P1780" s="11" t="str">
        <f aca="false">IF($B1780="","",IF($E1780="대체",0,1))</f>
        <v/>
      </c>
    </row>
    <row r="1781" customFormat="false" ht="15" hidden="false" customHeight="false" outlineLevel="0" collapsed="false">
      <c r="A1781" s="36" t="str">
        <f aca="false">IF($B1781="","",COUNT($B$15:$B1781))</f>
        <v/>
      </c>
      <c r="B1781" s="37"/>
      <c r="C1781" s="38"/>
      <c r="D1781" s="39"/>
      <c r="E1781" s="36" t="str">
        <f aca="false">IF($D1781="","",IFERROR(INDEX('통합 ④ 설정'!$A$6:$A$40,MATCH($D1781,'통합 ④ 설정'!$B$6:$B$40,0)),"※없는 과목"))</f>
        <v/>
      </c>
      <c r="F1781" s="36" t="str">
        <f aca="false">IF($D1781="","",IFERROR(INDEX('통합 ④ 설정'!$C$6:$C$40,MATCH($D1781,'통합 ④ 설정'!$B$6:$B$40,0)),""))</f>
        <v/>
      </c>
      <c r="G1781" s="39"/>
      <c r="H1781" s="39"/>
      <c r="I1781" s="40"/>
      <c r="J1781" s="41"/>
      <c r="K1781" s="38"/>
      <c r="L1781" s="42" t="str">
        <f aca="false">IF($B1781="","",IF(AND(N($I1781)=0,N($J1781)=0),"금액이 없습니다",IF(AND($I1781&gt;0,$J1781&gt;0),"수입·지출 둘 다 적혔습니다",IF($C1781="","결제수단을 고르십시오",IF(ISNA(MATCH($C1781,'통합 ③ 통장·카드'!$A$5:$A$11,0)),"③ 통장·카드에 없는 결제수단입니다",IF($D1781="","계정과목을 고르십시오",IF($E1781="※없는 과목","④ 설정에 없는 과목입니다",IF(AND($E1781="수입",$J1781&gt;0),"수입 과목인데 지출에 적혔습니다",IF(AND(LEFT($E1781,2)&lt;&gt;"수입",$E1781&lt;&gt;"대체",$I1781&gt;0),"지출 과목인데 수입에 적혔습니다",IF($K1781="","증빙을 고르십시오",IF(AND($C1781="바우처통장",$J1781&gt;0,IFERROR(INDEX('통합 ④ 설정'!$E$6:$E$40,MATCH($D1781,'통합 ④ 설정'!$B$6:$B$40,0)),"")&lt;&gt;"○"),"바우처통장 지출 — 목적 확인",IF($H1781="","적요를 적으십시오",""))))))))))))</f>
        <v/>
      </c>
      <c r="M1781" s="39"/>
      <c r="O1781" s="11" t="str">
        <f aca="false">IF($B1781="","",YEAR($B1781)*100+MONTH($B1781))</f>
        <v/>
      </c>
      <c r="P1781" s="11" t="str">
        <f aca="false">IF($B1781="","",IF($E1781="대체",0,1))</f>
        <v/>
      </c>
    </row>
    <row r="1782" customFormat="false" ht="15" hidden="false" customHeight="false" outlineLevel="0" collapsed="false">
      <c r="A1782" s="36" t="str">
        <f aca="false">IF($B1782="","",COUNT($B$15:$B1782))</f>
        <v/>
      </c>
      <c r="B1782" s="37"/>
      <c r="C1782" s="38"/>
      <c r="D1782" s="39"/>
      <c r="E1782" s="36" t="str">
        <f aca="false">IF($D1782="","",IFERROR(INDEX('통합 ④ 설정'!$A$6:$A$40,MATCH($D1782,'통합 ④ 설정'!$B$6:$B$40,0)),"※없는 과목"))</f>
        <v/>
      </c>
      <c r="F1782" s="36" t="str">
        <f aca="false">IF($D1782="","",IFERROR(INDEX('통합 ④ 설정'!$C$6:$C$40,MATCH($D1782,'통합 ④ 설정'!$B$6:$B$40,0)),""))</f>
        <v/>
      </c>
      <c r="G1782" s="39"/>
      <c r="H1782" s="39"/>
      <c r="I1782" s="40"/>
      <c r="J1782" s="41"/>
      <c r="K1782" s="38"/>
      <c r="L1782" s="42" t="str">
        <f aca="false">IF($B1782="","",IF(AND(N($I1782)=0,N($J1782)=0),"금액이 없습니다",IF(AND($I1782&gt;0,$J1782&gt;0),"수입·지출 둘 다 적혔습니다",IF($C1782="","결제수단을 고르십시오",IF(ISNA(MATCH($C1782,'통합 ③ 통장·카드'!$A$5:$A$11,0)),"③ 통장·카드에 없는 결제수단입니다",IF($D1782="","계정과목을 고르십시오",IF($E1782="※없는 과목","④ 설정에 없는 과목입니다",IF(AND($E1782="수입",$J1782&gt;0),"수입 과목인데 지출에 적혔습니다",IF(AND(LEFT($E1782,2)&lt;&gt;"수입",$E1782&lt;&gt;"대체",$I1782&gt;0),"지출 과목인데 수입에 적혔습니다",IF($K1782="","증빙을 고르십시오",IF(AND($C1782="바우처통장",$J1782&gt;0,IFERROR(INDEX('통합 ④ 설정'!$E$6:$E$40,MATCH($D1782,'통합 ④ 설정'!$B$6:$B$40,0)),"")&lt;&gt;"○"),"바우처통장 지출 — 목적 확인",IF($H1782="","적요를 적으십시오",""))))))))))))</f>
        <v/>
      </c>
      <c r="M1782" s="39"/>
      <c r="O1782" s="11" t="str">
        <f aca="false">IF($B1782="","",YEAR($B1782)*100+MONTH($B1782))</f>
        <v/>
      </c>
      <c r="P1782" s="11" t="str">
        <f aca="false">IF($B1782="","",IF($E1782="대체",0,1))</f>
        <v/>
      </c>
    </row>
    <row r="1783" customFormat="false" ht="15" hidden="false" customHeight="false" outlineLevel="0" collapsed="false">
      <c r="A1783" s="36" t="str">
        <f aca="false">IF($B1783="","",COUNT($B$15:$B1783))</f>
        <v/>
      </c>
      <c r="B1783" s="37"/>
      <c r="C1783" s="38"/>
      <c r="D1783" s="39"/>
      <c r="E1783" s="36" t="str">
        <f aca="false">IF($D1783="","",IFERROR(INDEX('통합 ④ 설정'!$A$6:$A$40,MATCH($D1783,'통합 ④ 설정'!$B$6:$B$40,0)),"※없는 과목"))</f>
        <v/>
      </c>
      <c r="F1783" s="36" t="str">
        <f aca="false">IF($D1783="","",IFERROR(INDEX('통합 ④ 설정'!$C$6:$C$40,MATCH($D1783,'통합 ④ 설정'!$B$6:$B$40,0)),""))</f>
        <v/>
      </c>
      <c r="G1783" s="39"/>
      <c r="H1783" s="39"/>
      <c r="I1783" s="40"/>
      <c r="J1783" s="41"/>
      <c r="K1783" s="38"/>
      <c r="L1783" s="42" t="str">
        <f aca="false">IF($B1783="","",IF(AND(N($I1783)=0,N($J1783)=0),"금액이 없습니다",IF(AND($I1783&gt;0,$J1783&gt;0),"수입·지출 둘 다 적혔습니다",IF($C1783="","결제수단을 고르십시오",IF(ISNA(MATCH($C1783,'통합 ③ 통장·카드'!$A$5:$A$11,0)),"③ 통장·카드에 없는 결제수단입니다",IF($D1783="","계정과목을 고르십시오",IF($E1783="※없는 과목","④ 설정에 없는 과목입니다",IF(AND($E1783="수입",$J1783&gt;0),"수입 과목인데 지출에 적혔습니다",IF(AND(LEFT($E1783,2)&lt;&gt;"수입",$E1783&lt;&gt;"대체",$I1783&gt;0),"지출 과목인데 수입에 적혔습니다",IF($K1783="","증빙을 고르십시오",IF(AND($C1783="바우처통장",$J1783&gt;0,IFERROR(INDEX('통합 ④ 설정'!$E$6:$E$40,MATCH($D1783,'통합 ④ 설정'!$B$6:$B$40,0)),"")&lt;&gt;"○"),"바우처통장 지출 — 목적 확인",IF($H1783="","적요를 적으십시오",""))))))))))))</f>
        <v/>
      </c>
      <c r="M1783" s="39"/>
      <c r="O1783" s="11" t="str">
        <f aca="false">IF($B1783="","",YEAR($B1783)*100+MONTH($B1783))</f>
        <v/>
      </c>
      <c r="P1783" s="11" t="str">
        <f aca="false">IF($B1783="","",IF($E1783="대체",0,1))</f>
        <v/>
      </c>
    </row>
    <row r="1784" customFormat="false" ht="15" hidden="false" customHeight="false" outlineLevel="0" collapsed="false">
      <c r="A1784" s="36" t="str">
        <f aca="false">IF($B1784="","",COUNT($B$15:$B1784))</f>
        <v/>
      </c>
      <c r="B1784" s="37"/>
      <c r="C1784" s="38"/>
      <c r="D1784" s="39"/>
      <c r="E1784" s="36" t="str">
        <f aca="false">IF($D1784="","",IFERROR(INDEX('통합 ④ 설정'!$A$6:$A$40,MATCH($D1784,'통합 ④ 설정'!$B$6:$B$40,0)),"※없는 과목"))</f>
        <v/>
      </c>
      <c r="F1784" s="36" t="str">
        <f aca="false">IF($D1784="","",IFERROR(INDEX('통합 ④ 설정'!$C$6:$C$40,MATCH($D1784,'통합 ④ 설정'!$B$6:$B$40,0)),""))</f>
        <v/>
      </c>
      <c r="G1784" s="39"/>
      <c r="H1784" s="39"/>
      <c r="I1784" s="40"/>
      <c r="J1784" s="41"/>
      <c r="K1784" s="38"/>
      <c r="L1784" s="42" t="str">
        <f aca="false">IF($B1784="","",IF(AND(N($I1784)=0,N($J1784)=0),"금액이 없습니다",IF(AND($I1784&gt;0,$J1784&gt;0),"수입·지출 둘 다 적혔습니다",IF($C1784="","결제수단을 고르십시오",IF(ISNA(MATCH($C1784,'통합 ③ 통장·카드'!$A$5:$A$11,0)),"③ 통장·카드에 없는 결제수단입니다",IF($D1784="","계정과목을 고르십시오",IF($E1784="※없는 과목","④ 설정에 없는 과목입니다",IF(AND($E1784="수입",$J1784&gt;0),"수입 과목인데 지출에 적혔습니다",IF(AND(LEFT($E1784,2)&lt;&gt;"수입",$E1784&lt;&gt;"대체",$I1784&gt;0),"지출 과목인데 수입에 적혔습니다",IF($K1784="","증빙을 고르십시오",IF(AND($C1784="바우처통장",$J1784&gt;0,IFERROR(INDEX('통합 ④ 설정'!$E$6:$E$40,MATCH($D1784,'통합 ④ 설정'!$B$6:$B$40,0)),"")&lt;&gt;"○"),"바우처통장 지출 — 목적 확인",IF($H1784="","적요를 적으십시오",""))))))))))))</f>
        <v/>
      </c>
      <c r="M1784" s="39"/>
      <c r="O1784" s="11" t="str">
        <f aca="false">IF($B1784="","",YEAR($B1784)*100+MONTH($B1784))</f>
        <v/>
      </c>
      <c r="P1784" s="11" t="str">
        <f aca="false">IF($B1784="","",IF($E1784="대체",0,1))</f>
        <v/>
      </c>
    </row>
    <row r="1785" customFormat="false" ht="15" hidden="false" customHeight="false" outlineLevel="0" collapsed="false">
      <c r="A1785" s="36" t="str">
        <f aca="false">IF($B1785="","",COUNT($B$15:$B1785))</f>
        <v/>
      </c>
      <c r="B1785" s="37"/>
      <c r="C1785" s="38"/>
      <c r="D1785" s="39"/>
      <c r="E1785" s="36" t="str">
        <f aca="false">IF($D1785="","",IFERROR(INDEX('통합 ④ 설정'!$A$6:$A$40,MATCH($D1785,'통합 ④ 설정'!$B$6:$B$40,0)),"※없는 과목"))</f>
        <v/>
      </c>
      <c r="F1785" s="36" t="str">
        <f aca="false">IF($D1785="","",IFERROR(INDEX('통합 ④ 설정'!$C$6:$C$40,MATCH($D1785,'통합 ④ 설정'!$B$6:$B$40,0)),""))</f>
        <v/>
      </c>
      <c r="G1785" s="39"/>
      <c r="H1785" s="39"/>
      <c r="I1785" s="40"/>
      <c r="J1785" s="41"/>
      <c r="K1785" s="38"/>
      <c r="L1785" s="42" t="str">
        <f aca="false">IF($B1785="","",IF(AND(N($I1785)=0,N($J1785)=0),"금액이 없습니다",IF(AND($I1785&gt;0,$J1785&gt;0),"수입·지출 둘 다 적혔습니다",IF($C1785="","결제수단을 고르십시오",IF(ISNA(MATCH($C1785,'통합 ③ 통장·카드'!$A$5:$A$11,0)),"③ 통장·카드에 없는 결제수단입니다",IF($D1785="","계정과목을 고르십시오",IF($E1785="※없는 과목","④ 설정에 없는 과목입니다",IF(AND($E1785="수입",$J1785&gt;0),"수입 과목인데 지출에 적혔습니다",IF(AND(LEFT($E1785,2)&lt;&gt;"수입",$E1785&lt;&gt;"대체",$I1785&gt;0),"지출 과목인데 수입에 적혔습니다",IF($K1785="","증빙을 고르십시오",IF(AND($C1785="바우처통장",$J1785&gt;0,IFERROR(INDEX('통합 ④ 설정'!$E$6:$E$40,MATCH($D1785,'통합 ④ 설정'!$B$6:$B$40,0)),"")&lt;&gt;"○"),"바우처통장 지출 — 목적 확인",IF($H1785="","적요를 적으십시오",""))))))))))))</f>
        <v/>
      </c>
      <c r="M1785" s="39"/>
      <c r="O1785" s="11" t="str">
        <f aca="false">IF($B1785="","",YEAR($B1785)*100+MONTH($B1785))</f>
        <v/>
      </c>
      <c r="P1785" s="11" t="str">
        <f aca="false">IF($B1785="","",IF($E1785="대체",0,1))</f>
        <v/>
      </c>
    </row>
    <row r="1786" customFormat="false" ht="15" hidden="false" customHeight="false" outlineLevel="0" collapsed="false">
      <c r="A1786" s="36" t="str">
        <f aca="false">IF($B1786="","",COUNT($B$15:$B1786))</f>
        <v/>
      </c>
      <c r="B1786" s="37"/>
      <c r="C1786" s="38"/>
      <c r="D1786" s="39"/>
      <c r="E1786" s="36" t="str">
        <f aca="false">IF($D1786="","",IFERROR(INDEX('통합 ④ 설정'!$A$6:$A$40,MATCH($D1786,'통합 ④ 설정'!$B$6:$B$40,0)),"※없는 과목"))</f>
        <v/>
      </c>
      <c r="F1786" s="36" t="str">
        <f aca="false">IF($D1786="","",IFERROR(INDEX('통합 ④ 설정'!$C$6:$C$40,MATCH($D1786,'통합 ④ 설정'!$B$6:$B$40,0)),""))</f>
        <v/>
      </c>
      <c r="G1786" s="39"/>
      <c r="H1786" s="39"/>
      <c r="I1786" s="40"/>
      <c r="J1786" s="41"/>
      <c r="K1786" s="38"/>
      <c r="L1786" s="42" t="str">
        <f aca="false">IF($B1786="","",IF(AND(N($I1786)=0,N($J1786)=0),"금액이 없습니다",IF(AND($I1786&gt;0,$J1786&gt;0),"수입·지출 둘 다 적혔습니다",IF($C1786="","결제수단을 고르십시오",IF(ISNA(MATCH($C1786,'통합 ③ 통장·카드'!$A$5:$A$11,0)),"③ 통장·카드에 없는 결제수단입니다",IF($D1786="","계정과목을 고르십시오",IF($E1786="※없는 과목","④ 설정에 없는 과목입니다",IF(AND($E1786="수입",$J1786&gt;0),"수입 과목인데 지출에 적혔습니다",IF(AND(LEFT($E1786,2)&lt;&gt;"수입",$E1786&lt;&gt;"대체",$I1786&gt;0),"지출 과목인데 수입에 적혔습니다",IF($K1786="","증빙을 고르십시오",IF(AND($C1786="바우처통장",$J1786&gt;0,IFERROR(INDEX('통합 ④ 설정'!$E$6:$E$40,MATCH($D1786,'통합 ④ 설정'!$B$6:$B$40,0)),"")&lt;&gt;"○"),"바우처통장 지출 — 목적 확인",IF($H1786="","적요를 적으십시오",""))))))))))))</f>
        <v/>
      </c>
      <c r="M1786" s="39"/>
      <c r="O1786" s="11" t="str">
        <f aca="false">IF($B1786="","",YEAR($B1786)*100+MONTH($B1786))</f>
        <v/>
      </c>
      <c r="P1786" s="11" t="str">
        <f aca="false">IF($B1786="","",IF($E1786="대체",0,1))</f>
        <v/>
      </c>
    </row>
    <row r="1787" customFormat="false" ht="15" hidden="false" customHeight="false" outlineLevel="0" collapsed="false">
      <c r="A1787" s="36" t="str">
        <f aca="false">IF($B1787="","",COUNT($B$15:$B1787))</f>
        <v/>
      </c>
      <c r="B1787" s="37"/>
      <c r="C1787" s="38"/>
      <c r="D1787" s="39"/>
      <c r="E1787" s="36" t="str">
        <f aca="false">IF($D1787="","",IFERROR(INDEX('통합 ④ 설정'!$A$6:$A$40,MATCH($D1787,'통합 ④ 설정'!$B$6:$B$40,0)),"※없는 과목"))</f>
        <v/>
      </c>
      <c r="F1787" s="36" t="str">
        <f aca="false">IF($D1787="","",IFERROR(INDEX('통합 ④ 설정'!$C$6:$C$40,MATCH($D1787,'통합 ④ 설정'!$B$6:$B$40,0)),""))</f>
        <v/>
      </c>
      <c r="G1787" s="39"/>
      <c r="H1787" s="39"/>
      <c r="I1787" s="40"/>
      <c r="J1787" s="41"/>
      <c r="K1787" s="38"/>
      <c r="L1787" s="42" t="str">
        <f aca="false">IF($B1787="","",IF(AND(N($I1787)=0,N($J1787)=0),"금액이 없습니다",IF(AND($I1787&gt;0,$J1787&gt;0),"수입·지출 둘 다 적혔습니다",IF($C1787="","결제수단을 고르십시오",IF(ISNA(MATCH($C1787,'통합 ③ 통장·카드'!$A$5:$A$11,0)),"③ 통장·카드에 없는 결제수단입니다",IF($D1787="","계정과목을 고르십시오",IF($E1787="※없는 과목","④ 설정에 없는 과목입니다",IF(AND($E1787="수입",$J1787&gt;0),"수입 과목인데 지출에 적혔습니다",IF(AND(LEFT($E1787,2)&lt;&gt;"수입",$E1787&lt;&gt;"대체",$I1787&gt;0),"지출 과목인데 수입에 적혔습니다",IF($K1787="","증빙을 고르십시오",IF(AND($C1787="바우처통장",$J1787&gt;0,IFERROR(INDEX('통합 ④ 설정'!$E$6:$E$40,MATCH($D1787,'통합 ④ 설정'!$B$6:$B$40,0)),"")&lt;&gt;"○"),"바우처통장 지출 — 목적 확인",IF($H1787="","적요를 적으십시오",""))))))))))))</f>
        <v/>
      </c>
      <c r="M1787" s="39"/>
      <c r="O1787" s="11" t="str">
        <f aca="false">IF($B1787="","",YEAR($B1787)*100+MONTH($B1787))</f>
        <v/>
      </c>
      <c r="P1787" s="11" t="str">
        <f aca="false">IF($B1787="","",IF($E1787="대체",0,1))</f>
        <v/>
      </c>
    </row>
    <row r="1788" customFormat="false" ht="15" hidden="false" customHeight="false" outlineLevel="0" collapsed="false">
      <c r="A1788" s="36" t="str">
        <f aca="false">IF($B1788="","",COUNT($B$15:$B1788))</f>
        <v/>
      </c>
      <c r="B1788" s="37"/>
      <c r="C1788" s="38"/>
      <c r="D1788" s="39"/>
      <c r="E1788" s="36" t="str">
        <f aca="false">IF($D1788="","",IFERROR(INDEX('통합 ④ 설정'!$A$6:$A$40,MATCH($D1788,'통합 ④ 설정'!$B$6:$B$40,0)),"※없는 과목"))</f>
        <v/>
      </c>
      <c r="F1788" s="36" t="str">
        <f aca="false">IF($D1788="","",IFERROR(INDEX('통합 ④ 설정'!$C$6:$C$40,MATCH($D1788,'통합 ④ 설정'!$B$6:$B$40,0)),""))</f>
        <v/>
      </c>
      <c r="G1788" s="39"/>
      <c r="H1788" s="39"/>
      <c r="I1788" s="40"/>
      <c r="J1788" s="41"/>
      <c r="K1788" s="38"/>
      <c r="L1788" s="42" t="str">
        <f aca="false">IF($B1788="","",IF(AND(N($I1788)=0,N($J1788)=0),"금액이 없습니다",IF(AND($I1788&gt;0,$J1788&gt;0),"수입·지출 둘 다 적혔습니다",IF($C1788="","결제수단을 고르십시오",IF(ISNA(MATCH($C1788,'통합 ③ 통장·카드'!$A$5:$A$11,0)),"③ 통장·카드에 없는 결제수단입니다",IF($D1788="","계정과목을 고르십시오",IF($E1788="※없는 과목","④ 설정에 없는 과목입니다",IF(AND($E1788="수입",$J1788&gt;0),"수입 과목인데 지출에 적혔습니다",IF(AND(LEFT($E1788,2)&lt;&gt;"수입",$E1788&lt;&gt;"대체",$I1788&gt;0),"지출 과목인데 수입에 적혔습니다",IF($K1788="","증빙을 고르십시오",IF(AND($C1788="바우처통장",$J1788&gt;0,IFERROR(INDEX('통합 ④ 설정'!$E$6:$E$40,MATCH($D1788,'통합 ④ 설정'!$B$6:$B$40,0)),"")&lt;&gt;"○"),"바우처통장 지출 — 목적 확인",IF($H1788="","적요를 적으십시오",""))))))))))))</f>
        <v/>
      </c>
      <c r="M1788" s="39"/>
      <c r="O1788" s="11" t="str">
        <f aca="false">IF($B1788="","",YEAR($B1788)*100+MONTH($B1788))</f>
        <v/>
      </c>
      <c r="P1788" s="11" t="str">
        <f aca="false">IF($B1788="","",IF($E1788="대체",0,1))</f>
        <v/>
      </c>
    </row>
    <row r="1789" customFormat="false" ht="15" hidden="false" customHeight="false" outlineLevel="0" collapsed="false">
      <c r="A1789" s="36" t="str">
        <f aca="false">IF($B1789="","",COUNT($B$15:$B1789))</f>
        <v/>
      </c>
      <c r="B1789" s="37"/>
      <c r="C1789" s="38"/>
      <c r="D1789" s="39"/>
      <c r="E1789" s="36" t="str">
        <f aca="false">IF($D1789="","",IFERROR(INDEX('통합 ④ 설정'!$A$6:$A$40,MATCH($D1789,'통합 ④ 설정'!$B$6:$B$40,0)),"※없는 과목"))</f>
        <v/>
      </c>
      <c r="F1789" s="36" t="str">
        <f aca="false">IF($D1789="","",IFERROR(INDEX('통합 ④ 설정'!$C$6:$C$40,MATCH($D1789,'통합 ④ 설정'!$B$6:$B$40,0)),""))</f>
        <v/>
      </c>
      <c r="G1789" s="39"/>
      <c r="H1789" s="39"/>
      <c r="I1789" s="40"/>
      <c r="J1789" s="41"/>
      <c r="K1789" s="38"/>
      <c r="L1789" s="42" t="str">
        <f aca="false">IF($B1789="","",IF(AND(N($I1789)=0,N($J1789)=0),"금액이 없습니다",IF(AND($I1789&gt;0,$J1789&gt;0),"수입·지출 둘 다 적혔습니다",IF($C1789="","결제수단을 고르십시오",IF(ISNA(MATCH($C1789,'통합 ③ 통장·카드'!$A$5:$A$11,0)),"③ 통장·카드에 없는 결제수단입니다",IF($D1789="","계정과목을 고르십시오",IF($E1789="※없는 과목","④ 설정에 없는 과목입니다",IF(AND($E1789="수입",$J1789&gt;0),"수입 과목인데 지출에 적혔습니다",IF(AND(LEFT($E1789,2)&lt;&gt;"수입",$E1789&lt;&gt;"대체",$I1789&gt;0),"지출 과목인데 수입에 적혔습니다",IF($K1789="","증빙을 고르십시오",IF(AND($C1789="바우처통장",$J1789&gt;0,IFERROR(INDEX('통합 ④ 설정'!$E$6:$E$40,MATCH($D1789,'통합 ④ 설정'!$B$6:$B$40,0)),"")&lt;&gt;"○"),"바우처통장 지출 — 목적 확인",IF($H1789="","적요를 적으십시오",""))))))))))))</f>
        <v/>
      </c>
      <c r="M1789" s="39"/>
      <c r="O1789" s="11" t="str">
        <f aca="false">IF($B1789="","",YEAR($B1789)*100+MONTH($B1789))</f>
        <v/>
      </c>
      <c r="P1789" s="11" t="str">
        <f aca="false">IF($B1789="","",IF($E1789="대체",0,1))</f>
        <v/>
      </c>
    </row>
    <row r="1790" customFormat="false" ht="15" hidden="false" customHeight="false" outlineLevel="0" collapsed="false">
      <c r="A1790" s="36" t="str">
        <f aca="false">IF($B1790="","",COUNT($B$15:$B1790))</f>
        <v/>
      </c>
      <c r="B1790" s="37"/>
      <c r="C1790" s="38"/>
      <c r="D1790" s="39"/>
      <c r="E1790" s="36" t="str">
        <f aca="false">IF($D1790="","",IFERROR(INDEX('통합 ④ 설정'!$A$6:$A$40,MATCH($D1790,'통합 ④ 설정'!$B$6:$B$40,0)),"※없는 과목"))</f>
        <v/>
      </c>
      <c r="F1790" s="36" t="str">
        <f aca="false">IF($D1790="","",IFERROR(INDEX('통합 ④ 설정'!$C$6:$C$40,MATCH($D1790,'통합 ④ 설정'!$B$6:$B$40,0)),""))</f>
        <v/>
      </c>
      <c r="G1790" s="39"/>
      <c r="H1790" s="39"/>
      <c r="I1790" s="40"/>
      <c r="J1790" s="41"/>
      <c r="K1790" s="38"/>
      <c r="L1790" s="42" t="str">
        <f aca="false">IF($B1790="","",IF(AND(N($I1790)=0,N($J1790)=0),"금액이 없습니다",IF(AND($I1790&gt;0,$J1790&gt;0),"수입·지출 둘 다 적혔습니다",IF($C1790="","결제수단을 고르십시오",IF(ISNA(MATCH($C1790,'통합 ③ 통장·카드'!$A$5:$A$11,0)),"③ 통장·카드에 없는 결제수단입니다",IF($D1790="","계정과목을 고르십시오",IF($E1790="※없는 과목","④ 설정에 없는 과목입니다",IF(AND($E1790="수입",$J1790&gt;0),"수입 과목인데 지출에 적혔습니다",IF(AND(LEFT($E1790,2)&lt;&gt;"수입",$E1790&lt;&gt;"대체",$I1790&gt;0),"지출 과목인데 수입에 적혔습니다",IF($K1790="","증빙을 고르십시오",IF(AND($C1790="바우처통장",$J1790&gt;0,IFERROR(INDEX('통합 ④ 설정'!$E$6:$E$40,MATCH($D1790,'통합 ④ 설정'!$B$6:$B$40,0)),"")&lt;&gt;"○"),"바우처통장 지출 — 목적 확인",IF($H1790="","적요를 적으십시오",""))))))))))))</f>
        <v/>
      </c>
      <c r="M1790" s="39"/>
      <c r="O1790" s="11" t="str">
        <f aca="false">IF($B1790="","",YEAR($B1790)*100+MONTH($B1790))</f>
        <v/>
      </c>
      <c r="P1790" s="11" t="str">
        <f aca="false">IF($B1790="","",IF($E1790="대체",0,1))</f>
        <v/>
      </c>
    </row>
    <row r="1791" customFormat="false" ht="15" hidden="false" customHeight="false" outlineLevel="0" collapsed="false">
      <c r="A1791" s="36" t="str">
        <f aca="false">IF($B1791="","",COUNT($B$15:$B1791))</f>
        <v/>
      </c>
      <c r="B1791" s="37"/>
      <c r="C1791" s="38"/>
      <c r="D1791" s="39"/>
      <c r="E1791" s="36" t="str">
        <f aca="false">IF($D1791="","",IFERROR(INDEX('통합 ④ 설정'!$A$6:$A$40,MATCH($D1791,'통합 ④ 설정'!$B$6:$B$40,0)),"※없는 과목"))</f>
        <v/>
      </c>
      <c r="F1791" s="36" t="str">
        <f aca="false">IF($D1791="","",IFERROR(INDEX('통합 ④ 설정'!$C$6:$C$40,MATCH($D1791,'통합 ④ 설정'!$B$6:$B$40,0)),""))</f>
        <v/>
      </c>
      <c r="G1791" s="39"/>
      <c r="H1791" s="39"/>
      <c r="I1791" s="40"/>
      <c r="J1791" s="41"/>
      <c r="K1791" s="38"/>
      <c r="L1791" s="42" t="str">
        <f aca="false">IF($B1791="","",IF(AND(N($I1791)=0,N($J1791)=0),"금액이 없습니다",IF(AND($I1791&gt;0,$J1791&gt;0),"수입·지출 둘 다 적혔습니다",IF($C1791="","결제수단을 고르십시오",IF(ISNA(MATCH($C1791,'통합 ③ 통장·카드'!$A$5:$A$11,0)),"③ 통장·카드에 없는 결제수단입니다",IF($D1791="","계정과목을 고르십시오",IF($E1791="※없는 과목","④ 설정에 없는 과목입니다",IF(AND($E1791="수입",$J1791&gt;0),"수입 과목인데 지출에 적혔습니다",IF(AND(LEFT($E1791,2)&lt;&gt;"수입",$E1791&lt;&gt;"대체",$I1791&gt;0),"지출 과목인데 수입에 적혔습니다",IF($K1791="","증빙을 고르십시오",IF(AND($C1791="바우처통장",$J1791&gt;0,IFERROR(INDEX('통합 ④ 설정'!$E$6:$E$40,MATCH($D1791,'통합 ④ 설정'!$B$6:$B$40,0)),"")&lt;&gt;"○"),"바우처통장 지출 — 목적 확인",IF($H1791="","적요를 적으십시오",""))))))))))))</f>
        <v/>
      </c>
      <c r="M1791" s="39"/>
      <c r="O1791" s="11" t="str">
        <f aca="false">IF($B1791="","",YEAR($B1791)*100+MONTH($B1791))</f>
        <v/>
      </c>
      <c r="P1791" s="11" t="str">
        <f aca="false">IF($B1791="","",IF($E1791="대체",0,1))</f>
        <v/>
      </c>
    </row>
    <row r="1792" customFormat="false" ht="15" hidden="false" customHeight="false" outlineLevel="0" collapsed="false">
      <c r="A1792" s="36" t="str">
        <f aca="false">IF($B1792="","",COUNT($B$15:$B1792))</f>
        <v/>
      </c>
      <c r="B1792" s="37"/>
      <c r="C1792" s="38"/>
      <c r="D1792" s="39"/>
      <c r="E1792" s="36" t="str">
        <f aca="false">IF($D1792="","",IFERROR(INDEX('통합 ④ 설정'!$A$6:$A$40,MATCH($D1792,'통합 ④ 설정'!$B$6:$B$40,0)),"※없는 과목"))</f>
        <v/>
      </c>
      <c r="F1792" s="36" t="str">
        <f aca="false">IF($D1792="","",IFERROR(INDEX('통합 ④ 설정'!$C$6:$C$40,MATCH($D1792,'통합 ④ 설정'!$B$6:$B$40,0)),""))</f>
        <v/>
      </c>
      <c r="G1792" s="39"/>
      <c r="H1792" s="39"/>
      <c r="I1792" s="40"/>
      <c r="J1792" s="41"/>
      <c r="K1792" s="38"/>
      <c r="L1792" s="42" t="str">
        <f aca="false">IF($B1792="","",IF(AND(N($I1792)=0,N($J1792)=0),"금액이 없습니다",IF(AND($I1792&gt;0,$J1792&gt;0),"수입·지출 둘 다 적혔습니다",IF($C1792="","결제수단을 고르십시오",IF(ISNA(MATCH($C1792,'통합 ③ 통장·카드'!$A$5:$A$11,0)),"③ 통장·카드에 없는 결제수단입니다",IF($D1792="","계정과목을 고르십시오",IF($E1792="※없는 과목","④ 설정에 없는 과목입니다",IF(AND($E1792="수입",$J1792&gt;0),"수입 과목인데 지출에 적혔습니다",IF(AND(LEFT($E1792,2)&lt;&gt;"수입",$E1792&lt;&gt;"대체",$I1792&gt;0),"지출 과목인데 수입에 적혔습니다",IF($K1792="","증빙을 고르십시오",IF(AND($C1792="바우처통장",$J1792&gt;0,IFERROR(INDEX('통합 ④ 설정'!$E$6:$E$40,MATCH($D1792,'통합 ④ 설정'!$B$6:$B$40,0)),"")&lt;&gt;"○"),"바우처통장 지출 — 목적 확인",IF($H1792="","적요를 적으십시오",""))))))))))))</f>
        <v/>
      </c>
      <c r="M1792" s="39"/>
      <c r="O1792" s="11" t="str">
        <f aca="false">IF($B1792="","",YEAR($B1792)*100+MONTH($B1792))</f>
        <v/>
      </c>
      <c r="P1792" s="11" t="str">
        <f aca="false">IF($B1792="","",IF($E1792="대체",0,1))</f>
        <v/>
      </c>
    </row>
    <row r="1793" customFormat="false" ht="15" hidden="false" customHeight="false" outlineLevel="0" collapsed="false">
      <c r="A1793" s="36" t="str">
        <f aca="false">IF($B1793="","",COUNT($B$15:$B1793))</f>
        <v/>
      </c>
      <c r="B1793" s="37"/>
      <c r="C1793" s="38"/>
      <c r="D1793" s="39"/>
      <c r="E1793" s="36" t="str">
        <f aca="false">IF($D1793="","",IFERROR(INDEX('통합 ④ 설정'!$A$6:$A$40,MATCH($D1793,'통합 ④ 설정'!$B$6:$B$40,0)),"※없는 과목"))</f>
        <v/>
      </c>
      <c r="F1793" s="36" t="str">
        <f aca="false">IF($D1793="","",IFERROR(INDEX('통합 ④ 설정'!$C$6:$C$40,MATCH($D1793,'통합 ④ 설정'!$B$6:$B$40,0)),""))</f>
        <v/>
      </c>
      <c r="G1793" s="39"/>
      <c r="H1793" s="39"/>
      <c r="I1793" s="40"/>
      <c r="J1793" s="41"/>
      <c r="K1793" s="38"/>
      <c r="L1793" s="42" t="str">
        <f aca="false">IF($B1793="","",IF(AND(N($I1793)=0,N($J1793)=0),"금액이 없습니다",IF(AND($I1793&gt;0,$J1793&gt;0),"수입·지출 둘 다 적혔습니다",IF($C1793="","결제수단을 고르십시오",IF(ISNA(MATCH($C1793,'통합 ③ 통장·카드'!$A$5:$A$11,0)),"③ 통장·카드에 없는 결제수단입니다",IF($D1793="","계정과목을 고르십시오",IF($E1793="※없는 과목","④ 설정에 없는 과목입니다",IF(AND($E1793="수입",$J1793&gt;0),"수입 과목인데 지출에 적혔습니다",IF(AND(LEFT($E1793,2)&lt;&gt;"수입",$E1793&lt;&gt;"대체",$I1793&gt;0),"지출 과목인데 수입에 적혔습니다",IF($K1793="","증빙을 고르십시오",IF(AND($C1793="바우처통장",$J1793&gt;0,IFERROR(INDEX('통합 ④ 설정'!$E$6:$E$40,MATCH($D1793,'통합 ④ 설정'!$B$6:$B$40,0)),"")&lt;&gt;"○"),"바우처통장 지출 — 목적 확인",IF($H1793="","적요를 적으십시오",""))))))))))))</f>
        <v/>
      </c>
      <c r="M1793" s="39"/>
      <c r="O1793" s="11" t="str">
        <f aca="false">IF($B1793="","",YEAR($B1793)*100+MONTH($B1793))</f>
        <v/>
      </c>
      <c r="P1793" s="11" t="str">
        <f aca="false">IF($B1793="","",IF($E1793="대체",0,1))</f>
        <v/>
      </c>
    </row>
    <row r="1794" customFormat="false" ht="15" hidden="false" customHeight="false" outlineLevel="0" collapsed="false">
      <c r="A1794" s="36" t="str">
        <f aca="false">IF($B1794="","",COUNT($B$15:$B1794))</f>
        <v/>
      </c>
      <c r="B1794" s="37"/>
      <c r="C1794" s="38"/>
      <c r="D1794" s="39"/>
      <c r="E1794" s="36" t="str">
        <f aca="false">IF($D1794="","",IFERROR(INDEX('통합 ④ 설정'!$A$6:$A$40,MATCH($D1794,'통합 ④ 설정'!$B$6:$B$40,0)),"※없는 과목"))</f>
        <v/>
      </c>
      <c r="F1794" s="36" t="str">
        <f aca="false">IF($D1794="","",IFERROR(INDEX('통합 ④ 설정'!$C$6:$C$40,MATCH($D1794,'통합 ④ 설정'!$B$6:$B$40,0)),""))</f>
        <v/>
      </c>
      <c r="G1794" s="39"/>
      <c r="H1794" s="39"/>
      <c r="I1794" s="40"/>
      <c r="J1794" s="41"/>
      <c r="K1794" s="38"/>
      <c r="L1794" s="42" t="str">
        <f aca="false">IF($B1794="","",IF(AND(N($I1794)=0,N($J1794)=0),"금액이 없습니다",IF(AND($I1794&gt;0,$J1794&gt;0),"수입·지출 둘 다 적혔습니다",IF($C1794="","결제수단을 고르십시오",IF(ISNA(MATCH($C1794,'통합 ③ 통장·카드'!$A$5:$A$11,0)),"③ 통장·카드에 없는 결제수단입니다",IF($D1794="","계정과목을 고르십시오",IF($E1794="※없는 과목","④ 설정에 없는 과목입니다",IF(AND($E1794="수입",$J1794&gt;0),"수입 과목인데 지출에 적혔습니다",IF(AND(LEFT($E1794,2)&lt;&gt;"수입",$E1794&lt;&gt;"대체",$I1794&gt;0),"지출 과목인데 수입에 적혔습니다",IF($K1794="","증빙을 고르십시오",IF(AND($C1794="바우처통장",$J1794&gt;0,IFERROR(INDEX('통합 ④ 설정'!$E$6:$E$40,MATCH($D1794,'통합 ④ 설정'!$B$6:$B$40,0)),"")&lt;&gt;"○"),"바우처통장 지출 — 목적 확인",IF($H1794="","적요를 적으십시오",""))))))))))))</f>
        <v/>
      </c>
      <c r="M1794" s="39"/>
      <c r="O1794" s="11" t="str">
        <f aca="false">IF($B1794="","",YEAR($B1794)*100+MONTH($B1794))</f>
        <v/>
      </c>
      <c r="P1794" s="11" t="str">
        <f aca="false">IF($B1794="","",IF($E1794="대체",0,1))</f>
        <v/>
      </c>
    </row>
    <row r="1795" customFormat="false" ht="15" hidden="false" customHeight="false" outlineLevel="0" collapsed="false">
      <c r="A1795" s="36" t="str">
        <f aca="false">IF($B1795="","",COUNT($B$15:$B1795))</f>
        <v/>
      </c>
      <c r="B1795" s="37"/>
      <c r="C1795" s="38"/>
      <c r="D1795" s="39"/>
      <c r="E1795" s="36" t="str">
        <f aca="false">IF($D1795="","",IFERROR(INDEX('통합 ④ 설정'!$A$6:$A$40,MATCH($D1795,'통합 ④ 설정'!$B$6:$B$40,0)),"※없는 과목"))</f>
        <v/>
      </c>
      <c r="F1795" s="36" t="str">
        <f aca="false">IF($D1795="","",IFERROR(INDEX('통합 ④ 설정'!$C$6:$C$40,MATCH($D1795,'통합 ④ 설정'!$B$6:$B$40,0)),""))</f>
        <v/>
      </c>
      <c r="G1795" s="39"/>
      <c r="H1795" s="39"/>
      <c r="I1795" s="40"/>
      <c r="J1795" s="41"/>
      <c r="K1795" s="38"/>
      <c r="L1795" s="42" t="str">
        <f aca="false">IF($B1795="","",IF(AND(N($I1795)=0,N($J1795)=0),"금액이 없습니다",IF(AND($I1795&gt;0,$J1795&gt;0),"수입·지출 둘 다 적혔습니다",IF($C1795="","결제수단을 고르십시오",IF(ISNA(MATCH($C1795,'통합 ③ 통장·카드'!$A$5:$A$11,0)),"③ 통장·카드에 없는 결제수단입니다",IF($D1795="","계정과목을 고르십시오",IF($E1795="※없는 과목","④ 설정에 없는 과목입니다",IF(AND($E1795="수입",$J1795&gt;0),"수입 과목인데 지출에 적혔습니다",IF(AND(LEFT($E1795,2)&lt;&gt;"수입",$E1795&lt;&gt;"대체",$I1795&gt;0),"지출 과목인데 수입에 적혔습니다",IF($K1795="","증빙을 고르십시오",IF(AND($C1795="바우처통장",$J1795&gt;0,IFERROR(INDEX('통합 ④ 설정'!$E$6:$E$40,MATCH($D1795,'통합 ④ 설정'!$B$6:$B$40,0)),"")&lt;&gt;"○"),"바우처통장 지출 — 목적 확인",IF($H1795="","적요를 적으십시오",""))))))))))))</f>
        <v/>
      </c>
      <c r="M1795" s="39"/>
      <c r="O1795" s="11" t="str">
        <f aca="false">IF($B1795="","",YEAR($B1795)*100+MONTH($B1795))</f>
        <v/>
      </c>
      <c r="P1795" s="11" t="str">
        <f aca="false">IF($B1795="","",IF($E1795="대체",0,1))</f>
        <v/>
      </c>
    </row>
    <row r="1796" customFormat="false" ht="15" hidden="false" customHeight="false" outlineLevel="0" collapsed="false">
      <c r="A1796" s="36" t="str">
        <f aca="false">IF($B1796="","",COUNT($B$15:$B1796))</f>
        <v/>
      </c>
      <c r="B1796" s="37"/>
      <c r="C1796" s="38"/>
      <c r="D1796" s="39"/>
      <c r="E1796" s="36" t="str">
        <f aca="false">IF($D1796="","",IFERROR(INDEX('통합 ④ 설정'!$A$6:$A$40,MATCH($D1796,'통합 ④ 설정'!$B$6:$B$40,0)),"※없는 과목"))</f>
        <v/>
      </c>
      <c r="F1796" s="36" t="str">
        <f aca="false">IF($D1796="","",IFERROR(INDEX('통합 ④ 설정'!$C$6:$C$40,MATCH($D1796,'통합 ④ 설정'!$B$6:$B$40,0)),""))</f>
        <v/>
      </c>
      <c r="G1796" s="39"/>
      <c r="H1796" s="39"/>
      <c r="I1796" s="40"/>
      <c r="J1796" s="41"/>
      <c r="K1796" s="38"/>
      <c r="L1796" s="42" t="str">
        <f aca="false">IF($B1796="","",IF(AND(N($I1796)=0,N($J1796)=0),"금액이 없습니다",IF(AND($I1796&gt;0,$J1796&gt;0),"수입·지출 둘 다 적혔습니다",IF($C1796="","결제수단을 고르십시오",IF(ISNA(MATCH($C1796,'통합 ③ 통장·카드'!$A$5:$A$11,0)),"③ 통장·카드에 없는 결제수단입니다",IF($D1796="","계정과목을 고르십시오",IF($E1796="※없는 과목","④ 설정에 없는 과목입니다",IF(AND($E1796="수입",$J1796&gt;0),"수입 과목인데 지출에 적혔습니다",IF(AND(LEFT($E1796,2)&lt;&gt;"수입",$E1796&lt;&gt;"대체",$I1796&gt;0),"지출 과목인데 수입에 적혔습니다",IF($K1796="","증빙을 고르십시오",IF(AND($C1796="바우처통장",$J1796&gt;0,IFERROR(INDEX('통합 ④ 설정'!$E$6:$E$40,MATCH($D1796,'통합 ④ 설정'!$B$6:$B$40,0)),"")&lt;&gt;"○"),"바우처통장 지출 — 목적 확인",IF($H1796="","적요를 적으십시오",""))))))))))))</f>
        <v/>
      </c>
      <c r="M1796" s="39"/>
      <c r="O1796" s="11" t="str">
        <f aca="false">IF($B1796="","",YEAR($B1796)*100+MONTH($B1796))</f>
        <v/>
      </c>
      <c r="P1796" s="11" t="str">
        <f aca="false">IF($B1796="","",IF($E1796="대체",0,1))</f>
        <v/>
      </c>
    </row>
    <row r="1797" customFormat="false" ht="15" hidden="false" customHeight="false" outlineLevel="0" collapsed="false">
      <c r="A1797" s="36" t="str">
        <f aca="false">IF($B1797="","",COUNT($B$15:$B1797))</f>
        <v/>
      </c>
      <c r="B1797" s="37"/>
      <c r="C1797" s="38"/>
      <c r="D1797" s="39"/>
      <c r="E1797" s="36" t="str">
        <f aca="false">IF($D1797="","",IFERROR(INDEX('통합 ④ 설정'!$A$6:$A$40,MATCH($D1797,'통합 ④ 설정'!$B$6:$B$40,0)),"※없는 과목"))</f>
        <v/>
      </c>
      <c r="F1797" s="36" t="str">
        <f aca="false">IF($D1797="","",IFERROR(INDEX('통합 ④ 설정'!$C$6:$C$40,MATCH($D1797,'통합 ④ 설정'!$B$6:$B$40,0)),""))</f>
        <v/>
      </c>
      <c r="G1797" s="39"/>
      <c r="H1797" s="39"/>
      <c r="I1797" s="40"/>
      <c r="J1797" s="41"/>
      <c r="K1797" s="38"/>
      <c r="L1797" s="42" t="str">
        <f aca="false">IF($B1797="","",IF(AND(N($I1797)=0,N($J1797)=0),"금액이 없습니다",IF(AND($I1797&gt;0,$J1797&gt;0),"수입·지출 둘 다 적혔습니다",IF($C1797="","결제수단을 고르십시오",IF(ISNA(MATCH($C1797,'통합 ③ 통장·카드'!$A$5:$A$11,0)),"③ 통장·카드에 없는 결제수단입니다",IF($D1797="","계정과목을 고르십시오",IF($E1797="※없는 과목","④ 설정에 없는 과목입니다",IF(AND($E1797="수입",$J1797&gt;0),"수입 과목인데 지출에 적혔습니다",IF(AND(LEFT($E1797,2)&lt;&gt;"수입",$E1797&lt;&gt;"대체",$I1797&gt;0),"지출 과목인데 수입에 적혔습니다",IF($K1797="","증빙을 고르십시오",IF(AND($C1797="바우처통장",$J1797&gt;0,IFERROR(INDEX('통합 ④ 설정'!$E$6:$E$40,MATCH($D1797,'통합 ④ 설정'!$B$6:$B$40,0)),"")&lt;&gt;"○"),"바우처통장 지출 — 목적 확인",IF($H1797="","적요를 적으십시오",""))))))))))))</f>
        <v/>
      </c>
      <c r="M1797" s="39"/>
      <c r="O1797" s="11" t="str">
        <f aca="false">IF($B1797="","",YEAR($B1797)*100+MONTH($B1797))</f>
        <v/>
      </c>
      <c r="P1797" s="11" t="str">
        <f aca="false">IF($B1797="","",IF($E1797="대체",0,1))</f>
        <v/>
      </c>
    </row>
    <row r="1798" customFormat="false" ht="15" hidden="false" customHeight="false" outlineLevel="0" collapsed="false">
      <c r="A1798" s="36" t="str">
        <f aca="false">IF($B1798="","",COUNT($B$15:$B1798))</f>
        <v/>
      </c>
      <c r="B1798" s="37"/>
      <c r="C1798" s="38"/>
      <c r="D1798" s="39"/>
      <c r="E1798" s="36" t="str">
        <f aca="false">IF($D1798="","",IFERROR(INDEX('통합 ④ 설정'!$A$6:$A$40,MATCH($D1798,'통합 ④ 설정'!$B$6:$B$40,0)),"※없는 과목"))</f>
        <v/>
      </c>
      <c r="F1798" s="36" t="str">
        <f aca="false">IF($D1798="","",IFERROR(INDEX('통합 ④ 설정'!$C$6:$C$40,MATCH($D1798,'통합 ④ 설정'!$B$6:$B$40,0)),""))</f>
        <v/>
      </c>
      <c r="G1798" s="39"/>
      <c r="H1798" s="39"/>
      <c r="I1798" s="40"/>
      <c r="J1798" s="41"/>
      <c r="K1798" s="38"/>
      <c r="L1798" s="42" t="str">
        <f aca="false">IF($B1798="","",IF(AND(N($I1798)=0,N($J1798)=0),"금액이 없습니다",IF(AND($I1798&gt;0,$J1798&gt;0),"수입·지출 둘 다 적혔습니다",IF($C1798="","결제수단을 고르십시오",IF(ISNA(MATCH($C1798,'통합 ③ 통장·카드'!$A$5:$A$11,0)),"③ 통장·카드에 없는 결제수단입니다",IF($D1798="","계정과목을 고르십시오",IF($E1798="※없는 과목","④ 설정에 없는 과목입니다",IF(AND($E1798="수입",$J1798&gt;0),"수입 과목인데 지출에 적혔습니다",IF(AND(LEFT($E1798,2)&lt;&gt;"수입",$E1798&lt;&gt;"대체",$I1798&gt;0),"지출 과목인데 수입에 적혔습니다",IF($K1798="","증빙을 고르십시오",IF(AND($C1798="바우처통장",$J1798&gt;0,IFERROR(INDEX('통합 ④ 설정'!$E$6:$E$40,MATCH($D1798,'통합 ④ 설정'!$B$6:$B$40,0)),"")&lt;&gt;"○"),"바우처통장 지출 — 목적 확인",IF($H1798="","적요를 적으십시오",""))))))))))))</f>
        <v/>
      </c>
      <c r="M1798" s="39"/>
      <c r="O1798" s="11" t="str">
        <f aca="false">IF($B1798="","",YEAR($B1798)*100+MONTH($B1798))</f>
        <v/>
      </c>
      <c r="P1798" s="11" t="str">
        <f aca="false">IF($B1798="","",IF($E1798="대체",0,1))</f>
        <v/>
      </c>
    </row>
    <row r="1799" customFormat="false" ht="15" hidden="false" customHeight="false" outlineLevel="0" collapsed="false">
      <c r="A1799" s="36" t="str">
        <f aca="false">IF($B1799="","",COUNT($B$15:$B1799))</f>
        <v/>
      </c>
      <c r="B1799" s="37"/>
      <c r="C1799" s="38"/>
      <c r="D1799" s="39"/>
      <c r="E1799" s="36" t="str">
        <f aca="false">IF($D1799="","",IFERROR(INDEX('통합 ④ 설정'!$A$6:$A$40,MATCH($D1799,'통합 ④ 설정'!$B$6:$B$40,0)),"※없는 과목"))</f>
        <v/>
      </c>
      <c r="F1799" s="36" t="str">
        <f aca="false">IF($D1799="","",IFERROR(INDEX('통합 ④ 설정'!$C$6:$C$40,MATCH($D1799,'통합 ④ 설정'!$B$6:$B$40,0)),""))</f>
        <v/>
      </c>
      <c r="G1799" s="39"/>
      <c r="H1799" s="39"/>
      <c r="I1799" s="40"/>
      <c r="J1799" s="41"/>
      <c r="K1799" s="38"/>
      <c r="L1799" s="42" t="str">
        <f aca="false">IF($B1799="","",IF(AND(N($I1799)=0,N($J1799)=0),"금액이 없습니다",IF(AND($I1799&gt;0,$J1799&gt;0),"수입·지출 둘 다 적혔습니다",IF($C1799="","결제수단을 고르십시오",IF(ISNA(MATCH($C1799,'통합 ③ 통장·카드'!$A$5:$A$11,0)),"③ 통장·카드에 없는 결제수단입니다",IF($D1799="","계정과목을 고르십시오",IF($E1799="※없는 과목","④ 설정에 없는 과목입니다",IF(AND($E1799="수입",$J1799&gt;0),"수입 과목인데 지출에 적혔습니다",IF(AND(LEFT($E1799,2)&lt;&gt;"수입",$E1799&lt;&gt;"대체",$I1799&gt;0),"지출 과목인데 수입에 적혔습니다",IF($K1799="","증빙을 고르십시오",IF(AND($C1799="바우처통장",$J1799&gt;0,IFERROR(INDEX('통합 ④ 설정'!$E$6:$E$40,MATCH($D1799,'통합 ④ 설정'!$B$6:$B$40,0)),"")&lt;&gt;"○"),"바우처통장 지출 — 목적 확인",IF($H1799="","적요를 적으십시오",""))))))))))))</f>
        <v/>
      </c>
      <c r="M1799" s="39"/>
      <c r="O1799" s="11" t="str">
        <f aca="false">IF($B1799="","",YEAR($B1799)*100+MONTH($B1799))</f>
        <v/>
      </c>
      <c r="P1799" s="11" t="str">
        <f aca="false">IF($B1799="","",IF($E1799="대체",0,1))</f>
        <v/>
      </c>
    </row>
    <row r="1800" customFormat="false" ht="15" hidden="false" customHeight="false" outlineLevel="0" collapsed="false">
      <c r="A1800" s="36" t="str">
        <f aca="false">IF($B1800="","",COUNT($B$15:$B1800))</f>
        <v/>
      </c>
      <c r="B1800" s="37"/>
      <c r="C1800" s="38"/>
      <c r="D1800" s="39"/>
      <c r="E1800" s="36" t="str">
        <f aca="false">IF($D1800="","",IFERROR(INDEX('통합 ④ 설정'!$A$6:$A$40,MATCH($D1800,'통합 ④ 설정'!$B$6:$B$40,0)),"※없는 과목"))</f>
        <v/>
      </c>
      <c r="F1800" s="36" t="str">
        <f aca="false">IF($D1800="","",IFERROR(INDEX('통합 ④ 설정'!$C$6:$C$40,MATCH($D1800,'통합 ④ 설정'!$B$6:$B$40,0)),""))</f>
        <v/>
      </c>
      <c r="G1800" s="39"/>
      <c r="H1800" s="39"/>
      <c r="I1800" s="40"/>
      <c r="J1800" s="41"/>
      <c r="K1800" s="38"/>
      <c r="L1800" s="42" t="str">
        <f aca="false">IF($B1800="","",IF(AND(N($I1800)=0,N($J1800)=0),"금액이 없습니다",IF(AND($I1800&gt;0,$J1800&gt;0),"수입·지출 둘 다 적혔습니다",IF($C1800="","결제수단을 고르십시오",IF(ISNA(MATCH($C1800,'통합 ③ 통장·카드'!$A$5:$A$11,0)),"③ 통장·카드에 없는 결제수단입니다",IF($D1800="","계정과목을 고르십시오",IF($E1800="※없는 과목","④ 설정에 없는 과목입니다",IF(AND($E1800="수입",$J1800&gt;0),"수입 과목인데 지출에 적혔습니다",IF(AND(LEFT($E1800,2)&lt;&gt;"수입",$E1800&lt;&gt;"대체",$I1800&gt;0),"지출 과목인데 수입에 적혔습니다",IF($K1800="","증빙을 고르십시오",IF(AND($C1800="바우처통장",$J1800&gt;0,IFERROR(INDEX('통합 ④ 설정'!$E$6:$E$40,MATCH($D1800,'통합 ④ 설정'!$B$6:$B$40,0)),"")&lt;&gt;"○"),"바우처통장 지출 — 목적 확인",IF($H1800="","적요를 적으십시오",""))))))))))))</f>
        <v/>
      </c>
      <c r="M1800" s="39"/>
      <c r="O1800" s="11" t="str">
        <f aca="false">IF($B1800="","",YEAR($B1800)*100+MONTH($B1800))</f>
        <v/>
      </c>
      <c r="P1800" s="11" t="str">
        <f aca="false">IF($B1800="","",IF($E1800="대체",0,1))</f>
        <v/>
      </c>
    </row>
    <row r="1801" customFormat="false" ht="15" hidden="false" customHeight="false" outlineLevel="0" collapsed="false">
      <c r="A1801" s="36" t="str">
        <f aca="false">IF($B1801="","",COUNT($B$15:$B1801))</f>
        <v/>
      </c>
      <c r="B1801" s="37"/>
      <c r="C1801" s="38"/>
      <c r="D1801" s="39"/>
      <c r="E1801" s="36" t="str">
        <f aca="false">IF($D1801="","",IFERROR(INDEX('통합 ④ 설정'!$A$6:$A$40,MATCH($D1801,'통합 ④ 설정'!$B$6:$B$40,0)),"※없는 과목"))</f>
        <v/>
      </c>
      <c r="F1801" s="36" t="str">
        <f aca="false">IF($D1801="","",IFERROR(INDEX('통합 ④ 설정'!$C$6:$C$40,MATCH($D1801,'통합 ④ 설정'!$B$6:$B$40,0)),""))</f>
        <v/>
      </c>
      <c r="G1801" s="39"/>
      <c r="H1801" s="39"/>
      <c r="I1801" s="40"/>
      <c r="J1801" s="41"/>
      <c r="K1801" s="38"/>
      <c r="L1801" s="42" t="str">
        <f aca="false">IF($B1801="","",IF(AND(N($I1801)=0,N($J1801)=0),"금액이 없습니다",IF(AND($I1801&gt;0,$J1801&gt;0),"수입·지출 둘 다 적혔습니다",IF($C1801="","결제수단을 고르십시오",IF(ISNA(MATCH($C1801,'통합 ③ 통장·카드'!$A$5:$A$11,0)),"③ 통장·카드에 없는 결제수단입니다",IF($D1801="","계정과목을 고르십시오",IF($E1801="※없는 과목","④ 설정에 없는 과목입니다",IF(AND($E1801="수입",$J1801&gt;0),"수입 과목인데 지출에 적혔습니다",IF(AND(LEFT($E1801,2)&lt;&gt;"수입",$E1801&lt;&gt;"대체",$I1801&gt;0),"지출 과목인데 수입에 적혔습니다",IF($K1801="","증빙을 고르십시오",IF(AND($C1801="바우처통장",$J1801&gt;0,IFERROR(INDEX('통합 ④ 설정'!$E$6:$E$40,MATCH($D1801,'통합 ④ 설정'!$B$6:$B$40,0)),"")&lt;&gt;"○"),"바우처통장 지출 — 목적 확인",IF($H1801="","적요를 적으십시오",""))))))))))))</f>
        <v/>
      </c>
      <c r="M1801" s="39"/>
      <c r="O1801" s="11" t="str">
        <f aca="false">IF($B1801="","",YEAR($B1801)*100+MONTH($B1801))</f>
        <v/>
      </c>
      <c r="P1801" s="11" t="str">
        <f aca="false">IF($B1801="","",IF($E1801="대체",0,1))</f>
        <v/>
      </c>
    </row>
    <row r="1802" customFormat="false" ht="15" hidden="false" customHeight="false" outlineLevel="0" collapsed="false">
      <c r="A1802" s="36" t="str">
        <f aca="false">IF($B1802="","",COUNT($B$15:$B1802))</f>
        <v/>
      </c>
      <c r="B1802" s="37"/>
      <c r="C1802" s="38"/>
      <c r="D1802" s="39"/>
      <c r="E1802" s="36" t="str">
        <f aca="false">IF($D1802="","",IFERROR(INDEX('통합 ④ 설정'!$A$6:$A$40,MATCH($D1802,'통합 ④ 설정'!$B$6:$B$40,0)),"※없는 과목"))</f>
        <v/>
      </c>
      <c r="F1802" s="36" t="str">
        <f aca="false">IF($D1802="","",IFERROR(INDEX('통합 ④ 설정'!$C$6:$C$40,MATCH($D1802,'통합 ④ 설정'!$B$6:$B$40,0)),""))</f>
        <v/>
      </c>
      <c r="G1802" s="39"/>
      <c r="H1802" s="39"/>
      <c r="I1802" s="40"/>
      <c r="J1802" s="41"/>
      <c r="K1802" s="38"/>
      <c r="L1802" s="42" t="str">
        <f aca="false">IF($B1802="","",IF(AND(N($I1802)=0,N($J1802)=0),"금액이 없습니다",IF(AND($I1802&gt;0,$J1802&gt;0),"수입·지출 둘 다 적혔습니다",IF($C1802="","결제수단을 고르십시오",IF(ISNA(MATCH($C1802,'통합 ③ 통장·카드'!$A$5:$A$11,0)),"③ 통장·카드에 없는 결제수단입니다",IF($D1802="","계정과목을 고르십시오",IF($E1802="※없는 과목","④ 설정에 없는 과목입니다",IF(AND($E1802="수입",$J1802&gt;0),"수입 과목인데 지출에 적혔습니다",IF(AND(LEFT($E1802,2)&lt;&gt;"수입",$E1802&lt;&gt;"대체",$I1802&gt;0),"지출 과목인데 수입에 적혔습니다",IF($K1802="","증빙을 고르십시오",IF(AND($C1802="바우처통장",$J1802&gt;0,IFERROR(INDEX('통합 ④ 설정'!$E$6:$E$40,MATCH($D1802,'통합 ④ 설정'!$B$6:$B$40,0)),"")&lt;&gt;"○"),"바우처통장 지출 — 목적 확인",IF($H1802="","적요를 적으십시오",""))))))))))))</f>
        <v/>
      </c>
      <c r="M1802" s="39"/>
      <c r="O1802" s="11" t="str">
        <f aca="false">IF($B1802="","",YEAR($B1802)*100+MONTH($B1802))</f>
        <v/>
      </c>
      <c r="P1802" s="11" t="str">
        <f aca="false">IF($B1802="","",IF($E1802="대체",0,1))</f>
        <v/>
      </c>
    </row>
    <row r="1803" customFormat="false" ht="15" hidden="false" customHeight="false" outlineLevel="0" collapsed="false">
      <c r="A1803" s="36" t="str">
        <f aca="false">IF($B1803="","",COUNT($B$15:$B1803))</f>
        <v/>
      </c>
      <c r="B1803" s="37"/>
      <c r="C1803" s="38"/>
      <c r="D1803" s="39"/>
      <c r="E1803" s="36" t="str">
        <f aca="false">IF($D1803="","",IFERROR(INDEX('통합 ④ 설정'!$A$6:$A$40,MATCH($D1803,'통합 ④ 설정'!$B$6:$B$40,0)),"※없는 과목"))</f>
        <v/>
      </c>
      <c r="F1803" s="36" t="str">
        <f aca="false">IF($D1803="","",IFERROR(INDEX('통합 ④ 설정'!$C$6:$C$40,MATCH($D1803,'통합 ④ 설정'!$B$6:$B$40,0)),""))</f>
        <v/>
      </c>
      <c r="G1803" s="39"/>
      <c r="H1803" s="39"/>
      <c r="I1803" s="40"/>
      <c r="J1803" s="41"/>
      <c r="K1803" s="38"/>
      <c r="L1803" s="42" t="str">
        <f aca="false">IF($B1803="","",IF(AND(N($I1803)=0,N($J1803)=0),"금액이 없습니다",IF(AND($I1803&gt;0,$J1803&gt;0),"수입·지출 둘 다 적혔습니다",IF($C1803="","결제수단을 고르십시오",IF(ISNA(MATCH($C1803,'통합 ③ 통장·카드'!$A$5:$A$11,0)),"③ 통장·카드에 없는 결제수단입니다",IF($D1803="","계정과목을 고르십시오",IF($E1803="※없는 과목","④ 설정에 없는 과목입니다",IF(AND($E1803="수입",$J1803&gt;0),"수입 과목인데 지출에 적혔습니다",IF(AND(LEFT($E1803,2)&lt;&gt;"수입",$E1803&lt;&gt;"대체",$I1803&gt;0),"지출 과목인데 수입에 적혔습니다",IF($K1803="","증빙을 고르십시오",IF(AND($C1803="바우처통장",$J1803&gt;0,IFERROR(INDEX('통합 ④ 설정'!$E$6:$E$40,MATCH($D1803,'통합 ④ 설정'!$B$6:$B$40,0)),"")&lt;&gt;"○"),"바우처통장 지출 — 목적 확인",IF($H1803="","적요를 적으십시오",""))))))))))))</f>
        <v/>
      </c>
      <c r="M1803" s="39"/>
      <c r="O1803" s="11" t="str">
        <f aca="false">IF($B1803="","",YEAR($B1803)*100+MONTH($B1803))</f>
        <v/>
      </c>
      <c r="P1803" s="11" t="str">
        <f aca="false">IF($B1803="","",IF($E1803="대체",0,1))</f>
        <v/>
      </c>
    </row>
    <row r="1804" customFormat="false" ht="15" hidden="false" customHeight="false" outlineLevel="0" collapsed="false">
      <c r="A1804" s="36" t="str">
        <f aca="false">IF($B1804="","",COUNT($B$15:$B1804))</f>
        <v/>
      </c>
      <c r="B1804" s="37"/>
      <c r="C1804" s="38"/>
      <c r="D1804" s="39"/>
      <c r="E1804" s="36" t="str">
        <f aca="false">IF($D1804="","",IFERROR(INDEX('통합 ④ 설정'!$A$6:$A$40,MATCH($D1804,'통합 ④ 설정'!$B$6:$B$40,0)),"※없는 과목"))</f>
        <v/>
      </c>
      <c r="F1804" s="36" t="str">
        <f aca="false">IF($D1804="","",IFERROR(INDEX('통합 ④ 설정'!$C$6:$C$40,MATCH($D1804,'통합 ④ 설정'!$B$6:$B$40,0)),""))</f>
        <v/>
      </c>
      <c r="G1804" s="39"/>
      <c r="H1804" s="39"/>
      <c r="I1804" s="40"/>
      <c r="J1804" s="41"/>
      <c r="K1804" s="38"/>
      <c r="L1804" s="42" t="str">
        <f aca="false">IF($B1804="","",IF(AND(N($I1804)=0,N($J1804)=0),"금액이 없습니다",IF(AND($I1804&gt;0,$J1804&gt;0),"수입·지출 둘 다 적혔습니다",IF($C1804="","결제수단을 고르십시오",IF(ISNA(MATCH($C1804,'통합 ③ 통장·카드'!$A$5:$A$11,0)),"③ 통장·카드에 없는 결제수단입니다",IF($D1804="","계정과목을 고르십시오",IF($E1804="※없는 과목","④ 설정에 없는 과목입니다",IF(AND($E1804="수입",$J1804&gt;0),"수입 과목인데 지출에 적혔습니다",IF(AND(LEFT($E1804,2)&lt;&gt;"수입",$E1804&lt;&gt;"대체",$I1804&gt;0),"지출 과목인데 수입에 적혔습니다",IF($K1804="","증빙을 고르십시오",IF(AND($C1804="바우처통장",$J1804&gt;0,IFERROR(INDEX('통합 ④ 설정'!$E$6:$E$40,MATCH($D1804,'통합 ④ 설정'!$B$6:$B$40,0)),"")&lt;&gt;"○"),"바우처통장 지출 — 목적 확인",IF($H1804="","적요를 적으십시오",""))))))))))))</f>
        <v/>
      </c>
      <c r="M1804" s="39"/>
      <c r="O1804" s="11" t="str">
        <f aca="false">IF($B1804="","",YEAR($B1804)*100+MONTH($B1804))</f>
        <v/>
      </c>
      <c r="P1804" s="11" t="str">
        <f aca="false">IF($B1804="","",IF($E1804="대체",0,1))</f>
        <v/>
      </c>
    </row>
    <row r="1805" customFormat="false" ht="15" hidden="false" customHeight="false" outlineLevel="0" collapsed="false">
      <c r="A1805" s="36" t="str">
        <f aca="false">IF($B1805="","",COUNT($B$15:$B1805))</f>
        <v/>
      </c>
      <c r="B1805" s="37"/>
      <c r="C1805" s="38"/>
      <c r="D1805" s="39"/>
      <c r="E1805" s="36" t="str">
        <f aca="false">IF($D1805="","",IFERROR(INDEX('통합 ④ 설정'!$A$6:$A$40,MATCH($D1805,'통합 ④ 설정'!$B$6:$B$40,0)),"※없는 과목"))</f>
        <v/>
      </c>
      <c r="F1805" s="36" t="str">
        <f aca="false">IF($D1805="","",IFERROR(INDEX('통합 ④ 설정'!$C$6:$C$40,MATCH($D1805,'통합 ④ 설정'!$B$6:$B$40,0)),""))</f>
        <v/>
      </c>
      <c r="G1805" s="39"/>
      <c r="H1805" s="39"/>
      <c r="I1805" s="40"/>
      <c r="J1805" s="41"/>
      <c r="K1805" s="38"/>
      <c r="L1805" s="42" t="str">
        <f aca="false">IF($B1805="","",IF(AND(N($I1805)=0,N($J1805)=0),"금액이 없습니다",IF(AND($I1805&gt;0,$J1805&gt;0),"수입·지출 둘 다 적혔습니다",IF($C1805="","결제수단을 고르십시오",IF(ISNA(MATCH($C1805,'통합 ③ 통장·카드'!$A$5:$A$11,0)),"③ 통장·카드에 없는 결제수단입니다",IF($D1805="","계정과목을 고르십시오",IF($E1805="※없는 과목","④ 설정에 없는 과목입니다",IF(AND($E1805="수입",$J1805&gt;0),"수입 과목인데 지출에 적혔습니다",IF(AND(LEFT($E1805,2)&lt;&gt;"수입",$E1805&lt;&gt;"대체",$I1805&gt;0),"지출 과목인데 수입에 적혔습니다",IF($K1805="","증빙을 고르십시오",IF(AND($C1805="바우처통장",$J1805&gt;0,IFERROR(INDEX('통합 ④ 설정'!$E$6:$E$40,MATCH($D1805,'통합 ④ 설정'!$B$6:$B$40,0)),"")&lt;&gt;"○"),"바우처통장 지출 — 목적 확인",IF($H1805="","적요를 적으십시오",""))))))))))))</f>
        <v/>
      </c>
      <c r="M1805" s="39"/>
      <c r="O1805" s="11" t="str">
        <f aca="false">IF($B1805="","",YEAR($B1805)*100+MONTH($B1805))</f>
        <v/>
      </c>
      <c r="P1805" s="11" t="str">
        <f aca="false">IF($B1805="","",IF($E1805="대체",0,1))</f>
        <v/>
      </c>
    </row>
    <row r="1806" customFormat="false" ht="15" hidden="false" customHeight="false" outlineLevel="0" collapsed="false">
      <c r="A1806" s="36" t="str">
        <f aca="false">IF($B1806="","",COUNT($B$15:$B1806))</f>
        <v/>
      </c>
      <c r="B1806" s="37"/>
      <c r="C1806" s="38"/>
      <c r="D1806" s="39"/>
      <c r="E1806" s="36" t="str">
        <f aca="false">IF($D1806="","",IFERROR(INDEX('통합 ④ 설정'!$A$6:$A$40,MATCH($D1806,'통합 ④ 설정'!$B$6:$B$40,0)),"※없는 과목"))</f>
        <v/>
      </c>
      <c r="F1806" s="36" t="str">
        <f aca="false">IF($D1806="","",IFERROR(INDEX('통합 ④ 설정'!$C$6:$C$40,MATCH($D1806,'통합 ④ 설정'!$B$6:$B$40,0)),""))</f>
        <v/>
      </c>
      <c r="G1806" s="39"/>
      <c r="H1806" s="39"/>
      <c r="I1806" s="40"/>
      <c r="J1806" s="41"/>
      <c r="K1806" s="38"/>
      <c r="L1806" s="42" t="str">
        <f aca="false">IF($B1806="","",IF(AND(N($I1806)=0,N($J1806)=0),"금액이 없습니다",IF(AND($I1806&gt;0,$J1806&gt;0),"수입·지출 둘 다 적혔습니다",IF($C1806="","결제수단을 고르십시오",IF(ISNA(MATCH($C1806,'통합 ③ 통장·카드'!$A$5:$A$11,0)),"③ 통장·카드에 없는 결제수단입니다",IF($D1806="","계정과목을 고르십시오",IF($E1806="※없는 과목","④ 설정에 없는 과목입니다",IF(AND($E1806="수입",$J1806&gt;0),"수입 과목인데 지출에 적혔습니다",IF(AND(LEFT($E1806,2)&lt;&gt;"수입",$E1806&lt;&gt;"대체",$I1806&gt;0),"지출 과목인데 수입에 적혔습니다",IF($K1806="","증빙을 고르십시오",IF(AND($C1806="바우처통장",$J1806&gt;0,IFERROR(INDEX('통합 ④ 설정'!$E$6:$E$40,MATCH($D1806,'통합 ④ 설정'!$B$6:$B$40,0)),"")&lt;&gt;"○"),"바우처통장 지출 — 목적 확인",IF($H1806="","적요를 적으십시오",""))))))))))))</f>
        <v/>
      </c>
      <c r="M1806" s="39"/>
      <c r="O1806" s="11" t="str">
        <f aca="false">IF($B1806="","",YEAR($B1806)*100+MONTH($B1806))</f>
        <v/>
      </c>
      <c r="P1806" s="11" t="str">
        <f aca="false">IF($B1806="","",IF($E1806="대체",0,1))</f>
        <v/>
      </c>
    </row>
    <row r="1807" customFormat="false" ht="15" hidden="false" customHeight="false" outlineLevel="0" collapsed="false">
      <c r="A1807" s="36" t="str">
        <f aca="false">IF($B1807="","",COUNT($B$15:$B1807))</f>
        <v/>
      </c>
      <c r="B1807" s="37"/>
      <c r="C1807" s="38"/>
      <c r="D1807" s="39"/>
      <c r="E1807" s="36" t="str">
        <f aca="false">IF($D1807="","",IFERROR(INDEX('통합 ④ 설정'!$A$6:$A$40,MATCH($D1807,'통합 ④ 설정'!$B$6:$B$40,0)),"※없는 과목"))</f>
        <v/>
      </c>
      <c r="F1807" s="36" t="str">
        <f aca="false">IF($D1807="","",IFERROR(INDEX('통합 ④ 설정'!$C$6:$C$40,MATCH($D1807,'통합 ④ 설정'!$B$6:$B$40,0)),""))</f>
        <v/>
      </c>
      <c r="G1807" s="39"/>
      <c r="H1807" s="39"/>
      <c r="I1807" s="40"/>
      <c r="J1807" s="41"/>
      <c r="K1807" s="38"/>
      <c r="L1807" s="42" t="str">
        <f aca="false">IF($B1807="","",IF(AND(N($I1807)=0,N($J1807)=0),"금액이 없습니다",IF(AND($I1807&gt;0,$J1807&gt;0),"수입·지출 둘 다 적혔습니다",IF($C1807="","결제수단을 고르십시오",IF(ISNA(MATCH($C1807,'통합 ③ 통장·카드'!$A$5:$A$11,0)),"③ 통장·카드에 없는 결제수단입니다",IF($D1807="","계정과목을 고르십시오",IF($E1807="※없는 과목","④ 설정에 없는 과목입니다",IF(AND($E1807="수입",$J1807&gt;0),"수입 과목인데 지출에 적혔습니다",IF(AND(LEFT($E1807,2)&lt;&gt;"수입",$E1807&lt;&gt;"대체",$I1807&gt;0),"지출 과목인데 수입에 적혔습니다",IF($K1807="","증빙을 고르십시오",IF(AND($C1807="바우처통장",$J1807&gt;0,IFERROR(INDEX('통합 ④ 설정'!$E$6:$E$40,MATCH($D1807,'통합 ④ 설정'!$B$6:$B$40,0)),"")&lt;&gt;"○"),"바우처통장 지출 — 목적 확인",IF($H1807="","적요를 적으십시오",""))))))))))))</f>
        <v/>
      </c>
      <c r="M1807" s="39"/>
      <c r="O1807" s="11" t="str">
        <f aca="false">IF($B1807="","",YEAR($B1807)*100+MONTH($B1807))</f>
        <v/>
      </c>
      <c r="P1807" s="11" t="str">
        <f aca="false">IF($B1807="","",IF($E1807="대체",0,1))</f>
        <v/>
      </c>
    </row>
    <row r="1808" customFormat="false" ht="15" hidden="false" customHeight="false" outlineLevel="0" collapsed="false">
      <c r="A1808" s="36" t="str">
        <f aca="false">IF($B1808="","",COUNT($B$15:$B1808))</f>
        <v/>
      </c>
      <c r="B1808" s="37"/>
      <c r="C1808" s="38"/>
      <c r="D1808" s="39"/>
      <c r="E1808" s="36" t="str">
        <f aca="false">IF($D1808="","",IFERROR(INDEX('통합 ④ 설정'!$A$6:$A$40,MATCH($D1808,'통합 ④ 설정'!$B$6:$B$40,0)),"※없는 과목"))</f>
        <v/>
      </c>
      <c r="F1808" s="36" t="str">
        <f aca="false">IF($D1808="","",IFERROR(INDEX('통합 ④ 설정'!$C$6:$C$40,MATCH($D1808,'통합 ④ 설정'!$B$6:$B$40,0)),""))</f>
        <v/>
      </c>
      <c r="G1808" s="39"/>
      <c r="H1808" s="39"/>
      <c r="I1808" s="40"/>
      <c r="J1808" s="41"/>
      <c r="K1808" s="38"/>
      <c r="L1808" s="42" t="str">
        <f aca="false">IF($B1808="","",IF(AND(N($I1808)=0,N($J1808)=0),"금액이 없습니다",IF(AND($I1808&gt;0,$J1808&gt;0),"수입·지출 둘 다 적혔습니다",IF($C1808="","결제수단을 고르십시오",IF(ISNA(MATCH($C1808,'통합 ③ 통장·카드'!$A$5:$A$11,0)),"③ 통장·카드에 없는 결제수단입니다",IF($D1808="","계정과목을 고르십시오",IF($E1808="※없는 과목","④ 설정에 없는 과목입니다",IF(AND($E1808="수입",$J1808&gt;0),"수입 과목인데 지출에 적혔습니다",IF(AND(LEFT($E1808,2)&lt;&gt;"수입",$E1808&lt;&gt;"대체",$I1808&gt;0),"지출 과목인데 수입에 적혔습니다",IF($K1808="","증빙을 고르십시오",IF(AND($C1808="바우처통장",$J1808&gt;0,IFERROR(INDEX('통합 ④ 설정'!$E$6:$E$40,MATCH($D1808,'통합 ④ 설정'!$B$6:$B$40,0)),"")&lt;&gt;"○"),"바우처통장 지출 — 목적 확인",IF($H1808="","적요를 적으십시오",""))))))))))))</f>
        <v/>
      </c>
      <c r="M1808" s="39"/>
      <c r="O1808" s="11" t="str">
        <f aca="false">IF($B1808="","",YEAR($B1808)*100+MONTH($B1808))</f>
        <v/>
      </c>
      <c r="P1808" s="11" t="str">
        <f aca="false">IF($B1808="","",IF($E1808="대체",0,1))</f>
        <v/>
      </c>
    </row>
    <row r="1809" customFormat="false" ht="15" hidden="false" customHeight="false" outlineLevel="0" collapsed="false">
      <c r="A1809" s="36" t="str">
        <f aca="false">IF($B1809="","",COUNT($B$15:$B1809))</f>
        <v/>
      </c>
      <c r="B1809" s="37"/>
      <c r="C1809" s="38"/>
      <c r="D1809" s="39"/>
      <c r="E1809" s="36" t="str">
        <f aca="false">IF($D1809="","",IFERROR(INDEX('통합 ④ 설정'!$A$6:$A$40,MATCH($D1809,'통합 ④ 설정'!$B$6:$B$40,0)),"※없는 과목"))</f>
        <v/>
      </c>
      <c r="F1809" s="36" t="str">
        <f aca="false">IF($D1809="","",IFERROR(INDEX('통합 ④ 설정'!$C$6:$C$40,MATCH($D1809,'통합 ④ 설정'!$B$6:$B$40,0)),""))</f>
        <v/>
      </c>
      <c r="G1809" s="39"/>
      <c r="H1809" s="39"/>
      <c r="I1809" s="40"/>
      <c r="J1809" s="41"/>
      <c r="K1809" s="38"/>
      <c r="L1809" s="42" t="str">
        <f aca="false">IF($B1809="","",IF(AND(N($I1809)=0,N($J1809)=0),"금액이 없습니다",IF(AND($I1809&gt;0,$J1809&gt;0),"수입·지출 둘 다 적혔습니다",IF($C1809="","결제수단을 고르십시오",IF(ISNA(MATCH($C1809,'통합 ③ 통장·카드'!$A$5:$A$11,0)),"③ 통장·카드에 없는 결제수단입니다",IF($D1809="","계정과목을 고르십시오",IF($E1809="※없는 과목","④ 설정에 없는 과목입니다",IF(AND($E1809="수입",$J1809&gt;0),"수입 과목인데 지출에 적혔습니다",IF(AND(LEFT($E1809,2)&lt;&gt;"수입",$E1809&lt;&gt;"대체",$I1809&gt;0),"지출 과목인데 수입에 적혔습니다",IF($K1809="","증빙을 고르십시오",IF(AND($C1809="바우처통장",$J1809&gt;0,IFERROR(INDEX('통합 ④ 설정'!$E$6:$E$40,MATCH($D1809,'통합 ④ 설정'!$B$6:$B$40,0)),"")&lt;&gt;"○"),"바우처통장 지출 — 목적 확인",IF($H1809="","적요를 적으십시오",""))))))))))))</f>
        <v/>
      </c>
      <c r="M1809" s="39"/>
      <c r="O1809" s="11" t="str">
        <f aca="false">IF($B1809="","",YEAR($B1809)*100+MONTH($B1809))</f>
        <v/>
      </c>
      <c r="P1809" s="11" t="str">
        <f aca="false">IF($B1809="","",IF($E1809="대체",0,1))</f>
        <v/>
      </c>
    </row>
    <row r="1810" customFormat="false" ht="15" hidden="false" customHeight="false" outlineLevel="0" collapsed="false">
      <c r="A1810" s="36" t="str">
        <f aca="false">IF($B1810="","",COUNT($B$15:$B1810))</f>
        <v/>
      </c>
      <c r="B1810" s="37"/>
      <c r="C1810" s="38"/>
      <c r="D1810" s="39"/>
      <c r="E1810" s="36" t="str">
        <f aca="false">IF($D1810="","",IFERROR(INDEX('통합 ④ 설정'!$A$6:$A$40,MATCH($D1810,'통합 ④ 설정'!$B$6:$B$40,0)),"※없는 과목"))</f>
        <v/>
      </c>
      <c r="F1810" s="36" t="str">
        <f aca="false">IF($D1810="","",IFERROR(INDEX('통합 ④ 설정'!$C$6:$C$40,MATCH($D1810,'통합 ④ 설정'!$B$6:$B$40,0)),""))</f>
        <v/>
      </c>
      <c r="G1810" s="39"/>
      <c r="H1810" s="39"/>
      <c r="I1810" s="40"/>
      <c r="J1810" s="41"/>
      <c r="K1810" s="38"/>
      <c r="L1810" s="42" t="str">
        <f aca="false">IF($B1810="","",IF(AND(N($I1810)=0,N($J1810)=0),"금액이 없습니다",IF(AND($I1810&gt;0,$J1810&gt;0),"수입·지출 둘 다 적혔습니다",IF($C1810="","결제수단을 고르십시오",IF(ISNA(MATCH($C1810,'통합 ③ 통장·카드'!$A$5:$A$11,0)),"③ 통장·카드에 없는 결제수단입니다",IF($D1810="","계정과목을 고르십시오",IF($E1810="※없는 과목","④ 설정에 없는 과목입니다",IF(AND($E1810="수입",$J1810&gt;0),"수입 과목인데 지출에 적혔습니다",IF(AND(LEFT($E1810,2)&lt;&gt;"수입",$E1810&lt;&gt;"대체",$I1810&gt;0),"지출 과목인데 수입에 적혔습니다",IF($K1810="","증빙을 고르십시오",IF(AND($C1810="바우처통장",$J1810&gt;0,IFERROR(INDEX('통합 ④ 설정'!$E$6:$E$40,MATCH($D1810,'통합 ④ 설정'!$B$6:$B$40,0)),"")&lt;&gt;"○"),"바우처통장 지출 — 목적 확인",IF($H1810="","적요를 적으십시오",""))))))))))))</f>
        <v/>
      </c>
      <c r="M1810" s="39"/>
      <c r="O1810" s="11" t="str">
        <f aca="false">IF($B1810="","",YEAR($B1810)*100+MONTH($B1810))</f>
        <v/>
      </c>
      <c r="P1810" s="11" t="str">
        <f aca="false">IF($B1810="","",IF($E1810="대체",0,1))</f>
        <v/>
      </c>
    </row>
    <row r="1811" customFormat="false" ht="15" hidden="false" customHeight="false" outlineLevel="0" collapsed="false">
      <c r="A1811" s="36" t="str">
        <f aca="false">IF($B1811="","",COUNT($B$15:$B1811))</f>
        <v/>
      </c>
      <c r="B1811" s="37"/>
      <c r="C1811" s="38"/>
      <c r="D1811" s="39"/>
      <c r="E1811" s="36" t="str">
        <f aca="false">IF($D1811="","",IFERROR(INDEX('통합 ④ 설정'!$A$6:$A$40,MATCH($D1811,'통합 ④ 설정'!$B$6:$B$40,0)),"※없는 과목"))</f>
        <v/>
      </c>
      <c r="F1811" s="36" t="str">
        <f aca="false">IF($D1811="","",IFERROR(INDEX('통합 ④ 설정'!$C$6:$C$40,MATCH($D1811,'통합 ④ 설정'!$B$6:$B$40,0)),""))</f>
        <v/>
      </c>
      <c r="G1811" s="39"/>
      <c r="H1811" s="39"/>
      <c r="I1811" s="40"/>
      <c r="J1811" s="41"/>
      <c r="K1811" s="38"/>
      <c r="L1811" s="42" t="str">
        <f aca="false">IF($B1811="","",IF(AND(N($I1811)=0,N($J1811)=0),"금액이 없습니다",IF(AND($I1811&gt;0,$J1811&gt;0),"수입·지출 둘 다 적혔습니다",IF($C1811="","결제수단을 고르십시오",IF(ISNA(MATCH($C1811,'통합 ③ 통장·카드'!$A$5:$A$11,0)),"③ 통장·카드에 없는 결제수단입니다",IF($D1811="","계정과목을 고르십시오",IF($E1811="※없는 과목","④ 설정에 없는 과목입니다",IF(AND($E1811="수입",$J1811&gt;0),"수입 과목인데 지출에 적혔습니다",IF(AND(LEFT($E1811,2)&lt;&gt;"수입",$E1811&lt;&gt;"대체",$I1811&gt;0),"지출 과목인데 수입에 적혔습니다",IF($K1811="","증빙을 고르십시오",IF(AND($C1811="바우처통장",$J1811&gt;0,IFERROR(INDEX('통합 ④ 설정'!$E$6:$E$40,MATCH($D1811,'통합 ④ 설정'!$B$6:$B$40,0)),"")&lt;&gt;"○"),"바우처통장 지출 — 목적 확인",IF($H1811="","적요를 적으십시오",""))))))))))))</f>
        <v/>
      </c>
      <c r="M1811" s="39"/>
      <c r="O1811" s="11" t="str">
        <f aca="false">IF($B1811="","",YEAR($B1811)*100+MONTH($B1811))</f>
        <v/>
      </c>
      <c r="P1811" s="11" t="str">
        <f aca="false">IF($B1811="","",IF($E1811="대체",0,1))</f>
        <v/>
      </c>
    </row>
    <row r="1812" customFormat="false" ht="15" hidden="false" customHeight="false" outlineLevel="0" collapsed="false">
      <c r="A1812" s="36" t="str">
        <f aca="false">IF($B1812="","",COUNT($B$15:$B1812))</f>
        <v/>
      </c>
      <c r="B1812" s="37"/>
      <c r="C1812" s="38"/>
      <c r="D1812" s="39"/>
      <c r="E1812" s="36" t="str">
        <f aca="false">IF($D1812="","",IFERROR(INDEX('통합 ④ 설정'!$A$6:$A$40,MATCH($D1812,'통합 ④ 설정'!$B$6:$B$40,0)),"※없는 과목"))</f>
        <v/>
      </c>
      <c r="F1812" s="36" t="str">
        <f aca="false">IF($D1812="","",IFERROR(INDEX('통합 ④ 설정'!$C$6:$C$40,MATCH($D1812,'통합 ④ 설정'!$B$6:$B$40,0)),""))</f>
        <v/>
      </c>
      <c r="G1812" s="39"/>
      <c r="H1812" s="39"/>
      <c r="I1812" s="40"/>
      <c r="J1812" s="41"/>
      <c r="K1812" s="38"/>
      <c r="L1812" s="42" t="str">
        <f aca="false">IF($B1812="","",IF(AND(N($I1812)=0,N($J1812)=0),"금액이 없습니다",IF(AND($I1812&gt;0,$J1812&gt;0),"수입·지출 둘 다 적혔습니다",IF($C1812="","결제수단을 고르십시오",IF(ISNA(MATCH($C1812,'통합 ③ 통장·카드'!$A$5:$A$11,0)),"③ 통장·카드에 없는 결제수단입니다",IF($D1812="","계정과목을 고르십시오",IF($E1812="※없는 과목","④ 설정에 없는 과목입니다",IF(AND($E1812="수입",$J1812&gt;0),"수입 과목인데 지출에 적혔습니다",IF(AND(LEFT($E1812,2)&lt;&gt;"수입",$E1812&lt;&gt;"대체",$I1812&gt;0),"지출 과목인데 수입에 적혔습니다",IF($K1812="","증빙을 고르십시오",IF(AND($C1812="바우처통장",$J1812&gt;0,IFERROR(INDEX('통합 ④ 설정'!$E$6:$E$40,MATCH($D1812,'통합 ④ 설정'!$B$6:$B$40,0)),"")&lt;&gt;"○"),"바우처통장 지출 — 목적 확인",IF($H1812="","적요를 적으십시오",""))))))))))))</f>
        <v/>
      </c>
      <c r="M1812" s="39"/>
      <c r="O1812" s="11" t="str">
        <f aca="false">IF($B1812="","",YEAR($B1812)*100+MONTH($B1812))</f>
        <v/>
      </c>
      <c r="P1812" s="11" t="str">
        <f aca="false">IF($B1812="","",IF($E1812="대체",0,1))</f>
        <v/>
      </c>
    </row>
    <row r="1813" customFormat="false" ht="15" hidden="false" customHeight="false" outlineLevel="0" collapsed="false">
      <c r="A1813" s="36" t="str">
        <f aca="false">IF($B1813="","",COUNT($B$15:$B1813))</f>
        <v/>
      </c>
      <c r="B1813" s="37"/>
      <c r="C1813" s="38"/>
      <c r="D1813" s="39"/>
      <c r="E1813" s="36" t="str">
        <f aca="false">IF($D1813="","",IFERROR(INDEX('통합 ④ 설정'!$A$6:$A$40,MATCH($D1813,'통합 ④ 설정'!$B$6:$B$40,0)),"※없는 과목"))</f>
        <v/>
      </c>
      <c r="F1813" s="36" t="str">
        <f aca="false">IF($D1813="","",IFERROR(INDEX('통합 ④ 설정'!$C$6:$C$40,MATCH($D1813,'통합 ④ 설정'!$B$6:$B$40,0)),""))</f>
        <v/>
      </c>
      <c r="G1813" s="39"/>
      <c r="H1813" s="39"/>
      <c r="I1813" s="40"/>
      <c r="J1813" s="41"/>
      <c r="K1813" s="38"/>
      <c r="L1813" s="42" t="str">
        <f aca="false">IF($B1813="","",IF(AND(N($I1813)=0,N($J1813)=0),"금액이 없습니다",IF(AND($I1813&gt;0,$J1813&gt;0),"수입·지출 둘 다 적혔습니다",IF($C1813="","결제수단을 고르십시오",IF(ISNA(MATCH($C1813,'통합 ③ 통장·카드'!$A$5:$A$11,0)),"③ 통장·카드에 없는 결제수단입니다",IF($D1813="","계정과목을 고르십시오",IF($E1813="※없는 과목","④ 설정에 없는 과목입니다",IF(AND($E1813="수입",$J1813&gt;0),"수입 과목인데 지출에 적혔습니다",IF(AND(LEFT($E1813,2)&lt;&gt;"수입",$E1813&lt;&gt;"대체",$I1813&gt;0),"지출 과목인데 수입에 적혔습니다",IF($K1813="","증빙을 고르십시오",IF(AND($C1813="바우처통장",$J1813&gt;0,IFERROR(INDEX('통합 ④ 설정'!$E$6:$E$40,MATCH($D1813,'통합 ④ 설정'!$B$6:$B$40,0)),"")&lt;&gt;"○"),"바우처통장 지출 — 목적 확인",IF($H1813="","적요를 적으십시오",""))))))))))))</f>
        <v/>
      </c>
      <c r="M1813" s="39"/>
      <c r="O1813" s="11" t="str">
        <f aca="false">IF($B1813="","",YEAR($B1813)*100+MONTH($B1813))</f>
        <v/>
      </c>
      <c r="P1813" s="11" t="str">
        <f aca="false">IF($B1813="","",IF($E1813="대체",0,1))</f>
        <v/>
      </c>
    </row>
    <row r="1814" customFormat="false" ht="15" hidden="false" customHeight="false" outlineLevel="0" collapsed="false">
      <c r="A1814" s="36" t="str">
        <f aca="false">IF($B1814="","",COUNT($B$15:$B1814))</f>
        <v/>
      </c>
      <c r="B1814" s="37"/>
      <c r="C1814" s="38"/>
      <c r="D1814" s="39"/>
      <c r="E1814" s="36" t="str">
        <f aca="false">IF($D1814="","",IFERROR(INDEX('통합 ④ 설정'!$A$6:$A$40,MATCH($D1814,'통합 ④ 설정'!$B$6:$B$40,0)),"※없는 과목"))</f>
        <v/>
      </c>
      <c r="F1814" s="36" t="str">
        <f aca="false">IF($D1814="","",IFERROR(INDEX('통합 ④ 설정'!$C$6:$C$40,MATCH($D1814,'통합 ④ 설정'!$B$6:$B$40,0)),""))</f>
        <v/>
      </c>
      <c r="G1814" s="39"/>
      <c r="H1814" s="39"/>
      <c r="I1814" s="40"/>
      <c r="J1814" s="41"/>
      <c r="K1814" s="38"/>
      <c r="L1814" s="42" t="str">
        <f aca="false">IF($B1814="","",IF(AND(N($I1814)=0,N($J1814)=0),"금액이 없습니다",IF(AND($I1814&gt;0,$J1814&gt;0),"수입·지출 둘 다 적혔습니다",IF($C1814="","결제수단을 고르십시오",IF(ISNA(MATCH($C1814,'통합 ③ 통장·카드'!$A$5:$A$11,0)),"③ 통장·카드에 없는 결제수단입니다",IF($D1814="","계정과목을 고르십시오",IF($E1814="※없는 과목","④ 설정에 없는 과목입니다",IF(AND($E1814="수입",$J1814&gt;0),"수입 과목인데 지출에 적혔습니다",IF(AND(LEFT($E1814,2)&lt;&gt;"수입",$E1814&lt;&gt;"대체",$I1814&gt;0),"지출 과목인데 수입에 적혔습니다",IF($K1814="","증빙을 고르십시오",IF(AND($C1814="바우처통장",$J1814&gt;0,IFERROR(INDEX('통합 ④ 설정'!$E$6:$E$40,MATCH($D1814,'통합 ④ 설정'!$B$6:$B$40,0)),"")&lt;&gt;"○"),"바우처통장 지출 — 목적 확인",IF($H1814="","적요를 적으십시오",""))))))))))))</f>
        <v/>
      </c>
      <c r="M1814" s="39"/>
      <c r="O1814" s="11" t="str">
        <f aca="false">IF($B1814="","",YEAR($B1814)*100+MONTH($B1814))</f>
        <v/>
      </c>
      <c r="P1814" s="11" t="str">
        <f aca="false">IF($B1814="","",IF($E1814="대체",0,1))</f>
        <v/>
      </c>
    </row>
    <row r="1815" customFormat="false" ht="15" hidden="false" customHeight="false" outlineLevel="0" collapsed="false">
      <c r="A1815" s="36" t="str">
        <f aca="false">IF($B1815="","",COUNT($B$15:$B1815))</f>
        <v/>
      </c>
      <c r="B1815" s="37"/>
      <c r="C1815" s="38"/>
      <c r="D1815" s="39"/>
      <c r="E1815" s="36" t="str">
        <f aca="false">IF($D1815="","",IFERROR(INDEX('통합 ④ 설정'!$A$6:$A$40,MATCH($D1815,'통합 ④ 설정'!$B$6:$B$40,0)),"※없는 과목"))</f>
        <v/>
      </c>
      <c r="F1815" s="36" t="str">
        <f aca="false">IF($D1815="","",IFERROR(INDEX('통합 ④ 설정'!$C$6:$C$40,MATCH($D1815,'통합 ④ 설정'!$B$6:$B$40,0)),""))</f>
        <v/>
      </c>
      <c r="G1815" s="39"/>
      <c r="H1815" s="39"/>
      <c r="I1815" s="40"/>
      <c r="J1815" s="41"/>
      <c r="K1815" s="38"/>
      <c r="L1815" s="42" t="str">
        <f aca="false">IF($B1815="","",IF(AND(N($I1815)=0,N($J1815)=0),"금액이 없습니다",IF(AND($I1815&gt;0,$J1815&gt;0),"수입·지출 둘 다 적혔습니다",IF($C1815="","결제수단을 고르십시오",IF(ISNA(MATCH($C1815,'통합 ③ 통장·카드'!$A$5:$A$11,0)),"③ 통장·카드에 없는 결제수단입니다",IF($D1815="","계정과목을 고르십시오",IF($E1815="※없는 과목","④ 설정에 없는 과목입니다",IF(AND($E1815="수입",$J1815&gt;0),"수입 과목인데 지출에 적혔습니다",IF(AND(LEFT($E1815,2)&lt;&gt;"수입",$E1815&lt;&gt;"대체",$I1815&gt;0),"지출 과목인데 수입에 적혔습니다",IF($K1815="","증빙을 고르십시오",IF(AND($C1815="바우처통장",$J1815&gt;0,IFERROR(INDEX('통합 ④ 설정'!$E$6:$E$40,MATCH($D1815,'통합 ④ 설정'!$B$6:$B$40,0)),"")&lt;&gt;"○"),"바우처통장 지출 — 목적 확인",IF($H1815="","적요를 적으십시오",""))))))))))))</f>
        <v/>
      </c>
      <c r="M1815" s="39"/>
      <c r="O1815" s="11" t="str">
        <f aca="false">IF($B1815="","",YEAR($B1815)*100+MONTH($B1815))</f>
        <v/>
      </c>
      <c r="P1815" s="11" t="str">
        <f aca="false">IF($B1815="","",IF($E1815="대체",0,1))</f>
        <v/>
      </c>
    </row>
    <row r="1816" customFormat="false" ht="15" hidden="false" customHeight="false" outlineLevel="0" collapsed="false">
      <c r="A1816" s="36" t="str">
        <f aca="false">IF($B1816="","",COUNT($B$15:$B1816))</f>
        <v/>
      </c>
      <c r="B1816" s="37"/>
      <c r="C1816" s="38"/>
      <c r="D1816" s="39"/>
      <c r="E1816" s="36" t="str">
        <f aca="false">IF($D1816="","",IFERROR(INDEX('통합 ④ 설정'!$A$6:$A$40,MATCH($D1816,'통합 ④ 설정'!$B$6:$B$40,0)),"※없는 과목"))</f>
        <v/>
      </c>
      <c r="F1816" s="36" t="str">
        <f aca="false">IF($D1816="","",IFERROR(INDEX('통합 ④ 설정'!$C$6:$C$40,MATCH($D1816,'통합 ④ 설정'!$B$6:$B$40,0)),""))</f>
        <v/>
      </c>
      <c r="G1816" s="39"/>
      <c r="H1816" s="39"/>
      <c r="I1816" s="40"/>
      <c r="J1816" s="41"/>
      <c r="K1816" s="38"/>
      <c r="L1816" s="42" t="str">
        <f aca="false">IF($B1816="","",IF(AND(N($I1816)=0,N($J1816)=0),"금액이 없습니다",IF(AND($I1816&gt;0,$J1816&gt;0),"수입·지출 둘 다 적혔습니다",IF($C1816="","결제수단을 고르십시오",IF(ISNA(MATCH($C1816,'통합 ③ 통장·카드'!$A$5:$A$11,0)),"③ 통장·카드에 없는 결제수단입니다",IF($D1816="","계정과목을 고르십시오",IF($E1816="※없는 과목","④ 설정에 없는 과목입니다",IF(AND($E1816="수입",$J1816&gt;0),"수입 과목인데 지출에 적혔습니다",IF(AND(LEFT($E1816,2)&lt;&gt;"수입",$E1816&lt;&gt;"대체",$I1816&gt;0),"지출 과목인데 수입에 적혔습니다",IF($K1816="","증빙을 고르십시오",IF(AND($C1816="바우처통장",$J1816&gt;0,IFERROR(INDEX('통합 ④ 설정'!$E$6:$E$40,MATCH($D1816,'통합 ④ 설정'!$B$6:$B$40,0)),"")&lt;&gt;"○"),"바우처통장 지출 — 목적 확인",IF($H1816="","적요를 적으십시오",""))))))))))))</f>
        <v/>
      </c>
      <c r="M1816" s="39"/>
      <c r="O1816" s="11" t="str">
        <f aca="false">IF($B1816="","",YEAR($B1816)*100+MONTH($B1816))</f>
        <v/>
      </c>
      <c r="P1816" s="11" t="str">
        <f aca="false">IF($B1816="","",IF($E1816="대체",0,1))</f>
        <v/>
      </c>
    </row>
    <row r="1817" customFormat="false" ht="15" hidden="false" customHeight="false" outlineLevel="0" collapsed="false">
      <c r="A1817" s="36" t="str">
        <f aca="false">IF($B1817="","",COUNT($B$15:$B1817))</f>
        <v/>
      </c>
      <c r="B1817" s="37"/>
      <c r="C1817" s="38"/>
      <c r="D1817" s="39"/>
      <c r="E1817" s="36" t="str">
        <f aca="false">IF($D1817="","",IFERROR(INDEX('통합 ④ 설정'!$A$6:$A$40,MATCH($D1817,'통합 ④ 설정'!$B$6:$B$40,0)),"※없는 과목"))</f>
        <v/>
      </c>
      <c r="F1817" s="36" t="str">
        <f aca="false">IF($D1817="","",IFERROR(INDEX('통합 ④ 설정'!$C$6:$C$40,MATCH($D1817,'통합 ④ 설정'!$B$6:$B$40,0)),""))</f>
        <v/>
      </c>
      <c r="G1817" s="39"/>
      <c r="H1817" s="39"/>
      <c r="I1817" s="40"/>
      <c r="J1817" s="41"/>
      <c r="K1817" s="38"/>
      <c r="L1817" s="42" t="str">
        <f aca="false">IF($B1817="","",IF(AND(N($I1817)=0,N($J1817)=0),"금액이 없습니다",IF(AND($I1817&gt;0,$J1817&gt;0),"수입·지출 둘 다 적혔습니다",IF($C1817="","결제수단을 고르십시오",IF(ISNA(MATCH($C1817,'통합 ③ 통장·카드'!$A$5:$A$11,0)),"③ 통장·카드에 없는 결제수단입니다",IF($D1817="","계정과목을 고르십시오",IF($E1817="※없는 과목","④ 설정에 없는 과목입니다",IF(AND($E1817="수입",$J1817&gt;0),"수입 과목인데 지출에 적혔습니다",IF(AND(LEFT($E1817,2)&lt;&gt;"수입",$E1817&lt;&gt;"대체",$I1817&gt;0),"지출 과목인데 수입에 적혔습니다",IF($K1817="","증빙을 고르십시오",IF(AND($C1817="바우처통장",$J1817&gt;0,IFERROR(INDEX('통합 ④ 설정'!$E$6:$E$40,MATCH($D1817,'통합 ④ 설정'!$B$6:$B$40,0)),"")&lt;&gt;"○"),"바우처통장 지출 — 목적 확인",IF($H1817="","적요를 적으십시오",""))))))))))))</f>
        <v/>
      </c>
      <c r="M1817" s="39"/>
      <c r="O1817" s="11" t="str">
        <f aca="false">IF($B1817="","",YEAR($B1817)*100+MONTH($B1817))</f>
        <v/>
      </c>
      <c r="P1817" s="11" t="str">
        <f aca="false">IF($B1817="","",IF($E1817="대체",0,1))</f>
        <v/>
      </c>
    </row>
    <row r="1818" customFormat="false" ht="15" hidden="false" customHeight="false" outlineLevel="0" collapsed="false">
      <c r="A1818" s="36" t="str">
        <f aca="false">IF($B1818="","",COUNT($B$15:$B1818))</f>
        <v/>
      </c>
      <c r="B1818" s="37"/>
      <c r="C1818" s="38"/>
      <c r="D1818" s="39"/>
      <c r="E1818" s="36" t="str">
        <f aca="false">IF($D1818="","",IFERROR(INDEX('통합 ④ 설정'!$A$6:$A$40,MATCH($D1818,'통합 ④ 설정'!$B$6:$B$40,0)),"※없는 과목"))</f>
        <v/>
      </c>
      <c r="F1818" s="36" t="str">
        <f aca="false">IF($D1818="","",IFERROR(INDEX('통합 ④ 설정'!$C$6:$C$40,MATCH($D1818,'통합 ④ 설정'!$B$6:$B$40,0)),""))</f>
        <v/>
      </c>
      <c r="G1818" s="39"/>
      <c r="H1818" s="39"/>
      <c r="I1818" s="40"/>
      <c r="J1818" s="41"/>
      <c r="K1818" s="38"/>
      <c r="L1818" s="42" t="str">
        <f aca="false">IF($B1818="","",IF(AND(N($I1818)=0,N($J1818)=0),"금액이 없습니다",IF(AND($I1818&gt;0,$J1818&gt;0),"수입·지출 둘 다 적혔습니다",IF($C1818="","결제수단을 고르십시오",IF(ISNA(MATCH($C1818,'통합 ③ 통장·카드'!$A$5:$A$11,0)),"③ 통장·카드에 없는 결제수단입니다",IF($D1818="","계정과목을 고르십시오",IF($E1818="※없는 과목","④ 설정에 없는 과목입니다",IF(AND($E1818="수입",$J1818&gt;0),"수입 과목인데 지출에 적혔습니다",IF(AND(LEFT($E1818,2)&lt;&gt;"수입",$E1818&lt;&gt;"대체",$I1818&gt;0),"지출 과목인데 수입에 적혔습니다",IF($K1818="","증빙을 고르십시오",IF(AND($C1818="바우처통장",$J1818&gt;0,IFERROR(INDEX('통합 ④ 설정'!$E$6:$E$40,MATCH($D1818,'통합 ④ 설정'!$B$6:$B$40,0)),"")&lt;&gt;"○"),"바우처통장 지출 — 목적 확인",IF($H1818="","적요를 적으십시오",""))))))))))))</f>
        <v/>
      </c>
      <c r="M1818" s="39"/>
      <c r="O1818" s="11" t="str">
        <f aca="false">IF($B1818="","",YEAR($B1818)*100+MONTH($B1818))</f>
        <v/>
      </c>
      <c r="P1818" s="11" t="str">
        <f aca="false">IF($B1818="","",IF($E1818="대체",0,1))</f>
        <v/>
      </c>
    </row>
    <row r="1819" customFormat="false" ht="15" hidden="false" customHeight="false" outlineLevel="0" collapsed="false">
      <c r="A1819" s="36" t="str">
        <f aca="false">IF($B1819="","",COUNT($B$15:$B1819))</f>
        <v/>
      </c>
      <c r="B1819" s="37"/>
      <c r="C1819" s="38"/>
      <c r="D1819" s="39"/>
      <c r="E1819" s="36" t="str">
        <f aca="false">IF($D1819="","",IFERROR(INDEX('통합 ④ 설정'!$A$6:$A$40,MATCH($D1819,'통합 ④ 설정'!$B$6:$B$40,0)),"※없는 과목"))</f>
        <v/>
      </c>
      <c r="F1819" s="36" t="str">
        <f aca="false">IF($D1819="","",IFERROR(INDEX('통합 ④ 설정'!$C$6:$C$40,MATCH($D1819,'통합 ④ 설정'!$B$6:$B$40,0)),""))</f>
        <v/>
      </c>
      <c r="G1819" s="39"/>
      <c r="H1819" s="39"/>
      <c r="I1819" s="40"/>
      <c r="J1819" s="41"/>
      <c r="K1819" s="38"/>
      <c r="L1819" s="42" t="str">
        <f aca="false">IF($B1819="","",IF(AND(N($I1819)=0,N($J1819)=0),"금액이 없습니다",IF(AND($I1819&gt;0,$J1819&gt;0),"수입·지출 둘 다 적혔습니다",IF($C1819="","결제수단을 고르십시오",IF(ISNA(MATCH($C1819,'통합 ③ 통장·카드'!$A$5:$A$11,0)),"③ 통장·카드에 없는 결제수단입니다",IF($D1819="","계정과목을 고르십시오",IF($E1819="※없는 과목","④ 설정에 없는 과목입니다",IF(AND($E1819="수입",$J1819&gt;0),"수입 과목인데 지출에 적혔습니다",IF(AND(LEFT($E1819,2)&lt;&gt;"수입",$E1819&lt;&gt;"대체",$I1819&gt;0),"지출 과목인데 수입에 적혔습니다",IF($K1819="","증빙을 고르십시오",IF(AND($C1819="바우처통장",$J1819&gt;0,IFERROR(INDEX('통합 ④ 설정'!$E$6:$E$40,MATCH($D1819,'통합 ④ 설정'!$B$6:$B$40,0)),"")&lt;&gt;"○"),"바우처통장 지출 — 목적 확인",IF($H1819="","적요를 적으십시오",""))))))))))))</f>
        <v/>
      </c>
      <c r="M1819" s="39"/>
      <c r="O1819" s="11" t="str">
        <f aca="false">IF($B1819="","",YEAR($B1819)*100+MONTH($B1819))</f>
        <v/>
      </c>
      <c r="P1819" s="11" t="str">
        <f aca="false">IF($B1819="","",IF($E1819="대체",0,1))</f>
        <v/>
      </c>
    </row>
    <row r="1820" customFormat="false" ht="15" hidden="false" customHeight="false" outlineLevel="0" collapsed="false">
      <c r="A1820" s="36" t="str">
        <f aca="false">IF($B1820="","",COUNT($B$15:$B1820))</f>
        <v/>
      </c>
      <c r="B1820" s="37"/>
      <c r="C1820" s="38"/>
      <c r="D1820" s="39"/>
      <c r="E1820" s="36" t="str">
        <f aca="false">IF($D1820="","",IFERROR(INDEX('통합 ④ 설정'!$A$6:$A$40,MATCH($D1820,'통합 ④ 설정'!$B$6:$B$40,0)),"※없는 과목"))</f>
        <v/>
      </c>
      <c r="F1820" s="36" t="str">
        <f aca="false">IF($D1820="","",IFERROR(INDEX('통합 ④ 설정'!$C$6:$C$40,MATCH($D1820,'통합 ④ 설정'!$B$6:$B$40,0)),""))</f>
        <v/>
      </c>
      <c r="G1820" s="39"/>
      <c r="H1820" s="39"/>
      <c r="I1820" s="40"/>
      <c r="J1820" s="41"/>
      <c r="K1820" s="38"/>
      <c r="L1820" s="42" t="str">
        <f aca="false">IF($B1820="","",IF(AND(N($I1820)=0,N($J1820)=0),"금액이 없습니다",IF(AND($I1820&gt;0,$J1820&gt;0),"수입·지출 둘 다 적혔습니다",IF($C1820="","결제수단을 고르십시오",IF(ISNA(MATCH($C1820,'통합 ③ 통장·카드'!$A$5:$A$11,0)),"③ 통장·카드에 없는 결제수단입니다",IF($D1820="","계정과목을 고르십시오",IF($E1820="※없는 과목","④ 설정에 없는 과목입니다",IF(AND($E1820="수입",$J1820&gt;0),"수입 과목인데 지출에 적혔습니다",IF(AND(LEFT($E1820,2)&lt;&gt;"수입",$E1820&lt;&gt;"대체",$I1820&gt;0),"지출 과목인데 수입에 적혔습니다",IF($K1820="","증빙을 고르십시오",IF(AND($C1820="바우처통장",$J1820&gt;0,IFERROR(INDEX('통합 ④ 설정'!$E$6:$E$40,MATCH($D1820,'통합 ④ 설정'!$B$6:$B$40,0)),"")&lt;&gt;"○"),"바우처통장 지출 — 목적 확인",IF($H1820="","적요를 적으십시오",""))))))))))))</f>
        <v/>
      </c>
      <c r="M1820" s="39"/>
      <c r="O1820" s="11" t="str">
        <f aca="false">IF($B1820="","",YEAR($B1820)*100+MONTH($B1820))</f>
        <v/>
      </c>
      <c r="P1820" s="11" t="str">
        <f aca="false">IF($B1820="","",IF($E1820="대체",0,1))</f>
        <v/>
      </c>
    </row>
    <row r="1821" customFormat="false" ht="15" hidden="false" customHeight="false" outlineLevel="0" collapsed="false">
      <c r="A1821" s="36" t="str">
        <f aca="false">IF($B1821="","",COUNT($B$15:$B1821))</f>
        <v/>
      </c>
      <c r="B1821" s="37"/>
      <c r="C1821" s="38"/>
      <c r="D1821" s="39"/>
      <c r="E1821" s="36" t="str">
        <f aca="false">IF($D1821="","",IFERROR(INDEX('통합 ④ 설정'!$A$6:$A$40,MATCH($D1821,'통합 ④ 설정'!$B$6:$B$40,0)),"※없는 과목"))</f>
        <v/>
      </c>
      <c r="F1821" s="36" t="str">
        <f aca="false">IF($D1821="","",IFERROR(INDEX('통합 ④ 설정'!$C$6:$C$40,MATCH($D1821,'통합 ④ 설정'!$B$6:$B$40,0)),""))</f>
        <v/>
      </c>
      <c r="G1821" s="39"/>
      <c r="H1821" s="39"/>
      <c r="I1821" s="40"/>
      <c r="J1821" s="41"/>
      <c r="K1821" s="38"/>
      <c r="L1821" s="42" t="str">
        <f aca="false">IF($B1821="","",IF(AND(N($I1821)=0,N($J1821)=0),"금액이 없습니다",IF(AND($I1821&gt;0,$J1821&gt;0),"수입·지출 둘 다 적혔습니다",IF($C1821="","결제수단을 고르십시오",IF(ISNA(MATCH($C1821,'통합 ③ 통장·카드'!$A$5:$A$11,0)),"③ 통장·카드에 없는 결제수단입니다",IF($D1821="","계정과목을 고르십시오",IF($E1821="※없는 과목","④ 설정에 없는 과목입니다",IF(AND($E1821="수입",$J1821&gt;0),"수입 과목인데 지출에 적혔습니다",IF(AND(LEFT($E1821,2)&lt;&gt;"수입",$E1821&lt;&gt;"대체",$I1821&gt;0),"지출 과목인데 수입에 적혔습니다",IF($K1821="","증빙을 고르십시오",IF(AND($C1821="바우처통장",$J1821&gt;0,IFERROR(INDEX('통합 ④ 설정'!$E$6:$E$40,MATCH($D1821,'통합 ④ 설정'!$B$6:$B$40,0)),"")&lt;&gt;"○"),"바우처통장 지출 — 목적 확인",IF($H1821="","적요를 적으십시오",""))))))))))))</f>
        <v/>
      </c>
      <c r="M1821" s="39"/>
      <c r="O1821" s="11" t="str">
        <f aca="false">IF($B1821="","",YEAR($B1821)*100+MONTH($B1821))</f>
        <v/>
      </c>
      <c r="P1821" s="11" t="str">
        <f aca="false">IF($B1821="","",IF($E1821="대체",0,1))</f>
        <v/>
      </c>
    </row>
    <row r="1822" customFormat="false" ht="15" hidden="false" customHeight="false" outlineLevel="0" collapsed="false">
      <c r="A1822" s="36" t="str">
        <f aca="false">IF($B1822="","",COUNT($B$15:$B1822))</f>
        <v/>
      </c>
      <c r="B1822" s="37"/>
      <c r="C1822" s="38"/>
      <c r="D1822" s="39"/>
      <c r="E1822" s="36" t="str">
        <f aca="false">IF($D1822="","",IFERROR(INDEX('통합 ④ 설정'!$A$6:$A$40,MATCH($D1822,'통합 ④ 설정'!$B$6:$B$40,0)),"※없는 과목"))</f>
        <v/>
      </c>
      <c r="F1822" s="36" t="str">
        <f aca="false">IF($D1822="","",IFERROR(INDEX('통합 ④ 설정'!$C$6:$C$40,MATCH($D1822,'통합 ④ 설정'!$B$6:$B$40,0)),""))</f>
        <v/>
      </c>
      <c r="G1822" s="39"/>
      <c r="H1822" s="39"/>
      <c r="I1822" s="40"/>
      <c r="J1822" s="41"/>
      <c r="K1822" s="38"/>
      <c r="L1822" s="42" t="str">
        <f aca="false">IF($B1822="","",IF(AND(N($I1822)=0,N($J1822)=0),"금액이 없습니다",IF(AND($I1822&gt;0,$J1822&gt;0),"수입·지출 둘 다 적혔습니다",IF($C1822="","결제수단을 고르십시오",IF(ISNA(MATCH($C1822,'통합 ③ 통장·카드'!$A$5:$A$11,0)),"③ 통장·카드에 없는 결제수단입니다",IF($D1822="","계정과목을 고르십시오",IF($E1822="※없는 과목","④ 설정에 없는 과목입니다",IF(AND($E1822="수입",$J1822&gt;0),"수입 과목인데 지출에 적혔습니다",IF(AND(LEFT($E1822,2)&lt;&gt;"수입",$E1822&lt;&gt;"대체",$I1822&gt;0),"지출 과목인데 수입에 적혔습니다",IF($K1822="","증빙을 고르십시오",IF(AND($C1822="바우처통장",$J1822&gt;0,IFERROR(INDEX('통합 ④ 설정'!$E$6:$E$40,MATCH($D1822,'통합 ④ 설정'!$B$6:$B$40,0)),"")&lt;&gt;"○"),"바우처통장 지출 — 목적 확인",IF($H1822="","적요를 적으십시오",""))))))))))))</f>
        <v/>
      </c>
      <c r="M1822" s="39"/>
      <c r="O1822" s="11" t="str">
        <f aca="false">IF($B1822="","",YEAR($B1822)*100+MONTH($B1822))</f>
        <v/>
      </c>
      <c r="P1822" s="11" t="str">
        <f aca="false">IF($B1822="","",IF($E1822="대체",0,1))</f>
        <v/>
      </c>
    </row>
    <row r="1823" customFormat="false" ht="15" hidden="false" customHeight="false" outlineLevel="0" collapsed="false">
      <c r="A1823" s="36" t="str">
        <f aca="false">IF($B1823="","",COUNT($B$15:$B1823))</f>
        <v/>
      </c>
      <c r="B1823" s="37"/>
      <c r="C1823" s="38"/>
      <c r="D1823" s="39"/>
      <c r="E1823" s="36" t="str">
        <f aca="false">IF($D1823="","",IFERROR(INDEX('통합 ④ 설정'!$A$6:$A$40,MATCH($D1823,'통합 ④ 설정'!$B$6:$B$40,0)),"※없는 과목"))</f>
        <v/>
      </c>
      <c r="F1823" s="36" t="str">
        <f aca="false">IF($D1823="","",IFERROR(INDEX('통합 ④ 설정'!$C$6:$C$40,MATCH($D1823,'통합 ④ 설정'!$B$6:$B$40,0)),""))</f>
        <v/>
      </c>
      <c r="G1823" s="39"/>
      <c r="H1823" s="39"/>
      <c r="I1823" s="40"/>
      <c r="J1823" s="41"/>
      <c r="K1823" s="38"/>
      <c r="L1823" s="42" t="str">
        <f aca="false">IF($B1823="","",IF(AND(N($I1823)=0,N($J1823)=0),"금액이 없습니다",IF(AND($I1823&gt;0,$J1823&gt;0),"수입·지출 둘 다 적혔습니다",IF($C1823="","결제수단을 고르십시오",IF(ISNA(MATCH($C1823,'통합 ③ 통장·카드'!$A$5:$A$11,0)),"③ 통장·카드에 없는 결제수단입니다",IF($D1823="","계정과목을 고르십시오",IF($E1823="※없는 과목","④ 설정에 없는 과목입니다",IF(AND($E1823="수입",$J1823&gt;0),"수입 과목인데 지출에 적혔습니다",IF(AND(LEFT($E1823,2)&lt;&gt;"수입",$E1823&lt;&gt;"대체",$I1823&gt;0),"지출 과목인데 수입에 적혔습니다",IF($K1823="","증빙을 고르십시오",IF(AND($C1823="바우처통장",$J1823&gt;0,IFERROR(INDEX('통합 ④ 설정'!$E$6:$E$40,MATCH($D1823,'통합 ④ 설정'!$B$6:$B$40,0)),"")&lt;&gt;"○"),"바우처통장 지출 — 목적 확인",IF($H1823="","적요를 적으십시오",""))))))))))))</f>
        <v/>
      </c>
      <c r="M1823" s="39"/>
      <c r="O1823" s="11" t="str">
        <f aca="false">IF($B1823="","",YEAR($B1823)*100+MONTH($B1823))</f>
        <v/>
      </c>
      <c r="P1823" s="11" t="str">
        <f aca="false">IF($B1823="","",IF($E1823="대체",0,1))</f>
        <v/>
      </c>
    </row>
    <row r="1824" customFormat="false" ht="15" hidden="false" customHeight="false" outlineLevel="0" collapsed="false">
      <c r="A1824" s="36" t="str">
        <f aca="false">IF($B1824="","",COUNT($B$15:$B1824))</f>
        <v/>
      </c>
      <c r="B1824" s="37"/>
      <c r="C1824" s="38"/>
      <c r="D1824" s="39"/>
      <c r="E1824" s="36" t="str">
        <f aca="false">IF($D1824="","",IFERROR(INDEX('통합 ④ 설정'!$A$6:$A$40,MATCH($D1824,'통합 ④ 설정'!$B$6:$B$40,0)),"※없는 과목"))</f>
        <v/>
      </c>
      <c r="F1824" s="36" t="str">
        <f aca="false">IF($D1824="","",IFERROR(INDEX('통합 ④ 설정'!$C$6:$C$40,MATCH($D1824,'통합 ④ 설정'!$B$6:$B$40,0)),""))</f>
        <v/>
      </c>
      <c r="G1824" s="39"/>
      <c r="H1824" s="39"/>
      <c r="I1824" s="40"/>
      <c r="J1824" s="41"/>
      <c r="K1824" s="38"/>
      <c r="L1824" s="42" t="str">
        <f aca="false">IF($B1824="","",IF(AND(N($I1824)=0,N($J1824)=0),"금액이 없습니다",IF(AND($I1824&gt;0,$J1824&gt;0),"수입·지출 둘 다 적혔습니다",IF($C1824="","결제수단을 고르십시오",IF(ISNA(MATCH($C1824,'통합 ③ 통장·카드'!$A$5:$A$11,0)),"③ 통장·카드에 없는 결제수단입니다",IF($D1824="","계정과목을 고르십시오",IF($E1824="※없는 과목","④ 설정에 없는 과목입니다",IF(AND($E1824="수입",$J1824&gt;0),"수입 과목인데 지출에 적혔습니다",IF(AND(LEFT($E1824,2)&lt;&gt;"수입",$E1824&lt;&gt;"대체",$I1824&gt;0),"지출 과목인데 수입에 적혔습니다",IF($K1824="","증빙을 고르십시오",IF(AND($C1824="바우처통장",$J1824&gt;0,IFERROR(INDEX('통합 ④ 설정'!$E$6:$E$40,MATCH($D1824,'통합 ④ 설정'!$B$6:$B$40,0)),"")&lt;&gt;"○"),"바우처통장 지출 — 목적 확인",IF($H1824="","적요를 적으십시오",""))))))))))))</f>
        <v/>
      </c>
      <c r="M1824" s="39"/>
      <c r="O1824" s="11" t="str">
        <f aca="false">IF($B1824="","",YEAR($B1824)*100+MONTH($B1824))</f>
        <v/>
      </c>
      <c r="P1824" s="11" t="str">
        <f aca="false">IF($B1824="","",IF($E1824="대체",0,1))</f>
        <v/>
      </c>
    </row>
    <row r="1825" customFormat="false" ht="15" hidden="false" customHeight="false" outlineLevel="0" collapsed="false">
      <c r="A1825" s="36" t="str">
        <f aca="false">IF($B1825="","",COUNT($B$15:$B1825))</f>
        <v/>
      </c>
      <c r="B1825" s="37"/>
      <c r="C1825" s="38"/>
      <c r="D1825" s="39"/>
      <c r="E1825" s="36" t="str">
        <f aca="false">IF($D1825="","",IFERROR(INDEX('통합 ④ 설정'!$A$6:$A$40,MATCH($D1825,'통합 ④ 설정'!$B$6:$B$40,0)),"※없는 과목"))</f>
        <v/>
      </c>
      <c r="F1825" s="36" t="str">
        <f aca="false">IF($D1825="","",IFERROR(INDEX('통합 ④ 설정'!$C$6:$C$40,MATCH($D1825,'통합 ④ 설정'!$B$6:$B$40,0)),""))</f>
        <v/>
      </c>
      <c r="G1825" s="39"/>
      <c r="H1825" s="39"/>
      <c r="I1825" s="40"/>
      <c r="J1825" s="41"/>
      <c r="K1825" s="38"/>
      <c r="L1825" s="42" t="str">
        <f aca="false">IF($B1825="","",IF(AND(N($I1825)=0,N($J1825)=0),"금액이 없습니다",IF(AND($I1825&gt;0,$J1825&gt;0),"수입·지출 둘 다 적혔습니다",IF($C1825="","결제수단을 고르십시오",IF(ISNA(MATCH($C1825,'통합 ③ 통장·카드'!$A$5:$A$11,0)),"③ 통장·카드에 없는 결제수단입니다",IF($D1825="","계정과목을 고르십시오",IF($E1825="※없는 과목","④ 설정에 없는 과목입니다",IF(AND($E1825="수입",$J1825&gt;0),"수입 과목인데 지출에 적혔습니다",IF(AND(LEFT($E1825,2)&lt;&gt;"수입",$E1825&lt;&gt;"대체",$I1825&gt;0),"지출 과목인데 수입에 적혔습니다",IF($K1825="","증빙을 고르십시오",IF(AND($C1825="바우처통장",$J1825&gt;0,IFERROR(INDEX('통합 ④ 설정'!$E$6:$E$40,MATCH($D1825,'통합 ④ 설정'!$B$6:$B$40,0)),"")&lt;&gt;"○"),"바우처통장 지출 — 목적 확인",IF($H1825="","적요를 적으십시오",""))))))))))))</f>
        <v/>
      </c>
      <c r="M1825" s="39"/>
      <c r="O1825" s="11" t="str">
        <f aca="false">IF($B1825="","",YEAR($B1825)*100+MONTH($B1825))</f>
        <v/>
      </c>
      <c r="P1825" s="11" t="str">
        <f aca="false">IF($B1825="","",IF($E1825="대체",0,1))</f>
        <v/>
      </c>
    </row>
    <row r="1826" customFormat="false" ht="15" hidden="false" customHeight="false" outlineLevel="0" collapsed="false">
      <c r="A1826" s="36" t="str">
        <f aca="false">IF($B1826="","",COUNT($B$15:$B1826))</f>
        <v/>
      </c>
      <c r="B1826" s="37"/>
      <c r="C1826" s="38"/>
      <c r="D1826" s="39"/>
      <c r="E1826" s="36" t="str">
        <f aca="false">IF($D1826="","",IFERROR(INDEX('통합 ④ 설정'!$A$6:$A$40,MATCH($D1826,'통합 ④ 설정'!$B$6:$B$40,0)),"※없는 과목"))</f>
        <v/>
      </c>
      <c r="F1826" s="36" t="str">
        <f aca="false">IF($D1826="","",IFERROR(INDEX('통합 ④ 설정'!$C$6:$C$40,MATCH($D1826,'통합 ④ 설정'!$B$6:$B$40,0)),""))</f>
        <v/>
      </c>
      <c r="G1826" s="39"/>
      <c r="H1826" s="39"/>
      <c r="I1826" s="40"/>
      <c r="J1826" s="41"/>
      <c r="K1826" s="38"/>
      <c r="L1826" s="42" t="str">
        <f aca="false">IF($B1826="","",IF(AND(N($I1826)=0,N($J1826)=0),"금액이 없습니다",IF(AND($I1826&gt;0,$J1826&gt;0),"수입·지출 둘 다 적혔습니다",IF($C1826="","결제수단을 고르십시오",IF(ISNA(MATCH($C1826,'통합 ③ 통장·카드'!$A$5:$A$11,0)),"③ 통장·카드에 없는 결제수단입니다",IF($D1826="","계정과목을 고르십시오",IF($E1826="※없는 과목","④ 설정에 없는 과목입니다",IF(AND($E1826="수입",$J1826&gt;0),"수입 과목인데 지출에 적혔습니다",IF(AND(LEFT($E1826,2)&lt;&gt;"수입",$E1826&lt;&gt;"대체",$I1826&gt;0),"지출 과목인데 수입에 적혔습니다",IF($K1826="","증빙을 고르십시오",IF(AND($C1826="바우처통장",$J1826&gt;0,IFERROR(INDEX('통합 ④ 설정'!$E$6:$E$40,MATCH($D1826,'통합 ④ 설정'!$B$6:$B$40,0)),"")&lt;&gt;"○"),"바우처통장 지출 — 목적 확인",IF($H1826="","적요를 적으십시오",""))))))))))))</f>
        <v/>
      </c>
      <c r="M1826" s="39"/>
      <c r="O1826" s="11" t="str">
        <f aca="false">IF($B1826="","",YEAR($B1826)*100+MONTH($B1826))</f>
        <v/>
      </c>
      <c r="P1826" s="11" t="str">
        <f aca="false">IF($B1826="","",IF($E1826="대체",0,1))</f>
        <v/>
      </c>
    </row>
    <row r="1827" customFormat="false" ht="15" hidden="false" customHeight="false" outlineLevel="0" collapsed="false">
      <c r="A1827" s="36" t="str">
        <f aca="false">IF($B1827="","",COUNT($B$15:$B1827))</f>
        <v/>
      </c>
      <c r="B1827" s="37"/>
      <c r="C1827" s="38"/>
      <c r="D1827" s="39"/>
      <c r="E1827" s="36" t="str">
        <f aca="false">IF($D1827="","",IFERROR(INDEX('통합 ④ 설정'!$A$6:$A$40,MATCH($D1827,'통합 ④ 설정'!$B$6:$B$40,0)),"※없는 과목"))</f>
        <v/>
      </c>
      <c r="F1827" s="36" t="str">
        <f aca="false">IF($D1827="","",IFERROR(INDEX('통합 ④ 설정'!$C$6:$C$40,MATCH($D1827,'통합 ④ 설정'!$B$6:$B$40,0)),""))</f>
        <v/>
      </c>
      <c r="G1827" s="39"/>
      <c r="H1827" s="39"/>
      <c r="I1827" s="40"/>
      <c r="J1827" s="41"/>
      <c r="K1827" s="38"/>
      <c r="L1827" s="42" t="str">
        <f aca="false">IF($B1827="","",IF(AND(N($I1827)=0,N($J1827)=0),"금액이 없습니다",IF(AND($I1827&gt;0,$J1827&gt;0),"수입·지출 둘 다 적혔습니다",IF($C1827="","결제수단을 고르십시오",IF(ISNA(MATCH($C1827,'통합 ③ 통장·카드'!$A$5:$A$11,0)),"③ 통장·카드에 없는 결제수단입니다",IF($D1827="","계정과목을 고르십시오",IF($E1827="※없는 과목","④ 설정에 없는 과목입니다",IF(AND($E1827="수입",$J1827&gt;0),"수입 과목인데 지출에 적혔습니다",IF(AND(LEFT($E1827,2)&lt;&gt;"수입",$E1827&lt;&gt;"대체",$I1827&gt;0),"지출 과목인데 수입에 적혔습니다",IF($K1827="","증빙을 고르십시오",IF(AND($C1827="바우처통장",$J1827&gt;0,IFERROR(INDEX('통합 ④ 설정'!$E$6:$E$40,MATCH($D1827,'통합 ④ 설정'!$B$6:$B$40,0)),"")&lt;&gt;"○"),"바우처통장 지출 — 목적 확인",IF($H1827="","적요를 적으십시오",""))))))))))))</f>
        <v/>
      </c>
      <c r="M1827" s="39"/>
      <c r="O1827" s="11" t="str">
        <f aca="false">IF($B1827="","",YEAR($B1827)*100+MONTH($B1827))</f>
        <v/>
      </c>
      <c r="P1827" s="11" t="str">
        <f aca="false">IF($B1827="","",IF($E1827="대체",0,1))</f>
        <v/>
      </c>
    </row>
    <row r="1828" customFormat="false" ht="15" hidden="false" customHeight="false" outlineLevel="0" collapsed="false">
      <c r="A1828" s="36" t="str">
        <f aca="false">IF($B1828="","",COUNT($B$15:$B1828))</f>
        <v/>
      </c>
      <c r="B1828" s="37"/>
      <c r="C1828" s="38"/>
      <c r="D1828" s="39"/>
      <c r="E1828" s="36" t="str">
        <f aca="false">IF($D1828="","",IFERROR(INDEX('통합 ④ 설정'!$A$6:$A$40,MATCH($D1828,'통합 ④ 설정'!$B$6:$B$40,0)),"※없는 과목"))</f>
        <v/>
      </c>
      <c r="F1828" s="36" t="str">
        <f aca="false">IF($D1828="","",IFERROR(INDEX('통합 ④ 설정'!$C$6:$C$40,MATCH($D1828,'통합 ④ 설정'!$B$6:$B$40,0)),""))</f>
        <v/>
      </c>
      <c r="G1828" s="39"/>
      <c r="H1828" s="39"/>
      <c r="I1828" s="40"/>
      <c r="J1828" s="41"/>
      <c r="K1828" s="38"/>
      <c r="L1828" s="42" t="str">
        <f aca="false">IF($B1828="","",IF(AND(N($I1828)=0,N($J1828)=0),"금액이 없습니다",IF(AND($I1828&gt;0,$J1828&gt;0),"수입·지출 둘 다 적혔습니다",IF($C1828="","결제수단을 고르십시오",IF(ISNA(MATCH($C1828,'통합 ③ 통장·카드'!$A$5:$A$11,0)),"③ 통장·카드에 없는 결제수단입니다",IF($D1828="","계정과목을 고르십시오",IF($E1828="※없는 과목","④ 설정에 없는 과목입니다",IF(AND($E1828="수입",$J1828&gt;0),"수입 과목인데 지출에 적혔습니다",IF(AND(LEFT($E1828,2)&lt;&gt;"수입",$E1828&lt;&gt;"대체",$I1828&gt;0),"지출 과목인데 수입에 적혔습니다",IF($K1828="","증빙을 고르십시오",IF(AND($C1828="바우처통장",$J1828&gt;0,IFERROR(INDEX('통합 ④ 설정'!$E$6:$E$40,MATCH($D1828,'통합 ④ 설정'!$B$6:$B$40,0)),"")&lt;&gt;"○"),"바우처통장 지출 — 목적 확인",IF($H1828="","적요를 적으십시오",""))))))))))))</f>
        <v/>
      </c>
      <c r="M1828" s="39"/>
      <c r="O1828" s="11" t="str">
        <f aca="false">IF($B1828="","",YEAR($B1828)*100+MONTH($B1828))</f>
        <v/>
      </c>
      <c r="P1828" s="11" t="str">
        <f aca="false">IF($B1828="","",IF($E1828="대체",0,1))</f>
        <v/>
      </c>
    </row>
    <row r="1829" customFormat="false" ht="15" hidden="false" customHeight="false" outlineLevel="0" collapsed="false">
      <c r="A1829" s="36" t="str">
        <f aca="false">IF($B1829="","",COUNT($B$15:$B1829))</f>
        <v/>
      </c>
      <c r="B1829" s="37"/>
      <c r="C1829" s="38"/>
      <c r="D1829" s="39"/>
      <c r="E1829" s="36" t="str">
        <f aca="false">IF($D1829="","",IFERROR(INDEX('통합 ④ 설정'!$A$6:$A$40,MATCH($D1829,'통합 ④ 설정'!$B$6:$B$40,0)),"※없는 과목"))</f>
        <v/>
      </c>
      <c r="F1829" s="36" t="str">
        <f aca="false">IF($D1829="","",IFERROR(INDEX('통합 ④ 설정'!$C$6:$C$40,MATCH($D1829,'통합 ④ 설정'!$B$6:$B$40,0)),""))</f>
        <v/>
      </c>
      <c r="G1829" s="39"/>
      <c r="H1829" s="39"/>
      <c r="I1829" s="40"/>
      <c r="J1829" s="41"/>
      <c r="K1829" s="38"/>
      <c r="L1829" s="42" t="str">
        <f aca="false">IF($B1829="","",IF(AND(N($I1829)=0,N($J1829)=0),"금액이 없습니다",IF(AND($I1829&gt;0,$J1829&gt;0),"수입·지출 둘 다 적혔습니다",IF($C1829="","결제수단을 고르십시오",IF(ISNA(MATCH($C1829,'통합 ③ 통장·카드'!$A$5:$A$11,0)),"③ 통장·카드에 없는 결제수단입니다",IF($D1829="","계정과목을 고르십시오",IF($E1829="※없는 과목","④ 설정에 없는 과목입니다",IF(AND($E1829="수입",$J1829&gt;0),"수입 과목인데 지출에 적혔습니다",IF(AND(LEFT($E1829,2)&lt;&gt;"수입",$E1829&lt;&gt;"대체",$I1829&gt;0),"지출 과목인데 수입에 적혔습니다",IF($K1829="","증빙을 고르십시오",IF(AND($C1829="바우처통장",$J1829&gt;0,IFERROR(INDEX('통합 ④ 설정'!$E$6:$E$40,MATCH($D1829,'통합 ④ 설정'!$B$6:$B$40,0)),"")&lt;&gt;"○"),"바우처통장 지출 — 목적 확인",IF($H1829="","적요를 적으십시오",""))))))))))))</f>
        <v/>
      </c>
      <c r="M1829" s="39"/>
      <c r="O1829" s="11" t="str">
        <f aca="false">IF($B1829="","",YEAR($B1829)*100+MONTH($B1829))</f>
        <v/>
      </c>
      <c r="P1829" s="11" t="str">
        <f aca="false">IF($B1829="","",IF($E1829="대체",0,1))</f>
        <v/>
      </c>
    </row>
    <row r="1830" customFormat="false" ht="15" hidden="false" customHeight="false" outlineLevel="0" collapsed="false">
      <c r="A1830" s="36" t="str">
        <f aca="false">IF($B1830="","",COUNT($B$15:$B1830))</f>
        <v/>
      </c>
      <c r="B1830" s="37"/>
      <c r="C1830" s="38"/>
      <c r="D1830" s="39"/>
      <c r="E1830" s="36" t="str">
        <f aca="false">IF($D1830="","",IFERROR(INDEX('통합 ④ 설정'!$A$6:$A$40,MATCH($D1830,'통합 ④ 설정'!$B$6:$B$40,0)),"※없는 과목"))</f>
        <v/>
      </c>
      <c r="F1830" s="36" t="str">
        <f aca="false">IF($D1830="","",IFERROR(INDEX('통합 ④ 설정'!$C$6:$C$40,MATCH($D1830,'통합 ④ 설정'!$B$6:$B$40,0)),""))</f>
        <v/>
      </c>
      <c r="G1830" s="39"/>
      <c r="H1830" s="39"/>
      <c r="I1830" s="40"/>
      <c r="J1830" s="41"/>
      <c r="K1830" s="38"/>
      <c r="L1830" s="42" t="str">
        <f aca="false">IF($B1830="","",IF(AND(N($I1830)=0,N($J1830)=0),"금액이 없습니다",IF(AND($I1830&gt;0,$J1830&gt;0),"수입·지출 둘 다 적혔습니다",IF($C1830="","결제수단을 고르십시오",IF(ISNA(MATCH($C1830,'통합 ③ 통장·카드'!$A$5:$A$11,0)),"③ 통장·카드에 없는 결제수단입니다",IF($D1830="","계정과목을 고르십시오",IF($E1830="※없는 과목","④ 설정에 없는 과목입니다",IF(AND($E1830="수입",$J1830&gt;0),"수입 과목인데 지출에 적혔습니다",IF(AND(LEFT($E1830,2)&lt;&gt;"수입",$E1830&lt;&gt;"대체",$I1830&gt;0),"지출 과목인데 수입에 적혔습니다",IF($K1830="","증빙을 고르십시오",IF(AND($C1830="바우처통장",$J1830&gt;0,IFERROR(INDEX('통합 ④ 설정'!$E$6:$E$40,MATCH($D1830,'통합 ④ 설정'!$B$6:$B$40,0)),"")&lt;&gt;"○"),"바우처통장 지출 — 목적 확인",IF($H1830="","적요를 적으십시오",""))))))))))))</f>
        <v/>
      </c>
      <c r="M1830" s="39"/>
      <c r="O1830" s="11" t="str">
        <f aca="false">IF($B1830="","",YEAR($B1830)*100+MONTH($B1830))</f>
        <v/>
      </c>
      <c r="P1830" s="11" t="str">
        <f aca="false">IF($B1830="","",IF($E1830="대체",0,1))</f>
        <v/>
      </c>
    </row>
    <row r="1831" customFormat="false" ht="15" hidden="false" customHeight="false" outlineLevel="0" collapsed="false">
      <c r="A1831" s="36" t="str">
        <f aca="false">IF($B1831="","",COUNT($B$15:$B1831))</f>
        <v/>
      </c>
      <c r="B1831" s="37"/>
      <c r="C1831" s="38"/>
      <c r="D1831" s="39"/>
      <c r="E1831" s="36" t="str">
        <f aca="false">IF($D1831="","",IFERROR(INDEX('통합 ④ 설정'!$A$6:$A$40,MATCH($D1831,'통합 ④ 설정'!$B$6:$B$40,0)),"※없는 과목"))</f>
        <v/>
      </c>
      <c r="F1831" s="36" t="str">
        <f aca="false">IF($D1831="","",IFERROR(INDEX('통합 ④ 설정'!$C$6:$C$40,MATCH($D1831,'통합 ④ 설정'!$B$6:$B$40,0)),""))</f>
        <v/>
      </c>
      <c r="G1831" s="39"/>
      <c r="H1831" s="39"/>
      <c r="I1831" s="40"/>
      <c r="J1831" s="41"/>
      <c r="K1831" s="38"/>
      <c r="L1831" s="42" t="str">
        <f aca="false">IF($B1831="","",IF(AND(N($I1831)=0,N($J1831)=0),"금액이 없습니다",IF(AND($I1831&gt;0,$J1831&gt;0),"수입·지출 둘 다 적혔습니다",IF($C1831="","결제수단을 고르십시오",IF(ISNA(MATCH($C1831,'통합 ③ 통장·카드'!$A$5:$A$11,0)),"③ 통장·카드에 없는 결제수단입니다",IF($D1831="","계정과목을 고르십시오",IF($E1831="※없는 과목","④ 설정에 없는 과목입니다",IF(AND($E1831="수입",$J1831&gt;0),"수입 과목인데 지출에 적혔습니다",IF(AND(LEFT($E1831,2)&lt;&gt;"수입",$E1831&lt;&gt;"대체",$I1831&gt;0),"지출 과목인데 수입에 적혔습니다",IF($K1831="","증빙을 고르십시오",IF(AND($C1831="바우처통장",$J1831&gt;0,IFERROR(INDEX('통합 ④ 설정'!$E$6:$E$40,MATCH($D1831,'통합 ④ 설정'!$B$6:$B$40,0)),"")&lt;&gt;"○"),"바우처통장 지출 — 목적 확인",IF($H1831="","적요를 적으십시오",""))))))))))))</f>
        <v/>
      </c>
      <c r="M1831" s="39"/>
      <c r="O1831" s="11" t="str">
        <f aca="false">IF($B1831="","",YEAR($B1831)*100+MONTH($B1831))</f>
        <v/>
      </c>
      <c r="P1831" s="11" t="str">
        <f aca="false">IF($B1831="","",IF($E1831="대체",0,1))</f>
        <v/>
      </c>
    </row>
    <row r="1832" customFormat="false" ht="15" hidden="false" customHeight="false" outlineLevel="0" collapsed="false">
      <c r="A1832" s="36" t="str">
        <f aca="false">IF($B1832="","",COUNT($B$15:$B1832))</f>
        <v/>
      </c>
      <c r="B1832" s="37"/>
      <c r="C1832" s="38"/>
      <c r="D1832" s="39"/>
      <c r="E1832" s="36" t="str">
        <f aca="false">IF($D1832="","",IFERROR(INDEX('통합 ④ 설정'!$A$6:$A$40,MATCH($D1832,'통합 ④ 설정'!$B$6:$B$40,0)),"※없는 과목"))</f>
        <v/>
      </c>
      <c r="F1832" s="36" t="str">
        <f aca="false">IF($D1832="","",IFERROR(INDEX('통합 ④ 설정'!$C$6:$C$40,MATCH($D1832,'통합 ④ 설정'!$B$6:$B$40,0)),""))</f>
        <v/>
      </c>
      <c r="G1832" s="39"/>
      <c r="H1832" s="39"/>
      <c r="I1832" s="40"/>
      <c r="J1832" s="41"/>
      <c r="K1832" s="38"/>
      <c r="L1832" s="42" t="str">
        <f aca="false">IF($B1832="","",IF(AND(N($I1832)=0,N($J1832)=0),"금액이 없습니다",IF(AND($I1832&gt;0,$J1832&gt;0),"수입·지출 둘 다 적혔습니다",IF($C1832="","결제수단을 고르십시오",IF(ISNA(MATCH($C1832,'통합 ③ 통장·카드'!$A$5:$A$11,0)),"③ 통장·카드에 없는 결제수단입니다",IF($D1832="","계정과목을 고르십시오",IF($E1832="※없는 과목","④ 설정에 없는 과목입니다",IF(AND($E1832="수입",$J1832&gt;0),"수입 과목인데 지출에 적혔습니다",IF(AND(LEFT($E1832,2)&lt;&gt;"수입",$E1832&lt;&gt;"대체",$I1832&gt;0),"지출 과목인데 수입에 적혔습니다",IF($K1832="","증빙을 고르십시오",IF(AND($C1832="바우처통장",$J1832&gt;0,IFERROR(INDEX('통합 ④ 설정'!$E$6:$E$40,MATCH($D1832,'통합 ④ 설정'!$B$6:$B$40,0)),"")&lt;&gt;"○"),"바우처통장 지출 — 목적 확인",IF($H1832="","적요를 적으십시오",""))))))))))))</f>
        <v/>
      </c>
      <c r="M1832" s="39"/>
      <c r="O1832" s="11" t="str">
        <f aca="false">IF($B1832="","",YEAR($B1832)*100+MONTH($B1832))</f>
        <v/>
      </c>
      <c r="P1832" s="11" t="str">
        <f aca="false">IF($B1832="","",IF($E1832="대체",0,1))</f>
        <v/>
      </c>
    </row>
    <row r="1833" customFormat="false" ht="15" hidden="false" customHeight="false" outlineLevel="0" collapsed="false">
      <c r="A1833" s="36" t="str">
        <f aca="false">IF($B1833="","",COUNT($B$15:$B1833))</f>
        <v/>
      </c>
      <c r="B1833" s="37"/>
      <c r="C1833" s="38"/>
      <c r="D1833" s="39"/>
      <c r="E1833" s="36" t="str">
        <f aca="false">IF($D1833="","",IFERROR(INDEX('통합 ④ 설정'!$A$6:$A$40,MATCH($D1833,'통합 ④ 설정'!$B$6:$B$40,0)),"※없는 과목"))</f>
        <v/>
      </c>
      <c r="F1833" s="36" t="str">
        <f aca="false">IF($D1833="","",IFERROR(INDEX('통합 ④ 설정'!$C$6:$C$40,MATCH($D1833,'통합 ④ 설정'!$B$6:$B$40,0)),""))</f>
        <v/>
      </c>
      <c r="G1833" s="39"/>
      <c r="H1833" s="39"/>
      <c r="I1833" s="40"/>
      <c r="J1833" s="41"/>
      <c r="K1833" s="38"/>
      <c r="L1833" s="42" t="str">
        <f aca="false">IF($B1833="","",IF(AND(N($I1833)=0,N($J1833)=0),"금액이 없습니다",IF(AND($I1833&gt;0,$J1833&gt;0),"수입·지출 둘 다 적혔습니다",IF($C1833="","결제수단을 고르십시오",IF(ISNA(MATCH($C1833,'통합 ③ 통장·카드'!$A$5:$A$11,0)),"③ 통장·카드에 없는 결제수단입니다",IF($D1833="","계정과목을 고르십시오",IF($E1833="※없는 과목","④ 설정에 없는 과목입니다",IF(AND($E1833="수입",$J1833&gt;0),"수입 과목인데 지출에 적혔습니다",IF(AND(LEFT($E1833,2)&lt;&gt;"수입",$E1833&lt;&gt;"대체",$I1833&gt;0),"지출 과목인데 수입에 적혔습니다",IF($K1833="","증빙을 고르십시오",IF(AND($C1833="바우처통장",$J1833&gt;0,IFERROR(INDEX('통합 ④ 설정'!$E$6:$E$40,MATCH($D1833,'통합 ④ 설정'!$B$6:$B$40,0)),"")&lt;&gt;"○"),"바우처통장 지출 — 목적 확인",IF($H1833="","적요를 적으십시오",""))))))))))))</f>
        <v/>
      </c>
      <c r="M1833" s="39"/>
      <c r="O1833" s="11" t="str">
        <f aca="false">IF($B1833="","",YEAR($B1833)*100+MONTH($B1833))</f>
        <v/>
      </c>
      <c r="P1833" s="11" t="str">
        <f aca="false">IF($B1833="","",IF($E1833="대체",0,1))</f>
        <v/>
      </c>
    </row>
    <row r="1834" customFormat="false" ht="15" hidden="false" customHeight="false" outlineLevel="0" collapsed="false">
      <c r="A1834" s="36" t="str">
        <f aca="false">IF($B1834="","",COUNT($B$15:$B1834))</f>
        <v/>
      </c>
      <c r="B1834" s="37"/>
      <c r="C1834" s="38"/>
      <c r="D1834" s="39"/>
      <c r="E1834" s="36" t="str">
        <f aca="false">IF($D1834="","",IFERROR(INDEX('통합 ④ 설정'!$A$6:$A$40,MATCH($D1834,'통합 ④ 설정'!$B$6:$B$40,0)),"※없는 과목"))</f>
        <v/>
      </c>
      <c r="F1834" s="36" t="str">
        <f aca="false">IF($D1834="","",IFERROR(INDEX('통합 ④ 설정'!$C$6:$C$40,MATCH($D1834,'통합 ④ 설정'!$B$6:$B$40,0)),""))</f>
        <v/>
      </c>
      <c r="G1834" s="39"/>
      <c r="H1834" s="39"/>
      <c r="I1834" s="40"/>
      <c r="J1834" s="41"/>
      <c r="K1834" s="38"/>
      <c r="L1834" s="42" t="str">
        <f aca="false">IF($B1834="","",IF(AND(N($I1834)=0,N($J1834)=0),"금액이 없습니다",IF(AND($I1834&gt;0,$J1834&gt;0),"수입·지출 둘 다 적혔습니다",IF($C1834="","결제수단을 고르십시오",IF(ISNA(MATCH($C1834,'통합 ③ 통장·카드'!$A$5:$A$11,0)),"③ 통장·카드에 없는 결제수단입니다",IF($D1834="","계정과목을 고르십시오",IF($E1834="※없는 과목","④ 설정에 없는 과목입니다",IF(AND($E1834="수입",$J1834&gt;0),"수입 과목인데 지출에 적혔습니다",IF(AND(LEFT($E1834,2)&lt;&gt;"수입",$E1834&lt;&gt;"대체",$I1834&gt;0),"지출 과목인데 수입에 적혔습니다",IF($K1834="","증빙을 고르십시오",IF(AND($C1834="바우처통장",$J1834&gt;0,IFERROR(INDEX('통합 ④ 설정'!$E$6:$E$40,MATCH($D1834,'통합 ④ 설정'!$B$6:$B$40,0)),"")&lt;&gt;"○"),"바우처통장 지출 — 목적 확인",IF($H1834="","적요를 적으십시오",""))))))))))))</f>
        <v/>
      </c>
      <c r="M1834" s="39"/>
      <c r="O1834" s="11" t="str">
        <f aca="false">IF($B1834="","",YEAR($B1834)*100+MONTH($B1834))</f>
        <v/>
      </c>
      <c r="P1834" s="11" t="str">
        <f aca="false">IF($B1834="","",IF($E1834="대체",0,1))</f>
        <v/>
      </c>
    </row>
    <row r="1835" customFormat="false" ht="15" hidden="false" customHeight="false" outlineLevel="0" collapsed="false">
      <c r="A1835" s="36" t="str">
        <f aca="false">IF($B1835="","",COUNT($B$15:$B1835))</f>
        <v/>
      </c>
      <c r="B1835" s="37"/>
      <c r="C1835" s="38"/>
      <c r="D1835" s="39"/>
      <c r="E1835" s="36" t="str">
        <f aca="false">IF($D1835="","",IFERROR(INDEX('통합 ④ 설정'!$A$6:$A$40,MATCH($D1835,'통합 ④ 설정'!$B$6:$B$40,0)),"※없는 과목"))</f>
        <v/>
      </c>
      <c r="F1835" s="36" t="str">
        <f aca="false">IF($D1835="","",IFERROR(INDEX('통합 ④ 설정'!$C$6:$C$40,MATCH($D1835,'통합 ④ 설정'!$B$6:$B$40,0)),""))</f>
        <v/>
      </c>
      <c r="G1835" s="39"/>
      <c r="H1835" s="39"/>
      <c r="I1835" s="40"/>
      <c r="J1835" s="41"/>
      <c r="K1835" s="38"/>
      <c r="L1835" s="42" t="str">
        <f aca="false">IF($B1835="","",IF(AND(N($I1835)=0,N($J1835)=0),"금액이 없습니다",IF(AND($I1835&gt;0,$J1835&gt;0),"수입·지출 둘 다 적혔습니다",IF($C1835="","결제수단을 고르십시오",IF(ISNA(MATCH($C1835,'통합 ③ 통장·카드'!$A$5:$A$11,0)),"③ 통장·카드에 없는 결제수단입니다",IF($D1835="","계정과목을 고르십시오",IF($E1835="※없는 과목","④ 설정에 없는 과목입니다",IF(AND($E1835="수입",$J1835&gt;0),"수입 과목인데 지출에 적혔습니다",IF(AND(LEFT($E1835,2)&lt;&gt;"수입",$E1835&lt;&gt;"대체",$I1835&gt;0),"지출 과목인데 수입에 적혔습니다",IF($K1835="","증빙을 고르십시오",IF(AND($C1835="바우처통장",$J1835&gt;0,IFERROR(INDEX('통합 ④ 설정'!$E$6:$E$40,MATCH($D1835,'통합 ④ 설정'!$B$6:$B$40,0)),"")&lt;&gt;"○"),"바우처통장 지출 — 목적 확인",IF($H1835="","적요를 적으십시오",""))))))))))))</f>
        <v/>
      </c>
      <c r="M1835" s="39"/>
      <c r="O1835" s="11" t="str">
        <f aca="false">IF($B1835="","",YEAR($B1835)*100+MONTH($B1835))</f>
        <v/>
      </c>
      <c r="P1835" s="11" t="str">
        <f aca="false">IF($B1835="","",IF($E1835="대체",0,1))</f>
        <v/>
      </c>
    </row>
    <row r="1836" customFormat="false" ht="15" hidden="false" customHeight="false" outlineLevel="0" collapsed="false">
      <c r="A1836" s="36" t="str">
        <f aca="false">IF($B1836="","",COUNT($B$15:$B1836))</f>
        <v/>
      </c>
      <c r="B1836" s="37"/>
      <c r="C1836" s="38"/>
      <c r="D1836" s="39"/>
      <c r="E1836" s="36" t="str">
        <f aca="false">IF($D1836="","",IFERROR(INDEX('통합 ④ 설정'!$A$6:$A$40,MATCH($D1836,'통합 ④ 설정'!$B$6:$B$40,0)),"※없는 과목"))</f>
        <v/>
      </c>
      <c r="F1836" s="36" t="str">
        <f aca="false">IF($D1836="","",IFERROR(INDEX('통합 ④ 설정'!$C$6:$C$40,MATCH($D1836,'통합 ④ 설정'!$B$6:$B$40,0)),""))</f>
        <v/>
      </c>
      <c r="G1836" s="39"/>
      <c r="H1836" s="39"/>
      <c r="I1836" s="40"/>
      <c r="J1836" s="41"/>
      <c r="K1836" s="38"/>
      <c r="L1836" s="42" t="str">
        <f aca="false">IF($B1836="","",IF(AND(N($I1836)=0,N($J1836)=0),"금액이 없습니다",IF(AND($I1836&gt;0,$J1836&gt;0),"수입·지출 둘 다 적혔습니다",IF($C1836="","결제수단을 고르십시오",IF(ISNA(MATCH($C1836,'통합 ③ 통장·카드'!$A$5:$A$11,0)),"③ 통장·카드에 없는 결제수단입니다",IF($D1836="","계정과목을 고르십시오",IF($E1836="※없는 과목","④ 설정에 없는 과목입니다",IF(AND($E1836="수입",$J1836&gt;0),"수입 과목인데 지출에 적혔습니다",IF(AND(LEFT($E1836,2)&lt;&gt;"수입",$E1836&lt;&gt;"대체",$I1836&gt;0),"지출 과목인데 수입에 적혔습니다",IF($K1836="","증빙을 고르십시오",IF(AND($C1836="바우처통장",$J1836&gt;0,IFERROR(INDEX('통합 ④ 설정'!$E$6:$E$40,MATCH($D1836,'통합 ④ 설정'!$B$6:$B$40,0)),"")&lt;&gt;"○"),"바우처통장 지출 — 목적 확인",IF($H1836="","적요를 적으십시오",""))))))))))))</f>
        <v/>
      </c>
      <c r="M1836" s="39"/>
      <c r="O1836" s="11" t="str">
        <f aca="false">IF($B1836="","",YEAR($B1836)*100+MONTH($B1836))</f>
        <v/>
      </c>
      <c r="P1836" s="11" t="str">
        <f aca="false">IF($B1836="","",IF($E1836="대체",0,1))</f>
        <v/>
      </c>
    </row>
    <row r="1837" customFormat="false" ht="15" hidden="false" customHeight="false" outlineLevel="0" collapsed="false">
      <c r="A1837" s="36" t="str">
        <f aca="false">IF($B1837="","",COUNT($B$15:$B1837))</f>
        <v/>
      </c>
      <c r="B1837" s="37"/>
      <c r="C1837" s="38"/>
      <c r="D1837" s="39"/>
      <c r="E1837" s="36" t="str">
        <f aca="false">IF($D1837="","",IFERROR(INDEX('통합 ④ 설정'!$A$6:$A$40,MATCH($D1837,'통합 ④ 설정'!$B$6:$B$40,0)),"※없는 과목"))</f>
        <v/>
      </c>
      <c r="F1837" s="36" t="str">
        <f aca="false">IF($D1837="","",IFERROR(INDEX('통합 ④ 설정'!$C$6:$C$40,MATCH($D1837,'통합 ④ 설정'!$B$6:$B$40,0)),""))</f>
        <v/>
      </c>
      <c r="G1837" s="39"/>
      <c r="H1837" s="39"/>
      <c r="I1837" s="40"/>
      <c r="J1837" s="41"/>
      <c r="K1837" s="38"/>
      <c r="L1837" s="42" t="str">
        <f aca="false">IF($B1837="","",IF(AND(N($I1837)=0,N($J1837)=0),"금액이 없습니다",IF(AND($I1837&gt;0,$J1837&gt;0),"수입·지출 둘 다 적혔습니다",IF($C1837="","결제수단을 고르십시오",IF(ISNA(MATCH($C1837,'통합 ③ 통장·카드'!$A$5:$A$11,0)),"③ 통장·카드에 없는 결제수단입니다",IF($D1837="","계정과목을 고르십시오",IF($E1837="※없는 과목","④ 설정에 없는 과목입니다",IF(AND($E1837="수입",$J1837&gt;0),"수입 과목인데 지출에 적혔습니다",IF(AND(LEFT($E1837,2)&lt;&gt;"수입",$E1837&lt;&gt;"대체",$I1837&gt;0),"지출 과목인데 수입에 적혔습니다",IF($K1837="","증빙을 고르십시오",IF(AND($C1837="바우처통장",$J1837&gt;0,IFERROR(INDEX('통합 ④ 설정'!$E$6:$E$40,MATCH($D1837,'통합 ④ 설정'!$B$6:$B$40,0)),"")&lt;&gt;"○"),"바우처통장 지출 — 목적 확인",IF($H1837="","적요를 적으십시오",""))))))))))))</f>
        <v/>
      </c>
      <c r="M1837" s="39"/>
      <c r="O1837" s="11" t="str">
        <f aca="false">IF($B1837="","",YEAR($B1837)*100+MONTH($B1837))</f>
        <v/>
      </c>
      <c r="P1837" s="11" t="str">
        <f aca="false">IF($B1837="","",IF($E1837="대체",0,1))</f>
        <v/>
      </c>
    </row>
    <row r="1838" customFormat="false" ht="15" hidden="false" customHeight="false" outlineLevel="0" collapsed="false">
      <c r="A1838" s="36" t="str">
        <f aca="false">IF($B1838="","",COUNT($B$15:$B1838))</f>
        <v/>
      </c>
      <c r="B1838" s="37"/>
      <c r="C1838" s="38"/>
      <c r="D1838" s="39"/>
      <c r="E1838" s="36" t="str">
        <f aca="false">IF($D1838="","",IFERROR(INDEX('통합 ④ 설정'!$A$6:$A$40,MATCH($D1838,'통합 ④ 설정'!$B$6:$B$40,0)),"※없는 과목"))</f>
        <v/>
      </c>
      <c r="F1838" s="36" t="str">
        <f aca="false">IF($D1838="","",IFERROR(INDEX('통합 ④ 설정'!$C$6:$C$40,MATCH($D1838,'통합 ④ 설정'!$B$6:$B$40,0)),""))</f>
        <v/>
      </c>
      <c r="G1838" s="39"/>
      <c r="H1838" s="39"/>
      <c r="I1838" s="40"/>
      <c r="J1838" s="41"/>
      <c r="K1838" s="38"/>
      <c r="L1838" s="42" t="str">
        <f aca="false">IF($B1838="","",IF(AND(N($I1838)=0,N($J1838)=0),"금액이 없습니다",IF(AND($I1838&gt;0,$J1838&gt;0),"수입·지출 둘 다 적혔습니다",IF($C1838="","결제수단을 고르십시오",IF(ISNA(MATCH($C1838,'통합 ③ 통장·카드'!$A$5:$A$11,0)),"③ 통장·카드에 없는 결제수단입니다",IF($D1838="","계정과목을 고르십시오",IF($E1838="※없는 과목","④ 설정에 없는 과목입니다",IF(AND($E1838="수입",$J1838&gt;0),"수입 과목인데 지출에 적혔습니다",IF(AND(LEFT($E1838,2)&lt;&gt;"수입",$E1838&lt;&gt;"대체",$I1838&gt;0),"지출 과목인데 수입에 적혔습니다",IF($K1838="","증빙을 고르십시오",IF(AND($C1838="바우처통장",$J1838&gt;0,IFERROR(INDEX('통합 ④ 설정'!$E$6:$E$40,MATCH($D1838,'통합 ④ 설정'!$B$6:$B$40,0)),"")&lt;&gt;"○"),"바우처통장 지출 — 목적 확인",IF($H1838="","적요를 적으십시오",""))))))))))))</f>
        <v/>
      </c>
      <c r="M1838" s="39"/>
      <c r="O1838" s="11" t="str">
        <f aca="false">IF($B1838="","",YEAR($B1838)*100+MONTH($B1838))</f>
        <v/>
      </c>
      <c r="P1838" s="11" t="str">
        <f aca="false">IF($B1838="","",IF($E1838="대체",0,1))</f>
        <v/>
      </c>
    </row>
    <row r="1839" customFormat="false" ht="15" hidden="false" customHeight="false" outlineLevel="0" collapsed="false">
      <c r="A1839" s="36" t="str">
        <f aca="false">IF($B1839="","",COUNT($B$15:$B1839))</f>
        <v/>
      </c>
      <c r="B1839" s="37"/>
      <c r="C1839" s="38"/>
      <c r="D1839" s="39"/>
      <c r="E1839" s="36" t="str">
        <f aca="false">IF($D1839="","",IFERROR(INDEX('통합 ④ 설정'!$A$6:$A$40,MATCH($D1839,'통합 ④ 설정'!$B$6:$B$40,0)),"※없는 과목"))</f>
        <v/>
      </c>
      <c r="F1839" s="36" t="str">
        <f aca="false">IF($D1839="","",IFERROR(INDEX('통합 ④ 설정'!$C$6:$C$40,MATCH($D1839,'통합 ④ 설정'!$B$6:$B$40,0)),""))</f>
        <v/>
      </c>
      <c r="G1839" s="39"/>
      <c r="H1839" s="39"/>
      <c r="I1839" s="40"/>
      <c r="J1839" s="41"/>
      <c r="K1839" s="38"/>
      <c r="L1839" s="42" t="str">
        <f aca="false">IF($B1839="","",IF(AND(N($I1839)=0,N($J1839)=0),"금액이 없습니다",IF(AND($I1839&gt;0,$J1839&gt;0),"수입·지출 둘 다 적혔습니다",IF($C1839="","결제수단을 고르십시오",IF(ISNA(MATCH($C1839,'통합 ③ 통장·카드'!$A$5:$A$11,0)),"③ 통장·카드에 없는 결제수단입니다",IF($D1839="","계정과목을 고르십시오",IF($E1839="※없는 과목","④ 설정에 없는 과목입니다",IF(AND($E1839="수입",$J1839&gt;0),"수입 과목인데 지출에 적혔습니다",IF(AND(LEFT($E1839,2)&lt;&gt;"수입",$E1839&lt;&gt;"대체",$I1839&gt;0),"지출 과목인데 수입에 적혔습니다",IF($K1839="","증빙을 고르십시오",IF(AND($C1839="바우처통장",$J1839&gt;0,IFERROR(INDEX('통합 ④ 설정'!$E$6:$E$40,MATCH($D1839,'통합 ④ 설정'!$B$6:$B$40,0)),"")&lt;&gt;"○"),"바우처통장 지출 — 목적 확인",IF($H1839="","적요를 적으십시오",""))))))))))))</f>
        <v/>
      </c>
      <c r="M1839" s="39"/>
      <c r="O1839" s="11" t="str">
        <f aca="false">IF($B1839="","",YEAR($B1839)*100+MONTH($B1839))</f>
        <v/>
      </c>
      <c r="P1839" s="11" t="str">
        <f aca="false">IF($B1839="","",IF($E1839="대체",0,1))</f>
        <v/>
      </c>
    </row>
    <row r="1840" customFormat="false" ht="15" hidden="false" customHeight="false" outlineLevel="0" collapsed="false">
      <c r="A1840" s="36" t="str">
        <f aca="false">IF($B1840="","",COUNT($B$15:$B1840))</f>
        <v/>
      </c>
      <c r="B1840" s="37"/>
      <c r="C1840" s="38"/>
      <c r="D1840" s="39"/>
      <c r="E1840" s="36" t="str">
        <f aca="false">IF($D1840="","",IFERROR(INDEX('통합 ④ 설정'!$A$6:$A$40,MATCH($D1840,'통합 ④ 설정'!$B$6:$B$40,0)),"※없는 과목"))</f>
        <v/>
      </c>
      <c r="F1840" s="36" t="str">
        <f aca="false">IF($D1840="","",IFERROR(INDEX('통합 ④ 설정'!$C$6:$C$40,MATCH($D1840,'통합 ④ 설정'!$B$6:$B$40,0)),""))</f>
        <v/>
      </c>
      <c r="G1840" s="39"/>
      <c r="H1840" s="39"/>
      <c r="I1840" s="40"/>
      <c r="J1840" s="41"/>
      <c r="K1840" s="38"/>
      <c r="L1840" s="42" t="str">
        <f aca="false">IF($B1840="","",IF(AND(N($I1840)=0,N($J1840)=0),"금액이 없습니다",IF(AND($I1840&gt;0,$J1840&gt;0),"수입·지출 둘 다 적혔습니다",IF($C1840="","결제수단을 고르십시오",IF(ISNA(MATCH($C1840,'통합 ③ 통장·카드'!$A$5:$A$11,0)),"③ 통장·카드에 없는 결제수단입니다",IF($D1840="","계정과목을 고르십시오",IF($E1840="※없는 과목","④ 설정에 없는 과목입니다",IF(AND($E1840="수입",$J1840&gt;0),"수입 과목인데 지출에 적혔습니다",IF(AND(LEFT($E1840,2)&lt;&gt;"수입",$E1840&lt;&gt;"대체",$I1840&gt;0),"지출 과목인데 수입에 적혔습니다",IF($K1840="","증빙을 고르십시오",IF(AND($C1840="바우처통장",$J1840&gt;0,IFERROR(INDEX('통합 ④ 설정'!$E$6:$E$40,MATCH($D1840,'통합 ④ 설정'!$B$6:$B$40,0)),"")&lt;&gt;"○"),"바우처통장 지출 — 목적 확인",IF($H1840="","적요를 적으십시오",""))))))))))))</f>
        <v/>
      </c>
      <c r="M1840" s="39"/>
      <c r="O1840" s="11" t="str">
        <f aca="false">IF($B1840="","",YEAR($B1840)*100+MONTH($B1840))</f>
        <v/>
      </c>
      <c r="P1840" s="11" t="str">
        <f aca="false">IF($B1840="","",IF($E1840="대체",0,1))</f>
        <v/>
      </c>
    </row>
    <row r="1841" customFormat="false" ht="15" hidden="false" customHeight="false" outlineLevel="0" collapsed="false">
      <c r="A1841" s="36" t="str">
        <f aca="false">IF($B1841="","",COUNT($B$15:$B1841))</f>
        <v/>
      </c>
      <c r="B1841" s="37"/>
      <c r="C1841" s="38"/>
      <c r="D1841" s="39"/>
      <c r="E1841" s="36" t="str">
        <f aca="false">IF($D1841="","",IFERROR(INDEX('통합 ④ 설정'!$A$6:$A$40,MATCH($D1841,'통합 ④ 설정'!$B$6:$B$40,0)),"※없는 과목"))</f>
        <v/>
      </c>
      <c r="F1841" s="36" t="str">
        <f aca="false">IF($D1841="","",IFERROR(INDEX('통합 ④ 설정'!$C$6:$C$40,MATCH($D1841,'통합 ④ 설정'!$B$6:$B$40,0)),""))</f>
        <v/>
      </c>
      <c r="G1841" s="39"/>
      <c r="H1841" s="39"/>
      <c r="I1841" s="40"/>
      <c r="J1841" s="41"/>
      <c r="K1841" s="38"/>
      <c r="L1841" s="42" t="str">
        <f aca="false">IF($B1841="","",IF(AND(N($I1841)=0,N($J1841)=0),"금액이 없습니다",IF(AND($I1841&gt;0,$J1841&gt;0),"수입·지출 둘 다 적혔습니다",IF($C1841="","결제수단을 고르십시오",IF(ISNA(MATCH($C1841,'통합 ③ 통장·카드'!$A$5:$A$11,0)),"③ 통장·카드에 없는 결제수단입니다",IF($D1841="","계정과목을 고르십시오",IF($E1841="※없는 과목","④ 설정에 없는 과목입니다",IF(AND($E1841="수입",$J1841&gt;0),"수입 과목인데 지출에 적혔습니다",IF(AND(LEFT($E1841,2)&lt;&gt;"수입",$E1841&lt;&gt;"대체",$I1841&gt;0),"지출 과목인데 수입에 적혔습니다",IF($K1841="","증빙을 고르십시오",IF(AND($C1841="바우처통장",$J1841&gt;0,IFERROR(INDEX('통합 ④ 설정'!$E$6:$E$40,MATCH($D1841,'통합 ④ 설정'!$B$6:$B$40,0)),"")&lt;&gt;"○"),"바우처통장 지출 — 목적 확인",IF($H1841="","적요를 적으십시오",""))))))))))))</f>
        <v/>
      </c>
      <c r="M1841" s="39"/>
      <c r="O1841" s="11" t="str">
        <f aca="false">IF($B1841="","",YEAR($B1841)*100+MONTH($B1841))</f>
        <v/>
      </c>
      <c r="P1841" s="11" t="str">
        <f aca="false">IF($B1841="","",IF($E1841="대체",0,1))</f>
        <v/>
      </c>
    </row>
    <row r="1842" customFormat="false" ht="15" hidden="false" customHeight="false" outlineLevel="0" collapsed="false">
      <c r="A1842" s="36" t="str">
        <f aca="false">IF($B1842="","",COUNT($B$15:$B1842))</f>
        <v/>
      </c>
      <c r="B1842" s="37"/>
      <c r="C1842" s="38"/>
      <c r="D1842" s="39"/>
      <c r="E1842" s="36" t="str">
        <f aca="false">IF($D1842="","",IFERROR(INDEX('통합 ④ 설정'!$A$6:$A$40,MATCH($D1842,'통합 ④ 설정'!$B$6:$B$40,0)),"※없는 과목"))</f>
        <v/>
      </c>
      <c r="F1842" s="36" t="str">
        <f aca="false">IF($D1842="","",IFERROR(INDEX('통합 ④ 설정'!$C$6:$C$40,MATCH($D1842,'통합 ④ 설정'!$B$6:$B$40,0)),""))</f>
        <v/>
      </c>
      <c r="G1842" s="39"/>
      <c r="H1842" s="39"/>
      <c r="I1842" s="40"/>
      <c r="J1842" s="41"/>
      <c r="K1842" s="38"/>
      <c r="L1842" s="42" t="str">
        <f aca="false">IF($B1842="","",IF(AND(N($I1842)=0,N($J1842)=0),"금액이 없습니다",IF(AND($I1842&gt;0,$J1842&gt;0),"수입·지출 둘 다 적혔습니다",IF($C1842="","결제수단을 고르십시오",IF(ISNA(MATCH($C1842,'통합 ③ 통장·카드'!$A$5:$A$11,0)),"③ 통장·카드에 없는 결제수단입니다",IF($D1842="","계정과목을 고르십시오",IF($E1842="※없는 과목","④ 설정에 없는 과목입니다",IF(AND($E1842="수입",$J1842&gt;0),"수입 과목인데 지출에 적혔습니다",IF(AND(LEFT($E1842,2)&lt;&gt;"수입",$E1842&lt;&gt;"대체",$I1842&gt;0),"지출 과목인데 수입에 적혔습니다",IF($K1842="","증빙을 고르십시오",IF(AND($C1842="바우처통장",$J1842&gt;0,IFERROR(INDEX('통합 ④ 설정'!$E$6:$E$40,MATCH($D1842,'통합 ④ 설정'!$B$6:$B$40,0)),"")&lt;&gt;"○"),"바우처통장 지출 — 목적 확인",IF($H1842="","적요를 적으십시오",""))))))))))))</f>
        <v/>
      </c>
      <c r="M1842" s="39"/>
      <c r="O1842" s="11" t="str">
        <f aca="false">IF($B1842="","",YEAR($B1842)*100+MONTH($B1842))</f>
        <v/>
      </c>
      <c r="P1842" s="11" t="str">
        <f aca="false">IF($B1842="","",IF($E1842="대체",0,1))</f>
        <v/>
      </c>
    </row>
    <row r="1843" customFormat="false" ht="15" hidden="false" customHeight="false" outlineLevel="0" collapsed="false">
      <c r="A1843" s="36" t="str">
        <f aca="false">IF($B1843="","",COUNT($B$15:$B1843))</f>
        <v/>
      </c>
      <c r="B1843" s="37"/>
      <c r="C1843" s="38"/>
      <c r="D1843" s="39"/>
      <c r="E1843" s="36" t="str">
        <f aca="false">IF($D1843="","",IFERROR(INDEX('통합 ④ 설정'!$A$6:$A$40,MATCH($D1843,'통합 ④ 설정'!$B$6:$B$40,0)),"※없는 과목"))</f>
        <v/>
      </c>
      <c r="F1843" s="36" t="str">
        <f aca="false">IF($D1843="","",IFERROR(INDEX('통합 ④ 설정'!$C$6:$C$40,MATCH($D1843,'통합 ④ 설정'!$B$6:$B$40,0)),""))</f>
        <v/>
      </c>
      <c r="G1843" s="39"/>
      <c r="H1843" s="39"/>
      <c r="I1843" s="40"/>
      <c r="J1843" s="41"/>
      <c r="K1843" s="38"/>
      <c r="L1843" s="42" t="str">
        <f aca="false">IF($B1843="","",IF(AND(N($I1843)=0,N($J1843)=0),"금액이 없습니다",IF(AND($I1843&gt;0,$J1843&gt;0),"수입·지출 둘 다 적혔습니다",IF($C1843="","결제수단을 고르십시오",IF(ISNA(MATCH($C1843,'통합 ③ 통장·카드'!$A$5:$A$11,0)),"③ 통장·카드에 없는 결제수단입니다",IF($D1843="","계정과목을 고르십시오",IF($E1843="※없는 과목","④ 설정에 없는 과목입니다",IF(AND($E1843="수입",$J1843&gt;0),"수입 과목인데 지출에 적혔습니다",IF(AND(LEFT($E1843,2)&lt;&gt;"수입",$E1843&lt;&gt;"대체",$I1843&gt;0),"지출 과목인데 수입에 적혔습니다",IF($K1843="","증빙을 고르십시오",IF(AND($C1843="바우처통장",$J1843&gt;0,IFERROR(INDEX('통합 ④ 설정'!$E$6:$E$40,MATCH($D1843,'통합 ④ 설정'!$B$6:$B$40,0)),"")&lt;&gt;"○"),"바우처통장 지출 — 목적 확인",IF($H1843="","적요를 적으십시오",""))))))))))))</f>
        <v/>
      </c>
      <c r="M1843" s="39"/>
      <c r="O1843" s="11" t="str">
        <f aca="false">IF($B1843="","",YEAR($B1843)*100+MONTH($B1843))</f>
        <v/>
      </c>
      <c r="P1843" s="11" t="str">
        <f aca="false">IF($B1843="","",IF($E1843="대체",0,1))</f>
        <v/>
      </c>
    </row>
    <row r="1844" customFormat="false" ht="15" hidden="false" customHeight="false" outlineLevel="0" collapsed="false">
      <c r="A1844" s="36" t="str">
        <f aca="false">IF($B1844="","",COUNT($B$15:$B1844))</f>
        <v/>
      </c>
      <c r="B1844" s="37"/>
      <c r="C1844" s="38"/>
      <c r="D1844" s="39"/>
      <c r="E1844" s="36" t="str">
        <f aca="false">IF($D1844="","",IFERROR(INDEX('통합 ④ 설정'!$A$6:$A$40,MATCH($D1844,'통합 ④ 설정'!$B$6:$B$40,0)),"※없는 과목"))</f>
        <v/>
      </c>
      <c r="F1844" s="36" t="str">
        <f aca="false">IF($D1844="","",IFERROR(INDEX('통합 ④ 설정'!$C$6:$C$40,MATCH($D1844,'통합 ④ 설정'!$B$6:$B$40,0)),""))</f>
        <v/>
      </c>
      <c r="G1844" s="39"/>
      <c r="H1844" s="39"/>
      <c r="I1844" s="40"/>
      <c r="J1844" s="41"/>
      <c r="K1844" s="38"/>
      <c r="L1844" s="42" t="str">
        <f aca="false">IF($B1844="","",IF(AND(N($I1844)=0,N($J1844)=0),"금액이 없습니다",IF(AND($I1844&gt;0,$J1844&gt;0),"수입·지출 둘 다 적혔습니다",IF($C1844="","결제수단을 고르십시오",IF(ISNA(MATCH($C1844,'통합 ③ 통장·카드'!$A$5:$A$11,0)),"③ 통장·카드에 없는 결제수단입니다",IF($D1844="","계정과목을 고르십시오",IF($E1844="※없는 과목","④ 설정에 없는 과목입니다",IF(AND($E1844="수입",$J1844&gt;0),"수입 과목인데 지출에 적혔습니다",IF(AND(LEFT($E1844,2)&lt;&gt;"수입",$E1844&lt;&gt;"대체",$I1844&gt;0),"지출 과목인데 수입에 적혔습니다",IF($K1844="","증빙을 고르십시오",IF(AND($C1844="바우처통장",$J1844&gt;0,IFERROR(INDEX('통합 ④ 설정'!$E$6:$E$40,MATCH($D1844,'통합 ④ 설정'!$B$6:$B$40,0)),"")&lt;&gt;"○"),"바우처통장 지출 — 목적 확인",IF($H1844="","적요를 적으십시오",""))))))))))))</f>
        <v/>
      </c>
      <c r="M1844" s="39"/>
      <c r="O1844" s="11" t="str">
        <f aca="false">IF($B1844="","",YEAR($B1844)*100+MONTH($B1844))</f>
        <v/>
      </c>
      <c r="P1844" s="11" t="str">
        <f aca="false">IF($B1844="","",IF($E1844="대체",0,1))</f>
        <v/>
      </c>
    </row>
    <row r="1845" customFormat="false" ht="15" hidden="false" customHeight="false" outlineLevel="0" collapsed="false">
      <c r="A1845" s="36" t="str">
        <f aca="false">IF($B1845="","",COUNT($B$15:$B1845))</f>
        <v/>
      </c>
      <c r="B1845" s="37"/>
      <c r="C1845" s="38"/>
      <c r="D1845" s="39"/>
      <c r="E1845" s="36" t="str">
        <f aca="false">IF($D1845="","",IFERROR(INDEX('통합 ④ 설정'!$A$6:$A$40,MATCH($D1845,'통합 ④ 설정'!$B$6:$B$40,0)),"※없는 과목"))</f>
        <v/>
      </c>
      <c r="F1845" s="36" t="str">
        <f aca="false">IF($D1845="","",IFERROR(INDEX('통합 ④ 설정'!$C$6:$C$40,MATCH($D1845,'통합 ④ 설정'!$B$6:$B$40,0)),""))</f>
        <v/>
      </c>
      <c r="G1845" s="39"/>
      <c r="H1845" s="39"/>
      <c r="I1845" s="40"/>
      <c r="J1845" s="41"/>
      <c r="K1845" s="38"/>
      <c r="L1845" s="42" t="str">
        <f aca="false">IF($B1845="","",IF(AND(N($I1845)=0,N($J1845)=0),"금액이 없습니다",IF(AND($I1845&gt;0,$J1845&gt;0),"수입·지출 둘 다 적혔습니다",IF($C1845="","결제수단을 고르십시오",IF(ISNA(MATCH($C1845,'통합 ③ 통장·카드'!$A$5:$A$11,0)),"③ 통장·카드에 없는 결제수단입니다",IF($D1845="","계정과목을 고르십시오",IF($E1845="※없는 과목","④ 설정에 없는 과목입니다",IF(AND($E1845="수입",$J1845&gt;0),"수입 과목인데 지출에 적혔습니다",IF(AND(LEFT($E1845,2)&lt;&gt;"수입",$E1845&lt;&gt;"대체",$I1845&gt;0),"지출 과목인데 수입에 적혔습니다",IF($K1845="","증빙을 고르십시오",IF(AND($C1845="바우처통장",$J1845&gt;0,IFERROR(INDEX('통합 ④ 설정'!$E$6:$E$40,MATCH($D1845,'통합 ④ 설정'!$B$6:$B$40,0)),"")&lt;&gt;"○"),"바우처통장 지출 — 목적 확인",IF($H1845="","적요를 적으십시오",""))))))))))))</f>
        <v/>
      </c>
      <c r="M1845" s="39"/>
      <c r="O1845" s="11" t="str">
        <f aca="false">IF($B1845="","",YEAR($B1845)*100+MONTH($B1845))</f>
        <v/>
      </c>
      <c r="P1845" s="11" t="str">
        <f aca="false">IF($B1845="","",IF($E1845="대체",0,1))</f>
        <v/>
      </c>
    </row>
    <row r="1846" customFormat="false" ht="15" hidden="false" customHeight="false" outlineLevel="0" collapsed="false">
      <c r="A1846" s="36" t="str">
        <f aca="false">IF($B1846="","",COUNT($B$15:$B1846))</f>
        <v/>
      </c>
      <c r="B1846" s="37"/>
      <c r="C1846" s="38"/>
      <c r="D1846" s="39"/>
      <c r="E1846" s="36" t="str">
        <f aca="false">IF($D1846="","",IFERROR(INDEX('통합 ④ 설정'!$A$6:$A$40,MATCH($D1846,'통합 ④ 설정'!$B$6:$B$40,0)),"※없는 과목"))</f>
        <v/>
      </c>
      <c r="F1846" s="36" t="str">
        <f aca="false">IF($D1846="","",IFERROR(INDEX('통합 ④ 설정'!$C$6:$C$40,MATCH($D1846,'통합 ④ 설정'!$B$6:$B$40,0)),""))</f>
        <v/>
      </c>
      <c r="G1846" s="39"/>
      <c r="H1846" s="39"/>
      <c r="I1846" s="40"/>
      <c r="J1846" s="41"/>
      <c r="K1846" s="38"/>
      <c r="L1846" s="42" t="str">
        <f aca="false">IF($B1846="","",IF(AND(N($I1846)=0,N($J1846)=0),"금액이 없습니다",IF(AND($I1846&gt;0,$J1846&gt;0),"수입·지출 둘 다 적혔습니다",IF($C1846="","결제수단을 고르십시오",IF(ISNA(MATCH($C1846,'통합 ③ 통장·카드'!$A$5:$A$11,0)),"③ 통장·카드에 없는 결제수단입니다",IF($D1846="","계정과목을 고르십시오",IF($E1846="※없는 과목","④ 설정에 없는 과목입니다",IF(AND($E1846="수입",$J1846&gt;0),"수입 과목인데 지출에 적혔습니다",IF(AND(LEFT($E1846,2)&lt;&gt;"수입",$E1846&lt;&gt;"대체",$I1846&gt;0),"지출 과목인데 수입에 적혔습니다",IF($K1846="","증빙을 고르십시오",IF(AND($C1846="바우처통장",$J1846&gt;0,IFERROR(INDEX('통합 ④ 설정'!$E$6:$E$40,MATCH($D1846,'통합 ④ 설정'!$B$6:$B$40,0)),"")&lt;&gt;"○"),"바우처통장 지출 — 목적 확인",IF($H1846="","적요를 적으십시오",""))))))))))))</f>
        <v/>
      </c>
      <c r="M1846" s="39"/>
      <c r="O1846" s="11" t="str">
        <f aca="false">IF($B1846="","",YEAR($B1846)*100+MONTH($B1846))</f>
        <v/>
      </c>
      <c r="P1846" s="11" t="str">
        <f aca="false">IF($B1846="","",IF($E1846="대체",0,1))</f>
        <v/>
      </c>
    </row>
    <row r="1847" customFormat="false" ht="15" hidden="false" customHeight="false" outlineLevel="0" collapsed="false">
      <c r="A1847" s="36" t="str">
        <f aca="false">IF($B1847="","",COUNT($B$15:$B1847))</f>
        <v/>
      </c>
      <c r="B1847" s="37"/>
      <c r="C1847" s="38"/>
      <c r="D1847" s="39"/>
      <c r="E1847" s="36" t="str">
        <f aca="false">IF($D1847="","",IFERROR(INDEX('통합 ④ 설정'!$A$6:$A$40,MATCH($D1847,'통합 ④ 설정'!$B$6:$B$40,0)),"※없는 과목"))</f>
        <v/>
      </c>
      <c r="F1847" s="36" t="str">
        <f aca="false">IF($D1847="","",IFERROR(INDEX('통합 ④ 설정'!$C$6:$C$40,MATCH($D1847,'통합 ④ 설정'!$B$6:$B$40,0)),""))</f>
        <v/>
      </c>
      <c r="G1847" s="39"/>
      <c r="H1847" s="39"/>
      <c r="I1847" s="40"/>
      <c r="J1847" s="41"/>
      <c r="K1847" s="38"/>
      <c r="L1847" s="42" t="str">
        <f aca="false">IF($B1847="","",IF(AND(N($I1847)=0,N($J1847)=0),"금액이 없습니다",IF(AND($I1847&gt;0,$J1847&gt;0),"수입·지출 둘 다 적혔습니다",IF($C1847="","결제수단을 고르십시오",IF(ISNA(MATCH($C1847,'통합 ③ 통장·카드'!$A$5:$A$11,0)),"③ 통장·카드에 없는 결제수단입니다",IF($D1847="","계정과목을 고르십시오",IF($E1847="※없는 과목","④ 설정에 없는 과목입니다",IF(AND($E1847="수입",$J1847&gt;0),"수입 과목인데 지출에 적혔습니다",IF(AND(LEFT($E1847,2)&lt;&gt;"수입",$E1847&lt;&gt;"대체",$I1847&gt;0),"지출 과목인데 수입에 적혔습니다",IF($K1847="","증빙을 고르십시오",IF(AND($C1847="바우처통장",$J1847&gt;0,IFERROR(INDEX('통합 ④ 설정'!$E$6:$E$40,MATCH($D1847,'통합 ④ 설정'!$B$6:$B$40,0)),"")&lt;&gt;"○"),"바우처통장 지출 — 목적 확인",IF($H1847="","적요를 적으십시오",""))))))))))))</f>
        <v/>
      </c>
      <c r="M1847" s="39"/>
      <c r="O1847" s="11" t="str">
        <f aca="false">IF($B1847="","",YEAR($B1847)*100+MONTH($B1847))</f>
        <v/>
      </c>
      <c r="P1847" s="11" t="str">
        <f aca="false">IF($B1847="","",IF($E1847="대체",0,1))</f>
        <v/>
      </c>
    </row>
    <row r="1848" customFormat="false" ht="15" hidden="false" customHeight="false" outlineLevel="0" collapsed="false">
      <c r="A1848" s="36" t="str">
        <f aca="false">IF($B1848="","",COUNT($B$15:$B1848))</f>
        <v/>
      </c>
      <c r="B1848" s="37"/>
      <c r="C1848" s="38"/>
      <c r="D1848" s="39"/>
      <c r="E1848" s="36" t="str">
        <f aca="false">IF($D1848="","",IFERROR(INDEX('통합 ④ 설정'!$A$6:$A$40,MATCH($D1848,'통합 ④ 설정'!$B$6:$B$40,0)),"※없는 과목"))</f>
        <v/>
      </c>
      <c r="F1848" s="36" t="str">
        <f aca="false">IF($D1848="","",IFERROR(INDEX('통합 ④ 설정'!$C$6:$C$40,MATCH($D1848,'통합 ④ 설정'!$B$6:$B$40,0)),""))</f>
        <v/>
      </c>
      <c r="G1848" s="39"/>
      <c r="H1848" s="39"/>
      <c r="I1848" s="40"/>
      <c r="J1848" s="41"/>
      <c r="K1848" s="38"/>
      <c r="L1848" s="42" t="str">
        <f aca="false">IF($B1848="","",IF(AND(N($I1848)=0,N($J1848)=0),"금액이 없습니다",IF(AND($I1848&gt;0,$J1848&gt;0),"수입·지출 둘 다 적혔습니다",IF($C1848="","결제수단을 고르십시오",IF(ISNA(MATCH($C1848,'통합 ③ 통장·카드'!$A$5:$A$11,0)),"③ 통장·카드에 없는 결제수단입니다",IF($D1848="","계정과목을 고르십시오",IF($E1848="※없는 과목","④ 설정에 없는 과목입니다",IF(AND($E1848="수입",$J1848&gt;0),"수입 과목인데 지출에 적혔습니다",IF(AND(LEFT($E1848,2)&lt;&gt;"수입",$E1848&lt;&gt;"대체",$I1848&gt;0),"지출 과목인데 수입에 적혔습니다",IF($K1848="","증빙을 고르십시오",IF(AND($C1848="바우처통장",$J1848&gt;0,IFERROR(INDEX('통합 ④ 설정'!$E$6:$E$40,MATCH($D1848,'통합 ④ 설정'!$B$6:$B$40,0)),"")&lt;&gt;"○"),"바우처통장 지출 — 목적 확인",IF($H1848="","적요를 적으십시오",""))))))))))))</f>
        <v/>
      </c>
      <c r="M1848" s="39"/>
      <c r="O1848" s="11" t="str">
        <f aca="false">IF($B1848="","",YEAR($B1848)*100+MONTH($B1848))</f>
        <v/>
      </c>
      <c r="P1848" s="11" t="str">
        <f aca="false">IF($B1848="","",IF($E1848="대체",0,1))</f>
        <v/>
      </c>
    </row>
    <row r="1849" customFormat="false" ht="15" hidden="false" customHeight="false" outlineLevel="0" collapsed="false">
      <c r="A1849" s="36" t="str">
        <f aca="false">IF($B1849="","",COUNT($B$15:$B1849))</f>
        <v/>
      </c>
      <c r="B1849" s="37"/>
      <c r="C1849" s="38"/>
      <c r="D1849" s="39"/>
      <c r="E1849" s="36" t="str">
        <f aca="false">IF($D1849="","",IFERROR(INDEX('통합 ④ 설정'!$A$6:$A$40,MATCH($D1849,'통합 ④ 설정'!$B$6:$B$40,0)),"※없는 과목"))</f>
        <v/>
      </c>
      <c r="F1849" s="36" t="str">
        <f aca="false">IF($D1849="","",IFERROR(INDEX('통합 ④ 설정'!$C$6:$C$40,MATCH($D1849,'통합 ④ 설정'!$B$6:$B$40,0)),""))</f>
        <v/>
      </c>
      <c r="G1849" s="39"/>
      <c r="H1849" s="39"/>
      <c r="I1849" s="40"/>
      <c r="J1849" s="41"/>
      <c r="K1849" s="38"/>
      <c r="L1849" s="42" t="str">
        <f aca="false">IF($B1849="","",IF(AND(N($I1849)=0,N($J1849)=0),"금액이 없습니다",IF(AND($I1849&gt;0,$J1849&gt;0),"수입·지출 둘 다 적혔습니다",IF($C1849="","결제수단을 고르십시오",IF(ISNA(MATCH($C1849,'통합 ③ 통장·카드'!$A$5:$A$11,0)),"③ 통장·카드에 없는 결제수단입니다",IF($D1849="","계정과목을 고르십시오",IF($E1849="※없는 과목","④ 설정에 없는 과목입니다",IF(AND($E1849="수입",$J1849&gt;0),"수입 과목인데 지출에 적혔습니다",IF(AND(LEFT($E1849,2)&lt;&gt;"수입",$E1849&lt;&gt;"대체",$I1849&gt;0),"지출 과목인데 수입에 적혔습니다",IF($K1849="","증빙을 고르십시오",IF(AND($C1849="바우처통장",$J1849&gt;0,IFERROR(INDEX('통합 ④ 설정'!$E$6:$E$40,MATCH($D1849,'통합 ④ 설정'!$B$6:$B$40,0)),"")&lt;&gt;"○"),"바우처통장 지출 — 목적 확인",IF($H1849="","적요를 적으십시오",""))))))))))))</f>
        <v/>
      </c>
      <c r="M1849" s="39"/>
      <c r="O1849" s="11" t="str">
        <f aca="false">IF($B1849="","",YEAR($B1849)*100+MONTH($B1849))</f>
        <v/>
      </c>
      <c r="P1849" s="11" t="str">
        <f aca="false">IF($B1849="","",IF($E1849="대체",0,1))</f>
        <v/>
      </c>
    </row>
    <row r="1850" customFormat="false" ht="15" hidden="false" customHeight="false" outlineLevel="0" collapsed="false">
      <c r="A1850" s="36" t="str">
        <f aca="false">IF($B1850="","",COUNT($B$15:$B1850))</f>
        <v/>
      </c>
      <c r="B1850" s="37"/>
      <c r="C1850" s="38"/>
      <c r="D1850" s="39"/>
      <c r="E1850" s="36" t="str">
        <f aca="false">IF($D1850="","",IFERROR(INDEX('통합 ④ 설정'!$A$6:$A$40,MATCH($D1850,'통합 ④ 설정'!$B$6:$B$40,0)),"※없는 과목"))</f>
        <v/>
      </c>
      <c r="F1850" s="36" t="str">
        <f aca="false">IF($D1850="","",IFERROR(INDEX('통합 ④ 설정'!$C$6:$C$40,MATCH($D1850,'통합 ④ 설정'!$B$6:$B$40,0)),""))</f>
        <v/>
      </c>
      <c r="G1850" s="39"/>
      <c r="H1850" s="39"/>
      <c r="I1850" s="40"/>
      <c r="J1850" s="41"/>
      <c r="K1850" s="38"/>
      <c r="L1850" s="42" t="str">
        <f aca="false">IF($B1850="","",IF(AND(N($I1850)=0,N($J1850)=0),"금액이 없습니다",IF(AND($I1850&gt;0,$J1850&gt;0),"수입·지출 둘 다 적혔습니다",IF($C1850="","결제수단을 고르십시오",IF(ISNA(MATCH($C1850,'통합 ③ 통장·카드'!$A$5:$A$11,0)),"③ 통장·카드에 없는 결제수단입니다",IF($D1850="","계정과목을 고르십시오",IF($E1850="※없는 과목","④ 설정에 없는 과목입니다",IF(AND($E1850="수입",$J1850&gt;0),"수입 과목인데 지출에 적혔습니다",IF(AND(LEFT($E1850,2)&lt;&gt;"수입",$E1850&lt;&gt;"대체",$I1850&gt;0),"지출 과목인데 수입에 적혔습니다",IF($K1850="","증빙을 고르십시오",IF(AND($C1850="바우처통장",$J1850&gt;0,IFERROR(INDEX('통합 ④ 설정'!$E$6:$E$40,MATCH($D1850,'통합 ④ 설정'!$B$6:$B$40,0)),"")&lt;&gt;"○"),"바우처통장 지출 — 목적 확인",IF($H1850="","적요를 적으십시오",""))))))))))))</f>
        <v/>
      </c>
      <c r="M1850" s="39"/>
      <c r="O1850" s="11" t="str">
        <f aca="false">IF($B1850="","",YEAR($B1850)*100+MONTH($B1850))</f>
        <v/>
      </c>
      <c r="P1850" s="11" t="str">
        <f aca="false">IF($B1850="","",IF($E1850="대체",0,1))</f>
        <v/>
      </c>
    </row>
    <row r="1851" customFormat="false" ht="15" hidden="false" customHeight="false" outlineLevel="0" collapsed="false">
      <c r="A1851" s="36" t="str">
        <f aca="false">IF($B1851="","",COUNT($B$15:$B1851))</f>
        <v/>
      </c>
      <c r="B1851" s="37"/>
      <c r="C1851" s="38"/>
      <c r="D1851" s="39"/>
      <c r="E1851" s="36" t="str">
        <f aca="false">IF($D1851="","",IFERROR(INDEX('통합 ④ 설정'!$A$6:$A$40,MATCH($D1851,'통합 ④ 설정'!$B$6:$B$40,0)),"※없는 과목"))</f>
        <v/>
      </c>
      <c r="F1851" s="36" t="str">
        <f aca="false">IF($D1851="","",IFERROR(INDEX('통합 ④ 설정'!$C$6:$C$40,MATCH($D1851,'통합 ④ 설정'!$B$6:$B$40,0)),""))</f>
        <v/>
      </c>
      <c r="G1851" s="39"/>
      <c r="H1851" s="39"/>
      <c r="I1851" s="40"/>
      <c r="J1851" s="41"/>
      <c r="K1851" s="38"/>
      <c r="L1851" s="42" t="str">
        <f aca="false">IF($B1851="","",IF(AND(N($I1851)=0,N($J1851)=0),"금액이 없습니다",IF(AND($I1851&gt;0,$J1851&gt;0),"수입·지출 둘 다 적혔습니다",IF($C1851="","결제수단을 고르십시오",IF(ISNA(MATCH($C1851,'통합 ③ 통장·카드'!$A$5:$A$11,0)),"③ 통장·카드에 없는 결제수단입니다",IF($D1851="","계정과목을 고르십시오",IF($E1851="※없는 과목","④ 설정에 없는 과목입니다",IF(AND($E1851="수입",$J1851&gt;0),"수입 과목인데 지출에 적혔습니다",IF(AND(LEFT($E1851,2)&lt;&gt;"수입",$E1851&lt;&gt;"대체",$I1851&gt;0),"지출 과목인데 수입에 적혔습니다",IF($K1851="","증빙을 고르십시오",IF(AND($C1851="바우처통장",$J1851&gt;0,IFERROR(INDEX('통합 ④ 설정'!$E$6:$E$40,MATCH($D1851,'통합 ④ 설정'!$B$6:$B$40,0)),"")&lt;&gt;"○"),"바우처통장 지출 — 목적 확인",IF($H1851="","적요를 적으십시오",""))))))))))))</f>
        <v/>
      </c>
      <c r="M1851" s="39"/>
      <c r="O1851" s="11" t="str">
        <f aca="false">IF($B1851="","",YEAR($B1851)*100+MONTH($B1851))</f>
        <v/>
      </c>
      <c r="P1851" s="11" t="str">
        <f aca="false">IF($B1851="","",IF($E1851="대체",0,1))</f>
        <v/>
      </c>
    </row>
    <row r="1852" customFormat="false" ht="15" hidden="false" customHeight="false" outlineLevel="0" collapsed="false">
      <c r="A1852" s="36" t="str">
        <f aca="false">IF($B1852="","",COUNT($B$15:$B1852))</f>
        <v/>
      </c>
      <c r="B1852" s="37"/>
      <c r="C1852" s="38"/>
      <c r="D1852" s="39"/>
      <c r="E1852" s="36" t="str">
        <f aca="false">IF($D1852="","",IFERROR(INDEX('통합 ④ 설정'!$A$6:$A$40,MATCH($D1852,'통합 ④ 설정'!$B$6:$B$40,0)),"※없는 과목"))</f>
        <v/>
      </c>
      <c r="F1852" s="36" t="str">
        <f aca="false">IF($D1852="","",IFERROR(INDEX('통합 ④ 설정'!$C$6:$C$40,MATCH($D1852,'통합 ④ 설정'!$B$6:$B$40,0)),""))</f>
        <v/>
      </c>
      <c r="G1852" s="39"/>
      <c r="H1852" s="39"/>
      <c r="I1852" s="40"/>
      <c r="J1852" s="41"/>
      <c r="K1852" s="38"/>
      <c r="L1852" s="42" t="str">
        <f aca="false">IF($B1852="","",IF(AND(N($I1852)=0,N($J1852)=0),"금액이 없습니다",IF(AND($I1852&gt;0,$J1852&gt;0),"수입·지출 둘 다 적혔습니다",IF($C1852="","결제수단을 고르십시오",IF(ISNA(MATCH($C1852,'통합 ③ 통장·카드'!$A$5:$A$11,0)),"③ 통장·카드에 없는 결제수단입니다",IF($D1852="","계정과목을 고르십시오",IF($E1852="※없는 과목","④ 설정에 없는 과목입니다",IF(AND($E1852="수입",$J1852&gt;0),"수입 과목인데 지출에 적혔습니다",IF(AND(LEFT($E1852,2)&lt;&gt;"수입",$E1852&lt;&gt;"대체",$I1852&gt;0),"지출 과목인데 수입에 적혔습니다",IF($K1852="","증빙을 고르십시오",IF(AND($C1852="바우처통장",$J1852&gt;0,IFERROR(INDEX('통합 ④ 설정'!$E$6:$E$40,MATCH($D1852,'통합 ④ 설정'!$B$6:$B$40,0)),"")&lt;&gt;"○"),"바우처통장 지출 — 목적 확인",IF($H1852="","적요를 적으십시오",""))))))))))))</f>
        <v/>
      </c>
      <c r="M1852" s="39"/>
      <c r="O1852" s="11" t="str">
        <f aca="false">IF($B1852="","",YEAR($B1852)*100+MONTH($B1852))</f>
        <v/>
      </c>
      <c r="P1852" s="11" t="str">
        <f aca="false">IF($B1852="","",IF($E1852="대체",0,1))</f>
        <v/>
      </c>
    </row>
    <row r="1853" customFormat="false" ht="15" hidden="false" customHeight="false" outlineLevel="0" collapsed="false">
      <c r="A1853" s="36" t="str">
        <f aca="false">IF($B1853="","",COUNT($B$15:$B1853))</f>
        <v/>
      </c>
      <c r="B1853" s="37"/>
      <c r="C1853" s="38"/>
      <c r="D1853" s="39"/>
      <c r="E1853" s="36" t="str">
        <f aca="false">IF($D1853="","",IFERROR(INDEX('통합 ④ 설정'!$A$6:$A$40,MATCH($D1853,'통합 ④ 설정'!$B$6:$B$40,0)),"※없는 과목"))</f>
        <v/>
      </c>
      <c r="F1853" s="36" t="str">
        <f aca="false">IF($D1853="","",IFERROR(INDEX('통합 ④ 설정'!$C$6:$C$40,MATCH($D1853,'통합 ④ 설정'!$B$6:$B$40,0)),""))</f>
        <v/>
      </c>
      <c r="G1853" s="39"/>
      <c r="H1853" s="39"/>
      <c r="I1853" s="40"/>
      <c r="J1853" s="41"/>
      <c r="K1853" s="38"/>
      <c r="L1853" s="42" t="str">
        <f aca="false">IF($B1853="","",IF(AND(N($I1853)=0,N($J1853)=0),"금액이 없습니다",IF(AND($I1853&gt;0,$J1853&gt;0),"수입·지출 둘 다 적혔습니다",IF($C1853="","결제수단을 고르십시오",IF(ISNA(MATCH($C1853,'통합 ③ 통장·카드'!$A$5:$A$11,0)),"③ 통장·카드에 없는 결제수단입니다",IF($D1853="","계정과목을 고르십시오",IF($E1853="※없는 과목","④ 설정에 없는 과목입니다",IF(AND($E1853="수입",$J1853&gt;0),"수입 과목인데 지출에 적혔습니다",IF(AND(LEFT($E1853,2)&lt;&gt;"수입",$E1853&lt;&gt;"대체",$I1853&gt;0),"지출 과목인데 수입에 적혔습니다",IF($K1853="","증빙을 고르십시오",IF(AND($C1853="바우처통장",$J1853&gt;0,IFERROR(INDEX('통합 ④ 설정'!$E$6:$E$40,MATCH($D1853,'통합 ④ 설정'!$B$6:$B$40,0)),"")&lt;&gt;"○"),"바우처통장 지출 — 목적 확인",IF($H1853="","적요를 적으십시오",""))))))))))))</f>
        <v/>
      </c>
      <c r="M1853" s="39"/>
      <c r="O1853" s="11" t="str">
        <f aca="false">IF($B1853="","",YEAR($B1853)*100+MONTH($B1853))</f>
        <v/>
      </c>
      <c r="P1853" s="11" t="str">
        <f aca="false">IF($B1853="","",IF($E1853="대체",0,1))</f>
        <v/>
      </c>
    </row>
    <row r="1854" customFormat="false" ht="15" hidden="false" customHeight="false" outlineLevel="0" collapsed="false">
      <c r="A1854" s="36" t="str">
        <f aca="false">IF($B1854="","",COUNT($B$15:$B1854))</f>
        <v/>
      </c>
      <c r="B1854" s="37"/>
      <c r="C1854" s="38"/>
      <c r="D1854" s="39"/>
      <c r="E1854" s="36" t="str">
        <f aca="false">IF($D1854="","",IFERROR(INDEX('통합 ④ 설정'!$A$6:$A$40,MATCH($D1854,'통합 ④ 설정'!$B$6:$B$40,0)),"※없는 과목"))</f>
        <v/>
      </c>
      <c r="F1854" s="36" t="str">
        <f aca="false">IF($D1854="","",IFERROR(INDEX('통합 ④ 설정'!$C$6:$C$40,MATCH($D1854,'통합 ④ 설정'!$B$6:$B$40,0)),""))</f>
        <v/>
      </c>
      <c r="G1854" s="39"/>
      <c r="H1854" s="39"/>
      <c r="I1854" s="40"/>
      <c r="J1854" s="41"/>
      <c r="K1854" s="38"/>
      <c r="L1854" s="42" t="str">
        <f aca="false">IF($B1854="","",IF(AND(N($I1854)=0,N($J1854)=0),"금액이 없습니다",IF(AND($I1854&gt;0,$J1854&gt;0),"수입·지출 둘 다 적혔습니다",IF($C1854="","결제수단을 고르십시오",IF(ISNA(MATCH($C1854,'통합 ③ 통장·카드'!$A$5:$A$11,0)),"③ 통장·카드에 없는 결제수단입니다",IF($D1854="","계정과목을 고르십시오",IF($E1854="※없는 과목","④ 설정에 없는 과목입니다",IF(AND($E1854="수입",$J1854&gt;0),"수입 과목인데 지출에 적혔습니다",IF(AND(LEFT($E1854,2)&lt;&gt;"수입",$E1854&lt;&gt;"대체",$I1854&gt;0),"지출 과목인데 수입에 적혔습니다",IF($K1854="","증빙을 고르십시오",IF(AND($C1854="바우처통장",$J1854&gt;0,IFERROR(INDEX('통합 ④ 설정'!$E$6:$E$40,MATCH($D1854,'통합 ④ 설정'!$B$6:$B$40,0)),"")&lt;&gt;"○"),"바우처통장 지출 — 목적 확인",IF($H1854="","적요를 적으십시오",""))))))))))))</f>
        <v/>
      </c>
      <c r="M1854" s="39"/>
      <c r="O1854" s="11" t="str">
        <f aca="false">IF($B1854="","",YEAR($B1854)*100+MONTH($B1854))</f>
        <v/>
      </c>
      <c r="P1854" s="11" t="str">
        <f aca="false">IF($B1854="","",IF($E1854="대체",0,1))</f>
        <v/>
      </c>
    </row>
    <row r="1855" customFormat="false" ht="15" hidden="false" customHeight="false" outlineLevel="0" collapsed="false">
      <c r="A1855" s="36" t="str">
        <f aca="false">IF($B1855="","",COUNT($B$15:$B1855))</f>
        <v/>
      </c>
      <c r="B1855" s="37"/>
      <c r="C1855" s="38"/>
      <c r="D1855" s="39"/>
      <c r="E1855" s="36" t="str">
        <f aca="false">IF($D1855="","",IFERROR(INDEX('통합 ④ 설정'!$A$6:$A$40,MATCH($D1855,'통합 ④ 설정'!$B$6:$B$40,0)),"※없는 과목"))</f>
        <v/>
      </c>
      <c r="F1855" s="36" t="str">
        <f aca="false">IF($D1855="","",IFERROR(INDEX('통합 ④ 설정'!$C$6:$C$40,MATCH($D1855,'통합 ④ 설정'!$B$6:$B$40,0)),""))</f>
        <v/>
      </c>
      <c r="G1855" s="39"/>
      <c r="H1855" s="39"/>
      <c r="I1855" s="40"/>
      <c r="J1855" s="41"/>
      <c r="K1855" s="38"/>
      <c r="L1855" s="42" t="str">
        <f aca="false">IF($B1855="","",IF(AND(N($I1855)=0,N($J1855)=0),"금액이 없습니다",IF(AND($I1855&gt;0,$J1855&gt;0),"수입·지출 둘 다 적혔습니다",IF($C1855="","결제수단을 고르십시오",IF(ISNA(MATCH($C1855,'통합 ③ 통장·카드'!$A$5:$A$11,0)),"③ 통장·카드에 없는 결제수단입니다",IF($D1855="","계정과목을 고르십시오",IF($E1855="※없는 과목","④ 설정에 없는 과목입니다",IF(AND($E1855="수입",$J1855&gt;0),"수입 과목인데 지출에 적혔습니다",IF(AND(LEFT($E1855,2)&lt;&gt;"수입",$E1855&lt;&gt;"대체",$I1855&gt;0),"지출 과목인데 수입에 적혔습니다",IF($K1855="","증빙을 고르십시오",IF(AND($C1855="바우처통장",$J1855&gt;0,IFERROR(INDEX('통합 ④ 설정'!$E$6:$E$40,MATCH($D1855,'통합 ④ 설정'!$B$6:$B$40,0)),"")&lt;&gt;"○"),"바우처통장 지출 — 목적 확인",IF($H1855="","적요를 적으십시오",""))))))))))))</f>
        <v/>
      </c>
      <c r="M1855" s="39"/>
      <c r="O1855" s="11" t="str">
        <f aca="false">IF($B1855="","",YEAR($B1855)*100+MONTH($B1855))</f>
        <v/>
      </c>
      <c r="P1855" s="11" t="str">
        <f aca="false">IF($B1855="","",IF($E1855="대체",0,1))</f>
        <v/>
      </c>
    </row>
    <row r="1856" customFormat="false" ht="15" hidden="false" customHeight="false" outlineLevel="0" collapsed="false">
      <c r="A1856" s="36" t="str">
        <f aca="false">IF($B1856="","",COUNT($B$15:$B1856))</f>
        <v/>
      </c>
      <c r="B1856" s="37"/>
      <c r="C1856" s="38"/>
      <c r="D1856" s="39"/>
      <c r="E1856" s="36" t="str">
        <f aca="false">IF($D1856="","",IFERROR(INDEX('통합 ④ 설정'!$A$6:$A$40,MATCH($D1856,'통합 ④ 설정'!$B$6:$B$40,0)),"※없는 과목"))</f>
        <v/>
      </c>
      <c r="F1856" s="36" t="str">
        <f aca="false">IF($D1856="","",IFERROR(INDEX('통합 ④ 설정'!$C$6:$C$40,MATCH($D1856,'통합 ④ 설정'!$B$6:$B$40,0)),""))</f>
        <v/>
      </c>
      <c r="G1856" s="39"/>
      <c r="H1856" s="39"/>
      <c r="I1856" s="40"/>
      <c r="J1856" s="41"/>
      <c r="K1856" s="38"/>
      <c r="L1856" s="42" t="str">
        <f aca="false">IF($B1856="","",IF(AND(N($I1856)=0,N($J1856)=0),"금액이 없습니다",IF(AND($I1856&gt;0,$J1856&gt;0),"수입·지출 둘 다 적혔습니다",IF($C1856="","결제수단을 고르십시오",IF(ISNA(MATCH($C1856,'통합 ③ 통장·카드'!$A$5:$A$11,0)),"③ 통장·카드에 없는 결제수단입니다",IF($D1856="","계정과목을 고르십시오",IF($E1856="※없는 과목","④ 설정에 없는 과목입니다",IF(AND($E1856="수입",$J1856&gt;0),"수입 과목인데 지출에 적혔습니다",IF(AND(LEFT($E1856,2)&lt;&gt;"수입",$E1856&lt;&gt;"대체",$I1856&gt;0),"지출 과목인데 수입에 적혔습니다",IF($K1856="","증빙을 고르십시오",IF(AND($C1856="바우처통장",$J1856&gt;0,IFERROR(INDEX('통합 ④ 설정'!$E$6:$E$40,MATCH($D1856,'통합 ④ 설정'!$B$6:$B$40,0)),"")&lt;&gt;"○"),"바우처통장 지출 — 목적 확인",IF($H1856="","적요를 적으십시오",""))))))))))))</f>
        <v/>
      </c>
      <c r="M1856" s="39"/>
      <c r="O1856" s="11" t="str">
        <f aca="false">IF($B1856="","",YEAR($B1856)*100+MONTH($B1856))</f>
        <v/>
      </c>
      <c r="P1856" s="11" t="str">
        <f aca="false">IF($B1856="","",IF($E1856="대체",0,1))</f>
        <v/>
      </c>
    </row>
    <row r="1857" customFormat="false" ht="15" hidden="false" customHeight="false" outlineLevel="0" collapsed="false">
      <c r="A1857" s="36" t="str">
        <f aca="false">IF($B1857="","",COUNT($B$15:$B1857))</f>
        <v/>
      </c>
      <c r="B1857" s="37"/>
      <c r="C1857" s="38"/>
      <c r="D1857" s="39"/>
      <c r="E1857" s="36" t="str">
        <f aca="false">IF($D1857="","",IFERROR(INDEX('통합 ④ 설정'!$A$6:$A$40,MATCH($D1857,'통합 ④ 설정'!$B$6:$B$40,0)),"※없는 과목"))</f>
        <v/>
      </c>
      <c r="F1857" s="36" t="str">
        <f aca="false">IF($D1857="","",IFERROR(INDEX('통합 ④ 설정'!$C$6:$C$40,MATCH($D1857,'통합 ④ 설정'!$B$6:$B$40,0)),""))</f>
        <v/>
      </c>
      <c r="G1857" s="39"/>
      <c r="H1857" s="39"/>
      <c r="I1857" s="40"/>
      <c r="J1857" s="41"/>
      <c r="K1857" s="38"/>
      <c r="L1857" s="42" t="str">
        <f aca="false">IF($B1857="","",IF(AND(N($I1857)=0,N($J1857)=0),"금액이 없습니다",IF(AND($I1857&gt;0,$J1857&gt;0),"수입·지출 둘 다 적혔습니다",IF($C1857="","결제수단을 고르십시오",IF(ISNA(MATCH($C1857,'통합 ③ 통장·카드'!$A$5:$A$11,0)),"③ 통장·카드에 없는 결제수단입니다",IF($D1857="","계정과목을 고르십시오",IF($E1857="※없는 과목","④ 설정에 없는 과목입니다",IF(AND($E1857="수입",$J1857&gt;0),"수입 과목인데 지출에 적혔습니다",IF(AND(LEFT($E1857,2)&lt;&gt;"수입",$E1857&lt;&gt;"대체",$I1857&gt;0),"지출 과목인데 수입에 적혔습니다",IF($K1857="","증빙을 고르십시오",IF(AND($C1857="바우처통장",$J1857&gt;0,IFERROR(INDEX('통합 ④ 설정'!$E$6:$E$40,MATCH($D1857,'통합 ④ 설정'!$B$6:$B$40,0)),"")&lt;&gt;"○"),"바우처통장 지출 — 목적 확인",IF($H1857="","적요를 적으십시오",""))))))))))))</f>
        <v/>
      </c>
      <c r="M1857" s="39"/>
      <c r="O1857" s="11" t="str">
        <f aca="false">IF($B1857="","",YEAR($B1857)*100+MONTH($B1857))</f>
        <v/>
      </c>
      <c r="P1857" s="11" t="str">
        <f aca="false">IF($B1857="","",IF($E1857="대체",0,1))</f>
        <v/>
      </c>
    </row>
    <row r="1858" customFormat="false" ht="15" hidden="false" customHeight="false" outlineLevel="0" collapsed="false">
      <c r="A1858" s="36" t="str">
        <f aca="false">IF($B1858="","",COUNT($B$15:$B1858))</f>
        <v/>
      </c>
      <c r="B1858" s="37"/>
      <c r="C1858" s="38"/>
      <c r="D1858" s="39"/>
      <c r="E1858" s="36" t="str">
        <f aca="false">IF($D1858="","",IFERROR(INDEX('통합 ④ 설정'!$A$6:$A$40,MATCH($D1858,'통합 ④ 설정'!$B$6:$B$40,0)),"※없는 과목"))</f>
        <v/>
      </c>
      <c r="F1858" s="36" t="str">
        <f aca="false">IF($D1858="","",IFERROR(INDEX('통합 ④ 설정'!$C$6:$C$40,MATCH($D1858,'통합 ④ 설정'!$B$6:$B$40,0)),""))</f>
        <v/>
      </c>
      <c r="G1858" s="39"/>
      <c r="H1858" s="39"/>
      <c r="I1858" s="40"/>
      <c r="J1858" s="41"/>
      <c r="K1858" s="38"/>
      <c r="L1858" s="42" t="str">
        <f aca="false">IF($B1858="","",IF(AND(N($I1858)=0,N($J1858)=0),"금액이 없습니다",IF(AND($I1858&gt;0,$J1858&gt;0),"수입·지출 둘 다 적혔습니다",IF($C1858="","결제수단을 고르십시오",IF(ISNA(MATCH($C1858,'통합 ③ 통장·카드'!$A$5:$A$11,0)),"③ 통장·카드에 없는 결제수단입니다",IF($D1858="","계정과목을 고르십시오",IF($E1858="※없는 과목","④ 설정에 없는 과목입니다",IF(AND($E1858="수입",$J1858&gt;0),"수입 과목인데 지출에 적혔습니다",IF(AND(LEFT($E1858,2)&lt;&gt;"수입",$E1858&lt;&gt;"대체",$I1858&gt;0),"지출 과목인데 수입에 적혔습니다",IF($K1858="","증빙을 고르십시오",IF(AND($C1858="바우처통장",$J1858&gt;0,IFERROR(INDEX('통합 ④ 설정'!$E$6:$E$40,MATCH($D1858,'통합 ④ 설정'!$B$6:$B$40,0)),"")&lt;&gt;"○"),"바우처통장 지출 — 목적 확인",IF($H1858="","적요를 적으십시오",""))))))))))))</f>
        <v/>
      </c>
      <c r="M1858" s="39"/>
      <c r="O1858" s="11" t="str">
        <f aca="false">IF($B1858="","",YEAR($B1858)*100+MONTH($B1858))</f>
        <v/>
      </c>
      <c r="P1858" s="11" t="str">
        <f aca="false">IF($B1858="","",IF($E1858="대체",0,1))</f>
        <v/>
      </c>
    </row>
    <row r="1859" customFormat="false" ht="15" hidden="false" customHeight="false" outlineLevel="0" collapsed="false">
      <c r="A1859" s="36" t="str">
        <f aca="false">IF($B1859="","",COUNT($B$15:$B1859))</f>
        <v/>
      </c>
      <c r="B1859" s="37"/>
      <c r="C1859" s="38"/>
      <c r="D1859" s="39"/>
      <c r="E1859" s="36" t="str">
        <f aca="false">IF($D1859="","",IFERROR(INDEX('통합 ④ 설정'!$A$6:$A$40,MATCH($D1859,'통합 ④ 설정'!$B$6:$B$40,0)),"※없는 과목"))</f>
        <v/>
      </c>
      <c r="F1859" s="36" t="str">
        <f aca="false">IF($D1859="","",IFERROR(INDEX('통합 ④ 설정'!$C$6:$C$40,MATCH($D1859,'통합 ④ 설정'!$B$6:$B$40,0)),""))</f>
        <v/>
      </c>
      <c r="G1859" s="39"/>
      <c r="H1859" s="39"/>
      <c r="I1859" s="40"/>
      <c r="J1859" s="41"/>
      <c r="K1859" s="38"/>
      <c r="L1859" s="42" t="str">
        <f aca="false">IF($B1859="","",IF(AND(N($I1859)=0,N($J1859)=0),"금액이 없습니다",IF(AND($I1859&gt;0,$J1859&gt;0),"수입·지출 둘 다 적혔습니다",IF($C1859="","결제수단을 고르십시오",IF(ISNA(MATCH($C1859,'통합 ③ 통장·카드'!$A$5:$A$11,0)),"③ 통장·카드에 없는 결제수단입니다",IF($D1859="","계정과목을 고르십시오",IF($E1859="※없는 과목","④ 설정에 없는 과목입니다",IF(AND($E1859="수입",$J1859&gt;0),"수입 과목인데 지출에 적혔습니다",IF(AND(LEFT($E1859,2)&lt;&gt;"수입",$E1859&lt;&gt;"대체",$I1859&gt;0),"지출 과목인데 수입에 적혔습니다",IF($K1859="","증빙을 고르십시오",IF(AND($C1859="바우처통장",$J1859&gt;0,IFERROR(INDEX('통합 ④ 설정'!$E$6:$E$40,MATCH($D1859,'통합 ④ 설정'!$B$6:$B$40,0)),"")&lt;&gt;"○"),"바우처통장 지출 — 목적 확인",IF($H1859="","적요를 적으십시오",""))))))))))))</f>
        <v/>
      </c>
      <c r="M1859" s="39"/>
      <c r="O1859" s="11" t="str">
        <f aca="false">IF($B1859="","",YEAR($B1859)*100+MONTH($B1859))</f>
        <v/>
      </c>
      <c r="P1859" s="11" t="str">
        <f aca="false">IF($B1859="","",IF($E1859="대체",0,1))</f>
        <v/>
      </c>
    </row>
    <row r="1860" customFormat="false" ht="15" hidden="false" customHeight="false" outlineLevel="0" collapsed="false">
      <c r="A1860" s="36" t="str">
        <f aca="false">IF($B1860="","",COUNT($B$15:$B1860))</f>
        <v/>
      </c>
      <c r="B1860" s="37"/>
      <c r="C1860" s="38"/>
      <c r="D1860" s="39"/>
      <c r="E1860" s="36" t="str">
        <f aca="false">IF($D1860="","",IFERROR(INDEX('통합 ④ 설정'!$A$6:$A$40,MATCH($D1860,'통합 ④ 설정'!$B$6:$B$40,0)),"※없는 과목"))</f>
        <v/>
      </c>
      <c r="F1860" s="36" t="str">
        <f aca="false">IF($D1860="","",IFERROR(INDEX('통합 ④ 설정'!$C$6:$C$40,MATCH($D1860,'통합 ④ 설정'!$B$6:$B$40,0)),""))</f>
        <v/>
      </c>
      <c r="G1860" s="39"/>
      <c r="H1860" s="39"/>
      <c r="I1860" s="40"/>
      <c r="J1860" s="41"/>
      <c r="K1860" s="38"/>
      <c r="L1860" s="42" t="str">
        <f aca="false">IF($B1860="","",IF(AND(N($I1860)=0,N($J1860)=0),"금액이 없습니다",IF(AND($I1860&gt;0,$J1860&gt;0),"수입·지출 둘 다 적혔습니다",IF($C1860="","결제수단을 고르십시오",IF(ISNA(MATCH($C1860,'통합 ③ 통장·카드'!$A$5:$A$11,0)),"③ 통장·카드에 없는 결제수단입니다",IF($D1860="","계정과목을 고르십시오",IF($E1860="※없는 과목","④ 설정에 없는 과목입니다",IF(AND($E1860="수입",$J1860&gt;0),"수입 과목인데 지출에 적혔습니다",IF(AND(LEFT($E1860,2)&lt;&gt;"수입",$E1860&lt;&gt;"대체",$I1860&gt;0),"지출 과목인데 수입에 적혔습니다",IF($K1860="","증빙을 고르십시오",IF(AND($C1860="바우처통장",$J1860&gt;0,IFERROR(INDEX('통합 ④ 설정'!$E$6:$E$40,MATCH($D1860,'통합 ④ 설정'!$B$6:$B$40,0)),"")&lt;&gt;"○"),"바우처통장 지출 — 목적 확인",IF($H1860="","적요를 적으십시오",""))))))))))))</f>
        <v/>
      </c>
      <c r="M1860" s="39"/>
      <c r="O1860" s="11" t="str">
        <f aca="false">IF($B1860="","",YEAR($B1860)*100+MONTH($B1860))</f>
        <v/>
      </c>
      <c r="P1860" s="11" t="str">
        <f aca="false">IF($B1860="","",IF($E1860="대체",0,1))</f>
        <v/>
      </c>
    </row>
    <row r="1861" customFormat="false" ht="15" hidden="false" customHeight="false" outlineLevel="0" collapsed="false">
      <c r="A1861" s="36" t="str">
        <f aca="false">IF($B1861="","",COUNT($B$15:$B1861))</f>
        <v/>
      </c>
      <c r="B1861" s="37"/>
      <c r="C1861" s="38"/>
      <c r="D1861" s="39"/>
      <c r="E1861" s="36" t="str">
        <f aca="false">IF($D1861="","",IFERROR(INDEX('통합 ④ 설정'!$A$6:$A$40,MATCH($D1861,'통합 ④ 설정'!$B$6:$B$40,0)),"※없는 과목"))</f>
        <v/>
      </c>
      <c r="F1861" s="36" t="str">
        <f aca="false">IF($D1861="","",IFERROR(INDEX('통합 ④ 설정'!$C$6:$C$40,MATCH($D1861,'통합 ④ 설정'!$B$6:$B$40,0)),""))</f>
        <v/>
      </c>
      <c r="G1861" s="39"/>
      <c r="H1861" s="39"/>
      <c r="I1861" s="40"/>
      <c r="J1861" s="41"/>
      <c r="K1861" s="38"/>
      <c r="L1861" s="42" t="str">
        <f aca="false">IF($B1861="","",IF(AND(N($I1861)=0,N($J1861)=0),"금액이 없습니다",IF(AND($I1861&gt;0,$J1861&gt;0),"수입·지출 둘 다 적혔습니다",IF($C1861="","결제수단을 고르십시오",IF(ISNA(MATCH($C1861,'통합 ③ 통장·카드'!$A$5:$A$11,0)),"③ 통장·카드에 없는 결제수단입니다",IF($D1861="","계정과목을 고르십시오",IF($E1861="※없는 과목","④ 설정에 없는 과목입니다",IF(AND($E1861="수입",$J1861&gt;0),"수입 과목인데 지출에 적혔습니다",IF(AND(LEFT($E1861,2)&lt;&gt;"수입",$E1861&lt;&gt;"대체",$I1861&gt;0),"지출 과목인데 수입에 적혔습니다",IF($K1861="","증빙을 고르십시오",IF(AND($C1861="바우처통장",$J1861&gt;0,IFERROR(INDEX('통합 ④ 설정'!$E$6:$E$40,MATCH($D1861,'통합 ④ 설정'!$B$6:$B$40,0)),"")&lt;&gt;"○"),"바우처통장 지출 — 목적 확인",IF($H1861="","적요를 적으십시오",""))))))))))))</f>
        <v/>
      </c>
      <c r="M1861" s="39"/>
      <c r="O1861" s="11" t="str">
        <f aca="false">IF($B1861="","",YEAR($B1861)*100+MONTH($B1861))</f>
        <v/>
      </c>
      <c r="P1861" s="11" t="str">
        <f aca="false">IF($B1861="","",IF($E1861="대체",0,1))</f>
        <v/>
      </c>
    </row>
    <row r="1862" customFormat="false" ht="15" hidden="false" customHeight="false" outlineLevel="0" collapsed="false">
      <c r="A1862" s="36" t="str">
        <f aca="false">IF($B1862="","",COUNT($B$15:$B1862))</f>
        <v/>
      </c>
      <c r="B1862" s="37"/>
      <c r="C1862" s="38"/>
      <c r="D1862" s="39"/>
      <c r="E1862" s="36" t="str">
        <f aca="false">IF($D1862="","",IFERROR(INDEX('통합 ④ 설정'!$A$6:$A$40,MATCH($D1862,'통합 ④ 설정'!$B$6:$B$40,0)),"※없는 과목"))</f>
        <v/>
      </c>
      <c r="F1862" s="36" t="str">
        <f aca="false">IF($D1862="","",IFERROR(INDEX('통합 ④ 설정'!$C$6:$C$40,MATCH($D1862,'통합 ④ 설정'!$B$6:$B$40,0)),""))</f>
        <v/>
      </c>
      <c r="G1862" s="39"/>
      <c r="H1862" s="39"/>
      <c r="I1862" s="40"/>
      <c r="J1862" s="41"/>
      <c r="K1862" s="38"/>
      <c r="L1862" s="42" t="str">
        <f aca="false">IF($B1862="","",IF(AND(N($I1862)=0,N($J1862)=0),"금액이 없습니다",IF(AND($I1862&gt;0,$J1862&gt;0),"수입·지출 둘 다 적혔습니다",IF($C1862="","결제수단을 고르십시오",IF(ISNA(MATCH($C1862,'통합 ③ 통장·카드'!$A$5:$A$11,0)),"③ 통장·카드에 없는 결제수단입니다",IF($D1862="","계정과목을 고르십시오",IF($E1862="※없는 과목","④ 설정에 없는 과목입니다",IF(AND($E1862="수입",$J1862&gt;0),"수입 과목인데 지출에 적혔습니다",IF(AND(LEFT($E1862,2)&lt;&gt;"수입",$E1862&lt;&gt;"대체",$I1862&gt;0),"지출 과목인데 수입에 적혔습니다",IF($K1862="","증빙을 고르십시오",IF(AND($C1862="바우처통장",$J1862&gt;0,IFERROR(INDEX('통합 ④ 설정'!$E$6:$E$40,MATCH($D1862,'통합 ④ 설정'!$B$6:$B$40,0)),"")&lt;&gt;"○"),"바우처통장 지출 — 목적 확인",IF($H1862="","적요를 적으십시오",""))))))))))))</f>
        <v/>
      </c>
      <c r="M1862" s="39"/>
      <c r="O1862" s="11" t="str">
        <f aca="false">IF($B1862="","",YEAR($B1862)*100+MONTH($B1862))</f>
        <v/>
      </c>
      <c r="P1862" s="11" t="str">
        <f aca="false">IF($B1862="","",IF($E1862="대체",0,1))</f>
        <v/>
      </c>
    </row>
    <row r="1863" customFormat="false" ht="15" hidden="false" customHeight="false" outlineLevel="0" collapsed="false">
      <c r="A1863" s="36" t="str">
        <f aca="false">IF($B1863="","",COUNT($B$15:$B1863))</f>
        <v/>
      </c>
      <c r="B1863" s="37"/>
      <c r="C1863" s="38"/>
      <c r="D1863" s="39"/>
      <c r="E1863" s="36" t="str">
        <f aca="false">IF($D1863="","",IFERROR(INDEX('통합 ④ 설정'!$A$6:$A$40,MATCH($D1863,'통합 ④ 설정'!$B$6:$B$40,0)),"※없는 과목"))</f>
        <v/>
      </c>
      <c r="F1863" s="36" t="str">
        <f aca="false">IF($D1863="","",IFERROR(INDEX('통합 ④ 설정'!$C$6:$C$40,MATCH($D1863,'통합 ④ 설정'!$B$6:$B$40,0)),""))</f>
        <v/>
      </c>
      <c r="G1863" s="39"/>
      <c r="H1863" s="39"/>
      <c r="I1863" s="40"/>
      <c r="J1863" s="41"/>
      <c r="K1863" s="38"/>
      <c r="L1863" s="42" t="str">
        <f aca="false">IF($B1863="","",IF(AND(N($I1863)=0,N($J1863)=0),"금액이 없습니다",IF(AND($I1863&gt;0,$J1863&gt;0),"수입·지출 둘 다 적혔습니다",IF($C1863="","결제수단을 고르십시오",IF(ISNA(MATCH($C1863,'통합 ③ 통장·카드'!$A$5:$A$11,0)),"③ 통장·카드에 없는 결제수단입니다",IF($D1863="","계정과목을 고르십시오",IF($E1863="※없는 과목","④ 설정에 없는 과목입니다",IF(AND($E1863="수입",$J1863&gt;0),"수입 과목인데 지출에 적혔습니다",IF(AND(LEFT($E1863,2)&lt;&gt;"수입",$E1863&lt;&gt;"대체",$I1863&gt;0),"지출 과목인데 수입에 적혔습니다",IF($K1863="","증빙을 고르십시오",IF(AND($C1863="바우처통장",$J1863&gt;0,IFERROR(INDEX('통합 ④ 설정'!$E$6:$E$40,MATCH($D1863,'통합 ④ 설정'!$B$6:$B$40,0)),"")&lt;&gt;"○"),"바우처통장 지출 — 목적 확인",IF($H1863="","적요를 적으십시오",""))))))))))))</f>
        <v/>
      </c>
      <c r="M1863" s="39"/>
      <c r="O1863" s="11" t="str">
        <f aca="false">IF($B1863="","",YEAR($B1863)*100+MONTH($B1863))</f>
        <v/>
      </c>
      <c r="P1863" s="11" t="str">
        <f aca="false">IF($B1863="","",IF($E1863="대체",0,1))</f>
        <v/>
      </c>
    </row>
    <row r="1864" customFormat="false" ht="15" hidden="false" customHeight="false" outlineLevel="0" collapsed="false">
      <c r="A1864" s="36" t="str">
        <f aca="false">IF($B1864="","",COUNT($B$15:$B1864))</f>
        <v/>
      </c>
      <c r="B1864" s="37"/>
      <c r="C1864" s="38"/>
      <c r="D1864" s="39"/>
      <c r="E1864" s="36" t="str">
        <f aca="false">IF($D1864="","",IFERROR(INDEX('통합 ④ 설정'!$A$6:$A$40,MATCH($D1864,'통합 ④ 설정'!$B$6:$B$40,0)),"※없는 과목"))</f>
        <v/>
      </c>
      <c r="F1864" s="36" t="str">
        <f aca="false">IF($D1864="","",IFERROR(INDEX('통합 ④ 설정'!$C$6:$C$40,MATCH($D1864,'통합 ④ 설정'!$B$6:$B$40,0)),""))</f>
        <v/>
      </c>
      <c r="G1864" s="39"/>
      <c r="H1864" s="39"/>
      <c r="I1864" s="40"/>
      <c r="J1864" s="41"/>
      <c r="K1864" s="38"/>
      <c r="L1864" s="42" t="str">
        <f aca="false">IF($B1864="","",IF(AND(N($I1864)=0,N($J1864)=0),"금액이 없습니다",IF(AND($I1864&gt;0,$J1864&gt;0),"수입·지출 둘 다 적혔습니다",IF($C1864="","결제수단을 고르십시오",IF(ISNA(MATCH($C1864,'통합 ③ 통장·카드'!$A$5:$A$11,0)),"③ 통장·카드에 없는 결제수단입니다",IF($D1864="","계정과목을 고르십시오",IF($E1864="※없는 과목","④ 설정에 없는 과목입니다",IF(AND($E1864="수입",$J1864&gt;0),"수입 과목인데 지출에 적혔습니다",IF(AND(LEFT($E1864,2)&lt;&gt;"수입",$E1864&lt;&gt;"대체",$I1864&gt;0),"지출 과목인데 수입에 적혔습니다",IF($K1864="","증빙을 고르십시오",IF(AND($C1864="바우처통장",$J1864&gt;0,IFERROR(INDEX('통합 ④ 설정'!$E$6:$E$40,MATCH($D1864,'통합 ④ 설정'!$B$6:$B$40,0)),"")&lt;&gt;"○"),"바우처통장 지출 — 목적 확인",IF($H1864="","적요를 적으십시오",""))))))))))))</f>
        <v/>
      </c>
      <c r="M1864" s="39"/>
      <c r="O1864" s="11" t="str">
        <f aca="false">IF($B1864="","",YEAR($B1864)*100+MONTH($B1864))</f>
        <v/>
      </c>
      <c r="P1864" s="11" t="str">
        <f aca="false">IF($B1864="","",IF($E1864="대체",0,1))</f>
        <v/>
      </c>
    </row>
    <row r="1865" customFormat="false" ht="15" hidden="false" customHeight="false" outlineLevel="0" collapsed="false">
      <c r="A1865" s="36" t="str">
        <f aca="false">IF($B1865="","",COUNT($B$15:$B1865))</f>
        <v/>
      </c>
      <c r="B1865" s="37"/>
      <c r="C1865" s="38"/>
      <c r="D1865" s="39"/>
      <c r="E1865" s="36" t="str">
        <f aca="false">IF($D1865="","",IFERROR(INDEX('통합 ④ 설정'!$A$6:$A$40,MATCH($D1865,'통합 ④ 설정'!$B$6:$B$40,0)),"※없는 과목"))</f>
        <v/>
      </c>
      <c r="F1865" s="36" t="str">
        <f aca="false">IF($D1865="","",IFERROR(INDEX('통합 ④ 설정'!$C$6:$C$40,MATCH($D1865,'통합 ④ 설정'!$B$6:$B$40,0)),""))</f>
        <v/>
      </c>
      <c r="G1865" s="39"/>
      <c r="H1865" s="39"/>
      <c r="I1865" s="40"/>
      <c r="J1865" s="41"/>
      <c r="K1865" s="38"/>
      <c r="L1865" s="42" t="str">
        <f aca="false">IF($B1865="","",IF(AND(N($I1865)=0,N($J1865)=0),"금액이 없습니다",IF(AND($I1865&gt;0,$J1865&gt;0),"수입·지출 둘 다 적혔습니다",IF($C1865="","결제수단을 고르십시오",IF(ISNA(MATCH($C1865,'통합 ③ 통장·카드'!$A$5:$A$11,0)),"③ 통장·카드에 없는 결제수단입니다",IF($D1865="","계정과목을 고르십시오",IF($E1865="※없는 과목","④ 설정에 없는 과목입니다",IF(AND($E1865="수입",$J1865&gt;0),"수입 과목인데 지출에 적혔습니다",IF(AND(LEFT($E1865,2)&lt;&gt;"수입",$E1865&lt;&gt;"대체",$I1865&gt;0),"지출 과목인데 수입에 적혔습니다",IF($K1865="","증빙을 고르십시오",IF(AND($C1865="바우처통장",$J1865&gt;0,IFERROR(INDEX('통합 ④ 설정'!$E$6:$E$40,MATCH($D1865,'통합 ④ 설정'!$B$6:$B$40,0)),"")&lt;&gt;"○"),"바우처통장 지출 — 목적 확인",IF($H1865="","적요를 적으십시오",""))))))))))))</f>
        <v/>
      </c>
      <c r="M1865" s="39"/>
      <c r="O1865" s="11" t="str">
        <f aca="false">IF($B1865="","",YEAR($B1865)*100+MONTH($B1865))</f>
        <v/>
      </c>
      <c r="P1865" s="11" t="str">
        <f aca="false">IF($B1865="","",IF($E1865="대체",0,1))</f>
        <v/>
      </c>
    </row>
    <row r="1866" customFormat="false" ht="15" hidden="false" customHeight="false" outlineLevel="0" collapsed="false">
      <c r="A1866" s="36" t="str">
        <f aca="false">IF($B1866="","",COUNT($B$15:$B1866))</f>
        <v/>
      </c>
      <c r="B1866" s="37"/>
      <c r="C1866" s="38"/>
      <c r="D1866" s="39"/>
      <c r="E1866" s="36" t="str">
        <f aca="false">IF($D1866="","",IFERROR(INDEX('통합 ④ 설정'!$A$6:$A$40,MATCH($D1866,'통합 ④ 설정'!$B$6:$B$40,0)),"※없는 과목"))</f>
        <v/>
      </c>
      <c r="F1866" s="36" t="str">
        <f aca="false">IF($D1866="","",IFERROR(INDEX('통합 ④ 설정'!$C$6:$C$40,MATCH($D1866,'통합 ④ 설정'!$B$6:$B$40,0)),""))</f>
        <v/>
      </c>
      <c r="G1866" s="39"/>
      <c r="H1866" s="39"/>
      <c r="I1866" s="40"/>
      <c r="J1866" s="41"/>
      <c r="K1866" s="38"/>
      <c r="L1866" s="42" t="str">
        <f aca="false">IF($B1866="","",IF(AND(N($I1866)=0,N($J1866)=0),"금액이 없습니다",IF(AND($I1866&gt;0,$J1866&gt;0),"수입·지출 둘 다 적혔습니다",IF($C1866="","결제수단을 고르십시오",IF(ISNA(MATCH($C1866,'통합 ③ 통장·카드'!$A$5:$A$11,0)),"③ 통장·카드에 없는 결제수단입니다",IF($D1866="","계정과목을 고르십시오",IF($E1866="※없는 과목","④ 설정에 없는 과목입니다",IF(AND($E1866="수입",$J1866&gt;0),"수입 과목인데 지출에 적혔습니다",IF(AND(LEFT($E1866,2)&lt;&gt;"수입",$E1866&lt;&gt;"대체",$I1866&gt;0),"지출 과목인데 수입에 적혔습니다",IF($K1866="","증빙을 고르십시오",IF(AND($C1866="바우처통장",$J1866&gt;0,IFERROR(INDEX('통합 ④ 설정'!$E$6:$E$40,MATCH($D1866,'통합 ④ 설정'!$B$6:$B$40,0)),"")&lt;&gt;"○"),"바우처통장 지출 — 목적 확인",IF($H1866="","적요를 적으십시오",""))))))))))))</f>
        <v/>
      </c>
      <c r="M1866" s="39"/>
      <c r="O1866" s="11" t="str">
        <f aca="false">IF($B1866="","",YEAR($B1866)*100+MONTH($B1866))</f>
        <v/>
      </c>
      <c r="P1866" s="11" t="str">
        <f aca="false">IF($B1866="","",IF($E1866="대체",0,1))</f>
        <v/>
      </c>
    </row>
    <row r="1867" customFormat="false" ht="15" hidden="false" customHeight="false" outlineLevel="0" collapsed="false">
      <c r="A1867" s="36" t="str">
        <f aca="false">IF($B1867="","",COUNT($B$15:$B1867))</f>
        <v/>
      </c>
      <c r="B1867" s="37"/>
      <c r="C1867" s="38"/>
      <c r="D1867" s="39"/>
      <c r="E1867" s="36" t="str">
        <f aca="false">IF($D1867="","",IFERROR(INDEX('통합 ④ 설정'!$A$6:$A$40,MATCH($D1867,'통합 ④ 설정'!$B$6:$B$40,0)),"※없는 과목"))</f>
        <v/>
      </c>
      <c r="F1867" s="36" t="str">
        <f aca="false">IF($D1867="","",IFERROR(INDEX('통합 ④ 설정'!$C$6:$C$40,MATCH($D1867,'통합 ④ 설정'!$B$6:$B$40,0)),""))</f>
        <v/>
      </c>
      <c r="G1867" s="39"/>
      <c r="H1867" s="39"/>
      <c r="I1867" s="40"/>
      <c r="J1867" s="41"/>
      <c r="K1867" s="38"/>
      <c r="L1867" s="42" t="str">
        <f aca="false">IF($B1867="","",IF(AND(N($I1867)=0,N($J1867)=0),"금액이 없습니다",IF(AND($I1867&gt;0,$J1867&gt;0),"수입·지출 둘 다 적혔습니다",IF($C1867="","결제수단을 고르십시오",IF(ISNA(MATCH($C1867,'통합 ③ 통장·카드'!$A$5:$A$11,0)),"③ 통장·카드에 없는 결제수단입니다",IF($D1867="","계정과목을 고르십시오",IF($E1867="※없는 과목","④ 설정에 없는 과목입니다",IF(AND($E1867="수입",$J1867&gt;0),"수입 과목인데 지출에 적혔습니다",IF(AND(LEFT($E1867,2)&lt;&gt;"수입",$E1867&lt;&gt;"대체",$I1867&gt;0),"지출 과목인데 수입에 적혔습니다",IF($K1867="","증빙을 고르십시오",IF(AND($C1867="바우처통장",$J1867&gt;0,IFERROR(INDEX('통합 ④ 설정'!$E$6:$E$40,MATCH($D1867,'통합 ④ 설정'!$B$6:$B$40,0)),"")&lt;&gt;"○"),"바우처통장 지출 — 목적 확인",IF($H1867="","적요를 적으십시오",""))))))))))))</f>
        <v/>
      </c>
      <c r="M1867" s="39"/>
      <c r="O1867" s="11" t="str">
        <f aca="false">IF($B1867="","",YEAR($B1867)*100+MONTH($B1867))</f>
        <v/>
      </c>
      <c r="P1867" s="11" t="str">
        <f aca="false">IF($B1867="","",IF($E1867="대체",0,1))</f>
        <v/>
      </c>
    </row>
    <row r="1868" customFormat="false" ht="15" hidden="false" customHeight="false" outlineLevel="0" collapsed="false">
      <c r="A1868" s="36" t="str">
        <f aca="false">IF($B1868="","",COUNT($B$15:$B1868))</f>
        <v/>
      </c>
      <c r="B1868" s="37"/>
      <c r="C1868" s="38"/>
      <c r="D1868" s="39"/>
      <c r="E1868" s="36" t="str">
        <f aca="false">IF($D1868="","",IFERROR(INDEX('통합 ④ 설정'!$A$6:$A$40,MATCH($D1868,'통합 ④ 설정'!$B$6:$B$40,0)),"※없는 과목"))</f>
        <v/>
      </c>
      <c r="F1868" s="36" t="str">
        <f aca="false">IF($D1868="","",IFERROR(INDEX('통합 ④ 설정'!$C$6:$C$40,MATCH($D1868,'통합 ④ 설정'!$B$6:$B$40,0)),""))</f>
        <v/>
      </c>
      <c r="G1868" s="39"/>
      <c r="H1868" s="39"/>
      <c r="I1868" s="40"/>
      <c r="J1868" s="41"/>
      <c r="K1868" s="38"/>
      <c r="L1868" s="42" t="str">
        <f aca="false">IF($B1868="","",IF(AND(N($I1868)=0,N($J1868)=0),"금액이 없습니다",IF(AND($I1868&gt;0,$J1868&gt;0),"수입·지출 둘 다 적혔습니다",IF($C1868="","결제수단을 고르십시오",IF(ISNA(MATCH($C1868,'통합 ③ 통장·카드'!$A$5:$A$11,0)),"③ 통장·카드에 없는 결제수단입니다",IF($D1868="","계정과목을 고르십시오",IF($E1868="※없는 과목","④ 설정에 없는 과목입니다",IF(AND($E1868="수입",$J1868&gt;0),"수입 과목인데 지출에 적혔습니다",IF(AND(LEFT($E1868,2)&lt;&gt;"수입",$E1868&lt;&gt;"대체",$I1868&gt;0),"지출 과목인데 수입에 적혔습니다",IF($K1868="","증빙을 고르십시오",IF(AND($C1868="바우처통장",$J1868&gt;0,IFERROR(INDEX('통합 ④ 설정'!$E$6:$E$40,MATCH($D1868,'통합 ④ 설정'!$B$6:$B$40,0)),"")&lt;&gt;"○"),"바우처통장 지출 — 목적 확인",IF($H1868="","적요를 적으십시오",""))))))))))))</f>
        <v/>
      </c>
      <c r="M1868" s="39"/>
      <c r="O1868" s="11" t="str">
        <f aca="false">IF($B1868="","",YEAR($B1868)*100+MONTH($B1868))</f>
        <v/>
      </c>
      <c r="P1868" s="11" t="str">
        <f aca="false">IF($B1868="","",IF($E1868="대체",0,1))</f>
        <v/>
      </c>
    </row>
    <row r="1869" customFormat="false" ht="15" hidden="false" customHeight="false" outlineLevel="0" collapsed="false">
      <c r="A1869" s="36" t="str">
        <f aca="false">IF($B1869="","",COUNT($B$15:$B1869))</f>
        <v/>
      </c>
      <c r="B1869" s="37"/>
      <c r="C1869" s="38"/>
      <c r="D1869" s="39"/>
      <c r="E1869" s="36" t="str">
        <f aca="false">IF($D1869="","",IFERROR(INDEX('통합 ④ 설정'!$A$6:$A$40,MATCH($D1869,'통합 ④ 설정'!$B$6:$B$40,0)),"※없는 과목"))</f>
        <v/>
      </c>
      <c r="F1869" s="36" t="str">
        <f aca="false">IF($D1869="","",IFERROR(INDEX('통합 ④ 설정'!$C$6:$C$40,MATCH($D1869,'통합 ④ 설정'!$B$6:$B$40,0)),""))</f>
        <v/>
      </c>
      <c r="G1869" s="39"/>
      <c r="H1869" s="39"/>
      <c r="I1869" s="40"/>
      <c r="J1869" s="41"/>
      <c r="K1869" s="38"/>
      <c r="L1869" s="42" t="str">
        <f aca="false">IF($B1869="","",IF(AND(N($I1869)=0,N($J1869)=0),"금액이 없습니다",IF(AND($I1869&gt;0,$J1869&gt;0),"수입·지출 둘 다 적혔습니다",IF($C1869="","결제수단을 고르십시오",IF(ISNA(MATCH($C1869,'통합 ③ 통장·카드'!$A$5:$A$11,0)),"③ 통장·카드에 없는 결제수단입니다",IF($D1869="","계정과목을 고르십시오",IF($E1869="※없는 과목","④ 설정에 없는 과목입니다",IF(AND($E1869="수입",$J1869&gt;0),"수입 과목인데 지출에 적혔습니다",IF(AND(LEFT($E1869,2)&lt;&gt;"수입",$E1869&lt;&gt;"대체",$I1869&gt;0),"지출 과목인데 수입에 적혔습니다",IF($K1869="","증빙을 고르십시오",IF(AND($C1869="바우처통장",$J1869&gt;0,IFERROR(INDEX('통합 ④ 설정'!$E$6:$E$40,MATCH($D1869,'통합 ④ 설정'!$B$6:$B$40,0)),"")&lt;&gt;"○"),"바우처통장 지출 — 목적 확인",IF($H1869="","적요를 적으십시오",""))))))))))))</f>
        <v/>
      </c>
      <c r="M1869" s="39"/>
      <c r="O1869" s="11" t="str">
        <f aca="false">IF($B1869="","",YEAR($B1869)*100+MONTH($B1869))</f>
        <v/>
      </c>
      <c r="P1869" s="11" t="str">
        <f aca="false">IF($B1869="","",IF($E1869="대체",0,1))</f>
        <v/>
      </c>
    </row>
    <row r="1870" customFormat="false" ht="15" hidden="false" customHeight="false" outlineLevel="0" collapsed="false">
      <c r="A1870" s="36" t="str">
        <f aca="false">IF($B1870="","",COUNT($B$15:$B1870))</f>
        <v/>
      </c>
      <c r="B1870" s="37"/>
      <c r="C1870" s="38"/>
      <c r="D1870" s="39"/>
      <c r="E1870" s="36" t="str">
        <f aca="false">IF($D1870="","",IFERROR(INDEX('통합 ④ 설정'!$A$6:$A$40,MATCH($D1870,'통합 ④ 설정'!$B$6:$B$40,0)),"※없는 과목"))</f>
        <v/>
      </c>
      <c r="F1870" s="36" t="str">
        <f aca="false">IF($D1870="","",IFERROR(INDEX('통합 ④ 설정'!$C$6:$C$40,MATCH($D1870,'통합 ④ 설정'!$B$6:$B$40,0)),""))</f>
        <v/>
      </c>
      <c r="G1870" s="39"/>
      <c r="H1870" s="39"/>
      <c r="I1870" s="40"/>
      <c r="J1870" s="41"/>
      <c r="K1870" s="38"/>
      <c r="L1870" s="42" t="str">
        <f aca="false">IF($B1870="","",IF(AND(N($I1870)=0,N($J1870)=0),"금액이 없습니다",IF(AND($I1870&gt;0,$J1870&gt;0),"수입·지출 둘 다 적혔습니다",IF($C1870="","결제수단을 고르십시오",IF(ISNA(MATCH($C1870,'통합 ③ 통장·카드'!$A$5:$A$11,0)),"③ 통장·카드에 없는 결제수단입니다",IF($D1870="","계정과목을 고르십시오",IF($E1870="※없는 과목","④ 설정에 없는 과목입니다",IF(AND($E1870="수입",$J1870&gt;0),"수입 과목인데 지출에 적혔습니다",IF(AND(LEFT($E1870,2)&lt;&gt;"수입",$E1870&lt;&gt;"대체",$I1870&gt;0),"지출 과목인데 수입에 적혔습니다",IF($K1870="","증빙을 고르십시오",IF(AND($C1870="바우처통장",$J1870&gt;0,IFERROR(INDEX('통합 ④ 설정'!$E$6:$E$40,MATCH($D1870,'통합 ④ 설정'!$B$6:$B$40,0)),"")&lt;&gt;"○"),"바우처통장 지출 — 목적 확인",IF($H1870="","적요를 적으십시오",""))))))))))))</f>
        <v/>
      </c>
      <c r="M1870" s="39"/>
      <c r="O1870" s="11" t="str">
        <f aca="false">IF($B1870="","",YEAR($B1870)*100+MONTH($B1870))</f>
        <v/>
      </c>
      <c r="P1870" s="11" t="str">
        <f aca="false">IF($B1870="","",IF($E1870="대체",0,1))</f>
        <v/>
      </c>
    </row>
    <row r="1871" customFormat="false" ht="15" hidden="false" customHeight="false" outlineLevel="0" collapsed="false">
      <c r="A1871" s="36" t="str">
        <f aca="false">IF($B1871="","",COUNT($B$15:$B1871))</f>
        <v/>
      </c>
      <c r="B1871" s="37"/>
      <c r="C1871" s="38"/>
      <c r="D1871" s="39"/>
      <c r="E1871" s="36" t="str">
        <f aca="false">IF($D1871="","",IFERROR(INDEX('통합 ④ 설정'!$A$6:$A$40,MATCH($D1871,'통합 ④ 설정'!$B$6:$B$40,0)),"※없는 과목"))</f>
        <v/>
      </c>
      <c r="F1871" s="36" t="str">
        <f aca="false">IF($D1871="","",IFERROR(INDEX('통합 ④ 설정'!$C$6:$C$40,MATCH($D1871,'통합 ④ 설정'!$B$6:$B$40,0)),""))</f>
        <v/>
      </c>
      <c r="G1871" s="39"/>
      <c r="H1871" s="39"/>
      <c r="I1871" s="40"/>
      <c r="J1871" s="41"/>
      <c r="K1871" s="38"/>
      <c r="L1871" s="42" t="str">
        <f aca="false">IF($B1871="","",IF(AND(N($I1871)=0,N($J1871)=0),"금액이 없습니다",IF(AND($I1871&gt;0,$J1871&gt;0),"수입·지출 둘 다 적혔습니다",IF($C1871="","결제수단을 고르십시오",IF(ISNA(MATCH($C1871,'통합 ③ 통장·카드'!$A$5:$A$11,0)),"③ 통장·카드에 없는 결제수단입니다",IF($D1871="","계정과목을 고르십시오",IF($E1871="※없는 과목","④ 설정에 없는 과목입니다",IF(AND($E1871="수입",$J1871&gt;0),"수입 과목인데 지출에 적혔습니다",IF(AND(LEFT($E1871,2)&lt;&gt;"수입",$E1871&lt;&gt;"대체",$I1871&gt;0),"지출 과목인데 수입에 적혔습니다",IF($K1871="","증빙을 고르십시오",IF(AND($C1871="바우처통장",$J1871&gt;0,IFERROR(INDEX('통합 ④ 설정'!$E$6:$E$40,MATCH($D1871,'통합 ④ 설정'!$B$6:$B$40,0)),"")&lt;&gt;"○"),"바우처통장 지출 — 목적 확인",IF($H1871="","적요를 적으십시오",""))))))))))))</f>
        <v/>
      </c>
      <c r="M1871" s="39"/>
      <c r="O1871" s="11" t="str">
        <f aca="false">IF($B1871="","",YEAR($B1871)*100+MONTH($B1871))</f>
        <v/>
      </c>
      <c r="P1871" s="11" t="str">
        <f aca="false">IF($B1871="","",IF($E1871="대체",0,1))</f>
        <v/>
      </c>
    </row>
    <row r="1872" customFormat="false" ht="15" hidden="false" customHeight="false" outlineLevel="0" collapsed="false">
      <c r="A1872" s="36" t="str">
        <f aca="false">IF($B1872="","",COUNT($B$15:$B1872))</f>
        <v/>
      </c>
      <c r="B1872" s="37"/>
      <c r="C1872" s="38"/>
      <c r="D1872" s="39"/>
      <c r="E1872" s="36" t="str">
        <f aca="false">IF($D1872="","",IFERROR(INDEX('통합 ④ 설정'!$A$6:$A$40,MATCH($D1872,'통합 ④ 설정'!$B$6:$B$40,0)),"※없는 과목"))</f>
        <v/>
      </c>
      <c r="F1872" s="36" t="str">
        <f aca="false">IF($D1872="","",IFERROR(INDEX('통합 ④ 설정'!$C$6:$C$40,MATCH($D1872,'통합 ④ 설정'!$B$6:$B$40,0)),""))</f>
        <v/>
      </c>
      <c r="G1872" s="39"/>
      <c r="H1872" s="39"/>
      <c r="I1872" s="40"/>
      <c r="J1872" s="41"/>
      <c r="K1872" s="38"/>
      <c r="L1872" s="42" t="str">
        <f aca="false">IF($B1872="","",IF(AND(N($I1872)=0,N($J1872)=0),"금액이 없습니다",IF(AND($I1872&gt;0,$J1872&gt;0),"수입·지출 둘 다 적혔습니다",IF($C1872="","결제수단을 고르십시오",IF(ISNA(MATCH($C1872,'통합 ③ 통장·카드'!$A$5:$A$11,0)),"③ 통장·카드에 없는 결제수단입니다",IF($D1872="","계정과목을 고르십시오",IF($E1872="※없는 과목","④ 설정에 없는 과목입니다",IF(AND($E1872="수입",$J1872&gt;0),"수입 과목인데 지출에 적혔습니다",IF(AND(LEFT($E1872,2)&lt;&gt;"수입",$E1872&lt;&gt;"대체",$I1872&gt;0),"지출 과목인데 수입에 적혔습니다",IF($K1872="","증빙을 고르십시오",IF(AND($C1872="바우처통장",$J1872&gt;0,IFERROR(INDEX('통합 ④ 설정'!$E$6:$E$40,MATCH($D1872,'통합 ④ 설정'!$B$6:$B$40,0)),"")&lt;&gt;"○"),"바우처통장 지출 — 목적 확인",IF($H1872="","적요를 적으십시오",""))))))))))))</f>
        <v/>
      </c>
      <c r="M1872" s="39"/>
      <c r="O1872" s="11" t="str">
        <f aca="false">IF($B1872="","",YEAR($B1872)*100+MONTH($B1872))</f>
        <v/>
      </c>
      <c r="P1872" s="11" t="str">
        <f aca="false">IF($B1872="","",IF($E1872="대체",0,1))</f>
        <v/>
      </c>
    </row>
    <row r="1873" customFormat="false" ht="15" hidden="false" customHeight="false" outlineLevel="0" collapsed="false">
      <c r="A1873" s="36" t="str">
        <f aca="false">IF($B1873="","",COUNT($B$15:$B1873))</f>
        <v/>
      </c>
      <c r="B1873" s="37"/>
      <c r="C1873" s="38"/>
      <c r="D1873" s="39"/>
      <c r="E1873" s="36" t="str">
        <f aca="false">IF($D1873="","",IFERROR(INDEX('통합 ④ 설정'!$A$6:$A$40,MATCH($D1873,'통합 ④ 설정'!$B$6:$B$40,0)),"※없는 과목"))</f>
        <v/>
      </c>
      <c r="F1873" s="36" t="str">
        <f aca="false">IF($D1873="","",IFERROR(INDEX('통합 ④ 설정'!$C$6:$C$40,MATCH($D1873,'통합 ④ 설정'!$B$6:$B$40,0)),""))</f>
        <v/>
      </c>
      <c r="G1873" s="39"/>
      <c r="H1873" s="39"/>
      <c r="I1873" s="40"/>
      <c r="J1873" s="41"/>
      <c r="K1873" s="38"/>
      <c r="L1873" s="42" t="str">
        <f aca="false">IF($B1873="","",IF(AND(N($I1873)=0,N($J1873)=0),"금액이 없습니다",IF(AND($I1873&gt;0,$J1873&gt;0),"수입·지출 둘 다 적혔습니다",IF($C1873="","결제수단을 고르십시오",IF(ISNA(MATCH($C1873,'통합 ③ 통장·카드'!$A$5:$A$11,0)),"③ 통장·카드에 없는 결제수단입니다",IF($D1873="","계정과목을 고르십시오",IF($E1873="※없는 과목","④ 설정에 없는 과목입니다",IF(AND($E1873="수입",$J1873&gt;0),"수입 과목인데 지출에 적혔습니다",IF(AND(LEFT($E1873,2)&lt;&gt;"수입",$E1873&lt;&gt;"대체",$I1873&gt;0),"지출 과목인데 수입에 적혔습니다",IF($K1873="","증빙을 고르십시오",IF(AND($C1873="바우처통장",$J1873&gt;0,IFERROR(INDEX('통합 ④ 설정'!$E$6:$E$40,MATCH($D1873,'통합 ④ 설정'!$B$6:$B$40,0)),"")&lt;&gt;"○"),"바우처통장 지출 — 목적 확인",IF($H1873="","적요를 적으십시오",""))))))))))))</f>
        <v/>
      </c>
      <c r="M1873" s="39"/>
      <c r="O1873" s="11" t="str">
        <f aca="false">IF($B1873="","",YEAR($B1873)*100+MONTH($B1873))</f>
        <v/>
      </c>
      <c r="P1873" s="11" t="str">
        <f aca="false">IF($B1873="","",IF($E1873="대체",0,1))</f>
        <v/>
      </c>
    </row>
    <row r="1874" customFormat="false" ht="15" hidden="false" customHeight="false" outlineLevel="0" collapsed="false">
      <c r="A1874" s="36" t="str">
        <f aca="false">IF($B1874="","",COUNT($B$15:$B1874))</f>
        <v/>
      </c>
      <c r="B1874" s="37"/>
      <c r="C1874" s="38"/>
      <c r="D1874" s="39"/>
      <c r="E1874" s="36" t="str">
        <f aca="false">IF($D1874="","",IFERROR(INDEX('통합 ④ 설정'!$A$6:$A$40,MATCH($D1874,'통합 ④ 설정'!$B$6:$B$40,0)),"※없는 과목"))</f>
        <v/>
      </c>
      <c r="F1874" s="36" t="str">
        <f aca="false">IF($D1874="","",IFERROR(INDEX('통합 ④ 설정'!$C$6:$C$40,MATCH($D1874,'통합 ④ 설정'!$B$6:$B$40,0)),""))</f>
        <v/>
      </c>
      <c r="G1874" s="39"/>
      <c r="H1874" s="39"/>
      <c r="I1874" s="40"/>
      <c r="J1874" s="41"/>
      <c r="K1874" s="38"/>
      <c r="L1874" s="42" t="str">
        <f aca="false">IF($B1874="","",IF(AND(N($I1874)=0,N($J1874)=0),"금액이 없습니다",IF(AND($I1874&gt;0,$J1874&gt;0),"수입·지출 둘 다 적혔습니다",IF($C1874="","결제수단을 고르십시오",IF(ISNA(MATCH($C1874,'통합 ③ 통장·카드'!$A$5:$A$11,0)),"③ 통장·카드에 없는 결제수단입니다",IF($D1874="","계정과목을 고르십시오",IF($E1874="※없는 과목","④ 설정에 없는 과목입니다",IF(AND($E1874="수입",$J1874&gt;0),"수입 과목인데 지출에 적혔습니다",IF(AND(LEFT($E1874,2)&lt;&gt;"수입",$E1874&lt;&gt;"대체",$I1874&gt;0),"지출 과목인데 수입에 적혔습니다",IF($K1874="","증빙을 고르십시오",IF(AND($C1874="바우처통장",$J1874&gt;0,IFERROR(INDEX('통합 ④ 설정'!$E$6:$E$40,MATCH($D1874,'통합 ④ 설정'!$B$6:$B$40,0)),"")&lt;&gt;"○"),"바우처통장 지출 — 목적 확인",IF($H1874="","적요를 적으십시오",""))))))))))))</f>
        <v/>
      </c>
      <c r="M1874" s="39"/>
      <c r="O1874" s="11" t="str">
        <f aca="false">IF($B1874="","",YEAR($B1874)*100+MONTH($B1874))</f>
        <v/>
      </c>
      <c r="P1874" s="11" t="str">
        <f aca="false">IF($B1874="","",IF($E1874="대체",0,1))</f>
        <v/>
      </c>
    </row>
    <row r="1875" customFormat="false" ht="15" hidden="false" customHeight="false" outlineLevel="0" collapsed="false">
      <c r="A1875" s="36" t="str">
        <f aca="false">IF($B1875="","",COUNT($B$15:$B1875))</f>
        <v/>
      </c>
      <c r="B1875" s="37"/>
      <c r="C1875" s="38"/>
      <c r="D1875" s="39"/>
      <c r="E1875" s="36" t="str">
        <f aca="false">IF($D1875="","",IFERROR(INDEX('통합 ④ 설정'!$A$6:$A$40,MATCH($D1875,'통합 ④ 설정'!$B$6:$B$40,0)),"※없는 과목"))</f>
        <v/>
      </c>
      <c r="F1875" s="36" t="str">
        <f aca="false">IF($D1875="","",IFERROR(INDEX('통합 ④ 설정'!$C$6:$C$40,MATCH($D1875,'통합 ④ 설정'!$B$6:$B$40,0)),""))</f>
        <v/>
      </c>
      <c r="G1875" s="39"/>
      <c r="H1875" s="39"/>
      <c r="I1875" s="40"/>
      <c r="J1875" s="41"/>
      <c r="K1875" s="38"/>
      <c r="L1875" s="42" t="str">
        <f aca="false">IF($B1875="","",IF(AND(N($I1875)=0,N($J1875)=0),"금액이 없습니다",IF(AND($I1875&gt;0,$J1875&gt;0),"수입·지출 둘 다 적혔습니다",IF($C1875="","결제수단을 고르십시오",IF(ISNA(MATCH($C1875,'통합 ③ 통장·카드'!$A$5:$A$11,0)),"③ 통장·카드에 없는 결제수단입니다",IF($D1875="","계정과목을 고르십시오",IF($E1875="※없는 과목","④ 설정에 없는 과목입니다",IF(AND($E1875="수입",$J1875&gt;0),"수입 과목인데 지출에 적혔습니다",IF(AND(LEFT($E1875,2)&lt;&gt;"수입",$E1875&lt;&gt;"대체",$I1875&gt;0),"지출 과목인데 수입에 적혔습니다",IF($K1875="","증빙을 고르십시오",IF(AND($C1875="바우처통장",$J1875&gt;0,IFERROR(INDEX('통합 ④ 설정'!$E$6:$E$40,MATCH($D1875,'통합 ④ 설정'!$B$6:$B$40,0)),"")&lt;&gt;"○"),"바우처통장 지출 — 목적 확인",IF($H1875="","적요를 적으십시오",""))))))))))))</f>
        <v/>
      </c>
      <c r="M1875" s="39"/>
      <c r="O1875" s="11" t="str">
        <f aca="false">IF($B1875="","",YEAR($B1875)*100+MONTH($B1875))</f>
        <v/>
      </c>
      <c r="P1875" s="11" t="str">
        <f aca="false">IF($B1875="","",IF($E1875="대체",0,1))</f>
        <v/>
      </c>
    </row>
    <row r="1876" customFormat="false" ht="15" hidden="false" customHeight="false" outlineLevel="0" collapsed="false">
      <c r="A1876" s="36" t="str">
        <f aca="false">IF($B1876="","",COUNT($B$15:$B1876))</f>
        <v/>
      </c>
      <c r="B1876" s="37"/>
      <c r="C1876" s="38"/>
      <c r="D1876" s="39"/>
      <c r="E1876" s="36" t="str">
        <f aca="false">IF($D1876="","",IFERROR(INDEX('통합 ④ 설정'!$A$6:$A$40,MATCH($D1876,'통합 ④ 설정'!$B$6:$B$40,0)),"※없는 과목"))</f>
        <v/>
      </c>
      <c r="F1876" s="36" t="str">
        <f aca="false">IF($D1876="","",IFERROR(INDEX('통합 ④ 설정'!$C$6:$C$40,MATCH($D1876,'통합 ④ 설정'!$B$6:$B$40,0)),""))</f>
        <v/>
      </c>
      <c r="G1876" s="39"/>
      <c r="H1876" s="39"/>
      <c r="I1876" s="40"/>
      <c r="J1876" s="41"/>
      <c r="K1876" s="38"/>
      <c r="L1876" s="42" t="str">
        <f aca="false">IF($B1876="","",IF(AND(N($I1876)=0,N($J1876)=0),"금액이 없습니다",IF(AND($I1876&gt;0,$J1876&gt;0),"수입·지출 둘 다 적혔습니다",IF($C1876="","결제수단을 고르십시오",IF(ISNA(MATCH($C1876,'통합 ③ 통장·카드'!$A$5:$A$11,0)),"③ 통장·카드에 없는 결제수단입니다",IF($D1876="","계정과목을 고르십시오",IF($E1876="※없는 과목","④ 설정에 없는 과목입니다",IF(AND($E1876="수입",$J1876&gt;0),"수입 과목인데 지출에 적혔습니다",IF(AND(LEFT($E1876,2)&lt;&gt;"수입",$E1876&lt;&gt;"대체",$I1876&gt;0),"지출 과목인데 수입에 적혔습니다",IF($K1876="","증빙을 고르십시오",IF(AND($C1876="바우처통장",$J1876&gt;0,IFERROR(INDEX('통합 ④ 설정'!$E$6:$E$40,MATCH($D1876,'통합 ④ 설정'!$B$6:$B$40,0)),"")&lt;&gt;"○"),"바우처통장 지출 — 목적 확인",IF($H1876="","적요를 적으십시오",""))))))))))))</f>
        <v/>
      </c>
      <c r="M1876" s="39"/>
      <c r="O1876" s="11" t="str">
        <f aca="false">IF($B1876="","",YEAR($B1876)*100+MONTH($B1876))</f>
        <v/>
      </c>
      <c r="P1876" s="11" t="str">
        <f aca="false">IF($B1876="","",IF($E1876="대체",0,1))</f>
        <v/>
      </c>
    </row>
    <row r="1877" customFormat="false" ht="15" hidden="false" customHeight="false" outlineLevel="0" collapsed="false">
      <c r="A1877" s="36" t="str">
        <f aca="false">IF($B1877="","",COUNT($B$15:$B1877))</f>
        <v/>
      </c>
      <c r="B1877" s="37"/>
      <c r="C1877" s="38"/>
      <c r="D1877" s="39"/>
      <c r="E1877" s="36" t="str">
        <f aca="false">IF($D1877="","",IFERROR(INDEX('통합 ④ 설정'!$A$6:$A$40,MATCH($D1877,'통합 ④ 설정'!$B$6:$B$40,0)),"※없는 과목"))</f>
        <v/>
      </c>
      <c r="F1877" s="36" t="str">
        <f aca="false">IF($D1877="","",IFERROR(INDEX('통합 ④ 설정'!$C$6:$C$40,MATCH($D1877,'통합 ④ 설정'!$B$6:$B$40,0)),""))</f>
        <v/>
      </c>
      <c r="G1877" s="39"/>
      <c r="H1877" s="39"/>
      <c r="I1877" s="40"/>
      <c r="J1877" s="41"/>
      <c r="K1877" s="38"/>
      <c r="L1877" s="42" t="str">
        <f aca="false">IF($B1877="","",IF(AND(N($I1877)=0,N($J1877)=0),"금액이 없습니다",IF(AND($I1877&gt;0,$J1877&gt;0),"수입·지출 둘 다 적혔습니다",IF($C1877="","결제수단을 고르십시오",IF(ISNA(MATCH($C1877,'통합 ③ 통장·카드'!$A$5:$A$11,0)),"③ 통장·카드에 없는 결제수단입니다",IF($D1877="","계정과목을 고르십시오",IF($E1877="※없는 과목","④ 설정에 없는 과목입니다",IF(AND($E1877="수입",$J1877&gt;0),"수입 과목인데 지출에 적혔습니다",IF(AND(LEFT($E1877,2)&lt;&gt;"수입",$E1877&lt;&gt;"대체",$I1877&gt;0),"지출 과목인데 수입에 적혔습니다",IF($K1877="","증빙을 고르십시오",IF(AND($C1877="바우처통장",$J1877&gt;0,IFERROR(INDEX('통합 ④ 설정'!$E$6:$E$40,MATCH($D1877,'통합 ④ 설정'!$B$6:$B$40,0)),"")&lt;&gt;"○"),"바우처통장 지출 — 목적 확인",IF($H1877="","적요를 적으십시오",""))))))))))))</f>
        <v/>
      </c>
      <c r="M1877" s="39"/>
      <c r="O1877" s="11" t="str">
        <f aca="false">IF($B1877="","",YEAR($B1877)*100+MONTH($B1877))</f>
        <v/>
      </c>
      <c r="P1877" s="11" t="str">
        <f aca="false">IF($B1877="","",IF($E1877="대체",0,1))</f>
        <v/>
      </c>
    </row>
    <row r="1878" customFormat="false" ht="15" hidden="false" customHeight="false" outlineLevel="0" collapsed="false">
      <c r="A1878" s="36" t="str">
        <f aca="false">IF($B1878="","",COUNT($B$15:$B1878))</f>
        <v/>
      </c>
      <c r="B1878" s="37"/>
      <c r="C1878" s="38"/>
      <c r="D1878" s="39"/>
      <c r="E1878" s="36" t="str">
        <f aca="false">IF($D1878="","",IFERROR(INDEX('통합 ④ 설정'!$A$6:$A$40,MATCH($D1878,'통합 ④ 설정'!$B$6:$B$40,0)),"※없는 과목"))</f>
        <v/>
      </c>
      <c r="F1878" s="36" t="str">
        <f aca="false">IF($D1878="","",IFERROR(INDEX('통합 ④ 설정'!$C$6:$C$40,MATCH($D1878,'통합 ④ 설정'!$B$6:$B$40,0)),""))</f>
        <v/>
      </c>
      <c r="G1878" s="39"/>
      <c r="H1878" s="39"/>
      <c r="I1878" s="40"/>
      <c r="J1878" s="41"/>
      <c r="K1878" s="38"/>
      <c r="L1878" s="42" t="str">
        <f aca="false">IF($B1878="","",IF(AND(N($I1878)=0,N($J1878)=0),"금액이 없습니다",IF(AND($I1878&gt;0,$J1878&gt;0),"수입·지출 둘 다 적혔습니다",IF($C1878="","결제수단을 고르십시오",IF(ISNA(MATCH($C1878,'통합 ③ 통장·카드'!$A$5:$A$11,0)),"③ 통장·카드에 없는 결제수단입니다",IF($D1878="","계정과목을 고르십시오",IF($E1878="※없는 과목","④ 설정에 없는 과목입니다",IF(AND($E1878="수입",$J1878&gt;0),"수입 과목인데 지출에 적혔습니다",IF(AND(LEFT($E1878,2)&lt;&gt;"수입",$E1878&lt;&gt;"대체",$I1878&gt;0),"지출 과목인데 수입에 적혔습니다",IF($K1878="","증빙을 고르십시오",IF(AND($C1878="바우처통장",$J1878&gt;0,IFERROR(INDEX('통합 ④ 설정'!$E$6:$E$40,MATCH($D1878,'통합 ④ 설정'!$B$6:$B$40,0)),"")&lt;&gt;"○"),"바우처통장 지출 — 목적 확인",IF($H1878="","적요를 적으십시오",""))))))))))))</f>
        <v/>
      </c>
      <c r="M1878" s="39"/>
      <c r="O1878" s="11" t="str">
        <f aca="false">IF($B1878="","",YEAR($B1878)*100+MONTH($B1878))</f>
        <v/>
      </c>
      <c r="P1878" s="11" t="str">
        <f aca="false">IF($B1878="","",IF($E1878="대체",0,1))</f>
        <v/>
      </c>
    </row>
    <row r="1879" customFormat="false" ht="15" hidden="false" customHeight="false" outlineLevel="0" collapsed="false">
      <c r="A1879" s="36" t="str">
        <f aca="false">IF($B1879="","",COUNT($B$15:$B1879))</f>
        <v/>
      </c>
      <c r="B1879" s="37"/>
      <c r="C1879" s="38"/>
      <c r="D1879" s="39"/>
      <c r="E1879" s="36" t="str">
        <f aca="false">IF($D1879="","",IFERROR(INDEX('통합 ④ 설정'!$A$6:$A$40,MATCH($D1879,'통합 ④ 설정'!$B$6:$B$40,0)),"※없는 과목"))</f>
        <v/>
      </c>
      <c r="F1879" s="36" t="str">
        <f aca="false">IF($D1879="","",IFERROR(INDEX('통합 ④ 설정'!$C$6:$C$40,MATCH($D1879,'통합 ④ 설정'!$B$6:$B$40,0)),""))</f>
        <v/>
      </c>
      <c r="G1879" s="39"/>
      <c r="H1879" s="39"/>
      <c r="I1879" s="40"/>
      <c r="J1879" s="41"/>
      <c r="K1879" s="38"/>
      <c r="L1879" s="42" t="str">
        <f aca="false">IF($B1879="","",IF(AND(N($I1879)=0,N($J1879)=0),"금액이 없습니다",IF(AND($I1879&gt;0,$J1879&gt;0),"수입·지출 둘 다 적혔습니다",IF($C1879="","결제수단을 고르십시오",IF(ISNA(MATCH($C1879,'통합 ③ 통장·카드'!$A$5:$A$11,0)),"③ 통장·카드에 없는 결제수단입니다",IF($D1879="","계정과목을 고르십시오",IF($E1879="※없는 과목","④ 설정에 없는 과목입니다",IF(AND($E1879="수입",$J1879&gt;0),"수입 과목인데 지출에 적혔습니다",IF(AND(LEFT($E1879,2)&lt;&gt;"수입",$E1879&lt;&gt;"대체",$I1879&gt;0),"지출 과목인데 수입에 적혔습니다",IF($K1879="","증빙을 고르십시오",IF(AND($C1879="바우처통장",$J1879&gt;0,IFERROR(INDEX('통합 ④ 설정'!$E$6:$E$40,MATCH($D1879,'통합 ④ 설정'!$B$6:$B$40,0)),"")&lt;&gt;"○"),"바우처통장 지출 — 목적 확인",IF($H1879="","적요를 적으십시오",""))))))))))))</f>
        <v/>
      </c>
      <c r="M1879" s="39"/>
      <c r="O1879" s="11" t="str">
        <f aca="false">IF($B1879="","",YEAR($B1879)*100+MONTH($B1879))</f>
        <v/>
      </c>
      <c r="P1879" s="11" t="str">
        <f aca="false">IF($B1879="","",IF($E1879="대체",0,1))</f>
        <v/>
      </c>
    </row>
    <row r="1880" customFormat="false" ht="15" hidden="false" customHeight="false" outlineLevel="0" collapsed="false">
      <c r="A1880" s="36" t="str">
        <f aca="false">IF($B1880="","",COUNT($B$15:$B1880))</f>
        <v/>
      </c>
      <c r="B1880" s="37"/>
      <c r="C1880" s="38"/>
      <c r="D1880" s="39"/>
      <c r="E1880" s="36" t="str">
        <f aca="false">IF($D1880="","",IFERROR(INDEX('통합 ④ 설정'!$A$6:$A$40,MATCH($D1880,'통합 ④ 설정'!$B$6:$B$40,0)),"※없는 과목"))</f>
        <v/>
      </c>
      <c r="F1880" s="36" t="str">
        <f aca="false">IF($D1880="","",IFERROR(INDEX('통합 ④ 설정'!$C$6:$C$40,MATCH($D1880,'통합 ④ 설정'!$B$6:$B$40,0)),""))</f>
        <v/>
      </c>
      <c r="G1880" s="39"/>
      <c r="H1880" s="39"/>
      <c r="I1880" s="40"/>
      <c r="J1880" s="41"/>
      <c r="K1880" s="38"/>
      <c r="L1880" s="42" t="str">
        <f aca="false">IF($B1880="","",IF(AND(N($I1880)=0,N($J1880)=0),"금액이 없습니다",IF(AND($I1880&gt;0,$J1880&gt;0),"수입·지출 둘 다 적혔습니다",IF($C1880="","결제수단을 고르십시오",IF(ISNA(MATCH($C1880,'통합 ③ 통장·카드'!$A$5:$A$11,0)),"③ 통장·카드에 없는 결제수단입니다",IF($D1880="","계정과목을 고르십시오",IF($E1880="※없는 과목","④ 설정에 없는 과목입니다",IF(AND($E1880="수입",$J1880&gt;0),"수입 과목인데 지출에 적혔습니다",IF(AND(LEFT($E1880,2)&lt;&gt;"수입",$E1880&lt;&gt;"대체",$I1880&gt;0),"지출 과목인데 수입에 적혔습니다",IF($K1880="","증빙을 고르십시오",IF(AND($C1880="바우처통장",$J1880&gt;0,IFERROR(INDEX('통합 ④ 설정'!$E$6:$E$40,MATCH($D1880,'통합 ④ 설정'!$B$6:$B$40,0)),"")&lt;&gt;"○"),"바우처통장 지출 — 목적 확인",IF($H1880="","적요를 적으십시오",""))))))))))))</f>
        <v/>
      </c>
      <c r="M1880" s="39"/>
      <c r="O1880" s="11" t="str">
        <f aca="false">IF($B1880="","",YEAR($B1880)*100+MONTH($B1880))</f>
        <v/>
      </c>
      <c r="P1880" s="11" t="str">
        <f aca="false">IF($B1880="","",IF($E1880="대체",0,1))</f>
        <v/>
      </c>
    </row>
    <row r="1881" customFormat="false" ht="15" hidden="false" customHeight="false" outlineLevel="0" collapsed="false">
      <c r="A1881" s="36" t="str">
        <f aca="false">IF($B1881="","",COUNT($B$15:$B1881))</f>
        <v/>
      </c>
      <c r="B1881" s="37"/>
      <c r="C1881" s="38"/>
      <c r="D1881" s="39"/>
      <c r="E1881" s="36" t="str">
        <f aca="false">IF($D1881="","",IFERROR(INDEX('통합 ④ 설정'!$A$6:$A$40,MATCH($D1881,'통합 ④ 설정'!$B$6:$B$40,0)),"※없는 과목"))</f>
        <v/>
      </c>
      <c r="F1881" s="36" t="str">
        <f aca="false">IF($D1881="","",IFERROR(INDEX('통합 ④ 설정'!$C$6:$C$40,MATCH($D1881,'통합 ④ 설정'!$B$6:$B$40,0)),""))</f>
        <v/>
      </c>
      <c r="G1881" s="39"/>
      <c r="H1881" s="39"/>
      <c r="I1881" s="40"/>
      <c r="J1881" s="41"/>
      <c r="K1881" s="38"/>
      <c r="L1881" s="42" t="str">
        <f aca="false">IF($B1881="","",IF(AND(N($I1881)=0,N($J1881)=0),"금액이 없습니다",IF(AND($I1881&gt;0,$J1881&gt;0),"수입·지출 둘 다 적혔습니다",IF($C1881="","결제수단을 고르십시오",IF(ISNA(MATCH($C1881,'통합 ③ 통장·카드'!$A$5:$A$11,0)),"③ 통장·카드에 없는 결제수단입니다",IF($D1881="","계정과목을 고르십시오",IF($E1881="※없는 과목","④ 설정에 없는 과목입니다",IF(AND($E1881="수입",$J1881&gt;0),"수입 과목인데 지출에 적혔습니다",IF(AND(LEFT($E1881,2)&lt;&gt;"수입",$E1881&lt;&gt;"대체",$I1881&gt;0),"지출 과목인데 수입에 적혔습니다",IF($K1881="","증빙을 고르십시오",IF(AND($C1881="바우처통장",$J1881&gt;0,IFERROR(INDEX('통합 ④ 설정'!$E$6:$E$40,MATCH($D1881,'통합 ④ 설정'!$B$6:$B$40,0)),"")&lt;&gt;"○"),"바우처통장 지출 — 목적 확인",IF($H1881="","적요를 적으십시오",""))))))))))))</f>
        <v/>
      </c>
      <c r="M1881" s="39"/>
      <c r="O1881" s="11" t="str">
        <f aca="false">IF($B1881="","",YEAR($B1881)*100+MONTH($B1881))</f>
        <v/>
      </c>
      <c r="P1881" s="11" t="str">
        <f aca="false">IF($B1881="","",IF($E1881="대체",0,1))</f>
        <v/>
      </c>
    </row>
    <row r="1882" customFormat="false" ht="15" hidden="false" customHeight="false" outlineLevel="0" collapsed="false">
      <c r="A1882" s="36" t="str">
        <f aca="false">IF($B1882="","",COUNT($B$15:$B1882))</f>
        <v/>
      </c>
      <c r="B1882" s="37"/>
      <c r="C1882" s="38"/>
      <c r="D1882" s="39"/>
      <c r="E1882" s="36" t="str">
        <f aca="false">IF($D1882="","",IFERROR(INDEX('통합 ④ 설정'!$A$6:$A$40,MATCH($D1882,'통합 ④ 설정'!$B$6:$B$40,0)),"※없는 과목"))</f>
        <v/>
      </c>
      <c r="F1882" s="36" t="str">
        <f aca="false">IF($D1882="","",IFERROR(INDEX('통합 ④ 설정'!$C$6:$C$40,MATCH($D1882,'통합 ④ 설정'!$B$6:$B$40,0)),""))</f>
        <v/>
      </c>
      <c r="G1882" s="39"/>
      <c r="H1882" s="39"/>
      <c r="I1882" s="40"/>
      <c r="J1882" s="41"/>
      <c r="K1882" s="38"/>
      <c r="L1882" s="42" t="str">
        <f aca="false">IF($B1882="","",IF(AND(N($I1882)=0,N($J1882)=0),"금액이 없습니다",IF(AND($I1882&gt;0,$J1882&gt;0),"수입·지출 둘 다 적혔습니다",IF($C1882="","결제수단을 고르십시오",IF(ISNA(MATCH($C1882,'통합 ③ 통장·카드'!$A$5:$A$11,0)),"③ 통장·카드에 없는 결제수단입니다",IF($D1882="","계정과목을 고르십시오",IF($E1882="※없는 과목","④ 설정에 없는 과목입니다",IF(AND($E1882="수입",$J1882&gt;0),"수입 과목인데 지출에 적혔습니다",IF(AND(LEFT($E1882,2)&lt;&gt;"수입",$E1882&lt;&gt;"대체",$I1882&gt;0),"지출 과목인데 수입에 적혔습니다",IF($K1882="","증빙을 고르십시오",IF(AND($C1882="바우처통장",$J1882&gt;0,IFERROR(INDEX('통합 ④ 설정'!$E$6:$E$40,MATCH($D1882,'통합 ④ 설정'!$B$6:$B$40,0)),"")&lt;&gt;"○"),"바우처통장 지출 — 목적 확인",IF($H1882="","적요를 적으십시오",""))))))))))))</f>
        <v/>
      </c>
      <c r="M1882" s="39"/>
      <c r="O1882" s="11" t="str">
        <f aca="false">IF($B1882="","",YEAR($B1882)*100+MONTH($B1882))</f>
        <v/>
      </c>
      <c r="P1882" s="11" t="str">
        <f aca="false">IF($B1882="","",IF($E1882="대체",0,1))</f>
        <v/>
      </c>
    </row>
    <row r="1883" customFormat="false" ht="15" hidden="false" customHeight="false" outlineLevel="0" collapsed="false">
      <c r="A1883" s="36" t="str">
        <f aca="false">IF($B1883="","",COUNT($B$15:$B1883))</f>
        <v/>
      </c>
      <c r="B1883" s="37"/>
      <c r="C1883" s="38"/>
      <c r="D1883" s="39"/>
      <c r="E1883" s="36" t="str">
        <f aca="false">IF($D1883="","",IFERROR(INDEX('통합 ④ 설정'!$A$6:$A$40,MATCH($D1883,'통합 ④ 설정'!$B$6:$B$40,0)),"※없는 과목"))</f>
        <v/>
      </c>
      <c r="F1883" s="36" t="str">
        <f aca="false">IF($D1883="","",IFERROR(INDEX('통합 ④ 설정'!$C$6:$C$40,MATCH($D1883,'통합 ④ 설정'!$B$6:$B$40,0)),""))</f>
        <v/>
      </c>
      <c r="G1883" s="39"/>
      <c r="H1883" s="39"/>
      <c r="I1883" s="40"/>
      <c r="J1883" s="41"/>
      <c r="K1883" s="38"/>
      <c r="L1883" s="42" t="str">
        <f aca="false">IF($B1883="","",IF(AND(N($I1883)=0,N($J1883)=0),"금액이 없습니다",IF(AND($I1883&gt;0,$J1883&gt;0),"수입·지출 둘 다 적혔습니다",IF($C1883="","결제수단을 고르십시오",IF(ISNA(MATCH($C1883,'통합 ③ 통장·카드'!$A$5:$A$11,0)),"③ 통장·카드에 없는 결제수단입니다",IF($D1883="","계정과목을 고르십시오",IF($E1883="※없는 과목","④ 설정에 없는 과목입니다",IF(AND($E1883="수입",$J1883&gt;0),"수입 과목인데 지출에 적혔습니다",IF(AND(LEFT($E1883,2)&lt;&gt;"수입",$E1883&lt;&gt;"대체",$I1883&gt;0),"지출 과목인데 수입에 적혔습니다",IF($K1883="","증빙을 고르십시오",IF(AND($C1883="바우처통장",$J1883&gt;0,IFERROR(INDEX('통합 ④ 설정'!$E$6:$E$40,MATCH($D1883,'통합 ④ 설정'!$B$6:$B$40,0)),"")&lt;&gt;"○"),"바우처통장 지출 — 목적 확인",IF($H1883="","적요를 적으십시오",""))))))))))))</f>
        <v/>
      </c>
      <c r="M1883" s="39"/>
      <c r="O1883" s="11" t="str">
        <f aca="false">IF($B1883="","",YEAR($B1883)*100+MONTH($B1883))</f>
        <v/>
      </c>
      <c r="P1883" s="11" t="str">
        <f aca="false">IF($B1883="","",IF($E1883="대체",0,1))</f>
        <v/>
      </c>
    </row>
    <row r="1884" customFormat="false" ht="15" hidden="false" customHeight="false" outlineLevel="0" collapsed="false">
      <c r="A1884" s="36" t="str">
        <f aca="false">IF($B1884="","",COUNT($B$15:$B1884))</f>
        <v/>
      </c>
      <c r="B1884" s="37"/>
      <c r="C1884" s="38"/>
      <c r="D1884" s="39"/>
      <c r="E1884" s="36" t="str">
        <f aca="false">IF($D1884="","",IFERROR(INDEX('통합 ④ 설정'!$A$6:$A$40,MATCH($D1884,'통합 ④ 설정'!$B$6:$B$40,0)),"※없는 과목"))</f>
        <v/>
      </c>
      <c r="F1884" s="36" t="str">
        <f aca="false">IF($D1884="","",IFERROR(INDEX('통합 ④ 설정'!$C$6:$C$40,MATCH($D1884,'통합 ④ 설정'!$B$6:$B$40,0)),""))</f>
        <v/>
      </c>
      <c r="G1884" s="39"/>
      <c r="H1884" s="39"/>
      <c r="I1884" s="40"/>
      <c r="J1884" s="41"/>
      <c r="K1884" s="38"/>
      <c r="L1884" s="42" t="str">
        <f aca="false">IF($B1884="","",IF(AND(N($I1884)=0,N($J1884)=0),"금액이 없습니다",IF(AND($I1884&gt;0,$J1884&gt;0),"수입·지출 둘 다 적혔습니다",IF($C1884="","결제수단을 고르십시오",IF(ISNA(MATCH($C1884,'통합 ③ 통장·카드'!$A$5:$A$11,0)),"③ 통장·카드에 없는 결제수단입니다",IF($D1884="","계정과목을 고르십시오",IF($E1884="※없는 과목","④ 설정에 없는 과목입니다",IF(AND($E1884="수입",$J1884&gt;0),"수입 과목인데 지출에 적혔습니다",IF(AND(LEFT($E1884,2)&lt;&gt;"수입",$E1884&lt;&gt;"대체",$I1884&gt;0),"지출 과목인데 수입에 적혔습니다",IF($K1884="","증빙을 고르십시오",IF(AND($C1884="바우처통장",$J1884&gt;0,IFERROR(INDEX('통합 ④ 설정'!$E$6:$E$40,MATCH($D1884,'통합 ④ 설정'!$B$6:$B$40,0)),"")&lt;&gt;"○"),"바우처통장 지출 — 목적 확인",IF($H1884="","적요를 적으십시오",""))))))))))))</f>
        <v/>
      </c>
      <c r="M1884" s="39"/>
      <c r="O1884" s="11" t="str">
        <f aca="false">IF($B1884="","",YEAR($B1884)*100+MONTH($B1884))</f>
        <v/>
      </c>
      <c r="P1884" s="11" t="str">
        <f aca="false">IF($B1884="","",IF($E1884="대체",0,1))</f>
        <v/>
      </c>
    </row>
    <row r="1885" customFormat="false" ht="15" hidden="false" customHeight="false" outlineLevel="0" collapsed="false">
      <c r="A1885" s="36" t="str">
        <f aca="false">IF($B1885="","",COUNT($B$15:$B1885))</f>
        <v/>
      </c>
      <c r="B1885" s="37"/>
      <c r="C1885" s="38"/>
      <c r="D1885" s="39"/>
      <c r="E1885" s="36" t="str">
        <f aca="false">IF($D1885="","",IFERROR(INDEX('통합 ④ 설정'!$A$6:$A$40,MATCH($D1885,'통합 ④ 설정'!$B$6:$B$40,0)),"※없는 과목"))</f>
        <v/>
      </c>
      <c r="F1885" s="36" t="str">
        <f aca="false">IF($D1885="","",IFERROR(INDEX('통합 ④ 설정'!$C$6:$C$40,MATCH($D1885,'통합 ④ 설정'!$B$6:$B$40,0)),""))</f>
        <v/>
      </c>
      <c r="G1885" s="39"/>
      <c r="H1885" s="39"/>
      <c r="I1885" s="40"/>
      <c r="J1885" s="41"/>
      <c r="K1885" s="38"/>
      <c r="L1885" s="42" t="str">
        <f aca="false">IF($B1885="","",IF(AND(N($I1885)=0,N($J1885)=0),"금액이 없습니다",IF(AND($I1885&gt;0,$J1885&gt;0),"수입·지출 둘 다 적혔습니다",IF($C1885="","결제수단을 고르십시오",IF(ISNA(MATCH($C1885,'통합 ③ 통장·카드'!$A$5:$A$11,0)),"③ 통장·카드에 없는 결제수단입니다",IF($D1885="","계정과목을 고르십시오",IF($E1885="※없는 과목","④ 설정에 없는 과목입니다",IF(AND($E1885="수입",$J1885&gt;0),"수입 과목인데 지출에 적혔습니다",IF(AND(LEFT($E1885,2)&lt;&gt;"수입",$E1885&lt;&gt;"대체",$I1885&gt;0),"지출 과목인데 수입에 적혔습니다",IF($K1885="","증빙을 고르십시오",IF(AND($C1885="바우처통장",$J1885&gt;0,IFERROR(INDEX('통합 ④ 설정'!$E$6:$E$40,MATCH($D1885,'통합 ④ 설정'!$B$6:$B$40,0)),"")&lt;&gt;"○"),"바우처통장 지출 — 목적 확인",IF($H1885="","적요를 적으십시오",""))))))))))))</f>
        <v/>
      </c>
      <c r="M1885" s="39"/>
      <c r="O1885" s="11" t="str">
        <f aca="false">IF($B1885="","",YEAR($B1885)*100+MONTH($B1885))</f>
        <v/>
      </c>
      <c r="P1885" s="11" t="str">
        <f aca="false">IF($B1885="","",IF($E1885="대체",0,1))</f>
        <v/>
      </c>
    </row>
    <row r="1886" customFormat="false" ht="15" hidden="false" customHeight="false" outlineLevel="0" collapsed="false">
      <c r="A1886" s="36" t="str">
        <f aca="false">IF($B1886="","",COUNT($B$15:$B1886))</f>
        <v/>
      </c>
      <c r="B1886" s="37"/>
      <c r="C1886" s="38"/>
      <c r="D1886" s="39"/>
      <c r="E1886" s="36" t="str">
        <f aca="false">IF($D1886="","",IFERROR(INDEX('통합 ④ 설정'!$A$6:$A$40,MATCH($D1886,'통합 ④ 설정'!$B$6:$B$40,0)),"※없는 과목"))</f>
        <v/>
      </c>
      <c r="F1886" s="36" t="str">
        <f aca="false">IF($D1886="","",IFERROR(INDEX('통합 ④ 설정'!$C$6:$C$40,MATCH($D1886,'통합 ④ 설정'!$B$6:$B$40,0)),""))</f>
        <v/>
      </c>
      <c r="G1886" s="39"/>
      <c r="H1886" s="39"/>
      <c r="I1886" s="40"/>
      <c r="J1886" s="41"/>
      <c r="K1886" s="38"/>
      <c r="L1886" s="42" t="str">
        <f aca="false">IF($B1886="","",IF(AND(N($I1886)=0,N($J1886)=0),"금액이 없습니다",IF(AND($I1886&gt;0,$J1886&gt;0),"수입·지출 둘 다 적혔습니다",IF($C1886="","결제수단을 고르십시오",IF(ISNA(MATCH($C1886,'통합 ③ 통장·카드'!$A$5:$A$11,0)),"③ 통장·카드에 없는 결제수단입니다",IF($D1886="","계정과목을 고르십시오",IF($E1886="※없는 과목","④ 설정에 없는 과목입니다",IF(AND($E1886="수입",$J1886&gt;0),"수입 과목인데 지출에 적혔습니다",IF(AND(LEFT($E1886,2)&lt;&gt;"수입",$E1886&lt;&gt;"대체",$I1886&gt;0),"지출 과목인데 수입에 적혔습니다",IF($K1886="","증빙을 고르십시오",IF(AND($C1886="바우처통장",$J1886&gt;0,IFERROR(INDEX('통합 ④ 설정'!$E$6:$E$40,MATCH($D1886,'통합 ④ 설정'!$B$6:$B$40,0)),"")&lt;&gt;"○"),"바우처통장 지출 — 목적 확인",IF($H1886="","적요를 적으십시오",""))))))))))))</f>
        <v/>
      </c>
      <c r="M1886" s="39"/>
      <c r="O1886" s="11" t="str">
        <f aca="false">IF($B1886="","",YEAR($B1886)*100+MONTH($B1886))</f>
        <v/>
      </c>
      <c r="P1886" s="11" t="str">
        <f aca="false">IF($B1886="","",IF($E1886="대체",0,1))</f>
        <v/>
      </c>
    </row>
    <row r="1887" customFormat="false" ht="15" hidden="false" customHeight="false" outlineLevel="0" collapsed="false">
      <c r="A1887" s="36" t="str">
        <f aca="false">IF($B1887="","",COUNT($B$15:$B1887))</f>
        <v/>
      </c>
      <c r="B1887" s="37"/>
      <c r="C1887" s="38"/>
      <c r="D1887" s="39"/>
      <c r="E1887" s="36" t="str">
        <f aca="false">IF($D1887="","",IFERROR(INDEX('통합 ④ 설정'!$A$6:$A$40,MATCH($D1887,'통합 ④ 설정'!$B$6:$B$40,0)),"※없는 과목"))</f>
        <v/>
      </c>
      <c r="F1887" s="36" t="str">
        <f aca="false">IF($D1887="","",IFERROR(INDEX('통합 ④ 설정'!$C$6:$C$40,MATCH($D1887,'통합 ④ 설정'!$B$6:$B$40,0)),""))</f>
        <v/>
      </c>
      <c r="G1887" s="39"/>
      <c r="H1887" s="39"/>
      <c r="I1887" s="40"/>
      <c r="J1887" s="41"/>
      <c r="K1887" s="38"/>
      <c r="L1887" s="42" t="str">
        <f aca="false">IF($B1887="","",IF(AND(N($I1887)=0,N($J1887)=0),"금액이 없습니다",IF(AND($I1887&gt;0,$J1887&gt;0),"수입·지출 둘 다 적혔습니다",IF($C1887="","결제수단을 고르십시오",IF(ISNA(MATCH($C1887,'통합 ③ 통장·카드'!$A$5:$A$11,0)),"③ 통장·카드에 없는 결제수단입니다",IF($D1887="","계정과목을 고르십시오",IF($E1887="※없는 과목","④ 설정에 없는 과목입니다",IF(AND($E1887="수입",$J1887&gt;0),"수입 과목인데 지출에 적혔습니다",IF(AND(LEFT($E1887,2)&lt;&gt;"수입",$E1887&lt;&gt;"대체",$I1887&gt;0),"지출 과목인데 수입에 적혔습니다",IF($K1887="","증빙을 고르십시오",IF(AND($C1887="바우처통장",$J1887&gt;0,IFERROR(INDEX('통합 ④ 설정'!$E$6:$E$40,MATCH($D1887,'통합 ④ 설정'!$B$6:$B$40,0)),"")&lt;&gt;"○"),"바우처통장 지출 — 목적 확인",IF($H1887="","적요를 적으십시오",""))))))))))))</f>
        <v/>
      </c>
      <c r="M1887" s="39"/>
      <c r="O1887" s="11" t="str">
        <f aca="false">IF($B1887="","",YEAR($B1887)*100+MONTH($B1887))</f>
        <v/>
      </c>
      <c r="P1887" s="11" t="str">
        <f aca="false">IF($B1887="","",IF($E1887="대체",0,1))</f>
        <v/>
      </c>
    </row>
    <row r="1888" customFormat="false" ht="15" hidden="false" customHeight="false" outlineLevel="0" collapsed="false">
      <c r="A1888" s="36" t="str">
        <f aca="false">IF($B1888="","",COUNT($B$15:$B1888))</f>
        <v/>
      </c>
      <c r="B1888" s="37"/>
      <c r="C1888" s="38"/>
      <c r="D1888" s="39"/>
      <c r="E1888" s="36" t="str">
        <f aca="false">IF($D1888="","",IFERROR(INDEX('통합 ④ 설정'!$A$6:$A$40,MATCH($D1888,'통합 ④ 설정'!$B$6:$B$40,0)),"※없는 과목"))</f>
        <v/>
      </c>
      <c r="F1888" s="36" t="str">
        <f aca="false">IF($D1888="","",IFERROR(INDEX('통합 ④ 설정'!$C$6:$C$40,MATCH($D1888,'통합 ④ 설정'!$B$6:$B$40,0)),""))</f>
        <v/>
      </c>
      <c r="G1888" s="39"/>
      <c r="H1888" s="39"/>
      <c r="I1888" s="40"/>
      <c r="J1888" s="41"/>
      <c r="K1888" s="38"/>
      <c r="L1888" s="42" t="str">
        <f aca="false">IF($B1888="","",IF(AND(N($I1888)=0,N($J1888)=0),"금액이 없습니다",IF(AND($I1888&gt;0,$J1888&gt;0),"수입·지출 둘 다 적혔습니다",IF($C1888="","결제수단을 고르십시오",IF(ISNA(MATCH($C1888,'통합 ③ 통장·카드'!$A$5:$A$11,0)),"③ 통장·카드에 없는 결제수단입니다",IF($D1888="","계정과목을 고르십시오",IF($E1888="※없는 과목","④ 설정에 없는 과목입니다",IF(AND($E1888="수입",$J1888&gt;0),"수입 과목인데 지출에 적혔습니다",IF(AND(LEFT($E1888,2)&lt;&gt;"수입",$E1888&lt;&gt;"대체",$I1888&gt;0),"지출 과목인데 수입에 적혔습니다",IF($K1888="","증빙을 고르십시오",IF(AND($C1888="바우처통장",$J1888&gt;0,IFERROR(INDEX('통합 ④ 설정'!$E$6:$E$40,MATCH($D1888,'통합 ④ 설정'!$B$6:$B$40,0)),"")&lt;&gt;"○"),"바우처통장 지출 — 목적 확인",IF($H1888="","적요를 적으십시오",""))))))))))))</f>
        <v/>
      </c>
      <c r="M1888" s="39"/>
      <c r="O1888" s="11" t="str">
        <f aca="false">IF($B1888="","",YEAR($B1888)*100+MONTH($B1888))</f>
        <v/>
      </c>
      <c r="P1888" s="11" t="str">
        <f aca="false">IF($B1888="","",IF($E1888="대체",0,1))</f>
        <v/>
      </c>
    </row>
    <row r="1889" customFormat="false" ht="15" hidden="false" customHeight="false" outlineLevel="0" collapsed="false">
      <c r="A1889" s="36" t="str">
        <f aca="false">IF($B1889="","",COUNT($B$15:$B1889))</f>
        <v/>
      </c>
      <c r="B1889" s="37"/>
      <c r="C1889" s="38"/>
      <c r="D1889" s="39"/>
      <c r="E1889" s="36" t="str">
        <f aca="false">IF($D1889="","",IFERROR(INDEX('통합 ④ 설정'!$A$6:$A$40,MATCH($D1889,'통합 ④ 설정'!$B$6:$B$40,0)),"※없는 과목"))</f>
        <v/>
      </c>
      <c r="F1889" s="36" t="str">
        <f aca="false">IF($D1889="","",IFERROR(INDEX('통합 ④ 설정'!$C$6:$C$40,MATCH($D1889,'통합 ④ 설정'!$B$6:$B$40,0)),""))</f>
        <v/>
      </c>
      <c r="G1889" s="39"/>
      <c r="H1889" s="39"/>
      <c r="I1889" s="40"/>
      <c r="J1889" s="41"/>
      <c r="K1889" s="38"/>
      <c r="L1889" s="42" t="str">
        <f aca="false">IF($B1889="","",IF(AND(N($I1889)=0,N($J1889)=0),"금액이 없습니다",IF(AND($I1889&gt;0,$J1889&gt;0),"수입·지출 둘 다 적혔습니다",IF($C1889="","결제수단을 고르십시오",IF(ISNA(MATCH($C1889,'통합 ③ 통장·카드'!$A$5:$A$11,0)),"③ 통장·카드에 없는 결제수단입니다",IF($D1889="","계정과목을 고르십시오",IF($E1889="※없는 과목","④ 설정에 없는 과목입니다",IF(AND($E1889="수입",$J1889&gt;0),"수입 과목인데 지출에 적혔습니다",IF(AND(LEFT($E1889,2)&lt;&gt;"수입",$E1889&lt;&gt;"대체",$I1889&gt;0),"지출 과목인데 수입에 적혔습니다",IF($K1889="","증빙을 고르십시오",IF(AND($C1889="바우처통장",$J1889&gt;0,IFERROR(INDEX('통합 ④ 설정'!$E$6:$E$40,MATCH($D1889,'통합 ④ 설정'!$B$6:$B$40,0)),"")&lt;&gt;"○"),"바우처통장 지출 — 목적 확인",IF($H1889="","적요를 적으십시오",""))))))))))))</f>
        <v/>
      </c>
      <c r="M1889" s="39"/>
      <c r="O1889" s="11" t="str">
        <f aca="false">IF($B1889="","",YEAR($B1889)*100+MONTH($B1889))</f>
        <v/>
      </c>
      <c r="P1889" s="11" t="str">
        <f aca="false">IF($B1889="","",IF($E1889="대체",0,1))</f>
        <v/>
      </c>
    </row>
    <row r="1890" customFormat="false" ht="15" hidden="false" customHeight="false" outlineLevel="0" collapsed="false">
      <c r="A1890" s="36" t="str">
        <f aca="false">IF($B1890="","",COUNT($B$15:$B1890))</f>
        <v/>
      </c>
      <c r="B1890" s="37"/>
      <c r="C1890" s="38"/>
      <c r="D1890" s="39"/>
      <c r="E1890" s="36" t="str">
        <f aca="false">IF($D1890="","",IFERROR(INDEX('통합 ④ 설정'!$A$6:$A$40,MATCH($D1890,'통합 ④ 설정'!$B$6:$B$40,0)),"※없는 과목"))</f>
        <v/>
      </c>
      <c r="F1890" s="36" t="str">
        <f aca="false">IF($D1890="","",IFERROR(INDEX('통합 ④ 설정'!$C$6:$C$40,MATCH($D1890,'통합 ④ 설정'!$B$6:$B$40,0)),""))</f>
        <v/>
      </c>
      <c r="G1890" s="39"/>
      <c r="H1890" s="39"/>
      <c r="I1890" s="40"/>
      <c r="J1890" s="41"/>
      <c r="K1890" s="38"/>
      <c r="L1890" s="42" t="str">
        <f aca="false">IF($B1890="","",IF(AND(N($I1890)=0,N($J1890)=0),"금액이 없습니다",IF(AND($I1890&gt;0,$J1890&gt;0),"수입·지출 둘 다 적혔습니다",IF($C1890="","결제수단을 고르십시오",IF(ISNA(MATCH($C1890,'통합 ③ 통장·카드'!$A$5:$A$11,0)),"③ 통장·카드에 없는 결제수단입니다",IF($D1890="","계정과목을 고르십시오",IF($E1890="※없는 과목","④ 설정에 없는 과목입니다",IF(AND($E1890="수입",$J1890&gt;0),"수입 과목인데 지출에 적혔습니다",IF(AND(LEFT($E1890,2)&lt;&gt;"수입",$E1890&lt;&gt;"대체",$I1890&gt;0),"지출 과목인데 수입에 적혔습니다",IF($K1890="","증빙을 고르십시오",IF(AND($C1890="바우처통장",$J1890&gt;0,IFERROR(INDEX('통합 ④ 설정'!$E$6:$E$40,MATCH($D1890,'통합 ④ 설정'!$B$6:$B$40,0)),"")&lt;&gt;"○"),"바우처통장 지출 — 목적 확인",IF($H1890="","적요를 적으십시오",""))))))))))))</f>
        <v/>
      </c>
      <c r="M1890" s="39"/>
      <c r="O1890" s="11" t="str">
        <f aca="false">IF($B1890="","",YEAR($B1890)*100+MONTH($B1890))</f>
        <v/>
      </c>
      <c r="P1890" s="11" t="str">
        <f aca="false">IF($B1890="","",IF($E1890="대체",0,1))</f>
        <v/>
      </c>
    </row>
    <row r="1891" customFormat="false" ht="15" hidden="false" customHeight="false" outlineLevel="0" collapsed="false">
      <c r="A1891" s="36" t="str">
        <f aca="false">IF($B1891="","",COUNT($B$15:$B1891))</f>
        <v/>
      </c>
      <c r="B1891" s="37"/>
      <c r="C1891" s="38"/>
      <c r="D1891" s="39"/>
      <c r="E1891" s="36" t="str">
        <f aca="false">IF($D1891="","",IFERROR(INDEX('통합 ④ 설정'!$A$6:$A$40,MATCH($D1891,'통합 ④ 설정'!$B$6:$B$40,0)),"※없는 과목"))</f>
        <v/>
      </c>
      <c r="F1891" s="36" t="str">
        <f aca="false">IF($D1891="","",IFERROR(INDEX('통합 ④ 설정'!$C$6:$C$40,MATCH($D1891,'통합 ④ 설정'!$B$6:$B$40,0)),""))</f>
        <v/>
      </c>
      <c r="G1891" s="39"/>
      <c r="H1891" s="39"/>
      <c r="I1891" s="40"/>
      <c r="J1891" s="41"/>
      <c r="K1891" s="38"/>
      <c r="L1891" s="42" t="str">
        <f aca="false">IF($B1891="","",IF(AND(N($I1891)=0,N($J1891)=0),"금액이 없습니다",IF(AND($I1891&gt;0,$J1891&gt;0),"수입·지출 둘 다 적혔습니다",IF($C1891="","결제수단을 고르십시오",IF(ISNA(MATCH($C1891,'통합 ③ 통장·카드'!$A$5:$A$11,0)),"③ 통장·카드에 없는 결제수단입니다",IF($D1891="","계정과목을 고르십시오",IF($E1891="※없는 과목","④ 설정에 없는 과목입니다",IF(AND($E1891="수입",$J1891&gt;0),"수입 과목인데 지출에 적혔습니다",IF(AND(LEFT($E1891,2)&lt;&gt;"수입",$E1891&lt;&gt;"대체",$I1891&gt;0),"지출 과목인데 수입에 적혔습니다",IF($K1891="","증빙을 고르십시오",IF(AND($C1891="바우처통장",$J1891&gt;0,IFERROR(INDEX('통합 ④ 설정'!$E$6:$E$40,MATCH($D1891,'통합 ④ 설정'!$B$6:$B$40,0)),"")&lt;&gt;"○"),"바우처통장 지출 — 목적 확인",IF($H1891="","적요를 적으십시오",""))))))))))))</f>
        <v/>
      </c>
      <c r="M1891" s="39"/>
      <c r="O1891" s="11" t="str">
        <f aca="false">IF($B1891="","",YEAR($B1891)*100+MONTH($B1891))</f>
        <v/>
      </c>
      <c r="P1891" s="11" t="str">
        <f aca="false">IF($B1891="","",IF($E1891="대체",0,1))</f>
        <v/>
      </c>
    </row>
    <row r="1892" customFormat="false" ht="15" hidden="false" customHeight="false" outlineLevel="0" collapsed="false">
      <c r="A1892" s="36" t="str">
        <f aca="false">IF($B1892="","",COUNT($B$15:$B1892))</f>
        <v/>
      </c>
      <c r="B1892" s="37"/>
      <c r="C1892" s="38"/>
      <c r="D1892" s="39"/>
      <c r="E1892" s="36" t="str">
        <f aca="false">IF($D1892="","",IFERROR(INDEX('통합 ④ 설정'!$A$6:$A$40,MATCH($D1892,'통합 ④ 설정'!$B$6:$B$40,0)),"※없는 과목"))</f>
        <v/>
      </c>
      <c r="F1892" s="36" t="str">
        <f aca="false">IF($D1892="","",IFERROR(INDEX('통합 ④ 설정'!$C$6:$C$40,MATCH($D1892,'통합 ④ 설정'!$B$6:$B$40,0)),""))</f>
        <v/>
      </c>
      <c r="G1892" s="39"/>
      <c r="H1892" s="39"/>
      <c r="I1892" s="40"/>
      <c r="J1892" s="41"/>
      <c r="K1892" s="38"/>
      <c r="L1892" s="42" t="str">
        <f aca="false">IF($B1892="","",IF(AND(N($I1892)=0,N($J1892)=0),"금액이 없습니다",IF(AND($I1892&gt;0,$J1892&gt;0),"수입·지출 둘 다 적혔습니다",IF($C1892="","결제수단을 고르십시오",IF(ISNA(MATCH($C1892,'통합 ③ 통장·카드'!$A$5:$A$11,0)),"③ 통장·카드에 없는 결제수단입니다",IF($D1892="","계정과목을 고르십시오",IF($E1892="※없는 과목","④ 설정에 없는 과목입니다",IF(AND($E1892="수입",$J1892&gt;0),"수입 과목인데 지출에 적혔습니다",IF(AND(LEFT($E1892,2)&lt;&gt;"수입",$E1892&lt;&gt;"대체",$I1892&gt;0),"지출 과목인데 수입에 적혔습니다",IF($K1892="","증빙을 고르십시오",IF(AND($C1892="바우처통장",$J1892&gt;0,IFERROR(INDEX('통합 ④ 설정'!$E$6:$E$40,MATCH($D1892,'통합 ④ 설정'!$B$6:$B$40,0)),"")&lt;&gt;"○"),"바우처통장 지출 — 목적 확인",IF($H1892="","적요를 적으십시오",""))))))))))))</f>
        <v/>
      </c>
      <c r="M1892" s="39"/>
      <c r="O1892" s="11" t="str">
        <f aca="false">IF($B1892="","",YEAR($B1892)*100+MONTH($B1892))</f>
        <v/>
      </c>
      <c r="P1892" s="11" t="str">
        <f aca="false">IF($B1892="","",IF($E1892="대체",0,1))</f>
        <v/>
      </c>
    </row>
    <row r="1893" customFormat="false" ht="15" hidden="false" customHeight="false" outlineLevel="0" collapsed="false">
      <c r="A1893" s="36" t="str">
        <f aca="false">IF($B1893="","",COUNT($B$15:$B1893))</f>
        <v/>
      </c>
      <c r="B1893" s="37"/>
      <c r="C1893" s="38"/>
      <c r="D1893" s="39"/>
      <c r="E1893" s="36" t="str">
        <f aca="false">IF($D1893="","",IFERROR(INDEX('통합 ④ 설정'!$A$6:$A$40,MATCH($D1893,'통합 ④ 설정'!$B$6:$B$40,0)),"※없는 과목"))</f>
        <v/>
      </c>
      <c r="F1893" s="36" t="str">
        <f aca="false">IF($D1893="","",IFERROR(INDEX('통합 ④ 설정'!$C$6:$C$40,MATCH($D1893,'통합 ④ 설정'!$B$6:$B$40,0)),""))</f>
        <v/>
      </c>
      <c r="G1893" s="39"/>
      <c r="H1893" s="39"/>
      <c r="I1893" s="40"/>
      <c r="J1893" s="41"/>
      <c r="K1893" s="38"/>
      <c r="L1893" s="42" t="str">
        <f aca="false">IF($B1893="","",IF(AND(N($I1893)=0,N($J1893)=0),"금액이 없습니다",IF(AND($I1893&gt;0,$J1893&gt;0),"수입·지출 둘 다 적혔습니다",IF($C1893="","결제수단을 고르십시오",IF(ISNA(MATCH($C1893,'통합 ③ 통장·카드'!$A$5:$A$11,0)),"③ 통장·카드에 없는 결제수단입니다",IF($D1893="","계정과목을 고르십시오",IF($E1893="※없는 과목","④ 설정에 없는 과목입니다",IF(AND($E1893="수입",$J1893&gt;0),"수입 과목인데 지출에 적혔습니다",IF(AND(LEFT($E1893,2)&lt;&gt;"수입",$E1893&lt;&gt;"대체",$I1893&gt;0),"지출 과목인데 수입에 적혔습니다",IF($K1893="","증빙을 고르십시오",IF(AND($C1893="바우처통장",$J1893&gt;0,IFERROR(INDEX('통합 ④ 설정'!$E$6:$E$40,MATCH($D1893,'통합 ④ 설정'!$B$6:$B$40,0)),"")&lt;&gt;"○"),"바우처통장 지출 — 목적 확인",IF($H1893="","적요를 적으십시오",""))))))))))))</f>
        <v/>
      </c>
      <c r="M1893" s="39"/>
      <c r="O1893" s="11" t="str">
        <f aca="false">IF($B1893="","",YEAR($B1893)*100+MONTH($B1893))</f>
        <v/>
      </c>
      <c r="P1893" s="11" t="str">
        <f aca="false">IF($B1893="","",IF($E1893="대체",0,1))</f>
        <v/>
      </c>
    </row>
    <row r="1894" customFormat="false" ht="15" hidden="false" customHeight="false" outlineLevel="0" collapsed="false">
      <c r="A1894" s="36" t="str">
        <f aca="false">IF($B1894="","",COUNT($B$15:$B1894))</f>
        <v/>
      </c>
      <c r="B1894" s="37"/>
      <c r="C1894" s="38"/>
      <c r="D1894" s="39"/>
      <c r="E1894" s="36" t="str">
        <f aca="false">IF($D1894="","",IFERROR(INDEX('통합 ④ 설정'!$A$6:$A$40,MATCH($D1894,'통합 ④ 설정'!$B$6:$B$40,0)),"※없는 과목"))</f>
        <v/>
      </c>
      <c r="F1894" s="36" t="str">
        <f aca="false">IF($D1894="","",IFERROR(INDEX('통합 ④ 설정'!$C$6:$C$40,MATCH($D1894,'통합 ④ 설정'!$B$6:$B$40,0)),""))</f>
        <v/>
      </c>
      <c r="G1894" s="39"/>
      <c r="H1894" s="39"/>
      <c r="I1894" s="40"/>
      <c r="J1894" s="41"/>
      <c r="K1894" s="38"/>
      <c r="L1894" s="42" t="str">
        <f aca="false">IF($B1894="","",IF(AND(N($I1894)=0,N($J1894)=0),"금액이 없습니다",IF(AND($I1894&gt;0,$J1894&gt;0),"수입·지출 둘 다 적혔습니다",IF($C1894="","결제수단을 고르십시오",IF(ISNA(MATCH($C1894,'통합 ③ 통장·카드'!$A$5:$A$11,0)),"③ 통장·카드에 없는 결제수단입니다",IF($D1894="","계정과목을 고르십시오",IF($E1894="※없는 과목","④ 설정에 없는 과목입니다",IF(AND($E1894="수입",$J1894&gt;0),"수입 과목인데 지출에 적혔습니다",IF(AND(LEFT($E1894,2)&lt;&gt;"수입",$E1894&lt;&gt;"대체",$I1894&gt;0),"지출 과목인데 수입에 적혔습니다",IF($K1894="","증빙을 고르십시오",IF(AND($C1894="바우처통장",$J1894&gt;0,IFERROR(INDEX('통합 ④ 설정'!$E$6:$E$40,MATCH($D1894,'통합 ④ 설정'!$B$6:$B$40,0)),"")&lt;&gt;"○"),"바우처통장 지출 — 목적 확인",IF($H1894="","적요를 적으십시오",""))))))))))))</f>
        <v/>
      </c>
      <c r="M1894" s="39"/>
      <c r="O1894" s="11" t="str">
        <f aca="false">IF($B1894="","",YEAR($B1894)*100+MONTH($B1894))</f>
        <v/>
      </c>
      <c r="P1894" s="11" t="str">
        <f aca="false">IF($B1894="","",IF($E1894="대체",0,1))</f>
        <v/>
      </c>
    </row>
    <row r="1895" customFormat="false" ht="15" hidden="false" customHeight="false" outlineLevel="0" collapsed="false">
      <c r="A1895" s="36" t="str">
        <f aca="false">IF($B1895="","",COUNT($B$15:$B1895))</f>
        <v/>
      </c>
      <c r="B1895" s="37"/>
      <c r="C1895" s="38"/>
      <c r="D1895" s="39"/>
      <c r="E1895" s="36" t="str">
        <f aca="false">IF($D1895="","",IFERROR(INDEX('통합 ④ 설정'!$A$6:$A$40,MATCH($D1895,'통합 ④ 설정'!$B$6:$B$40,0)),"※없는 과목"))</f>
        <v/>
      </c>
      <c r="F1895" s="36" t="str">
        <f aca="false">IF($D1895="","",IFERROR(INDEX('통합 ④ 설정'!$C$6:$C$40,MATCH($D1895,'통합 ④ 설정'!$B$6:$B$40,0)),""))</f>
        <v/>
      </c>
      <c r="G1895" s="39"/>
      <c r="H1895" s="39"/>
      <c r="I1895" s="40"/>
      <c r="J1895" s="41"/>
      <c r="K1895" s="38"/>
      <c r="L1895" s="42" t="str">
        <f aca="false">IF($B1895="","",IF(AND(N($I1895)=0,N($J1895)=0),"금액이 없습니다",IF(AND($I1895&gt;0,$J1895&gt;0),"수입·지출 둘 다 적혔습니다",IF($C1895="","결제수단을 고르십시오",IF(ISNA(MATCH($C1895,'통합 ③ 통장·카드'!$A$5:$A$11,0)),"③ 통장·카드에 없는 결제수단입니다",IF($D1895="","계정과목을 고르십시오",IF($E1895="※없는 과목","④ 설정에 없는 과목입니다",IF(AND($E1895="수입",$J1895&gt;0),"수입 과목인데 지출에 적혔습니다",IF(AND(LEFT($E1895,2)&lt;&gt;"수입",$E1895&lt;&gt;"대체",$I1895&gt;0),"지출 과목인데 수입에 적혔습니다",IF($K1895="","증빙을 고르십시오",IF(AND($C1895="바우처통장",$J1895&gt;0,IFERROR(INDEX('통합 ④ 설정'!$E$6:$E$40,MATCH($D1895,'통합 ④ 설정'!$B$6:$B$40,0)),"")&lt;&gt;"○"),"바우처통장 지출 — 목적 확인",IF($H1895="","적요를 적으십시오",""))))))))))))</f>
        <v/>
      </c>
      <c r="M1895" s="39"/>
      <c r="O1895" s="11" t="str">
        <f aca="false">IF($B1895="","",YEAR($B1895)*100+MONTH($B1895))</f>
        <v/>
      </c>
      <c r="P1895" s="11" t="str">
        <f aca="false">IF($B1895="","",IF($E1895="대체",0,1))</f>
        <v/>
      </c>
    </row>
    <row r="1896" customFormat="false" ht="15" hidden="false" customHeight="false" outlineLevel="0" collapsed="false">
      <c r="A1896" s="36" t="str">
        <f aca="false">IF($B1896="","",COUNT($B$15:$B1896))</f>
        <v/>
      </c>
      <c r="B1896" s="37"/>
      <c r="C1896" s="38"/>
      <c r="D1896" s="39"/>
      <c r="E1896" s="36" t="str">
        <f aca="false">IF($D1896="","",IFERROR(INDEX('통합 ④ 설정'!$A$6:$A$40,MATCH($D1896,'통합 ④ 설정'!$B$6:$B$40,0)),"※없는 과목"))</f>
        <v/>
      </c>
      <c r="F1896" s="36" t="str">
        <f aca="false">IF($D1896="","",IFERROR(INDEX('통합 ④ 설정'!$C$6:$C$40,MATCH($D1896,'통합 ④ 설정'!$B$6:$B$40,0)),""))</f>
        <v/>
      </c>
      <c r="G1896" s="39"/>
      <c r="H1896" s="39"/>
      <c r="I1896" s="40"/>
      <c r="J1896" s="41"/>
      <c r="K1896" s="38"/>
      <c r="L1896" s="42" t="str">
        <f aca="false">IF($B1896="","",IF(AND(N($I1896)=0,N($J1896)=0),"금액이 없습니다",IF(AND($I1896&gt;0,$J1896&gt;0),"수입·지출 둘 다 적혔습니다",IF($C1896="","결제수단을 고르십시오",IF(ISNA(MATCH($C1896,'통합 ③ 통장·카드'!$A$5:$A$11,0)),"③ 통장·카드에 없는 결제수단입니다",IF($D1896="","계정과목을 고르십시오",IF($E1896="※없는 과목","④ 설정에 없는 과목입니다",IF(AND($E1896="수입",$J1896&gt;0),"수입 과목인데 지출에 적혔습니다",IF(AND(LEFT($E1896,2)&lt;&gt;"수입",$E1896&lt;&gt;"대체",$I1896&gt;0),"지출 과목인데 수입에 적혔습니다",IF($K1896="","증빙을 고르십시오",IF(AND($C1896="바우처통장",$J1896&gt;0,IFERROR(INDEX('통합 ④ 설정'!$E$6:$E$40,MATCH($D1896,'통합 ④ 설정'!$B$6:$B$40,0)),"")&lt;&gt;"○"),"바우처통장 지출 — 목적 확인",IF($H1896="","적요를 적으십시오",""))))))))))))</f>
        <v/>
      </c>
      <c r="M1896" s="39"/>
      <c r="O1896" s="11" t="str">
        <f aca="false">IF($B1896="","",YEAR($B1896)*100+MONTH($B1896))</f>
        <v/>
      </c>
      <c r="P1896" s="11" t="str">
        <f aca="false">IF($B1896="","",IF($E1896="대체",0,1))</f>
        <v/>
      </c>
    </row>
    <row r="1897" customFormat="false" ht="15" hidden="false" customHeight="false" outlineLevel="0" collapsed="false">
      <c r="A1897" s="36" t="str">
        <f aca="false">IF($B1897="","",COUNT($B$15:$B1897))</f>
        <v/>
      </c>
      <c r="B1897" s="37"/>
      <c r="C1897" s="38"/>
      <c r="D1897" s="39"/>
      <c r="E1897" s="36" t="str">
        <f aca="false">IF($D1897="","",IFERROR(INDEX('통합 ④ 설정'!$A$6:$A$40,MATCH($D1897,'통합 ④ 설정'!$B$6:$B$40,0)),"※없는 과목"))</f>
        <v/>
      </c>
      <c r="F1897" s="36" t="str">
        <f aca="false">IF($D1897="","",IFERROR(INDEX('통합 ④ 설정'!$C$6:$C$40,MATCH($D1897,'통합 ④ 설정'!$B$6:$B$40,0)),""))</f>
        <v/>
      </c>
      <c r="G1897" s="39"/>
      <c r="H1897" s="39"/>
      <c r="I1897" s="40"/>
      <c r="J1897" s="41"/>
      <c r="K1897" s="38"/>
      <c r="L1897" s="42" t="str">
        <f aca="false">IF($B1897="","",IF(AND(N($I1897)=0,N($J1897)=0),"금액이 없습니다",IF(AND($I1897&gt;0,$J1897&gt;0),"수입·지출 둘 다 적혔습니다",IF($C1897="","결제수단을 고르십시오",IF(ISNA(MATCH($C1897,'통합 ③ 통장·카드'!$A$5:$A$11,0)),"③ 통장·카드에 없는 결제수단입니다",IF($D1897="","계정과목을 고르십시오",IF($E1897="※없는 과목","④ 설정에 없는 과목입니다",IF(AND($E1897="수입",$J1897&gt;0),"수입 과목인데 지출에 적혔습니다",IF(AND(LEFT($E1897,2)&lt;&gt;"수입",$E1897&lt;&gt;"대체",$I1897&gt;0),"지출 과목인데 수입에 적혔습니다",IF($K1897="","증빙을 고르십시오",IF(AND($C1897="바우처통장",$J1897&gt;0,IFERROR(INDEX('통합 ④ 설정'!$E$6:$E$40,MATCH($D1897,'통합 ④ 설정'!$B$6:$B$40,0)),"")&lt;&gt;"○"),"바우처통장 지출 — 목적 확인",IF($H1897="","적요를 적으십시오",""))))))))))))</f>
        <v/>
      </c>
      <c r="M1897" s="39"/>
      <c r="O1897" s="11" t="str">
        <f aca="false">IF($B1897="","",YEAR($B1897)*100+MONTH($B1897))</f>
        <v/>
      </c>
      <c r="P1897" s="11" t="str">
        <f aca="false">IF($B1897="","",IF($E1897="대체",0,1))</f>
        <v/>
      </c>
    </row>
    <row r="1898" customFormat="false" ht="15" hidden="false" customHeight="false" outlineLevel="0" collapsed="false">
      <c r="A1898" s="36" t="str">
        <f aca="false">IF($B1898="","",COUNT($B$15:$B1898))</f>
        <v/>
      </c>
      <c r="B1898" s="37"/>
      <c r="C1898" s="38"/>
      <c r="D1898" s="39"/>
      <c r="E1898" s="36" t="str">
        <f aca="false">IF($D1898="","",IFERROR(INDEX('통합 ④ 설정'!$A$6:$A$40,MATCH($D1898,'통합 ④ 설정'!$B$6:$B$40,0)),"※없는 과목"))</f>
        <v/>
      </c>
      <c r="F1898" s="36" t="str">
        <f aca="false">IF($D1898="","",IFERROR(INDEX('통합 ④ 설정'!$C$6:$C$40,MATCH($D1898,'통합 ④ 설정'!$B$6:$B$40,0)),""))</f>
        <v/>
      </c>
      <c r="G1898" s="39"/>
      <c r="H1898" s="39"/>
      <c r="I1898" s="40"/>
      <c r="J1898" s="41"/>
      <c r="K1898" s="38"/>
      <c r="L1898" s="42" t="str">
        <f aca="false">IF($B1898="","",IF(AND(N($I1898)=0,N($J1898)=0),"금액이 없습니다",IF(AND($I1898&gt;0,$J1898&gt;0),"수입·지출 둘 다 적혔습니다",IF($C1898="","결제수단을 고르십시오",IF(ISNA(MATCH($C1898,'통합 ③ 통장·카드'!$A$5:$A$11,0)),"③ 통장·카드에 없는 결제수단입니다",IF($D1898="","계정과목을 고르십시오",IF($E1898="※없는 과목","④ 설정에 없는 과목입니다",IF(AND($E1898="수입",$J1898&gt;0),"수입 과목인데 지출에 적혔습니다",IF(AND(LEFT($E1898,2)&lt;&gt;"수입",$E1898&lt;&gt;"대체",$I1898&gt;0),"지출 과목인데 수입에 적혔습니다",IF($K1898="","증빙을 고르십시오",IF(AND($C1898="바우처통장",$J1898&gt;0,IFERROR(INDEX('통합 ④ 설정'!$E$6:$E$40,MATCH($D1898,'통합 ④ 설정'!$B$6:$B$40,0)),"")&lt;&gt;"○"),"바우처통장 지출 — 목적 확인",IF($H1898="","적요를 적으십시오",""))))))))))))</f>
        <v/>
      </c>
      <c r="M1898" s="39"/>
      <c r="O1898" s="11" t="str">
        <f aca="false">IF($B1898="","",YEAR($B1898)*100+MONTH($B1898))</f>
        <v/>
      </c>
      <c r="P1898" s="11" t="str">
        <f aca="false">IF($B1898="","",IF($E1898="대체",0,1))</f>
        <v/>
      </c>
    </row>
    <row r="1899" customFormat="false" ht="15" hidden="false" customHeight="false" outlineLevel="0" collapsed="false">
      <c r="A1899" s="36" t="str">
        <f aca="false">IF($B1899="","",COUNT($B$15:$B1899))</f>
        <v/>
      </c>
      <c r="B1899" s="37"/>
      <c r="C1899" s="38"/>
      <c r="D1899" s="39"/>
      <c r="E1899" s="36" t="str">
        <f aca="false">IF($D1899="","",IFERROR(INDEX('통합 ④ 설정'!$A$6:$A$40,MATCH($D1899,'통합 ④ 설정'!$B$6:$B$40,0)),"※없는 과목"))</f>
        <v/>
      </c>
      <c r="F1899" s="36" t="str">
        <f aca="false">IF($D1899="","",IFERROR(INDEX('통합 ④ 설정'!$C$6:$C$40,MATCH($D1899,'통합 ④ 설정'!$B$6:$B$40,0)),""))</f>
        <v/>
      </c>
      <c r="G1899" s="39"/>
      <c r="H1899" s="39"/>
      <c r="I1899" s="40"/>
      <c r="J1899" s="41"/>
      <c r="K1899" s="38"/>
      <c r="L1899" s="42" t="str">
        <f aca="false">IF($B1899="","",IF(AND(N($I1899)=0,N($J1899)=0),"금액이 없습니다",IF(AND($I1899&gt;0,$J1899&gt;0),"수입·지출 둘 다 적혔습니다",IF($C1899="","결제수단을 고르십시오",IF(ISNA(MATCH($C1899,'통합 ③ 통장·카드'!$A$5:$A$11,0)),"③ 통장·카드에 없는 결제수단입니다",IF($D1899="","계정과목을 고르십시오",IF($E1899="※없는 과목","④ 설정에 없는 과목입니다",IF(AND($E1899="수입",$J1899&gt;0),"수입 과목인데 지출에 적혔습니다",IF(AND(LEFT($E1899,2)&lt;&gt;"수입",$E1899&lt;&gt;"대체",$I1899&gt;0),"지출 과목인데 수입에 적혔습니다",IF($K1899="","증빙을 고르십시오",IF(AND($C1899="바우처통장",$J1899&gt;0,IFERROR(INDEX('통합 ④ 설정'!$E$6:$E$40,MATCH($D1899,'통합 ④ 설정'!$B$6:$B$40,0)),"")&lt;&gt;"○"),"바우처통장 지출 — 목적 확인",IF($H1899="","적요를 적으십시오",""))))))))))))</f>
        <v/>
      </c>
      <c r="M1899" s="39"/>
      <c r="O1899" s="11" t="str">
        <f aca="false">IF($B1899="","",YEAR($B1899)*100+MONTH($B1899))</f>
        <v/>
      </c>
      <c r="P1899" s="11" t="str">
        <f aca="false">IF($B1899="","",IF($E1899="대체",0,1))</f>
        <v/>
      </c>
    </row>
    <row r="1900" customFormat="false" ht="15" hidden="false" customHeight="false" outlineLevel="0" collapsed="false">
      <c r="A1900" s="36" t="str">
        <f aca="false">IF($B1900="","",COUNT($B$15:$B1900))</f>
        <v/>
      </c>
      <c r="B1900" s="37"/>
      <c r="C1900" s="38"/>
      <c r="D1900" s="39"/>
      <c r="E1900" s="36" t="str">
        <f aca="false">IF($D1900="","",IFERROR(INDEX('통합 ④ 설정'!$A$6:$A$40,MATCH($D1900,'통합 ④ 설정'!$B$6:$B$40,0)),"※없는 과목"))</f>
        <v/>
      </c>
      <c r="F1900" s="36" t="str">
        <f aca="false">IF($D1900="","",IFERROR(INDEX('통합 ④ 설정'!$C$6:$C$40,MATCH($D1900,'통합 ④ 설정'!$B$6:$B$40,0)),""))</f>
        <v/>
      </c>
      <c r="G1900" s="39"/>
      <c r="H1900" s="39"/>
      <c r="I1900" s="40"/>
      <c r="J1900" s="41"/>
      <c r="K1900" s="38"/>
      <c r="L1900" s="42" t="str">
        <f aca="false">IF($B1900="","",IF(AND(N($I1900)=0,N($J1900)=0),"금액이 없습니다",IF(AND($I1900&gt;0,$J1900&gt;0),"수입·지출 둘 다 적혔습니다",IF($C1900="","결제수단을 고르십시오",IF(ISNA(MATCH($C1900,'통합 ③ 통장·카드'!$A$5:$A$11,0)),"③ 통장·카드에 없는 결제수단입니다",IF($D1900="","계정과목을 고르십시오",IF($E1900="※없는 과목","④ 설정에 없는 과목입니다",IF(AND($E1900="수입",$J1900&gt;0),"수입 과목인데 지출에 적혔습니다",IF(AND(LEFT($E1900,2)&lt;&gt;"수입",$E1900&lt;&gt;"대체",$I1900&gt;0),"지출 과목인데 수입에 적혔습니다",IF($K1900="","증빙을 고르십시오",IF(AND($C1900="바우처통장",$J1900&gt;0,IFERROR(INDEX('통합 ④ 설정'!$E$6:$E$40,MATCH($D1900,'통합 ④ 설정'!$B$6:$B$40,0)),"")&lt;&gt;"○"),"바우처통장 지출 — 목적 확인",IF($H1900="","적요를 적으십시오",""))))))))))))</f>
        <v/>
      </c>
      <c r="M1900" s="39"/>
      <c r="O1900" s="11" t="str">
        <f aca="false">IF($B1900="","",YEAR($B1900)*100+MONTH($B1900))</f>
        <v/>
      </c>
      <c r="P1900" s="11" t="str">
        <f aca="false">IF($B1900="","",IF($E1900="대체",0,1))</f>
        <v/>
      </c>
    </row>
    <row r="1901" customFormat="false" ht="15" hidden="false" customHeight="false" outlineLevel="0" collapsed="false">
      <c r="A1901" s="36" t="str">
        <f aca="false">IF($B1901="","",COUNT($B$15:$B1901))</f>
        <v/>
      </c>
      <c r="B1901" s="37"/>
      <c r="C1901" s="38"/>
      <c r="D1901" s="39"/>
      <c r="E1901" s="36" t="str">
        <f aca="false">IF($D1901="","",IFERROR(INDEX('통합 ④ 설정'!$A$6:$A$40,MATCH($D1901,'통합 ④ 설정'!$B$6:$B$40,0)),"※없는 과목"))</f>
        <v/>
      </c>
      <c r="F1901" s="36" t="str">
        <f aca="false">IF($D1901="","",IFERROR(INDEX('통합 ④ 설정'!$C$6:$C$40,MATCH($D1901,'통합 ④ 설정'!$B$6:$B$40,0)),""))</f>
        <v/>
      </c>
      <c r="G1901" s="39"/>
      <c r="H1901" s="39"/>
      <c r="I1901" s="40"/>
      <c r="J1901" s="41"/>
      <c r="K1901" s="38"/>
      <c r="L1901" s="42" t="str">
        <f aca="false">IF($B1901="","",IF(AND(N($I1901)=0,N($J1901)=0),"금액이 없습니다",IF(AND($I1901&gt;0,$J1901&gt;0),"수입·지출 둘 다 적혔습니다",IF($C1901="","결제수단을 고르십시오",IF(ISNA(MATCH($C1901,'통합 ③ 통장·카드'!$A$5:$A$11,0)),"③ 통장·카드에 없는 결제수단입니다",IF($D1901="","계정과목을 고르십시오",IF($E1901="※없는 과목","④ 설정에 없는 과목입니다",IF(AND($E1901="수입",$J1901&gt;0),"수입 과목인데 지출에 적혔습니다",IF(AND(LEFT($E1901,2)&lt;&gt;"수입",$E1901&lt;&gt;"대체",$I1901&gt;0),"지출 과목인데 수입에 적혔습니다",IF($K1901="","증빙을 고르십시오",IF(AND($C1901="바우처통장",$J1901&gt;0,IFERROR(INDEX('통합 ④ 설정'!$E$6:$E$40,MATCH($D1901,'통합 ④ 설정'!$B$6:$B$40,0)),"")&lt;&gt;"○"),"바우처통장 지출 — 목적 확인",IF($H1901="","적요를 적으십시오",""))))))))))))</f>
        <v/>
      </c>
      <c r="M1901" s="39"/>
      <c r="O1901" s="11" t="str">
        <f aca="false">IF($B1901="","",YEAR($B1901)*100+MONTH($B1901))</f>
        <v/>
      </c>
      <c r="P1901" s="11" t="str">
        <f aca="false">IF($B1901="","",IF($E1901="대체",0,1))</f>
        <v/>
      </c>
    </row>
    <row r="1902" customFormat="false" ht="15" hidden="false" customHeight="false" outlineLevel="0" collapsed="false">
      <c r="A1902" s="36" t="str">
        <f aca="false">IF($B1902="","",COUNT($B$15:$B1902))</f>
        <v/>
      </c>
      <c r="B1902" s="37"/>
      <c r="C1902" s="38"/>
      <c r="D1902" s="39"/>
      <c r="E1902" s="36" t="str">
        <f aca="false">IF($D1902="","",IFERROR(INDEX('통합 ④ 설정'!$A$6:$A$40,MATCH($D1902,'통합 ④ 설정'!$B$6:$B$40,0)),"※없는 과목"))</f>
        <v/>
      </c>
      <c r="F1902" s="36" t="str">
        <f aca="false">IF($D1902="","",IFERROR(INDEX('통합 ④ 설정'!$C$6:$C$40,MATCH($D1902,'통합 ④ 설정'!$B$6:$B$40,0)),""))</f>
        <v/>
      </c>
      <c r="G1902" s="39"/>
      <c r="H1902" s="39"/>
      <c r="I1902" s="40"/>
      <c r="J1902" s="41"/>
      <c r="K1902" s="38"/>
      <c r="L1902" s="42" t="str">
        <f aca="false">IF($B1902="","",IF(AND(N($I1902)=0,N($J1902)=0),"금액이 없습니다",IF(AND($I1902&gt;0,$J1902&gt;0),"수입·지출 둘 다 적혔습니다",IF($C1902="","결제수단을 고르십시오",IF(ISNA(MATCH($C1902,'통합 ③ 통장·카드'!$A$5:$A$11,0)),"③ 통장·카드에 없는 결제수단입니다",IF($D1902="","계정과목을 고르십시오",IF($E1902="※없는 과목","④ 설정에 없는 과목입니다",IF(AND($E1902="수입",$J1902&gt;0),"수입 과목인데 지출에 적혔습니다",IF(AND(LEFT($E1902,2)&lt;&gt;"수입",$E1902&lt;&gt;"대체",$I1902&gt;0),"지출 과목인데 수입에 적혔습니다",IF($K1902="","증빙을 고르십시오",IF(AND($C1902="바우처통장",$J1902&gt;0,IFERROR(INDEX('통합 ④ 설정'!$E$6:$E$40,MATCH($D1902,'통합 ④ 설정'!$B$6:$B$40,0)),"")&lt;&gt;"○"),"바우처통장 지출 — 목적 확인",IF($H1902="","적요를 적으십시오",""))))))))))))</f>
        <v/>
      </c>
      <c r="M1902" s="39"/>
      <c r="O1902" s="11" t="str">
        <f aca="false">IF($B1902="","",YEAR($B1902)*100+MONTH($B1902))</f>
        <v/>
      </c>
      <c r="P1902" s="11" t="str">
        <f aca="false">IF($B1902="","",IF($E1902="대체",0,1))</f>
        <v/>
      </c>
    </row>
    <row r="1903" customFormat="false" ht="15" hidden="false" customHeight="false" outlineLevel="0" collapsed="false">
      <c r="A1903" s="36" t="str">
        <f aca="false">IF($B1903="","",COUNT($B$15:$B1903))</f>
        <v/>
      </c>
      <c r="B1903" s="37"/>
      <c r="C1903" s="38"/>
      <c r="D1903" s="39"/>
      <c r="E1903" s="36" t="str">
        <f aca="false">IF($D1903="","",IFERROR(INDEX('통합 ④ 설정'!$A$6:$A$40,MATCH($D1903,'통합 ④ 설정'!$B$6:$B$40,0)),"※없는 과목"))</f>
        <v/>
      </c>
      <c r="F1903" s="36" t="str">
        <f aca="false">IF($D1903="","",IFERROR(INDEX('통합 ④ 설정'!$C$6:$C$40,MATCH($D1903,'통합 ④ 설정'!$B$6:$B$40,0)),""))</f>
        <v/>
      </c>
      <c r="G1903" s="39"/>
      <c r="H1903" s="39"/>
      <c r="I1903" s="40"/>
      <c r="J1903" s="41"/>
      <c r="K1903" s="38"/>
      <c r="L1903" s="42" t="str">
        <f aca="false">IF($B1903="","",IF(AND(N($I1903)=0,N($J1903)=0),"금액이 없습니다",IF(AND($I1903&gt;0,$J1903&gt;0),"수입·지출 둘 다 적혔습니다",IF($C1903="","결제수단을 고르십시오",IF(ISNA(MATCH($C1903,'통합 ③ 통장·카드'!$A$5:$A$11,0)),"③ 통장·카드에 없는 결제수단입니다",IF($D1903="","계정과목을 고르십시오",IF($E1903="※없는 과목","④ 설정에 없는 과목입니다",IF(AND($E1903="수입",$J1903&gt;0),"수입 과목인데 지출에 적혔습니다",IF(AND(LEFT($E1903,2)&lt;&gt;"수입",$E1903&lt;&gt;"대체",$I1903&gt;0),"지출 과목인데 수입에 적혔습니다",IF($K1903="","증빙을 고르십시오",IF(AND($C1903="바우처통장",$J1903&gt;0,IFERROR(INDEX('통합 ④ 설정'!$E$6:$E$40,MATCH($D1903,'통합 ④ 설정'!$B$6:$B$40,0)),"")&lt;&gt;"○"),"바우처통장 지출 — 목적 확인",IF($H1903="","적요를 적으십시오",""))))))))))))</f>
        <v/>
      </c>
      <c r="M1903" s="39"/>
      <c r="O1903" s="11" t="str">
        <f aca="false">IF($B1903="","",YEAR($B1903)*100+MONTH($B1903))</f>
        <v/>
      </c>
      <c r="P1903" s="11" t="str">
        <f aca="false">IF($B1903="","",IF($E1903="대체",0,1))</f>
        <v/>
      </c>
    </row>
    <row r="1904" customFormat="false" ht="15" hidden="false" customHeight="false" outlineLevel="0" collapsed="false">
      <c r="A1904" s="36" t="str">
        <f aca="false">IF($B1904="","",COUNT($B$15:$B1904))</f>
        <v/>
      </c>
      <c r="B1904" s="37"/>
      <c r="C1904" s="38"/>
      <c r="D1904" s="39"/>
      <c r="E1904" s="36" t="str">
        <f aca="false">IF($D1904="","",IFERROR(INDEX('통합 ④ 설정'!$A$6:$A$40,MATCH($D1904,'통합 ④ 설정'!$B$6:$B$40,0)),"※없는 과목"))</f>
        <v/>
      </c>
      <c r="F1904" s="36" t="str">
        <f aca="false">IF($D1904="","",IFERROR(INDEX('통합 ④ 설정'!$C$6:$C$40,MATCH($D1904,'통합 ④ 설정'!$B$6:$B$40,0)),""))</f>
        <v/>
      </c>
      <c r="G1904" s="39"/>
      <c r="H1904" s="39"/>
      <c r="I1904" s="40"/>
      <c r="J1904" s="41"/>
      <c r="K1904" s="38"/>
      <c r="L1904" s="42" t="str">
        <f aca="false">IF($B1904="","",IF(AND(N($I1904)=0,N($J1904)=0),"금액이 없습니다",IF(AND($I1904&gt;0,$J1904&gt;0),"수입·지출 둘 다 적혔습니다",IF($C1904="","결제수단을 고르십시오",IF(ISNA(MATCH($C1904,'통합 ③ 통장·카드'!$A$5:$A$11,0)),"③ 통장·카드에 없는 결제수단입니다",IF($D1904="","계정과목을 고르십시오",IF($E1904="※없는 과목","④ 설정에 없는 과목입니다",IF(AND($E1904="수입",$J1904&gt;0),"수입 과목인데 지출에 적혔습니다",IF(AND(LEFT($E1904,2)&lt;&gt;"수입",$E1904&lt;&gt;"대체",$I1904&gt;0),"지출 과목인데 수입에 적혔습니다",IF($K1904="","증빙을 고르십시오",IF(AND($C1904="바우처통장",$J1904&gt;0,IFERROR(INDEX('통합 ④ 설정'!$E$6:$E$40,MATCH($D1904,'통합 ④ 설정'!$B$6:$B$40,0)),"")&lt;&gt;"○"),"바우처통장 지출 — 목적 확인",IF($H1904="","적요를 적으십시오",""))))))))))))</f>
        <v/>
      </c>
      <c r="M1904" s="39"/>
      <c r="O1904" s="11" t="str">
        <f aca="false">IF($B1904="","",YEAR($B1904)*100+MONTH($B1904))</f>
        <v/>
      </c>
      <c r="P1904" s="11" t="str">
        <f aca="false">IF($B1904="","",IF($E1904="대체",0,1))</f>
        <v/>
      </c>
    </row>
    <row r="1905" customFormat="false" ht="15" hidden="false" customHeight="false" outlineLevel="0" collapsed="false">
      <c r="A1905" s="36" t="str">
        <f aca="false">IF($B1905="","",COUNT($B$15:$B1905))</f>
        <v/>
      </c>
      <c r="B1905" s="37"/>
      <c r="C1905" s="38"/>
      <c r="D1905" s="39"/>
      <c r="E1905" s="36" t="str">
        <f aca="false">IF($D1905="","",IFERROR(INDEX('통합 ④ 설정'!$A$6:$A$40,MATCH($D1905,'통합 ④ 설정'!$B$6:$B$40,0)),"※없는 과목"))</f>
        <v/>
      </c>
      <c r="F1905" s="36" t="str">
        <f aca="false">IF($D1905="","",IFERROR(INDEX('통합 ④ 설정'!$C$6:$C$40,MATCH($D1905,'통합 ④ 설정'!$B$6:$B$40,0)),""))</f>
        <v/>
      </c>
      <c r="G1905" s="39"/>
      <c r="H1905" s="39"/>
      <c r="I1905" s="40"/>
      <c r="J1905" s="41"/>
      <c r="K1905" s="38"/>
      <c r="L1905" s="42" t="str">
        <f aca="false">IF($B1905="","",IF(AND(N($I1905)=0,N($J1905)=0),"금액이 없습니다",IF(AND($I1905&gt;0,$J1905&gt;0),"수입·지출 둘 다 적혔습니다",IF($C1905="","결제수단을 고르십시오",IF(ISNA(MATCH($C1905,'통합 ③ 통장·카드'!$A$5:$A$11,0)),"③ 통장·카드에 없는 결제수단입니다",IF($D1905="","계정과목을 고르십시오",IF($E1905="※없는 과목","④ 설정에 없는 과목입니다",IF(AND($E1905="수입",$J1905&gt;0),"수입 과목인데 지출에 적혔습니다",IF(AND(LEFT($E1905,2)&lt;&gt;"수입",$E1905&lt;&gt;"대체",$I1905&gt;0),"지출 과목인데 수입에 적혔습니다",IF($K1905="","증빙을 고르십시오",IF(AND($C1905="바우처통장",$J1905&gt;0,IFERROR(INDEX('통합 ④ 설정'!$E$6:$E$40,MATCH($D1905,'통합 ④ 설정'!$B$6:$B$40,0)),"")&lt;&gt;"○"),"바우처통장 지출 — 목적 확인",IF($H1905="","적요를 적으십시오",""))))))))))))</f>
        <v/>
      </c>
      <c r="M1905" s="39"/>
      <c r="O1905" s="11" t="str">
        <f aca="false">IF($B1905="","",YEAR($B1905)*100+MONTH($B1905))</f>
        <v/>
      </c>
      <c r="P1905" s="11" t="str">
        <f aca="false">IF($B1905="","",IF($E1905="대체",0,1))</f>
        <v/>
      </c>
    </row>
    <row r="1906" customFormat="false" ht="15" hidden="false" customHeight="false" outlineLevel="0" collapsed="false">
      <c r="A1906" s="36" t="str">
        <f aca="false">IF($B1906="","",COUNT($B$15:$B1906))</f>
        <v/>
      </c>
      <c r="B1906" s="37"/>
      <c r="C1906" s="38"/>
      <c r="D1906" s="39"/>
      <c r="E1906" s="36" t="str">
        <f aca="false">IF($D1906="","",IFERROR(INDEX('통합 ④ 설정'!$A$6:$A$40,MATCH($D1906,'통합 ④ 설정'!$B$6:$B$40,0)),"※없는 과목"))</f>
        <v/>
      </c>
      <c r="F1906" s="36" t="str">
        <f aca="false">IF($D1906="","",IFERROR(INDEX('통합 ④ 설정'!$C$6:$C$40,MATCH($D1906,'통합 ④ 설정'!$B$6:$B$40,0)),""))</f>
        <v/>
      </c>
      <c r="G1906" s="39"/>
      <c r="H1906" s="39"/>
      <c r="I1906" s="40"/>
      <c r="J1906" s="41"/>
      <c r="K1906" s="38"/>
      <c r="L1906" s="42" t="str">
        <f aca="false">IF($B1906="","",IF(AND(N($I1906)=0,N($J1906)=0),"금액이 없습니다",IF(AND($I1906&gt;0,$J1906&gt;0),"수입·지출 둘 다 적혔습니다",IF($C1906="","결제수단을 고르십시오",IF(ISNA(MATCH($C1906,'통합 ③ 통장·카드'!$A$5:$A$11,0)),"③ 통장·카드에 없는 결제수단입니다",IF($D1906="","계정과목을 고르십시오",IF($E1906="※없는 과목","④ 설정에 없는 과목입니다",IF(AND($E1906="수입",$J1906&gt;0),"수입 과목인데 지출에 적혔습니다",IF(AND(LEFT($E1906,2)&lt;&gt;"수입",$E1906&lt;&gt;"대체",$I1906&gt;0),"지출 과목인데 수입에 적혔습니다",IF($K1906="","증빙을 고르십시오",IF(AND($C1906="바우처통장",$J1906&gt;0,IFERROR(INDEX('통합 ④ 설정'!$E$6:$E$40,MATCH($D1906,'통합 ④ 설정'!$B$6:$B$40,0)),"")&lt;&gt;"○"),"바우처통장 지출 — 목적 확인",IF($H1906="","적요를 적으십시오",""))))))))))))</f>
        <v/>
      </c>
      <c r="M1906" s="39"/>
      <c r="O1906" s="11" t="str">
        <f aca="false">IF($B1906="","",YEAR($B1906)*100+MONTH($B1906))</f>
        <v/>
      </c>
      <c r="P1906" s="11" t="str">
        <f aca="false">IF($B1906="","",IF($E1906="대체",0,1))</f>
        <v/>
      </c>
    </row>
    <row r="1907" customFormat="false" ht="15" hidden="false" customHeight="false" outlineLevel="0" collapsed="false">
      <c r="A1907" s="36" t="str">
        <f aca="false">IF($B1907="","",COUNT($B$15:$B1907))</f>
        <v/>
      </c>
      <c r="B1907" s="37"/>
      <c r="C1907" s="38"/>
      <c r="D1907" s="39"/>
      <c r="E1907" s="36" t="str">
        <f aca="false">IF($D1907="","",IFERROR(INDEX('통합 ④ 설정'!$A$6:$A$40,MATCH($D1907,'통합 ④ 설정'!$B$6:$B$40,0)),"※없는 과목"))</f>
        <v/>
      </c>
      <c r="F1907" s="36" t="str">
        <f aca="false">IF($D1907="","",IFERROR(INDEX('통합 ④ 설정'!$C$6:$C$40,MATCH($D1907,'통합 ④ 설정'!$B$6:$B$40,0)),""))</f>
        <v/>
      </c>
      <c r="G1907" s="39"/>
      <c r="H1907" s="39"/>
      <c r="I1907" s="40"/>
      <c r="J1907" s="41"/>
      <c r="K1907" s="38"/>
      <c r="L1907" s="42" t="str">
        <f aca="false">IF($B1907="","",IF(AND(N($I1907)=0,N($J1907)=0),"금액이 없습니다",IF(AND($I1907&gt;0,$J1907&gt;0),"수입·지출 둘 다 적혔습니다",IF($C1907="","결제수단을 고르십시오",IF(ISNA(MATCH($C1907,'통합 ③ 통장·카드'!$A$5:$A$11,0)),"③ 통장·카드에 없는 결제수단입니다",IF($D1907="","계정과목을 고르십시오",IF($E1907="※없는 과목","④ 설정에 없는 과목입니다",IF(AND($E1907="수입",$J1907&gt;0),"수입 과목인데 지출에 적혔습니다",IF(AND(LEFT($E1907,2)&lt;&gt;"수입",$E1907&lt;&gt;"대체",$I1907&gt;0),"지출 과목인데 수입에 적혔습니다",IF($K1907="","증빙을 고르십시오",IF(AND($C1907="바우처통장",$J1907&gt;0,IFERROR(INDEX('통합 ④ 설정'!$E$6:$E$40,MATCH($D1907,'통합 ④ 설정'!$B$6:$B$40,0)),"")&lt;&gt;"○"),"바우처통장 지출 — 목적 확인",IF($H1907="","적요를 적으십시오",""))))))))))))</f>
        <v/>
      </c>
      <c r="M1907" s="39"/>
      <c r="O1907" s="11" t="str">
        <f aca="false">IF($B1907="","",YEAR($B1907)*100+MONTH($B1907))</f>
        <v/>
      </c>
      <c r="P1907" s="11" t="str">
        <f aca="false">IF($B1907="","",IF($E1907="대체",0,1))</f>
        <v/>
      </c>
    </row>
    <row r="1908" customFormat="false" ht="15" hidden="false" customHeight="false" outlineLevel="0" collapsed="false">
      <c r="A1908" s="36" t="str">
        <f aca="false">IF($B1908="","",COUNT($B$15:$B1908))</f>
        <v/>
      </c>
      <c r="B1908" s="37"/>
      <c r="C1908" s="38"/>
      <c r="D1908" s="39"/>
      <c r="E1908" s="36" t="str">
        <f aca="false">IF($D1908="","",IFERROR(INDEX('통합 ④ 설정'!$A$6:$A$40,MATCH($D1908,'통합 ④ 설정'!$B$6:$B$40,0)),"※없는 과목"))</f>
        <v/>
      </c>
      <c r="F1908" s="36" t="str">
        <f aca="false">IF($D1908="","",IFERROR(INDEX('통합 ④ 설정'!$C$6:$C$40,MATCH($D1908,'통합 ④ 설정'!$B$6:$B$40,0)),""))</f>
        <v/>
      </c>
      <c r="G1908" s="39"/>
      <c r="H1908" s="39"/>
      <c r="I1908" s="40"/>
      <c r="J1908" s="41"/>
      <c r="K1908" s="38"/>
      <c r="L1908" s="42" t="str">
        <f aca="false">IF($B1908="","",IF(AND(N($I1908)=0,N($J1908)=0),"금액이 없습니다",IF(AND($I1908&gt;0,$J1908&gt;0),"수입·지출 둘 다 적혔습니다",IF($C1908="","결제수단을 고르십시오",IF(ISNA(MATCH($C1908,'통합 ③ 통장·카드'!$A$5:$A$11,0)),"③ 통장·카드에 없는 결제수단입니다",IF($D1908="","계정과목을 고르십시오",IF($E1908="※없는 과목","④ 설정에 없는 과목입니다",IF(AND($E1908="수입",$J1908&gt;0),"수입 과목인데 지출에 적혔습니다",IF(AND(LEFT($E1908,2)&lt;&gt;"수입",$E1908&lt;&gt;"대체",$I1908&gt;0),"지출 과목인데 수입에 적혔습니다",IF($K1908="","증빙을 고르십시오",IF(AND($C1908="바우처통장",$J1908&gt;0,IFERROR(INDEX('통합 ④ 설정'!$E$6:$E$40,MATCH($D1908,'통합 ④ 설정'!$B$6:$B$40,0)),"")&lt;&gt;"○"),"바우처통장 지출 — 목적 확인",IF($H1908="","적요를 적으십시오",""))))))))))))</f>
        <v/>
      </c>
      <c r="M1908" s="39"/>
      <c r="O1908" s="11" t="str">
        <f aca="false">IF($B1908="","",YEAR($B1908)*100+MONTH($B1908))</f>
        <v/>
      </c>
      <c r="P1908" s="11" t="str">
        <f aca="false">IF($B1908="","",IF($E1908="대체",0,1))</f>
        <v/>
      </c>
    </row>
    <row r="1909" customFormat="false" ht="15" hidden="false" customHeight="false" outlineLevel="0" collapsed="false">
      <c r="A1909" s="36" t="str">
        <f aca="false">IF($B1909="","",COUNT($B$15:$B1909))</f>
        <v/>
      </c>
      <c r="B1909" s="37"/>
      <c r="C1909" s="38"/>
      <c r="D1909" s="39"/>
      <c r="E1909" s="36" t="str">
        <f aca="false">IF($D1909="","",IFERROR(INDEX('통합 ④ 설정'!$A$6:$A$40,MATCH($D1909,'통합 ④ 설정'!$B$6:$B$40,0)),"※없는 과목"))</f>
        <v/>
      </c>
      <c r="F1909" s="36" t="str">
        <f aca="false">IF($D1909="","",IFERROR(INDEX('통합 ④ 설정'!$C$6:$C$40,MATCH($D1909,'통합 ④ 설정'!$B$6:$B$40,0)),""))</f>
        <v/>
      </c>
      <c r="G1909" s="39"/>
      <c r="H1909" s="39"/>
      <c r="I1909" s="40"/>
      <c r="J1909" s="41"/>
      <c r="K1909" s="38"/>
      <c r="L1909" s="42" t="str">
        <f aca="false">IF($B1909="","",IF(AND(N($I1909)=0,N($J1909)=0),"금액이 없습니다",IF(AND($I1909&gt;0,$J1909&gt;0),"수입·지출 둘 다 적혔습니다",IF($C1909="","결제수단을 고르십시오",IF(ISNA(MATCH($C1909,'통합 ③ 통장·카드'!$A$5:$A$11,0)),"③ 통장·카드에 없는 결제수단입니다",IF($D1909="","계정과목을 고르십시오",IF($E1909="※없는 과목","④ 설정에 없는 과목입니다",IF(AND($E1909="수입",$J1909&gt;0),"수입 과목인데 지출에 적혔습니다",IF(AND(LEFT($E1909,2)&lt;&gt;"수입",$E1909&lt;&gt;"대체",$I1909&gt;0),"지출 과목인데 수입에 적혔습니다",IF($K1909="","증빙을 고르십시오",IF(AND($C1909="바우처통장",$J1909&gt;0,IFERROR(INDEX('통합 ④ 설정'!$E$6:$E$40,MATCH($D1909,'통합 ④ 설정'!$B$6:$B$40,0)),"")&lt;&gt;"○"),"바우처통장 지출 — 목적 확인",IF($H1909="","적요를 적으십시오",""))))))))))))</f>
        <v/>
      </c>
      <c r="M1909" s="39"/>
      <c r="O1909" s="11" t="str">
        <f aca="false">IF($B1909="","",YEAR($B1909)*100+MONTH($B1909))</f>
        <v/>
      </c>
      <c r="P1909" s="11" t="str">
        <f aca="false">IF($B1909="","",IF($E1909="대체",0,1))</f>
        <v/>
      </c>
    </row>
    <row r="1910" customFormat="false" ht="15" hidden="false" customHeight="false" outlineLevel="0" collapsed="false">
      <c r="A1910" s="36" t="str">
        <f aca="false">IF($B1910="","",COUNT($B$15:$B1910))</f>
        <v/>
      </c>
      <c r="B1910" s="37"/>
      <c r="C1910" s="38"/>
      <c r="D1910" s="39"/>
      <c r="E1910" s="36" t="str">
        <f aca="false">IF($D1910="","",IFERROR(INDEX('통합 ④ 설정'!$A$6:$A$40,MATCH($D1910,'통합 ④ 설정'!$B$6:$B$40,0)),"※없는 과목"))</f>
        <v/>
      </c>
      <c r="F1910" s="36" t="str">
        <f aca="false">IF($D1910="","",IFERROR(INDEX('통합 ④ 설정'!$C$6:$C$40,MATCH($D1910,'통합 ④ 설정'!$B$6:$B$40,0)),""))</f>
        <v/>
      </c>
      <c r="G1910" s="39"/>
      <c r="H1910" s="39"/>
      <c r="I1910" s="40"/>
      <c r="J1910" s="41"/>
      <c r="K1910" s="38"/>
      <c r="L1910" s="42" t="str">
        <f aca="false">IF($B1910="","",IF(AND(N($I1910)=0,N($J1910)=0),"금액이 없습니다",IF(AND($I1910&gt;0,$J1910&gt;0),"수입·지출 둘 다 적혔습니다",IF($C1910="","결제수단을 고르십시오",IF(ISNA(MATCH($C1910,'통합 ③ 통장·카드'!$A$5:$A$11,0)),"③ 통장·카드에 없는 결제수단입니다",IF($D1910="","계정과목을 고르십시오",IF($E1910="※없는 과목","④ 설정에 없는 과목입니다",IF(AND($E1910="수입",$J1910&gt;0),"수입 과목인데 지출에 적혔습니다",IF(AND(LEFT($E1910,2)&lt;&gt;"수입",$E1910&lt;&gt;"대체",$I1910&gt;0),"지출 과목인데 수입에 적혔습니다",IF($K1910="","증빙을 고르십시오",IF(AND($C1910="바우처통장",$J1910&gt;0,IFERROR(INDEX('통합 ④ 설정'!$E$6:$E$40,MATCH($D1910,'통합 ④ 설정'!$B$6:$B$40,0)),"")&lt;&gt;"○"),"바우처통장 지출 — 목적 확인",IF($H1910="","적요를 적으십시오",""))))))))))))</f>
        <v/>
      </c>
      <c r="M1910" s="39"/>
      <c r="O1910" s="11" t="str">
        <f aca="false">IF($B1910="","",YEAR($B1910)*100+MONTH($B1910))</f>
        <v/>
      </c>
      <c r="P1910" s="11" t="str">
        <f aca="false">IF($B1910="","",IF($E1910="대체",0,1))</f>
        <v/>
      </c>
    </row>
    <row r="1911" customFormat="false" ht="15" hidden="false" customHeight="false" outlineLevel="0" collapsed="false">
      <c r="A1911" s="36" t="str">
        <f aca="false">IF($B1911="","",COUNT($B$15:$B1911))</f>
        <v/>
      </c>
      <c r="B1911" s="37"/>
      <c r="C1911" s="38"/>
      <c r="D1911" s="39"/>
      <c r="E1911" s="36" t="str">
        <f aca="false">IF($D1911="","",IFERROR(INDEX('통합 ④ 설정'!$A$6:$A$40,MATCH($D1911,'통합 ④ 설정'!$B$6:$B$40,0)),"※없는 과목"))</f>
        <v/>
      </c>
      <c r="F1911" s="36" t="str">
        <f aca="false">IF($D1911="","",IFERROR(INDEX('통합 ④ 설정'!$C$6:$C$40,MATCH($D1911,'통합 ④ 설정'!$B$6:$B$40,0)),""))</f>
        <v/>
      </c>
      <c r="G1911" s="39"/>
      <c r="H1911" s="39"/>
      <c r="I1911" s="40"/>
      <c r="J1911" s="41"/>
      <c r="K1911" s="38"/>
      <c r="L1911" s="42" t="str">
        <f aca="false">IF($B1911="","",IF(AND(N($I1911)=0,N($J1911)=0),"금액이 없습니다",IF(AND($I1911&gt;0,$J1911&gt;0),"수입·지출 둘 다 적혔습니다",IF($C1911="","결제수단을 고르십시오",IF(ISNA(MATCH($C1911,'통합 ③ 통장·카드'!$A$5:$A$11,0)),"③ 통장·카드에 없는 결제수단입니다",IF($D1911="","계정과목을 고르십시오",IF($E1911="※없는 과목","④ 설정에 없는 과목입니다",IF(AND($E1911="수입",$J1911&gt;0),"수입 과목인데 지출에 적혔습니다",IF(AND(LEFT($E1911,2)&lt;&gt;"수입",$E1911&lt;&gt;"대체",$I1911&gt;0),"지출 과목인데 수입에 적혔습니다",IF($K1911="","증빙을 고르십시오",IF(AND($C1911="바우처통장",$J1911&gt;0,IFERROR(INDEX('통합 ④ 설정'!$E$6:$E$40,MATCH($D1911,'통합 ④ 설정'!$B$6:$B$40,0)),"")&lt;&gt;"○"),"바우처통장 지출 — 목적 확인",IF($H1911="","적요를 적으십시오",""))))))))))))</f>
        <v/>
      </c>
      <c r="M1911" s="39"/>
      <c r="O1911" s="11" t="str">
        <f aca="false">IF($B1911="","",YEAR($B1911)*100+MONTH($B1911))</f>
        <v/>
      </c>
      <c r="P1911" s="11" t="str">
        <f aca="false">IF($B1911="","",IF($E1911="대체",0,1))</f>
        <v/>
      </c>
    </row>
    <row r="1912" customFormat="false" ht="15" hidden="false" customHeight="false" outlineLevel="0" collapsed="false">
      <c r="A1912" s="36" t="str">
        <f aca="false">IF($B1912="","",COUNT($B$15:$B1912))</f>
        <v/>
      </c>
      <c r="B1912" s="37"/>
      <c r="C1912" s="38"/>
      <c r="D1912" s="39"/>
      <c r="E1912" s="36" t="str">
        <f aca="false">IF($D1912="","",IFERROR(INDEX('통합 ④ 설정'!$A$6:$A$40,MATCH($D1912,'통합 ④ 설정'!$B$6:$B$40,0)),"※없는 과목"))</f>
        <v/>
      </c>
      <c r="F1912" s="36" t="str">
        <f aca="false">IF($D1912="","",IFERROR(INDEX('통합 ④ 설정'!$C$6:$C$40,MATCH($D1912,'통합 ④ 설정'!$B$6:$B$40,0)),""))</f>
        <v/>
      </c>
      <c r="G1912" s="39"/>
      <c r="H1912" s="39"/>
      <c r="I1912" s="40"/>
      <c r="J1912" s="41"/>
      <c r="K1912" s="38"/>
      <c r="L1912" s="42" t="str">
        <f aca="false">IF($B1912="","",IF(AND(N($I1912)=0,N($J1912)=0),"금액이 없습니다",IF(AND($I1912&gt;0,$J1912&gt;0),"수입·지출 둘 다 적혔습니다",IF($C1912="","결제수단을 고르십시오",IF(ISNA(MATCH($C1912,'통합 ③ 통장·카드'!$A$5:$A$11,0)),"③ 통장·카드에 없는 결제수단입니다",IF($D1912="","계정과목을 고르십시오",IF($E1912="※없는 과목","④ 설정에 없는 과목입니다",IF(AND($E1912="수입",$J1912&gt;0),"수입 과목인데 지출에 적혔습니다",IF(AND(LEFT($E1912,2)&lt;&gt;"수입",$E1912&lt;&gt;"대체",$I1912&gt;0),"지출 과목인데 수입에 적혔습니다",IF($K1912="","증빙을 고르십시오",IF(AND($C1912="바우처통장",$J1912&gt;0,IFERROR(INDEX('통합 ④ 설정'!$E$6:$E$40,MATCH($D1912,'통합 ④ 설정'!$B$6:$B$40,0)),"")&lt;&gt;"○"),"바우처통장 지출 — 목적 확인",IF($H1912="","적요를 적으십시오",""))))))))))))</f>
        <v/>
      </c>
      <c r="M1912" s="39"/>
      <c r="O1912" s="11" t="str">
        <f aca="false">IF($B1912="","",YEAR($B1912)*100+MONTH($B1912))</f>
        <v/>
      </c>
      <c r="P1912" s="11" t="str">
        <f aca="false">IF($B1912="","",IF($E1912="대체",0,1))</f>
        <v/>
      </c>
    </row>
    <row r="1913" customFormat="false" ht="15" hidden="false" customHeight="false" outlineLevel="0" collapsed="false">
      <c r="A1913" s="36" t="str">
        <f aca="false">IF($B1913="","",COUNT($B$15:$B1913))</f>
        <v/>
      </c>
      <c r="B1913" s="37"/>
      <c r="C1913" s="38"/>
      <c r="D1913" s="39"/>
      <c r="E1913" s="36" t="str">
        <f aca="false">IF($D1913="","",IFERROR(INDEX('통합 ④ 설정'!$A$6:$A$40,MATCH($D1913,'통합 ④ 설정'!$B$6:$B$40,0)),"※없는 과목"))</f>
        <v/>
      </c>
      <c r="F1913" s="36" t="str">
        <f aca="false">IF($D1913="","",IFERROR(INDEX('통합 ④ 설정'!$C$6:$C$40,MATCH($D1913,'통합 ④ 설정'!$B$6:$B$40,0)),""))</f>
        <v/>
      </c>
      <c r="G1913" s="39"/>
      <c r="H1913" s="39"/>
      <c r="I1913" s="40"/>
      <c r="J1913" s="41"/>
      <c r="K1913" s="38"/>
      <c r="L1913" s="42" t="str">
        <f aca="false">IF($B1913="","",IF(AND(N($I1913)=0,N($J1913)=0),"금액이 없습니다",IF(AND($I1913&gt;0,$J1913&gt;0),"수입·지출 둘 다 적혔습니다",IF($C1913="","결제수단을 고르십시오",IF(ISNA(MATCH($C1913,'통합 ③ 통장·카드'!$A$5:$A$11,0)),"③ 통장·카드에 없는 결제수단입니다",IF($D1913="","계정과목을 고르십시오",IF($E1913="※없는 과목","④ 설정에 없는 과목입니다",IF(AND($E1913="수입",$J1913&gt;0),"수입 과목인데 지출에 적혔습니다",IF(AND(LEFT($E1913,2)&lt;&gt;"수입",$E1913&lt;&gt;"대체",$I1913&gt;0),"지출 과목인데 수입에 적혔습니다",IF($K1913="","증빙을 고르십시오",IF(AND($C1913="바우처통장",$J1913&gt;0,IFERROR(INDEX('통합 ④ 설정'!$E$6:$E$40,MATCH($D1913,'통합 ④ 설정'!$B$6:$B$40,0)),"")&lt;&gt;"○"),"바우처통장 지출 — 목적 확인",IF($H1913="","적요를 적으십시오",""))))))))))))</f>
        <v/>
      </c>
      <c r="M1913" s="39"/>
      <c r="O1913" s="11" t="str">
        <f aca="false">IF($B1913="","",YEAR($B1913)*100+MONTH($B1913))</f>
        <v/>
      </c>
      <c r="P1913" s="11" t="str">
        <f aca="false">IF($B1913="","",IF($E1913="대체",0,1))</f>
        <v/>
      </c>
    </row>
    <row r="1914" customFormat="false" ht="15" hidden="false" customHeight="false" outlineLevel="0" collapsed="false">
      <c r="A1914" s="36" t="str">
        <f aca="false">IF($B1914="","",COUNT($B$15:$B1914))</f>
        <v/>
      </c>
      <c r="B1914" s="37"/>
      <c r="C1914" s="38"/>
      <c r="D1914" s="39"/>
      <c r="E1914" s="36" t="str">
        <f aca="false">IF($D1914="","",IFERROR(INDEX('통합 ④ 설정'!$A$6:$A$40,MATCH($D1914,'통합 ④ 설정'!$B$6:$B$40,0)),"※없는 과목"))</f>
        <v/>
      </c>
      <c r="F1914" s="36" t="str">
        <f aca="false">IF($D1914="","",IFERROR(INDEX('통합 ④ 설정'!$C$6:$C$40,MATCH($D1914,'통합 ④ 설정'!$B$6:$B$40,0)),""))</f>
        <v/>
      </c>
      <c r="G1914" s="39"/>
      <c r="H1914" s="39"/>
      <c r="I1914" s="40"/>
      <c r="J1914" s="41"/>
      <c r="K1914" s="38"/>
      <c r="L1914" s="42" t="str">
        <f aca="false">IF($B1914="","",IF(AND(N($I1914)=0,N($J1914)=0),"금액이 없습니다",IF(AND($I1914&gt;0,$J1914&gt;0),"수입·지출 둘 다 적혔습니다",IF($C1914="","결제수단을 고르십시오",IF(ISNA(MATCH($C1914,'통합 ③ 통장·카드'!$A$5:$A$11,0)),"③ 통장·카드에 없는 결제수단입니다",IF($D1914="","계정과목을 고르십시오",IF($E1914="※없는 과목","④ 설정에 없는 과목입니다",IF(AND($E1914="수입",$J1914&gt;0),"수입 과목인데 지출에 적혔습니다",IF(AND(LEFT($E1914,2)&lt;&gt;"수입",$E1914&lt;&gt;"대체",$I1914&gt;0),"지출 과목인데 수입에 적혔습니다",IF($K1914="","증빙을 고르십시오",IF(AND($C1914="바우처통장",$J1914&gt;0,IFERROR(INDEX('통합 ④ 설정'!$E$6:$E$40,MATCH($D1914,'통합 ④ 설정'!$B$6:$B$40,0)),"")&lt;&gt;"○"),"바우처통장 지출 — 목적 확인",IF($H1914="","적요를 적으십시오",""))))))))))))</f>
        <v/>
      </c>
      <c r="M1914" s="39"/>
      <c r="O1914" s="11" t="str">
        <f aca="false">IF($B1914="","",YEAR($B1914)*100+MONTH($B1914))</f>
        <v/>
      </c>
      <c r="P1914" s="11" t="str">
        <f aca="false">IF($B1914="","",IF($E1914="대체",0,1))</f>
        <v/>
      </c>
    </row>
    <row r="1915" customFormat="false" ht="15" hidden="false" customHeight="false" outlineLevel="0" collapsed="false">
      <c r="A1915" s="36" t="str">
        <f aca="false">IF($B1915="","",COUNT($B$15:$B1915))</f>
        <v/>
      </c>
      <c r="B1915" s="37"/>
      <c r="C1915" s="38"/>
      <c r="D1915" s="39"/>
      <c r="E1915" s="36" t="str">
        <f aca="false">IF($D1915="","",IFERROR(INDEX('통합 ④ 설정'!$A$6:$A$40,MATCH($D1915,'통합 ④ 설정'!$B$6:$B$40,0)),"※없는 과목"))</f>
        <v/>
      </c>
      <c r="F1915" s="36" t="str">
        <f aca="false">IF($D1915="","",IFERROR(INDEX('통합 ④ 설정'!$C$6:$C$40,MATCH($D1915,'통합 ④ 설정'!$B$6:$B$40,0)),""))</f>
        <v/>
      </c>
      <c r="G1915" s="39"/>
      <c r="H1915" s="39"/>
      <c r="I1915" s="40"/>
      <c r="J1915" s="41"/>
      <c r="K1915" s="38"/>
      <c r="L1915" s="42" t="str">
        <f aca="false">IF($B1915="","",IF(AND(N($I1915)=0,N($J1915)=0),"금액이 없습니다",IF(AND($I1915&gt;0,$J1915&gt;0),"수입·지출 둘 다 적혔습니다",IF($C1915="","결제수단을 고르십시오",IF(ISNA(MATCH($C1915,'통합 ③ 통장·카드'!$A$5:$A$11,0)),"③ 통장·카드에 없는 결제수단입니다",IF($D1915="","계정과목을 고르십시오",IF($E1915="※없는 과목","④ 설정에 없는 과목입니다",IF(AND($E1915="수입",$J1915&gt;0),"수입 과목인데 지출에 적혔습니다",IF(AND(LEFT($E1915,2)&lt;&gt;"수입",$E1915&lt;&gt;"대체",$I1915&gt;0),"지출 과목인데 수입에 적혔습니다",IF($K1915="","증빙을 고르십시오",IF(AND($C1915="바우처통장",$J1915&gt;0,IFERROR(INDEX('통합 ④ 설정'!$E$6:$E$40,MATCH($D1915,'통합 ④ 설정'!$B$6:$B$40,0)),"")&lt;&gt;"○"),"바우처통장 지출 — 목적 확인",IF($H1915="","적요를 적으십시오",""))))))))))))</f>
        <v/>
      </c>
      <c r="M1915" s="39"/>
      <c r="O1915" s="11" t="str">
        <f aca="false">IF($B1915="","",YEAR($B1915)*100+MONTH($B1915))</f>
        <v/>
      </c>
      <c r="P1915" s="11" t="str">
        <f aca="false">IF($B1915="","",IF($E1915="대체",0,1))</f>
        <v/>
      </c>
    </row>
    <row r="1916" customFormat="false" ht="15" hidden="false" customHeight="false" outlineLevel="0" collapsed="false">
      <c r="A1916" s="36" t="str">
        <f aca="false">IF($B1916="","",COUNT($B$15:$B1916))</f>
        <v/>
      </c>
      <c r="B1916" s="37"/>
      <c r="C1916" s="38"/>
      <c r="D1916" s="39"/>
      <c r="E1916" s="36" t="str">
        <f aca="false">IF($D1916="","",IFERROR(INDEX('통합 ④ 설정'!$A$6:$A$40,MATCH($D1916,'통합 ④ 설정'!$B$6:$B$40,0)),"※없는 과목"))</f>
        <v/>
      </c>
      <c r="F1916" s="36" t="str">
        <f aca="false">IF($D1916="","",IFERROR(INDEX('통합 ④ 설정'!$C$6:$C$40,MATCH($D1916,'통합 ④ 설정'!$B$6:$B$40,0)),""))</f>
        <v/>
      </c>
      <c r="G1916" s="39"/>
      <c r="H1916" s="39"/>
      <c r="I1916" s="40"/>
      <c r="J1916" s="41"/>
      <c r="K1916" s="38"/>
      <c r="L1916" s="42" t="str">
        <f aca="false">IF($B1916="","",IF(AND(N($I1916)=0,N($J1916)=0),"금액이 없습니다",IF(AND($I1916&gt;0,$J1916&gt;0),"수입·지출 둘 다 적혔습니다",IF($C1916="","결제수단을 고르십시오",IF(ISNA(MATCH($C1916,'통합 ③ 통장·카드'!$A$5:$A$11,0)),"③ 통장·카드에 없는 결제수단입니다",IF($D1916="","계정과목을 고르십시오",IF($E1916="※없는 과목","④ 설정에 없는 과목입니다",IF(AND($E1916="수입",$J1916&gt;0),"수입 과목인데 지출에 적혔습니다",IF(AND(LEFT($E1916,2)&lt;&gt;"수입",$E1916&lt;&gt;"대체",$I1916&gt;0),"지출 과목인데 수입에 적혔습니다",IF($K1916="","증빙을 고르십시오",IF(AND($C1916="바우처통장",$J1916&gt;0,IFERROR(INDEX('통합 ④ 설정'!$E$6:$E$40,MATCH($D1916,'통합 ④ 설정'!$B$6:$B$40,0)),"")&lt;&gt;"○"),"바우처통장 지출 — 목적 확인",IF($H1916="","적요를 적으십시오",""))))))))))))</f>
        <v/>
      </c>
      <c r="M1916" s="39"/>
      <c r="O1916" s="11" t="str">
        <f aca="false">IF($B1916="","",YEAR($B1916)*100+MONTH($B1916))</f>
        <v/>
      </c>
      <c r="P1916" s="11" t="str">
        <f aca="false">IF($B1916="","",IF($E1916="대체",0,1))</f>
        <v/>
      </c>
    </row>
    <row r="1917" customFormat="false" ht="15" hidden="false" customHeight="false" outlineLevel="0" collapsed="false">
      <c r="A1917" s="36" t="str">
        <f aca="false">IF($B1917="","",COUNT($B$15:$B1917))</f>
        <v/>
      </c>
      <c r="B1917" s="37"/>
      <c r="C1917" s="38"/>
      <c r="D1917" s="39"/>
      <c r="E1917" s="36" t="str">
        <f aca="false">IF($D1917="","",IFERROR(INDEX('통합 ④ 설정'!$A$6:$A$40,MATCH($D1917,'통합 ④ 설정'!$B$6:$B$40,0)),"※없는 과목"))</f>
        <v/>
      </c>
      <c r="F1917" s="36" t="str">
        <f aca="false">IF($D1917="","",IFERROR(INDEX('통합 ④ 설정'!$C$6:$C$40,MATCH($D1917,'통합 ④ 설정'!$B$6:$B$40,0)),""))</f>
        <v/>
      </c>
      <c r="G1917" s="39"/>
      <c r="H1917" s="39"/>
      <c r="I1917" s="40"/>
      <c r="J1917" s="41"/>
      <c r="K1917" s="38"/>
      <c r="L1917" s="42" t="str">
        <f aca="false">IF($B1917="","",IF(AND(N($I1917)=0,N($J1917)=0),"금액이 없습니다",IF(AND($I1917&gt;0,$J1917&gt;0),"수입·지출 둘 다 적혔습니다",IF($C1917="","결제수단을 고르십시오",IF(ISNA(MATCH($C1917,'통합 ③ 통장·카드'!$A$5:$A$11,0)),"③ 통장·카드에 없는 결제수단입니다",IF($D1917="","계정과목을 고르십시오",IF($E1917="※없는 과목","④ 설정에 없는 과목입니다",IF(AND($E1917="수입",$J1917&gt;0),"수입 과목인데 지출에 적혔습니다",IF(AND(LEFT($E1917,2)&lt;&gt;"수입",$E1917&lt;&gt;"대체",$I1917&gt;0),"지출 과목인데 수입에 적혔습니다",IF($K1917="","증빙을 고르십시오",IF(AND($C1917="바우처통장",$J1917&gt;0,IFERROR(INDEX('통합 ④ 설정'!$E$6:$E$40,MATCH($D1917,'통합 ④ 설정'!$B$6:$B$40,0)),"")&lt;&gt;"○"),"바우처통장 지출 — 목적 확인",IF($H1917="","적요를 적으십시오",""))))))))))))</f>
        <v/>
      </c>
      <c r="M1917" s="39"/>
      <c r="O1917" s="11" t="str">
        <f aca="false">IF($B1917="","",YEAR($B1917)*100+MONTH($B1917))</f>
        <v/>
      </c>
      <c r="P1917" s="11" t="str">
        <f aca="false">IF($B1917="","",IF($E1917="대체",0,1))</f>
        <v/>
      </c>
    </row>
    <row r="1918" customFormat="false" ht="15" hidden="false" customHeight="false" outlineLevel="0" collapsed="false">
      <c r="A1918" s="36" t="str">
        <f aca="false">IF($B1918="","",COUNT($B$15:$B1918))</f>
        <v/>
      </c>
      <c r="B1918" s="37"/>
      <c r="C1918" s="38"/>
      <c r="D1918" s="39"/>
      <c r="E1918" s="36" t="str">
        <f aca="false">IF($D1918="","",IFERROR(INDEX('통합 ④ 설정'!$A$6:$A$40,MATCH($D1918,'통합 ④ 설정'!$B$6:$B$40,0)),"※없는 과목"))</f>
        <v/>
      </c>
      <c r="F1918" s="36" t="str">
        <f aca="false">IF($D1918="","",IFERROR(INDEX('통합 ④ 설정'!$C$6:$C$40,MATCH($D1918,'통합 ④ 설정'!$B$6:$B$40,0)),""))</f>
        <v/>
      </c>
      <c r="G1918" s="39"/>
      <c r="H1918" s="39"/>
      <c r="I1918" s="40"/>
      <c r="J1918" s="41"/>
      <c r="K1918" s="38"/>
      <c r="L1918" s="42" t="str">
        <f aca="false">IF($B1918="","",IF(AND(N($I1918)=0,N($J1918)=0),"금액이 없습니다",IF(AND($I1918&gt;0,$J1918&gt;0),"수입·지출 둘 다 적혔습니다",IF($C1918="","결제수단을 고르십시오",IF(ISNA(MATCH($C1918,'통합 ③ 통장·카드'!$A$5:$A$11,0)),"③ 통장·카드에 없는 결제수단입니다",IF($D1918="","계정과목을 고르십시오",IF($E1918="※없는 과목","④ 설정에 없는 과목입니다",IF(AND($E1918="수입",$J1918&gt;0),"수입 과목인데 지출에 적혔습니다",IF(AND(LEFT($E1918,2)&lt;&gt;"수입",$E1918&lt;&gt;"대체",$I1918&gt;0),"지출 과목인데 수입에 적혔습니다",IF($K1918="","증빙을 고르십시오",IF(AND($C1918="바우처통장",$J1918&gt;0,IFERROR(INDEX('통합 ④ 설정'!$E$6:$E$40,MATCH($D1918,'통합 ④ 설정'!$B$6:$B$40,0)),"")&lt;&gt;"○"),"바우처통장 지출 — 목적 확인",IF($H1918="","적요를 적으십시오",""))))))))))))</f>
        <v/>
      </c>
      <c r="M1918" s="39"/>
      <c r="O1918" s="11" t="str">
        <f aca="false">IF($B1918="","",YEAR($B1918)*100+MONTH($B1918))</f>
        <v/>
      </c>
      <c r="P1918" s="11" t="str">
        <f aca="false">IF($B1918="","",IF($E1918="대체",0,1))</f>
        <v/>
      </c>
    </row>
    <row r="1919" customFormat="false" ht="15" hidden="false" customHeight="false" outlineLevel="0" collapsed="false">
      <c r="A1919" s="36" t="str">
        <f aca="false">IF($B1919="","",COUNT($B$15:$B1919))</f>
        <v/>
      </c>
      <c r="B1919" s="37"/>
      <c r="C1919" s="38"/>
      <c r="D1919" s="39"/>
      <c r="E1919" s="36" t="str">
        <f aca="false">IF($D1919="","",IFERROR(INDEX('통합 ④ 설정'!$A$6:$A$40,MATCH($D1919,'통합 ④ 설정'!$B$6:$B$40,0)),"※없는 과목"))</f>
        <v/>
      </c>
      <c r="F1919" s="36" t="str">
        <f aca="false">IF($D1919="","",IFERROR(INDEX('통합 ④ 설정'!$C$6:$C$40,MATCH($D1919,'통합 ④ 설정'!$B$6:$B$40,0)),""))</f>
        <v/>
      </c>
      <c r="G1919" s="39"/>
      <c r="H1919" s="39"/>
      <c r="I1919" s="40"/>
      <c r="J1919" s="41"/>
      <c r="K1919" s="38"/>
      <c r="L1919" s="42" t="str">
        <f aca="false">IF($B1919="","",IF(AND(N($I1919)=0,N($J1919)=0),"금액이 없습니다",IF(AND($I1919&gt;0,$J1919&gt;0),"수입·지출 둘 다 적혔습니다",IF($C1919="","결제수단을 고르십시오",IF(ISNA(MATCH($C1919,'통합 ③ 통장·카드'!$A$5:$A$11,0)),"③ 통장·카드에 없는 결제수단입니다",IF($D1919="","계정과목을 고르십시오",IF($E1919="※없는 과목","④ 설정에 없는 과목입니다",IF(AND($E1919="수입",$J1919&gt;0),"수입 과목인데 지출에 적혔습니다",IF(AND(LEFT($E1919,2)&lt;&gt;"수입",$E1919&lt;&gt;"대체",$I1919&gt;0),"지출 과목인데 수입에 적혔습니다",IF($K1919="","증빙을 고르십시오",IF(AND($C1919="바우처통장",$J1919&gt;0,IFERROR(INDEX('통합 ④ 설정'!$E$6:$E$40,MATCH($D1919,'통합 ④ 설정'!$B$6:$B$40,0)),"")&lt;&gt;"○"),"바우처통장 지출 — 목적 확인",IF($H1919="","적요를 적으십시오",""))))))))))))</f>
        <v/>
      </c>
      <c r="M1919" s="39"/>
      <c r="O1919" s="11" t="str">
        <f aca="false">IF($B1919="","",YEAR($B1919)*100+MONTH($B1919))</f>
        <v/>
      </c>
      <c r="P1919" s="11" t="str">
        <f aca="false">IF($B1919="","",IF($E1919="대체",0,1))</f>
        <v/>
      </c>
    </row>
    <row r="1920" customFormat="false" ht="15" hidden="false" customHeight="false" outlineLevel="0" collapsed="false">
      <c r="A1920" s="36" t="str">
        <f aca="false">IF($B1920="","",COUNT($B$15:$B1920))</f>
        <v/>
      </c>
      <c r="B1920" s="37"/>
      <c r="C1920" s="38"/>
      <c r="D1920" s="39"/>
      <c r="E1920" s="36" t="str">
        <f aca="false">IF($D1920="","",IFERROR(INDEX('통합 ④ 설정'!$A$6:$A$40,MATCH($D1920,'통합 ④ 설정'!$B$6:$B$40,0)),"※없는 과목"))</f>
        <v/>
      </c>
      <c r="F1920" s="36" t="str">
        <f aca="false">IF($D1920="","",IFERROR(INDEX('통합 ④ 설정'!$C$6:$C$40,MATCH($D1920,'통합 ④ 설정'!$B$6:$B$40,0)),""))</f>
        <v/>
      </c>
      <c r="G1920" s="39"/>
      <c r="H1920" s="39"/>
      <c r="I1920" s="40"/>
      <c r="J1920" s="41"/>
      <c r="K1920" s="38"/>
      <c r="L1920" s="42" t="str">
        <f aca="false">IF($B1920="","",IF(AND(N($I1920)=0,N($J1920)=0),"금액이 없습니다",IF(AND($I1920&gt;0,$J1920&gt;0),"수입·지출 둘 다 적혔습니다",IF($C1920="","결제수단을 고르십시오",IF(ISNA(MATCH($C1920,'통합 ③ 통장·카드'!$A$5:$A$11,0)),"③ 통장·카드에 없는 결제수단입니다",IF($D1920="","계정과목을 고르십시오",IF($E1920="※없는 과목","④ 설정에 없는 과목입니다",IF(AND($E1920="수입",$J1920&gt;0),"수입 과목인데 지출에 적혔습니다",IF(AND(LEFT($E1920,2)&lt;&gt;"수입",$E1920&lt;&gt;"대체",$I1920&gt;0),"지출 과목인데 수입에 적혔습니다",IF($K1920="","증빙을 고르십시오",IF(AND($C1920="바우처통장",$J1920&gt;0,IFERROR(INDEX('통합 ④ 설정'!$E$6:$E$40,MATCH($D1920,'통합 ④ 설정'!$B$6:$B$40,0)),"")&lt;&gt;"○"),"바우처통장 지출 — 목적 확인",IF($H1920="","적요를 적으십시오",""))))))))))))</f>
        <v/>
      </c>
      <c r="M1920" s="39"/>
      <c r="O1920" s="11" t="str">
        <f aca="false">IF($B1920="","",YEAR($B1920)*100+MONTH($B1920))</f>
        <v/>
      </c>
      <c r="P1920" s="11" t="str">
        <f aca="false">IF($B1920="","",IF($E1920="대체",0,1))</f>
        <v/>
      </c>
    </row>
    <row r="1921" customFormat="false" ht="15" hidden="false" customHeight="false" outlineLevel="0" collapsed="false">
      <c r="A1921" s="36" t="str">
        <f aca="false">IF($B1921="","",COUNT($B$15:$B1921))</f>
        <v/>
      </c>
      <c r="B1921" s="37"/>
      <c r="C1921" s="38"/>
      <c r="D1921" s="39"/>
      <c r="E1921" s="36" t="str">
        <f aca="false">IF($D1921="","",IFERROR(INDEX('통합 ④ 설정'!$A$6:$A$40,MATCH($D1921,'통합 ④ 설정'!$B$6:$B$40,0)),"※없는 과목"))</f>
        <v/>
      </c>
      <c r="F1921" s="36" t="str">
        <f aca="false">IF($D1921="","",IFERROR(INDEX('통합 ④ 설정'!$C$6:$C$40,MATCH($D1921,'통합 ④ 설정'!$B$6:$B$40,0)),""))</f>
        <v/>
      </c>
      <c r="G1921" s="39"/>
      <c r="H1921" s="39"/>
      <c r="I1921" s="40"/>
      <c r="J1921" s="41"/>
      <c r="K1921" s="38"/>
      <c r="L1921" s="42" t="str">
        <f aca="false">IF($B1921="","",IF(AND(N($I1921)=0,N($J1921)=0),"금액이 없습니다",IF(AND($I1921&gt;0,$J1921&gt;0),"수입·지출 둘 다 적혔습니다",IF($C1921="","결제수단을 고르십시오",IF(ISNA(MATCH($C1921,'통합 ③ 통장·카드'!$A$5:$A$11,0)),"③ 통장·카드에 없는 결제수단입니다",IF($D1921="","계정과목을 고르십시오",IF($E1921="※없는 과목","④ 설정에 없는 과목입니다",IF(AND($E1921="수입",$J1921&gt;0),"수입 과목인데 지출에 적혔습니다",IF(AND(LEFT($E1921,2)&lt;&gt;"수입",$E1921&lt;&gt;"대체",$I1921&gt;0),"지출 과목인데 수입에 적혔습니다",IF($K1921="","증빙을 고르십시오",IF(AND($C1921="바우처통장",$J1921&gt;0,IFERROR(INDEX('통합 ④ 설정'!$E$6:$E$40,MATCH($D1921,'통합 ④ 설정'!$B$6:$B$40,0)),"")&lt;&gt;"○"),"바우처통장 지출 — 목적 확인",IF($H1921="","적요를 적으십시오",""))))))))))))</f>
        <v/>
      </c>
      <c r="M1921" s="39"/>
      <c r="O1921" s="11" t="str">
        <f aca="false">IF($B1921="","",YEAR($B1921)*100+MONTH($B1921))</f>
        <v/>
      </c>
      <c r="P1921" s="11" t="str">
        <f aca="false">IF($B1921="","",IF($E1921="대체",0,1))</f>
        <v/>
      </c>
    </row>
    <row r="1922" customFormat="false" ht="15" hidden="false" customHeight="false" outlineLevel="0" collapsed="false">
      <c r="A1922" s="36" t="str">
        <f aca="false">IF($B1922="","",COUNT($B$15:$B1922))</f>
        <v/>
      </c>
      <c r="B1922" s="37"/>
      <c r="C1922" s="38"/>
      <c r="D1922" s="39"/>
      <c r="E1922" s="36" t="str">
        <f aca="false">IF($D1922="","",IFERROR(INDEX('통합 ④ 설정'!$A$6:$A$40,MATCH($D1922,'통합 ④ 설정'!$B$6:$B$40,0)),"※없는 과목"))</f>
        <v/>
      </c>
      <c r="F1922" s="36" t="str">
        <f aca="false">IF($D1922="","",IFERROR(INDEX('통합 ④ 설정'!$C$6:$C$40,MATCH($D1922,'통합 ④ 설정'!$B$6:$B$40,0)),""))</f>
        <v/>
      </c>
      <c r="G1922" s="39"/>
      <c r="H1922" s="39"/>
      <c r="I1922" s="40"/>
      <c r="J1922" s="41"/>
      <c r="K1922" s="38"/>
      <c r="L1922" s="42" t="str">
        <f aca="false">IF($B1922="","",IF(AND(N($I1922)=0,N($J1922)=0),"금액이 없습니다",IF(AND($I1922&gt;0,$J1922&gt;0),"수입·지출 둘 다 적혔습니다",IF($C1922="","결제수단을 고르십시오",IF(ISNA(MATCH($C1922,'통합 ③ 통장·카드'!$A$5:$A$11,0)),"③ 통장·카드에 없는 결제수단입니다",IF($D1922="","계정과목을 고르십시오",IF($E1922="※없는 과목","④ 설정에 없는 과목입니다",IF(AND($E1922="수입",$J1922&gt;0),"수입 과목인데 지출에 적혔습니다",IF(AND(LEFT($E1922,2)&lt;&gt;"수입",$E1922&lt;&gt;"대체",$I1922&gt;0),"지출 과목인데 수입에 적혔습니다",IF($K1922="","증빙을 고르십시오",IF(AND($C1922="바우처통장",$J1922&gt;0,IFERROR(INDEX('통합 ④ 설정'!$E$6:$E$40,MATCH($D1922,'통합 ④ 설정'!$B$6:$B$40,0)),"")&lt;&gt;"○"),"바우처통장 지출 — 목적 확인",IF($H1922="","적요를 적으십시오",""))))))))))))</f>
        <v/>
      </c>
      <c r="M1922" s="39"/>
      <c r="O1922" s="11" t="str">
        <f aca="false">IF($B1922="","",YEAR($B1922)*100+MONTH($B1922))</f>
        <v/>
      </c>
      <c r="P1922" s="11" t="str">
        <f aca="false">IF($B1922="","",IF($E1922="대체",0,1))</f>
        <v/>
      </c>
    </row>
    <row r="1923" customFormat="false" ht="15" hidden="false" customHeight="false" outlineLevel="0" collapsed="false">
      <c r="A1923" s="36" t="str">
        <f aca="false">IF($B1923="","",COUNT($B$15:$B1923))</f>
        <v/>
      </c>
      <c r="B1923" s="37"/>
      <c r="C1923" s="38"/>
      <c r="D1923" s="39"/>
      <c r="E1923" s="36" t="str">
        <f aca="false">IF($D1923="","",IFERROR(INDEX('통합 ④ 설정'!$A$6:$A$40,MATCH($D1923,'통합 ④ 설정'!$B$6:$B$40,0)),"※없는 과목"))</f>
        <v/>
      </c>
      <c r="F1923" s="36" t="str">
        <f aca="false">IF($D1923="","",IFERROR(INDEX('통합 ④ 설정'!$C$6:$C$40,MATCH($D1923,'통합 ④ 설정'!$B$6:$B$40,0)),""))</f>
        <v/>
      </c>
      <c r="G1923" s="39"/>
      <c r="H1923" s="39"/>
      <c r="I1923" s="40"/>
      <c r="J1923" s="41"/>
      <c r="K1923" s="38"/>
      <c r="L1923" s="42" t="str">
        <f aca="false">IF($B1923="","",IF(AND(N($I1923)=0,N($J1923)=0),"금액이 없습니다",IF(AND($I1923&gt;0,$J1923&gt;0),"수입·지출 둘 다 적혔습니다",IF($C1923="","결제수단을 고르십시오",IF(ISNA(MATCH($C1923,'통합 ③ 통장·카드'!$A$5:$A$11,0)),"③ 통장·카드에 없는 결제수단입니다",IF($D1923="","계정과목을 고르십시오",IF($E1923="※없는 과목","④ 설정에 없는 과목입니다",IF(AND($E1923="수입",$J1923&gt;0),"수입 과목인데 지출에 적혔습니다",IF(AND(LEFT($E1923,2)&lt;&gt;"수입",$E1923&lt;&gt;"대체",$I1923&gt;0),"지출 과목인데 수입에 적혔습니다",IF($K1923="","증빙을 고르십시오",IF(AND($C1923="바우처통장",$J1923&gt;0,IFERROR(INDEX('통합 ④ 설정'!$E$6:$E$40,MATCH($D1923,'통합 ④ 설정'!$B$6:$B$40,0)),"")&lt;&gt;"○"),"바우처통장 지출 — 목적 확인",IF($H1923="","적요를 적으십시오",""))))))))))))</f>
        <v/>
      </c>
      <c r="M1923" s="39"/>
      <c r="O1923" s="11" t="str">
        <f aca="false">IF($B1923="","",YEAR($B1923)*100+MONTH($B1923))</f>
        <v/>
      </c>
      <c r="P1923" s="11" t="str">
        <f aca="false">IF($B1923="","",IF($E1923="대체",0,1))</f>
        <v/>
      </c>
    </row>
    <row r="1924" customFormat="false" ht="15" hidden="false" customHeight="false" outlineLevel="0" collapsed="false">
      <c r="A1924" s="36" t="str">
        <f aca="false">IF($B1924="","",COUNT($B$15:$B1924))</f>
        <v/>
      </c>
      <c r="B1924" s="37"/>
      <c r="C1924" s="38"/>
      <c r="D1924" s="39"/>
      <c r="E1924" s="36" t="str">
        <f aca="false">IF($D1924="","",IFERROR(INDEX('통합 ④ 설정'!$A$6:$A$40,MATCH($D1924,'통합 ④ 설정'!$B$6:$B$40,0)),"※없는 과목"))</f>
        <v/>
      </c>
      <c r="F1924" s="36" t="str">
        <f aca="false">IF($D1924="","",IFERROR(INDEX('통합 ④ 설정'!$C$6:$C$40,MATCH($D1924,'통합 ④ 설정'!$B$6:$B$40,0)),""))</f>
        <v/>
      </c>
      <c r="G1924" s="39"/>
      <c r="H1924" s="39"/>
      <c r="I1924" s="40"/>
      <c r="J1924" s="41"/>
      <c r="K1924" s="38"/>
      <c r="L1924" s="42" t="str">
        <f aca="false">IF($B1924="","",IF(AND(N($I1924)=0,N($J1924)=0),"금액이 없습니다",IF(AND($I1924&gt;0,$J1924&gt;0),"수입·지출 둘 다 적혔습니다",IF($C1924="","결제수단을 고르십시오",IF(ISNA(MATCH($C1924,'통합 ③ 통장·카드'!$A$5:$A$11,0)),"③ 통장·카드에 없는 결제수단입니다",IF($D1924="","계정과목을 고르십시오",IF($E1924="※없는 과목","④ 설정에 없는 과목입니다",IF(AND($E1924="수입",$J1924&gt;0),"수입 과목인데 지출에 적혔습니다",IF(AND(LEFT($E1924,2)&lt;&gt;"수입",$E1924&lt;&gt;"대체",$I1924&gt;0),"지출 과목인데 수입에 적혔습니다",IF($K1924="","증빙을 고르십시오",IF(AND($C1924="바우처통장",$J1924&gt;0,IFERROR(INDEX('통합 ④ 설정'!$E$6:$E$40,MATCH($D1924,'통합 ④ 설정'!$B$6:$B$40,0)),"")&lt;&gt;"○"),"바우처통장 지출 — 목적 확인",IF($H1924="","적요를 적으십시오",""))))))))))))</f>
        <v/>
      </c>
      <c r="M1924" s="39"/>
      <c r="O1924" s="11" t="str">
        <f aca="false">IF($B1924="","",YEAR($B1924)*100+MONTH($B1924))</f>
        <v/>
      </c>
      <c r="P1924" s="11" t="str">
        <f aca="false">IF($B1924="","",IF($E1924="대체",0,1))</f>
        <v/>
      </c>
    </row>
    <row r="1925" customFormat="false" ht="15" hidden="false" customHeight="false" outlineLevel="0" collapsed="false">
      <c r="A1925" s="36" t="str">
        <f aca="false">IF($B1925="","",COUNT($B$15:$B1925))</f>
        <v/>
      </c>
      <c r="B1925" s="37"/>
      <c r="C1925" s="38"/>
      <c r="D1925" s="39"/>
      <c r="E1925" s="36" t="str">
        <f aca="false">IF($D1925="","",IFERROR(INDEX('통합 ④ 설정'!$A$6:$A$40,MATCH($D1925,'통합 ④ 설정'!$B$6:$B$40,0)),"※없는 과목"))</f>
        <v/>
      </c>
      <c r="F1925" s="36" t="str">
        <f aca="false">IF($D1925="","",IFERROR(INDEX('통합 ④ 설정'!$C$6:$C$40,MATCH($D1925,'통합 ④ 설정'!$B$6:$B$40,0)),""))</f>
        <v/>
      </c>
      <c r="G1925" s="39"/>
      <c r="H1925" s="39"/>
      <c r="I1925" s="40"/>
      <c r="J1925" s="41"/>
      <c r="K1925" s="38"/>
      <c r="L1925" s="42" t="str">
        <f aca="false">IF($B1925="","",IF(AND(N($I1925)=0,N($J1925)=0),"금액이 없습니다",IF(AND($I1925&gt;0,$J1925&gt;0),"수입·지출 둘 다 적혔습니다",IF($C1925="","결제수단을 고르십시오",IF(ISNA(MATCH($C1925,'통합 ③ 통장·카드'!$A$5:$A$11,0)),"③ 통장·카드에 없는 결제수단입니다",IF($D1925="","계정과목을 고르십시오",IF($E1925="※없는 과목","④ 설정에 없는 과목입니다",IF(AND($E1925="수입",$J1925&gt;0),"수입 과목인데 지출에 적혔습니다",IF(AND(LEFT($E1925,2)&lt;&gt;"수입",$E1925&lt;&gt;"대체",$I1925&gt;0),"지출 과목인데 수입에 적혔습니다",IF($K1925="","증빙을 고르십시오",IF(AND($C1925="바우처통장",$J1925&gt;0,IFERROR(INDEX('통합 ④ 설정'!$E$6:$E$40,MATCH($D1925,'통합 ④ 설정'!$B$6:$B$40,0)),"")&lt;&gt;"○"),"바우처통장 지출 — 목적 확인",IF($H1925="","적요를 적으십시오",""))))))))))))</f>
        <v/>
      </c>
      <c r="M1925" s="39"/>
      <c r="O1925" s="11" t="str">
        <f aca="false">IF($B1925="","",YEAR($B1925)*100+MONTH($B1925))</f>
        <v/>
      </c>
      <c r="P1925" s="11" t="str">
        <f aca="false">IF($B1925="","",IF($E1925="대체",0,1))</f>
        <v/>
      </c>
    </row>
    <row r="1926" customFormat="false" ht="15" hidden="false" customHeight="false" outlineLevel="0" collapsed="false">
      <c r="A1926" s="36" t="str">
        <f aca="false">IF($B1926="","",COUNT($B$15:$B1926))</f>
        <v/>
      </c>
      <c r="B1926" s="37"/>
      <c r="C1926" s="38"/>
      <c r="D1926" s="39"/>
      <c r="E1926" s="36" t="str">
        <f aca="false">IF($D1926="","",IFERROR(INDEX('통합 ④ 설정'!$A$6:$A$40,MATCH($D1926,'통합 ④ 설정'!$B$6:$B$40,0)),"※없는 과목"))</f>
        <v/>
      </c>
      <c r="F1926" s="36" t="str">
        <f aca="false">IF($D1926="","",IFERROR(INDEX('통합 ④ 설정'!$C$6:$C$40,MATCH($D1926,'통합 ④ 설정'!$B$6:$B$40,0)),""))</f>
        <v/>
      </c>
      <c r="G1926" s="39"/>
      <c r="H1926" s="39"/>
      <c r="I1926" s="40"/>
      <c r="J1926" s="41"/>
      <c r="K1926" s="38"/>
      <c r="L1926" s="42" t="str">
        <f aca="false">IF($B1926="","",IF(AND(N($I1926)=0,N($J1926)=0),"금액이 없습니다",IF(AND($I1926&gt;0,$J1926&gt;0),"수입·지출 둘 다 적혔습니다",IF($C1926="","결제수단을 고르십시오",IF(ISNA(MATCH($C1926,'통합 ③ 통장·카드'!$A$5:$A$11,0)),"③ 통장·카드에 없는 결제수단입니다",IF($D1926="","계정과목을 고르십시오",IF($E1926="※없는 과목","④ 설정에 없는 과목입니다",IF(AND($E1926="수입",$J1926&gt;0),"수입 과목인데 지출에 적혔습니다",IF(AND(LEFT($E1926,2)&lt;&gt;"수입",$E1926&lt;&gt;"대체",$I1926&gt;0),"지출 과목인데 수입에 적혔습니다",IF($K1926="","증빙을 고르십시오",IF(AND($C1926="바우처통장",$J1926&gt;0,IFERROR(INDEX('통합 ④ 설정'!$E$6:$E$40,MATCH($D1926,'통합 ④ 설정'!$B$6:$B$40,0)),"")&lt;&gt;"○"),"바우처통장 지출 — 목적 확인",IF($H1926="","적요를 적으십시오",""))))))))))))</f>
        <v/>
      </c>
      <c r="M1926" s="39"/>
      <c r="O1926" s="11" t="str">
        <f aca="false">IF($B1926="","",YEAR($B1926)*100+MONTH($B1926))</f>
        <v/>
      </c>
      <c r="P1926" s="11" t="str">
        <f aca="false">IF($B1926="","",IF($E1926="대체",0,1))</f>
        <v/>
      </c>
    </row>
    <row r="1927" customFormat="false" ht="15" hidden="false" customHeight="false" outlineLevel="0" collapsed="false">
      <c r="A1927" s="36" t="str">
        <f aca="false">IF($B1927="","",COUNT($B$15:$B1927))</f>
        <v/>
      </c>
      <c r="B1927" s="37"/>
      <c r="C1927" s="38"/>
      <c r="D1927" s="39"/>
      <c r="E1927" s="36" t="str">
        <f aca="false">IF($D1927="","",IFERROR(INDEX('통합 ④ 설정'!$A$6:$A$40,MATCH($D1927,'통합 ④ 설정'!$B$6:$B$40,0)),"※없는 과목"))</f>
        <v/>
      </c>
      <c r="F1927" s="36" t="str">
        <f aca="false">IF($D1927="","",IFERROR(INDEX('통합 ④ 설정'!$C$6:$C$40,MATCH($D1927,'통합 ④ 설정'!$B$6:$B$40,0)),""))</f>
        <v/>
      </c>
      <c r="G1927" s="39"/>
      <c r="H1927" s="39"/>
      <c r="I1927" s="40"/>
      <c r="J1927" s="41"/>
      <c r="K1927" s="38"/>
      <c r="L1927" s="42" t="str">
        <f aca="false">IF($B1927="","",IF(AND(N($I1927)=0,N($J1927)=0),"금액이 없습니다",IF(AND($I1927&gt;0,$J1927&gt;0),"수입·지출 둘 다 적혔습니다",IF($C1927="","결제수단을 고르십시오",IF(ISNA(MATCH($C1927,'통합 ③ 통장·카드'!$A$5:$A$11,0)),"③ 통장·카드에 없는 결제수단입니다",IF($D1927="","계정과목을 고르십시오",IF($E1927="※없는 과목","④ 설정에 없는 과목입니다",IF(AND($E1927="수입",$J1927&gt;0),"수입 과목인데 지출에 적혔습니다",IF(AND(LEFT($E1927,2)&lt;&gt;"수입",$E1927&lt;&gt;"대체",$I1927&gt;0),"지출 과목인데 수입에 적혔습니다",IF($K1927="","증빙을 고르십시오",IF(AND($C1927="바우처통장",$J1927&gt;0,IFERROR(INDEX('통합 ④ 설정'!$E$6:$E$40,MATCH($D1927,'통합 ④ 설정'!$B$6:$B$40,0)),"")&lt;&gt;"○"),"바우처통장 지출 — 목적 확인",IF($H1927="","적요를 적으십시오",""))))))))))))</f>
        <v/>
      </c>
      <c r="M1927" s="39"/>
      <c r="O1927" s="11" t="str">
        <f aca="false">IF($B1927="","",YEAR($B1927)*100+MONTH($B1927))</f>
        <v/>
      </c>
      <c r="P1927" s="11" t="str">
        <f aca="false">IF($B1927="","",IF($E1927="대체",0,1))</f>
        <v/>
      </c>
    </row>
    <row r="1928" customFormat="false" ht="15" hidden="false" customHeight="false" outlineLevel="0" collapsed="false">
      <c r="A1928" s="36" t="str">
        <f aca="false">IF($B1928="","",COUNT($B$15:$B1928))</f>
        <v/>
      </c>
      <c r="B1928" s="37"/>
      <c r="C1928" s="38"/>
      <c r="D1928" s="39"/>
      <c r="E1928" s="36" t="str">
        <f aca="false">IF($D1928="","",IFERROR(INDEX('통합 ④ 설정'!$A$6:$A$40,MATCH($D1928,'통합 ④ 설정'!$B$6:$B$40,0)),"※없는 과목"))</f>
        <v/>
      </c>
      <c r="F1928" s="36" t="str">
        <f aca="false">IF($D1928="","",IFERROR(INDEX('통합 ④ 설정'!$C$6:$C$40,MATCH($D1928,'통합 ④ 설정'!$B$6:$B$40,0)),""))</f>
        <v/>
      </c>
      <c r="G1928" s="39"/>
      <c r="H1928" s="39"/>
      <c r="I1928" s="40"/>
      <c r="J1928" s="41"/>
      <c r="K1928" s="38"/>
      <c r="L1928" s="42" t="str">
        <f aca="false">IF($B1928="","",IF(AND(N($I1928)=0,N($J1928)=0),"금액이 없습니다",IF(AND($I1928&gt;0,$J1928&gt;0),"수입·지출 둘 다 적혔습니다",IF($C1928="","결제수단을 고르십시오",IF(ISNA(MATCH($C1928,'통합 ③ 통장·카드'!$A$5:$A$11,0)),"③ 통장·카드에 없는 결제수단입니다",IF($D1928="","계정과목을 고르십시오",IF($E1928="※없는 과목","④ 설정에 없는 과목입니다",IF(AND($E1928="수입",$J1928&gt;0),"수입 과목인데 지출에 적혔습니다",IF(AND(LEFT($E1928,2)&lt;&gt;"수입",$E1928&lt;&gt;"대체",$I1928&gt;0),"지출 과목인데 수입에 적혔습니다",IF($K1928="","증빙을 고르십시오",IF(AND($C1928="바우처통장",$J1928&gt;0,IFERROR(INDEX('통합 ④ 설정'!$E$6:$E$40,MATCH($D1928,'통합 ④ 설정'!$B$6:$B$40,0)),"")&lt;&gt;"○"),"바우처통장 지출 — 목적 확인",IF($H1928="","적요를 적으십시오",""))))))))))))</f>
        <v/>
      </c>
      <c r="M1928" s="39"/>
      <c r="O1928" s="11" t="str">
        <f aca="false">IF($B1928="","",YEAR($B1928)*100+MONTH($B1928))</f>
        <v/>
      </c>
      <c r="P1928" s="11" t="str">
        <f aca="false">IF($B1928="","",IF($E1928="대체",0,1))</f>
        <v/>
      </c>
    </row>
    <row r="1929" customFormat="false" ht="15" hidden="false" customHeight="false" outlineLevel="0" collapsed="false">
      <c r="A1929" s="36" t="str">
        <f aca="false">IF($B1929="","",COUNT($B$15:$B1929))</f>
        <v/>
      </c>
      <c r="B1929" s="37"/>
      <c r="C1929" s="38"/>
      <c r="D1929" s="39"/>
      <c r="E1929" s="36" t="str">
        <f aca="false">IF($D1929="","",IFERROR(INDEX('통합 ④ 설정'!$A$6:$A$40,MATCH($D1929,'통합 ④ 설정'!$B$6:$B$40,0)),"※없는 과목"))</f>
        <v/>
      </c>
      <c r="F1929" s="36" t="str">
        <f aca="false">IF($D1929="","",IFERROR(INDEX('통합 ④ 설정'!$C$6:$C$40,MATCH($D1929,'통합 ④ 설정'!$B$6:$B$40,0)),""))</f>
        <v/>
      </c>
      <c r="G1929" s="39"/>
      <c r="H1929" s="39"/>
      <c r="I1929" s="40"/>
      <c r="J1929" s="41"/>
      <c r="K1929" s="38"/>
      <c r="L1929" s="42" t="str">
        <f aca="false">IF($B1929="","",IF(AND(N($I1929)=0,N($J1929)=0),"금액이 없습니다",IF(AND($I1929&gt;0,$J1929&gt;0),"수입·지출 둘 다 적혔습니다",IF($C1929="","결제수단을 고르십시오",IF(ISNA(MATCH($C1929,'통합 ③ 통장·카드'!$A$5:$A$11,0)),"③ 통장·카드에 없는 결제수단입니다",IF($D1929="","계정과목을 고르십시오",IF($E1929="※없는 과목","④ 설정에 없는 과목입니다",IF(AND($E1929="수입",$J1929&gt;0),"수입 과목인데 지출에 적혔습니다",IF(AND(LEFT($E1929,2)&lt;&gt;"수입",$E1929&lt;&gt;"대체",$I1929&gt;0),"지출 과목인데 수입에 적혔습니다",IF($K1929="","증빙을 고르십시오",IF(AND($C1929="바우처통장",$J1929&gt;0,IFERROR(INDEX('통합 ④ 설정'!$E$6:$E$40,MATCH($D1929,'통합 ④ 설정'!$B$6:$B$40,0)),"")&lt;&gt;"○"),"바우처통장 지출 — 목적 확인",IF($H1929="","적요를 적으십시오",""))))))))))))</f>
        <v/>
      </c>
      <c r="M1929" s="39"/>
      <c r="O1929" s="11" t="str">
        <f aca="false">IF($B1929="","",YEAR($B1929)*100+MONTH($B1929))</f>
        <v/>
      </c>
      <c r="P1929" s="11" t="str">
        <f aca="false">IF($B1929="","",IF($E1929="대체",0,1))</f>
        <v/>
      </c>
    </row>
    <row r="1930" customFormat="false" ht="15" hidden="false" customHeight="false" outlineLevel="0" collapsed="false">
      <c r="A1930" s="36" t="str">
        <f aca="false">IF($B1930="","",COUNT($B$15:$B1930))</f>
        <v/>
      </c>
      <c r="B1930" s="37"/>
      <c r="C1930" s="38"/>
      <c r="D1930" s="39"/>
      <c r="E1930" s="36" t="str">
        <f aca="false">IF($D1930="","",IFERROR(INDEX('통합 ④ 설정'!$A$6:$A$40,MATCH($D1930,'통합 ④ 설정'!$B$6:$B$40,0)),"※없는 과목"))</f>
        <v/>
      </c>
      <c r="F1930" s="36" t="str">
        <f aca="false">IF($D1930="","",IFERROR(INDEX('통합 ④ 설정'!$C$6:$C$40,MATCH($D1930,'통합 ④ 설정'!$B$6:$B$40,0)),""))</f>
        <v/>
      </c>
      <c r="G1930" s="39"/>
      <c r="H1930" s="39"/>
      <c r="I1930" s="40"/>
      <c r="J1930" s="41"/>
      <c r="K1930" s="38"/>
      <c r="L1930" s="42" t="str">
        <f aca="false">IF($B1930="","",IF(AND(N($I1930)=0,N($J1930)=0),"금액이 없습니다",IF(AND($I1930&gt;0,$J1930&gt;0),"수입·지출 둘 다 적혔습니다",IF($C1930="","결제수단을 고르십시오",IF(ISNA(MATCH($C1930,'통합 ③ 통장·카드'!$A$5:$A$11,0)),"③ 통장·카드에 없는 결제수단입니다",IF($D1930="","계정과목을 고르십시오",IF($E1930="※없는 과목","④ 설정에 없는 과목입니다",IF(AND($E1930="수입",$J1930&gt;0),"수입 과목인데 지출에 적혔습니다",IF(AND(LEFT($E1930,2)&lt;&gt;"수입",$E1930&lt;&gt;"대체",$I1930&gt;0),"지출 과목인데 수입에 적혔습니다",IF($K1930="","증빙을 고르십시오",IF(AND($C1930="바우처통장",$J1930&gt;0,IFERROR(INDEX('통합 ④ 설정'!$E$6:$E$40,MATCH($D1930,'통합 ④ 설정'!$B$6:$B$40,0)),"")&lt;&gt;"○"),"바우처통장 지출 — 목적 확인",IF($H1930="","적요를 적으십시오",""))))))))))))</f>
        <v/>
      </c>
      <c r="M1930" s="39"/>
      <c r="O1930" s="11" t="str">
        <f aca="false">IF($B1930="","",YEAR($B1930)*100+MONTH($B1930))</f>
        <v/>
      </c>
      <c r="P1930" s="11" t="str">
        <f aca="false">IF($B1930="","",IF($E1930="대체",0,1))</f>
        <v/>
      </c>
    </row>
    <row r="1931" customFormat="false" ht="15" hidden="false" customHeight="false" outlineLevel="0" collapsed="false">
      <c r="A1931" s="36" t="str">
        <f aca="false">IF($B1931="","",COUNT($B$15:$B1931))</f>
        <v/>
      </c>
      <c r="B1931" s="37"/>
      <c r="C1931" s="38"/>
      <c r="D1931" s="39"/>
      <c r="E1931" s="36" t="str">
        <f aca="false">IF($D1931="","",IFERROR(INDEX('통합 ④ 설정'!$A$6:$A$40,MATCH($D1931,'통합 ④ 설정'!$B$6:$B$40,0)),"※없는 과목"))</f>
        <v/>
      </c>
      <c r="F1931" s="36" t="str">
        <f aca="false">IF($D1931="","",IFERROR(INDEX('통합 ④ 설정'!$C$6:$C$40,MATCH($D1931,'통합 ④ 설정'!$B$6:$B$40,0)),""))</f>
        <v/>
      </c>
      <c r="G1931" s="39"/>
      <c r="H1931" s="39"/>
      <c r="I1931" s="40"/>
      <c r="J1931" s="41"/>
      <c r="K1931" s="38"/>
      <c r="L1931" s="42" t="str">
        <f aca="false">IF($B1931="","",IF(AND(N($I1931)=0,N($J1931)=0),"금액이 없습니다",IF(AND($I1931&gt;0,$J1931&gt;0),"수입·지출 둘 다 적혔습니다",IF($C1931="","결제수단을 고르십시오",IF(ISNA(MATCH($C1931,'통합 ③ 통장·카드'!$A$5:$A$11,0)),"③ 통장·카드에 없는 결제수단입니다",IF($D1931="","계정과목을 고르십시오",IF($E1931="※없는 과목","④ 설정에 없는 과목입니다",IF(AND($E1931="수입",$J1931&gt;0),"수입 과목인데 지출에 적혔습니다",IF(AND(LEFT($E1931,2)&lt;&gt;"수입",$E1931&lt;&gt;"대체",$I1931&gt;0),"지출 과목인데 수입에 적혔습니다",IF($K1931="","증빙을 고르십시오",IF(AND($C1931="바우처통장",$J1931&gt;0,IFERROR(INDEX('통합 ④ 설정'!$E$6:$E$40,MATCH($D1931,'통합 ④ 설정'!$B$6:$B$40,0)),"")&lt;&gt;"○"),"바우처통장 지출 — 목적 확인",IF($H1931="","적요를 적으십시오",""))))))))))))</f>
        <v/>
      </c>
      <c r="M1931" s="39"/>
      <c r="O1931" s="11" t="str">
        <f aca="false">IF($B1931="","",YEAR($B1931)*100+MONTH($B1931))</f>
        <v/>
      </c>
      <c r="P1931" s="11" t="str">
        <f aca="false">IF($B1931="","",IF($E1931="대체",0,1))</f>
        <v/>
      </c>
    </row>
    <row r="1932" customFormat="false" ht="15" hidden="false" customHeight="false" outlineLevel="0" collapsed="false">
      <c r="A1932" s="36" t="str">
        <f aca="false">IF($B1932="","",COUNT($B$15:$B1932))</f>
        <v/>
      </c>
      <c r="B1932" s="37"/>
      <c r="C1932" s="38"/>
      <c r="D1932" s="39"/>
      <c r="E1932" s="36" t="str">
        <f aca="false">IF($D1932="","",IFERROR(INDEX('통합 ④ 설정'!$A$6:$A$40,MATCH($D1932,'통합 ④ 설정'!$B$6:$B$40,0)),"※없는 과목"))</f>
        <v/>
      </c>
      <c r="F1932" s="36" t="str">
        <f aca="false">IF($D1932="","",IFERROR(INDEX('통합 ④ 설정'!$C$6:$C$40,MATCH($D1932,'통합 ④ 설정'!$B$6:$B$40,0)),""))</f>
        <v/>
      </c>
      <c r="G1932" s="39"/>
      <c r="H1932" s="39"/>
      <c r="I1932" s="40"/>
      <c r="J1932" s="41"/>
      <c r="K1932" s="38"/>
      <c r="L1932" s="42" t="str">
        <f aca="false">IF($B1932="","",IF(AND(N($I1932)=0,N($J1932)=0),"금액이 없습니다",IF(AND($I1932&gt;0,$J1932&gt;0),"수입·지출 둘 다 적혔습니다",IF($C1932="","결제수단을 고르십시오",IF(ISNA(MATCH($C1932,'통합 ③ 통장·카드'!$A$5:$A$11,0)),"③ 통장·카드에 없는 결제수단입니다",IF($D1932="","계정과목을 고르십시오",IF($E1932="※없는 과목","④ 설정에 없는 과목입니다",IF(AND($E1932="수입",$J1932&gt;0),"수입 과목인데 지출에 적혔습니다",IF(AND(LEFT($E1932,2)&lt;&gt;"수입",$E1932&lt;&gt;"대체",$I1932&gt;0),"지출 과목인데 수입에 적혔습니다",IF($K1932="","증빙을 고르십시오",IF(AND($C1932="바우처통장",$J1932&gt;0,IFERROR(INDEX('통합 ④ 설정'!$E$6:$E$40,MATCH($D1932,'통합 ④ 설정'!$B$6:$B$40,0)),"")&lt;&gt;"○"),"바우처통장 지출 — 목적 확인",IF($H1932="","적요를 적으십시오",""))))))))))))</f>
        <v/>
      </c>
      <c r="M1932" s="39"/>
      <c r="O1932" s="11" t="str">
        <f aca="false">IF($B1932="","",YEAR($B1932)*100+MONTH($B1932))</f>
        <v/>
      </c>
      <c r="P1932" s="11" t="str">
        <f aca="false">IF($B1932="","",IF($E1932="대체",0,1))</f>
        <v/>
      </c>
    </row>
    <row r="1933" customFormat="false" ht="15" hidden="false" customHeight="false" outlineLevel="0" collapsed="false">
      <c r="A1933" s="36" t="str">
        <f aca="false">IF($B1933="","",COUNT($B$15:$B1933))</f>
        <v/>
      </c>
      <c r="B1933" s="37"/>
      <c r="C1933" s="38"/>
      <c r="D1933" s="39"/>
      <c r="E1933" s="36" t="str">
        <f aca="false">IF($D1933="","",IFERROR(INDEX('통합 ④ 설정'!$A$6:$A$40,MATCH($D1933,'통합 ④ 설정'!$B$6:$B$40,0)),"※없는 과목"))</f>
        <v/>
      </c>
      <c r="F1933" s="36" t="str">
        <f aca="false">IF($D1933="","",IFERROR(INDEX('통합 ④ 설정'!$C$6:$C$40,MATCH($D1933,'통합 ④ 설정'!$B$6:$B$40,0)),""))</f>
        <v/>
      </c>
      <c r="G1933" s="39"/>
      <c r="H1933" s="39"/>
      <c r="I1933" s="40"/>
      <c r="J1933" s="41"/>
      <c r="K1933" s="38"/>
      <c r="L1933" s="42" t="str">
        <f aca="false">IF($B1933="","",IF(AND(N($I1933)=0,N($J1933)=0),"금액이 없습니다",IF(AND($I1933&gt;0,$J1933&gt;0),"수입·지출 둘 다 적혔습니다",IF($C1933="","결제수단을 고르십시오",IF(ISNA(MATCH($C1933,'통합 ③ 통장·카드'!$A$5:$A$11,0)),"③ 통장·카드에 없는 결제수단입니다",IF($D1933="","계정과목을 고르십시오",IF($E1933="※없는 과목","④ 설정에 없는 과목입니다",IF(AND($E1933="수입",$J1933&gt;0),"수입 과목인데 지출에 적혔습니다",IF(AND(LEFT($E1933,2)&lt;&gt;"수입",$E1933&lt;&gt;"대체",$I1933&gt;0),"지출 과목인데 수입에 적혔습니다",IF($K1933="","증빙을 고르십시오",IF(AND($C1933="바우처통장",$J1933&gt;0,IFERROR(INDEX('통합 ④ 설정'!$E$6:$E$40,MATCH($D1933,'통합 ④ 설정'!$B$6:$B$40,0)),"")&lt;&gt;"○"),"바우처통장 지출 — 목적 확인",IF($H1933="","적요를 적으십시오",""))))))))))))</f>
        <v/>
      </c>
      <c r="M1933" s="39"/>
      <c r="O1933" s="11" t="str">
        <f aca="false">IF($B1933="","",YEAR($B1933)*100+MONTH($B1933))</f>
        <v/>
      </c>
      <c r="P1933" s="11" t="str">
        <f aca="false">IF($B1933="","",IF($E1933="대체",0,1))</f>
        <v/>
      </c>
    </row>
    <row r="1934" customFormat="false" ht="15" hidden="false" customHeight="false" outlineLevel="0" collapsed="false">
      <c r="A1934" s="36" t="str">
        <f aca="false">IF($B1934="","",COUNT($B$15:$B1934))</f>
        <v/>
      </c>
      <c r="B1934" s="37"/>
      <c r="C1934" s="38"/>
      <c r="D1934" s="39"/>
      <c r="E1934" s="36" t="str">
        <f aca="false">IF($D1934="","",IFERROR(INDEX('통합 ④ 설정'!$A$6:$A$40,MATCH($D1934,'통합 ④ 설정'!$B$6:$B$40,0)),"※없는 과목"))</f>
        <v/>
      </c>
      <c r="F1934" s="36" t="str">
        <f aca="false">IF($D1934="","",IFERROR(INDEX('통합 ④ 설정'!$C$6:$C$40,MATCH($D1934,'통합 ④ 설정'!$B$6:$B$40,0)),""))</f>
        <v/>
      </c>
      <c r="G1934" s="39"/>
      <c r="H1934" s="39"/>
      <c r="I1934" s="40"/>
      <c r="J1934" s="41"/>
      <c r="K1934" s="38"/>
      <c r="L1934" s="42" t="str">
        <f aca="false">IF($B1934="","",IF(AND(N($I1934)=0,N($J1934)=0),"금액이 없습니다",IF(AND($I1934&gt;0,$J1934&gt;0),"수입·지출 둘 다 적혔습니다",IF($C1934="","결제수단을 고르십시오",IF(ISNA(MATCH($C1934,'통합 ③ 통장·카드'!$A$5:$A$11,0)),"③ 통장·카드에 없는 결제수단입니다",IF($D1934="","계정과목을 고르십시오",IF($E1934="※없는 과목","④ 설정에 없는 과목입니다",IF(AND($E1934="수입",$J1934&gt;0),"수입 과목인데 지출에 적혔습니다",IF(AND(LEFT($E1934,2)&lt;&gt;"수입",$E1934&lt;&gt;"대체",$I1934&gt;0),"지출 과목인데 수입에 적혔습니다",IF($K1934="","증빙을 고르십시오",IF(AND($C1934="바우처통장",$J1934&gt;0,IFERROR(INDEX('통합 ④ 설정'!$E$6:$E$40,MATCH($D1934,'통합 ④ 설정'!$B$6:$B$40,0)),"")&lt;&gt;"○"),"바우처통장 지출 — 목적 확인",IF($H1934="","적요를 적으십시오",""))))))))))))</f>
        <v/>
      </c>
      <c r="M1934" s="39"/>
      <c r="O1934" s="11" t="str">
        <f aca="false">IF($B1934="","",YEAR($B1934)*100+MONTH($B1934))</f>
        <v/>
      </c>
      <c r="P1934" s="11" t="str">
        <f aca="false">IF($B1934="","",IF($E1934="대체",0,1))</f>
        <v/>
      </c>
    </row>
    <row r="1935" customFormat="false" ht="15" hidden="false" customHeight="false" outlineLevel="0" collapsed="false">
      <c r="A1935" s="36" t="str">
        <f aca="false">IF($B1935="","",COUNT($B$15:$B1935))</f>
        <v/>
      </c>
      <c r="B1935" s="37"/>
      <c r="C1935" s="38"/>
      <c r="D1935" s="39"/>
      <c r="E1935" s="36" t="str">
        <f aca="false">IF($D1935="","",IFERROR(INDEX('통합 ④ 설정'!$A$6:$A$40,MATCH($D1935,'통합 ④ 설정'!$B$6:$B$40,0)),"※없는 과목"))</f>
        <v/>
      </c>
      <c r="F1935" s="36" t="str">
        <f aca="false">IF($D1935="","",IFERROR(INDEX('통합 ④ 설정'!$C$6:$C$40,MATCH($D1935,'통합 ④ 설정'!$B$6:$B$40,0)),""))</f>
        <v/>
      </c>
      <c r="G1935" s="39"/>
      <c r="H1935" s="39"/>
      <c r="I1935" s="40"/>
      <c r="J1935" s="41"/>
      <c r="K1935" s="38"/>
      <c r="L1935" s="42" t="str">
        <f aca="false">IF($B1935="","",IF(AND(N($I1935)=0,N($J1935)=0),"금액이 없습니다",IF(AND($I1935&gt;0,$J1935&gt;0),"수입·지출 둘 다 적혔습니다",IF($C1935="","결제수단을 고르십시오",IF(ISNA(MATCH($C1935,'통합 ③ 통장·카드'!$A$5:$A$11,0)),"③ 통장·카드에 없는 결제수단입니다",IF($D1935="","계정과목을 고르십시오",IF($E1935="※없는 과목","④ 설정에 없는 과목입니다",IF(AND($E1935="수입",$J1935&gt;0),"수입 과목인데 지출에 적혔습니다",IF(AND(LEFT($E1935,2)&lt;&gt;"수입",$E1935&lt;&gt;"대체",$I1935&gt;0),"지출 과목인데 수입에 적혔습니다",IF($K1935="","증빙을 고르십시오",IF(AND($C1935="바우처통장",$J1935&gt;0,IFERROR(INDEX('통합 ④ 설정'!$E$6:$E$40,MATCH($D1935,'통합 ④ 설정'!$B$6:$B$40,0)),"")&lt;&gt;"○"),"바우처통장 지출 — 목적 확인",IF($H1935="","적요를 적으십시오",""))))))))))))</f>
        <v/>
      </c>
      <c r="M1935" s="39"/>
      <c r="O1935" s="11" t="str">
        <f aca="false">IF($B1935="","",YEAR($B1935)*100+MONTH($B1935))</f>
        <v/>
      </c>
      <c r="P1935" s="11" t="str">
        <f aca="false">IF($B1935="","",IF($E1935="대체",0,1))</f>
        <v/>
      </c>
    </row>
    <row r="1936" customFormat="false" ht="15" hidden="false" customHeight="false" outlineLevel="0" collapsed="false">
      <c r="A1936" s="36" t="str">
        <f aca="false">IF($B1936="","",COUNT($B$15:$B1936))</f>
        <v/>
      </c>
      <c r="B1936" s="37"/>
      <c r="C1936" s="38"/>
      <c r="D1936" s="39"/>
      <c r="E1936" s="36" t="str">
        <f aca="false">IF($D1936="","",IFERROR(INDEX('통합 ④ 설정'!$A$6:$A$40,MATCH($D1936,'통합 ④ 설정'!$B$6:$B$40,0)),"※없는 과목"))</f>
        <v/>
      </c>
      <c r="F1936" s="36" t="str">
        <f aca="false">IF($D1936="","",IFERROR(INDEX('통합 ④ 설정'!$C$6:$C$40,MATCH($D1936,'통합 ④ 설정'!$B$6:$B$40,0)),""))</f>
        <v/>
      </c>
      <c r="G1936" s="39"/>
      <c r="H1936" s="39"/>
      <c r="I1936" s="40"/>
      <c r="J1936" s="41"/>
      <c r="K1936" s="38"/>
      <c r="L1936" s="42" t="str">
        <f aca="false">IF($B1936="","",IF(AND(N($I1936)=0,N($J1936)=0),"금액이 없습니다",IF(AND($I1936&gt;0,$J1936&gt;0),"수입·지출 둘 다 적혔습니다",IF($C1936="","결제수단을 고르십시오",IF(ISNA(MATCH($C1936,'통합 ③ 통장·카드'!$A$5:$A$11,0)),"③ 통장·카드에 없는 결제수단입니다",IF($D1936="","계정과목을 고르십시오",IF($E1936="※없는 과목","④ 설정에 없는 과목입니다",IF(AND($E1936="수입",$J1936&gt;0),"수입 과목인데 지출에 적혔습니다",IF(AND(LEFT($E1936,2)&lt;&gt;"수입",$E1936&lt;&gt;"대체",$I1936&gt;0),"지출 과목인데 수입에 적혔습니다",IF($K1936="","증빙을 고르십시오",IF(AND($C1936="바우처통장",$J1936&gt;0,IFERROR(INDEX('통합 ④ 설정'!$E$6:$E$40,MATCH($D1936,'통합 ④ 설정'!$B$6:$B$40,0)),"")&lt;&gt;"○"),"바우처통장 지출 — 목적 확인",IF($H1936="","적요를 적으십시오",""))))))))))))</f>
        <v/>
      </c>
      <c r="M1936" s="39"/>
      <c r="O1936" s="11" t="str">
        <f aca="false">IF($B1936="","",YEAR($B1936)*100+MONTH($B1936))</f>
        <v/>
      </c>
      <c r="P1936" s="11" t="str">
        <f aca="false">IF($B1936="","",IF($E1936="대체",0,1))</f>
        <v/>
      </c>
    </row>
    <row r="1937" customFormat="false" ht="15" hidden="false" customHeight="false" outlineLevel="0" collapsed="false">
      <c r="A1937" s="36" t="str">
        <f aca="false">IF($B1937="","",COUNT($B$15:$B1937))</f>
        <v/>
      </c>
      <c r="B1937" s="37"/>
      <c r="C1937" s="38"/>
      <c r="D1937" s="39"/>
      <c r="E1937" s="36" t="str">
        <f aca="false">IF($D1937="","",IFERROR(INDEX('통합 ④ 설정'!$A$6:$A$40,MATCH($D1937,'통합 ④ 설정'!$B$6:$B$40,0)),"※없는 과목"))</f>
        <v/>
      </c>
      <c r="F1937" s="36" t="str">
        <f aca="false">IF($D1937="","",IFERROR(INDEX('통합 ④ 설정'!$C$6:$C$40,MATCH($D1937,'통합 ④ 설정'!$B$6:$B$40,0)),""))</f>
        <v/>
      </c>
      <c r="G1937" s="39"/>
      <c r="H1937" s="39"/>
      <c r="I1937" s="40"/>
      <c r="J1937" s="41"/>
      <c r="K1937" s="38"/>
      <c r="L1937" s="42" t="str">
        <f aca="false">IF($B1937="","",IF(AND(N($I1937)=0,N($J1937)=0),"금액이 없습니다",IF(AND($I1937&gt;0,$J1937&gt;0),"수입·지출 둘 다 적혔습니다",IF($C1937="","결제수단을 고르십시오",IF(ISNA(MATCH($C1937,'통합 ③ 통장·카드'!$A$5:$A$11,0)),"③ 통장·카드에 없는 결제수단입니다",IF($D1937="","계정과목을 고르십시오",IF($E1937="※없는 과목","④ 설정에 없는 과목입니다",IF(AND($E1937="수입",$J1937&gt;0),"수입 과목인데 지출에 적혔습니다",IF(AND(LEFT($E1937,2)&lt;&gt;"수입",$E1937&lt;&gt;"대체",$I1937&gt;0),"지출 과목인데 수입에 적혔습니다",IF($K1937="","증빙을 고르십시오",IF(AND($C1937="바우처통장",$J1937&gt;0,IFERROR(INDEX('통합 ④ 설정'!$E$6:$E$40,MATCH($D1937,'통합 ④ 설정'!$B$6:$B$40,0)),"")&lt;&gt;"○"),"바우처통장 지출 — 목적 확인",IF($H1937="","적요를 적으십시오",""))))))))))))</f>
        <v/>
      </c>
      <c r="M1937" s="39"/>
      <c r="O1937" s="11" t="str">
        <f aca="false">IF($B1937="","",YEAR($B1937)*100+MONTH($B1937))</f>
        <v/>
      </c>
      <c r="P1937" s="11" t="str">
        <f aca="false">IF($B1937="","",IF($E1937="대체",0,1))</f>
        <v/>
      </c>
    </row>
    <row r="1938" customFormat="false" ht="15" hidden="false" customHeight="false" outlineLevel="0" collapsed="false">
      <c r="A1938" s="36" t="str">
        <f aca="false">IF($B1938="","",COUNT($B$15:$B1938))</f>
        <v/>
      </c>
      <c r="B1938" s="37"/>
      <c r="C1938" s="38"/>
      <c r="D1938" s="39"/>
      <c r="E1938" s="36" t="str">
        <f aca="false">IF($D1938="","",IFERROR(INDEX('통합 ④ 설정'!$A$6:$A$40,MATCH($D1938,'통합 ④ 설정'!$B$6:$B$40,0)),"※없는 과목"))</f>
        <v/>
      </c>
      <c r="F1938" s="36" t="str">
        <f aca="false">IF($D1938="","",IFERROR(INDEX('통합 ④ 설정'!$C$6:$C$40,MATCH($D1938,'통합 ④ 설정'!$B$6:$B$40,0)),""))</f>
        <v/>
      </c>
      <c r="G1938" s="39"/>
      <c r="H1938" s="39"/>
      <c r="I1938" s="40"/>
      <c r="J1938" s="41"/>
      <c r="K1938" s="38"/>
      <c r="L1938" s="42" t="str">
        <f aca="false">IF($B1938="","",IF(AND(N($I1938)=0,N($J1938)=0),"금액이 없습니다",IF(AND($I1938&gt;0,$J1938&gt;0),"수입·지출 둘 다 적혔습니다",IF($C1938="","결제수단을 고르십시오",IF(ISNA(MATCH($C1938,'통합 ③ 통장·카드'!$A$5:$A$11,0)),"③ 통장·카드에 없는 결제수단입니다",IF($D1938="","계정과목을 고르십시오",IF($E1938="※없는 과목","④ 설정에 없는 과목입니다",IF(AND($E1938="수입",$J1938&gt;0),"수입 과목인데 지출에 적혔습니다",IF(AND(LEFT($E1938,2)&lt;&gt;"수입",$E1938&lt;&gt;"대체",$I1938&gt;0),"지출 과목인데 수입에 적혔습니다",IF($K1938="","증빙을 고르십시오",IF(AND($C1938="바우처통장",$J1938&gt;0,IFERROR(INDEX('통합 ④ 설정'!$E$6:$E$40,MATCH($D1938,'통합 ④ 설정'!$B$6:$B$40,0)),"")&lt;&gt;"○"),"바우처통장 지출 — 목적 확인",IF($H1938="","적요를 적으십시오",""))))))))))))</f>
        <v/>
      </c>
      <c r="M1938" s="39"/>
      <c r="O1938" s="11" t="str">
        <f aca="false">IF($B1938="","",YEAR($B1938)*100+MONTH($B1938))</f>
        <v/>
      </c>
      <c r="P1938" s="11" t="str">
        <f aca="false">IF($B1938="","",IF($E1938="대체",0,1))</f>
        <v/>
      </c>
    </row>
    <row r="1939" customFormat="false" ht="15" hidden="false" customHeight="false" outlineLevel="0" collapsed="false">
      <c r="A1939" s="36" t="str">
        <f aca="false">IF($B1939="","",COUNT($B$15:$B1939))</f>
        <v/>
      </c>
      <c r="B1939" s="37"/>
      <c r="C1939" s="38"/>
      <c r="D1939" s="39"/>
      <c r="E1939" s="36" t="str">
        <f aca="false">IF($D1939="","",IFERROR(INDEX('통합 ④ 설정'!$A$6:$A$40,MATCH($D1939,'통합 ④ 설정'!$B$6:$B$40,0)),"※없는 과목"))</f>
        <v/>
      </c>
      <c r="F1939" s="36" t="str">
        <f aca="false">IF($D1939="","",IFERROR(INDEX('통합 ④ 설정'!$C$6:$C$40,MATCH($D1939,'통합 ④ 설정'!$B$6:$B$40,0)),""))</f>
        <v/>
      </c>
      <c r="G1939" s="39"/>
      <c r="H1939" s="39"/>
      <c r="I1939" s="40"/>
      <c r="J1939" s="41"/>
      <c r="K1939" s="38"/>
      <c r="L1939" s="42" t="str">
        <f aca="false">IF($B1939="","",IF(AND(N($I1939)=0,N($J1939)=0),"금액이 없습니다",IF(AND($I1939&gt;0,$J1939&gt;0),"수입·지출 둘 다 적혔습니다",IF($C1939="","결제수단을 고르십시오",IF(ISNA(MATCH($C1939,'통합 ③ 통장·카드'!$A$5:$A$11,0)),"③ 통장·카드에 없는 결제수단입니다",IF($D1939="","계정과목을 고르십시오",IF($E1939="※없는 과목","④ 설정에 없는 과목입니다",IF(AND($E1939="수입",$J1939&gt;0),"수입 과목인데 지출에 적혔습니다",IF(AND(LEFT($E1939,2)&lt;&gt;"수입",$E1939&lt;&gt;"대체",$I1939&gt;0),"지출 과목인데 수입에 적혔습니다",IF($K1939="","증빙을 고르십시오",IF(AND($C1939="바우처통장",$J1939&gt;0,IFERROR(INDEX('통합 ④ 설정'!$E$6:$E$40,MATCH($D1939,'통합 ④ 설정'!$B$6:$B$40,0)),"")&lt;&gt;"○"),"바우처통장 지출 — 목적 확인",IF($H1939="","적요를 적으십시오",""))))))))))))</f>
        <v/>
      </c>
      <c r="M1939" s="39"/>
      <c r="O1939" s="11" t="str">
        <f aca="false">IF($B1939="","",YEAR($B1939)*100+MONTH($B1939))</f>
        <v/>
      </c>
      <c r="P1939" s="11" t="str">
        <f aca="false">IF($B1939="","",IF($E1939="대체",0,1))</f>
        <v/>
      </c>
    </row>
    <row r="1940" customFormat="false" ht="15" hidden="false" customHeight="false" outlineLevel="0" collapsed="false">
      <c r="A1940" s="36" t="str">
        <f aca="false">IF($B1940="","",COUNT($B$15:$B1940))</f>
        <v/>
      </c>
      <c r="B1940" s="37"/>
      <c r="C1940" s="38"/>
      <c r="D1940" s="39"/>
      <c r="E1940" s="36" t="str">
        <f aca="false">IF($D1940="","",IFERROR(INDEX('통합 ④ 설정'!$A$6:$A$40,MATCH($D1940,'통합 ④ 설정'!$B$6:$B$40,0)),"※없는 과목"))</f>
        <v/>
      </c>
      <c r="F1940" s="36" t="str">
        <f aca="false">IF($D1940="","",IFERROR(INDEX('통합 ④ 설정'!$C$6:$C$40,MATCH($D1940,'통합 ④ 설정'!$B$6:$B$40,0)),""))</f>
        <v/>
      </c>
      <c r="G1940" s="39"/>
      <c r="H1940" s="39"/>
      <c r="I1940" s="40"/>
      <c r="J1940" s="41"/>
      <c r="K1940" s="38"/>
      <c r="L1940" s="42" t="str">
        <f aca="false">IF($B1940="","",IF(AND(N($I1940)=0,N($J1940)=0),"금액이 없습니다",IF(AND($I1940&gt;0,$J1940&gt;0),"수입·지출 둘 다 적혔습니다",IF($C1940="","결제수단을 고르십시오",IF(ISNA(MATCH($C1940,'통합 ③ 통장·카드'!$A$5:$A$11,0)),"③ 통장·카드에 없는 결제수단입니다",IF($D1940="","계정과목을 고르십시오",IF($E1940="※없는 과목","④ 설정에 없는 과목입니다",IF(AND($E1940="수입",$J1940&gt;0),"수입 과목인데 지출에 적혔습니다",IF(AND(LEFT($E1940,2)&lt;&gt;"수입",$E1940&lt;&gt;"대체",$I1940&gt;0),"지출 과목인데 수입에 적혔습니다",IF($K1940="","증빙을 고르십시오",IF(AND($C1940="바우처통장",$J1940&gt;0,IFERROR(INDEX('통합 ④ 설정'!$E$6:$E$40,MATCH($D1940,'통합 ④ 설정'!$B$6:$B$40,0)),"")&lt;&gt;"○"),"바우처통장 지출 — 목적 확인",IF($H1940="","적요를 적으십시오",""))))))))))))</f>
        <v/>
      </c>
      <c r="M1940" s="39"/>
      <c r="O1940" s="11" t="str">
        <f aca="false">IF($B1940="","",YEAR($B1940)*100+MONTH($B1940))</f>
        <v/>
      </c>
      <c r="P1940" s="11" t="str">
        <f aca="false">IF($B1940="","",IF($E1940="대체",0,1))</f>
        <v/>
      </c>
    </row>
    <row r="1941" customFormat="false" ht="15" hidden="false" customHeight="false" outlineLevel="0" collapsed="false">
      <c r="A1941" s="36" t="str">
        <f aca="false">IF($B1941="","",COUNT($B$15:$B1941))</f>
        <v/>
      </c>
      <c r="B1941" s="37"/>
      <c r="C1941" s="38"/>
      <c r="D1941" s="39"/>
      <c r="E1941" s="36" t="str">
        <f aca="false">IF($D1941="","",IFERROR(INDEX('통합 ④ 설정'!$A$6:$A$40,MATCH($D1941,'통합 ④ 설정'!$B$6:$B$40,0)),"※없는 과목"))</f>
        <v/>
      </c>
      <c r="F1941" s="36" t="str">
        <f aca="false">IF($D1941="","",IFERROR(INDEX('통합 ④ 설정'!$C$6:$C$40,MATCH($D1941,'통합 ④ 설정'!$B$6:$B$40,0)),""))</f>
        <v/>
      </c>
      <c r="G1941" s="39"/>
      <c r="H1941" s="39"/>
      <c r="I1941" s="40"/>
      <c r="J1941" s="41"/>
      <c r="K1941" s="38"/>
      <c r="L1941" s="42" t="str">
        <f aca="false">IF($B1941="","",IF(AND(N($I1941)=0,N($J1941)=0),"금액이 없습니다",IF(AND($I1941&gt;0,$J1941&gt;0),"수입·지출 둘 다 적혔습니다",IF($C1941="","결제수단을 고르십시오",IF(ISNA(MATCH($C1941,'통합 ③ 통장·카드'!$A$5:$A$11,0)),"③ 통장·카드에 없는 결제수단입니다",IF($D1941="","계정과목을 고르십시오",IF($E1941="※없는 과목","④ 설정에 없는 과목입니다",IF(AND($E1941="수입",$J1941&gt;0),"수입 과목인데 지출에 적혔습니다",IF(AND(LEFT($E1941,2)&lt;&gt;"수입",$E1941&lt;&gt;"대체",$I1941&gt;0),"지출 과목인데 수입에 적혔습니다",IF($K1941="","증빙을 고르십시오",IF(AND($C1941="바우처통장",$J1941&gt;0,IFERROR(INDEX('통합 ④ 설정'!$E$6:$E$40,MATCH($D1941,'통합 ④ 설정'!$B$6:$B$40,0)),"")&lt;&gt;"○"),"바우처통장 지출 — 목적 확인",IF($H1941="","적요를 적으십시오",""))))))))))))</f>
        <v/>
      </c>
      <c r="M1941" s="39"/>
      <c r="O1941" s="11" t="str">
        <f aca="false">IF($B1941="","",YEAR($B1941)*100+MONTH($B1941))</f>
        <v/>
      </c>
      <c r="P1941" s="11" t="str">
        <f aca="false">IF($B1941="","",IF($E1941="대체",0,1))</f>
        <v/>
      </c>
    </row>
    <row r="1942" customFormat="false" ht="15" hidden="false" customHeight="false" outlineLevel="0" collapsed="false">
      <c r="A1942" s="36" t="str">
        <f aca="false">IF($B1942="","",COUNT($B$15:$B1942))</f>
        <v/>
      </c>
      <c r="B1942" s="37"/>
      <c r="C1942" s="38"/>
      <c r="D1942" s="39"/>
      <c r="E1942" s="36" t="str">
        <f aca="false">IF($D1942="","",IFERROR(INDEX('통합 ④ 설정'!$A$6:$A$40,MATCH($D1942,'통합 ④ 설정'!$B$6:$B$40,0)),"※없는 과목"))</f>
        <v/>
      </c>
      <c r="F1942" s="36" t="str">
        <f aca="false">IF($D1942="","",IFERROR(INDEX('통합 ④ 설정'!$C$6:$C$40,MATCH($D1942,'통합 ④ 설정'!$B$6:$B$40,0)),""))</f>
        <v/>
      </c>
      <c r="G1942" s="39"/>
      <c r="H1942" s="39"/>
      <c r="I1942" s="40"/>
      <c r="J1942" s="41"/>
      <c r="K1942" s="38"/>
      <c r="L1942" s="42" t="str">
        <f aca="false">IF($B1942="","",IF(AND(N($I1942)=0,N($J1942)=0),"금액이 없습니다",IF(AND($I1942&gt;0,$J1942&gt;0),"수입·지출 둘 다 적혔습니다",IF($C1942="","결제수단을 고르십시오",IF(ISNA(MATCH($C1942,'통합 ③ 통장·카드'!$A$5:$A$11,0)),"③ 통장·카드에 없는 결제수단입니다",IF($D1942="","계정과목을 고르십시오",IF($E1942="※없는 과목","④ 설정에 없는 과목입니다",IF(AND($E1942="수입",$J1942&gt;0),"수입 과목인데 지출에 적혔습니다",IF(AND(LEFT($E1942,2)&lt;&gt;"수입",$E1942&lt;&gt;"대체",$I1942&gt;0),"지출 과목인데 수입에 적혔습니다",IF($K1942="","증빙을 고르십시오",IF(AND($C1942="바우처통장",$J1942&gt;0,IFERROR(INDEX('통합 ④ 설정'!$E$6:$E$40,MATCH($D1942,'통합 ④ 설정'!$B$6:$B$40,0)),"")&lt;&gt;"○"),"바우처통장 지출 — 목적 확인",IF($H1942="","적요를 적으십시오",""))))))))))))</f>
        <v/>
      </c>
      <c r="M1942" s="39"/>
      <c r="O1942" s="11" t="str">
        <f aca="false">IF($B1942="","",YEAR($B1942)*100+MONTH($B1942))</f>
        <v/>
      </c>
      <c r="P1942" s="11" t="str">
        <f aca="false">IF($B1942="","",IF($E1942="대체",0,1))</f>
        <v/>
      </c>
    </row>
    <row r="1943" customFormat="false" ht="15" hidden="false" customHeight="false" outlineLevel="0" collapsed="false">
      <c r="A1943" s="36" t="str">
        <f aca="false">IF($B1943="","",COUNT($B$15:$B1943))</f>
        <v/>
      </c>
      <c r="B1943" s="37"/>
      <c r="C1943" s="38"/>
      <c r="D1943" s="39"/>
      <c r="E1943" s="36" t="str">
        <f aca="false">IF($D1943="","",IFERROR(INDEX('통합 ④ 설정'!$A$6:$A$40,MATCH($D1943,'통합 ④ 설정'!$B$6:$B$40,0)),"※없는 과목"))</f>
        <v/>
      </c>
      <c r="F1943" s="36" t="str">
        <f aca="false">IF($D1943="","",IFERROR(INDEX('통합 ④ 설정'!$C$6:$C$40,MATCH($D1943,'통합 ④ 설정'!$B$6:$B$40,0)),""))</f>
        <v/>
      </c>
      <c r="G1943" s="39"/>
      <c r="H1943" s="39"/>
      <c r="I1943" s="40"/>
      <c r="J1943" s="41"/>
      <c r="K1943" s="38"/>
      <c r="L1943" s="42" t="str">
        <f aca="false">IF($B1943="","",IF(AND(N($I1943)=0,N($J1943)=0),"금액이 없습니다",IF(AND($I1943&gt;0,$J1943&gt;0),"수입·지출 둘 다 적혔습니다",IF($C1943="","결제수단을 고르십시오",IF(ISNA(MATCH($C1943,'통합 ③ 통장·카드'!$A$5:$A$11,0)),"③ 통장·카드에 없는 결제수단입니다",IF($D1943="","계정과목을 고르십시오",IF($E1943="※없는 과목","④ 설정에 없는 과목입니다",IF(AND($E1943="수입",$J1943&gt;0),"수입 과목인데 지출에 적혔습니다",IF(AND(LEFT($E1943,2)&lt;&gt;"수입",$E1943&lt;&gt;"대체",$I1943&gt;0),"지출 과목인데 수입에 적혔습니다",IF($K1943="","증빙을 고르십시오",IF(AND($C1943="바우처통장",$J1943&gt;0,IFERROR(INDEX('통합 ④ 설정'!$E$6:$E$40,MATCH($D1943,'통합 ④ 설정'!$B$6:$B$40,0)),"")&lt;&gt;"○"),"바우처통장 지출 — 목적 확인",IF($H1943="","적요를 적으십시오",""))))))))))))</f>
        <v/>
      </c>
      <c r="M1943" s="39"/>
      <c r="O1943" s="11" t="str">
        <f aca="false">IF($B1943="","",YEAR($B1943)*100+MONTH($B1943))</f>
        <v/>
      </c>
      <c r="P1943" s="11" t="str">
        <f aca="false">IF($B1943="","",IF($E1943="대체",0,1))</f>
        <v/>
      </c>
    </row>
    <row r="1944" customFormat="false" ht="15" hidden="false" customHeight="false" outlineLevel="0" collapsed="false">
      <c r="A1944" s="36" t="str">
        <f aca="false">IF($B1944="","",COUNT($B$15:$B1944))</f>
        <v/>
      </c>
      <c r="B1944" s="37"/>
      <c r="C1944" s="38"/>
      <c r="D1944" s="39"/>
      <c r="E1944" s="36" t="str">
        <f aca="false">IF($D1944="","",IFERROR(INDEX('통합 ④ 설정'!$A$6:$A$40,MATCH($D1944,'통합 ④ 설정'!$B$6:$B$40,0)),"※없는 과목"))</f>
        <v/>
      </c>
      <c r="F1944" s="36" t="str">
        <f aca="false">IF($D1944="","",IFERROR(INDEX('통합 ④ 설정'!$C$6:$C$40,MATCH($D1944,'통합 ④ 설정'!$B$6:$B$40,0)),""))</f>
        <v/>
      </c>
      <c r="G1944" s="39"/>
      <c r="H1944" s="39"/>
      <c r="I1944" s="40"/>
      <c r="J1944" s="41"/>
      <c r="K1944" s="38"/>
      <c r="L1944" s="42" t="str">
        <f aca="false">IF($B1944="","",IF(AND(N($I1944)=0,N($J1944)=0),"금액이 없습니다",IF(AND($I1944&gt;0,$J1944&gt;0),"수입·지출 둘 다 적혔습니다",IF($C1944="","결제수단을 고르십시오",IF(ISNA(MATCH($C1944,'통합 ③ 통장·카드'!$A$5:$A$11,0)),"③ 통장·카드에 없는 결제수단입니다",IF($D1944="","계정과목을 고르십시오",IF($E1944="※없는 과목","④ 설정에 없는 과목입니다",IF(AND($E1944="수입",$J1944&gt;0),"수입 과목인데 지출에 적혔습니다",IF(AND(LEFT($E1944,2)&lt;&gt;"수입",$E1944&lt;&gt;"대체",$I1944&gt;0),"지출 과목인데 수입에 적혔습니다",IF($K1944="","증빙을 고르십시오",IF(AND($C1944="바우처통장",$J1944&gt;0,IFERROR(INDEX('통합 ④ 설정'!$E$6:$E$40,MATCH($D1944,'통합 ④ 설정'!$B$6:$B$40,0)),"")&lt;&gt;"○"),"바우처통장 지출 — 목적 확인",IF($H1944="","적요를 적으십시오",""))))))))))))</f>
        <v/>
      </c>
      <c r="M1944" s="39"/>
      <c r="O1944" s="11" t="str">
        <f aca="false">IF($B1944="","",YEAR($B1944)*100+MONTH($B1944))</f>
        <v/>
      </c>
      <c r="P1944" s="11" t="str">
        <f aca="false">IF($B1944="","",IF($E1944="대체",0,1))</f>
        <v/>
      </c>
    </row>
    <row r="1945" customFormat="false" ht="15" hidden="false" customHeight="false" outlineLevel="0" collapsed="false">
      <c r="A1945" s="36" t="str">
        <f aca="false">IF($B1945="","",COUNT($B$15:$B1945))</f>
        <v/>
      </c>
      <c r="B1945" s="37"/>
      <c r="C1945" s="38"/>
      <c r="D1945" s="39"/>
      <c r="E1945" s="36" t="str">
        <f aca="false">IF($D1945="","",IFERROR(INDEX('통합 ④ 설정'!$A$6:$A$40,MATCH($D1945,'통합 ④ 설정'!$B$6:$B$40,0)),"※없는 과목"))</f>
        <v/>
      </c>
      <c r="F1945" s="36" t="str">
        <f aca="false">IF($D1945="","",IFERROR(INDEX('통합 ④ 설정'!$C$6:$C$40,MATCH($D1945,'통합 ④ 설정'!$B$6:$B$40,0)),""))</f>
        <v/>
      </c>
      <c r="G1945" s="39"/>
      <c r="H1945" s="39"/>
      <c r="I1945" s="40"/>
      <c r="J1945" s="41"/>
      <c r="K1945" s="38"/>
      <c r="L1945" s="42" t="str">
        <f aca="false">IF($B1945="","",IF(AND(N($I1945)=0,N($J1945)=0),"금액이 없습니다",IF(AND($I1945&gt;0,$J1945&gt;0),"수입·지출 둘 다 적혔습니다",IF($C1945="","결제수단을 고르십시오",IF(ISNA(MATCH($C1945,'통합 ③ 통장·카드'!$A$5:$A$11,0)),"③ 통장·카드에 없는 결제수단입니다",IF($D1945="","계정과목을 고르십시오",IF($E1945="※없는 과목","④ 설정에 없는 과목입니다",IF(AND($E1945="수입",$J1945&gt;0),"수입 과목인데 지출에 적혔습니다",IF(AND(LEFT($E1945,2)&lt;&gt;"수입",$E1945&lt;&gt;"대체",$I1945&gt;0),"지출 과목인데 수입에 적혔습니다",IF($K1945="","증빙을 고르십시오",IF(AND($C1945="바우처통장",$J1945&gt;0,IFERROR(INDEX('통합 ④ 설정'!$E$6:$E$40,MATCH($D1945,'통합 ④ 설정'!$B$6:$B$40,0)),"")&lt;&gt;"○"),"바우처통장 지출 — 목적 확인",IF($H1945="","적요를 적으십시오",""))))))))))))</f>
        <v/>
      </c>
      <c r="M1945" s="39"/>
      <c r="O1945" s="11" t="str">
        <f aca="false">IF($B1945="","",YEAR($B1945)*100+MONTH($B1945))</f>
        <v/>
      </c>
      <c r="P1945" s="11" t="str">
        <f aca="false">IF($B1945="","",IF($E1945="대체",0,1))</f>
        <v/>
      </c>
    </row>
    <row r="1946" customFormat="false" ht="15" hidden="false" customHeight="false" outlineLevel="0" collapsed="false">
      <c r="A1946" s="36" t="str">
        <f aca="false">IF($B1946="","",COUNT($B$15:$B1946))</f>
        <v/>
      </c>
      <c r="B1946" s="37"/>
      <c r="C1946" s="38"/>
      <c r="D1946" s="39"/>
      <c r="E1946" s="36" t="str">
        <f aca="false">IF($D1946="","",IFERROR(INDEX('통합 ④ 설정'!$A$6:$A$40,MATCH($D1946,'통합 ④ 설정'!$B$6:$B$40,0)),"※없는 과목"))</f>
        <v/>
      </c>
      <c r="F1946" s="36" t="str">
        <f aca="false">IF($D1946="","",IFERROR(INDEX('통합 ④ 설정'!$C$6:$C$40,MATCH($D1946,'통합 ④ 설정'!$B$6:$B$40,0)),""))</f>
        <v/>
      </c>
      <c r="G1946" s="39"/>
      <c r="H1946" s="39"/>
      <c r="I1946" s="40"/>
      <c r="J1946" s="41"/>
      <c r="K1946" s="38"/>
      <c r="L1946" s="42" t="str">
        <f aca="false">IF($B1946="","",IF(AND(N($I1946)=0,N($J1946)=0),"금액이 없습니다",IF(AND($I1946&gt;0,$J1946&gt;0),"수입·지출 둘 다 적혔습니다",IF($C1946="","결제수단을 고르십시오",IF(ISNA(MATCH($C1946,'통합 ③ 통장·카드'!$A$5:$A$11,0)),"③ 통장·카드에 없는 결제수단입니다",IF($D1946="","계정과목을 고르십시오",IF($E1946="※없는 과목","④ 설정에 없는 과목입니다",IF(AND($E1946="수입",$J1946&gt;0),"수입 과목인데 지출에 적혔습니다",IF(AND(LEFT($E1946,2)&lt;&gt;"수입",$E1946&lt;&gt;"대체",$I1946&gt;0),"지출 과목인데 수입에 적혔습니다",IF($K1946="","증빙을 고르십시오",IF(AND($C1946="바우처통장",$J1946&gt;0,IFERROR(INDEX('통합 ④ 설정'!$E$6:$E$40,MATCH($D1946,'통합 ④ 설정'!$B$6:$B$40,0)),"")&lt;&gt;"○"),"바우처통장 지출 — 목적 확인",IF($H1946="","적요를 적으십시오",""))))))))))))</f>
        <v/>
      </c>
      <c r="M1946" s="39"/>
      <c r="O1946" s="11" t="str">
        <f aca="false">IF($B1946="","",YEAR($B1946)*100+MONTH($B1946))</f>
        <v/>
      </c>
      <c r="P1946" s="11" t="str">
        <f aca="false">IF($B1946="","",IF($E1946="대체",0,1))</f>
        <v/>
      </c>
    </row>
    <row r="1947" customFormat="false" ht="15" hidden="false" customHeight="false" outlineLevel="0" collapsed="false">
      <c r="A1947" s="36" t="str">
        <f aca="false">IF($B1947="","",COUNT($B$15:$B1947))</f>
        <v/>
      </c>
      <c r="B1947" s="37"/>
      <c r="C1947" s="38"/>
      <c r="D1947" s="39"/>
      <c r="E1947" s="36" t="str">
        <f aca="false">IF($D1947="","",IFERROR(INDEX('통합 ④ 설정'!$A$6:$A$40,MATCH($D1947,'통합 ④ 설정'!$B$6:$B$40,0)),"※없는 과목"))</f>
        <v/>
      </c>
      <c r="F1947" s="36" t="str">
        <f aca="false">IF($D1947="","",IFERROR(INDEX('통합 ④ 설정'!$C$6:$C$40,MATCH($D1947,'통합 ④ 설정'!$B$6:$B$40,0)),""))</f>
        <v/>
      </c>
      <c r="G1947" s="39"/>
      <c r="H1947" s="39"/>
      <c r="I1947" s="40"/>
      <c r="J1947" s="41"/>
      <c r="K1947" s="38"/>
      <c r="L1947" s="42" t="str">
        <f aca="false">IF($B1947="","",IF(AND(N($I1947)=0,N($J1947)=0),"금액이 없습니다",IF(AND($I1947&gt;0,$J1947&gt;0),"수입·지출 둘 다 적혔습니다",IF($C1947="","결제수단을 고르십시오",IF(ISNA(MATCH($C1947,'통합 ③ 통장·카드'!$A$5:$A$11,0)),"③ 통장·카드에 없는 결제수단입니다",IF($D1947="","계정과목을 고르십시오",IF($E1947="※없는 과목","④ 설정에 없는 과목입니다",IF(AND($E1947="수입",$J1947&gt;0),"수입 과목인데 지출에 적혔습니다",IF(AND(LEFT($E1947,2)&lt;&gt;"수입",$E1947&lt;&gt;"대체",$I1947&gt;0),"지출 과목인데 수입에 적혔습니다",IF($K1947="","증빙을 고르십시오",IF(AND($C1947="바우처통장",$J1947&gt;0,IFERROR(INDEX('통합 ④ 설정'!$E$6:$E$40,MATCH($D1947,'통합 ④ 설정'!$B$6:$B$40,0)),"")&lt;&gt;"○"),"바우처통장 지출 — 목적 확인",IF($H1947="","적요를 적으십시오",""))))))))))))</f>
        <v/>
      </c>
      <c r="M1947" s="39"/>
      <c r="O1947" s="11" t="str">
        <f aca="false">IF($B1947="","",YEAR($B1947)*100+MONTH($B1947))</f>
        <v/>
      </c>
      <c r="P1947" s="11" t="str">
        <f aca="false">IF($B1947="","",IF($E1947="대체",0,1))</f>
        <v/>
      </c>
    </row>
    <row r="1948" customFormat="false" ht="15" hidden="false" customHeight="false" outlineLevel="0" collapsed="false">
      <c r="A1948" s="36" t="str">
        <f aca="false">IF($B1948="","",COUNT($B$15:$B1948))</f>
        <v/>
      </c>
      <c r="B1948" s="37"/>
      <c r="C1948" s="38"/>
      <c r="D1948" s="39"/>
      <c r="E1948" s="36" t="str">
        <f aca="false">IF($D1948="","",IFERROR(INDEX('통합 ④ 설정'!$A$6:$A$40,MATCH($D1948,'통합 ④ 설정'!$B$6:$B$40,0)),"※없는 과목"))</f>
        <v/>
      </c>
      <c r="F1948" s="36" t="str">
        <f aca="false">IF($D1948="","",IFERROR(INDEX('통합 ④ 설정'!$C$6:$C$40,MATCH($D1948,'통합 ④ 설정'!$B$6:$B$40,0)),""))</f>
        <v/>
      </c>
      <c r="G1948" s="39"/>
      <c r="H1948" s="39"/>
      <c r="I1948" s="40"/>
      <c r="J1948" s="41"/>
      <c r="K1948" s="38"/>
      <c r="L1948" s="42" t="str">
        <f aca="false">IF($B1948="","",IF(AND(N($I1948)=0,N($J1948)=0),"금액이 없습니다",IF(AND($I1948&gt;0,$J1948&gt;0),"수입·지출 둘 다 적혔습니다",IF($C1948="","결제수단을 고르십시오",IF(ISNA(MATCH($C1948,'통합 ③ 통장·카드'!$A$5:$A$11,0)),"③ 통장·카드에 없는 결제수단입니다",IF($D1948="","계정과목을 고르십시오",IF($E1948="※없는 과목","④ 설정에 없는 과목입니다",IF(AND($E1948="수입",$J1948&gt;0),"수입 과목인데 지출에 적혔습니다",IF(AND(LEFT($E1948,2)&lt;&gt;"수입",$E1948&lt;&gt;"대체",$I1948&gt;0),"지출 과목인데 수입에 적혔습니다",IF($K1948="","증빙을 고르십시오",IF(AND($C1948="바우처통장",$J1948&gt;0,IFERROR(INDEX('통합 ④ 설정'!$E$6:$E$40,MATCH($D1948,'통합 ④ 설정'!$B$6:$B$40,0)),"")&lt;&gt;"○"),"바우처통장 지출 — 목적 확인",IF($H1948="","적요를 적으십시오",""))))))))))))</f>
        <v/>
      </c>
      <c r="M1948" s="39"/>
      <c r="O1948" s="11" t="str">
        <f aca="false">IF($B1948="","",YEAR($B1948)*100+MONTH($B1948))</f>
        <v/>
      </c>
      <c r="P1948" s="11" t="str">
        <f aca="false">IF($B1948="","",IF($E1948="대체",0,1))</f>
        <v/>
      </c>
    </row>
    <row r="1949" customFormat="false" ht="15" hidden="false" customHeight="false" outlineLevel="0" collapsed="false">
      <c r="A1949" s="36" t="str">
        <f aca="false">IF($B1949="","",COUNT($B$15:$B1949))</f>
        <v/>
      </c>
      <c r="B1949" s="37"/>
      <c r="C1949" s="38"/>
      <c r="D1949" s="39"/>
      <c r="E1949" s="36" t="str">
        <f aca="false">IF($D1949="","",IFERROR(INDEX('통합 ④ 설정'!$A$6:$A$40,MATCH($D1949,'통합 ④ 설정'!$B$6:$B$40,0)),"※없는 과목"))</f>
        <v/>
      </c>
      <c r="F1949" s="36" t="str">
        <f aca="false">IF($D1949="","",IFERROR(INDEX('통합 ④ 설정'!$C$6:$C$40,MATCH($D1949,'통합 ④ 설정'!$B$6:$B$40,0)),""))</f>
        <v/>
      </c>
      <c r="G1949" s="39"/>
      <c r="H1949" s="39"/>
      <c r="I1949" s="40"/>
      <c r="J1949" s="41"/>
      <c r="K1949" s="38"/>
      <c r="L1949" s="42" t="str">
        <f aca="false">IF($B1949="","",IF(AND(N($I1949)=0,N($J1949)=0),"금액이 없습니다",IF(AND($I1949&gt;0,$J1949&gt;0),"수입·지출 둘 다 적혔습니다",IF($C1949="","결제수단을 고르십시오",IF(ISNA(MATCH($C1949,'통합 ③ 통장·카드'!$A$5:$A$11,0)),"③ 통장·카드에 없는 결제수단입니다",IF($D1949="","계정과목을 고르십시오",IF($E1949="※없는 과목","④ 설정에 없는 과목입니다",IF(AND($E1949="수입",$J1949&gt;0),"수입 과목인데 지출에 적혔습니다",IF(AND(LEFT($E1949,2)&lt;&gt;"수입",$E1949&lt;&gt;"대체",$I1949&gt;0),"지출 과목인데 수입에 적혔습니다",IF($K1949="","증빙을 고르십시오",IF(AND($C1949="바우처통장",$J1949&gt;0,IFERROR(INDEX('통합 ④ 설정'!$E$6:$E$40,MATCH($D1949,'통합 ④ 설정'!$B$6:$B$40,0)),"")&lt;&gt;"○"),"바우처통장 지출 — 목적 확인",IF($H1949="","적요를 적으십시오",""))))))))))))</f>
        <v/>
      </c>
      <c r="M1949" s="39"/>
      <c r="O1949" s="11" t="str">
        <f aca="false">IF($B1949="","",YEAR($B1949)*100+MONTH($B1949))</f>
        <v/>
      </c>
      <c r="P1949" s="11" t="str">
        <f aca="false">IF($B1949="","",IF($E1949="대체",0,1))</f>
        <v/>
      </c>
    </row>
    <row r="1950" customFormat="false" ht="15" hidden="false" customHeight="false" outlineLevel="0" collapsed="false">
      <c r="A1950" s="36" t="str">
        <f aca="false">IF($B1950="","",COUNT($B$15:$B1950))</f>
        <v/>
      </c>
      <c r="B1950" s="37"/>
      <c r="C1950" s="38"/>
      <c r="D1950" s="39"/>
      <c r="E1950" s="36" t="str">
        <f aca="false">IF($D1950="","",IFERROR(INDEX('통합 ④ 설정'!$A$6:$A$40,MATCH($D1950,'통합 ④ 설정'!$B$6:$B$40,0)),"※없는 과목"))</f>
        <v/>
      </c>
      <c r="F1950" s="36" t="str">
        <f aca="false">IF($D1950="","",IFERROR(INDEX('통합 ④ 설정'!$C$6:$C$40,MATCH($D1950,'통합 ④ 설정'!$B$6:$B$40,0)),""))</f>
        <v/>
      </c>
      <c r="G1950" s="39"/>
      <c r="H1950" s="39"/>
      <c r="I1950" s="40"/>
      <c r="J1950" s="41"/>
      <c r="K1950" s="38"/>
      <c r="L1950" s="42" t="str">
        <f aca="false">IF($B1950="","",IF(AND(N($I1950)=0,N($J1950)=0),"금액이 없습니다",IF(AND($I1950&gt;0,$J1950&gt;0),"수입·지출 둘 다 적혔습니다",IF($C1950="","결제수단을 고르십시오",IF(ISNA(MATCH($C1950,'통합 ③ 통장·카드'!$A$5:$A$11,0)),"③ 통장·카드에 없는 결제수단입니다",IF($D1950="","계정과목을 고르십시오",IF($E1950="※없는 과목","④ 설정에 없는 과목입니다",IF(AND($E1950="수입",$J1950&gt;0),"수입 과목인데 지출에 적혔습니다",IF(AND(LEFT($E1950,2)&lt;&gt;"수입",$E1950&lt;&gt;"대체",$I1950&gt;0),"지출 과목인데 수입에 적혔습니다",IF($K1950="","증빙을 고르십시오",IF(AND($C1950="바우처통장",$J1950&gt;0,IFERROR(INDEX('통합 ④ 설정'!$E$6:$E$40,MATCH($D1950,'통합 ④ 설정'!$B$6:$B$40,0)),"")&lt;&gt;"○"),"바우처통장 지출 — 목적 확인",IF($H1950="","적요를 적으십시오",""))))))))))))</f>
        <v/>
      </c>
      <c r="M1950" s="39"/>
      <c r="O1950" s="11" t="str">
        <f aca="false">IF($B1950="","",YEAR($B1950)*100+MONTH($B1950))</f>
        <v/>
      </c>
      <c r="P1950" s="11" t="str">
        <f aca="false">IF($B1950="","",IF($E1950="대체",0,1))</f>
        <v/>
      </c>
    </row>
    <row r="1951" customFormat="false" ht="15" hidden="false" customHeight="false" outlineLevel="0" collapsed="false">
      <c r="A1951" s="36" t="str">
        <f aca="false">IF($B1951="","",COUNT($B$15:$B1951))</f>
        <v/>
      </c>
      <c r="B1951" s="37"/>
      <c r="C1951" s="38"/>
      <c r="D1951" s="39"/>
      <c r="E1951" s="36" t="str">
        <f aca="false">IF($D1951="","",IFERROR(INDEX('통합 ④ 설정'!$A$6:$A$40,MATCH($D1951,'통합 ④ 설정'!$B$6:$B$40,0)),"※없는 과목"))</f>
        <v/>
      </c>
      <c r="F1951" s="36" t="str">
        <f aca="false">IF($D1951="","",IFERROR(INDEX('통합 ④ 설정'!$C$6:$C$40,MATCH($D1951,'통합 ④ 설정'!$B$6:$B$40,0)),""))</f>
        <v/>
      </c>
      <c r="G1951" s="39"/>
      <c r="H1951" s="39"/>
      <c r="I1951" s="40"/>
      <c r="J1951" s="41"/>
      <c r="K1951" s="38"/>
      <c r="L1951" s="42" t="str">
        <f aca="false">IF($B1951="","",IF(AND(N($I1951)=0,N($J1951)=0),"금액이 없습니다",IF(AND($I1951&gt;0,$J1951&gt;0),"수입·지출 둘 다 적혔습니다",IF($C1951="","결제수단을 고르십시오",IF(ISNA(MATCH($C1951,'통합 ③ 통장·카드'!$A$5:$A$11,0)),"③ 통장·카드에 없는 결제수단입니다",IF($D1951="","계정과목을 고르십시오",IF($E1951="※없는 과목","④ 설정에 없는 과목입니다",IF(AND($E1951="수입",$J1951&gt;0),"수입 과목인데 지출에 적혔습니다",IF(AND(LEFT($E1951,2)&lt;&gt;"수입",$E1951&lt;&gt;"대체",$I1951&gt;0),"지출 과목인데 수입에 적혔습니다",IF($K1951="","증빙을 고르십시오",IF(AND($C1951="바우처통장",$J1951&gt;0,IFERROR(INDEX('통합 ④ 설정'!$E$6:$E$40,MATCH($D1951,'통합 ④ 설정'!$B$6:$B$40,0)),"")&lt;&gt;"○"),"바우처통장 지출 — 목적 확인",IF($H1951="","적요를 적으십시오",""))))))))))))</f>
        <v/>
      </c>
      <c r="M1951" s="39"/>
      <c r="O1951" s="11" t="str">
        <f aca="false">IF($B1951="","",YEAR($B1951)*100+MONTH($B1951))</f>
        <v/>
      </c>
      <c r="P1951" s="11" t="str">
        <f aca="false">IF($B1951="","",IF($E1951="대체",0,1))</f>
        <v/>
      </c>
    </row>
    <row r="1952" customFormat="false" ht="15" hidden="false" customHeight="false" outlineLevel="0" collapsed="false">
      <c r="A1952" s="36" t="str">
        <f aca="false">IF($B1952="","",COUNT($B$15:$B1952))</f>
        <v/>
      </c>
      <c r="B1952" s="37"/>
      <c r="C1952" s="38"/>
      <c r="D1952" s="39"/>
      <c r="E1952" s="36" t="str">
        <f aca="false">IF($D1952="","",IFERROR(INDEX('통합 ④ 설정'!$A$6:$A$40,MATCH($D1952,'통합 ④ 설정'!$B$6:$B$40,0)),"※없는 과목"))</f>
        <v/>
      </c>
      <c r="F1952" s="36" t="str">
        <f aca="false">IF($D1952="","",IFERROR(INDEX('통합 ④ 설정'!$C$6:$C$40,MATCH($D1952,'통합 ④ 설정'!$B$6:$B$40,0)),""))</f>
        <v/>
      </c>
      <c r="G1952" s="39"/>
      <c r="H1952" s="39"/>
      <c r="I1952" s="40"/>
      <c r="J1952" s="41"/>
      <c r="K1952" s="38"/>
      <c r="L1952" s="42" t="str">
        <f aca="false">IF($B1952="","",IF(AND(N($I1952)=0,N($J1952)=0),"금액이 없습니다",IF(AND($I1952&gt;0,$J1952&gt;0),"수입·지출 둘 다 적혔습니다",IF($C1952="","결제수단을 고르십시오",IF(ISNA(MATCH($C1952,'통합 ③ 통장·카드'!$A$5:$A$11,0)),"③ 통장·카드에 없는 결제수단입니다",IF($D1952="","계정과목을 고르십시오",IF($E1952="※없는 과목","④ 설정에 없는 과목입니다",IF(AND($E1952="수입",$J1952&gt;0),"수입 과목인데 지출에 적혔습니다",IF(AND(LEFT($E1952,2)&lt;&gt;"수입",$E1952&lt;&gt;"대체",$I1952&gt;0),"지출 과목인데 수입에 적혔습니다",IF($K1952="","증빙을 고르십시오",IF(AND($C1952="바우처통장",$J1952&gt;0,IFERROR(INDEX('통합 ④ 설정'!$E$6:$E$40,MATCH($D1952,'통합 ④ 설정'!$B$6:$B$40,0)),"")&lt;&gt;"○"),"바우처통장 지출 — 목적 확인",IF($H1952="","적요를 적으십시오",""))))))))))))</f>
        <v/>
      </c>
      <c r="M1952" s="39"/>
      <c r="O1952" s="11" t="str">
        <f aca="false">IF($B1952="","",YEAR($B1952)*100+MONTH($B1952))</f>
        <v/>
      </c>
      <c r="P1952" s="11" t="str">
        <f aca="false">IF($B1952="","",IF($E1952="대체",0,1))</f>
        <v/>
      </c>
    </row>
    <row r="1953" customFormat="false" ht="15" hidden="false" customHeight="false" outlineLevel="0" collapsed="false">
      <c r="A1953" s="36" t="str">
        <f aca="false">IF($B1953="","",COUNT($B$15:$B1953))</f>
        <v/>
      </c>
      <c r="B1953" s="37"/>
      <c r="C1953" s="38"/>
      <c r="D1953" s="39"/>
      <c r="E1953" s="36" t="str">
        <f aca="false">IF($D1953="","",IFERROR(INDEX('통합 ④ 설정'!$A$6:$A$40,MATCH($D1953,'통합 ④ 설정'!$B$6:$B$40,0)),"※없는 과목"))</f>
        <v/>
      </c>
      <c r="F1953" s="36" t="str">
        <f aca="false">IF($D1953="","",IFERROR(INDEX('통합 ④ 설정'!$C$6:$C$40,MATCH($D1953,'통합 ④ 설정'!$B$6:$B$40,0)),""))</f>
        <v/>
      </c>
      <c r="G1953" s="39"/>
      <c r="H1953" s="39"/>
      <c r="I1953" s="40"/>
      <c r="J1953" s="41"/>
      <c r="K1953" s="38"/>
      <c r="L1953" s="42" t="str">
        <f aca="false">IF($B1953="","",IF(AND(N($I1953)=0,N($J1953)=0),"금액이 없습니다",IF(AND($I1953&gt;0,$J1953&gt;0),"수입·지출 둘 다 적혔습니다",IF($C1953="","결제수단을 고르십시오",IF(ISNA(MATCH($C1953,'통합 ③ 통장·카드'!$A$5:$A$11,0)),"③ 통장·카드에 없는 결제수단입니다",IF($D1953="","계정과목을 고르십시오",IF($E1953="※없는 과목","④ 설정에 없는 과목입니다",IF(AND($E1953="수입",$J1953&gt;0),"수입 과목인데 지출에 적혔습니다",IF(AND(LEFT($E1953,2)&lt;&gt;"수입",$E1953&lt;&gt;"대체",$I1953&gt;0),"지출 과목인데 수입에 적혔습니다",IF($K1953="","증빙을 고르십시오",IF(AND($C1953="바우처통장",$J1953&gt;0,IFERROR(INDEX('통합 ④ 설정'!$E$6:$E$40,MATCH($D1953,'통합 ④ 설정'!$B$6:$B$40,0)),"")&lt;&gt;"○"),"바우처통장 지출 — 목적 확인",IF($H1953="","적요를 적으십시오",""))))))))))))</f>
        <v/>
      </c>
      <c r="M1953" s="39"/>
      <c r="O1953" s="11" t="str">
        <f aca="false">IF($B1953="","",YEAR($B1953)*100+MONTH($B1953))</f>
        <v/>
      </c>
      <c r="P1953" s="11" t="str">
        <f aca="false">IF($B1953="","",IF($E1953="대체",0,1))</f>
        <v/>
      </c>
    </row>
    <row r="1954" customFormat="false" ht="15" hidden="false" customHeight="false" outlineLevel="0" collapsed="false">
      <c r="A1954" s="36" t="str">
        <f aca="false">IF($B1954="","",COUNT($B$15:$B1954))</f>
        <v/>
      </c>
      <c r="B1954" s="37"/>
      <c r="C1954" s="38"/>
      <c r="D1954" s="39"/>
      <c r="E1954" s="36" t="str">
        <f aca="false">IF($D1954="","",IFERROR(INDEX('통합 ④ 설정'!$A$6:$A$40,MATCH($D1954,'통합 ④ 설정'!$B$6:$B$40,0)),"※없는 과목"))</f>
        <v/>
      </c>
      <c r="F1954" s="36" t="str">
        <f aca="false">IF($D1954="","",IFERROR(INDEX('통합 ④ 설정'!$C$6:$C$40,MATCH($D1954,'통합 ④ 설정'!$B$6:$B$40,0)),""))</f>
        <v/>
      </c>
      <c r="G1954" s="39"/>
      <c r="H1954" s="39"/>
      <c r="I1954" s="40"/>
      <c r="J1954" s="41"/>
      <c r="K1954" s="38"/>
      <c r="L1954" s="42" t="str">
        <f aca="false">IF($B1954="","",IF(AND(N($I1954)=0,N($J1954)=0),"금액이 없습니다",IF(AND($I1954&gt;0,$J1954&gt;0),"수입·지출 둘 다 적혔습니다",IF($C1954="","결제수단을 고르십시오",IF(ISNA(MATCH($C1954,'통합 ③ 통장·카드'!$A$5:$A$11,0)),"③ 통장·카드에 없는 결제수단입니다",IF($D1954="","계정과목을 고르십시오",IF($E1954="※없는 과목","④ 설정에 없는 과목입니다",IF(AND($E1954="수입",$J1954&gt;0),"수입 과목인데 지출에 적혔습니다",IF(AND(LEFT($E1954,2)&lt;&gt;"수입",$E1954&lt;&gt;"대체",$I1954&gt;0),"지출 과목인데 수입에 적혔습니다",IF($K1954="","증빙을 고르십시오",IF(AND($C1954="바우처통장",$J1954&gt;0,IFERROR(INDEX('통합 ④ 설정'!$E$6:$E$40,MATCH($D1954,'통합 ④ 설정'!$B$6:$B$40,0)),"")&lt;&gt;"○"),"바우처통장 지출 — 목적 확인",IF($H1954="","적요를 적으십시오",""))))))))))))</f>
        <v/>
      </c>
      <c r="M1954" s="39"/>
      <c r="O1954" s="11" t="str">
        <f aca="false">IF($B1954="","",YEAR($B1954)*100+MONTH($B1954))</f>
        <v/>
      </c>
      <c r="P1954" s="11" t="str">
        <f aca="false">IF($B1954="","",IF($E1954="대체",0,1))</f>
        <v/>
      </c>
    </row>
    <row r="1955" customFormat="false" ht="15" hidden="false" customHeight="false" outlineLevel="0" collapsed="false">
      <c r="A1955" s="36" t="str">
        <f aca="false">IF($B1955="","",COUNT($B$15:$B1955))</f>
        <v/>
      </c>
      <c r="B1955" s="37"/>
      <c r="C1955" s="38"/>
      <c r="D1955" s="39"/>
      <c r="E1955" s="36" t="str">
        <f aca="false">IF($D1955="","",IFERROR(INDEX('통합 ④ 설정'!$A$6:$A$40,MATCH($D1955,'통합 ④ 설정'!$B$6:$B$40,0)),"※없는 과목"))</f>
        <v/>
      </c>
      <c r="F1955" s="36" t="str">
        <f aca="false">IF($D1955="","",IFERROR(INDEX('통합 ④ 설정'!$C$6:$C$40,MATCH($D1955,'통합 ④ 설정'!$B$6:$B$40,0)),""))</f>
        <v/>
      </c>
      <c r="G1955" s="39"/>
      <c r="H1955" s="39"/>
      <c r="I1955" s="40"/>
      <c r="J1955" s="41"/>
      <c r="K1955" s="38"/>
      <c r="L1955" s="42" t="str">
        <f aca="false">IF($B1955="","",IF(AND(N($I1955)=0,N($J1955)=0),"금액이 없습니다",IF(AND($I1955&gt;0,$J1955&gt;0),"수입·지출 둘 다 적혔습니다",IF($C1955="","결제수단을 고르십시오",IF(ISNA(MATCH($C1955,'통합 ③ 통장·카드'!$A$5:$A$11,0)),"③ 통장·카드에 없는 결제수단입니다",IF($D1955="","계정과목을 고르십시오",IF($E1955="※없는 과목","④ 설정에 없는 과목입니다",IF(AND($E1955="수입",$J1955&gt;0),"수입 과목인데 지출에 적혔습니다",IF(AND(LEFT($E1955,2)&lt;&gt;"수입",$E1955&lt;&gt;"대체",$I1955&gt;0),"지출 과목인데 수입에 적혔습니다",IF($K1955="","증빙을 고르십시오",IF(AND($C1955="바우처통장",$J1955&gt;0,IFERROR(INDEX('통합 ④ 설정'!$E$6:$E$40,MATCH($D1955,'통합 ④ 설정'!$B$6:$B$40,0)),"")&lt;&gt;"○"),"바우처통장 지출 — 목적 확인",IF($H1955="","적요를 적으십시오",""))))))))))))</f>
        <v/>
      </c>
      <c r="M1955" s="39"/>
      <c r="O1955" s="11" t="str">
        <f aca="false">IF($B1955="","",YEAR($B1955)*100+MONTH($B1955))</f>
        <v/>
      </c>
      <c r="P1955" s="11" t="str">
        <f aca="false">IF($B1955="","",IF($E1955="대체",0,1))</f>
        <v/>
      </c>
    </row>
    <row r="1956" customFormat="false" ht="15" hidden="false" customHeight="false" outlineLevel="0" collapsed="false">
      <c r="A1956" s="36" t="str">
        <f aca="false">IF($B1956="","",COUNT($B$15:$B1956))</f>
        <v/>
      </c>
      <c r="B1956" s="37"/>
      <c r="C1956" s="38"/>
      <c r="D1956" s="39"/>
      <c r="E1956" s="36" t="str">
        <f aca="false">IF($D1956="","",IFERROR(INDEX('통합 ④ 설정'!$A$6:$A$40,MATCH($D1956,'통합 ④ 설정'!$B$6:$B$40,0)),"※없는 과목"))</f>
        <v/>
      </c>
      <c r="F1956" s="36" t="str">
        <f aca="false">IF($D1956="","",IFERROR(INDEX('통합 ④ 설정'!$C$6:$C$40,MATCH($D1956,'통합 ④ 설정'!$B$6:$B$40,0)),""))</f>
        <v/>
      </c>
      <c r="G1956" s="39"/>
      <c r="H1956" s="39"/>
      <c r="I1956" s="40"/>
      <c r="J1956" s="41"/>
      <c r="K1956" s="38"/>
      <c r="L1956" s="42" t="str">
        <f aca="false">IF($B1956="","",IF(AND(N($I1956)=0,N($J1956)=0),"금액이 없습니다",IF(AND($I1956&gt;0,$J1956&gt;0),"수입·지출 둘 다 적혔습니다",IF($C1956="","결제수단을 고르십시오",IF(ISNA(MATCH($C1956,'통합 ③ 통장·카드'!$A$5:$A$11,0)),"③ 통장·카드에 없는 결제수단입니다",IF($D1956="","계정과목을 고르십시오",IF($E1956="※없는 과목","④ 설정에 없는 과목입니다",IF(AND($E1956="수입",$J1956&gt;0),"수입 과목인데 지출에 적혔습니다",IF(AND(LEFT($E1956,2)&lt;&gt;"수입",$E1956&lt;&gt;"대체",$I1956&gt;0),"지출 과목인데 수입에 적혔습니다",IF($K1956="","증빙을 고르십시오",IF(AND($C1956="바우처통장",$J1956&gt;0,IFERROR(INDEX('통합 ④ 설정'!$E$6:$E$40,MATCH($D1956,'통합 ④ 설정'!$B$6:$B$40,0)),"")&lt;&gt;"○"),"바우처통장 지출 — 목적 확인",IF($H1956="","적요를 적으십시오",""))))))))))))</f>
        <v/>
      </c>
      <c r="M1956" s="39"/>
      <c r="O1956" s="11" t="str">
        <f aca="false">IF($B1956="","",YEAR($B1956)*100+MONTH($B1956))</f>
        <v/>
      </c>
      <c r="P1956" s="11" t="str">
        <f aca="false">IF($B1956="","",IF($E1956="대체",0,1))</f>
        <v/>
      </c>
    </row>
    <row r="1957" customFormat="false" ht="15" hidden="false" customHeight="false" outlineLevel="0" collapsed="false">
      <c r="A1957" s="36" t="str">
        <f aca="false">IF($B1957="","",COUNT($B$15:$B1957))</f>
        <v/>
      </c>
      <c r="B1957" s="37"/>
      <c r="C1957" s="38"/>
      <c r="D1957" s="39"/>
      <c r="E1957" s="36" t="str">
        <f aca="false">IF($D1957="","",IFERROR(INDEX('통합 ④ 설정'!$A$6:$A$40,MATCH($D1957,'통합 ④ 설정'!$B$6:$B$40,0)),"※없는 과목"))</f>
        <v/>
      </c>
      <c r="F1957" s="36" t="str">
        <f aca="false">IF($D1957="","",IFERROR(INDEX('통합 ④ 설정'!$C$6:$C$40,MATCH($D1957,'통합 ④ 설정'!$B$6:$B$40,0)),""))</f>
        <v/>
      </c>
      <c r="G1957" s="39"/>
      <c r="H1957" s="39"/>
      <c r="I1957" s="40"/>
      <c r="J1957" s="41"/>
      <c r="K1957" s="38"/>
      <c r="L1957" s="42" t="str">
        <f aca="false">IF($B1957="","",IF(AND(N($I1957)=0,N($J1957)=0),"금액이 없습니다",IF(AND($I1957&gt;0,$J1957&gt;0),"수입·지출 둘 다 적혔습니다",IF($C1957="","결제수단을 고르십시오",IF(ISNA(MATCH($C1957,'통합 ③ 통장·카드'!$A$5:$A$11,0)),"③ 통장·카드에 없는 결제수단입니다",IF($D1957="","계정과목을 고르십시오",IF($E1957="※없는 과목","④ 설정에 없는 과목입니다",IF(AND($E1957="수입",$J1957&gt;0),"수입 과목인데 지출에 적혔습니다",IF(AND(LEFT($E1957,2)&lt;&gt;"수입",$E1957&lt;&gt;"대체",$I1957&gt;0),"지출 과목인데 수입에 적혔습니다",IF($K1957="","증빙을 고르십시오",IF(AND($C1957="바우처통장",$J1957&gt;0,IFERROR(INDEX('통합 ④ 설정'!$E$6:$E$40,MATCH($D1957,'통합 ④ 설정'!$B$6:$B$40,0)),"")&lt;&gt;"○"),"바우처통장 지출 — 목적 확인",IF($H1957="","적요를 적으십시오",""))))))))))))</f>
        <v/>
      </c>
      <c r="M1957" s="39"/>
      <c r="O1957" s="11" t="str">
        <f aca="false">IF($B1957="","",YEAR($B1957)*100+MONTH($B1957))</f>
        <v/>
      </c>
      <c r="P1957" s="11" t="str">
        <f aca="false">IF($B1957="","",IF($E1957="대체",0,1))</f>
        <v/>
      </c>
    </row>
    <row r="1958" customFormat="false" ht="15" hidden="false" customHeight="false" outlineLevel="0" collapsed="false">
      <c r="A1958" s="36" t="str">
        <f aca="false">IF($B1958="","",COUNT($B$15:$B1958))</f>
        <v/>
      </c>
      <c r="B1958" s="37"/>
      <c r="C1958" s="38"/>
      <c r="D1958" s="39"/>
      <c r="E1958" s="36" t="str">
        <f aca="false">IF($D1958="","",IFERROR(INDEX('통합 ④ 설정'!$A$6:$A$40,MATCH($D1958,'통합 ④ 설정'!$B$6:$B$40,0)),"※없는 과목"))</f>
        <v/>
      </c>
      <c r="F1958" s="36" t="str">
        <f aca="false">IF($D1958="","",IFERROR(INDEX('통합 ④ 설정'!$C$6:$C$40,MATCH($D1958,'통합 ④ 설정'!$B$6:$B$40,0)),""))</f>
        <v/>
      </c>
      <c r="G1958" s="39"/>
      <c r="H1958" s="39"/>
      <c r="I1958" s="40"/>
      <c r="J1958" s="41"/>
      <c r="K1958" s="38"/>
      <c r="L1958" s="42" t="str">
        <f aca="false">IF($B1958="","",IF(AND(N($I1958)=0,N($J1958)=0),"금액이 없습니다",IF(AND($I1958&gt;0,$J1958&gt;0),"수입·지출 둘 다 적혔습니다",IF($C1958="","결제수단을 고르십시오",IF(ISNA(MATCH($C1958,'통합 ③ 통장·카드'!$A$5:$A$11,0)),"③ 통장·카드에 없는 결제수단입니다",IF($D1958="","계정과목을 고르십시오",IF($E1958="※없는 과목","④ 설정에 없는 과목입니다",IF(AND($E1958="수입",$J1958&gt;0),"수입 과목인데 지출에 적혔습니다",IF(AND(LEFT($E1958,2)&lt;&gt;"수입",$E1958&lt;&gt;"대체",$I1958&gt;0),"지출 과목인데 수입에 적혔습니다",IF($K1958="","증빙을 고르십시오",IF(AND($C1958="바우처통장",$J1958&gt;0,IFERROR(INDEX('통합 ④ 설정'!$E$6:$E$40,MATCH($D1958,'통합 ④ 설정'!$B$6:$B$40,0)),"")&lt;&gt;"○"),"바우처통장 지출 — 목적 확인",IF($H1958="","적요를 적으십시오",""))))))))))))</f>
        <v/>
      </c>
      <c r="M1958" s="39"/>
      <c r="O1958" s="11" t="str">
        <f aca="false">IF($B1958="","",YEAR($B1958)*100+MONTH($B1958))</f>
        <v/>
      </c>
      <c r="P1958" s="11" t="str">
        <f aca="false">IF($B1958="","",IF($E1958="대체",0,1))</f>
        <v/>
      </c>
    </row>
    <row r="1959" customFormat="false" ht="15" hidden="false" customHeight="false" outlineLevel="0" collapsed="false">
      <c r="A1959" s="36" t="str">
        <f aca="false">IF($B1959="","",COUNT($B$15:$B1959))</f>
        <v/>
      </c>
      <c r="B1959" s="37"/>
      <c r="C1959" s="38"/>
      <c r="D1959" s="39"/>
      <c r="E1959" s="36" t="str">
        <f aca="false">IF($D1959="","",IFERROR(INDEX('통합 ④ 설정'!$A$6:$A$40,MATCH($D1959,'통합 ④ 설정'!$B$6:$B$40,0)),"※없는 과목"))</f>
        <v/>
      </c>
      <c r="F1959" s="36" t="str">
        <f aca="false">IF($D1959="","",IFERROR(INDEX('통합 ④ 설정'!$C$6:$C$40,MATCH($D1959,'통합 ④ 설정'!$B$6:$B$40,0)),""))</f>
        <v/>
      </c>
      <c r="G1959" s="39"/>
      <c r="H1959" s="39"/>
      <c r="I1959" s="40"/>
      <c r="J1959" s="41"/>
      <c r="K1959" s="38"/>
      <c r="L1959" s="42" t="str">
        <f aca="false">IF($B1959="","",IF(AND(N($I1959)=0,N($J1959)=0),"금액이 없습니다",IF(AND($I1959&gt;0,$J1959&gt;0),"수입·지출 둘 다 적혔습니다",IF($C1959="","결제수단을 고르십시오",IF(ISNA(MATCH($C1959,'통합 ③ 통장·카드'!$A$5:$A$11,0)),"③ 통장·카드에 없는 결제수단입니다",IF($D1959="","계정과목을 고르십시오",IF($E1959="※없는 과목","④ 설정에 없는 과목입니다",IF(AND($E1959="수입",$J1959&gt;0),"수입 과목인데 지출에 적혔습니다",IF(AND(LEFT($E1959,2)&lt;&gt;"수입",$E1959&lt;&gt;"대체",$I1959&gt;0),"지출 과목인데 수입에 적혔습니다",IF($K1959="","증빙을 고르십시오",IF(AND($C1959="바우처통장",$J1959&gt;0,IFERROR(INDEX('통합 ④ 설정'!$E$6:$E$40,MATCH($D1959,'통합 ④ 설정'!$B$6:$B$40,0)),"")&lt;&gt;"○"),"바우처통장 지출 — 목적 확인",IF($H1959="","적요를 적으십시오",""))))))))))))</f>
        <v/>
      </c>
      <c r="M1959" s="39"/>
      <c r="O1959" s="11" t="str">
        <f aca="false">IF($B1959="","",YEAR($B1959)*100+MONTH($B1959))</f>
        <v/>
      </c>
      <c r="P1959" s="11" t="str">
        <f aca="false">IF($B1959="","",IF($E1959="대체",0,1))</f>
        <v/>
      </c>
    </row>
    <row r="1960" customFormat="false" ht="15" hidden="false" customHeight="false" outlineLevel="0" collapsed="false">
      <c r="A1960" s="36" t="str">
        <f aca="false">IF($B1960="","",COUNT($B$15:$B1960))</f>
        <v/>
      </c>
      <c r="B1960" s="37"/>
      <c r="C1960" s="38"/>
      <c r="D1960" s="39"/>
      <c r="E1960" s="36" t="str">
        <f aca="false">IF($D1960="","",IFERROR(INDEX('통합 ④ 설정'!$A$6:$A$40,MATCH($D1960,'통합 ④ 설정'!$B$6:$B$40,0)),"※없는 과목"))</f>
        <v/>
      </c>
      <c r="F1960" s="36" t="str">
        <f aca="false">IF($D1960="","",IFERROR(INDEX('통합 ④ 설정'!$C$6:$C$40,MATCH($D1960,'통합 ④ 설정'!$B$6:$B$40,0)),""))</f>
        <v/>
      </c>
      <c r="G1960" s="39"/>
      <c r="H1960" s="39"/>
      <c r="I1960" s="40"/>
      <c r="J1960" s="41"/>
      <c r="K1960" s="38"/>
      <c r="L1960" s="42" t="str">
        <f aca="false">IF($B1960="","",IF(AND(N($I1960)=0,N($J1960)=0),"금액이 없습니다",IF(AND($I1960&gt;0,$J1960&gt;0),"수입·지출 둘 다 적혔습니다",IF($C1960="","결제수단을 고르십시오",IF(ISNA(MATCH($C1960,'통합 ③ 통장·카드'!$A$5:$A$11,0)),"③ 통장·카드에 없는 결제수단입니다",IF($D1960="","계정과목을 고르십시오",IF($E1960="※없는 과목","④ 설정에 없는 과목입니다",IF(AND($E1960="수입",$J1960&gt;0),"수입 과목인데 지출에 적혔습니다",IF(AND(LEFT($E1960,2)&lt;&gt;"수입",$E1960&lt;&gt;"대체",$I1960&gt;0),"지출 과목인데 수입에 적혔습니다",IF($K1960="","증빙을 고르십시오",IF(AND($C1960="바우처통장",$J1960&gt;0,IFERROR(INDEX('통합 ④ 설정'!$E$6:$E$40,MATCH($D1960,'통합 ④ 설정'!$B$6:$B$40,0)),"")&lt;&gt;"○"),"바우처통장 지출 — 목적 확인",IF($H1960="","적요를 적으십시오",""))))))))))))</f>
        <v/>
      </c>
      <c r="M1960" s="39"/>
      <c r="O1960" s="11" t="str">
        <f aca="false">IF($B1960="","",YEAR($B1960)*100+MONTH($B1960))</f>
        <v/>
      </c>
      <c r="P1960" s="11" t="str">
        <f aca="false">IF($B1960="","",IF($E1960="대체",0,1))</f>
        <v/>
      </c>
    </row>
    <row r="1961" customFormat="false" ht="15" hidden="false" customHeight="false" outlineLevel="0" collapsed="false">
      <c r="A1961" s="36" t="str">
        <f aca="false">IF($B1961="","",COUNT($B$15:$B1961))</f>
        <v/>
      </c>
      <c r="B1961" s="37"/>
      <c r="C1961" s="38"/>
      <c r="D1961" s="39"/>
      <c r="E1961" s="36" t="str">
        <f aca="false">IF($D1961="","",IFERROR(INDEX('통합 ④ 설정'!$A$6:$A$40,MATCH($D1961,'통합 ④ 설정'!$B$6:$B$40,0)),"※없는 과목"))</f>
        <v/>
      </c>
      <c r="F1961" s="36" t="str">
        <f aca="false">IF($D1961="","",IFERROR(INDEX('통합 ④ 설정'!$C$6:$C$40,MATCH($D1961,'통합 ④ 설정'!$B$6:$B$40,0)),""))</f>
        <v/>
      </c>
      <c r="G1961" s="39"/>
      <c r="H1961" s="39"/>
      <c r="I1961" s="40"/>
      <c r="J1961" s="41"/>
      <c r="K1961" s="38"/>
      <c r="L1961" s="42" t="str">
        <f aca="false">IF($B1961="","",IF(AND(N($I1961)=0,N($J1961)=0),"금액이 없습니다",IF(AND($I1961&gt;0,$J1961&gt;0),"수입·지출 둘 다 적혔습니다",IF($C1961="","결제수단을 고르십시오",IF(ISNA(MATCH($C1961,'통합 ③ 통장·카드'!$A$5:$A$11,0)),"③ 통장·카드에 없는 결제수단입니다",IF($D1961="","계정과목을 고르십시오",IF($E1961="※없는 과목","④ 설정에 없는 과목입니다",IF(AND($E1961="수입",$J1961&gt;0),"수입 과목인데 지출에 적혔습니다",IF(AND(LEFT($E1961,2)&lt;&gt;"수입",$E1961&lt;&gt;"대체",$I1961&gt;0),"지출 과목인데 수입에 적혔습니다",IF($K1961="","증빙을 고르십시오",IF(AND($C1961="바우처통장",$J1961&gt;0,IFERROR(INDEX('통합 ④ 설정'!$E$6:$E$40,MATCH($D1961,'통합 ④ 설정'!$B$6:$B$40,0)),"")&lt;&gt;"○"),"바우처통장 지출 — 목적 확인",IF($H1961="","적요를 적으십시오",""))))))))))))</f>
        <v/>
      </c>
      <c r="M1961" s="39"/>
      <c r="O1961" s="11" t="str">
        <f aca="false">IF($B1961="","",YEAR($B1961)*100+MONTH($B1961))</f>
        <v/>
      </c>
      <c r="P1961" s="11" t="str">
        <f aca="false">IF($B1961="","",IF($E1961="대체",0,1))</f>
        <v/>
      </c>
    </row>
    <row r="1962" customFormat="false" ht="15" hidden="false" customHeight="false" outlineLevel="0" collapsed="false">
      <c r="A1962" s="36" t="str">
        <f aca="false">IF($B1962="","",COUNT($B$15:$B1962))</f>
        <v/>
      </c>
      <c r="B1962" s="37"/>
      <c r="C1962" s="38"/>
      <c r="D1962" s="39"/>
      <c r="E1962" s="36" t="str">
        <f aca="false">IF($D1962="","",IFERROR(INDEX('통합 ④ 설정'!$A$6:$A$40,MATCH($D1962,'통합 ④ 설정'!$B$6:$B$40,0)),"※없는 과목"))</f>
        <v/>
      </c>
      <c r="F1962" s="36" t="str">
        <f aca="false">IF($D1962="","",IFERROR(INDEX('통합 ④ 설정'!$C$6:$C$40,MATCH($D1962,'통합 ④ 설정'!$B$6:$B$40,0)),""))</f>
        <v/>
      </c>
      <c r="G1962" s="39"/>
      <c r="H1962" s="39"/>
      <c r="I1962" s="40"/>
      <c r="J1962" s="41"/>
      <c r="K1962" s="38"/>
      <c r="L1962" s="42" t="str">
        <f aca="false">IF($B1962="","",IF(AND(N($I1962)=0,N($J1962)=0),"금액이 없습니다",IF(AND($I1962&gt;0,$J1962&gt;0),"수입·지출 둘 다 적혔습니다",IF($C1962="","결제수단을 고르십시오",IF(ISNA(MATCH($C1962,'통합 ③ 통장·카드'!$A$5:$A$11,0)),"③ 통장·카드에 없는 결제수단입니다",IF($D1962="","계정과목을 고르십시오",IF($E1962="※없는 과목","④ 설정에 없는 과목입니다",IF(AND($E1962="수입",$J1962&gt;0),"수입 과목인데 지출에 적혔습니다",IF(AND(LEFT($E1962,2)&lt;&gt;"수입",$E1962&lt;&gt;"대체",$I1962&gt;0),"지출 과목인데 수입에 적혔습니다",IF($K1962="","증빙을 고르십시오",IF(AND($C1962="바우처통장",$J1962&gt;0,IFERROR(INDEX('통합 ④ 설정'!$E$6:$E$40,MATCH($D1962,'통합 ④ 설정'!$B$6:$B$40,0)),"")&lt;&gt;"○"),"바우처통장 지출 — 목적 확인",IF($H1962="","적요를 적으십시오",""))))))))))))</f>
        <v/>
      </c>
      <c r="M1962" s="39"/>
      <c r="O1962" s="11" t="str">
        <f aca="false">IF($B1962="","",YEAR($B1962)*100+MONTH($B1962))</f>
        <v/>
      </c>
      <c r="P1962" s="11" t="str">
        <f aca="false">IF($B1962="","",IF($E1962="대체",0,1))</f>
        <v/>
      </c>
    </row>
    <row r="1963" customFormat="false" ht="15" hidden="false" customHeight="false" outlineLevel="0" collapsed="false">
      <c r="A1963" s="36" t="str">
        <f aca="false">IF($B1963="","",COUNT($B$15:$B1963))</f>
        <v/>
      </c>
      <c r="B1963" s="37"/>
      <c r="C1963" s="38"/>
      <c r="D1963" s="39"/>
      <c r="E1963" s="36" t="str">
        <f aca="false">IF($D1963="","",IFERROR(INDEX('통합 ④ 설정'!$A$6:$A$40,MATCH($D1963,'통합 ④ 설정'!$B$6:$B$40,0)),"※없는 과목"))</f>
        <v/>
      </c>
      <c r="F1963" s="36" t="str">
        <f aca="false">IF($D1963="","",IFERROR(INDEX('통합 ④ 설정'!$C$6:$C$40,MATCH($D1963,'통합 ④ 설정'!$B$6:$B$40,0)),""))</f>
        <v/>
      </c>
      <c r="G1963" s="39"/>
      <c r="H1963" s="39"/>
      <c r="I1963" s="40"/>
      <c r="J1963" s="41"/>
      <c r="K1963" s="38"/>
      <c r="L1963" s="42" t="str">
        <f aca="false">IF($B1963="","",IF(AND(N($I1963)=0,N($J1963)=0),"금액이 없습니다",IF(AND($I1963&gt;0,$J1963&gt;0),"수입·지출 둘 다 적혔습니다",IF($C1963="","결제수단을 고르십시오",IF(ISNA(MATCH($C1963,'통합 ③ 통장·카드'!$A$5:$A$11,0)),"③ 통장·카드에 없는 결제수단입니다",IF($D1963="","계정과목을 고르십시오",IF($E1963="※없는 과목","④ 설정에 없는 과목입니다",IF(AND($E1963="수입",$J1963&gt;0),"수입 과목인데 지출에 적혔습니다",IF(AND(LEFT($E1963,2)&lt;&gt;"수입",$E1963&lt;&gt;"대체",$I1963&gt;0),"지출 과목인데 수입에 적혔습니다",IF($K1963="","증빙을 고르십시오",IF(AND($C1963="바우처통장",$J1963&gt;0,IFERROR(INDEX('통합 ④ 설정'!$E$6:$E$40,MATCH($D1963,'통합 ④ 설정'!$B$6:$B$40,0)),"")&lt;&gt;"○"),"바우처통장 지출 — 목적 확인",IF($H1963="","적요를 적으십시오",""))))))))))))</f>
        <v/>
      </c>
      <c r="M1963" s="39"/>
      <c r="O1963" s="11" t="str">
        <f aca="false">IF($B1963="","",YEAR($B1963)*100+MONTH($B1963))</f>
        <v/>
      </c>
      <c r="P1963" s="11" t="str">
        <f aca="false">IF($B1963="","",IF($E1963="대체",0,1))</f>
        <v/>
      </c>
    </row>
    <row r="1964" customFormat="false" ht="15" hidden="false" customHeight="false" outlineLevel="0" collapsed="false">
      <c r="A1964" s="36" t="str">
        <f aca="false">IF($B1964="","",COUNT($B$15:$B1964))</f>
        <v/>
      </c>
      <c r="B1964" s="37"/>
      <c r="C1964" s="38"/>
      <c r="D1964" s="39"/>
      <c r="E1964" s="36" t="str">
        <f aca="false">IF($D1964="","",IFERROR(INDEX('통합 ④ 설정'!$A$6:$A$40,MATCH($D1964,'통합 ④ 설정'!$B$6:$B$40,0)),"※없는 과목"))</f>
        <v/>
      </c>
      <c r="F1964" s="36" t="str">
        <f aca="false">IF($D1964="","",IFERROR(INDEX('통합 ④ 설정'!$C$6:$C$40,MATCH($D1964,'통합 ④ 설정'!$B$6:$B$40,0)),""))</f>
        <v/>
      </c>
      <c r="G1964" s="39"/>
      <c r="H1964" s="39"/>
      <c r="I1964" s="40"/>
      <c r="J1964" s="41"/>
      <c r="K1964" s="38"/>
      <c r="L1964" s="42" t="str">
        <f aca="false">IF($B1964="","",IF(AND(N($I1964)=0,N($J1964)=0),"금액이 없습니다",IF(AND($I1964&gt;0,$J1964&gt;0),"수입·지출 둘 다 적혔습니다",IF($C1964="","결제수단을 고르십시오",IF(ISNA(MATCH($C1964,'통합 ③ 통장·카드'!$A$5:$A$11,0)),"③ 통장·카드에 없는 결제수단입니다",IF($D1964="","계정과목을 고르십시오",IF($E1964="※없는 과목","④ 설정에 없는 과목입니다",IF(AND($E1964="수입",$J1964&gt;0),"수입 과목인데 지출에 적혔습니다",IF(AND(LEFT($E1964,2)&lt;&gt;"수입",$E1964&lt;&gt;"대체",$I1964&gt;0),"지출 과목인데 수입에 적혔습니다",IF($K1964="","증빙을 고르십시오",IF(AND($C1964="바우처통장",$J1964&gt;0,IFERROR(INDEX('통합 ④ 설정'!$E$6:$E$40,MATCH($D1964,'통합 ④ 설정'!$B$6:$B$40,0)),"")&lt;&gt;"○"),"바우처통장 지출 — 목적 확인",IF($H1964="","적요를 적으십시오",""))))))))))))</f>
        <v/>
      </c>
      <c r="M1964" s="39"/>
      <c r="O1964" s="11" t="str">
        <f aca="false">IF($B1964="","",YEAR($B1964)*100+MONTH($B1964))</f>
        <v/>
      </c>
      <c r="P1964" s="11" t="str">
        <f aca="false">IF($B1964="","",IF($E1964="대체",0,1))</f>
        <v/>
      </c>
    </row>
    <row r="1965" customFormat="false" ht="15" hidden="false" customHeight="false" outlineLevel="0" collapsed="false">
      <c r="A1965" s="36" t="str">
        <f aca="false">IF($B1965="","",COUNT($B$15:$B1965))</f>
        <v/>
      </c>
      <c r="B1965" s="37"/>
      <c r="C1965" s="38"/>
      <c r="D1965" s="39"/>
      <c r="E1965" s="36" t="str">
        <f aca="false">IF($D1965="","",IFERROR(INDEX('통합 ④ 설정'!$A$6:$A$40,MATCH($D1965,'통합 ④ 설정'!$B$6:$B$40,0)),"※없는 과목"))</f>
        <v/>
      </c>
      <c r="F1965" s="36" t="str">
        <f aca="false">IF($D1965="","",IFERROR(INDEX('통합 ④ 설정'!$C$6:$C$40,MATCH($D1965,'통합 ④ 설정'!$B$6:$B$40,0)),""))</f>
        <v/>
      </c>
      <c r="G1965" s="39"/>
      <c r="H1965" s="39"/>
      <c r="I1965" s="40"/>
      <c r="J1965" s="41"/>
      <c r="K1965" s="38"/>
      <c r="L1965" s="42" t="str">
        <f aca="false">IF($B1965="","",IF(AND(N($I1965)=0,N($J1965)=0),"금액이 없습니다",IF(AND($I1965&gt;0,$J1965&gt;0),"수입·지출 둘 다 적혔습니다",IF($C1965="","결제수단을 고르십시오",IF(ISNA(MATCH($C1965,'통합 ③ 통장·카드'!$A$5:$A$11,0)),"③ 통장·카드에 없는 결제수단입니다",IF($D1965="","계정과목을 고르십시오",IF($E1965="※없는 과목","④ 설정에 없는 과목입니다",IF(AND($E1965="수입",$J1965&gt;0),"수입 과목인데 지출에 적혔습니다",IF(AND(LEFT($E1965,2)&lt;&gt;"수입",$E1965&lt;&gt;"대체",$I1965&gt;0),"지출 과목인데 수입에 적혔습니다",IF($K1965="","증빙을 고르십시오",IF(AND($C1965="바우처통장",$J1965&gt;0,IFERROR(INDEX('통합 ④ 설정'!$E$6:$E$40,MATCH($D1965,'통합 ④ 설정'!$B$6:$B$40,0)),"")&lt;&gt;"○"),"바우처통장 지출 — 목적 확인",IF($H1965="","적요를 적으십시오",""))))))))))))</f>
        <v/>
      </c>
      <c r="M1965" s="39"/>
      <c r="O1965" s="11" t="str">
        <f aca="false">IF($B1965="","",YEAR($B1965)*100+MONTH($B1965))</f>
        <v/>
      </c>
      <c r="P1965" s="11" t="str">
        <f aca="false">IF($B1965="","",IF($E1965="대체",0,1))</f>
        <v/>
      </c>
    </row>
    <row r="1966" customFormat="false" ht="15" hidden="false" customHeight="false" outlineLevel="0" collapsed="false">
      <c r="A1966" s="36" t="str">
        <f aca="false">IF($B1966="","",COUNT($B$15:$B1966))</f>
        <v/>
      </c>
      <c r="B1966" s="37"/>
      <c r="C1966" s="38"/>
      <c r="D1966" s="39"/>
      <c r="E1966" s="36" t="str">
        <f aca="false">IF($D1966="","",IFERROR(INDEX('통합 ④ 설정'!$A$6:$A$40,MATCH($D1966,'통합 ④ 설정'!$B$6:$B$40,0)),"※없는 과목"))</f>
        <v/>
      </c>
      <c r="F1966" s="36" t="str">
        <f aca="false">IF($D1966="","",IFERROR(INDEX('통합 ④ 설정'!$C$6:$C$40,MATCH($D1966,'통합 ④ 설정'!$B$6:$B$40,0)),""))</f>
        <v/>
      </c>
      <c r="G1966" s="39"/>
      <c r="H1966" s="39"/>
      <c r="I1966" s="40"/>
      <c r="J1966" s="41"/>
      <c r="K1966" s="38"/>
      <c r="L1966" s="42" t="str">
        <f aca="false">IF($B1966="","",IF(AND(N($I1966)=0,N($J1966)=0),"금액이 없습니다",IF(AND($I1966&gt;0,$J1966&gt;0),"수입·지출 둘 다 적혔습니다",IF($C1966="","결제수단을 고르십시오",IF(ISNA(MATCH($C1966,'통합 ③ 통장·카드'!$A$5:$A$11,0)),"③ 통장·카드에 없는 결제수단입니다",IF($D1966="","계정과목을 고르십시오",IF($E1966="※없는 과목","④ 설정에 없는 과목입니다",IF(AND($E1966="수입",$J1966&gt;0),"수입 과목인데 지출에 적혔습니다",IF(AND(LEFT($E1966,2)&lt;&gt;"수입",$E1966&lt;&gt;"대체",$I1966&gt;0),"지출 과목인데 수입에 적혔습니다",IF($K1966="","증빙을 고르십시오",IF(AND($C1966="바우처통장",$J1966&gt;0,IFERROR(INDEX('통합 ④ 설정'!$E$6:$E$40,MATCH($D1966,'통합 ④ 설정'!$B$6:$B$40,0)),"")&lt;&gt;"○"),"바우처통장 지출 — 목적 확인",IF($H1966="","적요를 적으십시오",""))))))))))))</f>
        <v/>
      </c>
      <c r="M1966" s="39"/>
      <c r="O1966" s="11" t="str">
        <f aca="false">IF($B1966="","",YEAR($B1966)*100+MONTH($B1966))</f>
        <v/>
      </c>
      <c r="P1966" s="11" t="str">
        <f aca="false">IF($B1966="","",IF($E1966="대체",0,1))</f>
        <v/>
      </c>
    </row>
    <row r="1967" customFormat="false" ht="15" hidden="false" customHeight="false" outlineLevel="0" collapsed="false">
      <c r="A1967" s="36" t="str">
        <f aca="false">IF($B1967="","",COUNT($B$15:$B1967))</f>
        <v/>
      </c>
      <c r="B1967" s="37"/>
      <c r="C1967" s="38"/>
      <c r="D1967" s="39"/>
      <c r="E1967" s="36" t="str">
        <f aca="false">IF($D1967="","",IFERROR(INDEX('통합 ④ 설정'!$A$6:$A$40,MATCH($D1967,'통합 ④ 설정'!$B$6:$B$40,0)),"※없는 과목"))</f>
        <v/>
      </c>
      <c r="F1967" s="36" t="str">
        <f aca="false">IF($D1967="","",IFERROR(INDEX('통합 ④ 설정'!$C$6:$C$40,MATCH($D1967,'통합 ④ 설정'!$B$6:$B$40,0)),""))</f>
        <v/>
      </c>
      <c r="G1967" s="39"/>
      <c r="H1967" s="39"/>
      <c r="I1967" s="40"/>
      <c r="J1967" s="41"/>
      <c r="K1967" s="38"/>
      <c r="L1967" s="42" t="str">
        <f aca="false">IF($B1967="","",IF(AND(N($I1967)=0,N($J1967)=0),"금액이 없습니다",IF(AND($I1967&gt;0,$J1967&gt;0),"수입·지출 둘 다 적혔습니다",IF($C1967="","결제수단을 고르십시오",IF(ISNA(MATCH($C1967,'통합 ③ 통장·카드'!$A$5:$A$11,0)),"③ 통장·카드에 없는 결제수단입니다",IF($D1967="","계정과목을 고르십시오",IF($E1967="※없는 과목","④ 설정에 없는 과목입니다",IF(AND($E1967="수입",$J1967&gt;0),"수입 과목인데 지출에 적혔습니다",IF(AND(LEFT($E1967,2)&lt;&gt;"수입",$E1967&lt;&gt;"대체",$I1967&gt;0),"지출 과목인데 수입에 적혔습니다",IF($K1967="","증빙을 고르십시오",IF(AND($C1967="바우처통장",$J1967&gt;0,IFERROR(INDEX('통합 ④ 설정'!$E$6:$E$40,MATCH($D1967,'통합 ④ 설정'!$B$6:$B$40,0)),"")&lt;&gt;"○"),"바우처통장 지출 — 목적 확인",IF($H1967="","적요를 적으십시오",""))))))))))))</f>
        <v/>
      </c>
      <c r="M1967" s="39"/>
      <c r="O1967" s="11" t="str">
        <f aca="false">IF($B1967="","",YEAR($B1967)*100+MONTH($B1967))</f>
        <v/>
      </c>
      <c r="P1967" s="11" t="str">
        <f aca="false">IF($B1967="","",IF($E1967="대체",0,1))</f>
        <v/>
      </c>
    </row>
    <row r="1968" customFormat="false" ht="15" hidden="false" customHeight="false" outlineLevel="0" collapsed="false">
      <c r="A1968" s="36" t="str">
        <f aca="false">IF($B1968="","",COUNT($B$15:$B1968))</f>
        <v/>
      </c>
      <c r="B1968" s="37"/>
      <c r="C1968" s="38"/>
      <c r="D1968" s="39"/>
      <c r="E1968" s="36" t="str">
        <f aca="false">IF($D1968="","",IFERROR(INDEX('통합 ④ 설정'!$A$6:$A$40,MATCH($D1968,'통합 ④ 설정'!$B$6:$B$40,0)),"※없는 과목"))</f>
        <v/>
      </c>
      <c r="F1968" s="36" t="str">
        <f aca="false">IF($D1968="","",IFERROR(INDEX('통합 ④ 설정'!$C$6:$C$40,MATCH($D1968,'통합 ④ 설정'!$B$6:$B$40,0)),""))</f>
        <v/>
      </c>
      <c r="G1968" s="39"/>
      <c r="H1968" s="39"/>
      <c r="I1968" s="40"/>
      <c r="J1968" s="41"/>
      <c r="K1968" s="38"/>
      <c r="L1968" s="42" t="str">
        <f aca="false">IF($B1968="","",IF(AND(N($I1968)=0,N($J1968)=0),"금액이 없습니다",IF(AND($I1968&gt;0,$J1968&gt;0),"수입·지출 둘 다 적혔습니다",IF($C1968="","결제수단을 고르십시오",IF(ISNA(MATCH($C1968,'통합 ③ 통장·카드'!$A$5:$A$11,0)),"③ 통장·카드에 없는 결제수단입니다",IF($D1968="","계정과목을 고르십시오",IF($E1968="※없는 과목","④ 설정에 없는 과목입니다",IF(AND($E1968="수입",$J1968&gt;0),"수입 과목인데 지출에 적혔습니다",IF(AND(LEFT($E1968,2)&lt;&gt;"수입",$E1968&lt;&gt;"대체",$I1968&gt;0),"지출 과목인데 수입에 적혔습니다",IF($K1968="","증빙을 고르십시오",IF(AND($C1968="바우처통장",$J1968&gt;0,IFERROR(INDEX('통합 ④ 설정'!$E$6:$E$40,MATCH($D1968,'통합 ④ 설정'!$B$6:$B$40,0)),"")&lt;&gt;"○"),"바우처통장 지출 — 목적 확인",IF($H1968="","적요를 적으십시오",""))))))))))))</f>
        <v/>
      </c>
      <c r="M1968" s="39"/>
      <c r="O1968" s="11" t="str">
        <f aca="false">IF($B1968="","",YEAR($B1968)*100+MONTH($B1968))</f>
        <v/>
      </c>
      <c r="P1968" s="11" t="str">
        <f aca="false">IF($B1968="","",IF($E1968="대체",0,1))</f>
        <v/>
      </c>
    </row>
    <row r="1969" customFormat="false" ht="15" hidden="false" customHeight="false" outlineLevel="0" collapsed="false">
      <c r="A1969" s="36" t="str">
        <f aca="false">IF($B1969="","",COUNT($B$15:$B1969))</f>
        <v/>
      </c>
      <c r="B1969" s="37"/>
      <c r="C1969" s="38"/>
      <c r="D1969" s="39"/>
      <c r="E1969" s="36" t="str">
        <f aca="false">IF($D1969="","",IFERROR(INDEX('통합 ④ 설정'!$A$6:$A$40,MATCH($D1969,'통합 ④ 설정'!$B$6:$B$40,0)),"※없는 과목"))</f>
        <v/>
      </c>
      <c r="F1969" s="36" t="str">
        <f aca="false">IF($D1969="","",IFERROR(INDEX('통합 ④ 설정'!$C$6:$C$40,MATCH($D1969,'통합 ④ 설정'!$B$6:$B$40,0)),""))</f>
        <v/>
      </c>
      <c r="G1969" s="39"/>
      <c r="H1969" s="39"/>
      <c r="I1969" s="40"/>
      <c r="J1969" s="41"/>
      <c r="K1969" s="38"/>
      <c r="L1969" s="42" t="str">
        <f aca="false">IF($B1969="","",IF(AND(N($I1969)=0,N($J1969)=0),"금액이 없습니다",IF(AND($I1969&gt;0,$J1969&gt;0),"수입·지출 둘 다 적혔습니다",IF($C1969="","결제수단을 고르십시오",IF(ISNA(MATCH($C1969,'통합 ③ 통장·카드'!$A$5:$A$11,0)),"③ 통장·카드에 없는 결제수단입니다",IF($D1969="","계정과목을 고르십시오",IF($E1969="※없는 과목","④ 설정에 없는 과목입니다",IF(AND($E1969="수입",$J1969&gt;0),"수입 과목인데 지출에 적혔습니다",IF(AND(LEFT($E1969,2)&lt;&gt;"수입",$E1969&lt;&gt;"대체",$I1969&gt;0),"지출 과목인데 수입에 적혔습니다",IF($K1969="","증빙을 고르십시오",IF(AND($C1969="바우처통장",$J1969&gt;0,IFERROR(INDEX('통합 ④ 설정'!$E$6:$E$40,MATCH($D1969,'통합 ④ 설정'!$B$6:$B$40,0)),"")&lt;&gt;"○"),"바우처통장 지출 — 목적 확인",IF($H1969="","적요를 적으십시오",""))))))))))))</f>
        <v/>
      </c>
      <c r="M1969" s="39"/>
      <c r="O1969" s="11" t="str">
        <f aca="false">IF($B1969="","",YEAR($B1969)*100+MONTH($B1969))</f>
        <v/>
      </c>
      <c r="P1969" s="11" t="str">
        <f aca="false">IF($B1969="","",IF($E1969="대체",0,1))</f>
        <v/>
      </c>
    </row>
    <row r="1970" customFormat="false" ht="15" hidden="false" customHeight="false" outlineLevel="0" collapsed="false">
      <c r="A1970" s="36" t="str">
        <f aca="false">IF($B1970="","",COUNT($B$15:$B1970))</f>
        <v/>
      </c>
      <c r="B1970" s="37"/>
      <c r="C1970" s="38"/>
      <c r="D1970" s="39"/>
      <c r="E1970" s="36" t="str">
        <f aca="false">IF($D1970="","",IFERROR(INDEX('통합 ④ 설정'!$A$6:$A$40,MATCH($D1970,'통합 ④ 설정'!$B$6:$B$40,0)),"※없는 과목"))</f>
        <v/>
      </c>
      <c r="F1970" s="36" t="str">
        <f aca="false">IF($D1970="","",IFERROR(INDEX('통합 ④ 설정'!$C$6:$C$40,MATCH($D1970,'통합 ④ 설정'!$B$6:$B$40,0)),""))</f>
        <v/>
      </c>
      <c r="G1970" s="39"/>
      <c r="H1970" s="39"/>
      <c r="I1970" s="40"/>
      <c r="J1970" s="41"/>
      <c r="K1970" s="38"/>
      <c r="L1970" s="42" t="str">
        <f aca="false">IF($B1970="","",IF(AND(N($I1970)=0,N($J1970)=0),"금액이 없습니다",IF(AND($I1970&gt;0,$J1970&gt;0),"수입·지출 둘 다 적혔습니다",IF($C1970="","결제수단을 고르십시오",IF(ISNA(MATCH($C1970,'통합 ③ 통장·카드'!$A$5:$A$11,0)),"③ 통장·카드에 없는 결제수단입니다",IF($D1970="","계정과목을 고르십시오",IF($E1970="※없는 과목","④ 설정에 없는 과목입니다",IF(AND($E1970="수입",$J1970&gt;0),"수입 과목인데 지출에 적혔습니다",IF(AND(LEFT($E1970,2)&lt;&gt;"수입",$E1970&lt;&gt;"대체",$I1970&gt;0),"지출 과목인데 수입에 적혔습니다",IF($K1970="","증빙을 고르십시오",IF(AND($C1970="바우처통장",$J1970&gt;0,IFERROR(INDEX('통합 ④ 설정'!$E$6:$E$40,MATCH($D1970,'통합 ④ 설정'!$B$6:$B$40,0)),"")&lt;&gt;"○"),"바우처통장 지출 — 목적 확인",IF($H1970="","적요를 적으십시오",""))))))))))))</f>
        <v/>
      </c>
      <c r="M1970" s="39"/>
      <c r="O1970" s="11" t="str">
        <f aca="false">IF($B1970="","",YEAR($B1970)*100+MONTH($B1970))</f>
        <v/>
      </c>
      <c r="P1970" s="11" t="str">
        <f aca="false">IF($B1970="","",IF($E1970="대체",0,1))</f>
        <v/>
      </c>
    </row>
    <row r="1971" customFormat="false" ht="15" hidden="false" customHeight="false" outlineLevel="0" collapsed="false">
      <c r="A1971" s="36" t="str">
        <f aca="false">IF($B1971="","",COUNT($B$15:$B1971))</f>
        <v/>
      </c>
      <c r="B1971" s="37"/>
      <c r="C1971" s="38"/>
      <c r="D1971" s="39"/>
      <c r="E1971" s="36" t="str">
        <f aca="false">IF($D1971="","",IFERROR(INDEX('통합 ④ 설정'!$A$6:$A$40,MATCH($D1971,'통합 ④ 설정'!$B$6:$B$40,0)),"※없는 과목"))</f>
        <v/>
      </c>
      <c r="F1971" s="36" t="str">
        <f aca="false">IF($D1971="","",IFERROR(INDEX('통합 ④ 설정'!$C$6:$C$40,MATCH($D1971,'통합 ④ 설정'!$B$6:$B$40,0)),""))</f>
        <v/>
      </c>
      <c r="G1971" s="39"/>
      <c r="H1971" s="39"/>
      <c r="I1971" s="40"/>
      <c r="J1971" s="41"/>
      <c r="K1971" s="38"/>
      <c r="L1971" s="42" t="str">
        <f aca="false">IF($B1971="","",IF(AND(N($I1971)=0,N($J1971)=0),"금액이 없습니다",IF(AND($I1971&gt;0,$J1971&gt;0),"수입·지출 둘 다 적혔습니다",IF($C1971="","결제수단을 고르십시오",IF(ISNA(MATCH($C1971,'통합 ③ 통장·카드'!$A$5:$A$11,0)),"③ 통장·카드에 없는 결제수단입니다",IF($D1971="","계정과목을 고르십시오",IF($E1971="※없는 과목","④ 설정에 없는 과목입니다",IF(AND($E1971="수입",$J1971&gt;0),"수입 과목인데 지출에 적혔습니다",IF(AND(LEFT($E1971,2)&lt;&gt;"수입",$E1971&lt;&gt;"대체",$I1971&gt;0),"지출 과목인데 수입에 적혔습니다",IF($K1971="","증빙을 고르십시오",IF(AND($C1971="바우처통장",$J1971&gt;0,IFERROR(INDEX('통합 ④ 설정'!$E$6:$E$40,MATCH($D1971,'통합 ④ 설정'!$B$6:$B$40,0)),"")&lt;&gt;"○"),"바우처통장 지출 — 목적 확인",IF($H1971="","적요를 적으십시오",""))))))))))))</f>
        <v/>
      </c>
      <c r="M1971" s="39"/>
      <c r="O1971" s="11" t="str">
        <f aca="false">IF($B1971="","",YEAR($B1971)*100+MONTH($B1971))</f>
        <v/>
      </c>
      <c r="P1971" s="11" t="str">
        <f aca="false">IF($B1971="","",IF($E1971="대체",0,1))</f>
        <v/>
      </c>
    </row>
    <row r="1972" customFormat="false" ht="15" hidden="false" customHeight="false" outlineLevel="0" collapsed="false">
      <c r="A1972" s="36" t="str">
        <f aca="false">IF($B1972="","",COUNT($B$15:$B1972))</f>
        <v/>
      </c>
      <c r="B1972" s="37"/>
      <c r="C1972" s="38"/>
      <c r="D1972" s="39"/>
      <c r="E1972" s="36" t="str">
        <f aca="false">IF($D1972="","",IFERROR(INDEX('통합 ④ 설정'!$A$6:$A$40,MATCH($D1972,'통합 ④ 설정'!$B$6:$B$40,0)),"※없는 과목"))</f>
        <v/>
      </c>
      <c r="F1972" s="36" t="str">
        <f aca="false">IF($D1972="","",IFERROR(INDEX('통합 ④ 설정'!$C$6:$C$40,MATCH($D1972,'통합 ④ 설정'!$B$6:$B$40,0)),""))</f>
        <v/>
      </c>
      <c r="G1972" s="39"/>
      <c r="H1972" s="39"/>
      <c r="I1972" s="40"/>
      <c r="J1972" s="41"/>
      <c r="K1972" s="38"/>
      <c r="L1972" s="42" t="str">
        <f aca="false">IF($B1972="","",IF(AND(N($I1972)=0,N($J1972)=0),"금액이 없습니다",IF(AND($I1972&gt;0,$J1972&gt;0),"수입·지출 둘 다 적혔습니다",IF($C1972="","결제수단을 고르십시오",IF(ISNA(MATCH($C1972,'통합 ③ 통장·카드'!$A$5:$A$11,0)),"③ 통장·카드에 없는 결제수단입니다",IF($D1972="","계정과목을 고르십시오",IF($E1972="※없는 과목","④ 설정에 없는 과목입니다",IF(AND($E1972="수입",$J1972&gt;0),"수입 과목인데 지출에 적혔습니다",IF(AND(LEFT($E1972,2)&lt;&gt;"수입",$E1972&lt;&gt;"대체",$I1972&gt;0),"지출 과목인데 수입에 적혔습니다",IF($K1972="","증빙을 고르십시오",IF(AND($C1972="바우처통장",$J1972&gt;0,IFERROR(INDEX('통합 ④ 설정'!$E$6:$E$40,MATCH($D1972,'통합 ④ 설정'!$B$6:$B$40,0)),"")&lt;&gt;"○"),"바우처통장 지출 — 목적 확인",IF($H1972="","적요를 적으십시오",""))))))))))))</f>
        <v/>
      </c>
      <c r="M1972" s="39"/>
      <c r="O1972" s="11" t="str">
        <f aca="false">IF($B1972="","",YEAR($B1972)*100+MONTH($B1972))</f>
        <v/>
      </c>
      <c r="P1972" s="11" t="str">
        <f aca="false">IF($B1972="","",IF($E1972="대체",0,1))</f>
        <v/>
      </c>
    </row>
    <row r="1973" customFormat="false" ht="15" hidden="false" customHeight="false" outlineLevel="0" collapsed="false">
      <c r="A1973" s="36" t="str">
        <f aca="false">IF($B1973="","",COUNT($B$15:$B1973))</f>
        <v/>
      </c>
      <c r="B1973" s="37"/>
      <c r="C1973" s="38"/>
      <c r="D1973" s="39"/>
      <c r="E1973" s="36" t="str">
        <f aca="false">IF($D1973="","",IFERROR(INDEX('통합 ④ 설정'!$A$6:$A$40,MATCH($D1973,'통합 ④ 설정'!$B$6:$B$40,0)),"※없는 과목"))</f>
        <v/>
      </c>
      <c r="F1973" s="36" t="str">
        <f aca="false">IF($D1973="","",IFERROR(INDEX('통합 ④ 설정'!$C$6:$C$40,MATCH($D1973,'통합 ④ 설정'!$B$6:$B$40,0)),""))</f>
        <v/>
      </c>
      <c r="G1973" s="39"/>
      <c r="H1973" s="39"/>
      <c r="I1973" s="40"/>
      <c r="J1973" s="41"/>
      <c r="K1973" s="38"/>
      <c r="L1973" s="42" t="str">
        <f aca="false">IF($B1973="","",IF(AND(N($I1973)=0,N($J1973)=0),"금액이 없습니다",IF(AND($I1973&gt;0,$J1973&gt;0),"수입·지출 둘 다 적혔습니다",IF($C1973="","결제수단을 고르십시오",IF(ISNA(MATCH($C1973,'통합 ③ 통장·카드'!$A$5:$A$11,0)),"③ 통장·카드에 없는 결제수단입니다",IF($D1973="","계정과목을 고르십시오",IF($E1973="※없는 과목","④ 설정에 없는 과목입니다",IF(AND($E1973="수입",$J1973&gt;0),"수입 과목인데 지출에 적혔습니다",IF(AND(LEFT($E1973,2)&lt;&gt;"수입",$E1973&lt;&gt;"대체",$I1973&gt;0),"지출 과목인데 수입에 적혔습니다",IF($K1973="","증빙을 고르십시오",IF(AND($C1973="바우처통장",$J1973&gt;0,IFERROR(INDEX('통합 ④ 설정'!$E$6:$E$40,MATCH($D1973,'통합 ④ 설정'!$B$6:$B$40,0)),"")&lt;&gt;"○"),"바우처통장 지출 — 목적 확인",IF($H1973="","적요를 적으십시오",""))))))))))))</f>
        <v/>
      </c>
      <c r="M1973" s="39"/>
      <c r="O1973" s="11" t="str">
        <f aca="false">IF($B1973="","",YEAR($B1973)*100+MONTH($B1973))</f>
        <v/>
      </c>
      <c r="P1973" s="11" t="str">
        <f aca="false">IF($B1973="","",IF($E1973="대체",0,1))</f>
        <v/>
      </c>
    </row>
    <row r="1974" customFormat="false" ht="15" hidden="false" customHeight="false" outlineLevel="0" collapsed="false">
      <c r="A1974" s="36" t="str">
        <f aca="false">IF($B1974="","",COUNT($B$15:$B1974))</f>
        <v/>
      </c>
      <c r="B1974" s="37"/>
      <c r="C1974" s="38"/>
      <c r="D1974" s="39"/>
      <c r="E1974" s="36" t="str">
        <f aca="false">IF($D1974="","",IFERROR(INDEX('통합 ④ 설정'!$A$6:$A$40,MATCH($D1974,'통합 ④ 설정'!$B$6:$B$40,0)),"※없는 과목"))</f>
        <v/>
      </c>
      <c r="F1974" s="36" t="str">
        <f aca="false">IF($D1974="","",IFERROR(INDEX('통합 ④ 설정'!$C$6:$C$40,MATCH($D1974,'통합 ④ 설정'!$B$6:$B$40,0)),""))</f>
        <v/>
      </c>
      <c r="G1974" s="39"/>
      <c r="H1974" s="39"/>
      <c r="I1974" s="40"/>
      <c r="J1974" s="41"/>
      <c r="K1974" s="38"/>
      <c r="L1974" s="42" t="str">
        <f aca="false">IF($B1974="","",IF(AND(N($I1974)=0,N($J1974)=0),"금액이 없습니다",IF(AND($I1974&gt;0,$J1974&gt;0),"수입·지출 둘 다 적혔습니다",IF($C1974="","결제수단을 고르십시오",IF(ISNA(MATCH($C1974,'통합 ③ 통장·카드'!$A$5:$A$11,0)),"③ 통장·카드에 없는 결제수단입니다",IF($D1974="","계정과목을 고르십시오",IF($E1974="※없는 과목","④ 설정에 없는 과목입니다",IF(AND($E1974="수입",$J1974&gt;0),"수입 과목인데 지출에 적혔습니다",IF(AND(LEFT($E1974,2)&lt;&gt;"수입",$E1974&lt;&gt;"대체",$I1974&gt;0),"지출 과목인데 수입에 적혔습니다",IF($K1974="","증빙을 고르십시오",IF(AND($C1974="바우처통장",$J1974&gt;0,IFERROR(INDEX('통합 ④ 설정'!$E$6:$E$40,MATCH($D1974,'통합 ④ 설정'!$B$6:$B$40,0)),"")&lt;&gt;"○"),"바우처통장 지출 — 목적 확인",IF($H1974="","적요를 적으십시오",""))))))))))))</f>
        <v/>
      </c>
      <c r="M1974" s="39"/>
      <c r="O1974" s="11" t="str">
        <f aca="false">IF($B1974="","",YEAR($B1974)*100+MONTH($B1974))</f>
        <v/>
      </c>
      <c r="P1974" s="11" t="str">
        <f aca="false">IF($B1974="","",IF($E1974="대체",0,1))</f>
        <v/>
      </c>
    </row>
    <row r="1975" customFormat="false" ht="15" hidden="false" customHeight="false" outlineLevel="0" collapsed="false">
      <c r="A1975" s="36" t="str">
        <f aca="false">IF($B1975="","",COUNT($B$15:$B1975))</f>
        <v/>
      </c>
      <c r="B1975" s="37"/>
      <c r="C1975" s="38"/>
      <c r="D1975" s="39"/>
      <c r="E1975" s="36" t="str">
        <f aca="false">IF($D1975="","",IFERROR(INDEX('통합 ④ 설정'!$A$6:$A$40,MATCH($D1975,'통합 ④ 설정'!$B$6:$B$40,0)),"※없는 과목"))</f>
        <v/>
      </c>
      <c r="F1975" s="36" t="str">
        <f aca="false">IF($D1975="","",IFERROR(INDEX('통합 ④ 설정'!$C$6:$C$40,MATCH($D1975,'통합 ④ 설정'!$B$6:$B$40,0)),""))</f>
        <v/>
      </c>
      <c r="G1975" s="39"/>
      <c r="H1975" s="39"/>
      <c r="I1975" s="40"/>
      <c r="J1975" s="41"/>
      <c r="K1975" s="38"/>
      <c r="L1975" s="42" t="str">
        <f aca="false">IF($B1975="","",IF(AND(N($I1975)=0,N($J1975)=0),"금액이 없습니다",IF(AND($I1975&gt;0,$J1975&gt;0),"수입·지출 둘 다 적혔습니다",IF($C1975="","결제수단을 고르십시오",IF(ISNA(MATCH($C1975,'통합 ③ 통장·카드'!$A$5:$A$11,0)),"③ 통장·카드에 없는 결제수단입니다",IF($D1975="","계정과목을 고르십시오",IF($E1975="※없는 과목","④ 설정에 없는 과목입니다",IF(AND($E1975="수입",$J1975&gt;0),"수입 과목인데 지출에 적혔습니다",IF(AND(LEFT($E1975,2)&lt;&gt;"수입",$E1975&lt;&gt;"대체",$I1975&gt;0),"지출 과목인데 수입에 적혔습니다",IF($K1975="","증빙을 고르십시오",IF(AND($C1975="바우처통장",$J1975&gt;0,IFERROR(INDEX('통합 ④ 설정'!$E$6:$E$40,MATCH($D1975,'통합 ④ 설정'!$B$6:$B$40,0)),"")&lt;&gt;"○"),"바우처통장 지출 — 목적 확인",IF($H1975="","적요를 적으십시오",""))))))))))))</f>
        <v/>
      </c>
      <c r="M1975" s="39"/>
      <c r="O1975" s="11" t="str">
        <f aca="false">IF($B1975="","",YEAR($B1975)*100+MONTH($B1975))</f>
        <v/>
      </c>
      <c r="P1975" s="11" t="str">
        <f aca="false">IF($B1975="","",IF($E1975="대체",0,1))</f>
        <v/>
      </c>
    </row>
    <row r="1976" customFormat="false" ht="15" hidden="false" customHeight="false" outlineLevel="0" collapsed="false">
      <c r="A1976" s="36" t="str">
        <f aca="false">IF($B1976="","",COUNT($B$15:$B1976))</f>
        <v/>
      </c>
      <c r="B1976" s="37"/>
      <c r="C1976" s="38"/>
      <c r="D1976" s="39"/>
      <c r="E1976" s="36" t="str">
        <f aca="false">IF($D1976="","",IFERROR(INDEX('통합 ④ 설정'!$A$6:$A$40,MATCH($D1976,'통합 ④ 설정'!$B$6:$B$40,0)),"※없는 과목"))</f>
        <v/>
      </c>
      <c r="F1976" s="36" t="str">
        <f aca="false">IF($D1976="","",IFERROR(INDEX('통합 ④ 설정'!$C$6:$C$40,MATCH($D1976,'통합 ④ 설정'!$B$6:$B$40,0)),""))</f>
        <v/>
      </c>
      <c r="G1976" s="39"/>
      <c r="H1976" s="39"/>
      <c r="I1976" s="40"/>
      <c r="J1976" s="41"/>
      <c r="K1976" s="38"/>
      <c r="L1976" s="42" t="str">
        <f aca="false">IF($B1976="","",IF(AND(N($I1976)=0,N($J1976)=0),"금액이 없습니다",IF(AND($I1976&gt;0,$J1976&gt;0),"수입·지출 둘 다 적혔습니다",IF($C1976="","결제수단을 고르십시오",IF(ISNA(MATCH($C1976,'통합 ③ 통장·카드'!$A$5:$A$11,0)),"③ 통장·카드에 없는 결제수단입니다",IF($D1976="","계정과목을 고르십시오",IF($E1976="※없는 과목","④ 설정에 없는 과목입니다",IF(AND($E1976="수입",$J1976&gt;0),"수입 과목인데 지출에 적혔습니다",IF(AND(LEFT($E1976,2)&lt;&gt;"수입",$E1976&lt;&gt;"대체",$I1976&gt;0),"지출 과목인데 수입에 적혔습니다",IF($K1976="","증빙을 고르십시오",IF(AND($C1976="바우처통장",$J1976&gt;0,IFERROR(INDEX('통합 ④ 설정'!$E$6:$E$40,MATCH($D1976,'통합 ④ 설정'!$B$6:$B$40,0)),"")&lt;&gt;"○"),"바우처통장 지출 — 목적 확인",IF($H1976="","적요를 적으십시오",""))))))))))))</f>
        <v/>
      </c>
      <c r="M1976" s="39"/>
      <c r="O1976" s="11" t="str">
        <f aca="false">IF($B1976="","",YEAR($B1976)*100+MONTH($B1976))</f>
        <v/>
      </c>
      <c r="P1976" s="11" t="str">
        <f aca="false">IF($B1976="","",IF($E1976="대체",0,1))</f>
        <v/>
      </c>
    </row>
    <row r="1977" customFormat="false" ht="15" hidden="false" customHeight="false" outlineLevel="0" collapsed="false">
      <c r="A1977" s="36" t="str">
        <f aca="false">IF($B1977="","",COUNT($B$15:$B1977))</f>
        <v/>
      </c>
      <c r="B1977" s="37"/>
      <c r="C1977" s="38"/>
      <c r="D1977" s="39"/>
      <c r="E1977" s="36" t="str">
        <f aca="false">IF($D1977="","",IFERROR(INDEX('통합 ④ 설정'!$A$6:$A$40,MATCH($D1977,'통합 ④ 설정'!$B$6:$B$40,0)),"※없는 과목"))</f>
        <v/>
      </c>
      <c r="F1977" s="36" t="str">
        <f aca="false">IF($D1977="","",IFERROR(INDEX('통합 ④ 설정'!$C$6:$C$40,MATCH($D1977,'통합 ④ 설정'!$B$6:$B$40,0)),""))</f>
        <v/>
      </c>
      <c r="G1977" s="39"/>
      <c r="H1977" s="39"/>
      <c r="I1977" s="40"/>
      <c r="J1977" s="41"/>
      <c r="K1977" s="38"/>
      <c r="L1977" s="42" t="str">
        <f aca="false">IF($B1977="","",IF(AND(N($I1977)=0,N($J1977)=0),"금액이 없습니다",IF(AND($I1977&gt;0,$J1977&gt;0),"수입·지출 둘 다 적혔습니다",IF($C1977="","결제수단을 고르십시오",IF(ISNA(MATCH($C1977,'통합 ③ 통장·카드'!$A$5:$A$11,0)),"③ 통장·카드에 없는 결제수단입니다",IF($D1977="","계정과목을 고르십시오",IF($E1977="※없는 과목","④ 설정에 없는 과목입니다",IF(AND($E1977="수입",$J1977&gt;0),"수입 과목인데 지출에 적혔습니다",IF(AND(LEFT($E1977,2)&lt;&gt;"수입",$E1977&lt;&gt;"대체",$I1977&gt;0),"지출 과목인데 수입에 적혔습니다",IF($K1977="","증빙을 고르십시오",IF(AND($C1977="바우처통장",$J1977&gt;0,IFERROR(INDEX('통합 ④ 설정'!$E$6:$E$40,MATCH($D1977,'통합 ④ 설정'!$B$6:$B$40,0)),"")&lt;&gt;"○"),"바우처통장 지출 — 목적 확인",IF($H1977="","적요를 적으십시오",""))))))))))))</f>
        <v/>
      </c>
      <c r="M1977" s="39"/>
      <c r="O1977" s="11" t="str">
        <f aca="false">IF($B1977="","",YEAR($B1977)*100+MONTH($B1977))</f>
        <v/>
      </c>
      <c r="P1977" s="11" t="str">
        <f aca="false">IF($B1977="","",IF($E1977="대체",0,1))</f>
        <v/>
      </c>
    </row>
    <row r="1978" customFormat="false" ht="15" hidden="false" customHeight="false" outlineLevel="0" collapsed="false">
      <c r="A1978" s="36" t="str">
        <f aca="false">IF($B1978="","",COUNT($B$15:$B1978))</f>
        <v/>
      </c>
      <c r="B1978" s="37"/>
      <c r="C1978" s="38"/>
      <c r="D1978" s="39"/>
      <c r="E1978" s="36" t="str">
        <f aca="false">IF($D1978="","",IFERROR(INDEX('통합 ④ 설정'!$A$6:$A$40,MATCH($D1978,'통합 ④ 설정'!$B$6:$B$40,0)),"※없는 과목"))</f>
        <v/>
      </c>
      <c r="F1978" s="36" t="str">
        <f aca="false">IF($D1978="","",IFERROR(INDEX('통합 ④ 설정'!$C$6:$C$40,MATCH($D1978,'통합 ④ 설정'!$B$6:$B$40,0)),""))</f>
        <v/>
      </c>
      <c r="G1978" s="39"/>
      <c r="H1978" s="39"/>
      <c r="I1978" s="40"/>
      <c r="J1978" s="41"/>
      <c r="K1978" s="38"/>
      <c r="L1978" s="42" t="str">
        <f aca="false">IF($B1978="","",IF(AND(N($I1978)=0,N($J1978)=0),"금액이 없습니다",IF(AND($I1978&gt;0,$J1978&gt;0),"수입·지출 둘 다 적혔습니다",IF($C1978="","결제수단을 고르십시오",IF(ISNA(MATCH($C1978,'통합 ③ 통장·카드'!$A$5:$A$11,0)),"③ 통장·카드에 없는 결제수단입니다",IF($D1978="","계정과목을 고르십시오",IF($E1978="※없는 과목","④ 설정에 없는 과목입니다",IF(AND($E1978="수입",$J1978&gt;0),"수입 과목인데 지출에 적혔습니다",IF(AND(LEFT($E1978,2)&lt;&gt;"수입",$E1978&lt;&gt;"대체",$I1978&gt;0),"지출 과목인데 수입에 적혔습니다",IF($K1978="","증빙을 고르십시오",IF(AND($C1978="바우처통장",$J1978&gt;0,IFERROR(INDEX('통합 ④ 설정'!$E$6:$E$40,MATCH($D1978,'통합 ④ 설정'!$B$6:$B$40,0)),"")&lt;&gt;"○"),"바우처통장 지출 — 목적 확인",IF($H1978="","적요를 적으십시오",""))))))))))))</f>
        <v/>
      </c>
      <c r="M1978" s="39"/>
      <c r="O1978" s="11" t="str">
        <f aca="false">IF($B1978="","",YEAR($B1978)*100+MONTH($B1978))</f>
        <v/>
      </c>
      <c r="P1978" s="11" t="str">
        <f aca="false">IF($B1978="","",IF($E1978="대체",0,1))</f>
        <v/>
      </c>
    </row>
    <row r="1979" customFormat="false" ht="15" hidden="false" customHeight="false" outlineLevel="0" collapsed="false">
      <c r="A1979" s="36" t="str">
        <f aca="false">IF($B1979="","",COUNT($B$15:$B1979))</f>
        <v/>
      </c>
      <c r="B1979" s="37"/>
      <c r="C1979" s="38"/>
      <c r="D1979" s="39"/>
      <c r="E1979" s="36" t="str">
        <f aca="false">IF($D1979="","",IFERROR(INDEX('통합 ④ 설정'!$A$6:$A$40,MATCH($D1979,'통합 ④ 설정'!$B$6:$B$40,0)),"※없는 과목"))</f>
        <v/>
      </c>
      <c r="F1979" s="36" t="str">
        <f aca="false">IF($D1979="","",IFERROR(INDEX('통합 ④ 설정'!$C$6:$C$40,MATCH($D1979,'통합 ④ 설정'!$B$6:$B$40,0)),""))</f>
        <v/>
      </c>
      <c r="G1979" s="39"/>
      <c r="H1979" s="39"/>
      <c r="I1979" s="40"/>
      <c r="J1979" s="41"/>
      <c r="K1979" s="38"/>
      <c r="L1979" s="42" t="str">
        <f aca="false">IF($B1979="","",IF(AND(N($I1979)=0,N($J1979)=0),"금액이 없습니다",IF(AND($I1979&gt;0,$J1979&gt;0),"수입·지출 둘 다 적혔습니다",IF($C1979="","결제수단을 고르십시오",IF(ISNA(MATCH($C1979,'통합 ③ 통장·카드'!$A$5:$A$11,0)),"③ 통장·카드에 없는 결제수단입니다",IF($D1979="","계정과목을 고르십시오",IF($E1979="※없는 과목","④ 설정에 없는 과목입니다",IF(AND($E1979="수입",$J1979&gt;0),"수입 과목인데 지출에 적혔습니다",IF(AND(LEFT($E1979,2)&lt;&gt;"수입",$E1979&lt;&gt;"대체",$I1979&gt;0),"지출 과목인데 수입에 적혔습니다",IF($K1979="","증빙을 고르십시오",IF(AND($C1979="바우처통장",$J1979&gt;0,IFERROR(INDEX('통합 ④ 설정'!$E$6:$E$40,MATCH($D1979,'통합 ④ 설정'!$B$6:$B$40,0)),"")&lt;&gt;"○"),"바우처통장 지출 — 목적 확인",IF($H1979="","적요를 적으십시오",""))))))))))))</f>
        <v/>
      </c>
      <c r="M1979" s="39"/>
      <c r="O1979" s="11" t="str">
        <f aca="false">IF($B1979="","",YEAR($B1979)*100+MONTH($B1979))</f>
        <v/>
      </c>
      <c r="P1979" s="11" t="str">
        <f aca="false">IF($B1979="","",IF($E1979="대체",0,1))</f>
        <v/>
      </c>
    </row>
    <row r="1980" customFormat="false" ht="15" hidden="false" customHeight="false" outlineLevel="0" collapsed="false">
      <c r="A1980" s="36" t="str">
        <f aca="false">IF($B1980="","",COUNT($B$15:$B1980))</f>
        <v/>
      </c>
      <c r="B1980" s="37"/>
      <c r="C1980" s="38"/>
      <c r="D1980" s="39"/>
      <c r="E1980" s="36" t="str">
        <f aca="false">IF($D1980="","",IFERROR(INDEX('통합 ④ 설정'!$A$6:$A$40,MATCH($D1980,'통합 ④ 설정'!$B$6:$B$40,0)),"※없는 과목"))</f>
        <v/>
      </c>
      <c r="F1980" s="36" t="str">
        <f aca="false">IF($D1980="","",IFERROR(INDEX('통합 ④ 설정'!$C$6:$C$40,MATCH($D1980,'통합 ④ 설정'!$B$6:$B$40,0)),""))</f>
        <v/>
      </c>
      <c r="G1980" s="39"/>
      <c r="H1980" s="39"/>
      <c r="I1980" s="40"/>
      <c r="J1980" s="41"/>
      <c r="K1980" s="38"/>
      <c r="L1980" s="42" t="str">
        <f aca="false">IF($B1980="","",IF(AND(N($I1980)=0,N($J1980)=0),"금액이 없습니다",IF(AND($I1980&gt;0,$J1980&gt;0),"수입·지출 둘 다 적혔습니다",IF($C1980="","결제수단을 고르십시오",IF(ISNA(MATCH($C1980,'통합 ③ 통장·카드'!$A$5:$A$11,0)),"③ 통장·카드에 없는 결제수단입니다",IF($D1980="","계정과목을 고르십시오",IF($E1980="※없는 과목","④ 설정에 없는 과목입니다",IF(AND($E1980="수입",$J1980&gt;0),"수입 과목인데 지출에 적혔습니다",IF(AND(LEFT($E1980,2)&lt;&gt;"수입",$E1980&lt;&gt;"대체",$I1980&gt;0),"지출 과목인데 수입에 적혔습니다",IF($K1980="","증빙을 고르십시오",IF(AND($C1980="바우처통장",$J1980&gt;0,IFERROR(INDEX('통합 ④ 설정'!$E$6:$E$40,MATCH($D1980,'통합 ④ 설정'!$B$6:$B$40,0)),"")&lt;&gt;"○"),"바우처통장 지출 — 목적 확인",IF($H1980="","적요를 적으십시오",""))))))))))))</f>
        <v/>
      </c>
      <c r="M1980" s="39"/>
      <c r="O1980" s="11" t="str">
        <f aca="false">IF($B1980="","",YEAR($B1980)*100+MONTH($B1980))</f>
        <v/>
      </c>
      <c r="P1980" s="11" t="str">
        <f aca="false">IF($B1980="","",IF($E1980="대체",0,1))</f>
        <v/>
      </c>
    </row>
    <row r="1981" customFormat="false" ht="15" hidden="false" customHeight="false" outlineLevel="0" collapsed="false">
      <c r="A1981" s="36" t="str">
        <f aca="false">IF($B1981="","",COUNT($B$15:$B1981))</f>
        <v/>
      </c>
      <c r="B1981" s="37"/>
      <c r="C1981" s="38"/>
      <c r="D1981" s="39"/>
      <c r="E1981" s="36" t="str">
        <f aca="false">IF($D1981="","",IFERROR(INDEX('통합 ④ 설정'!$A$6:$A$40,MATCH($D1981,'통합 ④ 설정'!$B$6:$B$40,0)),"※없는 과목"))</f>
        <v/>
      </c>
      <c r="F1981" s="36" t="str">
        <f aca="false">IF($D1981="","",IFERROR(INDEX('통합 ④ 설정'!$C$6:$C$40,MATCH($D1981,'통합 ④ 설정'!$B$6:$B$40,0)),""))</f>
        <v/>
      </c>
      <c r="G1981" s="39"/>
      <c r="H1981" s="39"/>
      <c r="I1981" s="40"/>
      <c r="J1981" s="41"/>
      <c r="K1981" s="38"/>
      <c r="L1981" s="42" t="str">
        <f aca="false">IF($B1981="","",IF(AND(N($I1981)=0,N($J1981)=0),"금액이 없습니다",IF(AND($I1981&gt;0,$J1981&gt;0),"수입·지출 둘 다 적혔습니다",IF($C1981="","결제수단을 고르십시오",IF(ISNA(MATCH($C1981,'통합 ③ 통장·카드'!$A$5:$A$11,0)),"③ 통장·카드에 없는 결제수단입니다",IF($D1981="","계정과목을 고르십시오",IF($E1981="※없는 과목","④ 설정에 없는 과목입니다",IF(AND($E1981="수입",$J1981&gt;0),"수입 과목인데 지출에 적혔습니다",IF(AND(LEFT($E1981,2)&lt;&gt;"수입",$E1981&lt;&gt;"대체",$I1981&gt;0),"지출 과목인데 수입에 적혔습니다",IF($K1981="","증빙을 고르십시오",IF(AND($C1981="바우처통장",$J1981&gt;0,IFERROR(INDEX('통합 ④ 설정'!$E$6:$E$40,MATCH($D1981,'통합 ④ 설정'!$B$6:$B$40,0)),"")&lt;&gt;"○"),"바우처통장 지출 — 목적 확인",IF($H1981="","적요를 적으십시오",""))))))))))))</f>
        <v/>
      </c>
      <c r="M1981" s="39"/>
      <c r="O1981" s="11" t="str">
        <f aca="false">IF($B1981="","",YEAR($B1981)*100+MONTH($B1981))</f>
        <v/>
      </c>
      <c r="P1981" s="11" t="str">
        <f aca="false">IF($B1981="","",IF($E1981="대체",0,1))</f>
        <v/>
      </c>
    </row>
    <row r="1982" customFormat="false" ht="15" hidden="false" customHeight="false" outlineLevel="0" collapsed="false">
      <c r="A1982" s="36" t="str">
        <f aca="false">IF($B1982="","",COUNT($B$15:$B1982))</f>
        <v/>
      </c>
      <c r="B1982" s="37"/>
      <c r="C1982" s="38"/>
      <c r="D1982" s="39"/>
      <c r="E1982" s="36" t="str">
        <f aca="false">IF($D1982="","",IFERROR(INDEX('통합 ④ 설정'!$A$6:$A$40,MATCH($D1982,'통합 ④ 설정'!$B$6:$B$40,0)),"※없는 과목"))</f>
        <v/>
      </c>
      <c r="F1982" s="36" t="str">
        <f aca="false">IF($D1982="","",IFERROR(INDEX('통합 ④ 설정'!$C$6:$C$40,MATCH($D1982,'통합 ④ 설정'!$B$6:$B$40,0)),""))</f>
        <v/>
      </c>
      <c r="G1982" s="39"/>
      <c r="H1982" s="39"/>
      <c r="I1982" s="40"/>
      <c r="J1982" s="41"/>
      <c r="K1982" s="38"/>
      <c r="L1982" s="42" t="str">
        <f aca="false">IF($B1982="","",IF(AND(N($I1982)=0,N($J1982)=0),"금액이 없습니다",IF(AND($I1982&gt;0,$J1982&gt;0),"수입·지출 둘 다 적혔습니다",IF($C1982="","결제수단을 고르십시오",IF(ISNA(MATCH($C1982,'통합 ③ 통장·카드'!$A$5:$A$11,0)),"③ 통장·카드에 없는 결제수단입니다",IF($D1982="","계정과목을 고르십시오",IF($E1982="※없는 과목","④ 설정에 없는 과목입니다",IF(AND($E1982="수입",$J1982&gt;0),"수입 과목인데 지출에 적혔습니다",IF(AND(LEFT($E1982,2)&lt;&gt;"수입",$E1982&lt;&gt;"대체",$I1982&gt;0),"지출 과목인데 수입에 적혔습니다",IF($K1982="","증빙을 고르십시오",IF(AND($C1982="바우처통장",$J1982&gt;0,IFERROR(INDEX('통합 ④ 설정'!$E$6:$E$40,MATCH($D1982,'통합 ④ 설정'!$B$6:$B$40,0)),"")&lt;&gt;"○"),"바우처통장 지출 — 목적 확인",IF($H1982="","적요를 적으십시오",""))))))))))))</f>
        <v/>
      </c>
      <c r="M1982" s="39"/>
      <c r="O1982" s="11" t="str">
        <f aca="false">IF($B1982="","",YEAR($B1982)*100+MONTH($B1982))</f>
        <v/>
      </c>
      <c r="P1982" s="11" t="str">
        <f aca="false">IF($B1982="","",IF($E1982="대체",0,1))</f>
        <v/>
      </c>
    </row>
    <row r="1983" customFormat="false" ht="15" hidden="false" customHeight="false" outlineLevel="0" collapsed="false">
      <c r="A1983" s="36" t="str">
        <f aca="false">IF($B1983="","",COUNT($B$15:$B1983))</f>
        <v/>
      </c>
      <c r="B1983" s="37"/>
      <c r="C1983" s="38"/>
      <c r="D1983" s="39"/>
      <c r="E1983" s="36" t="str">
        <f aca="false">IF($D1983="","",IFERROR(INDEX('통합 ④ 설정'!$A$6:$A$40,MATCH($D1983,'통합 ④ 설정'!$B$6:$B$40,0)),"※없는 과목"))</f>
        <v/>
      </c>
      <c r="F1983" s="36" t="str">
        <f aca="false">IF($D1983="","",IFERROR(INDEX('통합 ④ 설정'!$C$6:$C$40,MATCH($D1983,'통합 ④ 설정'!$B$6:$B$40,0)),""))</f>
        <v/>
      </c>
      <c r="G1983" s="39"/>
      <c r="H1983" s="39"/>
      <c r="I1983" s="40"/>
      <c r="J1983" s="41"/>
      <c r="K1983" s="38"/>
      <c r="L1983" s="42" t="str">
        <f aca="false">IF($B1983="","",IF(AND(N($I1983)=0,N($J1983)=0),"금액이 없습니다",IF(AND($I1983&gt;0,$J1983&gt;0),"수입·지출 둘 다 적혔습니다",IF($C1983="","결제수단을 고르십시오",IF(ISNA(MATCH($C1983,'통합 ③ 통장·카드'!$A$5:$A$11,0)),"③ 통장·카드에 없는 결제수단입니다",IF($D1983="","계정과목을 고르십시오",IF($E1983="※없는 과목","④ 설정에 없는 과목입니다",IF(AND($E1983="수입",$J1983&gt;0),"수입 과목인데 지출에 적혔습니다",IF(AND(LEFT($E1983,2)&lt;&gt;"수입",$E1983&lt;&gt;"대체",$I1983&gt;0),"지출 과목인데 수입에 적혔습니다",IF($K1983="","증빙을 고르십시오",IF(AND($C1983="바우처통장",$J1983&gt;0,IFERROR(INDEX('통합 ④ 설정'!$E$6:$E$40,MATCH($D1983,'통합 ④ 설정'!$B$6:$B$40,0)),"")&lt;&gt;"○"),"바우처통장 지출 — 목적 확인",IF($H1983="","적요를 적으십시오",""))))))))))))</f>
        <v/>
      </c>
      <c r="M1983" s="39"/>
      <c r="O1983" s="11" t="str">
        <f aca="false">IF($B1983="","",YEAR($B1983)*100+MONTH($B1983))</f>
        <v/>
      </c>
      <c r="P1983" s="11" t="str">
        <f aca="false">IF($B1983="","",IF($E1983="대체",0,1))</f>
        <v/>
      </c>
    </row>
    <row r="1984" customFormat="false" ht="15" hidden="false" customHeight="false" outlineLevel="0" collapsed="false">
      <c r="A1984" s="36" t="str">
        <f aca="false">IF($B1984="","",COUNT($B$15:$B1984))</f>
        <v/>
      </c>
      <c r="B1984" s="37"/>
      <c r="C1984" s="38"/>
      <c r="D1984" s="39"/>
      <c r="E1984" s="36" t="str">
        <f aca="false">IF($D1984="","",IFERROR(INDEX('통합 ④ 설정'!$A$6:$A$40,MATCH($D1984,'통합 ④ 설정'!$B$6:$B$40,0)),"※없는 과목"))</f>
        <v/>
      </c>
      <c r="F1984" s="36" t="str">
        <f aca="false">IF($D1984="","",IFERROR(INDEX('통합 ④ 설정'!$C$6:$C$40,MATCH($D1984,'통합 ④ 설정'!$B$6:$B$40,0)),""))</f>
        <v/>
      </c>
      <c r="G1984" s="39"/>
      <c r="H1984" s="39"/>
      <c r="I1984" s="40"/>
      <c r="J1984" s="41"/>
      <c r="K1984" s="38"/>
      <c r="L1984" s="42" t="str">
        <f aca="false">IF($B1984="","",IF(AND(N($I1984)=0,N($J1984)=0),"금액이 없습니다",IF(AND($I1984&gt;0,$J1984&gt;0),"수입·지출 둘 다 적혔습니다",IF($C1984="","결제수단을 고르십시오",IF(ISNA(MATCH($C1984,'통합 ③ 통장·카드'!$A$5:$A$11,0)),"③ 통장·카드에 없는 결제수단입니다",IF($D1984="","계정과목을 고르십시오",IF($E1984="※없는 과목","④ 설정에 없는 과목입니다",IF(AND($E1984="수입",$J1984&gt;0),"수입 과목인데 지출에 적혔습니다",IF(AND(LEFT($E1984,2)&lt;&gt;"수입",$E1984&lt;&gt;"대체",$I1984&gt;0),"지출 과목인데 수입에 적혔습니다",IF($K1984="","증빙을 고르십시오",IF(AND($C1984="바우처통장",$J1984&gt;0,IFERROR(INDEX('통합 ④ 설정'!$E$6:$E$40,MATCH($D1984,'통합 ④ 설정'!$B$6:$B$40,0)),"")&lt;&gt;"○"),"바우처통장 지출 — 목적 확인",IF($H1984="","적요를 적으십시오",""))))))))))))</f>
        <v/>
      </c>
      <c r="M1984" s="39"/>
      <c r="O1984" s="11" t="str">
        <f aca="false">IF($B1984="","",YEAR($B1984)*100+MONTH($B1984))</f>
        <v/>
      </c>
      <c r="P1984" s="11" t="str">
        <f aca="false">IF($B1984="","",IF($E1984="대체",0,1))</f>
        <v/>
      </c>
    </row>
    <row r="1985" customFormat="false" ht="15" hidden="false" customHeight="false" outlineLevel="0" collapsed="false">
      <c r="A1985" s="36" t="str">
        <f aca="false">IF($B1985="","",COUNT($B$15:$B1985))</f>
        <v/>
      </c>
      <c r="B1985" s="37"/>
      <c r="C1985" s="38"/>
      <c r="D1985" s="39"/>
      <c r="E1985" s="36" t="str">
        <f aca="false">IF($D1985="","",IFERROR(INDEX('통합 ④ 설정'!$A$6:$A$40,MATCH($D1985,'통합 ④ 설정'!$B$6:$B$40,0)),"※없는 과목"))</f>
        <v/>
      </c>
      <c r="F1985" s="36" t="str">
        <f aca="false">IF($D1985="","",IFERROR(INDEX('통합 ④ 설정'!$C$6:$C$40,MATCH($D1985,'통합 ④ 설정'!$B$6:$B$40,0)),""))</f>
        <v/>
      </c>
      <c r="G1985" s="39"/>
      <c r="H1985" s="39"/>
      <c r="I1985" s="40"/>
      <c r="J1985" s="41"/>
      <c r="K1985" s="38"/>
      <c r="L1985" s="42" t="str">
        <f aca="false">IF($B1985="","",IF(AND(N($I1985)=0,N($J1985)=0),"금액이 없습니다",IF(AND($I1985&gt;0,$J1985&gt;0),"수입·지출 둘 다 적혔습니다",IF($C1985="","결제수단을 고르십시오",IF(ISNA(MATCH($C1985,'통합 ③ 통장·카드'!$A$5:$A$11,0)),"③ 통장·카드에 없는 결제수단입니다",IF($D1985="","계정과목을 고르십시오",IF($E1985="※없는 과목","④ 설정에 없는 과목입니다",IF(AND($E1985="수입",$J1985&gt;0),"수입 과목인데 지출에 적혔습니다",IF(AND(LEFT($E1985,2)&lt;&gt;"수입",$E1985&lt;&gt;"대체",$I1985&gt;0),"지출 과목인데 수입에 적혔습니다",IF($K1985="","증빙을 고르십시오",IF(AND($C1985="바우처통장",$J1985&gt;0,IFERROR(INDEX('통합 ④ 설정'!$E$6:$E$40,MATCH($D1985,'통합 ④ 설정'!$B$6:$B$40,0)),"")&lt;&gt;"○"),"바우처통장 지출 — 목적 확인",IF($H1985="","적요를 적으십시오",""))))))))))))</f>
        <v/>
      </c>
      <c r="M1985" s="39"/>
      <c r="O1985" s="11" t="str">
        <f aca="false">IF($B1985="","",YEAR($B1985)*100+MONTH($B1985))</f>
        <v/>
      </c>
      <c r="P1985" s="11" t="str">
        <f aca="false">IF($B1985="","",IF($E1985="대체",0,1))</f>
        <v/>
      </c>
    </row>
    <row r="1986" customFormat="false" ht="15" hidden="false" customHeight="false" outlineLevel="0" collapsed="false">
      <c r="A1986" s="36" t="str">
        <f aca="false">IF($B1986="","",COUNT($B$15:$B1986))</f>
        <v/>
      </c>
      <c r="B1986" s="37"/>
      <c r="C1986" s="38"/>
      <c r="D1986" s="39"/>
      <c r="E1986" s="36" t="str">
        <f aca="false">IF($D1986="","",IFERROR(INDEX('통합 ④ 설정'!$A$6:$A$40,MATCH($D1986,'통합 ④ 설정'!$B$6:$B$40,0)),"※없는 과목"))</f>
        <v/>
      </c>
      <c r="F1986" s="36" t="str">
        <f aca="false">IF($D1986="","",IFERROR(INDEX('통합 ④ 설정'!$C$6:$C$40,MATCH($D1986,'통합 ④ 설정'!$B$6:$B$40,0)),""))</f>
        <v/>
      </c>
      <c r="G1986" s="39"/>
      <c r="H1986" s="39"/>
      <c r="I1986" s="40"/>
      <c r="J1986" s="41"/>
      <c r="K1986" s="38"/>
      <c r="L1986" s="42" t="str">
        <f aca="false">IF($B1986="","",IF(AND(N($I1986)=0,N($J1986)=0),"금액이 없습니다",IF(AND($I1986&gt;0,$J1986&gt;0),"수입·지출 둘 다 적혔습니다",IF($C1986="","결제수단을 고르십시오",IF(ISNA(MATCH($C1986,'통합 ③ 통장·카드'!$A$5:$A$11,0)),"③ 통장·카드에 없는 결제수단입니다",IF($D1986="","계정과목을 고르십시오",IF($E1986="※없는 과목","④ 설정에 없는 과목입니다",IF(AND($E1986="수입",$J1986&gt;0),"수입 과목인데 지출에 적혔습니다",IF(AND(LEFT($E1986,2)&lt;&gt;"수입",$E1986&lt;&gt;"대체",$I1986&gt;0),"지출 과목인데 수입에 적혔습니다",IF($K1986="","증빙을 고르십시오",IF(AND($C1986="바우처통장",$J1986&gt;0,IFERROR(INDEX('통합 ④ 설정'!$E$6:$E$40,MATCH($D1986,'통합 ④ 설정'!$B$6:$B$40,0)),"")&lt;&gt;"○"),"바우처통장 지출 — 목적 확인",IF($H1986="","적요를 적으십시오",""))))))))))))</f>
        <v/>
      </c>
      <c r="M1986" s="39"/>
      <c r="O1986" s="11" t="str">
        <f aca="false">IF($B1986="","",YEAR($B1986)*100+MONTH($B1986))</f>
        <v/>
      </c>
      <c r="P1986" s="11" t="str">
        <f aca="false">IF($B1986="","",IF($E1986="대체",0,1))</f>
        <v/>
      </c>
    </row>
    <row r="1987" customFormat="false" ht="15" hidden="false" customHeight="false" outlineLevel="0" collapsed="false">
      <c r="A1987" s="36" t="str">
        <f aca="false">IF($B1987="","",COUNT($B$15:$B1987))</f>
        <v/>
      </c>
      <c r="B1987" s="37"/>
      <c r="C1987" s="38"/>
      <c r="D1987" s="39"/>
      <c r="E1987" s="36" t="str">
        <f aca="false">IF($D1987="","",IFERROR(INDEX('통합 ④ 설정'!$A$6:$A$40,MATCH($D1987,'통합 ④ 설정'!$B$6:$B$40,0)),"※없는 과목"))</f>
        <v/>
      </c>
      <c r="F1987" s="36" t="str">
        <f aca="false">IF($D1987="","",IFERROR(INDEX('통합 ④ 설정'!$C$6:$C$40,MATCH($D1987,'통합 ④ 설정'!$B$6:$B$40,0)),""))</f>
        <v/>
      </c>
      <c r="G1987" s="39"/>
      <c r="H1987" s="39"/>
      <c r="I1987" s="40"/>
      <c r="J1987" s="41"/>
      <c r="K1987" s="38"/>
      <c r="L1987" s="42" t="str">
        <f aca="false">IF($B1987="","",IF(AND(N($I1987)=0,N($J1987)=0),"금액이 없습니다",IF(AND($I1987&gt;0,$J1987&gt;0),"수입·지출 둘 다 적혔습니다",IF($C1987="","결제수단을 고르십시오",IF(ISNA(MATCH($C1987,'통합 ③ 통장·카드'!$A$5:$A$11,0)),"③ 통장·카드에 없는 결제수단입니다",IF($D1987="","계정과목을 고르십시오",IF($E1987="※없는 과목","④ 설정에 없는 과목입니다",IF(AND($E1987="수입",$J1987&gt;0),"수입 과목인데 지출에 적혔습니다",IF(AND(LEFT($E1987,2)&lt;&gt;"수입",$E1987&lt;&gt;"대체",$I1987&gt;0),"지출 과목인데 수입에 적혔습니다",IF($K1987="","증빙을 고르십시오",IF(AND($C1987="바우처통장",$J1987&gt;0,IFERROR(INDEX('통합 ④ 설정'!$E$6:$E$40,MATCH($D1987,'통합 ④ 설정'!$B$6:$B$40,0)),"")&lt;&gt;"○"),"바우처통장 지출 — 목적 확인",IF($H1987="","적요를 적으십시오",""))))))))))))</f>
        <v/>
      </c>
      <c r="M1987" s="39"/>
      <c r="O1987" s="11" t="str">
        <f aca="false">IF($B1987="","",YEAR($B1987)*100+MONTH($B1987))</f>
        <v/>
      </c>
      <c r="P1987" s="11" t="str">
        <f aca="false">IF($B1987="","",IF($E1987="대체",0,1))</f>
        <v/>
      </c>
    </row>
    <row r="1988" customFormat="false" ht="15" hidden="false" customHeight="false" outlineLevel="0" collapsed="false">
      <c r="A1988" s="36" t="str">
        <f aca="false">IF($B1988="","",COUNT($B$15:$B1988))</f>
        <v/>
      </c>
      <c r="B1988" s="37"/>
      <c r="C1988" s="38"/>
      <c r="D1988" s="39"/>
      <c r="E1988" s="36" t="str">
        <f aca="false">IF($D1988="","",IFERROR(INDEX('통합 ④ 설정'!$A$6:$A$40,MATCH($D1988,'통합 ④ 설정'!$B$6:$B$40,0)),"※없는 과목"))</f>
        <v/>
      </c>
      <c r="F1988" s="36" t="str">
        <f aca="false">IF($D1988="","",IFERROR(INDEX('통합 ④ 설정'!$C$6:$C$40,MATCH($D1988,'통합 ④ 설정'!$B$6:$B$40,0)),""))</f>
        <v/>
      </c>
      <c r="G1988" s="39"/>
      <c r="H1988" s="39"/>
      <c r="I1988" s="40"/>
      <c r="J1988" s="41"/>
      <c r="K1988" s="38"/>
      <c r="L1988" s="42" t="str">
        <f aca="false">IF($B1988="","",IF(AND(N($I1988)=0,N($J1988)=0),"금액이 없습니다",IF(AND($I1988&gt;0,$J1988&gt;0),"수입·지출 둘 다 적혔습니다",IF($C1988="","결제수단을 고르십시오",IF(ISNA(MATCH($C1988,'통합 ③ 통장·카드'!$A$5:$A$11,0)),"③ 통장·카드에 없는 결제수단입니다",IF($D1988="","계정과목을 고르십시오",IF($E1988="※없는 과목","④ 설정에 없는 과목입니다",IF(AND($E1988="수입",$J1988&gt;0),"수입 과목인데 지출에 적혔습니다",IF(AND(LEFT($E1988,2)&lt;&gt;"수입",$E1988&lt;&gt;"대체",$I1988&gt;0),"지출 과목인데 수입에 적혔습니다",IF($K1988="","증빙을 고르십시오",IF(AND($C1988="바우처통장",$J1988&gt;0,IFERROR(INDEX('통합 ④ 설정'!$E$6:$E$40,MATCH($D1988,'통합 ④ 설정'!$B$6:$B$40,0)),"")&lt;&gt;"○"),"바우처통장 지출 — 목적 확인",IF($H1988="","적요를 적으십시오",""))))))))))))</f>
        <v/>
      </c>
      <c r="M1988" s="39"/>
      <c r="O1988" s="11" t="str">
        <f aca="false">IF($B1988="","",YEAR($B1988)*100+MONTH($B1988))</f>
        <v/>
      </c>
      <c r="P1988" s="11" t="str">
        <f aca="false">IF($B1988="","",IF($E1988="대체",0,1))</f>
        <v/>
      </c>
    </row>
    <row r="1989" customFormat="false" ht="15" hidden="false" customHeight="false" outlineLevel="0" collapsed="false">
      <c r="A1989" s="36" t="str">
        <f aca="false">IF($B1989="","",COUNT($B$15:$B1989))</f>
        <v/>
      </c>
      <c r="B1989" s="37"/>
      <c r="C1989" s="38"/>
      <c r="D1989" s="39"/>
      <c r="E1989" s="36" t="str">
        <f aca="false">IF($D1989="","",IFERROR(INDEX('통합 ④ 설정'!$A$6:$A$40,MATCH($D1989,'통합 ④ 설정'!$B$6:$B$40,0)),"※없는 과목"))</f>
        <v/>
      </c>
      <c r="F1989" s="36" t="str">
        <f aca="false">IF($D1989="","",IFERROR(INDEX('통합 ④ 설정'!$C$6:$C$40,MATCH($D1989,'통합 ④ 설정'!$B$6:$B$40,0)),""))</f>
        <v/>
      </c>
      <c r="G1989" s="39"/>
      <c r="H1989" s="39"/>
      <c r="I1989" s="40"/>
      <c r="J1989" s="41"/>
      <c r="K1989" s="38"/>
      <c r="L1989" s="42" t="str">
        <f aca="false">IF($B1989="","",IF(AND(N($I1989)=0,N($J1989)=0),"금액이 없습니다",IF(AND($I1989&gt;0,$J1989&gt;0),"수입·지출 둘 다 적혔습니다",IF($C1989="","결제수단을 고르십시오",IF(ISNA(MATCH($C1989,'통합 ③ 통장·카드'!$A$5:$A$11,0)),"③ 통장·카드에 없는 결제수단입니다",IF($D1989="","계정과목을 고르십시오",IF($E1989="※없는 과목","④ 설정에 없는 과목입니다",IF(AND($E1989="수입",$J1989&gt;0),"수입 과목인데 지출에 적혔습니다",IF(AND(LEFT($E1989,2)&lt;&gt;"수입",$E1989&lt;&gt;"대체",$I1989&gt;0),"지출 과목인데 수입에 적혔습니다",IF($K1989="","증빙을 고르십시오",IF(AND($C1989="바우처통장",$J1989&gt;0,IFERROR(INDEX('통합 ④ 설정'!$E$6:$E$40,MATCH($D1989,'통합 ④ 설정'!$B$6:$B$40,0)),"")&lt;&gt;"○"),"바우처통장 지출 — 목적 확인",IF($H1989="","적요를 적으십시오",""))))))))))))</f>
        <v/>
      </c>
      <c r="M1989" s="39"/>
      <c r="O1989" s="11" t="str">
        <f aca="false">IF($B1989="","",YEAR($B1989)*100+MONTH($B1989))</f>
        <v/>
      </c>
      <c r="P1989" s="11" t="str">
        <f aca="false">IF($B1989="","",IF($E1989="대체",0,1))</f>
        <v/>
      </c>
    </row>
    <row r="1990" customFormat="false" ht="15" hidden="false" customHeight="false" outlineLevel="0" collapsed="false">
      <c r="A1990" s="36" t="str">
        <f aca="false">IF($B1990="","",COUNT($B$15:$B1990))</f>
        <v/>
      </c>
      <c r="B1990" s="37"/>
      <c r="C1990" s="38"/>
      <c r="D1990" s="39"/>
      <c r="E1990" s="36" t="str">
        <f aca="false">IF($D1990="","",IFERROR(INDEX('통합 ④ 설정'!$A$6:$A$40,MATCH($D1990,'통합 ④ 설정'!$B$6:$B$40,0)),"※없는 과목"))</f>
        <v/>
      </c>
      <c r="F1990" s="36" t="str">
        <f aca="false">IF($D1990="","",IFERROR(INDEX('통합 ④ 설정'!$C$6:$C$40,MATCH($D1990,'통합 ④ 설정'!$B$6:$B$40,0)),""))</f>
        <v/>
      </c>
      <c r="G1990" s="39"/>
      <c r="H1990" s="39"/>
      <c r="I1990" s="40"/>
      <c r="J1990" s="41"/>
      <c r="K1990" s="38"/>
      <c r="L1990" s="42" t="str">
        <f aca="false">IF($B1990="","",IF(AND(N($I1990)=0,N($J1990)=0),"금액이 없습니다",IF(AND($I1990&gt;0,$J1990&gt;0),"수입·지출 둘 다 적혔습니다",IF($C1990="","결제수단을 고르십시오",IF(ISNA(MATCH($C1990,'통합 ③ 통장·카드'!$A$5:$A$11,0)),"③ 통장·카드에 없는 결제수단입니다",IF($D1990="","계정과목을 고르십시오",IF($E1990="※없는 과목","④ 설정에 없는 과목입니다",IF(AND($E1990="수입",$J1990&gt;0),"수입 과목인데 지출에 적혔습니다",IF(AND(LEFT($E1990,2)&lt;&gt;"수입",$E1990&lt;&gt;"대체",$I1990&gt;0),"지출 과목인데 수입에 적혔습니다",IF($K1990="","증빙을 고르십시오",IF(AND($C1990="바우처통장",$J1990&gt;0,IFERROR(INDEX('통합 ④ 설정'!$E$6:$E$40,MATCH($D1990,'통합 ④ 설정'!$B$6:$B$40,0)),"")&lt;&gt;"○"),"바우처통장 지출 — 목적 확인",IF($H1990="","적요를 적으십시오",""))))))))))))</f>
        <v/>
      </c>
      <c r="M1990" s="39"/>
      <c r="O1990" s="11" t="str">
        <f aca="false">IF($B1990="","",YEAR($B1990)*100+MONTH($B1990))</f>
        <v/>
      </c>
      <c r="P1990" s="11" t="str">
        <f aca="false">IF($B1990="","",IF($E1990="대체",0,1))</f>
        <v/>
      </c>
    </row>
    <row r="1991" customFormat="false" ht="15" hidden="false" customHeight="false" outlineLevel="0" collapsed="false">
      <c r="A1991" s="36" t="str">
        <f aca="false">IF($B1991="","",COUNT($B$15:$B1991))</f>
        <v/>
      </c>
      <c r="B1991" s="37"/>
      <c r="C1991" s="38"/>
      <c r="D1991" s="39"/>
      <c r="E1991" s="36" t="str">
        <f aca="false">IF($D1991="","",IFERROR(INDEX('통합 ④ 설정'!$A$6:$A$40,MATCH($D1991,'통합 ④ 설정'!$B$6:$B$40,0)),"※없는 과목"))</f>
        <v/>
      </c>
      <c r="F1991" s="36" t="str">
        <f aca="false">IF($D1991="","",IFERROR(INDEX('통합 ④ 설정'!$C$6:$C$40,MATCH($D1991,'통합 ④ 설정'!$B$6:$B$40,0)),""))</f>
        <v/>
      </c>
      <c r="G1991" s="39"/>
      <c r="H1991" s="39"/>
      <c r="I1991" s="40"/>
      <c r="J1991" s="41"/>
      <c r="K1991" s="38"/>
      <c r="L1991" s="42" t="str">
        <f aca="false">IF($B1991="","",IF(AND(N($I1991)=0,N($J1991)=0),"금액이 없습니다",IF(AND($I1991&gt;0,$J1991&gt;0),"수입·지출 둘 다 적혔습니다",IF($C1991="","결제수단을 고르십시오",IF(ISNA(MATCH($C1991,'통합 ③ 통장·카드'!$A$5:$A$11,0)),"③ 통장·카드에 없는 결제수단입니다",IF($D1991="","계정과목을 고르십시오",IF($E1991="※없는 과목","④ 설정에 없는 과목입니다",IF(AND($E1991="수입",$J1991&gt;0),"수입 과목인데 지출에 적혔습니다",IF(AND(LEFT($E1991,2)&lt;&gt;"수입",$E1991&lt;&gt;"대체",$I1991&gt;0),"지출 과목인데 수입에 적혔습니다",IF($K1991="","증빙을 고르십시오",IF(AND($C1991="바우처통장",$J1991&gt;0,IFERROR(INDEX('통합 ④ 설정'!$E$6:$E$40,MATCH($D1991,'통합 ④ 설정'!$B$6:$B$40,0)),"")&lt;&gt;"○"),"바우처통장 지출 — 목적 확인",IF($H1991="","적요를 적으십시오",""))))))))))))</f>
        <v/>
      </c>
      <c r="M1991" s="39"/>
      <c r="O1991" s="11" t="str">
        <f aca="false">IF($B1991="","",YEAR($B1991)*100+MONTH($B1991))</f>
        <v/>
      </c>
      <c r="P1991" s="11" t="str">
        <f aca="false">IF($B1991="","",IF($E1991="대체",0,1))</f>
        <v/>
      </c>
    </row>
    <row r="1992" customFormat="false" ht="15" hidden="false" customHeight="false" outlineLevel="0" collapsed="false">
      <c r="A1992" s="36" t="str">
        <f aca="false">IF($B1992="","",COUNT($B$15:$B1992))</f>
        <v/>
      </c>
      <c r="B1992" s="37"/>
      <c r="C1992" s="38"/>
      <c r="D1992" s="39"/>
      <c r="E1992" s="36" t="str">
        <f aca="false">IF($D1992="","",IFERROR(INDEX('통합 ④ 설정'!$A$6:$A$40,MATCH($D1992,'통합 ④ 설정'!$B$6:$B$40,0)),"※없는 과목"))</f>
        <v/>
      </c>
      <c r="F1992" s="36" t="str">
        <f aca="false">IF($D1992="","",IFERROR(INDEX('통합 ④ 설정'!$C$6:$C$40,MATCH($D1992,'통합 ④ 설정'!$B$6:$B$40,0)),""))</f>
        <v/>
      </c>
      <c r="G1992" s="39"/>
      <c r="H1992" s="39"/>
      <c r="I1992" s="40"/>
      <c r="J1992" s="41"/>
      <c r="K1992" s="38"/>
      <c r="L1992" s="42" t="str">
        <f aca="false">IF($B1992="","",IF(AND(N($I1992)=0,N($J1992)=0),"금액이 없습니다",IF(AND($I1992&gt;0,$J1992&gt;0),"수입·지출 둘 다 적혔습니다",IF($C1992="","결제수단을 고르십시오",IF(ISNA(MATCH($C1992,'통합 ③ 통장·카드'!$A$5:$A$11,0)),"③ 통장·카드에 없는 결제수단입니다",IF($D1992="","계정과목을 고르십시오",IF($E1992="※없는 과목","④ 설정에 없는 과목입니다",IF(AND($E1992="수입",$J1992&gt;0),"수입 과목인데 지출에 적혔습니다",IF(AND(LEFT($E1992,2)&lt;&gt;"수입",$E1992&lt;&gt;"대체",$I1992&gt;0),"지출 과목인데 수입에 적혔습니다",IF($K1992="","증빙을 고르십시오",IF(AND($C1992="바우처통장",$J1992&gt;0,IFERROR(INDEX('통합 ④ 설정'!$E$6:$E$40,MATCH($D1992,'통합 ④ 설정'!$B$6:$B$40,0)),"")&lt;&gt;"○"),"바우처통장 지출 — 목적 확인",IF($H1992="","적요를 적으십시오",""))))))))))))</f>
        <v/>
      </c>
      <c r="M1992" s="39"/>
      <c r="O1992" s="11" t="str">
        <f aca="false">IF($B1992="","",YEAR($B1992)*100+MONTH($B1992))</f>
        <v/>
      </c>
      <c r="P1992" s="11" t="str">
        <f aca="false">IF($B1992="","",IF($E1992="대체",0,1))</f>
        <v/>
      </c>
    </row>
    <row r="1993" customFormat="false" ht="15" hidden="false" customHeight="false" outlineLevel="0" collapsed="false">
      <c r="A1993" s="36" t="str">
        <f aca="false">IF($B1993="","",COUNT($B$15:$B1993))</f>
        <v/>
      </c>
      <c r="B1993" s="37"/>
      <c r="C1993" s="38"/>
      <c r="D1993" s="39"/>
      <c r="E1993" s="36" t="str">
        <f aca="false">IF($D1993="","",IFERROR(INDEX('통합 ④ 설정'!$A$6:$A$40,MATCH($D1993,'통합 ④ 설정'!$B$6:$B$40,0)),"※없는 과목"))</f>
        <v/>
      </c>
      <c r="F1993" s="36" t="str">
        <f aca="false">IF($D1993="","",IFERROR(INDEX('통합 ④ 설정'!$C$6:$C$40,MATCH($D1993,'통합 ④ 설정'!$B$6:$B$40,0)),""))</f>
        <v/>
      </c>
      <c r="G1993" s="39"/>
      <c r="H1993" s="39"/>
      <c r="I1993" s="40"/>
      <c r="J1993" s="41"/>
      <c r="K1993" s="38"/>
      <c r="L1993" s="42" t="str">
        <f aca="false">IF($B1993="","",IF(AND(N($I1993)=0,N($J1993)=0),"금액이 없습니다",IF(AND($I1993&gt;0,$J1993&gt;0),"수입·지출 둘 다 적혔습니다",IF($C1993="","결제수단을 고르십시오",IF(ISNA(MATCH($C1993,'통합 ③ 통장·카드'!$A$5:$A$11,0)),"③ 통장·카드에 없는 결제수단입니다",IF($D1993="","계정과목을 고르십시오",IF($E1993="※없는 과목","④ 설정에 없는 과목입니다",IF(AND($E1993="수입",$J1993&gt;0),"수입 과목인데 지출에 적혔습니다",IF(AND(LEFT($E1993,2)&lt;&gt;"수입",$E1993&lt;&gt;"대체",$I1993&gt;0),"지출 과목인데 수입에 적혔습니다",IF($K1993="","증빙을 고르십시오",IF(AND($C1993="바우처통장",$J1993&gt;0,IFERROR(INDEX('통합 ④ 설정'!$E$6:$E$40,MATCH($D1993,'통합 ④ 설정'!$B$6:$B$40,0)),"")&lt;&gt;"○"),"바우처통장 지출 — 목적 확인",IF($H1993="","적요를 적으십시오",""))))))))))))</f>
        <v/>
      </c>
      <c r="M1993" s="39"/>
      <c r="O1993" s="11" t="str">
        <f aca="false">IF($B1993="","",YEAR($B1993)*100+MONTH($B1993))</f>
        <v/>
      </c>
      <c r="P1993" s="11" t="str">
        <f aca="false">IF($B1993="","",IF($E1993="대체",0,1))</f>
        <v/>
      </c>
    </row>
    <row r="1994" customFormat="false" ht="15" hidden="false" customHeight="false" outlineLevel="0" collapsed="false">
      <c r="A1994" s="36" t="str">
        <f aca="false">IF($B1994="","",COUNT($B$15:$B1994))</f>
        <v/>
      </c>
      <c r="B1994" s="37"/>
      <c r="C1994" s="38"/>
      <c r="D1994" s="39"/>
      <c r="E1994" s="36" t="str">
        <f aca="false">IF($D1994="","",IFERROR(INDEX('통합 ④ 설정'!$A$6:$A$40,MATCH($D1994,'통합 ④ 설정'!$B$6:$B$40,0)),"※없는 과목"))</f>
        <v/>
      </c>
      <c r="F1994" s="36" t="str">
        <f aca="false">IF($D1994="","",IFERROR(INDEX('통합 ④ 설정'!$C$6:$C$40,MATCH($D1994,'통합 ④ 설정'!$B$6:$B$40,0)),""))</f>
        <v/>
      </c>
      <c r="G1994" s="39"/>
      <c r="H1994" s="39"/>
      <c r="I1994" s="40"/>
      <c r="J1994" s="41"/>
      <c r="K1994" s="38"/>
      <c r="L1994" s="42" t="str">
        <f aca="false">IF($B1994="","",IF(AND(N($I1994)=0,N($J1994)=0),"금액이 없습니다",IF(AND($I1994&gt;0,$J1994&gt;0),"수입·지출 둘 다 적혔습니다",IF($C1994="","결제수단을 고르십시오",IF(ISNA(MATCH($C1994,'통합 ③ 통장·카드'!$A$5:$A$11,0)),"③ 통장·카드에 없는 결제수단입니다",IF($D1994="","계정과목을 고르십시오",IF($E1994="※없는 과목","④ 설정에 없는 과목입니다",IF(AND($E1994="수입",$J1994&gt;0),"수입 과목인데 지출에 적혔습니다",IF(AND(LEFT($E1994,2)&lt;&gt;"수입",$E1994&lt;&gt;"대체",$I1994&gt;0),"지출 과목인데 수입에 적혔습니다",IF($K1994="","증빙을 고르십시오",IF(AND($C1994="바우처통장",$J1994&gt;0,IFERROR(INDEX('통합 ④ 설정'!$E$6:$E$40,MATCH($D1994,'통합 ④ 설정'!$B$6:$B$40,0)),"")&lt;&gt;"○"),"바우처통장 지출 — 목적 확인",IF($H1994="","적요를 적으십시오",""))))))))))))</f>
        <v/>
      </c>
      <c r="M1994" s="39"/>
      <c r="O1994" s="11" t="str">
        <f aca="false">IF($B1994="","",YEAR($B1994)*100+MONTH($B1994))</f>
        <v/>
      </c>
      <c r="P1994" s="11" t="str">
        <f aca="false">IF($B1994="","",IF($E1994="대체",0,1))</f>
        <v/>
      </c>
    </row>
    <row r="1995" customFormat="false" ht="15" hidden="false" customHeight="false" outlineLevel="0" collapsed="false">
      <c r="A1995" s="36" t="str">
        <f aca="false">IF($B1995="","",COUNT($B$15:$B1995))</f>
        <v/>
      </c>
      <c r="B1995" s="37"/>
      <c r="C1995" s="38"/>
      <c r="D1995" s="39"/>
      <c r="E1995" s="36" t="str">
        <f aca="false">IF($D1995="","",IFERROR(INDEX('통합 ④ 설정'!$A$6:$A$40,MATCH($D1995,'통합 ④ 설정'!$B$6:$B$40,0)),"※없는 과목"))</f>
        <v/>
      </c>
      <c r="F1995" s="36" t="str">
        <f aca="false">IF($D1995="","",IFERROR(INDEX('통합 ④ 설정'!$C$6:$C$40,MATCH($D1995,'통합 ④ 설정'!$B$6:$B$40,0)),""))</f>
        <v/>
      </c>
      <c r="G1995" s="39"/>
      <c r="H1995" s="39"/>
      <c r="I1995" s="40"/>
      <c r="J1995" s="41"/>
      <c r="K1995" s="38"/>
      <c r="L1995" s="42" t="str">
        <f aca="false">IF($B1995="","",IF(AND(N($I1995)=0,N($J1995)=0),"금액이 없습니다",IF(AND($I1995&gt;0,$J1995&gt;0),"수입·지출 둘 다 적혔습니다",IF($C1995="","결제수단을 고르십시오",IF(ISNA(MATCH($C1995,'통합 ③ 통장·카드'!$A$5:$A$11,0)),"③ 통장·카드에 없는 결제수단입니다",IF($D1995="","계정과목을 고르십시오",IF($E1995="※없는 과목","④ 설정에 없는 과목입니다",IF(AND($E1995="수입",$J1995&gt;0),"수입 과목인데 지출에 적혔습니다",IF(AND(LEFT($E1995,2)&lt;&gt;"수입",$E1995&lt;&gt;"대체",$I1995&gt;0),"지출 과목인데 수입에 적혔습니다",IF($K1995="","증빙을 고르십시오",IF(AND($C1995="바우처통장",$J1995&gt;0,IFERROR(INDEX('통합 ④ 설정'!$E$6:$E$40,MATCH($D1995,'통합 ④ 설정'!$B$6:$B$40,0)),"")&lt;&gt;"○"),"바우처통장 지출 — 목적 확인",IF($H1995="","적요를 적으십시오",""))))))))))))</f>
        <v/>
      </c>
      <c r="M1995" s="39"/>
      <c r="O1995" s="11" t="str">
        <f aca="false">IF($B1995="","",YEAR($B1995)*100+MONTH($B1995))</f>
        <v/>
      </c>
      <c r="P1995" s="11" t="str">
        <f aca="false">IF($B1995="","",IF($E1995="대체",0,1))</f>
        <v/>
      </c>
    </row>
    <row r="1996" customFormat="false" ht="15" hidden="false" customHeight="false" outlineLevel="0" collapsed="false">
      <c r="A1996" s="36" t="str">
        <f aca="false">IF($B1996="","",COUNT($B$15:$B1996))</f>
        <v/>
      </c>
      <c r="B1996" s="37"/>
      <c r="C1996" s="38"/>
      <c r="D1996" s="39"/>
      <c r="E1996" s="36" t="str">
        <f aca="false">IF($D1996="","",IFERROR(INDEX('통합 ④ 설정'!$A$6:$A$40,MATCH($D1996,'통합 ④ 설정'!$B$6:$B$40,0)),"※없는 과목"))</f>
        <v/>
      </c>
      <c r="F1996" s="36" t="str">
        <f aca="false">IF($D1996="","",IFERROR(INDEX('통합 ④ 설정'!$C$6:$C$40,MATCH($D1996,'통합 ④ 설정'!$B$6:$B$40,0)),""))</f>
        <v/>
      </c>
      <c r="G1996" s="39"/>
      <c r="H1996" s="39"/>
      <c r="I1996" s="40"/>
      <c r="J1996" s="41"/>
      <c r="K1996" s="38"/>
      <c r="L1996" s="42" t="str">
        <f aca="false">IF($B1996="","",IF(AND(N($I1996)=0,N($J1996)=0),"금액이 없습니다",IF(AND($I1996&gt;0,$J1996&gt;0),"수입·지출 둘 다 적혔습니다",IF($C1996="","결제수단을 고르십시오",IF(ISNA(MATCH($C1996,'통합 ③ 통장·카드'!$A$5:$A$11,0)),"③ 통장·카드에 없는 결제수단입니다",IF($D1996="","계정과목을 고르십시오",IF($E1996="※없는 과목","④ 설정에 없는 과목입니다",IF(AND($E1996="수입",$J1996&gt;0),"수입 과목인데 지출에 적혔습니다",IF(AND(LEFT($E1996,2)&lt;&gt;"수입",$E1996&lt;&gt;"대체",$I1996&gt;0),"지출 과목인데 수입에 적혔습니다",IF($K1996="","증빙을 고르십시오",IF(AND($C1996="바우처통장",$J1996&gt;0,IFERROR(INDEX('통합 ④ 설정'!$E$6:$E$40,MATCH($D1996,'통합 ④ 설정'!$B$6:$B$40,0)),"")&lt;&gt;"○"),"바우처통장 지출 — 목적 확인",IF($H1996="","적요를 적으십시오",""))))))))))))</f>
        <v/>
      </c>
      <c r="M1996" s="39"/>
      <c r="O1996" s="11" t="str">
        <f aca="false">IF($B1996="","",YEAR($B1996)*100+MONTH($B1996))</f>
        <v/>
      </c>
      <c r="P1996" s="11" t="str">
        <f aca="false">IF($B1996="","",IF($E1996="대체",0,1))</f>
        <v/>
      </c>
    </row>
    <row r="1997" customFormat="false" ht="15" hidden="false" customHeight="false" outlineLevel="0" collapsed="false">
      <c r="A1997" s="36" t="str">
        <f aca="false">IF($B1997="","",COUNT($B$15:$B1997))</f>
        <v/>
      </c>
      <c r="B1997" s="37"/>
      <c r="C1997" s="38"/>
      <c r="D1997" s="39"/>
      <c r="E1997" s="36" t="str">
        <f aca="false">IF($D1997="","",IFERROR(INDEX('통합 ④ 설정'!$A$6:$A$40,MATCH($D1997,'통합 ④ 설정'!$B$6:$B$40,0)),"※없는 과목"))</f>
        <v/>
      </c>
      <c r="F1997" s="36" t="str">
        <f aca="false">IF($D1997="","",IFERROR(INDEX('통합 ④ 설정'!$C$6:$C$40,MATCH($D1997,'통합 ④ 설정'!$B$6:$B$40,0)),""))</f>
        <v/>
      </c>
      <c r="G1997" s="39"/>
      <c r="H1997" s="39"/>
      <c r="I1997" s="40"/>
      <c r="J1997" s="41"/>
      <c r="K1997" s="38"/>
      <c r="L1997" s="42" t="str">
        <f aca="false">IF($B1997="","",IF(AND(N($I1997)=0,N($J1997)=0),"금액이 없습니다",IF(AND($I1997&gt;0,$J1997&gt;0),"수입·지출 둘 다 적혔습니다",IF($C1997="","결제수단을 고르십시오",IF(ISNA(MATCH($C1997,'통합 ③ 통장·카드'!$A$5:$A$11,0)),"③ 통장·카드에 없는 결제수단입니다",IF($D1997="","계정과목을 고르십시오",IF($E1997="※없는 과목","④ 설정에 없는 과목입니다",IF(AND($E1997="수입",$J1997&gt;0),"수입 과목인데 지출에 적혔습니다",IF(AND(LEFT($E1997,2)&lt;&gt;"수입",$E1997&lt;&gt;"대체",$I1997&gt;0),"지출 과목인데 수입에 적혔습니다",IF($K1997="","증빙을 고르십시오",IF(AND($C1997="바우처통장",$J1997&gt;0,IFERROR(INDEX('통합 ④ 설정'!$E$6:$E$40,MATCH($D1997,'통합 ④ 설정'!$B$6:$B$40,0)),"")&lt;&gt;"○"),"바우처통장 지출 — 목적 확인",IF($H1997="","적요를 적으십시오",""))))))))))))</f>
        <v/>
      </c>
      <c r="M1997" s="39"/>
      <c r="O1997" s="11" t="str">
        <f aca="false">IF($B1997="","",YEAR($B1997)*100+MONTH($B1997))</f>
        <v/>
      </c>
      <c r="P1997" s="11" t="str">
        <f aca="false">IF($B1997="","",IF($E1997="대체",0,1))</f>
        <v/>
      </c>
    </row>
    <row r="1998" customFormat="false" ht="15" hidden="false" customHeight="false" outlineLevel="0" collapsed="false">
      <c r="A1998" s="36" t="str">
        <f aca="false">IF($B1998="","",COUNT($B$15:$B1998))</f>
        <v/>
      </c>
      <c r="B1998" s="37"/>
      <c r="C1998" s="38"/>
      <c r="D1998" s="39"/>
      <c r="E1998" s="36" t="str">
        <f aca="false">IF($D1998="","",IFERROR(INDEX('통합 ④ 설정'!$A$6:$A$40,MATCH($D1998,'통합 ④ 설정'!$B$6:$B$40,0)),"※없는 과목"))</f>
        <v/>
      </c>
      <c r="F1998" s="36" t="str">
        <f aca="false">IF($D1998="","",IFERROR(INDEX('통합 ④ 설정'!$C$6:$C$40,MATCH($D1998,'통합 ④ 설정'!$B$6:$B$40,0)),""))</f>
        <v/>
      </c>
      <c r="G1998" s="39"/>
      <c r="H1998" s="39"/>
      <c r="I1998" s="40"/>
      <c r="J1998" s="41"/>
      <c r="K1998" s="38"/>
      <c r="L1998" s="42" t="str">
        <f aca="false">IF($B1998="","",IF(AND(N($I1998)=0,N($J1998)=0),"금액이 없습니다",IF(AND($I1998&gt;0,$J1998&gt;0),"수입·지출 둘 다 적혔습니다",IF($C1998="","결제수단을 고르십시오",IF(ISNA(MATCH($C1998,'통합 ③ 통장·카드'!$A$5:$A$11,0)),"③ 통장·카드에 없는 결제수단입니다",IF($D1998="","계정과목을 고르십시오",IF($E1998="※없는 과목","④ 설정에 없는 과목입니다",IF(AND($E1998="수입",$J1998&gt;0),"수입 과목인데 지출에 적혔습니다",IF(AND(LEFT($E1998,2)&lt;&gt;"수입",$E1998&lt;&gt;"대체",$I1998&gt;0),"지출 과목인데 수입에 적혔습니다",IF($K1998="","증빙을 고르십시오",IF(AND($C1998="바우처통장",$J1998&gt;0,IFERROR(INDEX('통합 ④ 설정'!$E$6:$E$40,MATCH($D1998,'통합 ④ 설정'!$B$6:$B$40,0)),"")&lt;&gt;"○"),"바우처통장 지출 — 목적 확인",IF($H1998="","적요를 적으십시오",""))))))))))))</f>
        <v/>
      </c>
      <c r="M1998" s="39"/>
      <c r="O1998" s="11" t="str">
        <f aca="false">IF($B1998="","",YEAR($B1998)*100+MONTH($B1998))</f>
        <v/>
      </c>
      <c r="P1998" s="11" t="str">
        <f aca="false">IF($B1998="","",IF($E1998="대체",0,1))</f>
        <v/>
      </c>
    </row>
    <row r="1999" customFormat="false" ht="15" hidden="false" customHeight="false" outlineLevel="0" collapsed="false">
      <c r="A1999" s="36" t="str">
        <f aca="false">IF($B1999="","",COUNT($B$15:$B1999))</f>
        <v/>
      </c>
      <c r="B1999" s="37"/>
      <c r="C1999" s="38"/>
      <c r="D1999" s="39"/>
      <c r="E1999" s="36" t="str">
        <f aca="false">IF($D1999="","",IFERROR(INDEX('통합 ④ 설정'!$A$6:$A$40,MATCH($D1999,'통합 ④ 설정'!$B$6:$B$40,0)),"※없는 과목"))</f>
        <v/>
      </c>
      <c r="F1999" s="36" t="str">
        <f aca="false">IF($D1999="","",IFERROR(INDEX('통합 ④ 설정'!$C$6:$C$40,MATCH($D1999,'통합 ④ 설정'!$B$6:$B$40,0)),""))</f>
        <v/>
      </c>
      <c r="G1999" s="39"/>
      <c r="H1999" s="39"/>
      <c r="I1999" s="40"/>
      <c r="J1999" s="41"/>
      <c r="K1999" s="38"/>
      <c r="L1999" s="42" t="str">
        <f aca="false">IF($B1999="","",IF(AND(N($I1999)=0,N($J1999)=0),"금액이 없습니다",IF(AND($I1999&gt;0,$J1999&gt;0),"수입·지출 둘 다 적혔습니다",IF($C1999="","결제수단을 고르십시오",IF(ISNA(MATCH($C1999,'통합 ③ 통장·카드'!$A$5:$A$11,0)),"③ 통장·카드에 없는 결제수단입니다",IF($D1999="","계정과목을 고르십시오",IF($E1999="※없는 과목","④ 설정에 없는 과목입니다",IF(AND($E1999="수입",$J1999&gt;0),"수입 과목인데 지출에 적혔습니다",IF(AND(LEFT($E1999,2)&lt;&gt;"수입",$E1999&lt;&gt;"대체",$I1999&gt;0),"지출 과목인데 수입에 적혔습니다",IF($K1999="","증빙을 고르십시오",IF(AND($C1999="바우처통장",$J1999&gt;0,IFERROR(INDEX('통합 ④ 설정'!$E$6:$E$40,MATCH($D1999,'통합 ④ 설정'!$B$6:$B$40,0)),"")&lt;&gt;"○"),"바우처통장 지출 — 목적 확인",IF($H1999="","적요를 적으십시오",""))))))))))))</f>
        <v/>
      </c>
      <c r="M1999" s="39"/>
      <c r="O1999" s="11" t="str">
        <f aca="false">IF($B1999="","",YEAR($B1999)*100+MONTH($B1999))</f>
        <v/>
      </c>
      <c r="P1999" s="11" t="str">
        <f aca="false">IF($B1999="","",IF($E1999="대체",0,1))</f>
        <v/>
      </c>
    </row>
    <row r="2000" customFormat="false" ht="15" hidden="false" customHeight="false" outlineLevel="0" collapsed="false">
      <c r="A2000" s="36" t="str">
        <f aca="false">IF($B2000="","",COUNT($B$15:$B2000))</f>
        <v/>
      </c>
      <c r="B2000" s="37"/>
      <c r="C2000" s="38"/>
      <c r="D2000" s="39"/>
      <c r="E2000" s="36" t="str">
        <f aca="false">IF($D2000="","",IFERROR(INDEX('통합 ④ 설정'!$A$6:$A$40,MATCH($D2000,'통합 ④ 설정'!$B$6:$B$40,0)),"※없는 과목"))</f>
        <v/>
      </c>
      <c r="F2000" s="36" t="str">
        <f aca="false">IF($D2000="","",IFERROR(INDEX('통합 ④ 설정'!$C$6:$C$40,MATCH($D2000,'통합 ④ 설정'!$B$6:$B$40,0)),""))</f>
        <v/>
      </c>
      <c r="G2000" s="39"/>
      <c r="H2000" s="39"/>
      <c r="I2000" s="40"/>
      <c r="J2000" s="41"/>
      <c r="K2000" s="38"/>
      <c r="L2000" s="42" t="str">
        <f aca="false">IF($B2000="","",IF(AND(N($I2000)=0,N($J2000)=0),"금액이 없습니다",IF(AND($I2000&gt;0,$J2000&gt;0),"수입·지출 둘 다 적혔습니다",IF($C2000="","결제수단을 고르십시오",IF(ISNA(MATCH($C2000,'통합 ③ 통장·카드'!$A$5:$A$11,0)),"③ 통장·카드에 없는 결제수단입니다",IF($D2000="","계정과목을 고르십시오",IF($E2000="※없는 과목","④ 설정에 없는 과목입니다",IF(AND($E2000="수입",$J2000&gt;0),"수입 과목인데 지출에 적혔습니다",IF(AND(LEFT($E2000,2)&lt;&gt;"수입",$E2000&lt;&gt;"대체",$I2000&gt;0),"지출 과목인데 수입에 적혔습니다",IF($K2000="","증빙을 고르십시오",IF(AND($C2000="바우처통장",$J2000&gt;0,IFERROR(INDEX('통합 ④ 설정'!$E$6:$E$40,MATCH($D2000,'통합 ④ 설정'!$B$6:$B$40,0)),"")&lt;&gt;"○"),"바우처통장 지출 — 목적 확인",IF($H2000="","적요를 적으십시오",""))))))))))))</f>
        <v/>
      </c>
      <c r="M2000" s="39"/>
      <c r="O2000" s="11" t="str">
        <f aca="false">IF($B2000="","",YEAR($B2000)*100+MONTH($B2000))</f>
        <v/>
      </c>
      <c r="P2000" s="11" t="str">
        <f aca="false">IF($B2000="","",IF($E2000="대체",0,1))</f>
        <v/>
      </c>
    </row>
    <row r="2001" customFormat="false" ht="15" hidden="false" customHeight="false" outlineLevel="0" collapsed="false">
      <c r="A2001" s="36" t="str">
        <f aca="false">IF($B2001="","",COUNT($B$15:$B2001))</f>
        <v/>
      </c>
      <c r="B2001" s="37"/>
      <c r="C2001" s="38"/>
      <c r="D2001" s="39"/>
      <c r="E2001" s="36" t="str">
        <f aca="false">IF($D2001="","",IFERROR(INDEX('통합 ④ 설정'!$A$6:$A$40,MATCH($D2001,'통합 ④ 설정'!$B$6:$B$40,0)),"※없는 과목"))</f>
        <v/>
      </c>
      <c r="F2001" s="36" t="str">
        <f aca="false">IF($D2001="","",IFERROR(INDEX('통합 ④ 설정'!$C$6:$C$40,MATCH($D2001,'통합 ④ 설정'!$B$6:$B$40,0)),""))</f>
        <v/>
      </c>
      <c r="G2001" s="39"/>
      <c r="H2001" s="39"/>
      <c r="I2001" s="40"/>
      <c r="J2001" s="41"/>
      <c r="K2001" s="38"/>
      <c r="L2001" s="42" t="str">
        <f aca="false">IF($B2001="","",IF(AND(N($I2001)=0,N($J2001)=0),"금액이 없습니다",IF(AND($I2001&gt;0,$J2001&gt;0),"수입·지출 둘 다 적혔습니다",IF($C2001="","결제수단을 고르십시오",IF(ISNA(MATCH($C2001,'통합 ③ 통장·카드'!$A$5:$A$11,0)),"③ 통장·카드에 없는 결제수단입니다",IF($D2001="","계정과목을 고르십시오",IF($E2001="※없는 과목","④ 설정에 없는 과목입니다",IF(AND($E2001="수입",$J2001&gt;0),"수입 과목인데 지출에 적혔습니다",IF(AND(LEFT($E2001,2)&lt;&gt;"수입",$E2001&lt;&gt;"대체",$I2001&gt;0),"지출 과목인데 수입에 적혔습니다",IF($K2001="","증빙을 고르십시오",IF(AND($C2001="바우처통장",$J2001&gt;0,IFERROR(INDEX('통합 ④ 설정'!$E$6:$E$40,MATCH($D2001,'통합 ④ 설정'!$B$6:$B$40,0)),"")&lt;&gt;"○"),"바우처통장 지출 — 목적 확인",IF($H2001="","적요를 적으십시오",""))))))))))))</f>
        <v/>
      </c>
      <c r="M2001" s="39"/>
      <c r="O2001" s="11" t="str">
        <f aca="false">IF($B2001="","",YEAR($B2001)*100+MONTH($B2001))</f>
        <v/>
      </c>
      <c r="P2001" s="11" t="str">
        <f aca="false">IF($B2001="","",IF($E2001="대체",0,1))</f>
        <v/>
      </c>
    </row>
    <row r="2002" customFormat="false" ht="15" hidden="false" customHeight="false" outlineLevel="0" collapsed="false">
      <c r="A2002" s="36" t="str">
        <f aca="false">IF($B2002="","",COUNT($B$15:$B2002))</f>
        <v/>
      </c>
      <c r="B2002" s="37"/>
      <c r="C2002" s="38"/>
      <c r="D2002" s="39"/>
      <c r="E2002" s="36" t="str">
        <f aca="false">IF($D2002="","",IFERROR(INDEX('통합 ④ 설정'!$A$6:$A$40,MATCH($D2002,'통합 ④ 설정'!$B$6:$B$40,0)),"※없는 과목"))</f>
        <v/>
      </c>
      <c r="F2002" s="36" t="str">
        <f aca="false">IF($D2002="","",IFERROR(INDEX('통합 ④ 설정'!$C$6:$C$40,MATCH($D2002,'통합 ④ 설정'!$B$6:$B$40,0)),""))</f>
        <v/>
      </c>
      <c r="G2002" s="39"/>
      <c r="H2002" s="39"/>
      <c r="I2002" s="40"/>
      <c r="J2002" s="41"/>
      <c r="K2002" s="38"/>
      <c r="L2002" s="42" t="str">
        <f aca="false">IF($B2002="","",IF(AND(N($I2002)=0,N($J2002)=0),"금액이 없습니다",IF(AND($I2002&gt;0,$J2002&gt;0),"수입·지출 둘 다 적혔습니다",IF($C2002="","결제수단을 고르십시오",IF(ISNA(MATCH($C2002,'통합 ③ 통장·카드'!$A$5:$A$11,0)),"③ 통장·카드에 없는 결제수단입니다",IF($D2002="","계정과목을 고르십시오",IF($E2002="※없는 과목","④ 설정에 없는 과목입니다",IF(AND($E2002="수입",$J2002&gt;0),"수입 과목인데 지출에 적혔습니다",IF(AND(LEFT($E2002,2)&lt;&gt;"수입",$E2002&lt;&gt;"대체",$I2002&gt;0),"지출 과목인데 수입에 적혔습니다",IF($K2002="","증빙을 고르십시오",IF(AND($C2002="바우처통장",$J2002&gt;0,IFERROR(INDEX('통합 ④ 설정'!$E$6:$E$40,MATCH($D2002,'통합 ④ 설정'!$B$6:$B$40,0)),"")&lt;&gt;"○"),"바우처통장 지출 — 목적 확인",IF($H2002="","적요를 적으십시오",""))))))))))))</f>
        <v/>
      </c>
      <c r="M2002" s="39"/>
      <c r="O2002" s="11" t="str">
        <f aca="false">IF($B2002="","",YEAR($B2002)*100+MONTH($B2002))</f>
        <v/>
      </c>
      <c r="P2002" s="11" t="str">
        <f aca="false">IF($B2002="","",IF($E2002="대체",0,1))</f>
        <v/>
      </c>
    </row>
    <row r="2003" customFormat="false" ht="15" hidden="false" customHeight="false" outlineLevel="0" collapsed="false">
      <c r="A2003" s="36" t="str">
        <f aca="false">IF($B2003="","",COUNT($B$15:$B2003))</f>
        <v/>
      </c>
      <c r="B2003" s="37"/>
      <c r="C2003" s="38"/>
      <c r="D2003" s="39"/>
      <c r="E2003" s="36" t="str">
        <f aca="false">IF($D2003="","",IFERROR(INDEX('통합 ④ 설정'!$A$6:$A$40,MATCH($D2003,'통합 ④ 설정'!$B$6:$B$40,0)),"※없는 과목"))</f>
        <v/>
      </c>
      <c r="F2003" s="36" t="str">
        <f aca="false">IF($D2003="","",IFERROR(INDEX('통합 ④ 설정'!$C$6:$C$40,MATCH($D2003,'통합 ④ 설정'!$B$6:$B$40,0)),""))</f>
        <v/>
      </c>
      <c r="G2003" s="39"/>
      <c r="H2003" s="39"/>
      <c r="I2003" s="40"/>
      <c r="J2003" s="41"/>
      <c r="K2003" s="38"/>
      <c r="L2003" s="42" t="str">
        <f aca="false">IF($B2003="","",IF(AND(N($I2003)=0,N($J2003)=0),"금액이 없습니다",IF(AND($I2003&gt;0,$J2003&gt;0),"수입·지출 둘 다 적혔습니다",IF($C2003="","결제수단을 고르십시오",IF(ISNA(MATCH($C2003,'통합 ③ 통장·카드'!$A$5:$A$11,0)),"③ 통장·카드에 없는 결제수단입니다",IF($D2003="","계정과목을 고르십시오",IF($E2003="※없는 과목","④ 설정에 없는 과목입니다",IF(AND($E2003="수입",$J2003&gt;0),"수입 과목인데 지출에 적혔습니다",IF(AND(LEFT($E2003,2)&lt;&gt;"수입",$E2003&lt;&gt;"대체",$I2003&gt;0),"지출 과목인데 수입에 적혔습니다",IF($K2003="","증빙을 고르십시오",IF(AND($C2003="바우처통장",$J2003&gt;0,IFERROR(INDEX('통합 ④ 설정'!$E$6:$E$40,MATCH($D2003,'통합 ④ 설정'!$B$6:$B$40,0)),"")&lt;&gt;"○"),"바우처통장 지출 — 목적 확인",IF($H2003="","적요를 적으십시오",""))))))))))))</f>
        <v/>
      </c>
      <c r="M2003" s="39"/>
      <c r="O2003" s="11" t="str">
        <f aca="false">IF($B2003="","",YEAR($B2003)*100+MONTH($B2003))</f>
        <v/>
      </c>
      <c r="P2003" s="11" t="str">
        <f aca="false">IF($B2003="","",IF($E2003="대체",0,1))</f>
        <v/>
      </c>
    </row>
    <row r="2004" customFormat="false" ht="15" hidden="false" customHeight="false" outlineLevel="0" collapsed="false">
      <c r="A2004" s="36" t="str">
        <f aca="false">IF($B2004="","",COUNT($B$15:$B2004))</f>
        <v/>
      </c>
      <c r="B2004" s="37"/>
      <c r="C2004" s="38"/>
      <c r="D2004" s="39"/>
      <c r="E2004" s="36" t="str">
        <f aca="false">IF($D2004="","",IFERROR(INDEX('통합 ④ 설정'!$A$6:$A$40,MATCH($D2004,'통합 ④ 설정'!$B$6:$B$40,0)),"※없는 과목"))</f>
        <v/>
      </c>
      <c r="F2004" s="36" t="str">
        <f aca="false">IF($D2004="","",IFERROR(INDEX('통합 ④ 설정'!$C$6:$C$40,MATCH($D2004,'통합 ④ 설정'!$B$6:$B$40,0)),""))</f>
        <v/>
      </c>
      <c r="G2004" s="39"/>
      <c r="H2004" s="39"/>
      <c r="I2004" s="40"/>
      <c r="J2004" s="41"/>
      <c r="K2004" s="38"/>
      <c r="L2004" s="42" t="str">
        <f aca="false">IF($B2004="","",IF(AND(N($I2004)=0,N($J2004)=0),"금액이 없습니다",IF(AND($I2004&gt;0,$J2004&gt;0),"수입·지출 둘 다 적혔습니다",IF($C2004="","결제수단을 고르십시오",IF(ISNA(MATCH($C2004,'통합 ③ 통장·카드'!$A$5:$A$11,0)),"③ 통장·카드에 없는 결제수단입니다",IF($D2004="","계정과목을 고르십시오",IF($E2004="※없는 과목","④ 설정에 없는 과목입니다",IF(AND($E2004="수입",$J2004&gt;0),"수입 과목인데 지출에 적혔습니다",IF(AND(LEFT($E2004,2)&lt;&gt;"수입",$E2004&lt;&gt;"대체",$I2004&gt;0),"지출 과목인데 수입에 적혔습니다",IF($K2004="","증빙을 고르십시오",IF(AND($C2004="바우처통장",$J2004&gt;0,IFERROR(INDEX('통합 ④ 설정'!$E$6:$E$40,MATCH($D2004,'통합 ④ 설정'!$B$6:$B$40,0)),"")&lt;&gt;"○"),"바우처통장 지출 — 목적 확인",IF($H2004="","적요를 적으십시오",""))))))))))))</f>
        <v/>
      </c>
      <c r="M2004" s="39"/>
      <c r="O2004" s="11" t="str">
        <f aca="false">IF($B2004="","",YEAR($B2004)*100+MONTH($B2004))</f>
        <v/>
      </c>
      <c r="P2004" s="11" t="str">
        <f aca="false">IF($B2004="","",IF($E2004="대체",0,1))</f>
        <v/>
      </c>
    </row>
    <row r="2005" customFormat="false" ht="15" hidden="false" customHeight="false" outlineLevel="0" collapsed="false">
      <c r="A2005" s="36" t="str">
        <f aca="false">IF($B2005="","",COUNT($B$15:$B2005))</f>
        <v/>
      </c>
      <c r="B2005" s="37"/>
      <c r="C2005" s="38"/>
      <c r="D2005" s="39"/>
      <c r="E2005" s="36" t="str">
        <f aca="false">IF($D2005="","",IFERROR(INDEX('통합 ④ 설정'!$A$6:$A$40,MATCH($D2005,'통합 ④ 설정'!$B$6:$B$40,0)),"※없는 과목"))</f>
        <v/>
      </c>
      <c r="F2005" s="36" t="str">
        <f aca="false">IF($D2005="","",IFERROR(INDEX('통합 ④ 설정'!$C$6:$C$40,MATCH($D2005,'통합 ④ 설정'!$B$6:$B$40,0)),""))</f>
        <v/>
      </c>
      <c r="G2005" s="39"/>
      <c r="H2005" s="39"/>
      <c r="I2005" s="40"/>
      <c r="J2005" s="41"/>
      <c r="K2005" s="38"/>
      <c r="L2005" s="42" t="str">
        <f aca="false">IF($B2005="","",IF(AND(N($I2005)=0,N($J2005)=0),"금액이 없습니다",IF(AND($I2005&gt;0,$J2005&gt;0),"수입·지출 둘 다 적혔습니다",IF($C2005="","결제수단을 고르십시오",IF(ISNA(MATCH($C2005,'통합 ③ 통장·카드'!$A$5:$A$11,0)),"③ 통장·카드에 없는 결제수단입니다",IF($D2005="","계정과목을 고르십시오",IF($E2005="※없는 과목","④ 설정에 없는 과목입니다",IF(AND($E2005="수입",$J2005&gt;0),"수입 과목인데 지출에 적혔습니다",IF(AND(LEFT($E2005,2)&lt;&gt;"수입",$E2005&lt;&gt;"대체",$I2005&gt;0),"지출 과목인데 수입에 적혔습니다",IF($K2005="","증빙을 고르십시오",IF(AND($C2005="바우처통장",$J2005&gt;0,IFERROR(INDEX('통합 ④ 설정'!$E$6:$E$40,MATCH($D2005,'통합 ④ 설정'!$B$6:$B$40,0)),"")&lt;&gt;"○"),"바우처통장 지출 — 목적 확인",IF($H2005="","적요를 적으십시오",""))))))))))))</f>
        <v/>
      </c>
      <c r="M2005" s="39"/>
      <c r="O2005" s="11" t="str">
        <f aca="false">IF($B2005="","",YEAR($B2005)*100+MONTH($B2005))</f>
        <v/>
      </c>
      <c r="P2005" s="11" t="str">
        <f aca="false">IF($B2005="","",IF($E2005="대체",0,1))</f>
        <v/>
      </c>
    </row>
    <row r="2006" customFormat="false" ht="15" hidden="false" customHeight="false" outlineLevel="0" collapsed="false">
      <c r="A2006" s="36" t="str">
        <f aca="false">IF($B2006="","",COUNT($B$15:$B2006))</f>
        <v/>
      </c>
      <c r="B2006" s="37"/>
      <c r="C2006" s="38"/>
      <c r="D2006" s="39"/>
      <c r="E2006" s="36" t="str">
        <f aca="false">IF($D2006="","",IFERROR(INDEX('통합 ④ 설정'!$A$6:$A$40,MATCH($D2006,'통합 ④ 설정'!$B$6:$B$40,0)),"※없는 과목"))</f>
        <v/>
      </c>
      <c r="F2006" s="36" t="str">
        <f aca="false">IF($D2006="","",IFERROR(INDEX('통합 ④ 설정'!$C$6:$C$40,MATCH($D2006,'통합 ④ 설정'!$B$6:$B$40,0)),""))</f>
        <v/>
      </c>
      <c r="G2006" s="39"/>
      <c r="H2006" s="39"/>
      <c r="I2006" s="40"/>
      <c r="J2006" s="41"/>
      <c r="K2006" s="38"/>
      <c r="L2006" s="42" t="str">
        <f aca="false">IF($B2006="","",IF(AND(N($I2006)=0,N($J2006)=0),"금액이 없습니다",IF(AND($I2006&gt;0,$J2006&gt;0),"수입·지출 둘 다 적혔습니다",IF($C2006="","결제수단을 고르십시오",IF(ISNA(MATCH($C2006,'통합 ③ 통장·카드'!$A$5:$A$11,0)),"③ 통장·카드에 없는 결제수단입니다",IF($D2006="","계정과목을 고르십시오",IF($E2006="※없는 과목","④ 설정에 없는 과목입니다",IF(AND($E2006="수입",$J2006&gt;0),"수입 과목인데 지출에 적혔습니다",IF(AND(LEFT($E2006,2)&lt;&gt;"수입",$E2006&lt;&gt;"대체",$I2006&gt;0),"지출 과목인데 수입에 적혔습니다",IF($K2006="","증빙을 고르십시오",IF(AND($C2006="바우처통장",$J2006&gt;0,IFERROR(INDEX('통합 ④ 설정'!$E$6:$E$40,MATCH($D2006,'통합 ④ 설정'!$B$6:$B$40,0)),"")&lt;&gt;"○"),"바우처통장 지출 — 목적 확인",IF($H2006="","적요를 적으십시오",""))))))))))))</f>
        <v/>
      </c>
      <c r="M2006" s="39"/>
      <c r="O2006" s="11" t="str">
        <f aca="false">IF($B2006="","",YEAR($B2006)*100+MONTH($B2006))</f>
        <v/>
      </c>
      <c r="P2006" s="11" t="str">
        <f aca="false">IF($B2006="","",IF($E2006="대체",0,1))</f>
        <v/>
      </c>
    </row>
    <row r="2007" customFormat="false" ht="15" hidden="false" customHeight="false" outlineLevel="0" collapsed="false">
      <c r="A2007" s="36" t="str">
        <f aca="false">IF($B2007="","",COUNT($B$15:$B2007))</f>
        <v/>
      </c>
      <c r="B2007" s="37"/>
      <c r="C2007" s="38"/>
      <c r="D2007" s="39"/>
      <c r="E2007" s="36" t="str">
        <f aca="false">IF($D2007="","",IFERROR(INDEX('통합 ④ 설정'!$A$6:$A$40,MATCH($D2007,'통합 ④ 설정'!$B$6:$B$40,0)),"※없는 과목"))</f>
        <v/>
      </c>
      <c r="F2007" s="36" t="str">
        <f aca="false">IF($D2007="","",IFERROR(INDEX('통합 ④ 설정'!$C$6:$C$40,MATCH($D2007,'통합 ④ 설정'!$B$6:$B$40,0)),""))</f>
        <v/>
      </c>
      <c r="G2007" s="39"/>
      <c r="H2007" s="39"/>
      <c r="I2007" s="40"/>
      <c r="J2007" s="41"/>
      <c r="K2007" s="38"/>
      <c r="L2007" s="42" t="str">
        <f aca="false">IF($B2007="","",IF(AND(N($I2007)=0,N($J2007)=0),"금액이 없습니다",IF(AND($I2007&gt;0,$J2007&gt;0),"수입·지출 둘 다 적혔습니다",IF($C2007="","결제수단을 고르십시오",IF(ISNA(MATCH($C2007,'통합 ③ 통장·카드'!$A$5:$A$11,0)),"③ 통장·카드에 없는 결제수단입니다",IF($D2007="","계정과목을 고르십시오",IF($E2007="※없는 과목","④ 설정에 없는 과목입니다",IF(AND($E2007="수입",$J2007&gt;0),"수입 과목인데 지출에 적혔습니다",IF(AND(LEFT($E2007,2)&lt;&gt;"수입",$E2007&lt;&gt;"대체",$I2007&gt;0),"지출 과목인데 수입에 적혔습니다",IF($K2007="","증빙을 고르십시오",IF(AND($C2007="바우처통장",$J2007&gt;0,IFERROR(INDEX('통합 ④ 설정'!$E$6:$E$40,MATCH($D2007,'통합 ④ 설정'!$B$6:$B$40,0)),"")&lt;&gt;"○"),"바우처통장 지출 — 목적 확인",IF($H2007="","적요를 적으십시오",""))))))))))))</f>
        <v/>
      </c>
      <c r="M2007" s="39"/>
      <c r="O2007" s="11" t="str">
        <f aca="false">IF($B2007="","",YEAR($B2007)*100+MONTH($B2007))</f>
        <v/>
      </c>
      <c r="P2007" s="11" t="str">
        <f aca="false">IF($B2007="","",IF($E2007="대체",0,1))</f>
        <v/>
      </c>
    </row>
    <row r="2008" customFormat="false" ht="15" hidden="false" customHeight="false" outlineLevel="0" collapsed="false">
      <c r="A2008" s="36" t="str">
        <f aca="false">IF($B2008="","",COUNT($B$15:$B2008))</f>
        <v/>
      </c>
      <c r="B2008" s="37"/>
      <c r="C2008" s="38"/>
      <c r="D2008" s="39"/>
      <c r="E2008" s="36" t="str">
        <f aca="false">IF($D2008="","",IFERROR(INDEX('통합 ④ 설정'!$A$6:$A$40,MATCH($D2008,'통합 ④ 설정'!$B$6:$B$40,0)),"※없는 과목"))</f>
        <v/>
      </c>
      <c r="F2008" s="36" t="str">
        <f aca="false">IF($D2008="","",IFERROR(INDEX('통합 ④ 설정'!$C$6:$C$40,MATCH($D2008,'통합 ④ 설정'!$B$6:$B$40,0)),""))</f>
        <v/>
      </c>
      <c r="G2008" s="39"/>
      <c r="H2008" s="39"/>
      <c r="I2008" s="40"/>
      <c r="J2008" s="41"/>
      <c r="K2008" s="38"/>
      <c r="L2008" s="42" t="str">
        <f aca="false">IF($B2008="","",IF(AND(N($I2008)=0,N($J2008)=0),"금액이 없습니다",IF(AND($I2008&gt;0,$J2008&gt;0),"수입·지출 둘 다 적혔습니다",IF($C2008="","결제수단을 고르십시오",IF(ISNA(MATCH($C2008,'통합 ③ 통장·카드'!$A$5:$A$11,0)),"③ 통장·카드에 없는 결제수단입니다",IF($D2008="","계정과목을 고르십시오",IF($E2008="※없는 과목","④ 설정에 없는 과목입니다",IF(AND($E2008="수입",$J2008&gt;0),"수입 과목인데 지출에 적혔습니다",IF(AND(LEFT($E2008,2)&lt;&gt;"수입",$E2008&lt;&gt;"대체",$I2008&gt;0),"지출 과목인데 수입에 적혔습니다",IF($K2008="","증빙을 고르십시오",IF(AND($C2008="바우처통장",$J2008&gt;0,IFERROR(INDEX('통합 ④ 설정'!$E$6:$E$40,MATCH($D2008,'통합 ④ 설정'!$B$6:$B$40,0)),"")&lt;&gt;"○"),"바우처통장 지출 — 목적 확인",IF($H2008="","적요를 적으십시오",""))))))))))))</f>
        <v/>
      </c>
      <c r="M2008" s="39"/>
      <c r="O2008" s="11" t="str">
        <f aca="false">IF($B2008="","",YEAR($B2008)*100+MONTH($B2008))</f>
        <v/>
      </c>
      <c r="P2008" s="11" t="str">
        <f aca="false">IF($B2008="","",IF($E2008="대체",0,1))</f>
        <v/>
      </c>
    </row>
    <row r="2009" customFormat="false" ht="15" hidden="false" customHeight="false" outlineLevel="0" collapsed="false">
      <c r="A2009" s="36" t="str">
        <f aca="false">IF($B2009="","",COUNT($B$15:$B2009))</f>
        <v/>
      </c>
      <c r="B2009" s="37"/>
      <c r="C2009" s="38"/>
      <c r="D2009" s="39"/>
      <c r="E2009" s="36" t="str">
        <f aca="false">IF($D2009="","",IFERROR(INDEX('통합 ④ 설정'!$A$6:$A$40,MATCH($D2009,'통합 ④ 설정'!$B$6:$B$40,0)),"※없는 과목"))</f>
        <v/>
      </c>
      <c r="F2009" s="36" t="str">
        <f aca="false">IF($D2009="","",IFERROR(INDEX('통합 ④ 설정'!$C$6:$C$40,MATCH($D2009,'통합 ④ 설정'!$B$6:$B$40,0)),""))</f>
        <v/>
      </c>
      <c r="G2009" s="39"/>
      <c r="H2009" s="39"/>
      <c r="I2009" s="40"/>
      <c r="J2009" s="41"/>
      <c r="K2009" s="38"/>
      <c r="L2009" s="42" t="str">
        <f aca="false">IF($B2009="","",IF(AND(N($I2009)=0,N($J2009)=0),"금액이 없습니다",IF(AND($I2009&gt;0,$J2009&gt;0),"수입·지출 둘 다 적혔습니다",IF($C2009="","결제수단을 고르십시오",IF(ISNA(MATCH($C2009,'통합 ③ 통장·카드'!$A$5:$A$11,0)),"③ 통장·카드에 없는 결제수단입니다",IF($D2009="","계정과목을 고르십시오",IF($E2009="※없는 과목","④ 설정에 없는 과목입니다",IF(AND($E2009="수입",$J2009&gt;0),"수입 과목인데 지출에 적혔습니다",IF(AND(LEFT($E2009,2)&lt;&gt;"수입",$E2009&lt;&gt;"대체",$I2009&gt;0),"지출 과목인데 수입에 적혔습니다",IF($K2009="","증빙을 고르십시오",IF(AND($C2009="바우처통장",$J2009&gt;0,IFERROR(INDEX('통합 ④ 설정'!$E$6:$E$40,MATCH($D2009,'통합 ④ 설정'!$B$6:$B$40,0)),"")&lt;&gt;"○"),"바우처통장 지출 — 목적 확인",IF($H2009="","적요를 적으십시오",""))))))))))))</f>
        <v/>
      </c>
      <c r="M2009" s="39"/>
      <c r="O2009" s="11" t="str">
        <f aca="false">IF($B2009="","",YEAR($B2009)*100+MONTH($B2009))</f>
        <v/>
      </c>
      <c r="P2009" s="11" t="str">
        <f aca="false">IF($B2009="","",IF($E2009="대체",0,1))</f>
        <v/>
      </c>
    </row>
    <row r="2010" customFormat="false" ht="15" hidden="false" customHeight="false" outlineLevel="0" collapsed="false">
      <c r="A2010" s="36" t="str">
        <f aca="false">IF($B2010="","",COUNT($B$15:$B2010))</f>
        <v/>
      </c>
      <c r="B2010" s="37"/>
      <c r="C2010" s="38"/>
      <c r="D2010" s="39"/>
      <c r="E2010" s="36" t="str">
        <f aca="false">IF($D2010="","",IFERROR(INDEX('통합 ④ 설정'!$A$6:$A$40,MATCH($D2010,'통합 ④ 설정'!$B$6:$B$40,0)),"※없는 과목"))</f>
        <v/>
      </c>
      <c r="F2010" s="36" t="str">
        <f aca="false">IF($D2010="","",IFERROR(INDEX('통합 ④ 설정'!$C$6:$C$40,MATCH($D2010,'통합 ④ 설정'!$B$6:$B$40,0)),""))</f>
        <v/>
      </c>
      <c r="G2010" s="39"/>
      <c r="H2010" s="39"/>
      <c r="I2010" s="40"/>
      <c r="J2010" s="41"/>
      <c r="K2010" s="38"/>
      <c r="L2010" s="42" t="str">
        <f aca="false">IF($B2010="","",IF(AND(N($I2010)=0,N($J2010)=0),"금액이 없습니다",IF(AND($I2010&gt;0,$J2010&gt;0),"수입·지출 둘 다 적혔습니다",IF($C2010="","결제수단을 고르십시오",IF(ISNA(MATCH($C2010,'통합 ③ 통장·카드'!$A$5:$A$11,0)),"③ 통장·카드에 없는 결제수단입니다",IF($D2010="","계정과목을 고르십시오",IF($E2010="※없는 과목","④ 설정에 없는 과목입니다",IF(AND($E2010="수입",$J2010&gt;0),"수입 과목인데 지출에 적혔습니다",IF(AND(LEFT($E2010,2)&lt;&gt;"수입",$E2010&lt;&gt;"대체",$I2010&gt;0),"지출 과목인데 수입에 적혔습니다",IF($K2010="","증빙을 고르십시오",IF(AND($C2010="바우처통장",$J2010&gt;0,IFERROR(INDEX('통합 ④ 설정'!$E$6:$E$40,MATCH($D2010,'통합 ④ 설정'!$B$6:$B$40,0)),"")&lt;&gt;"○"),"바우처통장 지출 — 목적 확인",IF($H2010="","적요를 적으십시오",""))))))))))))</f>
        <v/>
      </c>
      <c r="M2010" s="39"/>
      <c r="O2010" s="11" t="str">
        <f aca="false">IF($B2010="","",YEAR($B2010)*100+MONTH($B2010))</f>
        <v/>
      </c>
      <c r="P2010" s="11" t="str">
        <f aca="false">IF($B2010="","",IF($E2010="대체",0,1))</f>
        <v/>
      </c>
    </row>
    <row r="2011" customFormat="false" ht="15" hidden="false" customHeight="false" outlineLevel="0" collapsed="false">
      <c r="A2011" s="36" t="str">
        <f aca="false">IF($B2011="","",COUNT($B$15:$B2011))</f>
        <v/>
      </c>
      <c r="B2011" s="37"/>
      <c r="C2011" s="38"/>
      <c r="D2011" s="39"/>
      <c r="E2011" s="36" t="str">
        <f aca="false">IF($D2011="","",IFERROR(INDEX('통합 ④ 설정'!$A$6:$A$40,MATCH($D2011,'통합 ④ 설정'!$B$6:$B$40,0)),"※없는 과목"))</f>
        <v/>
      </c>
      <c r="F2011" s="36" t="str">
        <f aca="false">IF($D2011="","",IFERROR(INDEX('통합 ④ 설정'!$C$6:$C$40,MATCH($D2011,'통합 ④ 설정'!$B$6:$B$40,0)),""))</f>
        <v/>
      </c>
      <c r="G2011" s="39"/>
      <c r="H2011" s="39"/>
      <c r="I2011" s="40"/>
      <c r="J2011" s="41"/>
      <c r="K2011" s="38"/>
      <c r="L2011" s="42" t="str">
        <f aca="false">IF($B2011="","",IF(AND(N($I2011)=0,N($J2011)=0),"금액이 없습니다",IF(AND($I2011&gt;0,$J2011&gt;0),"수입·지출 둘 다 적혔습니다",IF($C2011="","결제수단을 고르십시오",IF(ISNA(MATCH($C2011,'통합 ③ 통장·카드'!$A$5:$A$11,0)),"③ 통장·카드에 없는 결제수단입니다",IF($D2011="","계정과목을 고르십시오",IF($E2011="※없는 과목","④ 설정에 없는 과목입니다",IF(AND($E2011="수입",$J2011&gt;0),"수입 과목인데 지출에 적혔습니다",IF(AND(LEFT($E2011,2)&lt;&gt;"수입",$E2011&lt;&gt;"대체",$I2011&gt;0),"지출 과목인데 수입에 적혔습니다",IF($K2011="","증빙을 고르십시오",IF(AND($C2011="바우처통장",$J2011&gt;0,IFERROR(INDEX('통합 ④ 설정'!$E$6:$E$40,MATCH($D2011,'통합 ④ 설정'!$B$6:$B$40,0)),"")&lt;&gt;"○"),"바우처통장 지출 — 목적 확인",IF($H2011="","적요를 적으십시오",""))))))))))))</f>
        <v/>
      </c>
      <c r="M2011" s="39"/>
      <c r="O2011" s="11" t="str">
        <f aca="false">IF($B2011="","",YEAR($B2011)*100+MONTH($B2011))</f>
        <v/>
      </c>
      <c r="P2011" s="11" t="str">
        <f aca="false">IF($B2011="","",IF($E2011="대체",0,1))</f>
        <v/>
      </c>
    </row>
    <row r="2012" customFormat="false" ht="15" hidden="false" customHeight="false" outlineLevel="0" collapsed="false">
      <c r="A2012" s="36" t="str">
        <f aca="false">IF($B2012="","",COUNT($B$15:$B2012))</f>
        <v/>
      </c>
      <c r="B2012" s="37"/>
      <c r="C2012" s="38"/>
      <c r="D2012" s="39"/>
      <c r="E2012" s="36" t="str">
        <f aca="false">IF($D2012="","",IFERROR(INDEX('통합 ④ 설정'!$A$6:$A$40,MATCH($D2012,'통합 ④ 설정'!$B$6:$B$40,0)),"※없는 과목"))</f>
        <v/>
      </c>
      <c r="F2012" s="36" t="str">
        <f aca="false">IF($D2012="","",IFERROR(INDEX('통합 ④ 설정'!$C$6:$C$40,MATCH($D2012,'통합 ④ 설정'!$B$6:$B$40,0)),""))</f>
        <v/>
      </c>
      <c r="G2012" s="39"/>
      <c r="H2012" s="39"/>
      <c r="I2012" s="40"/>
      <c r="J2012" s="41"/>
      <c r="K2012" s="38"/>
      <c r="L2012" s="42" t="str">
        <f aca="false">IF($B2012="","",IF(AND(N($I2012)=0,N($J2012)=0),"금액이 없습니다",IF(AND($I2012&gt;0,$J2012&gt;0),"수입·지출 둘 다 적혔습니다",IF($C2012="","결제수단을 고르십시오",IF(ISNA(MATCH($C2012,'통합 ③ 통장·카드'!$A$5:$A$11,0)),"③ 통장·카드에 없는 결제수단입니다",IF($D2012="","계정과목을 고르십시오",IF($E2012="※없는 과목","④ 설정에 없는 과목입니다",IF(AND($E2012="수입",$J2012&gt;0),"수입 과목인데 지출에 적혔습니다",IF(AND(LEFT($E2012,2)&lt;&gt;"수입",$E2012&lt;&gt;"대체",$I2012&gt;0),"지출 과목인데 수입에 적혔습니다",IF($K2012="","증빙을 고르십시오",IF(AND($C2012="바우처통장",$J2012&gt;0,IFERROR(INDEX('통합 ④ 설정'!$E$6:$E$40,MATCH($D2012,'통합 ④ 설정'!$B$6:$B$40,0)),"")&lt;&gt;"○"),"바우처통장 지출 — 목적 확인",IF($H2012="","적요를 적으십시오",""))))))))))))</f>
        <v/>
      </c>
      <c r="M2012" s="39"/>
      <c r="O2012" s="11" t="str">
        <f aca="false">IF($B2012="","",YEAR($B2012)*100+MONTH($B2012))</f>
        <v/>
      </c>
      <c r="P2012" s="11" t="str">
        <f aca="false">IF($B2012="","",IF($E2012="대체",0,1))</f>
        <v/>
      </c>
    </row>
    <row r="2013" customFormat="false" ht="15" hidden="false" customHeight="false" outlineLevel="0" collapsed="false">
      <c r="A2013" s="36" t="str">
        <f aca="false">IF($B2013="","",COUNT($B$15:$B2013))</f>
        <v/>
      </c>
      <c r="B2013" s="37"/>
      <c r="C2013" s="38"/>
      <c r="D2013" s="39"/>
      <c r="E2013" s="36" t="str">
        <f aca="false">IF($D2013="","",IFERROR(INDEX('통합 ④ 설정'!$A$6:$A$40,MATCH($D2013,'통합 ④ 설정'!$B$6:$B$40,0)),"※없는 과목"))</f>
        <v/>
      </c>
      <c r="F2013" s="36" t="str">
        <f aca="false">IF($D2013="","",IFERROR(INDEX('통합 ④ 설정'!$C$6:$C$40,MATCH($D2013,'통합 ④ 설정'!$B$6:$B$40,0)),""))</f>
        <v/>
      </c>
      <c r="G2013" s="39"/>
      <c r="H2013" s="39"/>
      <c r="I2013" s="40"/>
      <c r="J2013" s="41"/>
      <c r="K2013" s="38"/>
      <c r="L2013" s="42" t="str">
        <f aca="false">IF($B2013="","",IF(AND(N($I2013)=0,N($J2013)=0),"금액이 없습니다",IF(AND($I2013&gt;0,$J2013&gt;0),"수입·지출 둘 다 적혔습니다",IF($C2013="","결제수단을 고르십시오",IF(ISNA(MATCH($C2013,'통합 ③ 통장·카드'!$A$5:$A$11,0)),"③ 통장·카드에 없는 결제수단입니다",IF($D2013="","계정과목을 고르십시오",IF($E2013="※없는 과목","④ 설정에 없는 과목입니다",IF(AND($E2013="수입",$J2013&gt;0),"수입 과목인데 지출에 적혔습니다",IF(AND(LEFT($E2013,2)&lt;&gt;"수입",$E2013&lt;&gt;"대체",$I2013&gt;0),"지출 과목인데 수입에 적혔습니다",IF($K2013="","증빙을 고르십시오",IF(AND($C2013="바우처통장",$J2013&gt;0,IFERROR(INDEX('통합 ④ 설정'!$E$6:$E$40,MATCH($D2013,'통합 ④ 설정'!$B$6:$B$40,0)),"")&lt;&gt;"○"),"바우처통장 지출 — 목적 확인",IF($H2013="","적요를 적으십시오",""))))))))))))</f>
        <v/>
      </c>
      <c r="M2013" s="39"/>
      <c r="O2013" s="11" t="str">
        <f aca="false">IF($B2013="","",YEAR($B2013)*100+MONTH($B2013))</f>
        <v/>
      </c>
      <c r="P2013" s="11" t="str">
        <f aca="false">IF($B2013="","",IF($E2013="대체",0,1))</f>
        <v/>
      </c>
    </row>
    <row r="2014" customFormat="false" ht="15" hidden="false" customHeight="false" outlineLevel="0" collapsed="false">
      <c r="A2014" s="36" t="str">
        <f aca="false">IF($B2014="","",COUNT($B$15:$B2014))</f>
        <v/>
      </c>
      <c r="B2014" s="37"/>
      <c r="C2014" s="38"/>
      <c r="D2014" s="39"/>
      <c r="E2014" s="36" t="str">
        <f aca="false">IF($D2014="","",IFERROR(INDEX('통합 ④ 설정'!$A$6:$A$40,MATCH($D2014,'통합 ④ 설정'!$B$6:$B$40,0)),"※없는 과목"))</f>
        <v/>
      </c>
      <c r="F2014" s="36" t="str">
        <f aca="false">IF($D2014="","",IFERROR(INDEX('통합 ④ 설정'!$C$6:$C$40,MATCH($D2014,'통합 ④ 설정'!$B$6:$B$40,0)),""))</f>
        <v/>
      </c>
      <c r="G2014" s="39"/>
      <c r="H2014" s="39"/>
      <c r="I2014" s="40"/>
      <c r="J2014" s="41"/>
      <c r="K2014" s="38"/>
      <c r="L2014" s="42" t="str">
        <f aca="false">IF($B2014="","",IF(AND(N($I2014)=0,N($J2014)=0),"금액이 없습니다",IF(AND($I2014&gt;0,$J2014&gt;0),"수입·지출 둘 다 적혔습니다",IF($C2014="","결제수단을 고르십시오",IF(ISNA(MATCH($C2014,'통합 ③ 통장·카드'!$A$5:$A$11,0)),"③ 통장·카드에 없는 결제수단입니다",IF($D2014="","계정과목을 고르십시오",IF($E2014="※없는 과목","④ 설정에 없는 과목입니다",IF(AND($E2014="수입",$J2014&gt;0),"수입 과목인데 지출에 적혔습니다",IF(AND(LEFT($E2014,2)&lt;&gt;"수입",$E2014&lt;&gt;"대체",$I2014&gt;0),"지출 과목인데 수입에 적혔습니다",IF($K2014="","증빙을 고르십시오",IF(AND($C2014="바우처통장",$J2014&gt;0,IFERROR(INDEX('통합 ④ 설정'!$E$6:$E$40,MATCH($D2014,'통합 ④ 설정'!$B$6:$B$40,0)),"")&lt;&gt;"○"),"바우처통장 지출 — 목적 확인",IF($H2014="","적요를 적으십시오",""))))))))))))</f>
        <v/>
      </c>
      <c r="M2014" s="39"/>
      <c r="O2014" s="11" t="str">
        <f aca="false">IF($B2014="","",YEAR($B2014)*100+MONTH($B2014))</f>
        <v/>
      </c>
      <c r="P2014" s="11" t="str">
        <f aca="false">IF($B2014="","",IF($E2014="대체",0,1))</f>
        <v/>
      </c>
    </row>
  </sheetData>
  <conditionalFormatting sqref="A15:M2014">
    <cfRule type="expression" priority="2" aboveAverage="0" equalAverage="0" bottom="0" percent="0" rank="0" text="" dxfId="1">
      <formula>AND($B15&lt;&gt;"",$L15&lt;&gt;"")</formula>
    </cfRule>
    <cfRule type="expression" priority="3" aboveAverage="0" equalAverage="0" bottom="0" percent="0" rank="0" text="" dxfId="2">
      <formula>$E15="대체"</formula>
    </cfRule>
  </conditionalFormatting>
  <conditionalFormatting sqref="C15:C2014">
    <cfRule type="expression" priority="4" aboveAverage="0" equalAverage="0" bottom="0" percent="0" rank="0" text="" dxfId="3">
      <formula>$C15="바우처통장"</formula>
    </cfRule>
  </conditionalFormatting>
  <conditionalFormatting sqref="L15:L2014">
    <cfRule type="expression" priority="5" aboveAverage="0" equalAverage="0" bottom="0" percent="0" rank="0" text="" dxfId="4">
      <formula>$L15&lt;&gt;""</formula>
    </cfRule>
  </conditionalFormatting>
  <dataValidations count="3">
    <dataValidation allowBlank="true" error="따사로운 통합서비스 명의 통장·카드만 고를 수 있습니다. 목록은 ③ 통장·카드 시트에서 고칩니다." errorStyle="stop" errorTitle="결제수단" operator="between" showDropDown="false" showErrorMessage="true" showInputMessage="false" sqref="C15:C2014" type="list">
      <formula1>'통합 ③ 통장·카드'!$A$5:$A$11</formula1>
      <formula2>0</formula2>
    </dataValidation>
    <dataValidation allowBlank="true" error="④ 설정에 있는 과목만 고를 수 있습니다." errorStyle="stop" errorTitle="계정과목" operator="between" showDropDown="false" showErrorMessage="true" showInputMessage="false" sqref="D15:D2014" type="list">
      <formula1>'통합 ④ 설정'!$B$6:$B$40</formula1>
      <formula2>0</formula2>
    </dataValidation>
    <dataValidation allowBlank="true" errorStyle="stop" operator="between" showDropDown="false" showErrorMessage="false" showInputMessage="false" sqref="K15:K2014" type="list">
      <formula1>'통합 ④ 설정'!$G$6:$G$12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2"/>
    <pageSetUpPr fitToPage="fals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14" min="3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0.1" hidden="false" customHeight="false" outlineLevel="0" collapsed="false">
      <c r="A1" s="44" t="s">
        <v>114</v>
      </c>
      <c r="F1" s="45" t="s">
        <v>115</v>
      </c>
      <c r="G1" s="46" t="n">
        <v>2026</v>
      </c>
      <c r="H1" s="2" t="s">
        <v>116</v>
      </c>
    </row>
    <row r="2" customFormat="false" ht="15" hidden="false" customHeight="false" outlineLevel="0" collapsed="false">
      <c r="A2" s="2" t="s">
        <v>117</v>
      </c>
    </row>
    <row r="4" customFormat="false" ht="30" hidden="false" customHeight="true" outlineLevel="0" collapsed="false">
      <c r="A4" s="3" t="s">
        <v>2</v>
      </c>
      <c r="B4" s="3" t="s">
        <v>74</v>
      </c>
      <c r="C4" s="19" t="s">
        <v>31</v>
      </c>
      <c r="D4" s="19" t="s">
        <v>32</v>
      </c>
      <c r="E4" s="19" t="s">
        <v>33</v>
      </c>
      <c r="F4" s="19" t="s">
        <v>34</v>
      </c>
      <c r="G4" s="19" t="s">
        <v>35</v>
      </c>
      <c r="H4" s="19" t="s">
        <v>36</v>
      </c>
      <c r="I4" s="19" t="s">
        <v>37</v>
      </c>
      <c r="J4" s="19" t="s">
        <v>38</v>
      </c>
      <c r="K4" s="19" t="s">
        <v>39</v>
      </c>
      <c r="L4" s="19" t="s">
        <v>40</v>
      </c>
      <c r="M4" s="19" t="s">
        <v>41</v>
      </c>
      <c r="N4" s="19" t="s">
        <v>42</v>
      </c>
      <c r="O4" s="3" t="s">
        <v>43</v>
      </c>
      <c r="P4" s="3" t="s">
        <v>118</v>
      </c>
    </row>
    <row r="5" customFormat="false" ht="15" hidden="false" customHeight="false" outlineLevel="0" collapsed="false">
      <c r="A5" s="47" t="s">
        <v>57</v>
      </c>
      <c r="B5" s="48" t="s">
        <v>84</v>
      </c>
      <c r="C5" s="49" t="n">
        <f aca="false">SUMIFS('통합 ① 거래입력'!$I$15:$I$2014,'통합 ① 거래입력'!$O$15:$O$2014,$G$1*100+1,'통합 ① 거래입력'!$D$15:$D$2014,$B5)</f>
        <v>0</v>
      </c>
      <c r="D5" s="49" t="n">
        <f aca="false">SUMIFS('통합 ① 거래입력'!$I$15:$I$2014,'통합 ① 거래입력'!$O$15:$O$2014,$G$1*100+2,'통합 ① 거래입력'!$D$15:$D$2014,$B5)</f>
        <v>0</v>
      </c>
      <c r="E5" s="49" t="n">
        <f aca="false">SUMIFS('통합 ① 거래입력'!$I$15:$I$2014,'통합 ① 거래입력'!$O$15:$O$2014,$G$1*100+3,'통합 ① 거래입력'!$D$15:$D$2014,$B5)</f>
        <v>0</v>
      </c>
      <c r="F5" s="49" t="n">
        <f aca="false">SUMIFS('통합 ① 거래입력'!$I$15:$I$2014,'통합 ① 거래입력'!$O$15:$O$2014,$G$1*100+4,'통합 ① 거래입력'!$D$15:$D$2014,$B5)</f>
        <v>0</v>
      </c>
      <c r="G5" s="49" t="n">
        <f aca="false">SUMIFS('통합 ① 거래입력'!$I$15:$I$2014,'통합 ① 거래입력'!$O$15:$O$2014,$G$1*100+5,'통합 ① 거래입력'!$D$15:$D$2014,$B5)</f>
        <v>0</v>
      </c>
      <c r="H5" s="49" t="n">
        <f aca="false">SUMIFS('통합 ① 거래입력'!$I$15:$I$2014,'통합 ① 거래입력'!$O$15:$O$2014,$G$1*100+6,'통합 ① 거래입력'!$D$15:$D$2014,$B5)</f>
        <v>0</v>
      </c>
      <c r="I5" s="49" t="n">
        <f aca="false">SUMIFS('통합 ① 거래입력'!$I$15:$I$2014,'통합 ① 거래입력'!$O$15:$O$2014,$G$1*100+7,'통합 ① 거래입력'!$D$15:$D$2014,$B5)</f>
        <v>0</v>
      </c>
      <c r="J5" s="49" t="n">
        <f aca="false">SUMIFS('통합 ① 거래입력'!$I$15:$I$2014,'통합 ① 거래입력'!$O$15:$O$2014,$G$1*100+8,'통합 ① 거래입력'!$D$15:$D$2014,$B5)</f>
        <v>0</v>
      </c>
      <c r="K5" s="49" t="n">
        <f aca="false">SUMIFS('통합 ① 거래입력'!$I$15:$I$2014,'통합 ① 거래입력'!$O$15:$O$2014,$G$1*100+9,'통합 ① 거래입력'!$D$15:$D$2014,$B5)</f>
        <v>4820000</v>
      </c>
      <c r="L5" s="49" t="n">
        <f aca="false">SUMIFS('통합 ① 거래입력'!$I$15:$I$2014,'통합 ① 거래입력'!$O$15:$O$2014,$G$1*100+10,'통합 ① 거래입력'!$D$15:$D$2014,$B5)</f>
        <v>0</v>
      </c>
      <c r="M5" s="49" t="n">
        <f aca="false">SUMIFS('통합 ① 거래입력'!$I$15:$I$2014,'통합 ① 거래입력'!$O$15:$O$2014,$G$1*100+11,'통합 ① 거래입력'!$D$15:$D$2014,$B5)</f>
        <v>0</v>
      </c>
      <c r="N5" s="49" t="n">
        <f aca="false">SUMIFS('통합 ① 거래입력'!$I$15:$I$2014,'통합 ① 거래입력'!$O$15:$O$2014,$G$1*100+12,'통합 ① 거래입력'!$D$15:$D$2014,$B5)</f>
        <v>0</v>
      </c>
      <c r="O5" s="40" t="n">
        <f aca="false">SUM($C5:$N5)</f>
        <v>4820000</v>
      </c>
      <c r="P5" s="49" t="n">
        <f aca="false">IFERROR(AVERAGEIF($C5:$N5,"&lt;&gt;0"),0)</f>
        <v>4820000</v>
      </c>
    </row>
    <row r="6" customFormat="false" ht="15" hidden="false" customHeight="false" outlineLevel="0" collapsed="false">
      <c r="A6" s="47"/>
      <c r="B6" s="48" t="s">
        <v>119</v>
      </c>
      <c r="C6" s="49" t="n">
        <f aca="false">SUMIFS('통합 ① 거래입력'!$I$15:$I$2014,'통합 ① 거래입력'!$O$15:$O$2014,$G$1*100+1,'통합 ① 거래입력'!$D$15:$D$2014,$B6)</f>
        <v>0</v>
      </c>
      <c r="D6" s="49" t="n">
        <f aca="false">SUMIFS('통합 ① 거래입력'!$I$15:$I$2014,'통합 ① 거래입력'!$O$15:$O$2014,$G$1*100+2,'통합 ① 거래입력'!$D$15:$D$2014,$B6)</f>
        <v>0</v>
      </c>
      <c r="E6" s="49" t="n">
        <f aca="false">SUMIFS('통합 ① 거래입력'!$I$15:$I$2014,'통합 ① 거래입력'!$O$15:$O$2014,$G$1*100+3,'통합 ① 거래입력'!$D$15:$D$2014,$B6)</f>
        <v>0</v>
      </c>
      <c r="F6" s="49" t="n">
        <f aca="false">SUMIFS('통합 ① 거래입력'!$I$15:$I$2014,'통합 ① 거래입력'!$O$15:$O$2014,$G$1*100+4,'통합 ① 거래입력'!$D$15:$D$2014,$B6)</f>
        <v>0</v>
      </c>
      <c r="G6" s="49" t="n">
        <f aca="false">SUMIFS('통합 ① 거래입력'!$I$15:$I$2014,'통합 ① 거래입력'!$O$15:$O$2014,$G$1*100+5,'통합 ① 거래입력'!$D$15:$D$2014,$B6)</f>
        <v>0</v>
      </c>
      <c r="H6" s="49" t="n">
        <f aca="false">SUMIFS('통합 ① 거래입력'!$I$15:$I$2014,'통합 ① 거래입력'!$O$15:$O$2014,$G$1*100+6,'통합 ① 거래입력'!$D$15:$D$2014,$B6)</f>
        <v>0</v>
      </c>
      <c r="I6" s="49" t="n">
        <f aca="false">SUMIFS('통합 ① 거래입력'!$I$15:$I$2014,'통합 ① 거래입력'!$O$15:$O$2014,$G$1*100+7,'통합 ① 거래입력'!$D$15:$D$2014,$B6)</f>
        <v>0</v>
      </c>
      <c r="J6" s="49" t="n">
        <f aca="false">SUMIFS('통합 ① 거래입력'!$I$15:$I$2014,'통합 ① 거래입력'!$O$15:$O$2014,$G$1*100+8,'통합 ① 거래입력'!$D$15:$D$2014,$B6)</f>
        <v>0</v>
      </c>
      <c r="K6" s="49" t="n">
        <f aca="false">SUMIFS('통합 ① 거래입력'!$I$15:$I$2014,'통합 ① 거래입력'!$O$15:$O$2014,$G$1*100+9,'통합 ① 거래입력'!$D$15:$D$2014,$B6)</f>
        <v>0</v>
      </c>
      <c r="L6" s="49" t="n">
        <f aca="false">SUMIFS('통합 ① 거래입력'!$I$15:$I$2014,'통합 ① 거래입력'!$O$15:$O$2014,$G$1*100+10,'통합 ① 거래입력'!$D$15:$D$2014,$B6)</f>
        <v>0</v>
      </c>
      <c r="M6" s="49" t="n">
        <f aca="false">SUMIFS('통합 ① 거래입력'!$I$15:$I$2014,'통합 ① 거래입력'!$O$15:$O$2014,$G$1*100+11,'통합 ① 거래입력'!$D$15:$D$2014,$B6)</f>
        <v>0</v>
      </c>
      <c r="N6" s="49" t="n">
        <f aca="false">SUMIFS('통합 ① 거래입력'!$I$15:$I$2014,'통합 ① 거래입력'!$O$15:$O$2014,$G$1*100+12,'통합 ① 거래입력'!$D$15:$D$2014,$B6)</f>
        <v>0</v>
      </c>
      <c r="O6" s="40" t="n">
        <f aca="false">SUM($C6:$N6)</f>
        <v>0</v>
      </c>
      <c r="P6" s="49" t="n">
        <f aca="false">IFERROR(AVERAGEIF($C6:$N6,"&lt;&gt;0"),0)</f>
        <v>0</v>
      </c>
    </row>
    <row r="7" customFormat="false" ht="15" hidden="false" customHeight="false" outlineLevel="0" collapsed="false">
      <c r="A7" s="47"/>
      <c r="B7" s="48" t="s">
        <v>120</v>
      </c>
      <c r="C7" s="49" t="n">
        <f aca="false">SUMIFS('통합 ① 거래입력'!$I$15:$I$2014,'통합 ① 거래입력'!$O$15:$O$2014,$G$1*100+1,'통합 ① 거래입력'!$D$15:$D$2014,$B7)</f>
        <v>0</v>
      </c>
      <c r="D7" s="49" t="n">
        <f aca="false">SUMIFS('통합 ① 거래입력'!$I$15:$I$2014,'통합 ① 거래입력'!$O$15:$O$2014,$G$1*100+2,'통합 ① 거래입력'!$D$15:$D$2014,$B7)</f>
        <v>0</v>
      </c>
      <c r="E7" s="49" t="n">
        <f aca="false">SUMIFS('통합 ① 거래입력'!$I$15:$I$2014,'통합 ① 거래입력'!$O$15:$O$2014,$G$1*100+3,'통합 ① 거래입력'!$D$15:$D$2014,$B7)</f>
        <v>0</v>
      </c>
      <c r="F7" s="49" t="n">
        <f aca="false">SUMIFS('통합 ① 거래입력'!$I$15:$I$2014,'통합 ① 거래입력'!$O$15:$O$2014,$G$1*100+4,'통합 ① 거래입력'!$D$15:$D$2014,$B7)</f>
        <v>0</v>
      </c>
      <c r="G7" s="49" t="n">
        <f aca="false">SUMIFS('통합 ① 거래입력'!$I$15:$I$2014,'통합 ① 거래입력'!$O$15:$O$2014,$G$1*100+5,'통합 ① 거래입력'!$D$15:$D$2014,$B7)</f>
        <v>0</v>
      </c>
      <c r="H7" s="49" t="n">
        <f aca="false">SUMIFS('통합 ① 거래입력'!$I$15:$I$2014,'통합 ① 거래입력'!$O$15:$O$2014,$G$1*100+6,'통합 ① 거래입력'!$D$15:$D$2014,$B7)</f>
        <v>0</v>
      </c>
      <c r="I7" s="49" t="n">
        <f aca="false">SUMIFS('통합 ① 거래입력'!$I$15:$I$2014,'통합 ① 거래입력'!$O$15:$O$2014,$G$1*100+7,'통합 ① 거래입력'!$D$15:$D$2014,$B7)</f>
        <v>0</v>
      </c>
      <c r="J7" s="49" t="n">
        <f aca="false">SUMIFS('통합 ① 거래입력'!$I$15:$I$2014,'통합 ① 거래입력'!$O$15:$O$2014,$G$1*100+8,'통합 ① 거래입력'!$D$15:$D$2014,$B7)</f>
        <v>0</v>
      </c>
      <c r="K7" s="49" t="n">
        <f aca="false">SUMIFS('통합 ① 거래입력'!$I$15:$I$2014,'통합 ① 거래입력'!$O$15:$O$2014,$G$1*100+9,'통합 ① 거래입력'!$D$15:$D$2014,$B7)</f>
        <v>0</v>
      </c>
      <c r="L7" s="49" t="n">
        <f aca="false">SUMIFS('통합 ① 거래입력'!$I$15:$I$2014,'통합 ① 거래입력'!$O$15:$O$2014,$G$1*100+10,'통합 ① 거래입력'!$D$15:$D$2014,$B7)</f>
        <v>0</v>
      </c>
      <c r="M7" s="49" t="n">
        <f aca="false">SUMIFS('통합 ① 거래입력'!$I$15:$I$2014,'통합 ① 거래입력'!$O$15:$O$2014,$G$1*100+11,'통합 ① 거래입력'!$D$15:$D$2014,$B7)</f>
        <v>0</v>
      </c>
      <c r="N7" s="49" t="n">
        <f aca="false">SUMIFS('통합 ① 거래입력'!$I$15:$I$2014,'통합 ① 거래입력'!$O$15:$O$2014,$G$1*100+12,'통합 ① 거래입력'!$D$15:$D$2014,$B7)</f>
        <v>0</v>
      </c>
      <c r="O7" s="40" t="n">
        <f aca="false">SUM($C7:$N7)</f>
        <v>0</v>
      </c>
      <c r="P7" s="49" t="n">
        <f aca="false">IFERROR(AVERAGEIF($C7:$N7,"&lt;&gt;0"),0)</f>
        <v>0</v>
      </c>
    </row>
    <row r="8" customFormat="false" ht="15" hidden="false" customHeight="false" outlineLevel="0" collapsed="false">
      <c r="A8" s="47"/>
      <c r="B8" s="48" t="s">
        <v>121</v>
      </c>
      <c r="C8" s="49" t="n">
        <f aca="false">SUMIFS('통합 ① 거래입력'!$I$15:$I$2014,'통합 ① 거래입력'!$O$15:$O$2014,$G$1*100+1,'통합 ① 거래입력'!$D$15:$D$2014,$B8)</f>
        <v>0</v>
      </c>
      <c r="D8" s="49" t="n">
        <f aca="false">SUMIFS('통합 ① 거래입력'!$I$15:$I$2014,'통합 ① 거래입력'!$O$15:$O$2014,$G$1*100+2,'통합 ① 거래입력'!$D$15:$D$2014,$B8)</f>
        <v>0</v>
      </c>
      <c r="E8" s="49" t="n">
        <f aca="false">SUMIFS('통합 ① 거래입력'!$I$15:$I$2014,'통합 ① 거래입력'!$O$15:$O$2014,$G$1*100+3,'통합 ① 거래입력'!$D$15:$D$2014,$B8)</f>
        <v>0</v>
      </c>
      <c r="F8" s="49" t="n">
        <f aca="false">SUMIFS('통합 ① 거래입력'!$I$15:$I$2014,'통합 ① 거래입력'!$O$15:$O$2014,$G$1*100+4,'통합 ① 거래입력'!$D$15:$D$2014,$B8)</f>
        <v>0</v>
      </c>
      <c r="G8" s="49" t="n">
        <f aca="false">SUMIFS('통합 ① 거래입력'!$I$15:$I$2014,'통합 ① 거래입력'!$O$15:$O$2014,$G$1*100+5,'통합 ① 거래입력'!$D$15:$D$2014,$B8)</f>
        <v>0</v>
      </c>
      <c r="H8" s="49" t="n">
        <f aca="false">SUMIFS('통합 ① 거래입력'!$I$15:$I$2014,'통합 ① 거래입력'!$O$15:$O$2014,$G$1*100+6,'통합 ① 거래입력'!$D$15:$D$2014,$B8)</f>
        <v>0</v>
      </c>
      <c r="I8" s="49" t="n">
        <f aca="false">SUMIFS('통합 ① 거래입력'!$I$15:$I$2014,'통합 ① 거래입력'!$O$15:$O$2014,$G$1*100+7,'통합 ① 거래입력'!$D$15:$D$2014,$B8)</f>
        <v>0</v>
      </c>
      <c r="J8" s="49" t="n">
        <f aca="false">SUMIFS('통합 ① 거래입력'!$I$15:$I$2014,'통합 ① 거래입력'!$O$15:$O$2014,$G$1*100+8,'통합 ① 거래입력'!$D$15:$D$2014,$B8)</f>
        <v>0</v>
      </c>
      <c r="K8" s="49" t="n">
        <f aca="false">SUMIFS('통합 ① 거래입력'!$I$15:$I$2014,'통합 ① 거래입력'!$O$15:$O$2014,$G$1*100+9,'통합 ① 거래입력'!$D$15:$D$2014,$B8)</f>
        <v>0</v>
      </c>
      <c r="L8" s="49" t="n">
        <f aca="false">SUMIFS('통합 ① 거래입력'!$I$15:$I$2014,'통합 ① 거래입력'!$O$15:$O$2014,$G$1*100+10,'통합 ① 거래입력'!$D$15:$D$2014,$B8)</f>
        <v>0</v>
      </c>
      <c r="M8" s="49" t="n">
        <f aca="false">SUMIFS('통합 ① 거래입력'!$I$15:$I$2014,'통합 ① 거래입력'!$O$15:$O$2014,$G$1*100+11,'통합 ① 거래입력'!$D$15:$D$2014,$B8)</f>
        <v>0</v>
      </c>
      <c r="N8" s="49" t="n">
        <f aca="false">SUMIFS('통합 ① 거래입력'!$I$15:$I$2014,'통합 ① 거래입력'!$O$15:$O$2014,$G$1*100+12,'통합 ① 거래입력'!$D$15:$D$2014,$B8)</f>
        <v>0</v>
      </c>
      <c r="O8" s="40" t="n">
        <f aca="false">SUM($C8:$N8)</f>
        <v>0</v>
      </c>
      <c r="P8" s="49" t="n">
        <f aca="false">IFERROR(AVERAGEIF($C8:$N8,"&lt;&gt;0"),0)</f>
        <v>0</v>
      </c>
    </row>
    <row r="9" customFormat="false" ht="15" hidden="false" customHeight="false" outlineLevel="0" collapsed="false">
      <c r="A9" s="47"/>
      <c r="B9" s="48" t="s">
        <v>122</v>
      </c>
      <c r="C9" s="49" t="n">
        <f aca="false">SUMIFS('통합 ① 거래입력'!$I$15:$I$2014,'통합 ① 거래입력'!$O$15:$O$2014,$G$1*100+1,'통합 ① 거래입력'!$D$15:$D$2014,$B9)</f>
        <v>0</v>
      </c>
      <c r="D9" s="49" t="n">
        <f aca="false">SUMIFS('통합 ① 거래입력'!$I$15:$I$2014,'통합 ① 거래입력'!$O$15:$O$2014,$G$1*100+2,'통합 ① 거래입력'!$D$15:$D$2014,$B9)</f>
        <v>0</v>
      </c>
      <c r="E9" s="49" t="n">
        <f aca="false">SUMIFS('통합 ① 거래입력'!$I$15:$I$2014,'통합 ① 거래입력'!$O$15:$O$2014,$G$1*100+3,'통합 ① 거래입력'!$D$15:$D$2014,$B9)</f>
        <v>0</v>
      </c>
      <c r="F9" s="49" t="n">
        <f aca="false">SUMIFS('통합 ① 거래입력'!$I$15:$I$2014,'통합 ① 거래입력'!$O$15:$O$2014,$G$1*100+4,'통합 ① 거래입력'!$D$15:$D$2014,$B9)</f>
        <v>0</v>
      </c>
      <c r="G9" s="49" t="n">
        <f aca="false">SUMIFS('통합 ① 거래입력'!$I$15:$I$2014,'통합 ① 거래입력'!$O$15:$O$2014,$G$1*100+5,'통합 ① 거래입력'!$D$15:$D$2014,$B9)</f>
        <v>0</v>
      </c>
      <c r="H9" s="49" t="n">
        <f aca="false">SUMIFS('통합 ① 거래입력'!$I$15:$I$2014,'통합 ① 거래입력'!$O$15:$O$2014,$G$1*100+6,'통합 ① 거래입력'!$D$15:$D$2014,$B9)</f>
        <v>0</v>
      </c>
      <c r="I9" s="49" t="n">
        <f aca="false">SUMIFS('통합 ① 거래입력'!$I$15:$I$2014,'통합 ① 거래입력'!$O$15:$O$2014,$G$1*100+7,'통합 ① 거래입력'!$D$15:$D$2014,$B9)</f>
        <v>0</v>
      </c>
      <c r="J9" s="49" t="n">
        <f aca="false">SUMIFS('통합 ① 거래입력'!$I$15:$I$2014,'통합 ① 거래입력'!$O$15:$O$2014,$G$1*100+8,'통합 ① 거래입력'!$D$15:$D$2014,$B9)</f>
        <v>0</v>
      </c>
      <c r="K9" s="49" t="n">
        <f aca="false">SUMIFS('통합 ① 거래입력'!$I$15:$I$2014,'통합 ① 거래입력'!$O$15:$O$2014,$G$1*100+9,'통합 ① 거래입력'!$D$15:$D$2014,$B9)</f>
        <v>0</v>
      </c>
      <c r="L9" s="49" t="n">
        <f aca="false">SUMIFS('통합 ① 거래입력'!$I$15:$I$2014,'통합 ① 거래입력'!$O$15:$O$2014,$G$1*100+10,'통합 ① 거래입력'!$D$15:$D$2014,$B9)</f>
        <v>0</v>
      </c>
      <c r="M9" s="49" t="n">
        <f aca="false">SUMIFS('통합 ① 거래입력'!$I$15:$I$2014,'통합 ① 거래입력'!$O$15:$O$2014,$G$1*100+11,'통합 ① 거래입력'!$D$15:$D$2014,$B9)</f>
        <v>0</v>
      </c>
      <c r="N9" s="49" t="n">
        <f aca="false">SUMIFS('통합 ① 거래입력'!$I$15:$I$2014,'통합 ① 거래입력'!$O$15:$O$2014,$G$1*100+12,'통합 ① 거래입력'!$D$15:$D$2014,$B9)</f>
        <v>0</v>
      </c>
      <c r="O9" s="40" t="n">
        <f aca="false">SUM($C9:$N9)</f>
        <v>0</v>
      </c>
      <c r="P9" s="49" t="n">
        <f aca="false">IFERROR(AVERAGEIF($C9:$N9,"&lt;&gt;0"),0)</f>
        <v>0</v>
      </c>
    </row>
    <row r="10" customFormat="false" ht="15" hidden="false" customHeight="false" outlineLevel="0" collapsed="false">
      <c r="A10" s="47"/>
      <c r="B10" s="48" t="s">
        <v>123</v>
      </c>
      <c r="C10" s="49" t="n">
        <f aca="false">SUMIFS('통합 ① 거래입력'!$I$15:$I$2014,'통합 ① 거래입력'!$O$15:$O$2014,$G$1*100+1,'통합 ① 거래입력'!$D$15:$D$2014,$B10)</f>
        <v>0</v>
      </c>
      <c r="D10" s="49" t="n">
        <f aca="false">SUMIFS('통합 ① 거래입력'!$I$15:$I$2014,'통합 ① 거래입력'!$O$15:$O$2014,$G$1*100+2,'통합 ① 거래입력'!$D$15:$D$2014,$B10)</f>
        <v>0</v>
      </c>
      <c r="E10" s="49" t="n">
        <f aca="false">SUMIFS('통합 ① 거래입력'!$I$15:$I$2014,'통합 ① 거래입력'!$O$15:$O$2014,$G$1*100+3,'통합 ① 거래입력'!$D$15:$D$2014,$B10)</f>
        <v>0</v>
      </c>
      <c r="F10" s="49" t="n">
        <f aca="false">SUMIFS('통합 ① 거래입력'!$I$15:$I$2014,'통합 ① 거래입력'!$O$15:$O$2014,$G$1*100+4,'통합 ① 거래입력'!$D$15:$D$2014,$B10)</f>
        <v>0</v>
      </c>
      <c r="G10" s="49" t="n">
        <f aca="false">SUMIFS('통합 ① 거래입력'!$I$15:$I$2014,'통합 ① 거래입력'!$O$15:$O$2014,$G$1*100+5,'통합 ① 거래입력'!$D$15:$D$2014,$B10)</f>
        <v>0</v>
      </c>
      <c r="H10" s="49" t="n">
        <f aca="false">SUMIFS('통합 ① 거래입력'!$I$15:$I$2014,'통합 ① 거래입력'!$O$15:$O$2014,$G$1*100+6,'통합 ① 거래입력'!$D$15:$D$2014,$B10)</f>
        <v>0</v>
      </c>
      <c r="I10" s="49" t="n">
        <f aca="false">SUMIFS('통합 ① 거래입력'!$I$15:$I$2014,'통합 ① 거래입력'!$O$15:$O$2014,$G$1*100+7,'통합 ① 거래입력'!$D$15:$D$2014,$B10)</f>
        <v>0</v>
      </c>
      <c r="J10" s="49" t="n">
        <f aca="false">SUMIFS('통합 ① 거래입력'!$I$15:$I$2014,'통합 ① 거래입력'!$O$15:$O$2014,$G$1*100+8,'통합 ① 거래입력'!$D$15:$D$2014,$B10)</f>
        <v>0</v>
      </c>
      <c r="K10" s="49" t="n">
        <f aca="false">SUMIFS('통합 ① 거래입력'!$I$15:$I$2014,'통합 ① 거래입력'!$O$15:$O$2014,$G$1*100+9,'통합 ① 거래입력'!$D$15:$D$2014,$B10)</f>
        <v>0</v>
      </c>
      <c r="L10" s="49" t="n">
        <f aca="false">SUMIFS('통합 ① 거래입력'!$I$15:$I$2014,'통합 ① 거래입력'!$O$15:$O$2014,$G$1*100+10,'통합 ① 거래입력'!$D$15:$D$2014,$B10)</f>
        <v>0</v>
      </c>
      <c r="M10" s="49" t="n">
        <f aca="false">SUMIFS('통합 ① 거래입력'!$I$15:$I$2014,'통합 ① 거래입력'!$O$15:$O$2014,$G$1*100+11,'통합 ① 거래입력'!$D$15:$D$2014,$B10)</f>
        <v>0</v>
      </c>
      <c r="N10" s="49" t="n">
        <f aca="false">SUMIFS('통합 ① 거래입력'!$I$15:$I$2014,'통합 ① 거래입력'!$O$15:$O$2014,$G$1*100+12,'통합 ① 거래입력'!$D$15:$D$2014,$B10)</f>
        <v>0</v>
      </c>
      <c r="O10" s="40" t="n">
        <f aca="false">SUM($C10:$N10)</f>
        <v>0</v>
      </c>
      <c r="P10" s="49" t="n">
        <f aca="false">IFERROR(AVERAGEIF($C10:$N10,"&lt;&gt;0"),0)</f>
        <v>0</v>
      </c>
    </row>
    <row r="11" customFormat="false" ht="15" hidden="false" customHeight="false" outlineLevel="0" collapsed="false">
      <c r="A11" s="47"/>
      <c r="B11" s="48" t="s">
        <v>111</v>
      </c>
      <c r="C11" s="49" t="n">
        <f aca="false">SUMIFS('통합 ① 거래입력'!$I$15:$I$2014,'통합 ① 거래입력'!$O$15:$O$2014,$G$1*100+1,'통합 ① 거래입력'!$D$15:$D$2014,$B11)</f>
        <v>0</v>
      </c>
      <c r="D11" s="49" t="n">
        <f aca="false">SUMIFS('통합 ① 거래입력'!$I$15:$I$2014,'통합 ① 거래입력'!$O$15:$O$2014,$G$1*100+2,'통합 ① 거래입력'!$D$15:$D$2014,$B11)</f>
        <v>0</v>
      </c>
      <c r="E11" s="49" t="n">
        <f aca="false">SUMIFS('통합 ① 거래입력'!$I$15:$I$2014,'통합 ① 거래입력'!$O$15:$O$2014,$G$1*100+3,'통합 ① 거래입력'!$D$15:$D$2014,$B11)</f>
        <v>0</v>
      </c>
      <c r="F11" s="49" t="n">
        <f aca="false">SUMIFS('통합 ① 거래입력'!$I$15:$I$2014,'통합 ① 거래입력'!$O$15:$O$2014,$G$1*100+4,'통합 ① 거래입력'!$D$15:$D$2014,$B11)</f>
        <v>0</v>
      </c>
      <c r="G11" s="49" t="n">
        <f aca="false">SUMIFS('통합 ① 거래입력'!$I$15:$I$2014,'통합 ① 거래입력'!$O$15:$O$2014,$G$1*100+5,'통합 ① 거래입력'!$D$15:$D$2014,$B11)</f>
        <v>0</v>
      </c>
      <c r="H11" s="49" t="n">
        <f aca="false">SUMIFS('통합 ① 거래입력'!$I$15:$I$2014,'통합 ① 거래입력'!$O$15:$O$2014,$G$1*100+6,'통합 ① 거래입력'!$D$15:$D$2014,$B11)</f>
        <v>0</v>
      </c>
      <c r="I11" s="49" t="n">
        <f aca="false">SUMIFS('통합 ① 거래입력'!$I$15:$I$2014,'통합 ① 거래입력'!$O$15:$O$2014,$G$1*100+7,'통합 ① 거래입력'!$D$15:$D$2014,$B11)</f>
        <v>0</v>
      </c>
      <c r="J11" s="49" t="n">
        <f aca="false">SUMIFS('통합 ① 거래입력'!$I$15:$I$2014,'통합 ① 거래입력'!$O$15:$O$2014,$G$1*100+8,'통합 ① 거래입력'!$D$15:$D$2014,$B11)</f>
        <v>0</v>
      </c>
      <c r="K11" s="49" t="n">
        <f aca="false">SUMIFS('통합 ① 거래입력'!$I$15:$I$2014,'통합 ① 거래입력'!$O$15:$O$2014,$G$1*100+9,'통합 ① 거래입력'!$D$15:$D$2014,$B11)</f>
        <v>300000</v>
      </c>
      <c r="L11" s="49" t="n">
        <f aca="false">SUMIFS('통합 ① 거래입력'!$I$15:$I$2014,'통합 ① 거래입력'!$O$15:$O$2014,$G$1*100+10,'통합 ① 거래입력'!$D$15:$D$2014,$B11)</f>
        <v>0</v>
      </c>
      <c r="M11" s="49" t="n">
        <f aca="false">SUMIFS('통합 ① 거래입력'!$I$15:$I$2014,'통합 ① 거래입력'!$O$15:$O$2014,$G$1*100+11,'통합 ① 거래입력'!$D$15:$D$2014,$B11)</f>
        <v>0</v>
      </c>
      <c r="N11" s="49" t="n">
        <f aca="false">SUMIFS('통합 ① 거래입력'!$I$15:$I$2014,'통합 ① 거래입력'!$O$15:$O$2014,$G$1*100+12,'통합 ① 거래입력'!$D$15:$D$2014,$B11)</f>
        <v>0</v>
      </c>
      <c r="O11" s="40" t="n">
        <f aca="false">SUM($C11:$N11)</f>
        <v>300000</v>
      </c>
      <c r="P11" s="49" t="n">
        <f aca="false">IFERROR(AVERAGEIF($C11:$N11,"&lt;&gt;0"),0)</f>
        <v>300000</v>
      </c>
    </row>
    <row r="12" customFormat="false" ht="15" hidden="false" customHeight="false" outlineLevel="0" collapsed="false">
      <c r="A12" s="47"/>
      <c r="B12" s="48" t="s">
        <v>124</v>
      </c>
      <c r="C12" s="49" t="n">
        <f aca="false">SUMIFS('통합 ① 거래입력'!$I$15:$I$2014,'통합 ① 거래입력'!$O$15:$O$2014,$G$1*100+1,'통합 ① 거래입력'!$D$15:$D$2014,$B12)</f>
        <v>0</v>
      </c>
      <c r="D12" s="49" t="n">
        <f aca="false">SUMIFS('통합 ① 거래입력'!$I$15:$I$2014,'통합 ① 거래입력'!$O$15:$O$2014,$G$1*100+2,'통합 ① 거래입력'!$D$15:$D$2014,$B12)</f>
        <v>0</v>
      </c>
      <c r="E12" s="49" t="n">
        <f aca="false">SUMIFS('통합 ① 거래입력'!$I$15:$I$2014,'통합 ① 거래입력'!$O$15:$O$2014,$G$1*100+3,'통합 ① 거래입력'!$D$15:$D$2014,$B12)</f>
        <v>0</v>
      </c>
      <c r="F12" s="49" t="n">
        <f aca="false">SUMIFS('통합 ① 거래입력'!$I$15:$I$2014,'통합 ① 거래입력'!$O$15:$O$2014,$G$1*100+4,'통합 ① 거래입력'!$D$15:$D$2014,$B12)</f>
        <v>0</v>
      </c>
      <c r="G12" s="49" t="n">
        <f aca="false">SUMIFS('통합 ① 거래입력'!$I$15:$I$2014,'통합 ① 거래입력'!$O$15:$O$2014,$G$1*100+5,'통합 ① 거래입력'!$D$15:$D$2014,$B12)</f>
        <v>0</v>
      </c>
      <c r="H12" s="49" t="n">
        <f aca="false">SUMIFS('통합 ① 거래입력'!$I$15:$I$2014,'통합 ① 거래입력'!$O$15:$O$2014,$G$1*100+6,'통합 ① 거래입력'!$D$15:$D$2014,$B12)</f>
        <v>0</v>
      </c>
      <c r="I12" s="49" t="n">
        <f aca="false">SUMIFS('통합 ① 거래입력'!$I$15:$I$2014,'통합 ① 거래입력'!$O$15:$O$2014,$G$1*100+7,'통합 ① 거래입력'!$D$15:$D$2014,$B12)</f>
        <v>0</v>
      </c>
      <c r="J12" s="49" t="n">
        <f aca="false">SUMIFS('통합 ① 거래입력'!$I$15:$I$2014,'통합 ① 거래입력'!$O$15:$O$2014,$G$1*100+8,'통합 ① 거래입력'!$D$15:$D$2014,$B12)</f>
        <v>0</v>
      </c>
      <c r="K12" s="49" t="n">
        <f aca="false">SUMIFS('통합 ① 거래입력'!$I$15:$I$2014,'통합 ① 거래입력'!$O$15:$O$2014,$G$1*100+9,'통합 ① 거래입력'!$D$15:$D$2014,$B12)</f>
        <v>0</v>
      </c>
      <c r="L12" s="49" t="n">
        <f aca="false">SUMIFS('통합 ① 거래입력'!$I$15:$I$2014,'통합 ① 거래입력'!$O$15:$O$2014,$G$1*100+10,'통합 ① 거래입력'!$D$15:$D$2014,$B12)</f>
        <v>0</v>
      </c>
      <c r="M12" s="49" t="n">
        <f aca="false">SUMIFS('통합 ① 거래입력'!$I$15:$I$2014,'통합 ① 거래입력'!$O$15:$O$2014,$G$1*100+11,'통합 ① 거래입력'!$D$15:$D$2014,$B12)</f>
        <v>0</v>
      </c>
      <c r="N12" s="49" t="n">
        <f aca="false">SUMIFS('통합 ① 거래입력'!$I$15:$I$2014,'통합 ① 거래입력'!$O$15:$O$2014,$G$1*100+12,'통합 ① 거래입력'!$D$15:$D$2014,$B12)</f>
        <v>0</v>
      </c>
      <c r="O12" s="40" t="n">
        <f aca="false">SUM($C12:$N12)</f>
        <v>0</v>
      </c>
      <c r="P12" s="49" t="n">
        <f aca="false">IFERROR(AVERAGEIF($C12:$N12,"&lt;&gt;0"),0)</f>
        <v>0</v>
      </c>
    </row>
    <row r="13" customFormat="false" ht="15" hidden="false" customHeight="false" outlineLevel="0" collapsed="false">
      <c r="A13" s="47"/>
      <c r="B13" s="48" t="s">
        <v>125</v>
      </c>
      <c r="C13" s="49" t="n">
        <f aca="false">SUMIFS('통합 ① 거래입력'!$I$15:$I$2014,'통합 ① 거래입력'!$O$15:$O$2014,$G$1*100+1,'통합 ① 거래입력'!$D$15:$D$2014,$B13)</f>
        <v>0</v>
      </c>
      <c r="D13" s="49" t="n">
        <f aca="false">SUMIFS('통합 ① 거래입력'!$I$15:$I$2014,'통합 ① 거래입력'!$O$15:$O$2014,$G$1*100+2,'통합 ① 거래입력'!$D$15:$D$2014,$B13)</f>
        <v>0</v>
      </c>
      <c r="E13" s="49" t="n">
        <f aca="false">SUMIFS('통합 ① 거래입력'!$I$15:$I$2014,'통합 ① 거래입력'!$O$15:$O$2014,$G$1*100+3,'통합 ① 거래입력'!$D$15:$D$2014,$B13)</f>
        <v>0</v>
      </c>
      <c r="F13" s="49" t="n">
        <f aca="false">SUMIFS('통합 ① 거래입력'!$I$15:$I$2014,'통합 ① 거래입력'!$O$15:$O$2014,$G$1*100+4,'통합 ① 거래입력'!$D$15:$D$2014,$B13)</f>
        <v>0</v>
      </c>
      <c r="G13" s="49" t="n">
        <f aca="false">SUMIFS('통합 ① 거래입력'!$I$15:$I$2014,'통합 ① 거래입력'!$O$15:$O$2014,$G$1*100+5,'통합 ① 거래입력'!$D$15:$D$2014,$B13)</f>
        <v>0</v>
      </c>
      <c r="H13" s="49" t="n">
        <f aca="false">SUMIFS('통합 ① 거래입력'!$I$15:$I$2014,'통합 ① 거래입력'!$O$15:$O$2014,$G$1*100+6,'통합 ① 거래입력'!$D$15:$D$2014,$B13)</f>
        <v>0</v>
      </c>
      <c r="I13" s="49" t="n">
        <f aca="false">SUMIFS('통합 ① 거래입력'!$I$15:$I$2014,'통합 ① 거래입력'!$O$15:$O$2014,$G$1*100+7,'통합 ① 거래입력'!$D$15:$D$2014,$B13)</f>
        <v>0</v>
      </c>
      <c r="J13" s="49" t="n">
        <f aca="false">SUMIFS('통합 ① 거래입력'!$I$15:$I$2014,'통합 ① 거래입력'!$O$15:$O$2014,$G$1*100+8,'통합 ① 거래입력'!$D$15:$D$2014,$B13)</f>
        <v>0</v>
      </c>
      <c r="K13" s="49" t="n">
        <f aca="false">SUMIFS('통합 ① 거래입력'!$I$15:$I$2014,'통합 ① 거래입력'!$O$15:$O$2014,$G$1*100+9,'통합 ① 거래입력'!$D$15:$D$2014,$B13)</f>
        <v>0</v>
      </c>
      <c r="L13" s="49" t="n">
        <f aca="false">SUMIFS('통합 ① 거래입력'!$I$15:$I$2014,'통합 ① 거래입력'!$O$15:$O$2014,$G$1*100+10,'통합 ① 거래입력'!$D$15:$D$2014,$B13)</f>
        <v>0</v>
      </c>
      <c r="M13" s="49" t="n">
        <f aca="false">SUMIFS('통합 ① 거래입력'!$I$15:$I$2014,'통합 ① 거래입력'!$O$15:$O$2014,$G$1*100+11,'통합 ① 거래입력'!$D$15:$D$2014,$B13)</f>
        <v>0</v>
      </c>
      <c r="N13" s="49" t="n">
        <f aca="false">SUMIFS('통합 ① 거래입력'!$I$15:$I$2014,'통합 ① 거래입력'!$O$15:$O$2014,$G$1*100+12,'통합 ① 거래입력'!$D$15:$D$2014,$B13)</f>
        <v>0</v>
      </c>
      <c r="O13" s="40" t="n">
        <f aca="false">SUM($C13:$N13)</f>
        <v>0</v>
      </c>
      <c r="P13" s="49" t="n">
        <f aca="false">IFERROR(AVERAGEIF($C13:$N13,"&lt;&gt;0"),0)</f>
        <v>0</v>
      </c>
    </row>
    <row r="14" customFormat="false" ht="15" hidden="false" customHeight="false" outlineLevel="0" collapsed="false">
      <c r="A14" s="16"/>
      <c r="B14" s="17" t="s">
        <v>126</v>
      </c>
      <c r="C14" s="24" t="n">
        <f aca="false">SUM(C5:C13)</f>
        <v>0</v>
      </c>
      <c r="D14" s="24" t="n">
        <f aca="false">SUM(D5:D13)</f>
        <v>0</v>
      </c>
      <c r="E14" s="24" t="n">
        <f aca="false">SUM(E5:E13)</f>
        <v>0</v>
      </c>
      <c r="F14" s="24" t="n">
        <f aca="false">SUM(F5:F13)</f>
        <v>0</v>
      </c>
      <c r="G14" s="24" t="n">
        <f aca="false">SUM(G5:G13)</f>
        <v>0</v>
      </c>
      <c r="H14" s="24" t="n">
        <f aca="false">SUM(H5:H13)</f>
        <v>0</v>
      </c>
      <c r="I14" s="24" t="n">
        <f aca="false">SUM(I5:I13)</f>
        <v>0</v>
      </c>
      <c r="J14" s="24" t="n">
        <f aca="false">SUM(J5:J13)</f>
        <v>0</v>
      </c>
      <c r="K14" s="24" t="n">
        <f aca="false">SUM(K5:K13)</f>
        <v>5120000</v>
      </c>
      <c r="L14" s="24" t="n">
        <f aca="false">SUM(L5:L13)</f>
        <v>0</v>
      </c>
      <c r="M14" s="24" t="n">
        <f aca="false">SUM(M5:M13)</f>
        <v>0</v>
      </c>
      <c r="N14" s="24" t="n">
        <f aca="false">SUM(N5:N13)</f>
        <v>0</v>
      </c>
      <c r="O14" s="24" t="n">
        <f aca="false">SUM(O5:O13)</f>
        <v>5120000</v>
      </c>
      <c r="P14" s="24" t="n">
        <f aca="false">SUM(P5:P13)</f>
        <v>5120000</v>
      </c>
    </row>
    <row r="16" customFormat="false" ht="15" hidden="false" customHeight="false" outlineLevel="0" collapsed="false">
      <c r="A16" s="50" t="s">
        <v>127</v>
      </c>
      <c r="B16" s="51" t="s">
        <v>128</v>
      </c>
      <c r="C16" s="52" t="n">
        <f aca="false">SUMIFS('통합 ① 거래입력'!$J$15:$J$2014,'통합 ① 거래입력'!$O$15:$O$2014,$G$1*100+1,'통합 ① 거래입력'!$D$15:$D$2014,$B16)</f>
        <v>0</v>
      </c>
      <c r="D16" s="52" t="n">
        <f aca="false">SUMIFS('통합 ① 거래입력'!$J$15:$J$2014,'통합 ① 거래입력'!$O$15:$O$2014,$G$1*100+2,'통합 ① 거래입력'!$D$15:$D$2014,$B16)</f>
        <v>0</v>
      </c>
      <c r="E16" s="52" t="n">
        <f aca="false">SUMIFS('통합 ① 거래입력'!$J$15:$J$2014,'통합 ① 거래입력'!$O$15:$O$2014,$G$1*100+3,'통합 ① 거래입력'!$D$15:$D$2014,$B16)</f>
        <v>0</v>
      </c>
      <c r="F16" s="52" t="n">
        <f aca="false">SUMIFS('통합 ① 거래입력'!$J$15:$J$2014,'통합 ① 거래입력'!$O$15:$O$2014,$G$1*100+4,'통합 ① 거래입력'!$D$15:$D$2014,$B16)</f>
        <v>0</v>
      </c>
      <c r="G16" s="52" t="n">
        <f aca="false">SUMIFS('통합 ① 거래입력'!$J$15:$J$2014,'통합 ① 거래입력'!$O$15:$O$2014,$G$1*100+5,'통합 ① 거래입력'!$D$15:$D$2014,$B16)</f>
        <v>0</v>
      </c>
      <c r="H16" s="52" t="n">
        <f aca="false">SUMIFS('통합 ① 거래입력'!$J$15:$J$2014,'통합 ① 거래입력'!$O$15:$O$2014,$G$1*100+6,'통합 ① 거래입력'!$D$15:$D$2014,$B16)</f>
        <v>0</v>
      </c>
      <c r="I16" s="52" t="n">
        <f aca="false">SUMIFS('통합 ① 거래입력'!$J$15:$J$2014,'통합 ① 거래입력'!$O$15:$O$2014,$G$1*100+7,'통합 ① 거래입력'!$D$15:$D$2014,$B16)</f>
        <v>0</v>
      </c>
      <c r="J16" s="52" t="n">
        <f aca="false">SUMIFS('통합 ① 거래입력'!$J$15:$J$2014,'통합 ① 거래입력'!$O$15:$O$2014,$G$1*100+8,'통합 ① 거래입력'!$D$15:$D$2014,$B16)</f>
        <v>0</v>
      </c>
      <c r="K16" s="52" t="n">
        <f aca="false">SUMIFS('통합 ① 거래입력'!$J$15:$J$2014,'통합 ① 거래입력'!$O$15:$O$2014,$G$1*100+9,'통합 ① 거래입력'!$D$15:$D$2014,$B16)</f>
        <v>0</v>
      </c>
      <c r="L16" s="52" t="n">
        <f aca="false">SUMIFS('통합 ① 거래입력'!$J$15:$J$2014,'통합 ① 거래입력'!$O$15:$O$2014,$G$1*100+10,'통합 ① 거래입력'!$D$15:$D$2014,$B16)</f>
        <v>0</v>
      </c>
      <c r="M16" s="52" t="n">
        <f aca="false">SUMIFS('통합 ① 거래입력'!$J$15:$J$2014,'통합 ① 거래입력'!$O$15:$O$2014,$G$1*100+11,'통합 ① 거래입력'!$D$15:$D$2014,$B16)</f>
        <v>0</v>
      </c>
      <c r="N16" s="52" t="n">
        <f aca="false">SUMIFS('통합 ① 거래입력'!$J$15:$J$2014,'통합 ① 거래입력'!$O$15:$O$2014,$G$1*100+12,'통합 ① 거래입력'!$D$15:$D$2014,$B16)</f>
        <v>0</v>
      </c>
      <c r="O16" s="53" t="n">
        <f aca="false">SUM($C16:$N16)</f>
        <v>0</v>
      </c>
      <c r="P16" s="52" t="n">
        <f aca="false">IFERROR(AVERAGEIF($C16:$N16,"&lt;&gt;0"),0)</f>
        <v>0</v>
      </c>
    </row>
    <row r="17" customFormat="false" ht="15" hidden="false" customHeight="false" outlineLevel="0" collapsed="false">
      <c r="A17" s="50"/>
      <c r="B17" s="51" t="s">
        <v>92</v>
      </c>
      <c r="C17" s="52" t="n">
        <f aca="false">SUMIFS('통합 ① 거래입력'!$J$15:$J$2014,'통합 ① 거래입력'!$O$15:$O$2014,$G$1*100+1,'통합 ① 거래입력'!$D$15:$D$2014,$B17)</f>
        <v>0</v>
      </c>
      <c r="D17" s="52" t="n">
        <f aca="false">SUMIFS('통합 ① 거래입력'!$J$15:$J$2014,'통합 ① 거래입력'!$O$15:$O$2014,$G$1*100+2,'통합 ① 거래입력'!$D$15:$D$2014,$B17)</f>
        <v>0</v>
      </c>
      <c r="E17" s="52" t="n">
        <f aca="false">SUMIFS('통합 ① 거래입력'!$J$15:$J$2014,'통합 ① 거래입력'!$O$15:$O$2014,$G$1*100+3,'통합 ① 거래입력'!$D$15:$D$2014,$B17)</f>
        <v>0</v>
      </c>
      <c r="F17" s="52" t="n">
        <f aca="false">SUMIFS('통합 ① 거래입력'!$J$15:$J$2014,'통합 ① 거래입력'!$O$15:$O$2014,$G$1*100+4,'통합 ① 거래입력'!$D$15:$D$2014,$B17)</f>
        <v>0</v>
      </c>
      <c r="G17" s="52" t="n">
        <f aca="false">SUMIFS('통합 ① 거래입력'!$J$15:$J$2014,'통합 ① 거래입력'!$O$15:$O$2014,$G$1*100+5,'통합 ① 거래입력'!$D$15:$D$2014,$B17)</f>
        <v>0</v>
      </c>
      <c r="H17" s="52" t="n">
        <f aca="false">SUMIFS('통합 ① 거래입력'!$J$15:$J$2014,'통합 ① 거래입력'!$O$15:$O$2014,$G$1*100+6,'통합 ① 거래입력'!$D$15:$D$2014,$B17)</f>
        <v>0</v>
      </c>
      <c r="I17" s="52" t="n">
        <f aca="false">SUMIFS('통합 ① 거래입력'!$J$15:$J$2014,'통합 ① 거래입력'!$O$15:$O$2014,$G$1*100+7,'통합 ① 거래입력'!$D$15:$D$2014,$B17)</f>
        <v>0</v>
      </c>
      <c r="J17" s="52" t="n">
        <f aca="false">SUMIFS('통합 ① 거래입력'!$J$15:$J$2014,'통합 ① 거래입력'!$O$15:$O$2014,$G$1*100+8,'통합 ① 거래입력'!$D$15:$D$2014,$B17)</f>
        <v>0</v>
      </c>
      <c r="K17" s="52" t="n">
        <f aca="false">SUMIFS('통합 ① 거래입력'!$J$15:$J$2014,'통합 ① 거래입력'!$O$15:$O$2014,$G$1*100+9,'통합 ① 거래입력'!$D$15:$D$2014,$B17)</f>
        <v>2610000</v>
      </c>
      <c r="L17" s="52" t="n">
        <f aca="false">SUMIFS('통합 ① 거래입력'!$J$15:$J$2014,'통합 ① 거래입력'!$O$15:$O$2014,$G$1*100+10,'통합 ① 거래입력'!$D$15:$D$2014,$B17)</f>
        <v>0</v>
      </c>
      <c r="M17" s="52" t="n">
        <f aca="false">SUMIFS('통합 ① 거래입력'!$J$15:$J$2014,'통합 ① 거래입력'!$O$15:$O$2014,$G$1*100+11,'통합 ① 거래입력'!$D$15:$D$2014,$B17)</f>
        <v>0</v>
      </c>
      <c r="N17" s="52" t="n">
        <f aca="false">SUMIFS('통합 ① 거래입력'!$J$15:$J$2014,'통합 ① 거래입력'!$O$15:$O$2014,$G$1*100+12,'통합 ① 거래입력'!$D$15:$D$2014,$B17)</f>
        <v>0</v>
      </c>
      <c r="O17" s="53" t="n">
        <f aca="false">SUM($C17:$N17)</f>
        <v>2610000</v>
      </c>
      <c r="P17" s="52" t="n">
        <f aca="false">IFERROR(AVERAGEIF($C17:$N17,"&lt;&gt;0"),0)</f>
        <v>2610000</v>
      </c>
    </row>
    <row r="18" customFormat="false" ht="15" hidden="false" customHeight="false" outlineLevel="0" collapsed="false">
      <c r="A18" s="50"/>
      <c r="B18" s="54" t="s">
        <v>105</v>
      </c>
      <c r="C18" s="52" t="n">
        <f aca="false">SUMIFS('통합 ① 거래입력'!$J$15:$J$2014,'통합 ① 거래입력'!$O$15:$O$2014,$G$1*100+1,'통합 ① 거래입력'!$D$15:$D$2014,$B18)</f>
        <v>0</v>
      </c>
      <c r="D18" s="52" t="n">
        <f aca="false">SUMIFS('통합 ① 거래입력'!$J$15:$J$2014,'통합 ① 거래입력'!$O$15:$O$2014,$G$1*100+2,'통합 ① 거래입력'!$D$15:$D$2014,$B18)</f>
        <v>0</v>
      </c>
      <c r="E18" s="52" t="n">
        <f aca="false">SUMIFS('통합 ① 거래입력'!$J$15:$J$2014,'통합 ① 거래입력'!$O$15:$O$2014,$G$1*100+3,'통합 ① 거래입력'!$D$15:$D$2014,$B18)</f>
        <v>0</v>
      </c>
      <c r="F18" s="52" t="n">
        <f aca="false">SUMIFS('통합 ① 거래입력'!$J$15:$J$2014,'통합 ① 거래입력'!$O$15:$O$2014,$G$1*100+4,'통합 ① 거래입력'!$D$15:$D$2014,$B18)</f>
        <v>0</v>
      </c>
      <c r="G18" s="52" t="n">
        <f aca="false">SUMIFS('통합 ① 거래입력'!$J$15:$J$2014,'통합 ① 거래입력'!$O$15:$O$2014,$G$1*100+5,'통합 ① 거래입력'!$D$15:$D$2014,$B18)</f>
        <v>0</v>
      </c>
      <c r="H18" s="52" t="n">
        <f aca="false">SUMIFS('통합 ① 거래입력'!$J$15:$J$2014,'통합 ① 거래입력'!$O$15:$O$2014,$G$1*100+6,'통합 ① 거래입력'!$D$15:$D$2014,$B18)</f>
        <v>0</v>
      </c>
      <c r="I18" s="52" t="n">
        <f aca="false">SUMIFS('통합 ① 거래입력'!$J$15:$J$2014,'통합 ① 거래입력'!$O$15:$O$2014,$G$1*100+7,'통합 ① 거래입력'!$D$15:$D$2014,$B18)</f>
        <v>0</v>
      </c>
      <c r="J18" s="52" t="n">
        <f aca="false">SUMIFS('통합 ① 거래입력'!$J$15:$J$2014,'통합 ① 거래입력'!$O$15:$O$2014,$G$1*100+8,'통합 ① 거래입력'!$D$15:$D$2014,$B18)</f>
        <v>0</v>
      </c>
      <c r="K18" s="52" t="n">
        <f aca="false">SUMIFS('통합 ① 거래입력'!$J$15:$J$2014,'통합 ① 거래입력'!$O$15:$O$2014,$G$1*100+9,'통합 ① 거래입력'!$D$15:$D$2014,$B18)</f>
        <v>412000</v>
      </c>
      <c r="L18" s="52" t="n">
        <f aca="false">SUMIFS('통합 ① 거래입력'!$J$15:$J$2014,'통합 ① 거래입력'!$O$15:$O$2014,$G$1*100+10,'통합 ① 거래입력'!$D$15:$D$2014,$B18)</f>
        <v>0</v>
      </c>
      <c r="M18" s="52" t="n">
        <f aca="false">SUMIFS('통합 ① 거래입력'!$J$15:$J$2014,'통합 ① 거래입력'!$O$15:$O$2014,$G$1*100+11,'통합 ① 거래입력'!$D$15:$D$2014,$B18)</f>
        <v>0</v>
      </c>
      <c r="N18" s="52" t="n">
        <f aca="false">SUMIFS('통합 ① 거래입력'!$J$15:$J$2014,'통합 ① 거래입력'!$O$15:$O$2014,$G$1*100+12,'통합 ① 거래입력'!$D$15:$D$2014,$B18)</f>
        <v>0</v>
      </c>
      <c r="O18" s="53" t="n">
        <f aca="false">SUM($C18:$N18)</f>
        <v>412000</v>
      </c>
      <c r="P18" s="52" t="n">
        <f aca="false">IFERROR(AVERAGEIF($C18:$N18,"&lt;&gt;0"),0)</f>
        <v>412000</v>
      </c>
    </row>
    <row r="19" customFormat="false" ht="15" hidden="false" customHeight="false" outlineLevel="0" collapsed="false">
      <c r="A19" s="50"/>
      <c r="B19" s="51" t="s">
        <v>129</v>
      </c>
      <c r="C19" s="52" t="n">
        <f aca="false">SUMIFS('통합 ① 거래입력'!$J$15:$J$2014,'통합 ① 거래입력'!$O$15:$O$2014,$G$1*100+1,'통합 ① 거래입력'!$D$15:$D$2014,$B19)</f>
        <v>0</v>
      </c>
      <c r="D19" s="52" t="n">
        <f aca="false">SUMIFS('통합 ① 거래입력'!$J$15:$J$2014,'통합 ① 거래입력'!$O$15:$O$2014,$G$1*100+2,'통합 ① 거래입력'!$D$15:$D$2014,$B19)</f>
        <v>0</v>
      </c>
      <c r="E19" s="52" t="n">
        <f aca="false">SUMIFS('통합 ① 거래입력'!$J$15:$J$2014,'통합 ① 거래입력'!$O$15:$O$2014,$G$1*100+3,'통합 ① 거래입력'!$D$15:$D$2014,$B19)</f>
        <v>0</v>
      </c>
      <c r="F19" s="52" t="n">
        <f aca="false">SUMIFS('통합 ① 거래입력'!$J$15:$J$2014,'통합 ① 거래입력'!$O$15:$O$2014,$G$1*100+4,'통합 ① 거래입력'!$D$15:$D$2014,$B19)</f>
        <v>0</v>
      </c>
      <c r="G19" s="52" t="n">
        <f aca="false">SUMIFS('통합 ① 거래입력'!$J$15:$J$2014,'통합 ① 거래입력'!$O$15:$O$2014,$G$1*100+5,'통합 ① 거래입력'!$D$15:$D$2014,$B19)</f>
        <v>0</v>
      </c>
      <c r="H19" s="52" t="n">
        <f aca="false">SUMIFS('통합 ① 거래입력'!$J$15:$J$2014,'통합 ① 거래입력'!$O$15:$O$2014,$G$1*100+6,'통합 ① 거래입력'!$D$15:$D$2014,$B19)</f>
        <v>0</v>
      </c>
      <c r="I19" s="52" t="n">
        <f aca="false">SUMIFS('통합 ① 거래입력'!$J$15:$J$2014,'통합 ① 거래입력'!$O$15:$O$2014,$G$1*100+7,'통합 ① 거래입력'!$D$15:$D$2014,$B19)</f>
        <v>0</v>
      </c>
      <c r="J19" s="52" t="n">
        <f aca="false">SUMIFS('통합 ① 거래입력'!$J$15:$J$2014,'통합 ① 거래입력'!$O$15:$O$2014,$G$1*100+8,'통합 ① 거래입력'!$D$15:$D$2014,$B19)</f>
        <v>0</v>
      </c>
      <c r="K19" s="52" t="n">
        <f aca="false">SUMIFS('통합 ① 거래입력'!$J$15:$J$2014,'통합 ① 거래입력'!$O$15:$O$2014,$G$1*100+9,'통합 ① 거래입력'!$D$15:$D$2014,$B19)</f>
        <v>0</v>
      </c>
      <c r="L19" s="52" t="n">
        <f aca="false">SUMIFS('통합 ① 거래입력'!$J$15:$J$2014,'통합 ① 거래입력'!$O$15:$O$2014,$G$1*100+10,'통합 ① 거래입력'!$D$15:$D$2014,$B19)</f>
        <v>0</v>
      </c>
      <c r="M19" s="52" t="n">
        <f aca="false">SUMIFS('통합 ① 거래입력'!$J$15:$J$2014,'통합 ① 거래입력'!$O$15:$O$2014,$G$1*100+11,'통합 ① 거래입력'!$D$15:$D$2014,$B19)</f>
        <v>0</v>
      </c>
      <c r="N19" s="52" t="n">
        <f aca="false">SUMIFS('통합 ① 거래입력'!$J$15:$J$2014,'통합 ① 거래입력'!$O$15:$O$2014,$G$1*100+12,'통합 ① 거래입력'!$D$15:$D$2014,$B19)</f>
        <v>0</v>
      </c>
      <c r="O19" s="53" t="n">
        <f aca="false">SUM($C19:$N19)</f>
        <v>0</v>
      </c>
      <c r="P19" s="52" t="n">
        <f aca="false">IFERROR(AVERAGEIF($C19:$N19,"&lt;&gt;0"),0)</f>
        <v>0</v>
      </c>
    </row>
    <row r="20" customFormat="false" ht="15" hidden="false" customHeight="false" outlineLevel="0" collapsed="false">
      <c r="A20" s="50"/>
      <c r="B20" s="51" t="s">
        <v>96</v>
      </c>
      <c r="C20" s="52" t="n">
        <f aca="false">SUMIFS('통합 ① 거래입력'!$J$15:$J$2014,'통합 ① 거래입력'!$O$15:$O$2014,$G$1*100+1,'통합 ① 거래입력'!$D$15:$D$2014,$B20)</f>
        <v>0</v>
      </c>
      <c r="D20" s="52" t="n">
        <f aca="false">SUMIFS('통합 ① 거래입력'!$J$15:$J$2014,'통합 ① 거래입력'!$O$15:$O$2014,$G$1*100+2,'통합 ① 거래입력'!$D$15:$D$2014,$B20)</f>
        <v>0</v>
      </c>
      <c r="E20" s="52" t="n">
        <f aca="false">SUMIFS('통합 ① 거래입력'!$J$15:$J$2014,'통합 ① 거래입력'!$O$15:$O$2014,$G$1*100+3,'통합 ① 거래입력'!$D$15:$D$2014,$B20)</f>
        <v>0</v>
      </c>
      <c r="F20" s="52" t="n">
        <f aca="false">SUMIFS('통합 ① 거래입력'!$J$15:$J$2014,'통합 ① 거래입력'!$O$15:$O$2014,$G$1*100+4,'통합 ① 거래입력'!$D$15:$D$2014,$B20)</f>
        <v>0</v>
      </c>
      <c r="G20" s="52" t="n">
        <f aca="false">SUMIFS('통합 ① 거래입력'!$J$15:$J$2014,'통합 ① 거래입력'!$O$15:$O$2014,$G$1*100+5,'통합 ① 거래입력'!$D$15:$D$2014,$B20)</f>
        <v>0</v>
      </c>
      <c r="H20" s="52" t="n">
        <f aca="false">SUMIFS('통합 ① 거래입력'!$J$15:$J$2014,'통합 ① 거래입력'!$O$15:$O$2014,$G$1*100+6,'통합 ① 거래입력'!$D$15:$D$2014,$B20)</f>
        <v>0</v>
      </c>
      <c r="I20" s="52" t="n">
        <f aca="false">SUMIFS('통합 ① 거래입력'!$J$15:$J$2014,'통합 ① 거래입력'!$O$15:$O$2014,$G$1*100+7,'통합 ① 거래입력'!$D$15:$D$2014,$B20)</f>
        <v>0</v>
      </c>
      <c r="J20" s="52" t="n">
        <f aca="false">SUMIFS('통합 ① 거래입력'!$J$15:$J$2014,'통합 ① 거래입력'!$O$15:$O$2014,$G$1*100+8,'통합 ① 거래입력'!$D$15:$D$2014,$B20)</f>
        <v>0</v>
      </c>
      <c r="K20" s="52" t="n">
        <f aca="false">SUMIFS('통합 ① 거래입력'!$J$15:$J$2014,'통합 ① 거래입력'!$O$15:$O$2014,$G$1*100+9,'통합 ① 거래입력'!$D$15:$D$2014,$B20)</f>
        <v>850000</v>
      </c>
      <c r="L20" s="52" t="n">
        <f aca="false">SUMIFS('통합 ① 거래입력'!$J$15:$J$2014,'통합 ① 거래입력'!$O$15:$O$2014,$G$1*100+10,'통합 ① 거래입력'!$D$15:$D$2014,$B20)</f>
        <v>0</v>
      </c>
      <c r="M20" s="52" t="n">
        <f aca="false">SUMIFS('통합 ① 거래입력'!$J$15:$J$2014,'통합 ① 거래입력'!$O$15:$O$2014,$G$1*100+11,'통합 ① 거래입력'!$D$15:$D$2014,$B20)</f>
        <v>0</v>
      </c>
      <c r="N20" s="52" t="n">
        <f aca="false">SUMIFS('통합 ① 거래입력'!$J$15:$J$2014,'통합 ① 거래입력'!$O$15:$O$2014,$G$1*100+12,'통합 ① 거래입력'!$D$15:$D$2014,$B20)</f>
        <v>0</v>
      </c>
      <c r="O20" s="53" t="n">
        <f aca="false">SUM($C20:$N20)</f>
        <v>850000</v>
      </c>
      <c r="P20" s="52" t="n">
        <f aca="false">IFERROR(AVERAGEIF($C20:$N20,"&lt;&gt;0"),0)</f>
        <v>850000</v>
      </c>
    </row>
    <row r="21" customFormat="false" ht="15" hidden="false" customHeight="false" outlineLevel="0" collapsed="false">
      <c r="A21" s="50"/>
      <c r="B21" s="51" t="s">
        <v>130</v>
      </c>
      <c r="C21" s="52" t="n">
        <f aca="false">SUMIFS('통합 ① 거래입력'!$J$15:$J$2014,'통합 ① 거래입력'!$O$15:$O$2014,$G$1*100+1,'통합 ① 거래입력'!$D$15:$D$2014,$B21)</f>
        <v>0</v>
      </c>
      <c r="D21" s="52" t="n">
        <f aca="false">SUMIFS('통합 ① 거래입력'!$J$15:$J$2014,'통합 ① 거래입력'!$O$15:$O$2014,$G$1*100+2,'통합 ① 거래입력'!$D$15:$D$2014,$B21)</f>
        <v>0</v>
      </c>
      <c r="E21" s="52" t="n">
        <f aca="false">SUMIFS('통합 ① 거래입력'!$J$15:$J$2014,'통합 ① 거래입력'!$O$15:$O$2014,$G$1*100+3,'통합 ① 거래입력'!$D$15:$D$2014,$B21)</f>
        <v>0</v>
      </c>
      <c r="F21" s="52" t="n">
        <f aca="false">SUMIFS('통합 ① 거래입력'!$J$15:$J$2014,'통합 ① 거래입력'!$O$15:$O$2014,$G$1*100+4,'통합 ① 거래입력'!$D$15:$D$2014,$B21)</f>
        <v>0</v>
      </c>
      <c r="G21" s="52" t="n">
        <f aca="false">SUMIFS('통합 ① 거래입력'!$J$15:$J$2014,'통합 ① 거래입력'!$O$15:$O$2014,$G$1*100+5,'통합 ① 거래입력'!$D$15:$D$2014,$B21)</f>
        <v>0</v>
      </c>
      <c r="H21" s="52" t="n">
        <f aca="false">SUMIFS('통합 ① 거래입력'!$J$15:$J$2014,'통합 ① 거래입력'!$O$15:$O$2014,$G$1*100+6,'통합 ① 거래입력'!$D$15:$D$2014,$B21)</f>
        <v>0</v>
      </c>
      <c r="I21" s="52" t="n">
        <f aca="false">SUMIFS('통합 ① 거래입력'!$J$15:$J$2014,'통합 ① 거래입력'!$O$15:$O$2014,$G$1*100+7,'통합 ① 거래입력'!$D$15:$D$2014,$B21)</f>
        <v>0</v>
      </c>
      <c r="J21" s="52" t="n">
        <f aca="false">SUMIFS('통합 ① 거래입력'!$J$15:$J$2014,'통합 ① 거래입력'!$O$15:$O$2014,$G$1*100+8,'통합 ① 거래입력'!$D$15:$D$2014,$B21)</f>
        <v>0</v>
      </c>
      <c r="K21" s="52" t="n">
        <f aca="false">SUMIFS('통합 ① 거래입력'!$J$15:$J$2014,'통합 ① 거래입력'!$O$15:$O$2014,$G$1*100+9,'통합 ① 거래입력'!$D$15:$D$2014,$B21)</f>
        <v>0</v>
      </c>
      <c r="L21" s="52" t="n">
        <f aca="false">SUMIFS('통합 ① 거래입력'!$J$15:$J$2014,'통합 ① 거래입력'!$O$15:$O$2014,$G$1*100+10,'통합 ① 거래입력'!$D$15:$D$2014,$B21)</f>
        <v>0</v>
      </c>
      <c r="M21" s="52" t="n">
        <f aca="false">SUMIFS('통합 ① 거래입력'!$J$15:$J$2014,'통합 ① 거래입력'!$O$15:$O$2014,$G$1*100+11,'통합 ① 거래입력'!$D$15:$D$2014,$B21)</f>
        <v>0</v>
      </c>
      <c r="N21" s="52" t="n">
        <f aca="false">SUMIFS('통합 ① 거래입력'!$J$15:$J$2014,'통합 ① 거래입력'!$O$15:$O$2014,$G$1*100+12,'통합 ① 거래입력'!$D$15:$D$2014,$B21)</f>
        <v>0</v>
      </c>
      <c r="O21" s="53" t="n">
        <f aca="false">SUM($C21:$N21)</f>
        <v>0</v>
      </c>
      <c r="P21" s="52" t="n">
        <f aca="false">IFERROR(AVERAGEIF($C21:$N21,"&lt;&gt;0"),0)</f>
        <v>0</v>
      </c>
    </row>
    <row r="22" customFormat="false" ht="15" hidden="false" customHeight="false" outlineLevel="0" collapsed="false">
      <c r="A22" s="50"/>
      <c r="B22" s="51" t="s">
        <v>108</v>
      </c>
      <c r="C22" s="52" t="n">
        <f aca="false">SUMIFS('통합 ① 거래입력'!$J$15:$J$2014,'통합 ① 거래입력'!$O$15:$O$2014,$G$1*100+1,'통합 ① 거래입력'!$D$15:$D$2014,$B22)</f>
        <v>0</v>
      </c>
      <c r="D22" s="52" t="n">
        <f aca="false">SUMIFS('통합 ① 거래입력'!$J$15:$J$2014,'통합 ① 거래입력'!$O$15:$O$2014,$G$1*100+2,'통합 ① 거래입력'!$D$15:$D$2014,$B22)</f>
        <v>0</v>
      </c>
      <c r="E22" s="52" t="n">
        <f aca="false">SUMIFS('통합 ① 거래입력'!$J$15:$J$2014,'통합 ① 거래입력'!$O$15:$O$2014,$G$1*100+3,'통합 ① 거래입력'!$D$15:$D$2014,$B22)</f>
        <v>0</v>
      </c>
      <c r="F22" s="52" t="n">
        <f aca="false">SUMIFS('통합 ① 거래입력'!$J$15:$J$2014,'통합 ① 거래입력'!$O$15:$O$2014,$G$1*100+4,'통합 ① 거래입력'!$D$15:$D$2014,$B22)</f>
        <v>0</v>
      </c>
      <c r="G22" s="52" t="n">
        <f aca="false">SUMIFS('통합 ① 거래입력'!$J$15:$J$2014,'통합 ① 거래입력'!$O$15:$O$2014,$G$1*100+5,'통합 ① 거래입력'!$D$15:$D$2014,$B22)</f>
        <v>0</v>
      </c>
      <c r="H22" s="52" t="n">
        <f aca="false">SUMIFS('통합 ① 거래입력'!$J$15:$J$2014,'통합 ① 거래입력'!$O$15:$O$2014,$G$1*100+6,'통합 ① 거래입력'!$D$15:$D$2014,$B22)</f>
        <v>0</v>
      </c>
      <c r="I22" s="52" t="n">
        <f aca="false">SUMIFS('통합 ① 거래입력'!$J$15:$J$2014,'통합 ① 거래입력'!$O$15:$O$2014,$G$1*100+7,'통합 ① 거래입력'!$D$15:$D$2014,$B22)</f>
        <v>0</v>
      </c>
      <c r="J22" s="52" t="n">
        <f aca="false">SUMIFS('통합 ① 거래입력'!$J$15:$J$2014,'통합 ① 거래입력'!$O$15:$O$2014,$G$1*100+8,'통합 ① 거래입력'!$D$15:$D$2014,$B22)</f>
        <v>0</v>
      </c>
      <c r="K22" s="52" t="n">
        <f aca="false">SUMIFS('통합 ① 거래입력'!$J$15:$J$2014,'통합 ① 거래입력'!$O$15:$O$2014,$G$1*100+9,'통합 ① 거래입력'!$D$15:$D$2014,$B22)</f>
        <v>88000</v>
      </c>
      <c r="L22" s="52" t="n">
        <f aca="false">SUMIFS('통합 ① 거래입력'!$J$15:$J$2014,'통합 ① 거래입력'!$O$15:$O$2014,$G$1*100+10,'통합 ① 거래입력'!$D$15:$D$2014,$B22)</f>
        <v>0</v>
      </c>
      <c r="M22" s="52" t="n">
        <f aca="false">SUMIFS('통합 ① 거래입력'!$J$15:$J$2014,'통합 ① 거래입력'!$O$15:$O$2014,$G$1*100+11,'통합 ① 거래입력'!$D$15:$D$2014,$B22)</f>
        <v>0</v>
      </c>
      <c r="N22" s="52" t="n">
        <f aca="false">SUMIFS('통합 ① 거래입력'!$J$15:$J$2014,'통합 ① 거래입력'!$O$15:$O$2014,$G$1*100+12,'통합 ① 거래입력'!$D$15:$D$2014,$B22)</f>
        <v>0</v>
      </c>
      <c r="O22" s="53" t="n">
        <f aca="false">SUM($C22:$N22)</f>
        <v>88000</v>
      </c>
      <c r="P22" s="52" t="n">
        <f aca="false">IFERROR(AVERAGEIF($C22:$N22,"&lt;&gt;0"),0)</f>
        <v>88000</v>
      </c>
    </row>
    <row r="23" customFormat="false" ht="15" hidden="false" customHeight="false" outlineLevel="0" collapsed="false">
      <c r="A23" s="50"/>
      <c r="B23" s="51" t="s">
        <v>131</v>
      </c>
      <c r="C23" s="52" t="n">
        <f aca="false">SUMIFS('통합 ① 거래입력'!$J$15:$J$2014,'통합 ① 거래입력'!$O$15:$O$2014,$G$1*100+1,'통합 ① 거래입력'!$D$15:$D$2014,$B23)</f>
        <v>0</v>
      </c>
      <c r="D23" s="52" t="n">
        <f aca="false">SUMIFS('통합 ① 거래입력'!$J$15:$J$2014,'통합 ① 거래입력'!$O$15:$O$2014,$G$1*100+2,'통합 ① 거래입력'!$D$15:$D$2014,$B23)</f>
        <v>0</v>
      </c>
      <c r="E23" s="52" t="n">
        <f aca="false">SUMIFS('통합 ① 거래입력'!$J$15:$J$2014,'통합 ① 거래입력'!$O$15:$O$2014,$G$1*100+3,'통합 ① 거래입력'!$D$15:$D$2014,$B23)</f>
        <v>0</v>
      </c>
      <c r="F23" s="52" t="n">
        <f aca="false">SUMIFS('통합 ① 거래입력'!$J$15:$J$2014,'통합 ① 거래입력'!$O$15:$O$2014,$G$1*100+4,'통합 ① 거래입력'!$D$15:$D$2014,$B23)</f>
        <v>0</v>
      </c>
      <c r="G23" s="52" t="n">
        <f aca="false">SUMIFS('통합 ① 거래입력'!$J$15:$J$2014,'통합 ① 거래입력'!$O$15:$O$2014,$G$1*100+5,'통합 ① 거래입력'!$D$15:$D$2014,$B23)</f>
        <v>0</v>
      </c>
      <c r="H23" s="52" t="n">
        <f aca="false">SUMIFS('통합 ① 거래입력'!$J$15:$J$2014,'통합 ① 거래입력'!$O$15:$O$2014,$G$1*100+6,'통합 ① 거래입력'!$D$15:$D$2014,$B23)</f>
        <v>0</v>
      </c>
      <c r="I23" s="52" t="n">
        <f aca="false">SUMIFS('통합 ① 거래입력'!$J$15:$J$2014,'통합 ① 거래입력'!$O$15:$O$2014,$G$1*100+7,'통합 ① 거래입력'!$D$15:$D$2014,$B23)</f>
        <v>0</v>
      </c>
      <c r="J23" s="52" t="n">
        <f aca="false">SUMIFS('통합 ① 거래입력'!$J$15:$J$2014,'통합 ① 거래입력'!$O$15:$O$2014,$G$1*100+8,'통합 ① 거래입력'!$D$15:$D$2014,$B23)</f>
        <v>0</v>
      </c>
      <c r="K23" s="52" t="n">
        <f aca="false">SUMIFS('통합 ① 거래입력'!$J$15:$J$2014,'통합 ① 거래입력'!$O$15:$O$2014,$G$1*100+9,'통합 ① 거래입력'!$D$15:$D$2014,$B23)</f>
        <v>0</v>
      </c>
      <c r="L23" s="52" t="n">
        <f aca="false">SUMIFS('통합 ① 거래입력'!$J$15:$J$2014,'통합 ① 거래입력'!$O$15:$O$2014,$G$1*100+10,'통합 ① 거래입력'!$D$15:$D$2014,$B23)</f>
        <v>0</v>
      </c>
      <c r="M23" s="52" t="n">
        <f aca="false">SUMIFS('통합 ① 거래입력'!$J$15:$J$2014,'통합 ① 거래입력'!$O$15:$O$2014,$G$1*100+11,'통합 ① 거래입력'!$D$15:$D$2014,$B23)</f>
        <v>0</v>
      </c>
      <c r="N23" s="52" t="n">
        <f aca="false">SUMIFS('통합 ① 거래입력'!$J$15:$J$2014,'통합 ① 거래입력'!$O$15:$O$2014,$G$1*100+12,'통합 ① 거래입력'!$D$15:$D$2014,$B23)</f>
        <v>0</v>
      </c>
      <c r="O23" s="53" t="n">
        <f aca="false">SUM($C23:$N23)</f>
        <v>0</v>
      </c>
      <c r="P23" s="52" t="n">
        <f aca="false">IFERROR(AVERAGEIF($C23:$N23,"&lt;&gt;0"),0)</f>
        <v>0</v>
      </c>
    </row>
    <row r="24" customFormat="false" ht="15" hidden="false" customHeight="false" outlineLevel="0" collapsed="false">
      <c r="A24" s="50"/>
      <c r="B24" s="51" t="s">
        <v>132</v>
      </c>
      <c r="C24" s="52" t="n">
        <f aca="false">SUMIFS('통합 ① 거래입력'!$J$15:$J$2014,'통합 ① 거래입력'!$O$15:$O$2014,$G$1*100+1,'통합 ① 거래입력'!$D$15:$D$2014,$B24)</f>
        <v>0</v>
      </c>
      <c r="D24" s="52" t="n">
        <f aca="false">SUMIFS('통합 ① 거래입력'!$J$15:$J$2014,'통합 ① 거래입력'!$O$15:$O$2014,$G$1*100+2,'통합 ① 거래입력'!$D$15:$D$2014,$B24)</f>
        <v>0</v>
      </c>
      <c r="E24" s="52" t="n">
        <f aca="false">SUMIFS('통합 ① 거래입력'!$J$15:$J$2014,'통합 ① 거래입력'!$O$15:$O$2014,$G$1*100+3,'통합 ① 거래입력'!$D$15:$D$2014,$B24)</f>
        <v>0</v>
      </c>
      <c r="F24" s="52" t="n">
        <f aca="false">SUMIFS('통합 ① 거래입력'!$J$15:$J$2014,'통합 ① 거래입력'!$O$15:$O$2014,$G$1*100+4,'통합 ① 거래입력'!$D$15:$D$2014,$B24)</f>
        <v>0</v>
      </c>
      <c r="G24" s="52" t="n">
        <f aca="false">SUMIFS('통합 ① 거래입력'!$J$15:$J$2014,'통합 ① 거래입력'!$O$15:$O$2014,$G$1*100+5,'통합 ① 거래입력'!$D$15:$D$2014,$B24)</f>
        <v>0</v>
      </c>
      <c r="H24" s="52" t="n">
        <f aca="false">SUMIFS('통합 ① 거래입력'!$J$15:$J$2014,'통합 ① 거래입력'!$O$15:$O$2014,$G$1*100+6,'통합 ① 거래입력'!$D$15:$D$2014,$B24)</f>
        <v>0</v>
      </c>
      <c r="I24" s="52" t="n">
        <f aca="false">SUMIFS('통합 ① 거래입력'!$J$15:$J$2014,'통합 ① 거래입력'!$O$15:$O$2014,$G$1*100+7,'통합 ① 거래입력'!$D$15:$D$2014,$B24)</f>
        <v>0</v>
      </c>
      <c r="J24" s="52" t="n">
        <f aca="false">SUMIFS('통합 ① 거래입력'!$J$15:$J$2014,'통합 ① 거래입력'!$O$15:$O$2014,$G$1*100+8,'통합 ① 거래입력'!$D$15:$D$2014,$B24)</f>
        <v>0</v>
      </c>
      <c r="K24" s="52" t="n">
        <f aca="false">SUMIFS('통합 ① 거래입력'!$J$15:$J$2014,'통합 ① 거래입력'!$O$15:$O$2014,$G$1*100+9,'통합 ① 거래입력'!$D$15:$D$2014,$B24)</f>
        <v>0</v>
      </c>
      <c r="L24" s="52" t="n">
        <f aca="false">SUMIFS('통합 ① 거래입력'!$J$15:$J$2014,'통합 ① 거래입력'!$O$15:$O$2014,$G$1*100+10,'통합 ① 거래입력'!$D$15:$D$2014,$B24)</f>
        <v>0</v>
      </c>
      <c r="M24" s="52" t="n">
        <f aca="false">SUMIFS('통합 ① 거래입력'!$J$15:$J$2014,'통합 ① 거래입력'!$O$15:$O$2014,$G$1*100+11,'통합 ① 거래입력'!$D$15:$D$2014,$B24)</f>
        <v>0</v>
      </c>
      <c r="N24" s="52" t="n">
        <f aca="false">SUMIFS('통합 ① 거래입력'!$J$15:$J$2014,'통합 ① 거래입력'!$O$15:$O$2014,$G$1*100+12,'통합 ① 거래입력'!$D$15:$D$2014,$B24)</f>
        <v>0</v>
      </c>
      <c r="O24" s="53" t="n">
        <f aca="false">SUM($C24:$N24)</f>
        <v>0</v>
      </c>
      <c r="P24" s="52" t="n">
        <f aca="false">IFERROR(AVERAGEIF($C24:$N24,"&lt;&gt;0"),0)</f>
        <v>0</v>
      </c>
    </row>
    <row r="25" customFormat="false" ht="15" hidden="false" customHeight="false" outlineLevel="0" collapsed="false">
      <c r="A25" s="50"/>
      <c r="B25" s="51" t="s">
        <v>133</v>
      </c>
      <c r="C25" s="52" t="n">
        <f aca="false">SUMIFS('통합 ① 거래입력'!$J$15:$J$2014,'통합 ① 거래입력'!$O$15:$O$2014,$G$1*100+1,'통합 ① 거래입력'!$D$15:$D$2014,$B25)</f>
        <v>0</v>
      </c>
      <c r="D25" s="52" t="n">
        <f aca="false">SUMIFS('통합 ① 거래입력'!$J$15:$J$2014,'통합 ① 거래입력'!$O$15:$O$2014,$G$1*100+2,'통합 ① 거래입력'!$D$15:$D$2014,$B25)</f>
        <v>0</v>
      </c>
      <c r="E25" s="52" t="n">
        <f aca="false">SUMIFS('통합 ① 거래입력'!$J$15:$J$2014,'통합 ① 거래입력'!$O$15:$O$2014,$G$1*100+3,'통합 ① 거래입력'!$D$15:$D$2014,$B25)</f>
        <v>0</v>
      </c>
      <c r="F25" s="52" t="n">
        <f aca="false">SUMIFS('통합 ① 거래입력'!$J$15:$J$2014,'통합 ① 거래입력'!$O$15:$O$2014,$G$1*100+4,'통합 ① 거래입력'!$D$15:$D$2014,$B25)</f>
        <v>0</v>
      </c>
      <c r="G25" s="52" t="n">
        <f aca="false">SUMIFS('통합 ① 거래입력'!$J$15:$J$2014,'통합 ① 거래입력'!$O$15:$O$2014,$G$1*100+5,'통합 ① 거래입력'!$D$15:$D$2014,$B25)</f>
        <v>0</v>
      </c>
      <c r="H25" s="52" t="n">
        <f aca="false">SUMIFS('통합 ① 거래입력'!$J$15:$J$2014,'통합 ① 거래입력'!$O$15:$O$2014,$G$1*100+6,'통합 ① 거래입력'!$D$15:$D$2014,$B25)</f>
        <v>0</v>
      </c>
      <c r="I25" s="52" t="n">
        <f aca="false">SUMIFS('통합 ① 거래입력'!$J$15:$J$2014,'통합 ① 거래입력'!$O$15:$O$2014,$G$1*100+7,'통합 ① 거래입력'!$D$15:$D$2014,$B25)</f>
        <v>0</v>
      </c>
      <c r="J25" s="52" t="n">
        <f aca="false">SUMIFS('통합 ① 거래입력'!$J$15:$J$2014,'통합 ① 거래입력'!$O$15:$O$2014,$G$1*100+8,'통합 ① 거래입력'!$D$15:$D$2014,$B25)</f>
        <v>0</v>
      </c>
      <c r="K25" s="52" t="n">
        <f aca="false">SUMIFS('통합 ① 거래입력'!$J$15:$J$2014,'통합 ① 거래입력'!$O$15:$O$2014,$G$1*100+9,'통합 ① 거래입력'!$D$15:$D$2014,$B25)</f>
        <v>0</v>
      </c>
      <c r="L25" s="52" t="n">
        <f aca="false">SUMIFS('통합 ① 거래입력'!$J$15:$J$2014,'통합 ① 거래입력'!$O$15:$O$2014,$G$1*100+10,'통합 ① 거래입력'!$D$15:$D$2014,$B25)</f>
        <v>0</v>
      </c>
      <c r="M25" s="52" t="n">
        <f aca="false">SUMIFS('통합 ① 거래입력'!$J$15:$J$2014,'통합 ① 거래입력'!$O$15:$O$2014,$G$1*100+11,'통합 ① 거래입력'!$D$15:$D$2014,$B25)</f>
        <v>0</v>
      </c>
      <c r="N25" s="52" t="n">
        <f aca="false">SUMIFS('통합 ① 거래입력'!$J$15:$J$2014,'통합 ① 거래입력'!$O$15:$O$2014,$G$1*100+12,'통합 ① 거래입력'!$D$15:$D$2014,$B25)</f>
        <v>0</v>
      </c>
      <c r="O25" s="53" t="n">
        <f aca="false">SUM($C25:$N25)</f>
        <v>0</v>
      </c>
      <c r="P25" s="52" t="n">
        <f aca="false">IFERROR(AVERAGEIF($C25:$N25,"&lt;&gt;0"),0)</f>
        <v>0</v>
      </c>
    </row>
    <row r="26" customFormat="false" ht="15" hidden="false" customHeight="false" outlineLevel="0" collapsed="false">
      <c r="A26" s="50"/>
      <c r="B26" s="51" t="s">
        <v>134</v>
      </c>
      <c r="C26" s="52" t="n">
        <f aca="false">SUMIFS('통합 ① 거래입력'!$J$15:$J$2014,'통합 ① 거래입력'!$O$15:$O$2014,$G$1*100+1,'통합 ① 거래입력'!$D$15:$D$2014,$B26)</f>
        <v>0</v>
      </c>
      <c r="D26" s="52" t="n">
        <f aca="false">SUMIFS('통합 ① 거래입력'!$J$15:$J$2014,'통합 ① 거래입력'!$O$15:$O$2014,$G$1*100+2,'통합 ① 거래입력'!$D$15:$D$2014,$B26)</f>
        <v>0</v>
      </c>
      <c r="E26" s="52" t="n">
        <f aca="false">SUMIFS('통합 ① 거래입력'!$J$15:$J$2014,'통합 ① 거래입력'!$O$15:$O$2014,$G$1*100+3,'통합 ① 거래입력'!$D$15:$D$2014,$B26)</f>
        <v>0</v>
      </c>
      <c r="F26" s="52" t="n">
        <f aca="false">SUMIFS('통합 ① 거래입력'!$J$15:$J$2014,'통합 ① 거래입력'!$O$15:$O$2014,$G$1*100+4,'통합 ① 거래입력'!$D$15:$D$2014,$B26)</f>
        <v>0</v>
      </c>
      <c r="G26" s="52" t="n">
        <f aca="false">SUMIFS('통합 ① 거래입력'!$J$15:$J$2014,'통합 ① 거래입력'!$O$15:$O$2014,$G$1*100+5,'통합 ① 거래입력'!$D$15:$D$2014,$B26)</f>
        <v>0</v>
      </c>
      <c r="H26" s="52" t="n">
        <f aca="false">SUMIFS('통합 ① 거래입력'!$J$15:$J$2014,'통합 ① 거래입력'!$O$15:$O$2014,$G$1*100+6,'통합 ① 거래입력'!$D$15:$D$2014,$B26)</f>
        <v>0</v>
      </c>
      <c r="I26" s="52" t="n">
        <f aca="false">SUMIFS('통합 ① 거래입력'!$J$15:$J$2014,'통합 ① 거래입력'!$O$15:$O$2014,$G$1*100+7,'통합 ① 거래입력'!$D$15:$D$2014,$B26)</f>
        <v>0</v>
      </c>
      <c r="J26" s="52" t="n">
        <f aca="false">SUMIFS('통합 ① 거래입력'!$J$15:$J$2014,'통합 ① 거래입력'!$O$15:$O$2014,$G$1*100+8,'통합 ① 거래입력'!$D$15:$D$2014,$B26)</f>
        <v>0</v>
      </c>
      <c r="K26" s="52" t="n">
        <f aca="false">SUMIFS('통합 ① 거래입력'!$J$15:$J$2014,'통합 ① 거래입력'!$O$15:$O$2014,$G$1*100+9,'통합 ① 거래입력'!$D$15:$D$2014,$B26)</f>
        <v>0</v>
      </c>
      <c r="L26" s="52" t="n">
        <f aca="false">SUMIFS('통합 ① 거래입력'!$J$15:$J$2014,'통합 ① 거래입력'!$O$15:$O$2014,$G$1*100+10,'통합 ① 거래입력'!$D$15:$D$2014,$B26)</f>
        <v>0</v>
      </c>
      <c r="M26" s="52" t="n">
        <f aca="false">SUMIFS('통합 ① 거래입력'!$J$15:$J$2014,'통합 ① 거래입력'!$O$15:$O$2014,$G$1*100+11,'통합 ① 거래입력'!$D$15:$D$2014,$B26)</f>
        <v>0</v>
      </c>
      <c r="N26" s="52" t="n">
        <f aca="false">SUMIFS('통합 ① 거래입력'!$J$15:$J$2014,'통합 ① 거래입력'!$O$15:$O$2014,$G$1*100+12,'통합 ① 거래입력'!$D$15:$D$2014,$B26)</f>
        <v>0</v>
      </c>
      <c r="O26" s="53" t="n">
        <f aca="false">SUM($C26:$N26)</f>
        <v>0</v>
      </c>
      <c r="P26" s="52" t="n">
        <f aca="false">IFERROR(AVERAGEIF($C26:$N26,"&lt;&gt;0"),0)</f>
        <v>0</v>
      </c>
    </row>
    <row r="27" customFormat="false" ht="15" hidden="false" customHeight="false" outlineLevel="0" collapsed="false">
      <c r="A27" s="16"/>
      <c r="B27" s="17" t="s">
        <v>135</v>
      </c>
      <c r="C27" s="24" t="n">
        <f aca="false">SUM(C16:C26)</f>
        <v>0</v>
      </c>
      <c r="D27" s="24" t="n">
        <f aca="false">SUM(D16:D26)</f>
        <v>0</v>
      </c>
      <c r="E27" s="24" t="n">
        <f aca="false">SUM(E16:E26)</f>
        <v>0</v>
      </c>
      <c r="F27" s="24" t="n">
        <f aca="false">SUM(F16:F26)</f>
        <v>0</v>
      </c>
      <c r="G27" s="24" t="n">
        <f aca="false">SUM(G16:G26)</f>
        <v>0</v>
      </c>
      <c r="H27" s="24" t="n">
        <f aca="false">SUM(H16:H26)</f>
        <v>0</v>
      </c>
      <c r="I27" s="24" t="n">
        <f aca="false">SUM(I16:I26)</f>
        <v>0</v>
      </c>
      <c r="J27" s="24" t="n">
        <f aca="false">SUM(J16:J26)</f>
        <v>0</v>
      </c>
      <c r="K27" s="24" t="n">
        <f aca="false">SUM(K16:K26)</f>
        <v>3960000</v>
      </c>
      <c r="L27" s="24" t="n">
        <f aca="false">SUM(L16:L26)</f>
        <v>0</v>
      </c>
      <c r="M27" s="24" t="n">
        <f aca="false">SUM(M16:M26)</f>
        <v>0</v>
      </c>
      <c r="N27" s="24" t="n">
        <f aca="false">SUM(N16:N26)</f>
        <v>0</v>
      </c>
      <c r="O27" s="24" t="n">
        <f aca="false">SUM(O16:O26)</f>
        <v>3960000</v>
      </c>
      <c r="P27" s="24" t="n">
        <f aca="false">SUM(P16:P26)</f>
        <v>3960000</v>
      </c>
    </row>
    <row r="29" customFormat="false" ht="15" hidden="false" customHeight="false" outlineLevel="0" collapsed="false">
      <c r="A29" s="55" t="s">
        <v>136</v>
      </c>
      <c r="B29" s="56" t="s">
        <v>101</v>
      </c>
      <c r="C29" s="57" t="n">
        <f aca="false">SUMIFS('통합 ① 거래입력'!$J$15:$J$2014,'통합 ① 거래입력'!$O$15:$O$2014,$G$1*100+1,'통합 ① 거래입력'!$D$15:$D$2014,$B29)</f>
        <v>0</v>
      </c>
      <c r="D29" s="57" t="n">
        <f aca="false">SUMIFS('통합 ① 거래입력'!$J$15:$J$2014,'통합 ① 거래입력'!$O$15:$O$2014,$G$1*100+2,'통합 ① 거래입력'!$D$15:$D$2014,$B29)</f>
        <v>0</v>
      </c>
      <c r="E29" s="57" t="n">
        <f aca="false">SUMIFS('통합 ① 거래입력'!$J$15:$J$2014,'통합 ① 거래입력'!$O$15:$O$2014,$G$1*100+3,'통합 ① 거래입력'!$D$15:$D$2014,$B29)</f>
        <v>0</v>
      </c>
      <c r="F29" s="57" t="n">
        <f aca="false">SUMIFS('통합 ① 거래입력'!$J$15:$J$2014,'통합 ① 거래입력'!$O$15:$O$2014,$G$1*100+4,'통합 ① 거래입력'!$D$15:$D$2014,$B29)</f>
        <v>0</v>
      </c>
      <c r="G29" s="57" t="n">
        <f aca="false">SUMIFS('통합 ① 거래입력'!$J$15:$J$2014,'통합 ① 거래입력'!$O$15:$O$2014,$G$1*100+5,'통합 ① 거래입력'!$D$15:$D$2014,$B29)</f>
        <v>0</v>
      </c>
      <c r="H29" s="57" t="n">
        <f aca="false">SUMIFS('통합 ① 거래입력'!$J$15:$J$2014,'통합 ① 거래입력'!$O$15:$O$2014,$G$1*100+6,'통합 ① 거래입력'!$D$15:$D$2014,$B29)</f>
        <v>0</v>
      </c>
      <c r="I29" s="57" t="n">
        <f aca="false">SUMIFS('통합 ① 거래입력'!$J$15:$J$2014,'통합 ① 거래입력'!$O$15:$O$2014,$G$1*100+7,'통합 ① 거래입력'!$D$15:$D$2014,$B29)</f>
        <v>0</v>
      </c>
      <c r="J29" s="57" t="n">
        <f aca="false">SUMIFS('통합 ① 거래입력'!$J$15:$J$2014,'통합 ① 거래입력'!$O$15:$O$2014,$G$1*100+8,'통합 ① 거래입력'!$D$15:$D$2014,$B29)</f>
        <v>0</v>
      </c>
      <c r="K29" s="57" t="n">
        <f aca="false">SUMIFS('통합 ① 거래입력'!$J$15:$J$2014,'통합 ① 거래입력'!$O$15:$O$2014,$G$1*100+9,'통합 ① 거래입력'!$D$15:$D$2014,$B29)</f>
        <v>318000</v>
      </c>
      <c r="L29" s="57" t="n">
        <f aca="false">SUMIFS('통합 ① 거래입력'!$J$15:$J$2014,'통합 ① 거래입력'!$O$15:$O$2014,$G$1*100+10,'통합 ① 거래입력'!$D$15:$D$2014,$B29)</f>
        <v>0</v>
      </c>
      <c r="M29" s="57" t="n">
        <f aca="false">SUMIFS('통합 ① 거래입력'!$J$15:$J$2014,'통합 ① 거래입력'!$O$15:$O$2014,$G$1*100+11,'통합 ① 거래입력'!$D$15:$D$2014,$B29)</f>
        <v>0</v>
      </c>
      <c r="N29" s="57" t="n">
        <f aca="false">SUMIFS('통합 ① 거래입력'!$J$15:$J$2014,'통합 ① 거래입력'!$O$15:$O$2014,$G$1*100+12,'통합 ① 거래입력'!$D$15:$D$2014,$B29)</f>
        <v>0</v>
      </c>
      <c r="O29" s="58" t="n">
        <f aca="false">SUM($C29:$N29)</f>
        <v>318000</v>
      </c>
      <c r="P29" s="57" t="n">
        <f aca="false">IFERROR(AVERAGEIF($C29:$N29,"&lt;&gt;0"),0)</f>
        <v>318000</v>
      </c>
    </row>
    <row r="30" customFormat="false" ht="15" hidden="false" customHeight="false" outlineLevel="0" collapsed="false">
      <c r="A30" s="55"/>
      <c r="B30" s="56" t="s">
        <v>137</v>
      </c>
      <c r="C30" s="57" t="n">
        <f aca="false">SUMIFS('통합 ① 거래입력'!$J$15:$J$2014,'통합 ① 거래입력'!$O$15:$O$2014,$G$1*100+1,'통합 ① 거래입력'!$D$15:$D$2014,$B30)</f>
        <v>0</v>
      </c>
      <c r="D30" s="57" t="n">
        <f aca="false">SUMIFS('통합 ① 거래입력'!$J$15:$J$2014,'통합 ① 거래입력'!$O$15:$O$2014,$G$1*100+2,'통합 ① 거래입력'!$D$15:$D$2014,$B30)</f>
        <v>0</v>
      </c>
      <c r="E30" s="57" t="n">
        <f aca="false">SUMIFS('통합 ① 거래입력'!$J$15:$J$2014,'통합 ① 거래입력'!$O$15:$O$2014,$G$1*100+3,'통합 ① 거래입력'!$D$15:$D$2014,$B30)</f>
        <v>0</v>
      </c>
      <c r="F30" s="57" t="n">
        <f aca="false">SUMIFS('통합 ① 거래입력'!$J$15:$J$2014,'통합 ① 거래입력'!$O$15:$O$2014,$G$1*100+4,'통합 ① 거래입력'!$D$15:$D$2014,$B30)</f>
        <v>0</v>
      </c>
      <c r="G30" s="57" t="n">
        <f aca="false">SUMIFS('통합 ① 거래입력'!$J$15:$J$2014,'통합 ① 거래입력'!$O$15:$O$2014,$G$1*100+5,'통합 ① 거래입력'!$D$15:$D$2014,$B30)</f>
        <v>0</v>
      </c>
      <c r="H30" s="57" t="n">
        <f aca="false">SUMIFS('통합 ① 거래입력'!$J$15:$J$2014,'통합 ① 거래입력'!$O$15:$O$2014,$G$1*100+6,'통합 ① 거래입력'!$D$15:$D$2014,$B30)</f>
        <v>0</v>
      </c>
      <c r="I30" s="57" t="n">
        <f aca="false">SUMIFS('통합 ① 거래입력'!$J$15:$J$2014,'통합 ① 거래입력'!$O$15:$O$2014,$G$1*100+7,'통합 ① 거래입력'!$D$15:$D$2014,$B30)</f>
        <v>0</v>
      </c>
      <c r="J30" s="57" t="n">
        <f aca="false">SUMIFS('통합 ① 거래입력'!$J$15:$J$2014,'통합 ① 거래입력'!$O$15:$O$2014,$G$1*100+8,'통합 ① 거래입력'!$D$15:$D$2014,$B30)</f>
        <v>0</v>
      </c>
      <c r="K30" s="57" t="n">
        <f aca="false">SUMIFS('통합 ① 거래입력'!$J$15:$J$2014,'통합 ① 거래입력'!$O$15:$O$2014,$G$1*100+9,'통합 ① 거래입력'!$D$15:$D$2014,$B30)</f>
        <v>0</v>
      </c>
      <c r="L30" s="57" t="n">
        <f aca="false">SUMIFS('통합 ① 거래입력'!$J$15:$J$2014,'통합 ① 거래입력'!$O$15:$O$2014,$G$1*100+10,'통합 ① 거래입력'!$D$15:$D$2014,$B30)</f>
        <v>0</v>
      </c>
      <c r="M30" s="57" t="n">
        <f aca="false">SUMIFS('통합 ① 거래입력'!$J$15:$J$2014,'통합 ① 거래입력'!$O$15:$O$2014,$G$1*100+11,'통합 ① 거래입력'!$D$15:$D$2014,$B30)</f>
        <v>0</v>
      </c>
      <c r="N30" s="57" t="n">
        <f aca="false">SUMIFS('통합 ① 거래입력'!$J$15:$J$2014,'통합 ① 거래입력'!$O$15:$O$2014,$G$1*100+12,'통합 ① 거래입력'!$D$15:$D$2014,$B30)</f>
        <v>0</v>
      </c>
      <c r="O30" s="58" t="n">
        <f aca="false">SUM($C30:$N30)</f>
        <v>0</v>
      </c>
      <c r="P30" s="57" t="n">
        <f aca="false">IFERROR(AVERAGEIF($C30:$N30,"&lt;&gt;0"),0)</f>
        <v>0</v>
      </c>
    </row>
    <row r="31" customFormat="false" ht="15" hidden="false" customHeight="false" outlineLevel="0" collapsed="false">
      <c r="A31" s="55"/>
      <c r="B31" s="56" t="s">
        <v>138</v>
      </c>
      <c r="C31" s="57" t="n">
        <f aca="false">SUMIFS('통합 ① 거래입력'!$J$15:$J$2014,'통합 ① 거래입력'!$O$15:$O$2014,$G$1*100+1,'통합 ① 거래입력'!$D$15:$D$2014,$B31)</f>
        <v>0</v>
      </c>
      <c r="D31" s="57" t="n">
        <f aca="false">SUMIFS('통합 ① 거래입력'!$J$15:$J$2014,'통합 ① 거래입력'!$O$15:$O$2014,$G$1*100+2,'통합 ① 거래입력'!$D$15:$D$2014,$B31)</f>
        <v>0</v>
      </c>
      <c r="E31" s="57" t="n">
        <f aca="false">SUMIFS('통합 ① 거래입력'!$J$15:$J$2014,'통합 ① 거래입력'!$O$15:$O$2014,$G$1*100+3,'통합 ① 거래입력'!$D$15:$D$2014,$B31)</f>
        <v>0</v>
      </c>
      <c r="F31" s="57" t="n">
        <f aca="false">SUMIFS('통합 ① 거래입력'!$J$15:$J$2014,'통합 ① 거래입력'!$O$15:$O$2014,$G$1*100+4,'통합 ① 거래입력'!$D$15:$D$2014,$B31)</f>
        <v>0</v>
      </c>
      <c r="G31" s="57" t="n">
        <f aca="false">SUMIFS('통합 ① 거래입력'!$J$15:$J$2014,'통합 ① 거래입력'!$O$15:$O$2014,$G$1*100+5,'통합 ① 거래입력'!$D$15:$D$2014,$B31)</f>
        <v>0</v>
      </c>
      <c r="H31" s="57" t="n">
        <f aca="false">SUMIFS('통합 ① 거래입력'!$J$15:$J$2014,'통합 ① 거래입력'!$O$15:$O$2014,$G$1*100+6,'통합 ① 거래입력'!$D$15:$D$2014,$B31)</f>
        <v>0</v>
      </c>
      <c r="I31" s="57" t="n">
        <f aca="false">SUMIFS('통합 ① 거래입력'!$J$15:$J$2014,'통합 ① 거래입력'!$O$15:$O$2014,$G$1*100+7,'통합 ① 거래입력'!$D$15:$D$2014,$B31)</f>
        <v>0</v>
      </c>
      <c r="J31" s="57" t="n">
        <f aca="false">SUMIFS('통합 ① 거래입력'!$J$15:$J$2014,'통합 ① 거래입력'!$O$15:$O$2014,$G$1*100+8,'통합 ① 거래입력'!$D$15:$D$2014,$B31)</f>
        <v>0</v>
      </c>
      <c r="K31" s="57" t="n">
        <f aca="false">SUMIFS('통합 ① 거래입력'!$J$15:$J$2014,'통합 ① 거래입력'!$O$15:$O$2014,$G$1*100+9,'통합 ① 거래입력'!$D$15:$D$2014,$B31)</f>
        <v>0</v>
      </c>
      <c r="L31" s="57" t="n">
        <f aca="false">SUMIFS('통합 ① 거래입력'!$J$15:$J$2014,'통합 ① 거래입력'!$O$15:$O$2014,$G$1*100+10,'통합 ① 거래입력'!$D$15:$D$2014,$B31)</f>
        <v>0</v>
      </c>
      <c r="M31" s="57" t="n">
        <f aca="false">SUMIFS('통합 ① 거래입력'!$J$15:$J$2014,'통합 ① 거래입력'!$O$15:$O$2014,$G$1*100+11,'통합 ① 거래입력'!$D$15:$D$2014,$B31)</f>
        <v>0</v>
      </c>
      <c r="N31" s="57" t="n">
        <f aca="false">SUMIFS('통합 ① 거래입력'!$J$15:$J$2014,'통합 ① 거래입력'!$O$15:$O$2014,$G$1*100+12,'통합 ① 거래입력'!$D$15:$D$2014,$B31)</f>
        <v>0</v>
      </c>
      <c r="O31" s="58" t="n">
        <f aca="false">SUM($C31:$N31)</f>
        <v>0</v>
      </c>
      <c r="P31" s="57" t="n">
        <f aca="false">IFERROR(AVERAGEIF($C31:$N31,"&lt;&gt;0"),0)</f>
        <v>0</v>
      </c>
    </row>
    <row r="32" customFormat="false" ht="15" hidden="false" customHeight="false" outlineLevel="0" collapsed="false">
      <c r="A32" s="55"/>
      <c r="B32" s="56" t="s">
        <v>139</v>
      </c>
      <c r="C32" s="57" t="n">
        <f aca="false">SUMIFS('통합 ① 거래입력'!$J$15:$J$2014,'통합 ① 거래입력'!$O$15:$O$2014,$G$1*100+1,'통합 ① 거래입력'!$D$15:$D$2014,$B32)</f>
        <v>0</v>
      </c>
      <c r="D32" s="57" t="n">
        <f aca="false">SUMIFS('통합 ① 거래입력'!$J$15:$J$2014,'통합 ① 거래입력'!$O$15:$O$2014,$G$1*100+2,'통합 ① 거래입력'!$D$15:$D$2014,$B32)</f>
        <v>0</v>
      </c>
      <c r="E32" s="57" t="n">
        <f aca="false">SUMIFS('통합 ① 거래입력'!$J$15:$J$2014,'통합 ① 거래입력'!$O$15:$O$2014,$G$1*100+3,'통합 ① 거래입력'!$D$15:$D$2014,$B32)</f>
        <v>0</v>
      </c>
      <c r="F32" s="57" t="n">
        <f aca="false">SUMIFS('통합 ① 거래입력'!$J$15:$J$2014,'통합 ① 거래입력'!$O$15:$O$2014,$G$1*100+4,'통합 ① 거래입력'!$D$15:$D$2014,$B32)</f>
        <v>0</v>
      </c>
      <c r="G32" s="57" t="n">
        <f aca="false">SUMIFS('통합 ① 거래입력'!$J$15:$J$2014,'통합 ① 거래입력'!$O$15:$O$2014,$G$1*100+5,'통합 ① 거래입력'!$D$15:$D$2014,$B32)</f>
        <v>0</v>
      </c>
      <c r="H32" s="57" t="n">
        <f aca="false">SUMIFS('통합 ① 거래입력'!$J$15:$J$2014,'통합 ① 거래입력'!$O$15:$O$2014,$G$1*100+6,'통합 ① 거래입력'!$D$15:$D$2014,$B32)</f>
        <v>0</v>
      </c>
      <c r="I32" s="57" t="n">
        <f aca="false">SUMIFS('통합 ① 거래입력'!$J$15:$J$2014,'통합 ① 거래입력'!$O$15:$O$2014,$G$1*100+7,'통합 ① 거래입력'!$D$15:$D$2014,$B32)</f>
        <v>0</v>
      </c>
      <c r="J32" s="57" t="n">
        <f aca="false">SUMIFS('통합 ① 거래입력'!$J$15:$J$2014,'통합 ① 거래입력'!$O$15:$O$2014,$G$1*100+8,'통합 ① 거래입력'!$D$15:$D$2014,$B32)</f>
        <v>0</v>
      </c>
      <c r="K32" s="57" t="n">
        <f aca="false">SUMIFS('통합 ① 거래입력'!$J$15:$J$2014,'통합 ① 거래입력'!$O$15:$O$2014,$G$1*100+9,'통합 ① 거래입력'!$D$15:$D$2014,$B32)</f>
        <v>0</v>
      </c>
      <c r="L32" s="57" t="n">
        <f aca="false">SUMIFS('통합 ① 거래입력'!$J$15:$J$2014,'통합 ① 거래입력'!$O$15:$O$2014,$G$1*100+10,'통합 ① 거래입력'!$D$15:$D$2014,$B32)</f>
        <v>0</v>
      </c>
      <c r="M32" s="57" t="n">
        <f aca="false">SUMIFS('통합 ① 거래입력'!$J$15:$J$2014,'통합 ① 거래입력'!$O$15:$O$2014,$G$1*100+11,'통합 ① 거래입력'!$D$15:$D$2014,$B32)</f>
        <v>0</v>
      </c>
      <c r="N32" s="57" t="n">
        <f aca="false">SUMIFS('통합 ① 거래입력'!$J$15:$J$2014,'통합 ① 거래입력'!$O$15:$O$2014,$G$1*100+12,'통합 ① 거래입력'!$D$15:$D$2014,$B32)</f>
        <v>0</v>
      </c>
      <c r="O32" s="58" t="n">
        <f aca="false">SUM($C32:$N32)</f>
        <v>0</v>
      </c>
      <c r="P32" s="57" t="n">
        <f aca="false">IFERROR(AVERAGEIF($C32:$N32,"&lt;&gt;0"),0)</f>
        <v>0</v>
      </c>
    </row>
    <row r="33" customFormat="false" ht="15" hidden="false" customHeight="false" outlineLevel="0" collapsed="false">
      <c r="A33" s="55"/>
      <c r="B33" s="56" t="s">
        <v>140</v>
      </c>
      <c r="C33" s="57" t="n">
        <f aca="false">SUMIFS('통합 ① 거래입력'!$J$15:$J$2014,'통합 ① 거래입력'!$O$15:$O$2014,$G$1*100+1,'통합 ① 거래입력'!$D$15:$D$2014,$B33)</f>
        <v>0</v>
      </c>
      <c r="D33" s="57" t="n">
        <f aca="false">SUMIFS('통합 ① 거래입력'!$J$15:$J$2014,'통합 ① 거래입력'!$O$15:$O$2014,$G$1*100+2,'통합 ① 거래입력'!$D$15:$D$2014,$B33)</f>
        <v>0</v>
      </c>
      <c r="E33" s="57" t="n">
        <f aca="false">SUMIFS('통합 ① 거래입력'!$J$15:$J$2014,'통합 ① 거래입력'!$O$15:$O$2014,$G$1*100+3,'통합 ① 거래입력'!$D$15:$D$2014,$B33)</f>
        <v>0</v>
      </c>
      <c r="F33" s="57" t="n">
        <f aca="false">SUMIFS('통합 ① 거래입력'!$J$15:$J$2014,'통합 ① 거래입력'!$O$15:$O$2014,$G$1*100+4,'통합 ① 거래입력'!$D$15:$D$2014,$B33)</f>
        <v>0</v>
      </c>
      <c r="G33" s="57" t="n">
        <f aca="false">SUMIFS('통합 ① 거래입력'!$J$15:$J$2014,'통합 ① 거래입력'!$O$15:$O$2014,$G$1*100+5,'통합 ① 거래입력'!$D$15:$D$2014,$B33)</f>
        <v>0</v>
      </c>
      <c r="H33" s="57" t="n">
        <f aca="false">SUMIFS('통합 ① 거래입력'!$J$15:$J$2014,'통합 ① 거래입력'!$O$15:$O$2014,$G$1*100+6,'통합 ① 거래입력'!$D$15:$D$2014,$B33)</f>
        <v>0</v>
      </c>
      <c r="I33" s="57" t="n">
        <f aca="false">SUMIFS('통합 ① 거래입력'!$J$15:$J$2014,'통합 ① 거래입력'!$O$15:$O$2014,$G$1*100+7,'통합 ① 거래입력'!$D$15:$D$2014,$B33)</f>
        <v>0</v>
      </c>
      <c r="J33" s="57" t="n">
        <f aca="false">SUMIFS('통합 ① 거래입력'!$J$15:$J$2014,'통합 ① 거래입력'!$O$15:$O$2014,$G$1*100+8,'통합 ① 거래입력'!$D$15:$D$2014,$B33)</f>
        <v>0</v>
      </c>
      <c r="K33" s="57" t="n">
        <f aca="false">SUMIFS('통합 ① 거래입력'!$J$15:$J$2014,'통합 ① 거래입력'!$O$15:$O$2014,$G$1*100+9,'통합 ① 거래입력'!$D$15:$D$2014,$B33)</f>
        <v>0</v>
      </c>
      <c r="L33" s="57" t="n">
        <f aca="false">SUMIFS('통합 ① 거래입력'!$J$15:$J$2014,'통합 ① 거래입력'!$O$15:$O$2014,$G$1*100+10,'통합 ① 거래입력'!$D$15:$D$2014,$B33)</f>
        <v>0</v>
      </c>
      <c r="M33" s="57" t="n">
        <f aca="false">SUMIFS('통합 ① 거래입력'!$J$15:$J$2014,'통합 ① 거래입력'!$O$15:$O$2014,$G$1*100+11,'통합 ① 거래입력'!$D$15:$D$2014,$B33)</f>
        <v>0</v>
      </c>
      <c r="N33" s="57" t="n">
        <f aca="false">SUMIFS('통합 ① 거래입력'!$J$15:$J$2014,'통합 ① 거래입력'!$O$15:$O$2014,$G$1*100+12,'통합 ① 거래입력'!$D$15:$D$2014,$B33)</f>
        <v>0</v>
      </c>
      <c r="O33" s="58" t="n">
        <f aca="false">SUM($C33:$N33)</f>
        <v>0</v>
      </c>
      <c r="P33" s="57" t="n">
        <f aca="false">IFERROR(AVERAGEIF($C33:$N33,"&lt;&gt;0"),0)</f>
        <v>0</v>
      </c>
    </row>
    <row r="34" customFormat="false" ht="15" hidden="false" customHeight="false" outlineLevel="0" collapsed="false">
      <c r="A34" s="55"/>
      <c r="B34" s="56" t="s">
        <v>141</v>
      </c>
      <c r="C34" s="57" t="n">
        <f aca="false">SUMIFS('통합 ① 거래입력'!$J$15:$J$2014,'통합 ① 거래입력'!$O$15:$O$2014,$G$1*100+1,'통합 ① 거래입력'!$D$15:$D$2014,$B34)</f>
        <v>0</v>
      </c>
      <c r="D34" s="57" t="n">
        <f aca="false">SUMIFS('통합 ① 거래입력'!$J$15:$J$2014,'통합 ① 거래입력'!$O$15:$O$2014,$G$1*100+2,'통합 ① 거래입력'!$D$15:$D$2014,$B34)</f>
        <v>0</v>
      </c>
      <c r="E34" s="57" t="n">
        <f aca="false">SUMIFS('통합 ① 거래입력'!$J$15:$J$2014,'통합 ① 거래입력'!$O$15:$O$2014,$G$1*100+3,'통합 ① 거래입력'!$D$15:$D$2014,$B34)</f>
        <v>0</v>
      </c>
      <c r="F34" s="57" t="n">
        <f aca="false">SUMIFS('통합 ① 거래입력'!$J$15:$J$2014,'통합 ① 거래입력'!$O$15:$O$2014,$G$1*100+4,'통합 ① 거래입력'!$D$15:$D$2014,$B34)</f>
        <v>0</v>
      </c>
      <c r="G34" s="57" t="n">
        <f aca="false">SUMIFS('통합 ① 거래입력'!$J$15:$J$2014,'통합 ① 거래입력'!$O$15:$O$2014,$G$1*100+5,'통합 ① 거래입력'!$D$15:$D$2014,$B34)</f>
        <v>0</v>
      </c>
      <c r="H34" s="57" t="n">
        <f aca="false">SUMIFS('통합 ① 거래입력'!$J$15:$J$2014,'통합 ① 거래입력'!$O$15:$O$2014,$G$1*100+6,'통합 ① 거래입력'!$D$15:$D$2014,$B34)</f>
        <v>0</v>
      </c>
      <c r="I34" s="57" t="n">
        <f aca="false">SUMIFS('통합 ① 거래입력'!$J$15:$J$2014,'통합 ① 거래입력'!$O$15:$O$2014,$G$1*100+7,'통합 ① 거래입력'!$D$15:$D$2014,$B34)</f>
        <v>0</v>
      </c>
      <c r="J34" s="57" t="n">
        <f aca="false">SUMIFS('통합 ① 거래입력'!$J$15:$J$2014,'통합 ① 거래입력'!$O$15:$O$2014,$G$1*100+8,'통합 ① 거래입력'!$D$15:$D$2014,$B34)</f>
        <v>0</v>
      </c>
      <c r="K34" s="57" t="n">
        <f aca="false">SUMIFS('통합 ① 거래입력'!$J$15:$J$2014,'통합 ① 거래입력'!$O$15:$O$2014,$G$1*100+9,'통합 ① 거래입력'!$D$15:$D$2014,$B34)</f>
        <v>0</v>
      </c>
      <c r="L34" s="57" t="n">
        <f aca="false">SUMIFS('통합 ① 거래입력'!$J$15:$J$2014,'통합 ① 거래입력'!$O$15:$O$2014,$G$1*100+10,'통합 ① 거래입력'!$D$15:$D$2014,$B34)</f>
        <v>0</v>
      </c>
      <c r="M34" s="57" t="n">
        <f aca="false">SUMIFS('통합 ① 거래입력'!$J$15:$J$2014,'통합 ① 거래입력'!$O$15:$O$2014,$G$1*100+11,'통합 ① 거래입력'!$D$15:$D$2014,$B34)</f>
        <v>0</v>
      </c>
      <c r="N34" s="57" t="n">
        <f aca="false">SUMIFS('통합 ① 거래입력'!$J$15:$J$2014,'통합 ① 거래입력'!$O$15:$O$2014,$G$1*100+12,'통합 ① 거래입력'!$D$15:$D$2014,$B34)</f>
        <v>0</v>
      </c>
      <c r="O34" s="58" t="n">
        <f aca="false">SUM($C34:$N34)</f>
        <v>0</v>
      </c>
      <c r="P34" s="57" t="n">
        <f aca="false">IFERROR(AVERAGEIF($C34:$N34,"&lt;&gt;0"),0)</f>
        <v>0</v>
      </c>
    </row>
    <row r="35" customFormat="false" ht="15" hidden="false" customHeight="false" outlineLevel="0" collapsed="false">
      <c r="A35" s="55"/>
      <c r="B35" s="56" t="s">
        <v>142</v>
      </c>
      <c r="C35" s="57" t="n">
        <f aca="false">SUMIFS('통합 ① 거래입력'!$J$15:$J$2014,'통합 ① 거래입력'!$O$15:$O$2014,$G$1*100+1,'통합 ① 거래입력'!$D$15:$D$2014,$B35)</f>
        <v>0</v>
      </c>
      <c r="D35" s="57" t="n">
        <f aca="false">SUMIFS('통합 ① 거래입력'!$J$15:$J$2014,'통합 ① 거래입력'!$O$15:$O$2014,$G$1*100+2,'통합 ① 거래입력'!$D$15:$D$2014,$B35)</f>
        <v>0</v>
      </c>
      <c r="E35" s="57" t="n">
        <f aca="false">SUMIFS('통합 ① 거래입력'!$J$15:$J$2014,'통합 ① 거래입력'!$O$15:$O$2014,$G$1*100+3,'통합 ① 거래입력'!$D$15:$D$2014,$B35)</f>
        <v>0</v>
      </c>
      <c r="F35" s="57" t="n">
        <f aca="false">SUMIFS('통합 ① 거래입력'!$J$15:$J$2014,'통합 ① 거래입력'!$O$15:$O$2014,$G$1*100+4,'통합 ① 거래입력'!$D$15:$D$2014,$B35)</f>
        <v>0</v>
      </c>
      <c r="G35" s="57" t="n">
        <f aca="false">SUMIFS('통합 ① 거래입력'!$J$15:$J$2014,'통합 ① 거래입력'!$O$15:$O$2014,$G$1*100+5,'통합 ① 거래입력'!$D$15:$D$2014,$B35)</f>
        <v>0</v>
      </c>
      <c r="H35" s="57" t="n">
        <f aca="false">SUMIFS('통합 ① 거래입력'!$J$15:$J$2014,'통합 ① 거래입력'!$O$15:$O$2014,$G$1*100+6,'통합 ① 거래입력'!$D$15:$D$2014,$B35)</f>
        <v>0</v>
      </c>
      <c r="I35" s="57" t="n">
        <f aca="false">SUMIFS('통합 ① 거래입력'!$J$15:$J$2014,'통합 ① 거래입력'!$O$15:$O$2014,$G$1*100+7,'통합 ① 거래입력'!$D$15:$D$2014,$B35)</f>
        <v>0</v>
      </c>
      <c r="J35" s="57" t="n">
        <f aca="false">SUMIFS('통합 ① 거래입력'!$J$15:$J$2014,'통합 ① 거래입력'!$O$15:$O$2014,$G$1*100+8,'통합 ① 거래입력'!$D$15:$D$2014,$B35)</f>
        <v>0</v>
      </c>
      <c r="K35" s="57" t="n">
        <f aca="false">SUMIFS('통합 ① 거래입력'!$J$15:$J$2014,'통합 ① 거래입력'!$O$15:$O$2014,$G$1*100+9,'통합 ① 거래입력'!$D$15:$D$2014,$B35)</f>
        <v>0</v>
      </c>
      <c r="L35" s="57" t="n">
        <f aca="false">SUMIFS('통합 ① 거래입력'!$J$15:$J$2014,'통합 ① 거래입력'!$O$15:$O$2014,$G$1*100+10,'통합 ① 거래입력'!$D$15:$D$2014,$B35)</f>
        <v>0</v>
      </c>
      <c r="M35" s="57" t="n">
        <f aca="false">SUMIFS('통합 ① 거래입력'!$J$15:$J$2014,'통합 ① 거래입력'!$O$15:$O$2014,$G$1*100+11,'통합 ① 거래입력'!$D$15:$D$2014,$B35)</f>
        <v>0</v>
      </c>
      <c r="N35" s="57" t="n">
        <f aca="false">SUMIFS('통합 ① 거래입력'!$J$15:$J$2014,'통합 ① 거래입력'!$O$15:$O$2014,$G$1*100+12,'통합 ① 거래입력'!$D$15:$D$2014,$B35)</f>
        <v>0</v>
      </c>
      <c r="O35" s="58" t="n">
        <f aca="false">SUM($C35:$N35)</f>
        <v>0</v>
      </c>
      <c r="P35" s="57" t="n">
        <f aca="false">IFERROR(AVERAGEIF($C35:$N35,"&lt;&gt;0"),0)</f>
        <v>0</v>
      </c>
    </row>
    <row r="36" customFormat="false" ht="15" hidden="false" customHeight="false" outlineLevel="0" collapsed="false">
      <c r="A36" s="55"/>
      <c r="B36" s="56" t="s">
        <v>143</v>
      </c>
      <c r="C36" s="57" t="n">
        <f aca="false">SUMIFS('통합 ① 거래입력'!$J$15:$J$2014,'통합 ① 거래입력'!$O$15:$O$2014,$G$1*100+1,'통합 ① 거래입력'!$D$15:$D$2014,$B36)</f>
        <v>0</v>
      </c>
      <c r="D36" s="57" t="n">
        <f aca="false">SUMIFS('통합 ① 거래입력'!$J$15:$J$2014,'통합 ① 거래입력'!$O$15:$O$2014,$G$1*100+2,'통합 ① 거래입력'!$D$15:$D$2014,$B36)</f>
        <v>0</v>
      </c>
      <c r="E36" s="57" t="n">
        <f aca="false">SUMIFS('통합 ① 거래입력'!$J$15:$J$2014,'통합 ① 거래입력'!$O$15:$O$2014,$G$1*100+3,'통합 ① 거래입력'!$D$15:$D$2014,$B36)</f>
        <v>0</v>
      </c>
      <c r="F36" s="57" t="n">
        <f aca="false">SUMIFS('통합 ① 거래입력'!$J$15:$J$2014,'통합 ① 거래입력'!$O$15:$O$2014,$G$1*100+4,'통합 ① 거래입력'!$D$15:$D$2014,$B36)</f>
        <v>0</v>
      </c>
      <c r="G36" s="57" t="n">
        <f aca="false">SUMIFS('통합 ① 거래입력'!$J$15:$J$2014,'통합 ① 거래입력'!$O$15:$O$2014,$G$1*100+5,'통합 ① 거래입력'!$D$15:$D$2014,$B36)</f>
        <v>0</v>
      </c>
      <c r="H36" s="57" t="n">
        <f aca="false">SUMIFS('통합 ① 거래입력'!$J$15:$J$2014,'통합 ① 거래입력'!$O$15:$O$2014,$G$1*100+6,'통합 ① 거래입력'!$D$15:$D$2014,$B36)</f>
        <v>0</v>
      </c>
      <c r="I36" s="57" t="n">
        <f aca="false">SUMIFS('통합 ① 거래입력'!$J$15:$J$2014,'통합 ① 거래입력'!$O$15:$O$2014,$G$1*100+7,'통합 ① 거래입력'!$D$15:$D$2014,$B36)</f>
        <v>0</v>
      </c>
      <c r="J36" s="57" t="n">
        <f aca="false">SUMIFS('통합 ① 거래입력'!$J$15:$J$2014,'통합 ① 거래입력'!$O$15:$O$2014,$G$1*100+8,'통합 ① 거래입력'!$D$15:$D$2014,$B36)</f>
        <v>0</v>
      </c>
      <c r="K36" s="57" t="n">
        <f aca="false">SUMIFS('통합 ① 거래입력'!$J$15:$J$2014,'통합 ① 거래입력'!$O$15:$O$2014,$G$1*100+9,'통합 ① 거래입력'!$D$15:$D$2014,$B36)</f>
        <v>0</v>
      </c>
      <c r="L36" s="57" t="n">
        <f aca="false">SUMIFS('통합 ① 거래입력'!$J$15:$J$2014,'통합 ① 거래입력'!$O$15:$O$2014,$G$1*100+10,'통합 ① 거래입력'!$D$15:$D$2014,$B36)</f>
        <v>0</v>
      </c>
      <c r="M36" s="57" t="n">
        <f aca="false">SUMIFS('통합 ① 거래입력'!$J$15:$J$2014,'통합 ① 거래입력'!$O$15:$O$2014,$G$1*100+11,'통합 ① 거래입력'!$D$15:$D$2014,$B36)</f>
        <v>0</v>
      </c>
      <c r="N36" s="57" t="n">
        <f aca="false">SUMIFS('통합 ① 거래입력'!$J$15:$J$2014,'통합 ① 거래입력'!$O$15:$O$2014,$G$1*100+12,'통합 ① 거래입력'!$D$15:$D$2014,$B36)</f>
        <v>0</v>
      </c>
      <c r="O36" s="58" t="n">
        <f aca="false">SUM($C36:$N36)</f>
        <v>0</v>
      </c>
      <c r="P36" s="57" t="n">
        <f aca="false">IFERROR(AVERAGEIF($C36:$N36,"&lt;&gt;0"),0)</f>
        <v>0</v>
      </c>
    </row>
    <row r="37" customFormat="false" ht="15" hidden="false" customHeight="false" outlineLevel="0" collapsed="false">
      <c r="A37" s="55"/>
      <c r="B37" s="56" t="s">
        <v>144</v>
      </c>
      <c r="C37" s="57" t="n">
        <f aca="false">SUMIFS('통합 ① 거래입력'!$J$15:$J$2014,'통합 ① 거래입력'!$O$15:$O$2014,$G$1*100+1,'통합 ① 거래입력'!$D$15:$D$2014,$B37)</f>
        <v>0</v>
      </c>
      <c r="D37" s="57" t="n">
        <f aca="false">SUMIFS('통합 ① 거래입력'!$J$15:$J$2014,'통합 ① 거래입력'!$O$15:$O$2014,$G$1*100+2,'통합 ① 거래입력'!$D$15:$D$2014,$B37)</f>
        <v>0</v>
      </c>
      <c r="E37" s="57" t="n">
        <f aca="false">SUMIFS('통합 ① 거래입력'!$J$15:$J$2014,'통합 ① 거래입력'!$O$15:$O$2014,$G$1*100+3,'통합 ① 거래입력'!$D$15:$D$2014,$B37)</f>
        <v>0</v>
      </c>
      <c r="F37" s="57" t="n">
        <f aca="false">SUMIFS('통합 ① 거래입력'!$J$15:$J$2014,'통합 ① 거래입력'!$O$15:$O$2014,$G$1*100+4,'통합 ① 거래입력'!$D$15:$D$2014,$B37)</f>
        <v>0</v>
      </c>
      <c r="G37" s="57" t="n">
        <f aca="false">SUMIFS('통합 ① 거래입력'!$J$15:$J$2014,'통합 ① 거래입력'!$O$15:$O$2014,$G$1*100+5,'통합 ① 거래입력'!$D$15:$D$2014,$B37)</f>
        <v>0</v>
      </c>
      <c r="H37" s="57" t="n">
        <f aca="false">SUMIFS('통합 ① 거래입력'!$J$15:$J$2014,'통합 ① 거래입력'!$O$15:$O$2014,$G$1*100+6,'통합 ① 거래입력'!$D$15:$D$2014,$B37)</f>
        <v>0</v>
      </c>
      <c r="I37" s="57" t="n">
        <f aca="false">SUMIFS('통합 ① 거래입력'!$J$15:$J$2014,'통합 ① 거래입력'!$O$15:$O$2014,$G$1*100+7,'통합 ① 거래입력'!$D$15:$D$2014,$B37)</f>
        <v>0</v>
      </c>
      <c r="J37" s="57" t="n">
        <f aca="false">SUMIFS('통합 ① 거래입력'!$J$15:$J$2014,'통합 ① 거래입력'!$O$15:$O$2014,$G$1*100+8,'통합 ① 거래입력'!$D$15:$D$2014,$B37)</f>
        <v>0</v>
      </c>
      <c r="K37" s="57" t="n">
        <f aca="false">SUMIFS('통합 ① 거래입력'!$J$15:$J$2014,'통합 ① 거래입력'!$O$15:$O$2014,$G$1*100+9,'통합 ① 거래입력'!$D$15:$D$2014,$B37)</f>
        <v>0</v>
      </c>
      <c r="L37" s="57" t="n">
        <f aca="false">SUMIFS('통합 ① 거래입력'!$J$15:$J$2014,'통합 ① 거래입력'!$O$15:$O$2014,$G$1*100+10,'통합 ① 거래입력'!$D$15:$D$2014,$B37)</f>
        <v>0</v>
      </c>
      <c r="M37" s="57" t="n">
        <f aca="false">SUMIFS('통합 ① 거래입력'!$J$15:$J$2014,'통합 ① 거래입력'!$O$15:$O$2014,$G$1*100+11,'통합 ① 거래입력'!$D$15:$D$2014,$B37)</f>
        <v>0</v>
      </c>
      <c r="N37" s="57" t="n">
        <f aca="false">SUMIFS('통합 ① 거래입력'!$J$15:$J$2014,'통합 ① 거래입력'!$O$15:$O$2014,$G$1*100+12,'통합 ① 거래입력'!$D$15:$D$2014,$B37)</f>
        <v>0</v>
      </c>
      <c r="O37" s="58" t="n">
        <f aca="false">SUM($C37:$N37)</f>
        <v>0</v>
      </c>
      <c r="P37" s="57" t="n">
        <f aca="false">IFERROR(AVERAGEIF($C37:$N37,"&lt;&gt;0"),0)</f>
        <v>0</v>
      </c>
    </row>
    <row r="38" customFormat="false" ht="15" hidden="false" customHeight="false" outlineLevel="0" collapsed="false">
      <c r="A38" s="55"/>
      <c r="B38" s="56" t="s">
        <v>145</v>
      </c>
      <c r="C38" s="57" t="n">
        <f aca="false">SUMIFS('통합 ① 거래입력'!$J$15:$J$2014,'통합 ① 거래입력'!$O$15:$O$2014,$G$1*100+1,'통합 ① 거래입력'!$D$15:$D$2014,$B38)</f>
        <v>0</v>
      </c>
      <c r="D38" s="57" t="n">
        <f aca="false">SUMIFS('통합 ① 거래입력'!$J$15:$J$2014,'통합 ① 거래입력'!$O$15:$O$2014,$G$1*100+2,'통합 ① 거래입력'!$D$15:$D$2014,$B38)</f>
        <v>0</v>
      </c>
      <c r="E38" s="57" t="n">
        <f aca="false">SUMIFS('통합 ① 거래입력'!$J$15:$J$2014,'통합 ① 거래입력'!$O$15:$O$2014,$G$1*100+3,'통합 ① 거래입력'!$D$15:$D$2014,$B38)</f>
        <v>0</v>
      </c>
      <c r="F38" s="57" t="n">
        <f aca="false">SUMIFS('통합 ① 거래입력'!$J$15:$J$2014,'통합 ① 거래입력'!$O$15:$O$2014,$G$1*100+4,'통합 ① 거래입력'!$D$15:$D$2014,$B38)</f>
        <v>0</v>
      </c>
      <c r="G38" s="57" t="n">
        <f aca="false">SUMIFS('통합 ① 거래입력'!$J$15:$J$2014,'통합 ① 거래입력'!$O$15:$O$2014,$G$1*100+5,'통합 ① 거래입력'!$D$15:$D$2014,$B38)</f>
        <v>0</v>
      </c>
      <c r="H38" s="57" t="n">
        <f aca="false">SUMIFS('통합 ① 거래입력'!$J$15:$J$2014,'통합 ① 거래입력'!$O$15:$O$2014,$G$1*100+6,'통합 ① 거래입력'!$D$15:$D$2014,$B38)</f>
        <v>0</v>
      </c>
      <c r="I38" s="57" t="n">
        <f aca="false">SUMIFS('통합 ① 거래입력'!$J$15:$J$2014,'통합 ① 거래입력'!$O$15:$O$2014,$G$1*100+7,'통합 ① 거래입력'!$D$15:$D$2014,$B38)</f>
        <v>0</v>
      </c>
      <c r="J38" s="57" t="n">
        <f aca="false">SUMIFS('통합 ① 거래입력'!$J$15:$J$2014,'통합 ① 거래입력'!$O$15:$O$2014,$G$1*100+8,'통합 ① 거래입력'!$D$15:$D$2014,$B38)</f>
        <v>0</v>
      </c>
      <c r="K38" s="57" t="n">
        <f aca="false">SUMIFS('통합 ① 거래입력'!$J$15:$J$2014,'통합 ① 거래입력'!$O$15:$O$2014,$G$1*100+9,'통합 ① 거래입력'!$D$15:$D$2014,$B38)</f>
        <v>0</v>
      </c>
      <c r="L38" s="57" t="n">
        <f aca="false">SUMIFS('통합 ① 거래입력'!$J$15:$J$2014,'통합 ① 거래입력'!$O$15:$O$2014,$G$1*100+10,'통합 ① 거래입력'!$D$15:$D$2014,$B38)</f>
        <v>0</v>
      </c>
      <c r="M38" s="57" t="n">
        <f aca="false">SUMIFS('통합 ① 거래입력'!$J$15:$J$2014,'통합 ① 거래입력'!$O$15:$O$2014,$G$1*100+11,'통합 ① 거래입력'!$D$15:$D$2014,$B38)</f>
        <v>0</v>
      </c>
      <c r="N38" s="57" t="n">
        <f aca="false">SUMIFS('통합 ① 거래입력'!$J$15:$J$2014,'통합 ① 거래입력'!$O$15:$O$2014,$G$1*100+12,'통합 ① 거래입력'!$D$15:$D$2014,$B38)</f>
        <v>0</v>
      </c>
      <c r="O38" s="58" t="n">
        <f aca="false">SUM($C38:$N38)</f>
        <v>0</v>
      </c>
      <c r="P38" s="57" t="n">
        <f aca="false">IFERROR(AVERAGEIF($C38:$N38,"&lt;&gt;0"),0)</f>
        <v>0</v>
      </c>
    </row>
    <row r="39" customFormat="false" ht="15" hidden="false" customHeight="false" outlineLevel="0" collapsed="false">
      <c r="A39" s="55"/>
      <c r="B39" s="56" t="s">
        <v>146</v>
      </c>
      <c r="C39" s="57" t="n">
        <f aca="false">SUMIFS('통합 ① 거래입력'!$J$15:$J$2014,'통합 ① 거래입력'!$O$15:$O$2014,$G$1*100+1,'통합 ① 거래입력'!$D$15:$D$2014,$B39)</f>
        <v>0</v>
      </c>
      <c r="D39" s="57" t="n">
        <f aca="false">SUMIFS('통합 ① 거래입력'!$J$15:$J$2014,'통합 ① 거래입력'!$O$15:$O$2014,$G$1*100+2,'통합 ① 거래입력'!$D$15:$D$2014,$B39)</f>
        <v>0</v>
      </c>
      <c r="E39" s="57" t="n">
        <f aca="false">SUMIFS('통합 ① 거래입력'!$J$15:$J$2014,'통합 ① 거래입력'!$O$15:$O$2014,$G$1*100+3,'통합 ① 거래입력'!$D$15:$D$2014,$B39)</f>
        <v>0</v>
      </c>
      <c r="F39" s="57" t="n">
        <f aca="false">SUMIFS('통합 ① 거래입력'!$J$15:$J$2014,'통합 ① 거래입력'!$O$15:$O$2014,$G$1*100+4,'통합 ① 거래입력'!$D$15:$D$2014,$B39)</f>
        <v>0</v>
      </c>
      <c r="G39" s="57" t="n">
        <f aca="false">SUMIFS('통합 ① 거래입력'!$J$15:$J$2014,'통합 ① 거래입력'!$O$15:$O$2014,$G$1*100+5,'통합 ① 거래입력'!$D$15:$D$2014,$B39)</f>
        <v>0</v>
      </c>
      <c r="H39" s="57" t="n">
        <f aca="false">SUMIFS('통합 ① 거래입력'!$J$15:$J$2014,'통합 ① 거래입력'!$O$15:$O$2014,$G$1*100+6,'통합 ① 거래입력'!$D$15:$D$2014,$B39)</f>
        <v>0</v>
      </c>
      <c r="I39" s="57" t="n">
        <f aca="false">SUMIFS('통합 ① 거래입력'!$J$15:$J$2014,'통합 ① 거래입력'!$O$15:$O$2014,$G$1*100+7,'통합 ① 거래입력'!$D$15:$D$2014,$B39)</f>
        <v>0</v>
      </c>
      <c r="J39" s="57" t="n">
        <f aca="false">SUMIFS('통합 ① 거래입력'!$J$15:$J$2014,'통합 ① 거래입력'!$O$15:$O$2014,$G$1*100+8,'통합 ① 거래입력'!$D$15:$D$2014,$B39)</f>
        <v>0</v>
      </c>
      <c r="K39" s="57" t="n">
        <f aca="false">SUMIFS('통합 ① 거래입력'!$J$15:$J$2014,'통합 ① 거래입력'!$O$15:$O$2014,$G$1*100+9,'통합 ① 거래입력'!$D$15:$D$2014,$B39)</f>
        <v>0</v>
      </c>
      <c r="L39" s="57" t="n">
        <f aca="false">SUMIFS('통합 ① 거래입력'!$J$15:$J$2014,'통합 ① 거래입력'!$O$15:$O$2014,$G$1*100+10,'통합 ① 거래입력'!$D$15:$D$2014,$B39)</f>
        <v>0</v>
      </c>
      <c r="M39" s="57" t="n">
        <f aca="false">SUMIFS('통합 ① 거래입력'!$J$15:$J$2014,'통합 ① 거래입력'!$O$15:$O$2014,$G$1*100+11,'통합 ① 거래입력'!$D$15:$D$2014,$B39)</f>
        <v>0</v>
      </c>
      <c r="N39" s="57" t="n">
        <f aca="false">SUMIFS('통합 ① 거래입력'!$J$15:$J$2014,'통합 ① 거래입력'!$O$15:$O$2014,$G$1*100+12,'통합 ① 거래입력'!$D$15:$D$2014,$B39)</f>
        <v>0</v>
      </c>
      <c r="O39" s="58" t="n">
        <f aca="false">SUM($C39:$N39)</f>
        <v>0</v>
      </c>
      <c r="P39" s="57" t="n">
        <f aca="false">IFERROR(AVERAGEIF($C39:$N39,"&lt;&gt;0"),0)</f>
        <v>0</v>
      </c>
    </row>
    <row r="40" customFormat="false" ht="15" hidden="false" customHeight="false" outlineLevel="0" collapsed="false">
      <c r="A40" s="55"/>
      <c r="B40" s="56" t="s">
        <v>147</v>
      </c>
      <c r="C40" s="57" t="n">
        <f aca="false">SUMIFS('통합 ① 거래입력'!$J$15:$J$2014,'통합 ① 거래입력'!$O$15:$O$2014,$G$1*100+1,'통합 ① 거래입력'!$D$15:$D$2014,$B40)</f>
        <v>0</v>
      </c>
      <c r="D40" s="57" t="n">
        <f aca="false">SUMIFS('통합 ① 거래입력'!$J$15:$J$2014,'통합 ① 거래입력'!$O$15:$O$2014,$G$1*100+2,'통합 ① 거래입력'!$D$15:$D$2014,$B40)</f>
        <v>0</v>
      </c>
      <c r="E40" s="57" t="n">
        <f aca="false">SUMIFS('통합 ① 거래입력'!$J$15:$J$2014,'통합 ① 거래입력'!$O$15:$O$2014,$G$1*100+3,'통합 ① 거래입력'!$D$15:$D$2014,$B40)</f>
        <v>0</v>
      </c>
      <c r="F40" s="57" t="n">
        <f aca="false">SUMIFS('통합 ① 거래입력'!$J$15:$J$2014,'통합 ① 거래입력'!$O$15:$O$2014,$G$1*100+4,'통합 ① 거래입력'!$D$15:$D$2014,$B40)</f>
        <v>0</v>
      </c>
      <c r="G40" s="57" t="n">
        <f aca="false">SUMIFS('통합 ① 거래입력'!$J$15:$J$2014,'통합 ① 거래입력'!$O$15:$O$2014,$G$1*100+5,'통합 ① 거래입력'!$D$15:$D$2014,$B40)</f>
        <v>0</v>
      </c>
      <c r="H40" s="57" t="n">
        <f aca="false">SUMIFS('통합 ① 거래입력'!$J$15:$J$2014,'통합 ① 거래입력'!$O$15:$O$2014,$G$1*100+6,'통합 ① 거래입력'!$D$15:$D$2014,$B40)</f>
        <v>0</v>
      </c>
      <c r="I40" s="57" t="n">
        <f aca="false">SUMIFS('통합 ① 거래입력'!$J$15:$J$2014,'통합 ① 거래입력'!$O$15:$O$2014,$G$1*100+7,'통합 ① 거래입력'!$D$15:$D$2014,$B40)</f>
        <v>0</v>
      </c>
      <c r="J40" s="57" t="n">
        <f aca="false">SUMIFS('통합 ① 거래입력'!$J$15:$J$2014,'통합 ① 거래입력'!$O$15:$O$2014,$G$1*100+8,'통합 ① 거래입력'!$D$15:$D$2014,$B40)</f>
        <v>0</v>
      </c>
      <c r="K40" s="57" t="n">
        <f aca="false">SUMIFS('통합 ① 거래입력'!$J$15:$J$2014,'통합 ① 거래입력'!$O$15:$O$2014,$G$1*100+9,'통합 ① 거래입력'!$D$15:$D$2014,$B40)</f>
        <v>0</v>
      </c>
      <c r="L40" s="57" t="n">
        <f aca="false">SUMIFS('통합 ① 거래입력'!$J$15:$J$2014,'통합 ① 거래입력'!$O$15:$O$2014,$G$1*100+10,'통합 ① 거래입력'!$D$15:$D$2014,$B40)</f>
        <v>0</v>
      </c>
      <c r="M40" s="57" t="n">
        <f aca="false">SUMIFS('통합 ① 거래입력'!$J$15:$J$2014,'통합 ① 거래입력'!$O$15:$O$2014,$G$1*100+11,'통합 ① 거래입력'!$D$15:$D$2014,$B40)</f>
        <v>0</v>
      </c>
      <c r="N40" s="57" t="n">
        <f aca="false">SUMIFS('통합 ① 거래입력'!$J$15:$J$2014,'통합 ① 거래입력'!$O$15:$O$2014,$G$1*100+12,'통합 ① 거래입력'!$D$15:$D$2014,$B40)</f>
        <v>0</v>
      </c>
      <c r="O40" s="58" t="n">
        <f aca="false">SUM($C40:$N40)</f>
        <v>0</v>
      </c>
      <c r="P40" s="57" t="n">
        <f aca="false">IFERROR(AVERAGEIF($C40:$N40,"&lt;&gt;0"),0)</f>
        <v>0</v>
      </c>
    </row>
    <row r="41" customFormat="false" ht="15" hidden="false" customHeight="false" outlineLevel="0" collapsed="false">
      <c r="A41" s="55"/>
      <c r="B41" s="56" t="s">
        <v>148</v>
      </c>
      <c r="C41" s="57" t="n">
        <f aca="false">SUMIFS('통합 ① 거래입력'!$J$15:$J$2014,'통합 ① 거래입력'!$O$15:$O$2014,$G$1*100+1,'통합 ① 거래입력'!$D$15:$D$2014,$B41)</f>
        <v>0</v>
      </c>
      <c r="D41" s="57" t="n">
        <f aca="false">SUMIFS('통합 ① 거래입력'!$J$15:$J$2014,'통합 ① 거래입력'!$O$15:$O$2014,$G$1*100+2,'통합 ① 거래입력'!$D$15:$D$2014,$B41)</f>
        <v>0</v>
      </c>
      <c r="E41" s="57" t="n">
        <f aca="false">SUMIFS('통합 ① 거래입력'!$J$15:$J$2014,'통합 ① 거래입력'!$O$15:$O$2014,$G$1*100+3,'통합 ① 거래입력'!$D$15:$D$2014,$B41)</f>
        <v>0</v>
      </c>
      <c r="F41" s="57" t="n">
        <f aca="false">SUMIFS('통합 ① 거래입력'!$J$15:$J$2014,'통합 ① 거래입력'!$O$15:$O$2014,$G$1*100+4,'통합 ① 거래입력'!$D$15:$D$2014,$B41)</f>
        <v>0</v>
      </c>
      <c r="G41" s="57" t="n">
        <f aca="false">SUMIFS('통합 ① 거래입력'!$J$15:$J$2014,'통합 ① 거래입력'!$O$15:$O$2014,$G$1*100+5,'통합 ① 거래입력'!$D$15:$D$2014,$B41)</f>
        <v>0</v>
      </c>
      <c r="H41" s="57" t="n">
        <f aca="false">SUMIFS('통합 ① 거래입력'!$J$15:$J$2014,'통합 ① 거래입력'!$O$15:$O$2014,$G$1*100+6,'통합 ① 거래입력'!$D$15:$D$2014,$B41)</f>
        <v>0</v>
      </c>
      <c r="I41" s="57" t="n">
        <f aca="false">SUMIFS('통합 ① 거래입력'!$J$15:$J$2014,'통합 ① 거래입력'!$O$15:$O$2014,$G$1*100+7,'통합 ① 거래입력'!$D$15:$D$2014,$B41)</f>
        <v>0</v>
      </c>
      <c r="J41" s="57" t="n">
        <f aca="false">SUMIFS('통합 ① 거래입력'!$J$15:$J$2014,'통합 ① 거래입력'!$O$15:$O$2014,$G$1*100+8,'통합 ① 거래입력'!$D$15:$D$2014,$B41)</f>
        <v>0</v>
      </c>
      <c r="K41" s="57" t="n">
        <f aca="false">SUMIFS('통합 ① 거래입력'!$J$15:$J$2014,'통합 ① 거래입력'!$O$15:$O$2014,$G$1*100+9,'통합 ① 거래입력'!$D$15:$D$2014,$B41)</f>
        <v>0</v>
      </c>
      <c r="L41" s="57" t="n">
        <f aca="false">SUMIFS('통합 ① 거래입력'!$J$15:$J$2014,'통합 ① 거래입력'!$O$15:$O$2014,$G$1*100+10,'통합 ① 거래입력'!$D$15:$D$2014,$B41)</f>
        <v>0</v>
      </c>
      <c r="M41" s="57" t="n">
        <f aca="false">SUMIFS('통합 ① 거래입력'!$J$15:$J$2014,'통합 ① 거래입력'!$O$15:$O$2014,$G$1*100+11,'통합 ① 거래입력'!$D$15:$D$2014,$B41)</f>
        <v>0</v>
      </c>
      <c r="N41" s="57" t="n">
        <f aca="false">SUMIFS('통합 ① 거래입력'!$J$15:$J$2014,'통합 ① 거래입력'!$O$15:$O$2014,$G$1*100+12,'통합 ① 거래입력'!$D$15:$D$2014,$B41)</f>
        <v>0</v>
      </c>
      <c r="O41" s="58" t="n">
        <f aca="false">SUM($C41:$N41)</f>
        <v>0</v>
      </c>
      <c r="P41" s="57" t="n">
        <f aca="false">IFERROR(AVERAGEIF($C41:$N41,"&lt;&gt;0"),0)</f>
        <v>0</v>
      </c>
    </row>
    <row r="42" customFormat="false" ht="15" hidden="false" customHeight="false" outlineLevel="0" collapsed="false">
      <c r="A42" s="16"/>
      <c r="B42" s="17" t="s">
        <v>149</v>
      </c>
      <c r="C42" s="24" t="n">
        <f aca="false">SUM(C29:C41)</f>
        <v>0</v>
      </c>
      <c r="D42" s="24" t="n">
        <f aca="false">SUM(D29:D41)</f>
        <v>0</v>
      </c>
      <c r="E42" s="24" t="n">
        <f aca="false">SUM(E29:E41)</f>
        <v>0</v>
      </c>
      <c r="F42" s="24" t="n">
        <f aca="false">SUM(F29:F41)</f>
        <v>0</v>
      </c>
      <c r="G42" s="24" t="n">
        <f aca="false">SUM(G29:G41)</f>
        <v>0</v>
      </c>
      <c r="H42" s="24" t="n">
        <f aca="false">SUM(H29:H41)</f>
        <v>0</v>
      </c>
      <c r="I42" s="24" t="n">
        <f aca="false">SUM(I29:I41)</f>
        <v>0</v>
      </c>
      <c r="J42" s="24" t="n">
        <f aca="false">SUM(J29:J41)</f>
        <v>0</v>
      </c>
      <c r="K42" s="24" t="n">
        <f aca="false">SUM(K29:K41)</f>
        <v>318000</v>
      </c>
      <c r="L42" s="24" t="n">
        <f aca="false">SUM(L29:L41)</f>
        <v>0</v>
      </c>
      <c r="M42" s="24" t="n">
        <f aca="false">SUM(M29:M41)</f>
        <v>0</v>
      </c>
      <c r="N42" s="24" t="n">
        <f aca="false">SUM(N29:N41)</f>
        <v>0</v>
      </c>
      <c r="O42" s="24" t="n">
        <f aca="false">SUM(O29:O41)</f>
        <v>318000</v>
      </c>
      <c r="P42" s="24" t="n">
        <f aca="false">SUM(P29:P41)</f>
        <v>318000</v>
      </c>
    </row>
    <row r="44" customFormat="false" ht="15" hidden="false" customHeight="false" outlineLevel="0" collapsed="false">
      <c r="A44" s="59"/>
      <c r="B44" s="60" t="s">
        <v>45</v>
      </c>
      <c r="C44" s="8" t="n">
        <f aca="false">C14</f>
        <v>0</v>
      </c>
      <c r="D44" s="8" t="n">
        <f aca="false">D14</f>
        <v>0</v>
      </c>
      <c r="E44" s="8" t="n">
        <f aca="false">E14</f>
        <v>0</v>
      </c>
      <c r="F44" s="8" t="n">
        <f aca="false">F14</f>
        <v>0</v>
      </c>
      <c r="G44" s="8" t="n">
        <f aca="false">G14</f>
        <v>0</v>
      </c>
      <c r="H44" s="8" t="n">
        <f aca="false">H14</f>
        <v>0</v>
      </c>
      <c r="I44" s="8" t="n">
        <f aca="false">I14</f>
        <v>0</v>
      </c>
      <c r="J44" s="8" t="n">
        <f aca="false">J14</f>
        <v>0</v>
      </c>
      <c r="K44" s="8" t="n">
        <f aca="false">K14</f>
        <v>5120000</v>
      </c>
      <c r="L44" s="8" t="n">
        <f aca="false">L14</f>
        <v>0</v>
      </c>
      <c r="M44" s="8" t="n">
        <f aca="false">M14</f>
        <v>0</v>
      </c>
      <c r="N44" s="8" t="n">
        <f aca="false">N14</f>
        <v>0</v>
      </c>
      <c r="O44" s="8" t="n">
        <f aca="false">O14</f>
        <v>5120000</v>
      </c>
      <c r="P44" s="8" t="n">
        <f aca="false">P14</f>
        <v>5120000</v>
      </c>
    </row>
    <row r="45" customFormat="false" ht="15" hidden="false" customHeight="false" outlineLevel="0" collapsed="false">
      <c r="A45" s="59"/>
      <c r="B45" s="60" t="s">
        <v>46</v>
      </c>
      <c r="C45" s="8" t="n">
        <f aca="false">C27+C42</f>
        <v>0</v>
      </c>
      <c r="D45" s="8" t="n">
        <f aca="false">D27+D42</f>
        <v>0</v>
      </c>
      <c r="E45" s="8" t="n">
        <f aca="false">E27+E42</f>
        <v>0</v>
      </c>
      <c r="F45" s="8" t="n">
        <f aca="false">F27+F42</f>
        <v>0</v>
      </c>
      <c r="G45" s="8" t="n">
        <f aca="false">G27+G42</f>
        <v>0</v>
      </c>
      <c r="H45" s="8" t="n">
        <f aca="false">H27+H42</f>
        <v>0</v>
      </c>
      <c r="I45" s="8" t="n">
        <f aca="false">I27+I42</f>
        <v>0</v>
      </c>
      <c r="J45" s="8" t="n">
        <f aca="false">J27+J42</f>
        <v>0</v>
      </c>
      <c r="K45" s="8" t="n">
        <f aca="false">K27+K42</f>
        <v>4278000</v>
      </c>
      <c r="L45" s="8" t="n">
        <f aca="false">L27+L42</f>
        <v>0</v>
      </c>
      <c r="M45" s="8" t="n">
        <f aca="false">M27+M42</f>
        <v>0</v>
      </c>
      <c r="N45" s="8" t="n">
        <f aca="false">N27+N42</f>
        <v>0</v>
      </c>
      <c r="O45" s="8" t="n">
        <f aca="false">O27+O42</f>
        <v>4278000</v>
      </c>
      <c r="P45" s="8" t="n">
        <f aca="false">P27+P42</f>
        <v>4278000</v>
      </c>
    </row>
    <row r="46" customFormat="false" ht="15" hidden="false" customHeight="false" outlineLevel="0" collapsed="false">
      <c r="A46" s="59"/>
      <c r="B46" s="60" t="s">
        <v>47</v>
      </c>
      <c r="C46" s="8" t="n">
        <f aca="false">C14-C27-C42</f>
        <v>0</v>
      </c>
      <c r="D46" s="8" t="n">
        <f aca="false">D14-D27-D42</f>
        <v>0</v>
      </c>
      <c r="E46" s="8" t="n">
        <f aca="false">E14-E27-E42</f>
        <v>0</v>
      </c>
      <c r="F46" s="8" t="n">
        <f aca="false">F14-F27-F42</f>
        <v>0</v>
      </c>
      <c r="G46" s="8" t="n">
        <f aca="false">G14-G27-G42</f>
        <v>0</v>
      </c>
      <c r="H46" s="8" t="n">
        <f aca="false">H14-H27-H42</f>
        <v>0</v>
      </c>
      <c r="I46" s="8" t="n">
        <f aca="false">I14-I27-I42</f>
        <v>0</v>
      </c>
      <c r="J46" s="8" t="n">
        <f aca="false">J14-J27-J42</f>
        <v>0</v>
      </c>
      <c r="K46" s="8" t="n">
        <f aca="false">K14-K27-K42</f>
        <v>842000</v>
      </c>
      <c r="L46" s="8" t="n">
        <f aca="false">L14-L27-L42</f>
        <v>0</v>
      </c>
      <c r="M46" s="8" t="n">
        <f aca="false">M14-M27-M42</f>
        <v>0</v>
      </c>
      <c r="N46" s="8" t="n">
        <f aca="false">N14-N27-N42</f>
        <v>0</v>
      </c>
      <c r="O46" s="8" t="n">
        <f aca="false">O14-O27-O42</f>
        <v>842000</v>
      </c>
      <c r="P46" s="8" t="n">
        <f aca="false">P14-P27-P42</f>
        <v>842000</v>
      </c>
    </row>
    <row r="47" customFormat="false" ht="15" hidden="false" customHeight="false" outlineLevel="0" collapsed="false">
      <c r="A47" s="59"/>
      <c r="B47" s="60" t="s">
        <v>150</v>
      </c>
      <c r="C47" s="61" t="str">
        <f aca="false">IF(C44=0,"",(C44-C45)/C44)</f>
        <v/>
      </c>
      <c r="D47" s="61" t="str">
        <f aca="false">IF(D44=0,"",(D44-D45)/D44)</f>
        <v/>
      </c>
      <c r="E47" s="61" t="str">
        <f aca="false">IF(E44=0,"",(E44-E45)/E44)</f>
        <v/>
      </c>
      <c r="F47" s="61" t="str">
        <f aca="false">IF(F44=0,"",(F44-F45)/F44)</f>
        <v/>
      </c>
      <c r="G47" s="61" t="str">
        <f aca="false">IF(G44=0,"",(G44-G45)/G44)</f>
        <v/>
      </c>
      <c r="H47" s="61" t="str">
        <f aca="false">IF(H44=0,"",(H44-H45)/H44)</f>
        <v/>
      </c>
      <c r="I47" s="61" t="str">
        <f aca="false">IF(I44=0,"",(I44-I45)/I44)</f>
        <v/>
      </c>
      <c r="J47" s="61" t="str">
        <f aca="false">IF(J44=0,"",(J44-J45)/J44)</f>
        <v/>
      </c>
      <c r="K47" s="61" t="n">
        <f aca="false">IF(K44=0,"",(K44-K45)/K44)</f>
        <v>0.164453125</v>
      </c>
      <c r="L47" s="61" t="str">
        <f aca="false">IF(L44=0,"",(L44-L45)/L44)</f>
        <v/>
      </c>
      <c r="M47" s="61" t="str">
        <f aca="false">IF(M44=0,"",(M44-M45)/M44)</f>
        <v/>
      </c>
      <c r="N47" s="61" t="str">
        <f aca="false">IF(N44=0,"",(N44-N45)/N44)</f>
        <v/>
      </c>
      <c r="O47" s="61" t="n">
        <f aca="false">IF(O44=0,"",(O44-O45)/O44)</f>
        <v>0.164453125</v>
      </c>
      <c r="P47" s="61" t="n">
        <f aca="false">IF(P44=0,"",(P44-P45)/P44)</f>
        <v>0.164453125</v>
      </c>
    </row>
    <row r="49" customFormat="false" ht="15" hidden="false" customHeight="false" outlineLevel="0" collapsed="false">
      <c r="A49" s="2" t="s">
        <v>151</v>
      </c>
    </row>
    <row r="50" customFormat="false" ht="15" hidden="false" customHeight="false" outlineLevel="0" collapsed="false">
      <c r="A50" s="2" t="s">
        <v>152</v>
      </c>
    </row>
    <row r="51" customFormat="false" ht="15" hidden="false" customHeight="false" outlineLevel="0" collapsed="false">
      <c r="A51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2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52"/>
  </cols>
  <sheetData>
    <row r="1" customFormat="false" ht="20.1" hidden="false" customHeight="false" outlineLevel="0" collapsed="false">
      <c r="A1" s="44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D3" s="62" t="s">
        <v>156</v>
      </c>
    </row>
    <row r="4" customFormat="false" ht="30" hidden="false" customHeight="true" outlineLevel="0" collapsed="false">
      <c r="A4" s="3" t="s">
        <v>25</v>
      </c>
      <c r="B4" s="3" t="s">
        <v>2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26</v>
      </c>
      <c r="H4" s="3" t="s">
        <v>161</v>
      </c>
      <c r="I4" s="3" t="s">
        <v>162</v>
      </c>
      <c r="J4" s="3" t="s">
        <v>80</v>
      </c>
    </row>
    <row r="5" customFormat="false" ht="15" hidden="false" customHeight="false" outlineLevel="0" collapsed="false">
      <c r="A5" s="14" t="s">
        <v>83</v>
      </c>
      <c r="B5" s="13" t="s">
        <v>163</v>
      </c>
      <c r="C5" s="63" t="s">
        <v>164</v>
      </c>
      <c r="D5" s="64" t="n">
        <v>0</v>
      </c>
      <c r="E5" s="65" t="n">
        <f aca="false">IF($A5="","",SUMIF('통합 ① 거래입력'!$C$15:$C$2014,$A5,'통합 ① 거래입력'!$I$15:$I$2014))</f>
        <v>4820000</v>
      </c>
      <c r="F5" s="66" t="n">
        <f aca="false">IF($A5="","",SUMIF('통합 ① 거래입력'!$C$15:$C$2014,$A5,'통합 ① 거래입력'!$J$15:$J$2014))</f>
        <v>3000000</v>
      </c>
      <c r="G5" s="24" t="n">
        <f aca="false">IF($A5="","",IF($B5="카드",$F5,N($D5)+$E5-$F5))</f>
        <v>1820000</v>
      </c>
      <c r="H5" s="43"/>
      <c r="I5" s="63"/>
      <c r="J5" s="67" t="s">
        <v>165</v>
      </c>
    </row>
    <row r="6" customFormat="false" ht="15" hidden="false" customHeight="false" outlineLevel="0" collapsed="false">
      <c r="A6" s="14" t="s">
        <v>88</v>
      </c>
      <c r="B6" s="13" t="s">
        <v>163</v>
      </c>
      <c r="C6" s="63" t="s">
        <v>166</v>
      </c>
      <c r="D6" s="64" t="n">
        <v>0</v>
      </c>
      <c r="E6" s="65" t="n">
        <f aca="false">IF($A6="","",SUMIF('통합 ① 거래입력'!$C$15:$C$2014,$A6,'통합 ① 거래입력'!$I$15:$I$2014))</f>
        <v>3300000</v>
      </c>
      <c r="F6" s="66" t="n">
        <f aca="false">IF($A6="","",SUMIF('통합 ① 거래입력'!$C$15:$C$2014,$A6,'통합 ① 거래입력'!$J$15:$J$2014))</f>
        <v>3110000</v>
      </c>
      <c r="G6" s="24" t="n">
        <f aca="false">IF($A6="","",IF($B6="카드",$F6,N($D6)+$E6-$F6))</f>
        <v>190000</v>
      </c>
      <c r="H6" s="43"/>
      <c r="I6" s="63"/>
      <c r="J6" s="67" t="s">
        <v>167</v>
      </c>
    </row>
    <row r="7" customFormat="false" ht="15" hidden="false" customHeight="false" outlineLevel="0" collapsed="false">
      <c r="A7" s="14" t="s">
        <v>95</v>
      </c>
      <c r="B7" s="13" t="s">
        <v>168</v>
      </c>
      <c r="C7" s="63" t="s">
        <v>169</v>
      </c>
      <c r="D7" s="64" t="n">
        <v>0</v>
      </c>
      <c r="E7" s="65" t="n">
        <f aca="false">IF($A7="","",SUMIF('통합 ① 거래입력'!$C$15:$C$2014,$A7,'통합 ① 거래입력'!$I$15:$I$2014))</f>
        <v>0</v>
      </c>
      <c r="F7" s="66" t="n">
        <f aca="false">IF($A7="","",SUMIF('통합 ① 거래입력'!$C$15:$C$2014,$A7,'통합 ① 거래입력'!$J$15:$J$2014))</f>
        <v>850000</v>
      </c>
      <c r="G7" s="24" t="n">
        <f aca="false">IF($A7="","",IF($B7="카드",$F7,N($D7)+$E7-$F7))</f>
        <v>850000</v>
      </c>
      <c r="H7" s="38" t="s">
        <v>170</v>
      </c>
      <c r="I7" s="63" t="s">
        <v>88</v>
      </c>
      <c r="J7" s="67"/>
    </row>
    <row r="8" customFormat="false" ht="15" hidden="false" customHeight="false" outlineLevel="0" collapsed="false">
      <c r="A8" s="68" t="s">
        <v>171</v>
      </c>
      <c r="B8" s="13" t="s">
        <v>168</v>
      </c>
      <c r="C8" s="63" t="s">
        <v>169</v>
      </c>
      <c r="D8" s="64" t="n">
        <v>0</v>
      </c>
      <c r="E8" s="65" t="n">
        <f aca="false">IF($A8="","",SUMIF('통합 ① 거래입력'!$C$15:$C$2014,$A8,'통합 ① 거래입력'!$I$15:$I$2014))</f>
        <v>0</v>
      </c>
      <c r="F8" s="66" t="n">
        <f aca="false">IF($A8="","",SUMIF('통합 ① 거래입력'!$C$15:$C$2014,$A8,'통합 ① 거래입력'!$J$15:$J$2014))</f>
        <v>318000</v>
      </c>
      <c r="G8" s="24" t="n">
        <f aca="false">IF($A8="","",IF($B8="카드",$F8,N($D8)+$E8-$F8))</f>
        <v>318000</v>
      </c>
      <c r="H8" s="38" t="s">
        <v>170</v>
      </c>
      <c r="I8" s="63" t="s">
        <v>88</v>
      </c>
      <c r="J8" s="67"/>
    </row>
    <row r="9" customFormat="false" ht="15" hidden="false" customHeight="false" outlineLevel="0" collapsed="false">
      <c r="A9" s="14" t="s">
        <v>172</v>
      </c>
      <c r="B9" s="13" t="s">
        <v>172</v>
      </c>
      <c r="C9" s="63" t="s">
        <v>173</v>
      </c>
      <c r="D9" s="64" t="n">
        <v>0</v>
      </c>
      <c r="E9" s="65" t="n">
        <f aca="false">IF($A9="","",SUMIF('통합 ① 거래입력'!$C$15:$C$2014,$A9,'통합 ① 거래입력'!$I$15:$I$2014))</f>
        <v>0</v>
      </c>
      <c r="F9" s="66" t="n">
        <f aca="false">IF($A9="","",SUMIF('통합 ① 거래입력'!$C$15:$C$2014,$A9,'통합 ① 거래입력'!$J$15:$J$2014))</f>
        <v>0</v>
      </c>
      <c r="G9" s="24" t="n">
        <f aca="false">IF($A9="","",IF($B9="카드",$F9,N($D9)+$E9-$F9))</f>
        <v>0</v>
      </c>
      <c r="H9" s="38"/>
      <c r="I9" s="63"/>
      <c r="J9" s="67"/>
    </row>
    <row r="10" customFormat="false" ht="15" hidden="false" customHeight="false" outlineLevel="0" collapsed="false">
      <c r="A10" s="14"/>
      <c r="B10" s="13"/>
      <c r="C10" s="63"/>
      <c r="D10" s="64"/>
      <c r="E10" s="65" t="str">
        <f aca="false">IF($A10="","",SUMIF('통합 ① 거래입력'!$C$15:$C$2014,$A10,'통합 ① 거래입력'!$I$15:$I$2014))</f>
        <v/>
      </c>
      <c r="F10" s="66" t="str">
        <f aca="false">IF($A10="","",SUMIF('통합 ① 거래입력'!$C$15:$C$2014,$A10,'통합 ① 거래입력'!$J$15:$J$2014))</f>
        <v/>
      </c>
      <c r="G10" s="24" t="str">
        <f aca="false">IF($A10="","",IF($B10="카드",$F10,N($D10)+$E10-$F10))</f>
        <v/>
      </c>
      <c r="H10" s="38"/>
      <c r="I10" s="63"/>
      <c r="J10" s="67" t="s">
        <v>174</v>
      </c>
    </row>
    <row r="11" customFormat="false" ht="15" hidden="false" customHeight="false" outlineLevel="0" collapsed="false">
      <c r="A11" s="14"/>
      <c r="B11" s="13"/>
      <c r="C11" s="63"/>
      <c r="D11" s="64"/>
      <c r="E11" s="65" t="str">
        <f aca="false">IF($A11="","",SUMIF('통합 ① 거래입력'!$C$15:$C$2014,$A11,'통합 ① 거래입력'!$I$15:$I$2014))</f>
        <v/>
      </c>
      <c r="F11" s="66" t="str">
        <f aca="false">IF($A11="","",SUMIF('통합 ① 거래입력'!$C$15:$C$2014,$A11,'통합 ① 거래입력'!$J$15:$J$2014))</f>
        <v/>
      </c>
      <c r="G11" s="24" t="str">
        <f aca="false">IF($A11="","",IF($B11="카드",$F11,N($D11)+$E11-$F11))</f>
        <v/>
      </c>
      <c r="H11" s="38"/>
      <c r="I11" s="63"/>
      <c r="J11" s="67"/>
    </row>
    <row r="12" customFormat="false" ht="15" hidden="false" customHeight="false" outlineLevel="0" collapsed="false">
      <c r="A12" s="17" t="s">
        <v>175</v>
      </c>
      <c r="B12" s="16"/>
      <c r="C12" s="16"/>
      <c r="D12" s="18" t="n">
        <f aca="false">SUMIF($B$5:$B$11,"통장",D$5:D$11)</f>
        <v>0</v>
      </c>
      <c r="E12" s="18" t="n">
        <f aca="false">SUMIF($B$5:$B$11,"통장",E$5:E$11)</f>
        <v>8120000</v>
      </c>
      <c r="F12" s="18" t="n">
        <f aca="false">SUMIF($B$5:$B$11,"통장",F$5:F$11)</f>
        <v>6110000</v>
      </c>
      <c r="G12" s="18" t="n">
        <f aca="false">SUMIF($B$5:$B$11,"통장",G$5:G$11)</f>
        <v>2010000</v>
      </c>
    </row>
    <row r="13" customFormat="false" ht="15" hidden="false" customHeight="false" outlineLevel="0" collapsed="false">
      <c r="A13" s="17" t="s">
        <v>176</v>
      </c>
      <c r="B13" s="16"/>
      <c r="C13" s="16"/>
      <c r="D13" s="16"/>
      <c r="E13" s="16"/>
      <c r="F13" s="18" t="n">
        <f aca="false">SUMIF($B$5:$B$11,"카드",F$5:F$11)</f>
        <v>1168000</v>
      </c>
      <c r="G13" s="18" t="n">
        <f aca="false">$F13</f>
        <v>1168000</v>
      </c>
    </row>
    <row r="15" customFormat="false" ht="15" hidden="false" customHeight="false" outlineLevel="0" collapsed="false">
      <c r="A15" s="32" t="s">
        <v>177</v>
      </c>
    </row>
    <row r="16" customFormat="false" ht="15" hidden="false" customHeight="false" outlineLevel="0" collapsed="false">
      <c r="A16" s="32" t="s">
        <v>178</v>
      </c>
    </row>
    <row r="17" customFormat="false" ht="15" hidden="false" customHeight="false" outlineLevel="0" collapsed="false">
      <c r="A17" s="32" t="s">
        <v>179</v>
      </c>
    </row>
    <row r="18" customFormat="false" ht="15" hidden="false" customHeight="false" outlineLevel="0" collapsed="false">
      <c r="A18" s="32" t="s">
        <v>180</v>
      </c>
    </row>
    <row r="19" customFormat="false" ht="15" hidden="false" customHeight="false" outlineLevel="0" collapsed="false">
      <c r="A19" s="32" t="s">
        <v>181</v>
      </c>
    </row>
  </sheetData>
  <conditionalFormatting sqref="G5:G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2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15"/>
  </cols>
  <sheetData>
    <row r="1" customFormat="false" ht="20.1" hidden="false" customHeight="false" outlineLevel="0" collapsed="false">
      <c r="A1" s="44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A3" s="69" t="s">
        <v>184</v>
      </c>
    </row>
    <row r="4" customFormat="false" ht="15" hidden="false" customHeight="false" outlineLevel="0" collapsed="false">
      <c r="A4" s="69" t="s">
        <v>185</v>
      </c>
    </row>
    <row r="5" customFormat="false" ht="31.5" hidden="false" customHeight="true" outlineLevel="0" collapsed="false">
      <c r="A5" s="3" t="s">
        <v>75</v>
      </c>
      <c r="B5" s="3" t="s">
        <v>74</v>
      </c>
      <c r="C5" s="3" t="s">
        <v>76</v>
      </c>
      <c r="D5" s="3" t="s">
        <v>186</v>
      </c>
      <c r="E5" s="3" t="s">
        <v>187</v>
      </c>
      <c r="F5" s="70"/>
      <c r="G5" s="3" t="s">
        <v>79</v>
      </c>
    </row>
    <row r="6" customFormat="false" ht="15" hidden="false" customHeight="false" outlineLevel="0" collapsed="false">
      <c r="A6" s="71" t="s">
        <v>57</v>
      </c>
      <c r="B6" s="48" t="s">
        <v>84</v>
      </c>
      <c r="C6" s="71"/>
      <c r="D6" s="72" t="s">
        <v>188</v>
      </c>
      <c r="E6" s="73"/>
      <c r="G6" s="74" t="s">
        <v>99</v>
      </c>
    </row>
    <row r="7" customFormat="false" ht="15" hidden="false" customHeight="false" outlineLevel="0" collapsed="false">
      <c r="A7" s="71" t="s">
        <v>57</v>
      </c>
      <c r="B7" s="48" t="s">
        <v>119</v>
      </c>
      <c r="C7" s="71"/>
      <c r="D7" s="72" t="s">
        <v>189</v>
      </c>
      <c r="E7" s="73"/>
      <c r="G7" s="74" t="s">
        <v>190</v>
      </c>
    </row>
    <row r="8" customFormat="false" ht="15" hidden="false" customHeight="false" outlineLevel="0" collapsed="false">
      <c r="A8" s="71" t="s">
        <v>57</v>
      </c>
      <c r="B8" s="48" t="s">
        <v>120</v>
      </c>
      <c r="C8" s="71"/>
      <c r="D8" s="72" t="s">
        <v>189</v>
      </c>
      <c r="E8" s="73"/>
      <c r="G8" s="74" t="s">
        <v>104</v>
      </c>
    </row>
    <row r="9" customFormat="false" ht="15" hidden="false" customHeight="false" outlineLevel="0" collapsed="false">
      <c r="A9" s="71" t="s">
        <v>57</v>
      </c>
      <c r="B9" s="48" t="s">
        <v>121</v>
      </c>
      <c r="C9" s="71"/>
      <c r="D9" s="72" t="s">
        <v>189</v>
      </c>
      <c r="E9" s="73"/>
      <c r="G9" s="74" t="s">
        <v>191</v>
      </c>
    </row>
    <row r="10" customFormat="false" ht="15" hidden="false" customHeight="false" outlineLevel="0" collapsed="false">
      <c r="A10" s="71" t="s">
        <v>57</v>
      </c>
      <c r="B10" s="48" t="s">
        <v>122</v>
      </c>
      <c r="C10" s="71"/>
      <c r="D10" s="72" t="s">
        <v>192</v>
      </c>
      <c r="E10" s="73"/>
      <c r="G10" s="74" t="s">
        <v>87</v>
      </c>
    </row>
    <row r="11" customFormat="false" ht="15" hidden="false" customHeight="false" outlineLevel="0" collapsed="false">
      <c r="A11" s="71" t="s">
        <v>57</v>
      </c>
      <c r="B11" s="48" t="s">
        <v>123</v>
      </c>
      <c r="C11" s="71"/>
      <c r="D11" s="72" t="s">
        <v>193</v>
      </c>
      <c r="E11" s="73"/>
      <c r="G11" s="74" t="s">
        <v>194</v>
      </c>
    </row>
    <row r="12" customFormat="false" ht="15" hidden="false" customHeight="false" outlineLevel="0" collapsed="false">
      <c r="A12" s="71" t="s">
        <v>57</v>
      </c>
      <c r="B12" s="48" t="s">
        <v>111</v>
      </c>
      <c r="C12" s="71"/>
      <c r="D12" s="72" t="s">
        <v>195</v>
      </c>
      <c r="E12" s="73"/>
      <c r="G12" s="74" t="s">
        <v>196</v>
      </c>
    </row>
    <row r="13" customFormat="false" ht="15" hidden="false" customHeight="false" outlineLevel="0" collapsed="false">
      <c r="A13" s="71" t="s">
        <v>57</v>
      </c>
      <c r="B13" s="48" t="s">
        <v>124</v>
      </c>
      <c r="C13" s="71"/>
      <c r="D13" s="72" t="s">
        <v>197</v>
      </c>
      <c r="E13" s="73"/>
    </row>
    <row r="14" customFormat="false" ht="15" hidden="false" customHeight="false" outlineLevel="0" collapsed="false">
      <c r="A14" s="71" t="s">
        <v>57</v>
      </c>
      <c r="B14" s="48" t="s">
        <v>125</v>
      </c>
      <c r="C14" s="71"/>
      <c r="D14" s="72" t="s">
        <v>198</v>
      </c>
      <c r="E14" s="73"/>
      <c r="G14" s="11" t="s">
        <v>199</v>
      </c>
    </row>
    <row r="15" customFormat="false" ht="15" hidden="false" customHeight="false" outlineLevel="0" collapsed="false">
      <c r="A15" s="75" t="s">
        <v>127</v>
      </c>
      <c r="B15" s="76" t="s">
        <v>128</v>
      </c>
      <c r="C15" s="75" t="s">
        <v>200</v>
      </c>
      <c r="D15" s="77" t="s">
        <v>201</v>
      </c>
      <c r="E15" s="78"/>
    </row>
    <row r="16" customFormat="false" ht="15" hidden="false" customHeight="false" outlineLevel="0" collapsed="false">
      <c r="A16" s="75" t="s">
        <v>127</v>
      </c>
      <c r="B16" s="76" t="s">
        <v>92</v>
      </c>
      <c r="C16" s="75" t="s">
        <v>200</v>
      </c>
      <c r="D16" s="79" t="s">
        <v>202</v>
      </c>
      <c r="E16" s="78" t="s">
        <v>203</v>
      </c>
    </row>
    <row r="17" customFormat="false" ht="15" hidden="false" customHeight="false" outlineLevel="0" collapsed="false">
      <c r="A17" s="75" t="s">
        <v>127</v>
      </c>
      <c r="B17" s="16" t="s">
        <v>105</v>
      </c>
      <c r="C17" s="75" t="s">
        <v>200</v>
      </c>
      <c r="D17" s="77"/>
      <c r="E17" s="78" t="s">
        <v>203</v>
      </c>
    </row>
    <row r="18" customFormat="false" ht="15" hidden="false" customHeight="false" outlineLevel="0" collapsed="false">
      <c r="A18" s="75" t="s">
        <v>127</v>
      </c>
      <c r="B18" s="76" t="s">
        <v>129</v>
      </c>
      <c r="C18" s="75" t="s">
        <v>200</v>
      </c>
      <c r="D18" s="77"/>
      <c r="E18" s="78"/>
    </row>
    <row r="19" customFormat="false" ht="15" hidden="false" customHeight="false" outlineLevel="0" collapsed="false">
      <c r="A19" s="75" t="s">
        <v>127</v>
      </c>
      <c r="B19" s="76" t="s">
        <v>96</v>
      </c>
      <c r="C19" s="75" t="s">
        <v>200</v>
      </c>
      <c r="D19" s="77" t="s">
        <v>204</v>
      </c>
      <c r="E19" s="78"/>
    </row>
    <row r="20" customFormat="false" ht="15" hidden="false" customHeight="false" outlineLevel="0" collapsed="false">
      <c r="A20" s="75" t="s">
        <v>127</v>
      </c>
      <c r="B20" s="76" t="s">
        <v>130</v>
      </c>
      <c r="C20" s="75" t="s">
        <v>200</v>
      </c>
      <c r="D20" s="77"/>
      <c r="E20" s="78"/>
    </row>
    <row r="21" customFormat="false" ht="15" hidden="false" customHeight="false" outlineLevel="0" collapsed="false">
      <c r="A21" s="75" t="s">
        <v>127</v>
      </c>
      <c r="B21" s="76" t="s">
        <v>108</v>
      </c>
      <c r="C21" s="75" t="s">
        <v>200</v>
      </c>
      <c r="D21" s="77" t="s">
        <v>205</v>
      </c>
      <c r="E21" s="78"/>
    </row>
    <row r="22" customFormat="false" ht="15" hidden="false" customHeight="false" outlineLevel="0" collapsed="false">
      <c r="A22" s="75" t="s">
        <v>127</v>
      </c>
      <c r="B22" s="76" t="s">
        <v>131</v>
      </c>
      <c r="C22" s="75" t="s">
        <v>200</v>
      </c>
      <c r="D22" s="77" t="s">
        <v>206</v>
      </c>
      <c r="E22" s="78"/>
    </row>
    <row r="23" customFormat="false" ht="15" hidden="false" customHeight="false" outlineLevel="0" collapsed="false">
      <c r="A23" s="75" t="s">
        <v>127</v>
      </c>
      <c r="B23" s="76" t="s">
        <v>132</v>
      </c>
      <c r="C23" s="75" t="s">
        <v>200</v>
      </c>
      <c r="D23" s="77"/>
      <c r="E23" s="78"/>
    </row>
    <row r="24" customFormat="false" ht="15" hidden="false" customHeight="false" outlineLevel="0" collapsed="false">
      <c r="A24" s="75" t="s">
        <v>127</v>
      </c>
      <c r="B24" s="76" t="s">
        <v>133</v>
      </c>
      <c r="C24" s="75" t="s">
        <v>200</v>
      </c>
      <c r="D24" s="77" t="s">
        <v>207</v>
      </c>
      <c r="E24" s="78"/>
    </row>
    <row r="25" customFormat="false" ht="15" hidden="false" customHeight="false" outlineLevel="0" collapsed="false">
      <c r="A25" s="75" t="s">
        <v>127</v>
      </c>
      <c r="B25" s="76" t="s">
        <v>134</v>
      </c>
      <c r="C25" s="75" t="s">
        <v>200</v>
      </c>
      <c r="D25" s="77" t="s">
        <v>208</v>
      </c>
      <c r="E25" s="78"/>
    </row>
    <row r="26" customFormat="false" ht="15" hidden="false" customHeight="false" outlineLevel="0" collapsed="false">
      <c r="A26" s="80" t="s">
        <v>136</v>
      </c>
      <c r="B26" s="51" t="s">
        <v>101</v>
      </c>
      <c r="C26" s="80" t="s">
        <v>209</v>
      </c>
      <c r="D26" s="81" t="s">
        <v>210</v>
      </c>
      <c r="E26" s="82"/>
    </row>
    <row r="27" customFormat="false" ht="15" hidden="false" customHeight="false" outlineLevel="0" collapsed="false">
      <c r="A27" s="80" t="s">
        <v>136</v>
      </c>
      <c r="B27" s="51" t="s">
        <v>137</v>
      </c>
      <c r="C27" s="80" t="s">
        <v>209</v>
      </c>
      <c r="D27" s="81" t="s">
        <v>211</v>
      </c>
      <c r="E27" s="82"/>
    </row>
    <row r="28" customFormat="false" ht="15" hidden="false" customHeight="false" outlineLevel="0" collapsed="false">
      <c r="A28" s="80" t="s">
        <v>136</v>
      </c>
      <c r="B28" s="51" t="s">
        <v>138</v>
      </c>
      <c r="C28" s="80" t="s">
        <v>209</v>
      </c>
      <c r="D28" s="81" t="s">
        <v>212</v>
      </c>
      <c r="E28" s="82"/>
    </row>
    <row r="29" customFormat="false" ht="15" hidden="false" customHeight="false" outlineLevel="0" collapsed="false">
      <c r="A29" s="80" t="s">
        <v>136</v>
      </c>
      <c r="B29" s="51" t="s">
        <v>139</v>
      </c>
      <c r="C29" s="80" t="s">
        <v>209</v>
      </c>
      <c r="D29" s="81" t="s">
        <v>213</v>
      </c>
      <c r="E29" s="82"/>
    </row>
    <row r="30" customFormat="false" ht="15" hidden="false" customHeight="false" outlineLevel="0" collapsed="false">
      <c r="A30" s="80" t="s">
        <v>136</v>
      </c>
      <c r="B30" s="51" t="s">
        <v>140</v>
      </c>
      <c r="C30" s="80" t="s">
        <v>209</v>
      </c>
      <c r="D30" s="81" t="s">
        <v>214</v>
      </c>
      <c r="E30" s="82"/>
    </row>
    <row r="31" customFormat="false" ht="15" hidden="false" customHeight="false" outlineLevel="0" collapsed="false">
      <c r="A31" s="80" t="s">
        <v>136</v>
      </c>
      <c r="B31" s="51" t="s">
        <v>141</v>
      </c>
      <c r="C31" s="80" t="s">
        <v>209</v>
      </c>
      <c r="D31" s="81"/>
      <c r="E31" s="82"/>
    </row>
    <row r="32" customFormat="false" ht="15" hidden="false" customHeight="false" outlineLevel="0" collapsed="false">
      <c r="A32" s="80" t="s">
        <v>136</v>
      </c>
      <c r="B32" s="51" t="s">
        <v>142</v>
      </c>
      <c r="C32" s="80" t="s">
        <v>209</v>
      </c>
      <c r="D32" s="81" t="s">
        <v>215</v>
      </c>
      <c r="E32" s="82"/>
    </row>
    <row r="33" customFormat="false" ht="15" hidden="false" customHeight="false" outlineLevel="0" collapsed="false">
      <c r="A33" s="80" t="s">
        <v>136</v>
      </c>
      <c r="B33" s="51" t="s">
        <v>143</v>
      </c>
      <c r="C33" s="80" t="s">
        <v>209</v>
      </c>
      <c r="D33" s="81" t="s">
        <v>216</v>
      </c>
      <c r="E33" s="82"/>
    </row>
    <row r="34" customFormat="false" ht="15" hidden="false" customHeight="false" outlineLevel="0" collapsed="false">
      <c r="A34" s="80" t="s">
        <v>136</v>
      </c>
      <c r="B34" s="51" t="s">
        <v>144</v>
      </c>
      <c r="C34" s="80" t="s">
        <v>209</v>
      </c>
      <c r="D34" s="81" t="s">
        <v>217</v>
      </c>
      <c r="E34" s="82"/>
    </row>
    <row r="35" customFormat="false" ht="15" hidden="false" customHeight="false" outlineLevel="0" collapsed="false">
      <c r="A35" s="80" t="s">
        <v>136</v>
      </c>
      <c r="B35" s="51" t="s">
        <v>145</v>
      </c>
      <c r="C35" s="80" t="s">
        <v>209</v>
      </c>
      <c r="D35" s="81" t="s">
        <v>218</v>
      </c>
      <c r="E35" s="82"/>
    </row>
    <row r="36" customFormat="false" ht="15" hidden="false" customHeight="false" outlineLevel="0" collapsed="false">
      <c r="A36" s="80" t="s">
        <v>136</v>
      </c>
      <c r="B36" s="51" t="s">
        <v>146</v>
      </c>
      <c r="C36" s="80" t="s">
        <v>209</v>
      </c>
      <c r="D36" s="81"/>
      <c r="E36" s="82"/>
    </row>
    <row r="37" customFormat="false" ht="15" hidden="false" customHeight="false" outlineLevel="0" collapsed="false">
      <c r="A37" s="80" t="s">
        <v>136</v>
      </c>
      <c r="B37" s="51" t="s">
        <v>147</v>
      </c>
      <c r="C37" s="80" t="s">
        <v>209</v>
      </c>
      <c r="D37" s="81" t="s">
        <v>219</v>
      </c>
      <c r="E37" s="82"/>
    </row>
    <row r="38" customFormat="false" ht="15" hidden="false" customHeight="false" outlineLevel="0" collapsed="false">
      <c r="A38" s="80" t="s">
        <v>136</v>
      </c>
      <c r="B38" s="51" t="s">
        <v>148</v>
      </c>
      <c r="C38" s="80" t="s">
        <v>209</v>
      </c>
      <c r="D38" s="81" t="s">
        <v>220</v>
      </c>
      <c r="E38" s="82"/>
    </row>
    <row r="39" customFormat="false" ht="15" hidden="false" customHeight="false" outlineLevel="0" collapsed="false">
      <c r="A39" s="83" t="s">
        <v>221</v>
      </c>
      <c r="B39" s="84" t="s">
        <v>89</v>
      </c>
      <c r="C39" s="83"/>
      <c r="D39" s="85" t="s">
        <v>222</v>
      </c>
      <c r="E39" s="86" t="s">
        <v>203</v>
      </c>
    </row>
    <row r="40" customFormat="false" ht="15" hidden="false" customHeight="false" outlineLevel="0" collapsed="false">
      <c r="A40" s="20"/>
      <c r="B40" s="20"/>
      <c r="C40" s="20"/>
      <c r="D40" s="20"/>
      <c r="E4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D1A"/>
    <pageSetUpPr fitToPage="false"/>
  </sheetPr>
  <dimension ref="A1:P2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3"/>
    <col collapsed="false" customWidth="true" hidden="false" outlineLevel="0" max="15" min="15" style="0" width="8"/>
    <col collapsed="false" customWidth="true" hidden="false" outlineLevel="0" max="16" min="16" style="0" width="5"/>
  </cols>
  <sheetData>
    <row r="1" customFormat="false" ht="25.5" hidden="false" customHeight="true" outlineLevel="0" collapsed="false">
      <c r="A1" s="1" t="s">
        <v>223</v>
      </c>
      <c r="G1" s="25" t="s">
        <v>224</v>
      </c>
    </row>
    <row r="3" customFormat="false" ht="15" hidden="false" customHeight="false" outlineLevel="0" collapsed="false">
      <c r="A3" s="26" t="s">
        <v>54</v>
      </c>
      <c r="B3" s="27" t="str">
        <f aca="true">TEXT(TODAY(),"yyyy년 m월")</f>
        <v>2026년 9월</v>
      </c>
      <c r="D3" s="26" t="s">
        <v>55</v>
      </c>
      <c r="E3" s="16"/>
      <c r="G3" s="28" t="s">
        <v>56</v>
      </c>
    </row>
    <row r="4" customFormat="false" ht="15" hidden="false" customHeight="false" outlineLevel="0" collapsed="false">
      <c r="A4" s="29" t="s">
        <v>57</v>
      </c>
      <c r="B4" s="30" t="n">
        <f aca="true">SUMIFS($I$15:$I$2014,$O$15:$O$2014,YEAR(TODAY())*100+MONTH(TODAY()),$P$15:$P$2014,1)</f>
        <v>1260000</v>
      </c>
      <c r="D4" s="29" t="s">
        <v>58</v>
      </c>
      <c r="E4" s="31" t="n">
        <f aca="false">COUNTIF($L$15:$L$2014,"?*")</f>
        <v>0</v>
      </c>
      <c r="G4" s="32" t="s">
        <v>225</v>
      </c>
    </row>
    <row r="5" customFormat="false" ht="15" hidden="false" customHeight="false" outlineLevel="0" collapsed="false">
      <c r="A5" s="29" t="s">
        <v>60</v>
      </c>
      <c r="B5" s="33" t="n">
        <f aca="true">SUMIFS($J$15:$J$2014,$O$15:$O$2014,YEAR(TODAY())*100+MONTH(TODAY()),$P$15:$P$2014,1)</f>
        <v>872400</v>
      </c>
      <c r="D5" s="29" t="s">
        <v>20</v>
      </c>
      <c r="E5" s="31" t="n">
        <f aca="false">COUNTIF($K$15:$K$2014,"없음")</f>
        <v>1</v>
      </c>
      <c r="G5" s="32" t="s">
        <v>61</v>
      </c>
    </row>
    <row r="6" customFormat="false" ht="15" hidden="false" customHeight="false" outlineLevel="0" collapsed="false">
      <c r="A6" s="29" t="s">
        <v>62</v>
      </c>
      <c r="B6" s="30" t="n">
        <f aca="false">B4-B5</f>
        <v>387600</v>
      </c>
      <c r="D6" s="29" t="s">
        <v>173</v>
      </c>
      <c r="E6" s="31" t="n">
        <f aca="false">SUMIF($C$15:$C$2014,"현금",$J$15:$J$2014)</f>
        <v>12400</v>
      </c>
      <c r="G6" s="32" t="s">
        <v>64</v>
      </c>
    </row>
    <row r="7" customFormat="false" ht="15" hidden="false" customHeight="false" outlineLevel="0" collapsed="false">
      <c r="A7" s="29" t="s">
        <v>13</v>
      </c>
      <c r="B7" s="30" t="n">
        <f aca="false">SUMIF($P$15:$P$2014,1,$I$15:$I$2014)</f>
        <v>1260000</v>
      </c>
      <c r="G7" s="32" t="s">
        <v>65</v>
      </c>
    </row>
    <row r="8" customFormat="false" ht="15" hidden="false" customHeight="false" outlineLevel="0" collapsed="false">
      <c r="A8" s="29" t="s">
        <v>14</v>
      </c>
      <c r="B8" s="30" t="n">
        <f aca="false">SUMIF($P$15:$P$2014,1,$J$15:$J$2014)</f>
        <v>872400</v>
      </c>
      <c r="G8" s="32" t="s">
        <v>226</v>
      </c>
    </row>
    <row r="9" customFormat="false" ht="15" hidden="false" customHeight="false" outlineLevel="0" collapsed="false">
      <c r="A9" s="29" t="s">
        <v>67</v>
      </c>
      <c r="B9" s="34" t="n">
        <f aca="false">COUNT($B$15:$B$2014)</f>
        <v>7</v>
      </c>
      <c r="G9" s="32" t="s">
        <v>68</v>
      </c>
    </row>
    <row r="10" customFormat="false" ht="15" hidden="false" customHeight="false" outlineLevel="0" collapsed="false">
      <c r="A10" s="11" t="s">
        <v>69</v>
      </c>
      <c r="G10" s="32" t="s">
        <v>70</v>
      </c>
    </row>
    <row r="12" customFormat="false" ht="15" hidden="false" customHeight="false" outlineLevel="0" collapsed="false">
      <c r="G12" s="35" t="s">
        <v>227</v>
      </c>
    </row>
    <row r="14" customFormat="false" ht="30" hidden="false" customHeight="true" outlineLevel="0" collapsed="false">
      <c r="A14" s="3" t="s">
        <v>72</v>
      </c>
      <c r="B14" s="3" t="s">
        <v>73</v>
      </c>
      <c r="C14" s="3" t="s">
        <v>25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57</v>
      </c>
      <c r="J14" s="3" t="s">
        <v>60</v>
      </c>
      <c r="K14" s="3" t="s">
        <v>79</v>
      </c>
      <c r="L14" s="3" t="s">
        <v>55</v>
      </c>
      <c r="M14" s="3" t="s">
        <v>80</v>
      </c>
      <c r="O14" s="11" t="s">
        <v>81</v>
      </c>
      <c r="P14" s="11" t="s">
        <v>82</v>
      </c>
    </row>
    <row r="15" customFormat="false" ht="15" hidden="false" customHeight="false" outlineLevel="0" collapsed="false">
      <c r="A15" s="36" t="n">
        <f aca="false">IF($B15="","",COUNT($B$15:$B15))</f>
        <v>1</v>
      </c>
      <c r="B15" s="37" t="n">
        <v>46268</v>
      </c>
      <c r="C15" s="38" t="s">
        <v>228</v>
      </c>
      <c r="D15" s="20" t="s">
        <v>229</v>
      </c>
      <c r="E15" s="36" t="str">
        <f aca="false">IF($D15="","",IFERROR(INDEX('교육원 ④ 설정'!$A$6:$A$40,MATCH($D15,'교육원 ④ 설정'!$B$6:$B$40,0)),"※없는 과목"))</f>
        <v>수입</v>
      </c>
      <c r="F15" s="36" t="n">
        <f aca="false">IF($D15="","",IFERROR(INDEX('교육원 ④ 설정'!$C$6:$C$40,MATCH($D15,'교육원 ④ 설정'!$B$6:$B$40,0)),""))</f>
        <v>0</v>
      </c>
      <c r="G15" s="20" t="s">
        <v>230</v>
      </c>
      <c r="H15" s="39" t="s">
        <v>231</v>
      </c>
      <c r="I15" s="40" t="n">
        <v>1260000</v>
      </c>
      <c r="J15" s="41"/>
      <c r="K15" s="38" t="s">
        <v>191</v>
      </c>
      <c r="L15" s="42" t="str">
        <f aca="false">IF($B15="","",IF(AND(N($I15)=0,N($J15)=0),"금액이 없습니다",IF(AND($I15&gt;0,$J15&gt;0),"수입·지출 둘 다 적혔습니다",IF($C15="","결제수단을 고르십시오",IF(ISNA(MATCH($C15,'교육원 ③ 통장·카드'!$A$5:$A$11,0)),"③ 통장·카드에 없는 결제수단입니다",IF($D15="","계정과목을 고르십시오",IF($E15="※없는 과목","④ 설정에 없는 과목입니다",IF(AND($E15="수입",$J15&gt;0),"수입 과목인데 지출에 적혔습니다",IF(AND(LEFT($E15,2)&lt;&gt;"수입",$E15&lt;&gt;"대체",$I15&gt;0),"지출 과목인데 수입에 적혔습니다",IF($K15="","증빙을 고르십시오",IF($H15="","적요를 적으십시오","")))))))))))</f>
        <v/>
      </c>
      <c r="M15" s="39"/>
      <c r="O15" s="11" t="n">
        <f aca="false">IF($B15="","",YEAR($B15)*100+MONTH($B15))</f>
        <v>202609</v>
      </c>
      <c r="P15" s="11" t="n">
        <f aca="false">IF($B15="","",IF($E15="대체",0,1))</f>
        <v>1</v>
      </c>
    </row>
    <row r="16" customFormat="false" ht="15" hidden="false" customHeight="false" outlineLevel="0" collapsed="false">
      <c r="A16" s="36" t="n">
        <f aca="false">IF($B16="","",COUNT($B$15:$B16))</f>
        <v>2</v>
      </c>
      <c r="B16" s="37" t="n">
        <v>46273</v>
      </c>
      <c r="C16" s="38" t="s">
        <v>228</v>
      </c>
      <c r="D16" s="20" t="s">
        <v>232</v>
      </c>
      <c r="E16" s="36" t="str">
        <f aca="false">IF($D16="","",IFERROR(INDEX('교육원 ④ 설정'!$A$6:$A$40,MATCH($D16,'교육원 ④ 설정'!$B$6:$B$40,0)),"※없는 과목"))</f>
        <v>변동지출</v>
      </c>
      <c r="F16" s="36" t="str">
        <f aca="false">IF($D16="","",IFERROR(INDEX('교육원 ④ 설정'!$C$6:$C$40,MATCH($D16,'교육원 ④ 설정'!$B$6:$B$40,0)),""))</f>
        <v>변동</v>
      </c>
      <c r="G16" s="20" t="s">
        <v>233</v>
      </c>
      <c r="H16" s="20" t="s">
        <v>234</v>
      </c>
      <c r="I16" s="40"/>
      <c r="J16" s="41" t="n">
        <v>320000</v>
      </c>
      <c r="K16" s="38" t="s">
        <v>87</v>
      </c>
      <c r="L16" s="42" t="str">
        <f aca="false">IF($B16="","",IF(AND(N($I16)=0,N($J16)=0),"금액이 없습니다",IF(AND($I16&gt;0,$J16&gt;0),"수입·지출 둘 다 적혔습니다",IF($C16="","결제수단을 고르십시오",IF(ISNA(MATCH($C16,'교육원 ③ 통장·카드'!$A$5:$A$11,0)),"③ 통장·카드에 없는 결제수단입니다",IF($D16="","계정과목을 고르십시오",IF($E16="※없는 과목","④ 설정에 없는 과목입니다",IF(AND($E16="수입",$J16&gt;0),"수입 과목인데 지출에 적혔습니다",IF(AND(LEFT($E16,2)&lt;&gt;"수입",$E16&lt;&gt;"대체",$I16&gt;0),"지출 과목인데 수입에 적혔습니다",IF($K16="","증빙을 고르십시오",IF($H16="","적요를 적으십시오","")))))))))))</f>
        <v/>
      </c>
      <c r="M16" s="39"/>
      <c r="O16" s="11" t="n">
        <f aca="false">IF($B16="","",YEAR($B16)*100+MONTH($B16))</f>
        <v>202609</v>
      </c>
      <c r="P16" s="11" t="n">
        <f aca="false">IF($B16="","",IF($E16="대체",0,1))</f>
        <v>1</v>
      </c>
    </row>
    <row r="17" customFormat="false" ht="15" hidden="false" customHeight="false" outlineLevel="0" collapsed="false">
      <c r="A17" s="36" t="n">
        <f aca="false">IF($B17="","",COUNT($B$15:$B17))</f>
        <v>3</v>
      </c>
      <c r="B17" s="37" t="n">
        <v>46276</v>
      </c>
      <c r="C17" s="38" t="s">
        <v>228</v>
      </c>
      <c r="D17" s="20" t="s">
        <v>235</v>
      </c>
      <c r="E17" s="36" t="str">
        <f aca="false">IF($D17="","",IFERROR(INDEX('교육원 ④ 설정'!$A$6:$A$40,MATCH($D17,'교육원 ④ 설정'!$B$6:$B$40,0)),"※없는 과목"))</f>
        <v>변동지출</v>
      </c>
      <c r="F17" s="36" t="str">
        <f aca="false">IF($D17="","",IFERROR(INDEX('교육원 ④ 설정'!$C$6:$C$40,MATCH($D17,'교육원 ④ 설정'!$B$6:$B$40,0)),""))</f>
        <v>변동</v>
      </c>
      <c r="G17" s="20" t="s">
        <v>236</v>
      </c>
      <c r="H17" s="39" t="s">
        <v>237</v>
      </c>
      <c r="I17" s="40"/>
      <c r="J17" s="41" t="n">
        <v>240000</v>
      </c>
      <c r="K17" s="38" t="s">
        <v>99</v>
      </c>
      <c r="L17" s="42" t="str">
        <f aca="false">IF($B17="","",IF(AND(N($I17)=0,N($J17)=0),"금액이 없습니다",IF(AND($I17&gt;0,$J17&gt;0),"수입·지출 둘 다 적혔습니다",IF($C17="","결제수단을 고르십시오",IF(ISNA(MATCH($C17,'교육원 ③ 통장·카드'!$A$5:$A$11,0)),"③ 통장·카드에 없는 결제수단입니다",IF($D17="","계정과목을 고르십시오",IF($E17="※없는 과목","④ 설정에 없는 과목입니다",IF(AND($E17="수입",$J17&gt;0),"수입 과목인데 지출에 적혔습니다",IF(AND(LEFT($E17,2)&lt;&gt;"수입",$E17&lt;&gt;"대체",$I17&gt;0),"지출 과목인데 수입에 적혔습니다",IF($K17="","증빙을 고르십시오",IF($H17="","적요를 적으십시오","")))))))))))</f>
        <v/>
      </c>
      <c r="M17" s="39"/>
      <c r="O17" s="11" t="n">
        <f aca="false">IF($B17="","",YEAR($B17)*100+MONTH($B17))</f>
        <v>202609</v>
      </c>
      <c r="P17" s="11" t="n">
        <f aca="false">IF($B17="","",IF($E17="대체",0,1))</f>
        <v>1</v>
      </c>
    </row>
    <row r="18" customFormat="false" ht="15" hidden="false" customHeight="false" outlineLevel="0" collapsed="false">
      <c r="A18" s="36" t="n">
        <f aca="false">IF($B18="","",COUNT($B$15:$B18))</f>
        <v>4</v>
      </c>
      <c r="B18" s="37" t="n">
        <v>46277</v>
      </c>
      <c r="C18" s="38" t="s">
        <v>228</v>
      </c>
      <c r="D18" s="20" t="s">
        <v>89</v>
      </c>
      <c r="E18" s="36" t="str">
        <f aca="false">IF($D18="","",IFERROR(INDEX('교육원 ④ 설정'!$A$6:$A$40,MATCH($D18,'교육원 ④ 설정'!$B$6:$B$40,0)),"※없는 과목"))</f>
        <v>대체</v>
      </c>
      <c r="F18" s="36" t="n">
        <f aca="false">IF($D18="","",IFERROR(INDEX('교육원 ④ 설정'!$C$6:$C$40,MATCH($D18,'교육원 ④ 설정'!$B$6:$B$40,0)),""))</f>
        <v>0</v>
      </c>
      <c r="G18" s="39" t="s">
        <v>238</v>
      </c>
      <c r="H18" s="20" t="s">
        <v>239</v>
      </c>
      <c r="I18" s="40"/>
      <c r="J18" s="41" t="n">
        <v>50000</v>
      </c>
      <c r="K18" s="38" t="s">
        <v>87</v>
      </c>
      <c r="L18" s="42" t="str">
        <f aca="false">IF($B18="","",IF(AND(N($I18)=0,N($J18)=0),"금액이 없습니다",IF(AND($I18&gt;0,$J18&gt;0),"수입·지출 둘 다 적혔습니다",IF($C18="","결제수단을 고르십시오",IF(ISNA(MATCH($C18,'교육원 ③ 통장·카드'!$A$5:$A$11,0)),"③ 통장·카드에 없는 결제수단입니다",IF($D18="","계정과목을 고르십시오",IF($E18="※없는 과목","④ 설정에 없는 과목입니다",IF(AND($E18="수입",$J18&gt;0),"수입 과목인데 지출에 적혔습니다",IF(AND(LEFT($E18,2)&lt;&gt;"수입",$E18&lt;&gt;"대체",$I18&gt;0),"지출 과목인데 수입에 적혔습니다",IF($K18="","증빙을 고르십시오",IF($H18="","적요를 적으십시오","")))))))))))</f>
        <v/>
      </c>
      <c r="M18" s="39"/>
      <c r="O18" s="11" t="n">
        <f aca="false">IF($B18="","",YEAR($B18)*100+MONTH($B18))</f>
        <v>202609</v>
      </c>
      <c r="P18" s="11" t="n">
        <f aca="false">IF($B18="","",IF($E18="대체",0,1))</f>
        <v>0</v>
      </c>
    </row>
    <row r="19" customFormat="false" ht="15" hidden="false" customHeight="false" outlineLevel="0" collapsed="false">
      <c r="A19" s="36" t="n">
        <f aca="false">IF($B19="","",COUNT($B$15:$B19))</f>
        <v>5</v>
      </c>
      <c r="B19" s="37" t="n">
        <v>46277</v>
      </c>
      <c r="C19" s="38" t="s">
        <v>172</v>
      </c>
      <c r="D19" s="20" t="s">
        <v>89</v>
      </c>
      <c r="E19" s="36" t="str">
        <f aca="false">IF($D19="","",IFERROR(INDEX('교육원 ④ 설정'!$A$6:$A$40,MATCH($D19,'교육원 ④ 설정'!$B$6:$B$40,0)),"※없는 과목"))</f>
        <v>대체</v>
      </c>
      <c r="F19" s="36" t="n">
        <f aca="false">IF($D19="","",IFERROR(INDEX('교육원 ④ 설정'!$C$6:$C$40,MATCH($D19,'교육원 ④ 설정'!$B$6:$B$40,0)),""))</f>
        <v>0</v>
      </c>
      <c r="G19" s="39" t="s">
        <v>238</v>
      </c>
      <c r="H19" s="20" t="s">
        <v>239</v>
      </c>
      <c r="I19" s="40" t="n">
        <v>50000</v>
      </c>
      <c r="J19" s="41"/>
      <c r="K19" s="38" t="s">
        <v>87</v>
      </c>
      <c r="L19" s="42" t="str">
        <f aca="false">IF($B19="","",IF(AND(N($I19)=0,N($J19)=0),"금액이 없습니다",IF(AND($I19&gt;0,$J19&gt;0),"수입·지출 둘 다 적혔습니다",IF($C19="","결제수단을 고르십시오",IF(ISNA(MATCH($C19,'교육원 ③ 통장·카드'!$A$5:$A$11,0)),"③ 통장·카드에 없는 결제수단입니다",IF($D19="","계정과목을 고르십시오",IF($E19="※없는 과목","④ 설정에 없는 과목입니다",IF(AND($E19="수입",$J19&gt;0),"수입 과목인데 지출에 적혔습니다",IF(AND(LEFT($E19,2)&lt;&gt;"수입",$E19&lt;&gt;"대체",$I19&gt;0),"지출 과목인데 수입에 적혔습니다",IF($K19="","증빙을 고르십시오",IF($H19="","적요를 적으십시오","")))))))))))</f>
        <v/>
      </c>
      <c r="M19" s="39"/>
      <c r="O19" s="11" t="n">
        <f aca="false">IF($B19="","",YEAR($B19)*100+MONTH($B19))</f>
        <v>202609</v>
      </c>
      <c r="P19" s="11" t="n">
        <f aca="false">IF($B19="","",IF($E19="대체",0,1))</f>
        <v>0</v>
      </c>
    </row>
    <row r="20" customFormat="false" ht="15" hidden="false" customHeight="false" outlineLevel="0" collapsed="false">
      <c r="A20" s="36" t="n">
        <f aca="false">IF($B20="","",COUNT($B$15:$B20))</f>
        <v>6</v>
      </c>
      <c r="B20" s="37" t="n">
        <v>46277</v>
      </c>
      <c r="C20" s="38" t="s">
        <v>172</v>
      </c>
      <c r="D20" s="20" t="s">
        <v>148</v>
      </c>
      <c r="E20" s="36" t="str">
        <f aca="false">IF($D20="","",IFERROR(INDEX('교육원 ④ 설정'!$A$6:$A$40,MATCH($D20,'교육원 ④ 설정'!$B$6:$B$40,0)),"※없는 과목"))</f>
        <v>변동지출</v>
      </c>
      <c r="F20" s="36" t="str">
        <f aca="false">IF($D20="","",IFERROR(INDEX('교육원 ④ 설정'!$C$6:$C$40,MATCH($D20,'교육원 ④ 설정'!$B$6:$B$40,0)),""))</f>
        <v>변동</v>
      </c>
      <c r="G20" s="20" t="s">
        <v>240</v>
      </c>
      <c r="H20" s="20" t="s">
        <v>241</v>
      </c>
      <c r="I20" s="40"/>
      <c r="J20" s="41" t="n">
        <v>12400</v>
      </c>
      <c r="K20" s="38" t="s">
        <v>196</v>
      </c>
      <c r="L20" s="42" t="str">
        <f aca="false">IF($B20="","",IF(AND(N($I20)=0,N($J20)=0),"금액이 없습니다",IF(AND($I20&gt;0,$J20&gt;0),"수입·지출 둘 다 적혔습니다",IF($C20="","결제수단을 고르십시오",IF(ISNA(MATCH($C20,'교육원 ③ 통장·카드'!$A$5:$A$11,0)),"③ 통장·카드에 없는 결제수단입니다",IF($D20="","계정과목을 고르십시오",IF($E20="※없는 과목","④ 설정에 없는 과목입니다",IF(AND($E20="수입",$J20&gt;0),"수입 과목인데 지출에 적혔습니다",IF(AND(LEFT($E20,2)&lt;&gt;"수입",$E20&lt;&gt;"대체",$I20&gt;0),"지출 과목인데 수입에 적혔습니다",IF($K20="","증빙을 고르십시오",IF($H20="","적요를 적으십시오","")))))))))))</f>
        <v/>
      </c>
      <c r="M20" s="20" t="s">
        <v>242</v>
      </c>
      <c r="O20" s="11" t="n">
        <f aca="false">IF($B20="","",YEAR($B20)*100+MONTH($B20))</f>
        <v>202609</v>
      </c>
      <c r="P20" s="11" t="n">
        <f aca="false">IF($B20="","",IF($E20="대체",0,1))</f>
        <v>1</v>
      </c>
    </row>
    <row r="21" customFormat="false" ht="15" hidden="false" customHeight="false" outlineLevel="0" collapsed="false">
      <c r="A21" s="36" t="n">
        <f aca="false">IF($B21="","",COUNT($B$15:$B21))</f>
        <v>7</v>
      </c>
      <c r="B21" s="37" t="n">
        <v>46280</v>
      </c>
      <c r="C21" s="38" t="s">
        <v>228</v>
      </c>
      <c r="D21" s="20" t="s">
        <v>147</v>
      </c>
      <c r="E21" s="36" t="str">
        <f aca="false">IF($D21="","",IFERROR(INDEX('교육원 ④ 설정'!$A$6:$A$40,MATCH($D21,'교육원 ④ 설정'!$B$6:$B$40,0)),"※없는 과목"))</f>
        <v>변동지출</v>
      </c>
      <c r="F21" s="36" t="str">
        <f aca="false">IF($D21="","",IFERROR(INDEX('교육원 ④ 설정'!$C$6:$C$40,MATCH($D21,'교육원 ④ 설정'!$B$6:$B$40,0)),""))</f>
        <v>변동</v>
      </c>
      <c r="G21" s="20" t="s">
        <v>3</v>
      </c>
      <c r="H21" s="39" t="s">
        <v>243</v>
      </c>
      <c r="I21" s="40"/>
      <c r="J21" s="41" t="n">
        <v>300000</v>
      </c>
      <c r="K21" s="38" t="s">
        <v>87</v>
      </c>
      <c r="L21" s="42" t="str">
        <f aca="false">IF($B21="","",IF(AND(N($I21)=0,N($J21)=0),"금액이 없습니다",IF(AND($I21&gt;0,$J21&gt;0),"수입·지출 둘 다 적혔습니다",IF($C21="","결제수단을 고르십시오",IF(ISNA(MATCH($C21,'교육원 ③ 통장·카드'!$A$5:$A$11,0)),"③ 통장·카드에 없는 결제수단입니다",IF($D21="","계정과목을 고르십시오",IF($E21="※없는 과목","④ 설정에 없는 과목입니다",IF(AND($E21="수입",$J21&gt;0),"수입 과목인데 지출에 적혔습니다",IF(AND(LEFT($E21,2)&lt;&gt;"수입",$E21&lt;&gt;"대체",$I21&gt;0),"지출 과목인데 수입에 적혔습니다",IF($K21="","증빙을 고르십시오",IF($H21="","적요를 적으십시오","")))))))))))</f>
        <v/>
      </c>
      <c r="M21" s="20" t="s">
        <v>244</v>
      </c>
      <c r="O21" s="11" t="n">
        <f aca="false">IF($B21="","",YEAR($B21)*100+MONTH($B21))</f>
        <v>202609</v>
      </c>
      <c r="P21" s="11" t="n">
        <f aca="false">IF($B21="","",IF($E21="대체",0,1))</f>
        <v>1</v>
      </c>
    </row>
    <row r="22" customFormat="false" ht="15" hidden="false" customHeight="false" outlineLevel="0" collapsed="false">
      <c r="A22" s="36" t="str">
        <f aca="false">IF($B22="","",COUNT($B$15:$B22))</f>
        <v/>
      </c>
      <c r="B22" s="37"/>
      <c r="C22" s="38"/>
      <c r="D22" s="20"/>
      <c r="E22" s="36" t="str">
        <f aca="false">IF($D22="","",IFERROR(INDEX('교육원 ④ 설정'!$A$6:$A$40,MATCH($D22,'교육원 ④ 설정'!$B$6:$B$40,0)),"※없는 과목"))</f>
        <v/>
      </c>
      <c r="F22" s="36" t="str">
        <f aca="false">IF($D22="","",IFERROR(INDEX('교육원 ④ 설정'!$C$6:$C$40,MATCH($D22,'교육원 ④ 설정'!$B$6:$B$40,0)),""))</f>
        <v/>
      </c>
      <c r="G22" s="39"/>
      <c r="H22" s="39"/>
      <c r="I22" s="40"/>
      <c r="J22" s="41"/>
      <c r="K22" s="38"/>
      <c r="L22" s="42" t="str">
        <f aca="false">IF($B22="","",IF(AND(N($I22)=0,N($J22)=0),"금액이 없습니다",IF(AND($I22&gt;0,$J22&gt;0),"수입·지출 둘 다 적혔습니다",IF($C22="","결제수단을 고르십시오",IF(ISNA(MATCH($C22,'교육원 ③ 통장·카드'!$A$5:$A$11,0)),"③ 통장·카드에 없는 결제수단입니다",IF($D22="","계정과목을 고르십시오",IF($E22="※없는 과목","④ 설정에 없는 과목입니다",IF(AND($E22="수입",$J22&gt;0),"수입 과목인데 지출에 적혔습니다",IF(AND(LEFT($E22,2)&lt;&gt;"수입",$E22&lt;&gt;"대체",$I22&gt;0),"지출 과목인데 수입에 적혔습니다",IF($K22="","증빙을 고르십시오",IF($H22="","적요를 적으십시오","")))))))))))</f>
        <v/>
      </c>
      <c r="M22" s="39"/>
      <c r="O22" s="11" t="str">
        <f aca="false">IF($B22="","",YEAR($B22)*100+MONTH($B22))</f>
        <v/>
      </c>
      <c r="P22" s="11" t="str">
        <f aca="false">IF($B22="","",IF($E22="대체",0,1))</f>
        <v/>
      </c>
    </row>
    <row r="23" customFormat="false" ht="15" hidden="false" customHeight="false" outlineLevel="0" collapsed="false">
      <c r="A23" s="36" t="str">
        <f aca="false">IF($B23="","",COUNT($B$15:$B23))</f>
        <v/>
      </c>
      <c r="B23" s="37"/>
      <c r="C23" s="38"/>
      <c r="D23" s="20"/>
      <c r="E23" s="36" t="str">
        <f aca="false">IF($D23="","",IFERROR(INDEX('교육원 ④ 설정'!$A$6:$A$40,MATCH($D23,'교육원 ④ 설정'!$B$6:$B$40,0)),"※없는 과목"))</f>
        <v/>
      </c>
      <c r="F23" s="36" t="str">
        <f aca="false">IF($D23="","",IFERROR(INDEX('교육원 ④ 설정'!$C$6:$C$40,MATCH($D23,'교육원 ④ 설정'!$B$6:$B$40,0)),""))</f>
        <v/>
      </c>
      <c r="G23" s="39"/>
      <c r="H23" s="39"/>
      <c r="I23" s="40"/>
      <c r="J23" s="41"/>
      <c r="K23" s="38"/>
      <c r="L23" s="42" t="str">
        <f aca="false">IF($B23="","",IF(AND(N($I23)=0,N($J23)=0),"금액이 없습니다",IF(AND($I23&gt;0,$J23&gt;0),"수입·지출 둘 다 적혔습니다",IF($C23="","결제수단을 고르십시오",IF(ISNA(MATCH($C23,'교육원 ③ 통장·카드'!$A$5:$A$11,0)),"③ 통장·카드에 없는 결제수단입니다",IF($D23="","계정과목을 고르십시오",IF($E23="※없는 과목","④ 설정에 없는 과목입니다",IF(AND($E23="수입",$J23&gt;0),"수입 과목인데 지출에 적혔습니다",IF(AND(LEFT($E23,2)&lt;&gt;"수입",$E23&lt;&gt;"대체",$I23&gt;0),"지출 과목인데 수입에 적혔습니다",IF($K23="","증빙을 고르십시오",IF($H23="","적요를 적으십시오","")))))))))))</f>
        <v/>
      </c>
      <c r="M23" s="39"/>
      <c r="O23" s="11" t="str">
        <f aca="false">IF($B23="","",YEAR($B23)*100+MONTH($B23))</f>
        <v/>
      </c>
      <c r="P23" s="11" t="str">
        <f aca="false">IF($B23="","",IF($E23="대체",0,1))</f>
        <v/>
      </c>
    </row>
    <row r="24" customFormat="false" ht="15" hidden="false" customHeight="false" outlineLevel="0" collapsed="false">
      <c r="A24" s="36" t="str">
        <f aca="false">IF($B24="","",COUNT($B$15:$B24))</f>
        <v/>
      </c>
      <c r="B24" s="37"/>
      <c r="C24" s="38"/>
      <c r="D24" s="20"/>
      <c r="E24" s="36" t="str">
        <f aca="false">IF($D24="","",IFERROR(INDEX('교육원 ④ 설정'!$A$6:$A$40,MATCH($D24,'교육원 ④ 설정'!$B$6:$B$40,0)),"※없는 과목"))</f>
        <v/>
      </c>
      <c r="F24" s="36" t="str">
        <f aca="false">IF($D24="","",IFERROR(INDEX('교육원 ④ 설정'!$C$6:$C$40,MATCH($D24,'교육원 ④ 설정'!$B$6:$B$40,0)),""))</f>
        <v/>
      </c>
      <c r="G24" s="39"/>
      <c r="H24" s="39"/>
      <c r="I24" s="40"/>
      <c r="J24" s="41"/>
      <c r="K24" s="38"/>
      <c r="L24" s="42" t="str">
        <f aca="false">IF($B24="","",IF(AND(N($I24)=0,N($J24)=0),"금액이 없습니다",IF(AND($I24&gt;0,$J24&gt;0),"수입·지출 둘 다 적혔습니다",IF($C24="","결제수단을 고르십시오",IF(ISNA(MATCH($C24,'교육원 ③ 통장·카드'!$A$5:$A$11,0)),"③ 통장·카드에 없는 결제수단입니다",IF($D24="","계정과목을 고르십시오",IF($E24="※없는 과목","④ 설정에 없는 과목입니다",IF(AND($E24="수입",$J24&gt;0),"수입 과목인데 지출에 적혔습니다",IF(AND(LEFT($E24,2)&lt;&gt;"수입",$E24&lt;&gt;"대체",$I24&gt;0),"지출 과목인데 수입에 적혔습니다",IF($K24="","증빙을 고르십시오",IF($H24="","적요를 적으십시오","")))))))))))</f>
        <v/>
      </c>
      <c r="M24" s="39"/>
      <c r="O24" s="11" t="str">
        <f aca="false">IF($B24="","",YEAR($B24)*100+MONTH($B24))</f>
        <v/>
      </c>
      <c r="P24" s="11" t="str">
        <f aca="false">IF($B24="","",IF($E24="대체",0,1))</f>
        <v/>
      </c>
    </row>
    <row r="25" customFormat="false" ht="15" hidden="false" customHeight="false" outlineLevel="0" collapsed="false">
      <c r="A25" s="36" t="str">
        <f aca="false">IF($B25="","",COUNT($B$15:$B25))</f>
        <v/>
      </c>
      <c r="B25" s="37"/>
      <c r="C25" s="38"/>
      <c r="D25" s="20"/>
      <c r="E25" s="36" t="str">
        <f aca="false">IF($D25="","",IFERROR(INDEX('교육원 ④ 설정'!$A$6:$A$40,MATCH($D25,'교육원 ④ 설정'!$B$6:$B$40,0)),"※없는 과목"))</f>
        <v/>
      </c>
      <c r="F25" s="36" t="str">
        <f aca="false">IF($D25="","",IFERROR(INDEX('교육원 ④ 설정'!$C$6:$C$40,MATCH($D25,'교육원 ④ 설정'!$B$6:$B$40,0)),""))</f>
        <v/>
      </c>
      <c r="G25" s="39"/>
      <c r="H25" s="39"/>
      <c r="I25" s="40"/>
      <c r="J25" s="41"/>
      <c r="K25" s="38"/>
      <c r="L25" s="42" t="str">
        <f aca="false">IF($B25="","",IF(AND(N($I25)=0,N($J25)=0),"금액이 없습니다",IF(AND($I25&gt;0,$J25&gt;0),"수입·지출 둘 다 적혔습니다",IF($C25="","결제수단을 고르십시오",IF(ISNA(MATCH($C25,'교육원 ③ 통장·카드'!$A$5:$A$11,0)),"③ 통장·카드에 없는 결제수단입니다",IF($D25="","계정과목을 고르십시오",IF($E25="※없는 과목","④ 설정에 없는 과목입니다",IF(AND($E25="수입",$J25&gt;0),"수입 과목인데 지출에 적혔습니다",IF(AND(LEFT($E25,2)&lt;&gt;"수입",$E25&lt;&gt;"대체",$I25&gt;0),"지출 과목인데 수입에 적혔습니다",IF($K25="","증빙을 고르십시오",IF($H25="","적요를 적으십시오","")))))))))))</f>
        <v/>
      </c>
      <c r="M25" s="39"/>
      <c r="O25" s="11" t="str">
        <f aca="false">IF($B25="","",YEAR($B25)*100+MONTH($B25))</f>
        <v/>
      </c>
      <c r="P25" s="11" t="str">
        <f aca="false">IF($B25="","",IF($E25="대체",0,1))</f>
        <v/>
      </c>
    </row>
    <row r="26" customFormat="false" ht="15" hidden="false" customHeight="false" outlineLevel="0" collapsed="false">
      <c r="A26" s="36" t="str">
        <f aca="false">IF($B26="","",COUNT($B$15:$B26))</f>
        <v/>
      </c>
      <c r="B26" s="37"/>
      <c r="C26" s="38"/>
      <c r="D26" s="20"/>
      <c r="E26" s="36" t="str">
        <f aca="false">IF($D26="","",IFERROR(INDEX('교육원 ④ 설정'!$A$6:$A$40,MATCH($D26,'교육원 ④ 설정'!$B$6:$B$40,0)),"※없는 과목"))</f>
        <v/>
      </c>
      <c r="F26" s="36" t="str">
        <f aca="false">IF($D26="","",IFERROR(INDEX('교육원 ④ 설정'!$C$6:$C$40,MATCH($D26,'교육원 ④ 설정'!$B$6:$B$40,0)),""))</f>
        <v/>
      </c>
      <c r="G26" s="39"/>
      <c r="H26" s="39"/>
      <c r="I26" s="40"/>
      <c r="J26" s="41"/>
      <c r="K26" s="38"/>
      <c r="L26" s="42" t="str">
        <f aca="false">IF($B26="","",IF(AND(N($I26)=0,N($J26)=0),"금액이 없습니다",IF(AND($I26&gt;0,$J26&gt;0),"수입·지출 둘 다 적혔습니다",IF($C26="","결제수단을 고르십시오",IF(ISNA(MATCH($C26,'교육원 ③ 통장·카드'!$A$5:$A$11,0)),"③ 통장·카드에 없는 결제수단입니다",IF($D26="","계정과목을 고르십시오",IF($E26="※없는 과목","④ 설정에 없는 과목입니다",IF(AND($E26="수입",$J26&gt;0),"수입 과목인데 지출에 적혔습니다",IF(AND(LEFT($E26,2)&lt;&gt;"수입",$E26&lt;&gt;"대체",$I26&gt;0),"지출 과목인데 수입에 적혔습니다",IF($K26="","증빙을 고르십시오",IF($H26="","적요를 적으십시오","")))))))))))</f>
        <v/>
      </c>
      <c r="M26" s="39"/>
      <c r="O26" s="11" t="str">
        <f aca="false">IF($B26="","",YEAR($B26)*100+MONTH($B26))</f>
        <v/>
      </c>
      <c r="P26" s="11" t="str">
        <f aca="false">IF($B26="","",IF($E26="대체",0,1))</f>
        <v/>
      </c>
    </row>
    <row r="27" customFormat="false" ht="15" hidden="false" customHeight="false" outlineLevel="0" collapsed="false">
      <c r="A27" s="36" t="str">
        <f aca="false">IF($B27="","",COUNT($B$15:$B27))</f>
        <v/>
      </c>
      <c r="B27" s="37"/>
      <c r="C27" s="38"/>
      <c r="D27" s="20"/>
      <c r="E27" s="36" t="str">
        <f aca="false">IF($D27="","",IFERROR(INDEX('교육원 ④ 설정'!$A$6:$A$40,MATCH($D27,'교육원 ④ 설정'!$B$6:$B$40,0)),"※없는 과목"))</f>
        <v/>
      </c>
      <c r="F27" s="36" t="str">
        <f aca="false">IF($D27="","",IFERROR(INDEX('교육원 ④ 설정'!$C$6:$C$40,MATCH($D27,'교육원 ④ 설정'!$B$6:$B$40,0)),""))</f>
        <v/>
      </c>
      <c r="G27" s="39"/>
      <c r="H27" s="39"/>
      <c r="I27" s="40"/>
      <c r="J27" s="41"/>
      <c r="K27" s="38"/>
      <c r="L27" s="42" t="str">
        <f aca="false">IF($B27="","",IF(AND(N($I27)=0,N($J27)=0),"금액이 없습니다",IF(AND($I27&gt;0,$J27&gt;0),"수입·지출 둘 다 적혔습니다",IF($C27="","결제수단을 고르십시오",IF(ISNA(MATCH($C27,'교육원 ③ 통장·카드'!$A$5:$A$11,0)),"③ 통장·카드에 없는 결제수단입니다",IF($D27="","계정과목을 고르십시오",IF($E27="※없는 과목","④ 설정에 없는 과목입니다",IF(AND($E27="수입",$J27&gt;0),"수입 과목인데 지출에 적혔습니다",IF(AND(LEFT($E27,2)&lt;&gt;"수입",$E27&lt;&gt;"대체",$I27&gt;0),"지출 과목인데 수입에 적혔습니다",IF($K27="","증빙을 고르십시오",IF($H27="","적요를 적으십시오","")))))))))))</f>
        <v/>
      </c>
      <c r="M27" s="39"/>
      <c r="O27" s="11" t="str">
        <f aca="false">IF($B27="","",YEAR($B27)*100+MONTH($B27))</f>
        <v/>
      </c>
      <c r="P27" s="11" t="str">
        <f aca="false">IF($B27="","",IF($E27="대체",0,1))</f>
        <v/>
      </c>
    </row>
    <row r="28" customFormat="false" ht="15" hidden="false" customHeight="false" outlineLevel="0" collapsed="false">
      <c r="A28" s="36" t="str">
        <f aca="false">IF($B28="","",COUNT($B$15:$B28))</f>
        <v/>
      </c>
      <c r="B28" s="37"/>
      <c r="C28" s="38"/>
      <c r="D28" s="20"/>
      <c r="E28" s="36" t="str">
        <f aca="false">IF($D28="","",IFERROR(INDEX('교육원 ④ 설정'!$A$6:$A$40,MATCH($D28,'교육원 ④ 설정'!$B$6:$B$40,0)),"※없는 과목"))</f>
        <v/>
      </c>
      <c r="F28" s="36" t="str">
        <f aca="false">IF($D28="","",IFERROR(INDEX('교육원 ④ 설정'!$C$6:$C$40,MATCH($D28,'교육원 ④ 설정'!$B$6:$B$40,0)),""))</f>
        <v/>
      </c>
      <c r="G28" s="39"/>
      <c r="H28" s="39"/>
      <c r="I28" s="40"/>
      <c r="J28" s="41"/>
      <c r="K28" s="38"/>
      <c r="L28" s="42" t="str">
        <f aca="false">IF($B28="","",IF(AND(N($I28)=0,N($J28)=0),"금액이 없습니다",IF(AND($I28&gt;0,$J28&gt;0),"수입·지출 둘 다 적혔습니다",IF($C28="","결제수단을 고르십시오",IF(ISNA(MATCH($C28,'교육원 ③ 통장·카드'!$A$5:$A$11,0)),"③ 통장·카드에 없는 결제수단입니다",IF($D28="","계정과목을 고르십시오",IF($E28="※없는 과목","④ 설정에 없는 과목입니다",IF(AND($E28="수입",$J28&gt;0),"수입 과목인데 지출에 적혔습니다",IF(AND(LEFT($E28,2)&lt;&gt;"수입",$E28&lt;&gt;"대체",$I28&gt;0),"지출 과목인데 수입에 적혔습니다",IF($K28="","증빙을 고르십시오",IF($H28="","적요를 적으십시오","")))))))))))</f>
        <v/>
      </c>
      <c r="M28" s="39"/>
      <c r="O28" s="11" t="str">
        <f aca="false">IF($B28="","",YEAR($B28)*100+MONTH($B28))</f>
        <v/>
      </c>
      <c r="P28" s="11" t="str">
        <f aca="false">IF($B28="","",IF($E28="대체",0,1))</f>
        <v/>
      </c>
    </row>
    <row r="29" customFormat="false" ht="15" hidden="false" customHeight="false" outlineLevel="0" collapsed="false">
      <c r="A29" s="36" t="str">
        <f aca="false">IF($B29="","",COUNT($B$15:$B29))</f>
        <v/>
      </c>
      <c r="B29" s="37"/>
      <c r="C29" s="38"/>
      <c r="D29" s="20"/>
      <c r="E29" s="36" t="str">
        <f aca="false">IF($D29="","",IFERROR(INDEX('교육원 ④ 설정'!$A$6:$A$40,MATCH($D29,'교육원 ④ 설정'!$B$6:$B$40,0)),"※없는 과목"))</f>
        <v/>
      </c>
      <c r="F29" s="36" t="str">
        <f aca="false">IF($D29="","",IFERROR(INDEX('교육원 ④ 설정'!$C$6:$C$40,MATCH($D29,'교육원 ④ 설정'!$B$6:$B$40,0)),""))</f>
        <v/>
      </c>
      <c r="G29" s="39"/>
      <c r="H29" s="39"/>
      <c r="I29" s="40"/>
      <c r="J29" s="41"/>
      <c r="K29" s="38"/>
      <c r="L29" s="42" t="str">
        <f aca="false">IF($B29="","",IF(AND(N($I29)=0,N($J29)=0),"금액이 없습니다",IF(AND($I29&gt;0,$J29&gt;0),"수입·지출 둘 다 적혔습니다",IF($C29="","결제수단을 고르십시오",IF(ISNA(MATCH($C29,'교육원 ③ 통장·카드'!$A$5:$A$11,0)),"③ 통장·카드에 없는 결제수단입니다",IF($D29="","계정과목을 고르십시오",IF($E29="※없는 과목","④ 설정에 없는 과목입니다",IF(AND($E29="수입",$J29&gt;0),"수입 과목인데 지출에 적혔습니다",IF(AND(LEFT($E29,2)&lt;&gt;"수입",$E29&lt;&gt;"대체",$I29&gt;0),"지출 과목인데 수입에 적혔습니다",IF($K29="","증빙을 고르십시오",IF($H29="","적요를 적으십시오","")))))))))))</f>
        <v/>
      </c>
      <c r="M29" s="39"/>
      <c r="O29" s="11" t="str">
        <f aca="false">IF($B29="","",YEAR($B29)*100+MONTH($B29))</f>
        <v/>
      </c>
      <c r="P29" s="11" t="str">
        <f aca="false">IF($B29="","",IF($E29="대체",0,1))</f>
        <v/>
      </c>
    </row>
    <row r="30" customFormat="false" ht="15" hidden="false" customHeight="false" outlineLevel="0" collapsed="false">
      <c r="A30" s="36" t="str">
        <f aca="false">IF($B30="","",COUNT($B$15:$B30))</f>
        <v/>
      </c>
      <c r="B30" s="37"/>
      <c r="C30" s="38"/>
      <c r="D30" s="20"/>
      <c r="E30" s="36" t="str">
        <f aca="false">IF($D30="","",IFERROR(INDEX('교육원 ④ 설정'!$A$6:$A$40,MATCH($D30,'교육원 ④ 설정'!$B$6:$B$40,0)),"※없는 과목"))</f>
        <v/>
      </c>
      <c r="F30" s="36" t="str">
        <f aca="false">IF($D30="","",IFERROR(INDEX('교육원 ④ 설정'!$C$6:$C$40,MATCH($D30,'교육원 ④ 설정'!$B$6:$B$40,0)),""))</f>
        <v/>
      </c>
      <c r="G30" s="39"/>
      <c r="H30" s="39"/>
      <c r="I30" s="40"/>
      <c r="J30" s="41"/>
      <c r="K30" s="38"/>
      <c r="L30" s="42" t="str">
        <f aca="false">IF($B30="","",IF(AND(N($I30)=0,N($J30)=0),"금액이 없습니다",IF(AND($I30&gt;0,$J30&gt;0),"수입·지출 둘 다 적혔습니다",IF($C30="","결제수단을 고르십시오",IF(ISNA(MATCH($C30,'교육원 ③ 통장·카드'!$A$5:$A$11,0)),"③ 통장·카드에 없는 결제수단입니다",IF($D30="","계정과목을 고르십시오",IF($E30="※없는 과목","④ 설정에 없는 과목입니다",IF(AND($E30="수입",$J30&gt;0),"수입 과목인데 지출에 적혔습니다",IF(AND(LEFT($E30,2)&lt;&gt;"수입",$E30&lt;&gt;"대체",$I30&gt;0),"지출 과목인데 수입에 적혔습니다",IF($K30="","증빙을 고르십시오",IF($H30="","적요를 적으십시오","")))))))))))</f>
        <v/>
      </c>
      <c r="M30" s="39"/>
      <c r="O30" s="11" t="str">
        <f aca="false">IF($B30="","",YEAR($B30)*100+MONTH($B30))</f>
        <v/>
      </c>
      <c r="P30" s="11" t="str">
        <f aca="false">IF($B30="","",IF($E30="대체",0,1))</f>
        <v/>
      </c>
    </row>
    <row r="31" customFormat="false" ht="15" hidden="false" customHeight="false" outlineLevel="0" collapsed="false">
      <c r="A31" s="36" t="str">
        <f aca="false">IF($B31="","",COUNT($B$15:$B31))</f>
        <v/>
      </c>
      <c r="B31" s="37"/>
      <c r="C31" s="38"/>
      <c r="D31" s="20"/>
      <c r="E31" s="36" t="str">
        <f aca="false">IF($D31="","",IFERROR(INDEX('교육원 ④ 설정'!$A$6:$A$40,MATCH($D31,'교육원 ④ 설정'!$B$6:$B$40,0)),"※없는 과목"))</f>
        <v/>
      </c>
      <c r="F31" s="36" t="str">
        <f aca="false">IF($D31="","",IFERROR(INDEX('교육원 ④ 설정'!$C$6:$C$40,MATCH($D31,'교육원 ④ 설정'!$B$6:$B$40,0)),""))</f>
        <v/>
      </c>
      <c r="G31" s="39"/>
      <c r="H31" s="39"/>
      <c r="I31" s="40"/>
      <c r="J31" s="41"/>
      <c r="K31" s="38"/>
      <c r="L31" s="42" t="str">
        <f aca="false">IF($B31="","",IF(AND(N($I31)=0,N($J31)=0),"금액이 없습니다",IF(AND($I31&gt;0,$J31&gt;0),"수입·지출 둘 다 적혔습니다",IF($C31="","결제수단을 고르십시오",IF(ISNA(MATCH($C31,'교육원 ③ 통장·카드'!$A$5:$A$11,0)),"③ 통장·카드에 없는 결제수단입니다",IF($D31="","계정과목을 고르십시오",IF($E31="※없는 과목","④ 설정에 없는 과목입니다",IF(AND($E31="수입",$J31&gt;0),"수입 과목인데 지출에 적혔습니다",IF(AND(LEFT($E31,2)&lt;&gt;"수입",$E31&lt;&gt;"대체",$I31&gt;0),"지출 과목인데 수입에 적혔습니다",IF($K31="","증빙을 고르십시오",IF($H31="","적요를 적으십시오","")))))))))))</f>
        <v/>
      </c>
      <c r="M31" s="39"/>
      <c r="O31" s="11" t="str">
        <f aca="false">IF($B31="","",YEAR($B31)*100+MONTH($B31))</f>
        <v/>
      </c>
      <c r="P31" s="11" t="str">
        <f aca="false">IF($B31="","",IF($E31="대체",0,1))</f>
        <v/>
      </c>
    </row>
    <row r="32" customFormat="false" ht="15" hidden="false" customHeight="false" outlineLevel="0" collapsed="false">
      <c r="A32" s="36" t="str">
        <f aca="false">IF($B32="","",COUNT($B$15:$B32))</f>
        <v/>
      </c>
      <c r="B32" s="37"/>
      <c r="C32" s="38"/>
      <c r="D32" s="20"/>
      <c r="E32" s="36" t="str">
        <f aca="false">IF($D32="","",IFERROR(INDEX('교육원 ④ 설정'!$A$6:$A$40,MATCH($D32,'교육원 ④ 설정'!$B$6:$B$40,0)),"※없는 과목"))</f>
        <v/>
      </c>
      <c r="F32" s="36" t="str">
        <f aca="false">IF($D32="","",IFERROR(INDEX('교육원 ④ 설정'!$C$6:$C$40,MATCH($D32,'교육원 ④ 설정'!$B$6:$B$40,0)),""))</f>
        <v/>
      </c>
      <c r="G32" s="39"/>
      <c r="H32" s="39"/>
      <c r="I32" s="40"/>
      <c r="J32" s="41"/>
      <c r="K32" s="38"/>
      <c r="L32" s="42" t="str">
        <f aca="false">IF($B32="","",IF(AND(N($I32)=0,N($J32)=0),"금액이 없습니다",IF(AND($I32&gt;0,$J32&gt;0),"수입·지출 둘 다 적혔습니다",IF($C32="","결제수단을 고르십시오",IF(ISNA(MATCH($C32,'교육원 ③ 통장·카드'!$A$5:$A$11,0)),"③ 통장·카드에 없는 결제수단입니다",IF($D32="","계정과목을 고르십시오",IF($E32="※없는 과목","④ 설정에 없는 과목입니다",IF(AND($E32="수입",$J32&gt;0),"수입 과목인데 지출에 적혔습니다",IF(AND(LEFT($E32,2)&lt;&gt;"수입",$E32&lt;&gt;"대체",$I32&gt;0),"지출 과목인데 수입에 적혔습니다",IF($K32="","증빙을 고르십시오",IF($H32="","적요를 적으십시오","")))))))))))</f>
        <v/>
      </c>
      <c r="M32" s="39"/>
      <c r="O32" s="11" t="str">
        <f aca="false">IF($B32="","",YEAR($B32)*100+MONTH($B32))</f>
        <v/>
      </c>
      <c r="P32" s="11" t="str">
        <f aca="false">IF($B32="","",IF($E32="대체",0,1))</f>
        <v/>
      </c>
    </row>
    <row r="33" customFormat="false" ht="15" hidden="false" customHeight="false" outlineLevel="0" collapsed="false">
      <c r="A33" s="36" t="str">
        <f aca="false">IF($B33="","",COUNT($B$15:$B33))</f>
        <v/>
      </c>
      <c r="B33" s="37"/>
      <c r="C33" s="38"/>
      <c r="D33" s="20"/>
      <c r="E33" s="36" t="str">
        <f aca="false">IF($D33="","",IFERROR(INDEX('교육원 ④ 설정'!$A$6:$A$40,MATCH($D33,'교육원 ④ 설정'!$B$6:$B$40,0)),"※없는 과목"))</f>
        <v/>
      </c>
      <c r="F33" s="36" t="str">
        <f aca="false">IF($D33="","",IFERROR(INDEX('교육원 ④ 설정'!$C$6:$C$40,MATCH($D33,'교육원 ④ 설정'!$B$6:$B$40,0)),""))</f>
        <v/>
      </c>
      <c r="G33" s="39"/>
      <c r="H33" s="39"/>
      <c r="I33" s="40"/>
      <c r="J33" s="41"/>
      <c r="K33" s="38"/>
      <c r="L33" s="42" t="str">
        <f aca="false">IF($B33="","",IF(AND(N($I33)=0,N($J33)=0),"금액이 없습니다",IF(AND($I33&gt;0,$J33&gt;0),"수입·지출 둘 다 적혔습니다",IF($C33="","결제수단을 고르십시오",IF(ISNA(MATCH($C33,'교육원 ③ 통장·카드'!$A$5:$A$11,0)),"③ 통장·카드에 없는 결제수단입니다",IF($D33="","계정과목을 고르십시오",IF($E33="※없는 과목","④ 설정에 없는 과목입니다",IF(AND($E33="수입",$J33&gt;0),"수입 과목인데 지출에 적혔습니다",IF(AND(LEFT($E33,2)&lt;&gt;"수입",$E33&lt;&gt;"대체",$I33&gt;0),"지출 과목인데 수입에 적혔습니다",IF($K33="","증빙을 고르십시오",IF($H33="","적요를 적으십시오","")))))))))))</f>
        <v/>
      </c>
      <c r="M33" s="39"/>
      <c r="O33" s="11" t="str">
        <f aca="false">IF($B33="","",YEAR($B33)*100+MONTH($B33))</f>
        <v/>
      </c>
      <c r="P33" s="11" t="str">
        <f aca="false">IF($B33="","",IF($E33="대체",0,1))</f>
        <v/>
      </c>
    </row>
    <row r="34" customFormat="false" ht="15" hidden="false" customHeight="false" outlineLevel="0" collapsed="false">
      <c r="A34" s="36" t="str">
        <f aca="false">IF($B34="","",COUNT($B$15:$B34))</f>
        <v/>
      </c>
      <c r="B34" s="37"/>
      <c r="C34" s="38"/>
      <c r="D34" s="20"/>
      <c r="E34" s="36" t="str">
        <f aca="false">IF($D34="","",IFERROR(INDEX('교육원 ④ 설정'!$A$6:$A$40,MATCH($D34,'교육원 ④ 설정'!$B$6:$B$40,0)),"※없는 과목"))</f>
        <v/>
      </c>
      <c r="F34" s="36" t="str">
        <f aca="false">IF($D34="","",IFERROR(INDEX('교육원 ④ 설정'!$C$6:$C$40,MATCH($D34,'교육원 ④ 설정'!$B$6:$B$40,0)),""))</f>
        <v/>
      </c>
      <c r="G34" s="39"/>
      <c r="H34" s="39"/>
      <c r="I34" s="40"/>
      <c r="J34" s="41"/>
      <c r="K34" s="38"/>
      <c r="L34" s="42" t="str">
        <f aca="false">IF($B34="","",IF(AND(N($I34)=0,N($J34)=0),"금액이 없습니다",IF(AND($I34&gt;0,$J34&gt;0),"수입·지출 둘 다 적혔습니다",IF($C34="","결제수단을 고르십시오",IF(ISNA(MATCH($C34,'교육원 ③ 통장·카드'!$A$5:$A$11,0)),"③ 통장·카드에 없는 결제수단입니다",IF($D34="","계정과목을 고르십시오",IF($E34="※없는 과목","④ 설정에 없는 과목입니다",IF(AND($E34="수입",$J34&gt;0),"수입 과목인데 지출에 적혔습니다",IF(AND(LEFT($E34,2)&lt;&gt;"수입",$E34&lt;&gt;"대체",$I34&gt;0),"지출 과목인데 수입에 적혔습니다",IF($K34="","증빙을 고르십시오",IF($H34="","적요를 적으십시오","")))))))))))</f>
        <v/>
      </c>
      <c r="M34" s="39"/>
      <c r="O34" s="11" t="str">
        <f aca="false">IF($B34="","",YEAR($B34)*100+MONTH($B34))</f>
        <v/>
      </c>
      <c r="P34" s="11" t="str">
        <f aca="false">IF($B34="","",IF($E34="대체",0,1))</f>
        <v/>
      </c>
    </row>
    <row r="35" customFormat="false" ht="15" hidden="false" customHeight="false" outlineLevel="0" collapsed="false">
      <c r="A35" s="36" t="str">
        <f aca="false">IF($B35="","",COUNT($B$15:$B35))</f>
        <v/>
      </c>
      <c r="B35" s="37"/>
      <c r="C35" s="38"/>
      <c r="D35" s="20"/>
      <c r="E35" s="36" t="str">
        <f aca="false">IF($D35="","",IFERROR(INDEX('교육원 ④ 설정'!$A$6:$A$40,MATCH($D35,'교육원 ④ 설정'!$B$6:$B$40,0)),"※없는 과목"))</f>
        <v/>
      </c>
      <c r="F35" s="36" t="str">
        <f aca="false">IF($D35="","",IFERROR(INDEX('교육원 ④ 설정'!$C$6:$C$40,MATCH($D35,'교육원 ④ 설정'!$B$6:$B$40,0)),""))</f>
        <v/>
      </c>
      <c r="G35" s="39"/>
      <c r="H35" s="39"/>
      <c r="I35" s="40"/>
      <c r="J35" s="41"/>
      <c r="K35" s="38"/>
      <c r="L35" s="42" t="str">
        <f aca="false">IF($B35="","",IF(AND(N($I35)=0,N($J35)=0),"금액이 없습니다",IF(AND($I35&gt;0,$J35&gt;0),"수입·지출 둘 다 적혔습니다",IF($C35="","결제수단을 고르십시오",IF(ISNA(MATCH($C35,'교육원 ③ 통장·카드'!$A$5:$A$11,0)),"③ 통장·카드에 없는 결제수단입니다",IF($D35="","계정과목을 고르십시오",IF($E35="※없는 과목","④ 설정에 없는 과목입니다",IF(AND($E35="수입",$J35&gt;0),"수입 과목인데 지출에 적혔습니다",IF(AND(LEFT($E35,2)&lt;&gt;"수입",$E35&lt;&gt;"대체",$I35&gt;0),"지출 과목인데 수입에 적혔습니다",IF($K35="","증빙을 고르십시오",IF($H35="","적요를 적으십시오","")))))))))))</f>
        <v/>
      </c>
      <c r="M35" s="39"/>
      <c r="O35" s="11" t="str">
        <f aca="false">IF($B35="","",YEAR($B35)*100+MONTH($B35))</f>
        <v/>
      </c>
      <c r="P35" s="11" t="str">
        <f aca="false">IF($B35="","",IF($E35="대체",0,1))</f>
        <v/>
      </c>
    </row>
    <row r="36" customFormat="false" ht="15" hidden="false" customHeight="false" outlineLevel="0" collapsed="false">
      <c r="A36" s="36" t="str">
        <f aca="false">IF($B36="","",COUNT($B$15:$B36))</f>
        <v/>
      </c>
      <c r="B36" s="37"/>
      <c r="C36" s="38"/>
      <c r="D36" s="20"/>
      <c r="E36" s="36" t="str">
        <f aca="false">IF($D36="","",IFERROR(INDEX('교육원 ④ 설정'!$A$6:$A$40,MATCH($D36,'교육원 ④ 설정'!$B$6:$B$40,0)),"※없는 과목"))</f>
        <v/>
      </c>
      <c r="F36" s="36" t="str">
        <f aca="false">IF($D36="","",IFERROR(INDEX('교육원 ④ 설정'!$C$6:$C$40,MATCH($D36,'교육원 ④ 설정'!$B$6:$B$40,0)),""))</f>
        <v/>
      </c>
      <c r="G36" s="39"/>
      <c r="H36" s="39"/>
      <c r="I36" s="40"/>
      <c r="J36" s="41"/>
      <c r="K36" s="38"/>
      <c r="L36" s="42" t="str">
        <f aca="false">IF($B36="","",IF(AND(N($I36)=0,N($J36)=0),"금액이 없습니다",IF(AND($I36&gt;0,$J36&gt;0),"수입·지출 둘 다 적혔습니다",IF($C36="","결제수단을 고르십시오",IF(ISNA(MATCH($C36,'교육원 ③ 통장·카드'!$A$5:$A$11,0)),"③ 통장·카드에 없는 결제수단입니다",IF($D36="","계정과목을 고르십시오",IF($E36="※없는 과목","④ 설정에 없는 과목입니다",IF(AND($E36="수입",$J36&gt;0),"수입 과목인데 지출에 적혔습니다",IF(AND(LEFT($E36,2)&lt;&gt;"수입",$E36&lt;&gt;"대체",$I36&gt;0),"지출 과목인데 수입에 적혔습니다",IF($K36="","증빙을 고르십시오",IF($H36="","적요를 적으십시오","")))))))))))</f>
        <v/>
      </c>
      <c r="M36" s="39"/>
      <c r="O36" s="11" t="str">
        <f aca="false">IF($B36="","",YEAR($B36)*100+MONTH($B36))</f>
        <v/>
      </c>
      <c r="P36" s="11" t="str">
        <f aca="false">IF($B36="","",IF($E36="대체",0,1))</f>
        <v/>
      </c>
    </row>
    <row r="37" customFormat="false" ht="15" hidden="false" customHeight="false" outlineLevel="0" collapsed="false">
      <c r="A37" s="36" t="str">
        <f aca="false">IF($B37="","",COUNT($B$15:$B37))</f>
        <v/>
      </c>
      <c r="B37" s="37"/>
      <c r="C37" s="38"/>
      <c r="D37" s="20"/>
      <c r="E37" s="36" t="str">
        <f aca="false">IF($D37="","",IFERROR(INDEX('교육원 ④ 설정'!$A$6:$A$40,MATCH($D37,'교육원 ④ 설정'!$B$6:$B$40,0)),"※없는 과목"))</f>
        <v/>
      </c>
      <c r="F37" s="36" t="str">
        <f aca="false">IF($D37="","",IFERROR(INDEX('교육원 ④ 설정'!$C$6:$C$40,MATCH($D37,'교육원 ④ 설정'!$B$6:$B$40,0)),""))</f>
        <v/>
      </c>
      <c r="G37" s="39"/>
      <c r="H37" s="39"/>
      <c r="I37" s="40"/>
      <c r="J37" s="41"/>
      <c r="K37" s="38"/>
      <c r="L37" s="42" t="str">
        <f aca="false">IF($B37="","",IF(AND(N($I37)=0,N($J37)=0),"금액이 없습니다",IF(AND($I37&gt;0,$J37&gt;0),"수입·지출 둘 다 적혔습니다",IF($C37="","결제수단을 고르십시오",IF(ISNA(MATCH($C37,'교육원 ③ 통장·카드'!$A$5:$A$11,0)),"③ 통장·카드에 없는 결제수단입니다",IF($D37="","계정과목을 고르십시오",IF($E37="※없는 과목","④ 설정에 없는 과목입니다",IF(AND($E37="수입",$J37&gt;0),"수입 과목인데 지출에 적혔습니다",IF(AND(LEFT($E37,2)&lt;&gt;"수입",$E37&lt;&gt;"대체",$I37&gt;0),"지출 과목인데 수입에 적혔습니다",IF($K37="","증빙을 고르십시오",IF($H37="","적요를 적으십시오","")))))))))))</f>
        <v/>
      </c>
      <c r="M37" s="39"/>
      <c r="O37" s="11" t="str">
        <f aca="false">IF($B37="","",YEAR($B37)*100+MONTH($B37))</f>
        <v/>
      </c>
      <c r="P37" s="11" t="str">
        <f aca="false">IF($B37="","",IF($E37="대체",0,1))</f>
        <v/>
      </c>
    </row>
    <row r="38" customFormat="false" ht="15" hidden="false" customHeight="false" outlineLevel="0" collapsed="false">
      <c r="A38" s="36" t="str">
        <f aca="false">IF($B38="","",COUNT($B$15:$B38))</f>
        <v/>
      </c>
      <c r="B38" s="37"/>
      <c r="C38" s="38"/>
      <c r="D38" s="20"/>
      <c r="E38" s="36" t="str">
        <f aca="false">IF($D38="","",IFERROR(INDEX('교육원 ④ 설정'!$A$6:$A$40,MATCH($D38,'교육원 ④ 설정'!$B$6:$B$40,0)),"※없는 과목"))</f>
        <v/>
      </c>
      <c r="F38" s="36" t="str">
        <f aca="false">IF($D38="","",IFERROR(INDEX('교육원 ④ 설정'!$C$6:$C$40,MATCH($D38,'교육원 ④ 설정'!$B$6:$B$40,0)),""))</f>
        <v/>
      </c>
      <c r="G38" s="39"/>
      <c r="H38" s="39"/>
      <c r="I38" s="40"/>
      <c r="J38" s="41"/>
      <c r="K38" s="38"/>
      <c r="L38" s="42" t="str">
        <f aca="false">IF($B38="","",IF(AND(N($I38)=0,N($J38)=0),"금액이 없습니다",IF(AND($I38&gt;0,$J38&gt;0),"수입·지출 둘 다 적혔습니다",IF($C38="","결제수단을 고르십시오",IF(ISNA(MATCH($C38,'교육원 ③ 통장·카드'!$A$5:$A$11,0)),"③ 통장·카드에 없는 결제수단입니다",IF($D38="","계정과목을 고르십시오",IF($E38="※없는 과목","④ 설정에 없는 과목입니다",IF(AND($E38="수입",$J38&gt;0),"수입 과목인데 지출에 적혔습니다",IF(AND(LEFT($E38,2)&lt;&gt;"수입",$E38&lt;&gt;"대체",$I38&gt;0),"지출 과목인데 수입에 적혔습니다",IF($K38="","증빙을 고르십시오",IF($H38="","적요를 적으십시오","")))))))))))</f>
        <v/>
      </c>
      <c r="M38" s="39"/>
      <c r="O38" s="11" t="str">
        <f aca="false">IF($B38="","",YEAR($B38)*100+MONTH($B38))</f>
        <v/>
      </c>
      <c r="P38" s="11" t="str">
        <f aca="false">IF($B38="","",IF($E38="대체",0,1))</f>
        <v/>
      </c>
    </row>
    <row r="39" customFormat="false" ht="15" hidden="false" customHeight="false" outlineLevel="0" collapsed="false">
      <c r="A39" s="36" t="str">
        <f aca="false">IF($B39="","",COUNT($B$15:$B39))</f>
        <v/>
      </c>
      <c r="B39" s="37"/>
      <c r="C39" s="38"/>
      <c r="D39" s="20"/>
      <c r="E39" s="36" t="str">
        <f aca="false">IF($D39="","",IFERROR(INDEX('교육원 ④ 설정'!$A$6:$A$40,MATCH($D39,'교육원 ④ 설정'!$B$6:$B$40,0)),"※없는 과목"))</f>
        <v/>
      </c>
      <c r="F39" s="36" t="str">
        <f aca="false">IF($D39="","",IFERROR(INDEX('교육원 ④ 설정'!$C$6:$C$40,MATCH($D39,'교육원 ④ 설정'!$B$6:$B$40,0)),""))</f>
        <v/>
      </c>
      <c r="G39" s="39"/>
      <c r="H39" s="39"/>
      <c r="I39" s="40"/>
      <c r="J39" s="41"/>
      <c r="K39" s="38"/>
      <c r="L39" s="42" t="str">
        <f aca="false">IF($B39="","",IF(AND(N($I39)=0,N($J39)=0),"금액이 없습니다",IF(AND($I39&gt;0,$J39&gt;0),"수입·지출 둘 다 적혔습니다",IF($C39="","결제수단을 고르십시오",IF(ISNA(MATCH($C39,'교육원 ③ 통장·카드'!$A$5:$A$11,0)),"③ 통장·카드에 없는 결제수단입니다",IF($D39="","계정과목을 고르십시오",IF($E39="※없는 과목","④ 설정에 없는 과목입니다",IF(AND($E39="수입",$J39&gt;0),"수입 과목인데 지출에 적혔습니다",IF(AND(LEFT($E39,2)&lt;&gt;"수입",$E39&lt;&gt;"대체",$I39&gt;0),"지출 과목인데 수입에 적혔습니다",IF($K39="","증빙을 고르십시오",IF($H39="","적요를 적으십시오","")))))))))))</f>
        <v/>
      </c>
      <c r="M39" s="39"/>
      <c r="O39" s="11" t="str">
        <f aca="false">IF($B39="","",YEAR($B39)*100+MONTH($B39))</f>
        <v/>
      </c>
      <c r="P39" s="11" t="str">
        <f aca="false">IF($B39="","",IF($E39="대체",0,1))</f>
        <v/>
      </c>
    </row>
    <row r="40" customFormat="false" ht="15" hidden="false" customHeight="false" outlineLevel="0" collapsed="false">
      <c r="A40" s="36" t="str">
        <f aca="false">IF($B40="","",COUNT($B$15:$B40))</f>
        <v/>
      </c>
      <c r="B40" s="37"/>
      <c r="C40" s="38"/>
      <c r="D40" s="20"/>
      <c r="E40" s="36" t="str">
        <f aca="false">IF($D40="","",IFERROR(INDEX('교육원 ④ 설정'!$A$6:$A$40,MATCH($D40,'교육원 ④ 설정'!$B$6:$B$40,0)),"※없는 과목"))</f>
        <v/>
      </c>
      <c r="F40" s="36" t="str">
        <f aca="false">IF($D40="","",IFERROR(INDEX('교육원 ④ 설정'!$C$6:$C$40,MATCH($D40,'교육원 ④ 설정'!$B$6:$B$40,0)),""))</f>
        <v/>
      </c>
      <c r="G40" s="39"/>
      <c r="H40" s="39"/>
      <c r="I40" s="40"/>
      <c r="J40" s="41"/>
      <c r="K40" s="38"/>
      <c r="L40" s="42" t="str">
        <f aca="false">IF($B40="","",IF(AND(N($I40)=0,N($J40)=0),"금액이 없습니다",IF(AND($I40&gt;0,$J40&gt;0),"수입·지출 둘 다 적혔습니다",IF($C40="","결제수단을 고르십시오",IF(ISNA(MATCH($C40,'교육원 ③ 통장·카드'!$A$5:$A$11,0)),"③ 통장·카드에 없는 결제수단입니다",IF($D40="","계정과목을 고르십시오",IF($E40="※없는 과목","④ 설정에 없는 과목입니다",IF(AND($E40="수입",$J40&gt;0),"수입 과목인데 지출에 적혔습니다",IF(AND(LEFT($E40,2)&lt;&gt;"수입",$E40&lt;&gt;"대체",$I40&gt;0),"지출 과목인데 수입에 적혔습니다",IF($K40="","증빙을 고르십시오",IF($H40="","적요를 적으십시오","")))))))))))</f>
        <v/>
      </c>
      <c r="M40" s="39"/>
      <c r="O40" s="11" t="str">
        <f aca="false">IF($B40="","",YEAR($B40)*100+MONTH($B40))</f>
        <v/>
      </c>
      <c r="P40" s="11" t="str">
        <f aca="false">IF($B40="","",IF($E40="대체",0,1))</f>
        <v/>
      </c>
    </row>
    <row r="41" customFormat="false" ht="15" hidden="false" customHeight="false" outlineLevel="0" collapsed="false">
      <c r="A41" s="36" t="str">
        <f aca="false">IF($B41="","",COUNT($B$15:$B41))</f>
        <v/>
      </c>
      <c r="B41" s="37"/>
      <c r="C41" s="38"/>
      <c r="D41" s="20"/>
      <c r="E41" s="36" t="str">
        <f aca="false">IF($D41="","",IFERROR(INDEX('교육원 ④ 설정'!$A$6:$A$40,MATCH($D41,'교육원 ④ 설정'!$B$6:$B$40,0)),"※없는 과목"))</f>
        <v/>
      </c>
      <c r="F41" s="36" t="str">
        <f aca="false">IF($D41="","",IFERROR(INDEX('교육원 ④ 설정'!$C$6:$C$40,MATCH($D41,'교육원 ④ 설정'!$B$6:$B$40,0)),""))</f>
        <v/>
      </c>
      <c r="G41" s="39"/>
      <c r="H41" s="39"/>
      <c r="I41" s="40"/>
      <c r="J41" s="41"/>
      <c r="K41" s="38"/>
      <c r="L41" s="42" t="str">
        <f aca="false">IF($B41="","",IF(AND(N($I41)=0,N($J41)=0),"금액이 없습니다",IF(AND($I41&gt;0,$J41&gt;0),"수입·지출 둘 다 적혔습니다",IF($C41="","결제수단을 고르십시오",IF(ISNA(MATCH($C41,'교육원 ③ 통장·카드'!$A$5:$A$11,0)),"③ 통장·카드에 없는 결제수단입니다",IF($D41="","계정과목을 고르십시오",IF($E41="※없는 과목","④ 설정에 없는 과목입니다",IF(AND($E41="수입",$J41&gt;0),"수입 과목인데 지출에 적혔습니다",IF(AND(LEFT($E41,2)&lt;&gt;"수입",$E41&lt;&gt;"대체",$I41&gt;0),"지출 과목인데 수입에 적혔습니다",IF($K41="","증빙을 고르십시오",IF($H41="","적요를 적으십시오","")))))))))))</f>
        <v/>
      </c>
      <c r="M41" s="39"/>
      <c r="O41" s="11" t="str">
        <f aca="false">IF($B41="","",YEAR($B41)*100+MONTH($B41))</f>
        <v/>
      </c>
      <c r="P41" s="11" t="str">
        <f aca="false">IF($B41="","",IF($E41="대체",0,1))</f>
        <v/>
      </c>
    </row>
    <row r="42" customFormat="false" ht="15" hidden="false" customHeight="false" outlineLevel="0" collapsed="false">
      <c r="A42" s="36" t="str">
        <f aca="false">IF($B42="","",COUNT($B$15:$B42))</f>
        <v/>
      </c>
      <c r="B42" s="37"/>
      <c r="C42" s="38"/>
      <c r="D42" s="20"/>
      <c r="E42" s="36" t="str">
        <f aca="false">IF($D42="","",IFERROR(INDEX('교육원 ④ 설정'!$A$6:$A$40,MATCH($D42,'교육원 ④ 설정'!$B$6:$B$40,0)),"※없는 과목"))</f>
        <v/>
      </c>
      <c r="F42" s="36" t="str">
        <f aca="false">IF($D42="","",IFERROR(INDEX('교육원 ④ 설정'!$C$6:$C$40,MATCH($D42,'교육원 ④ 설정'!$B$6:$B$40,0)),""))</f>
        <v/>
      </c>
      <c r="G42" s="39"/>
      <c r="H42" s="39"/>
      <c r="I42" s="40"/>
      <c r="J42" s="41"/>
      <c r="K42" s="38"/>
      <c r="L42" s="42" t="str">
        <f aca="false">IF($B42="","",IF(AND(N($I42)=0,N($J42)=0),"금액이 없습니다",IF(AND($I42&gt;0,$J42&gt;0),"수입·지출 둘 다 적혔습니다",IF($C42="","결제수단을 고르십시오",IF(ISNA(MATCH($C42,'교육원 ③ 통장·카드'!$A$5:$A$11,0)),"③ 통장·카드에 없는 결제수단입니다",IF($D42="","계정과목을 고르십시오",IF($E42="※없는 과목","④ 설정에 없는 과목입니다",IF(AND($E42="수입",$J42&gt;0),"수입 과목인데 지출에 적혔습니다",IF(AND(LEFT($E42,2)&lt;&gt;"수입",$E42&lt;&gt;"대체",$I42&gt;0),"지출 과목인데 수입에 적혔습니다",IF($K42="","증빙을 고르십시오",IF($H42="","적요를 적으십시오","")))))))))))</f>
        <v/>
      </c>
      <c r="M42" s="39"/>
      <c r="O42" s="11" t="str">
        <f aca="false">IF($B42="","",YEAR($B42)*100+MONTH($B42))</f>
        <v/>
      </c>
      <c r="P42" s="11" t="str">
        <f aca="false">IF($B42="","",IF($E42="대체",0,1))</f>
        <v/>
      </c>
    </row>
    <row r="43" customFormat="false" ht="15" hidden="false" customHeight="false" outlineLevel="0" collapsed="false">
      <c r="A43" s="36" t="str">
        <f aca="false">IF($B43="","",COUNT($B$15:$B43))</f>
        <v/>
      </c>
      <c r="B43" s="37"/>
      <c r="C43" s="38"/>
      <c r="D43" s="20"/>
      <c r="E43" s="36" t="str">
        <f aca="false">IF($D43="","",IFERROR(INDEX('교육원 ④ 설정'!$A$6:$A$40,MATCH($D43,'교육원 ④ 설정'!$B$6:$B$40,0)),"※없는 과목"))</f>
        <v/>
      </c>
      <c r="F43" s="36" t="str">
        <f aca="false">IF($D43="","",IFERROR(INDEX('교육원 ④ 설정'!$C$6:$C$40,MATCH($D43,'교육원 ④ 설정'!$B$6:$B$40,0)),""))</f>
        <v/>
      </c>
      <c r="G43" s="39"/>
      <c r="H43" s="39"/>
      <c r="I43" s="40"/>
      <c r="J43" s="41"/>
      <c r="K43" s="38"/>
      <c r="L43" s="42" t="str">
        <f aca="false">IF($B43="","",IF(AND(N($I43)=0,N($J43)=0),"금액이 없습니다",IF(AND($I43&gt;0,$J43&gt;0),"수입·지출 둘 다 적혔습니다",IF($C43="","결제수단을 고르십시오",IF(ISNA(MATCH($C43,'교육원 ③ 통장·카드'!$A$5:$A$11,0)),"③ 통장·카드에 없는 결제수단입니다",IF($D43="","계정과목을 고르십시오",IF($E43="※없는 과목","④ 설정에 없는 과목입니다",IF(AND($E43="수입",$J43&gt;0),"수입 과목인데 지출에 적혔습니다",IF(AND(LEFT($E43,2)&lt;&gt;"수입",$E43&lt;&gt;"대체",$I43&gt;0),"지출 과목인데 수입에 적혔습니다",IF($K43="","증빙을 고르십시오",IF($H43="","적요를 적으십시오","")))))))))))</f>
        <v/>
      </c>
      <c r="M43" s="39"/>
      <c r="O43" s="11" t="str">
        <f aca="false">IF($B43="","",YEAR($B43)*100+MONTH($B43))</f>
        <v/>
      </c>
      <c r="P43" s="11" t="str">
        <f aca="false">IF($B43="","",IF($E43="대체",0,1))</f>
        <v/>
      </c>
    </row>
    <row r="44" customFormat="false" ht="15" hidden="false" customHeight="false" outlineLevel="0" collapsed="false">
      <c r="A44" s="36" t="str">
        <f aca="false">IF($B44="","",COUNT($B$15:$B44))</f>
        <v/>
      </c>
      <c r="B44" s="37"/>
      <c r="C44" s="38"/>
      <c r="D44" s="20"/>
      <c r="E44" s="36" t="str">
        <f aca="false">IF($D44="","",IFERROR(INDEX('교육원 ④ 설정'!$A$6:$A$40,MATCH($D44,'교육원 ④ 설정'!$B$6:$B$40,0)),"※없는 과목"))</f>
        <v/>
      </c>
      <c r="F44" s="36" t="str">
        <f aca="false">IF($D44="","",IFERROR(INDEX('교육원 ④ 설정'!$C$6:$C$40,MATCH($D44,'교육원 ④ 설정'!$B$6:$B$40,0)),""))</f>
        <v/>
      </c>
      <c r="G44" s="39"/>
      <c r="H44" s="39"/>
      <c r="I44" s="40"/>
      <c r="J44" s="41"/>
      <c r="K44" s="38"/>
      <c r="L44" s="42" t="str">
        <f aca="false">IF($B44="","",IF(AND(N($I44)=0,N($J44)=0),"금액이 없습니다",IF(AND($I44&gt;0,$J44&gt;0),"수입·지출 둘 다 적혔습니다",IF($C44="","결제수단을 고르십시오",IF(ISNA(MATCH($C44,'교육원 ③ 통장·카드'!$A$5:$A$11,0)),"③ 통장·카드에 없는 결제수단입니다",IF($D44="","계정과목을 고르십시오",IF($E44="※없는 과목","④ 설정에 없는 과목입니다",IF(AND($E44="수입",$J44&gt;0),"수입 과목인데 지출에 적혔습니다",IF(AND(LEFT($E44,2)&lt;&gt;"수입",$E44&lt;&gt;"대체",$I44&gt;0),"지출 과목인데 수입에 적혔습니다",IF($K44="","증빙을 고르십시오",IF($H44="","적요를 적으십시오","")))))))))))</f>
        <v/>
      </c>
      <c r="M44" s="39"/>
      <c r="O44" s="11" t="str">
        <f aca="false">IF($B44="","",YEAR($B44)*100+MONTH($B44))</f>
        <v/>
      </c>
      <c r="P44" s="11" t="str">
        <f aca="false">IF($B44="","",IF($E44="대체",0,1))</f>
        <v/>
      </c>
    </row>
    <row r="45" customFormat="false" ht="15" hidden="false" customHeight="false" outlineLevel="0" collapsed="false">
      <c r="A45" s="36" t="str">
        <f aca="false">IF($B45="","",COUNT($B$15:$B45))</f>
        <v/>
      </c>
      <c r="B45" s="37"/>
      <c r="C45" s="38"/>
      <c r="D45" s="20"/>
      <c r="E45" s="36" t="str">
        <f aca="false">IF($D45="","",IFERROR(INDEX('교육원 ④ 설정'!$A$6:$A$40,MATCH($D45,'교육원 ④ 설정'!$B$6:$B$40,0)),"※없는 과목"))</f>
        <v/>
      </c>
      <c r="F45" s="36" t="str">
        <f aca="false">IF($D45="","",IFERROR(INDEX('교육원 ④ 설정'!$C$6:$C$40,MATCH($D45,'교육원 ④ 설정'!$B$6:$B$40,0)),""))</f>
        <v/>
      </c>
      <c r="G45" s="39"/>
      <c r="H45" s="39"/>
      <c r="I45" s="40"/>
      <c r="J45" s="41"/>
      <c r="K45" s="38"/>
      <c r="L45" s="42" t="str">
        <f aca="false">IF($B45="","",IF(AND(N($I45)=0,N($J45)=0),"금액이 없습니다",IF(AND($I45&gt;0,$J45&gt;0),"수입·지출 둘 다 적혔습니다",IF($C45="","결제수단을 고르십시오",IF(ISNA(MATCH($C45,'교육원 ③ 통장·카드'!$A$5:$A$11,0)),"③ 통장·카드에 없는 결제수단입니다",IF($D45="","계정과목을 고르십시오",IF($E45="※없는 과목","④ 설정에 없는 과목입니다",IF(AND($E45="수입",$J45&gt;0),"수입 과목인데 지출에 적혔습니다",IF(AND(LEFT($E45,2)&lt;&gt;"수입",$E45&lt;&gt;"대체",$I45&gt;0),"지출 과목인데 수입에 적혔습니다",IF($K45="","증빙을 고르십시오",IF($H45="","적요를 적으십시오","")))))))))))</f>
        <v/>
      </c>
      <c r="M45" s="39"/>
      <c r="O45" s="11" t="str">
        <f aca="false">IF($B45="","",YEAR($B45)*100+MONTH($B45))</f>
        <v/>
      </c>
      <c r="P45" s="11" t="str">
        <f aca="false">IF($B45="","",IF($E45="대체",0,1))</f>
        <v/>
      </c>
    </row>
    <row r="46" customFormat="false" ht="15" hidden="false" customHeight="false" outlineLevel="0" collapsed="false">
      <c r="A46" s="36" t="str">
        <f aca="false">IF($B46="","",COUNT($B$15:$B46))</f>
        <v/>
      </c>
      <c r="B46" s="37"/>
      <c r="C46" s="38"/>
      <c r="D46" s="20"/>
      <c r="E46" s="36" t="str">
        <f aca="false">IF($D46="","",IFERROR(INDEX('교육원 ④ 설정'!$A$6:$A$40,MATCH($D46,'교육원 ④ 설정'!$B$6:$B$40,0)),"※없는 과목"))</f>
        <v/>
      </c>
      <c r="F46" s="36" t="str">
        <f aca="false">IF($D46="","",IFERROR(INDEX('교육원 ④ 설정'!$C$6:$C$40,MATCH($D46,'교육원 ④ 설정'!$B$6:$B$40,0)),""))</f>
        <v/>
      </c>
      <c r="G46" s="39"/>
      <c r="H46" s="39"/>
      <c r="I46" s="40"/>
      <c r="J46" s="41"/>
      <c r="K46" s="38"/>
      <c r="L46" s="42" t="str">
        <f aca="false">IF($B46="","",IF(AND(N($I46)=0,N($J46)=0),"금액이 없습니다",IF(AND($I46&gt;0,$J46&gt;0),"수입·지출 둘 다 적혔습니다",IF($C46="","결제수단을 고르십시오",IF(ISNA(MATCH($C46,'교육원 ③ 통장·카드'!$A$5:$A$11,0)),"③ 통장·카드에 없는 결제수단입니다",IF($D46="","계정과목을 고르십시오",IF($E46="※없는 과목","④ 설정에 없는 과목입니다",IF(AND($E46="수입",$J46&gt;0),"수입 과목인데 지출에 적혔습니다",IF(AND(LEFT($E46,2)&lt;&gt;"수입",$E46&lt;&gt;"대체",$I46&gt;0),"지출 과목인데 수입에 적혔습니다",IF($K46="","증빙을 고르십시오",IF($H46="","적요를 적으십시오","")))))))))))</f>
        <v/>
      </c>
      <c r="M46" s="39"/>
      <c r="O46" s="11" t="str">
        <f aca="false">IF($B46="","",YEAR($B46)*100+MONTH($B46))</f>
        <v/>
      </c>
      <c r="P46" s="11" t="str">
        <f aca="false">IF($B46="","",IF($E46="대체",0,1))</f>
        <v/>
      </c>
    </row>
    <row r="47" customFormat="false" ht="15" hidden="false" customHeight="false" outlineLevel="0" collapsed="false">
      <c r="A47" s="36" t="str">
        <f aca="false">IF($B47="","",COUNT($B$15:$B47))</f>
        <v/>
      </c>
      <c r="B47" s="37"/>
      <c r="C47" s="38"/>
      <c r="D47" s="20"/>
      <c r="E47" s="36" t="str">
        <f aca="false">IF($D47="","",IFERROR(INDEX('교육원 ④ 설정'!$A$6:$A$40,MATCH($D47,'교육원 ④ 설정'!$B$6:$B$40,0)),"※없는 과목"))</f>
        <v/>
      </c>
      <c r="F47" s="36" t="str">
        <f aca="false">IF($D47="","",IFERROR(INDEX('교육원 ④ 설정'!$C$6:$C$40,MATCH($D47,'교육원 ④ 설정'!$B$6:$B$40,0)),""))</f>
        <v/>
      </c>
      <c r="G47" s="39"/>
      <c r="H47" s="39"/>
      <c r="I47" s="40"/>
      <c r="J47" s="41"/>
      <c r="K47" s="38"/>
      <c r="L47" s="42" t="str">
        <f aca="false">IF($B47="","",IF(AND(N($I47)=0,N($J47)=0),"금액이 없습니다",IF(AND($I47&gt;0,$J47&gt;0),"수입·지출 둘 다 적혔습니다",IF($C47="","결제수단을 고르십시오",IF(ISNA(MATCH($C47,'교육원 ③ 통장·카드'!$A$5:$A$11,0)),"③ 통장·카드에 없는 결제수단입니다",IF($D47="","계정과목을 고르십시오",IF($E47="※없는 과목","④ 설정에 없는 과목입니다",IF(AND($E47="수입",$J47&gt;0),"수입 과목인데 지출에 적혔습니다",IF(AND(LEFT($E47,2)&lt;&gt;"수입",$E47&lt;&gt;"대체",$I47&gt;0),"지출 과목인데 수입에 적혔습니다",IF($K47="","증빙을 고르십시오",IF($H47="","적요를 적으십시오","")))))))))))</f>
        <v/>
      </c>
      <c r="M47" s="39"/>
      <c r="O47" s="11" t="str">
        <f aca="false">IF($B47="","",YEAR($B47)*100+MONTH($B47))</f>
        <v/>
      </c>
      <c r="P47" s="11" t="str">
        <f aca="false">IF($B47="","",IF($E47="대체",0,1))</f>
        <v/>
      </c>
    </row>
    <row r="48" customFormat="false" ht="15" hidden="false" customHeight="false" outlineLevel="0" collapsed="false">
      <c r="A48" s="36" t="str">
        <f aca="false">IF($B48="","",COUNT($B$15:$B48))</f>
        <v/>
      </c>
      <c r="B48" s="37"/>
      <c r="C48" s="38"/>
      <c r="D48" s="20"/>
      <c r="E48" s="36" t="str">
        <f aca="false">IF($D48="","",IFERROR(INDEX('교육원 ④ 설정'!$A$6:$A$40,MATCH($D48,'교육원 ④ 설정'!$B$6:$B$40,0)),"※없는 과목"))</f>
        <v/>
      </c>
      <c r="F48" s="36" t="str">
        <f aca="false">IF($D48="","",IFERROR(INDEX('교육원 ④ 설정'!$C$6:$C$40,MATCH($D48,'교육원 ④ 설정'!$B$6:$B$40,0)),""))</f>
        <v/>
      </c>
      <c r="G48" s="39"/>
      <c r="H48" s="39"/>
      <c r="I48" s="40"/>
      <c r="J48" s="41"/>
      <c r="K48" s="38"/>
      <c r="L48" s="42" t="str">
        <f aca="false">IF($B48="","",IF(AND(N($I48)=0,N($J48)=0),"금액이 없습니다",IF(AND($I48&gt;0,$J48&gt;0),"수입·지출 둘 다 적혔습니다",IF($C48="","결제수단을 고르십시오",IF(ISNA(MATCH($C48,'교육원 ③ 통장·카드'!$A$5:$A$11,0)),"③ 통장·카드에 없는 결제수단입니다",IF($D48="","계정과목을 고르십시오",IF($E48="※없는 과목","④ 설정에 없는 과목입니다",IF(AND($E48="수입",$J48&gt;0),"수입 과목인데 지출에 적혔습니다",IF(AND(LEFT($E48,2)&lt;&gt;"수입",$E48&lt;&gt;"대체",$I48&gt;0),"지출 과목인데 수입에 적혔습니다",IF($K48="","증빙을 고르십시오",IF($H48="","적요를 적으십시오","")))))))))))</f>
        <v/>
      </c>
      <c r="M48" s="39"/>
      <c r="O48" s="11" t="str">
        <f aca="false">IF($B48="","",YEAR($B48)*100+MONTH($B48))</f>
        <v/>
      </c>
      <c r="P48" s="11" t="str">
        <f aca="false">IF($B48="","",IF($E48="대체",0,1))</f>
        <v/>
      </c>
    </row>
    <row r="49" customFormat="false" ht="15" hidden="false" customHeight="false" outlineLevel="0" collapsed="false">
      <c r="A49" s="36" t="str">
        <f aca="false">IF($B49="","",COUNT($B$15:$B49))</f>
        <v/>
      </c>
      <c r="B49" s="37"/>
      <c r="C49" s="38"/>
      <c r="D49" s="20"/>
      <c r="E49" s="36" t="str">
        <f aca="false">IF($D49="","",IFERROR(INDEX('교육원 ④ 설정'!$A$6:$A$40,MATCH($D49,'교육원 ④ 설정'!$B$6:$B$40,0)),"※없는 과목"))</f>
        <v/>
      </c>
      <c r="F49" s="36" t="str">
        <f aca="false">IF($D49="","",IFERROR(INDEX('교육원 ④ 설정'!$C$6:$C$40,MATCH($D49,'교육원 ④ 설정'!$B$6:$B$40,0)),""))</f>
        <v/>
      </c>
      <c r="G49" s="39"/>
      <c r="H49" s="39"/>
      <c r="I49" s="40"/>
      <c r="J49" s="41"/>
      <c r="K49" s="38"/>
      <c r="L49" s="42" t="str">
        <f aca="false">IF($B49="","",IF(AND(N($I49)=0,N($J49)=0),"금액이 없습니다",IF(AND($I49&gt;0,$J49&gt;0),"수입·지출 둘 다 적혔습니다",IF($C49="","결제수단을 고르십시오",IF(ISNA(MATCH($C49,'교육원 ③ 통장·카드'!$A$5:$A$11,0)),"③ 통장·카드에 없는 결제수단입니다",IF($D49="","계정과목을 고르십시오",IF($E49="※없는 과목","④ 설정에 없는 과목입니다",IF(AND($E49="수입",$J49&gt;0),"수입 과목인데 지출에 적혔습니다",IF(AND(LEFT($E49,2)&lt;&gt;"수입",$E49&lt;&gt;"대체",$I49&gt;0),"지출 과목인데 수입에 적혔습니다",IF($K49="","증빙을 고르십시오",IF($H49="","적요를 적으십시오","")))))))))))</f>
        <v/>
      </c>
      <c r="M49" s="39"/>
      <c r="O49" s="11" t="str">
        <f aca="false">IF($B49="","",YEAR($B49)*100+MONTH($B49))</f>
        <v/>
      </c>
      <c r="P49" s="11" t="str">
        <f aca="false">IF($B49="","",IF($E49="대체",0,1))</f>
        <v/>
      </c>
    </row>
    <row r="50" customFormat="false" ht="15" hidden="false" customHeight="false" outlineLevel="0" collapsed="false">
      <c r="A50" s="36" t="str">
        <f aca="false">IF($B50="","",COUNT($B$15:$B50))</f>
        <v/>
      </c>
      <c r="B50" s="37"/>
      <c r="C50" s="38"/>
      <c r="D50" s="20"/>
      <c r="E50" s="36" t="str">
        <f aca="false">IF($D50="","",IFERROR(INDEX('교육원 ④ 설정'!$A$6:$A$40,MATCH($D50,'교육원 ④ 설정'!$B$6:$B$40,0)),"※없는 과목"))</f>
        <v/>
      </c>
      <c r="F50" s="36" t="str">
        <f aca="false">IF($D50="","",IFERROR(INDEX('교육원 ④ 설정'!$C$6:$C$40,MATCH($D50,'교육원 ④ 설정'!$B$6:$B$40,0)),""))</f>
        <v/>
      </c>
      <c r="G50" s="39"/>
      <c r="H50" s="39"/>
      <c r="I50" s="40"/>
      <c r="J50" s="41"/>
      <c r="K50" s="38"/>
      <c r="L50" s="42" t="str">
        <f aca="false">IF($B50="","",IF(AND(N($I50)=0,N($J50)=0),"금액이 없습니다",IF(AND($I50&gt;0,$J50&gt;0),"수입·지출 둘 다 적혔습니다",IF($C50="","결제수단을 고르십시오",IF(ISNA(MATCH($C50,'교육원 ③ 통장·카드'!$A$5:$A$11,0)),"③ 통장·카드에 없는 결제수단입니다",IF($D50="","계정과목을 고르십시오",IF($E50="※없는 과목","④ 설정에 없는 과목입니다",IF(AND($E50="수입",$J50&gt;0),"수입 과목인데 지출에 적혔습니다",IF(AND(LEFT($E50,2)&lt;&gt;"수입",$E50&lt;&gt;"대체",$I50&gt;0),"지출 과목인데 수입에 적혔습니다",IF($K50="","증빙을 고르십시오",IF($H50="","적요를 적으십시오","")))))))))))</f>
        <v/>
      </c>
      <c r="M50" s="39"/>
      <c r="O50" s="11" t="str">
        <f aca="false">IF($B50="","",YEAR($B50)*100+MONTH($B50))</f>
        <v/>
      </c>
      <c r="P50" s="11" t="str">
        <f aca="false">IF($B50="","",IF($E50="대체",0,1))</f>
        <v/>
      </c>
    </row>
    <row r="51" customFormat="false" ht="15" hidden="false" customHeight="false" outlineLevel="0" collapsed="false">
      <c r="A51" s="36" t="str">
        <f aca="false">IF($B51="","",COUNT($B$15:$B51))</f>
        <v/>
      </c>
      <c r="B51" s="37"/>
      <c r="C51" s="38"/>
      <c r="D51" s="20"/>
      <c r="E51" s="36" t="str">
        <f aca="false">IF($D51="","",IFERROR(INDEX('교육원 ④ 설정'!$A$6:$A$40,MATCH($D51,'교육원 ④ 설정'!$B$6:$B$40,0)),"※없는 과목"))</f>
        <v/>
      </c>
      <c r="F51" s="36" t="str">
        <f aca="false">IF($D51="","",IFERROR(INDEX('교육원 ④ 설정'!$C$6:$C$40,MATCH($D51,'교육원 ④ 설정'!$B$6:$B$40,0)),""))</f>
        <v/>
      </c>
      <c r="G51" s="39"/>
      <c r="H51" s="39"/>
      <c r="I51" s="40"/>
      <c r="J51" s="41"/>
      <c r="K51" s="38"/>
      <c r="L51" s="42" t="str">
        <f aca="false">IF($B51="","",IF(AND(N($I51)=0,N($J51)=0),"금액이 없습니다",IF(AND($I51&gt;0,$J51&gt;0),"수입·지출 둘 다 적혔습니다",IF($C51="","결제수단을 고르십시오",IF(ISNA(MATCH($C51,'교육원 ③ 통장·카드'!$A$5:$A$11,0)),"③ 통장·카드에 없는 결제수단입니다",IF($D51="","계정과목을 고르십시오",IF($E51="※없는 과목","④ 설정에 없는 과목입니다",IF(AND($E51="수입",$J51&gt;0),"수입 과목인데 지출에 적혔습니다",IF(AND(LEFT($E51,2)&lt;&gt;"수입",$E51&lt;&gt;"대체",$I51&gt;0),"지출 과목인데 수입에 적혔습니다",IF($K51="","증빙을 고르십시오",IF($H51="","적요를 적으십시오","")))))))))))</f>
        <v/>
      </c>
      <c r="M51" s="39"/>
      <c r="O51" s="11" t="str">
        <f aca="false">IF($B51="","",YEAR($B51)*100+MONTH($B51))</f>
        <v/>
      </c>
      <c r="P51" s="11" t="str">
        <f aca="false">IF($B51="","",IF($E51="대체",0,1))</f>
        <v/>
      </c>
    </row>
    <row r="52" customFormat="false" ht="15" hidden="false" customHeight="false" outlineLevel="0" collapsed="false">
      <c r="A52" s="36" t="str">
        <f aca="false">IF($B52="","",COUNT($B$15:$B52))</f>
        <v/>
      </c>
      <c r="B52" s="37"/>
      <c r="C52" s="38"/>
      <c r="D52" s="20"/>
      <c r="E52" s="36" t="str">
        <f aca="false">IF($D52="","",IFERROR(INDEX('교육원 ④ 설정'!$A$6:$A$40,MATCH($D52,'교육원 ④ 설정'!$B$6:$B$40,0)),"※없는 과목"))</f>
        <v/>
      </c>
      <c r="F52" s="36" t="str">
        <f aca="false">IF($D52="","",IFERROR(INDEX('교육원 ④ 설정'!$C$6:$C$40,MATCH($D52,'교육원 ④ 설정'!$B$6:$B$40,0)),""))</f>
        <v/>
      </c>
      <c r="G52" s="39"/>
      <c r="H52" s="39"/>
      <c r="I52" s="40"/>
      <c r="J52" s="41"/>
      <c r="K52" s="38"/>
      <c r="L52" s="42" t="str">
        <f aca="false">IF($B52="","",IF(AND(N($I52)=0,N($J52)=0),"금액이 없습니다",IF(AND($I52&gt;0,$J52&gt;0),"수입·지출 둘 다 적혔습니다",IF($C52="","결제수단을 고르십시오",IF(ISNA(MATCH($C52,'교육원 ③ 통장·카드'!$A$5:$A$11,0)),"③ 통장·카드에 없는 결제수단입니다",IF($D52="","계정과목을 고르십시오",IF($E52="※없는 과목","④ 설정에 없는 과목입니다",IF(AND($E52="수입",$J52&gt;0),"수입 과목인데 지출에 적혔습니다",IF(AND(LEFT($E52,2)&lt;&gt;"수입",$E52&lt;&gt;"대체",$I52&gt;0),"지출 과목인데 수입에 적혔습니다",IF($K52="","증빙을 고르십시오",IF($H52="","적요를 적으십시오","")))))))))))</f>
        <v/>
      </c>
      <c r="M52" s="39"/>
      <c r="O52" s="11" t="str">
        <f aca="false">IF($B52="","",YEAR($B52)*100+MONTH($B52))</f>
        <v/>
      </c>
      <c r="P52" s="11" t="str">
        <f aca="false">IF($B52="","",IF($E52="대체",0,1))</f>
        <v/>
      </c>
    </row>
    <row r="53" customFormat="false" ht="15" hidden="false" customHeight="false" outlineLevel="0" collapsed="false">
      <c r="A53" s="36" t="str">
        <f aca="false">IF($B53="","",COUNT($B$15:$B53))</f>
        <v/>
      </c>
      <c r="B53" s="37"/>
      <c r="C53" s="38"/>
      <c r="D53" s="20"/>
      <c r="E53" s="36" t="str">
        <f aca="false">IF($D53="","",IFERROR(INDEX('교육원 ④ 설정'!$A$6:$A$40,MATCH($D53,'교육원 ④ 설정'!$B$6:$B$40,0)),"※없는 과목"))</f>
        <v/>
      </c>
      <c r="F53" s="36" t="str">
        <f aca="false">IF($D53="","",IFERROR(INDEX('교육원 ④ 설정'!$C$6:$C$40,MATCH($D53,'교육원 ④ 설정'!$B$6:$B$40,0)),""))</f>
        <v/>
      </c>
      <c r="G53" s="39"/>
      <c r="H53" s="39"/>
      <c r="I53" s="40"/>
      <c r="J53" s="41"/>
      <c r="K53" s="38"/>
      <c r="L53" s="42" t="str">
        <f aca="false">IF($B53="","",IF(AND(N($I53)=0,N($J53)=0),"금액이 없습니다",IF(AND($I53&gt;0,$J53&gt;0),"수입·지출 둘 다 적혔습니다",IF($C53="","결제수단을 고르십시오",IF(ISNA(MATCH($C53,'교육원 ③ 통장·카드'!$A$5:$A$11,0)),"③ 통장·카드에 없는 결제수단입니다",IF($D53="","계정과목을 고르십시오",IF($E53="※없는 과목","④ 설정에 없는 과목입니다",IF(AND($E53="수입",$J53&gt;0),"수입 과목인데 지출에 적혔습니다",IF(AND(LEFT($E53,2)&lt;&gt;"수입",$E53&lt;&gt;"대체",$I53&gt;0),"지출 과목인데 수입에 적혔습니다",IF($K53="","증빙을 고르십시오",IF($H53="","적요를 적으십시오","")))))))))))</f>
        <v/>
      </c>
      <c r="M53" s="39"/>
      <c r="O53" s="11" t="str">
        <f aca="false">IF($B53="","",YEAR($B53)*100+MONTH($B53))</f>
        <v/>
      </c>
      <c r="P53" s="11" t="str">
        <f aca="false">IF($B53="","",IF($E53="대체",0,1))</f>
        <v/>
      </c>
    </row>
    <row r="54" customFormat="false" ht="15" hidden="false" customHeight="false" outlineLevel="0" collapsed="false">
      <c r="A54" s="36" t="str">
        <f aca="false">IF($B54="","",COUNT($B$15:$B54))</f>
        <v/>
      </c>
      <c r="B54" s="37"/>
      <c r="C54" s="38"/>
      <c r="D54" s="20"/>
      <c r="E54" s="36" t="str">
        <f aca="false">IF($D54="","",IFERROR(INDEX('교육원 ④ 설정'!$A$6:$A$40,MATCH($D54,'교육원 ④ 설정'!$B$6:$B$40,0)),"※없는 과목"))</f>
        <v/>
      </c>
      <c r="F54" s="36" t="str">
        <f aca="false">IF($D54="","",IFERROR(INDEX('교육원 ④ 설정'!$C$6:$C$40,MATCH($D54,'교육원 ④ 설정'!$B$6:$B$40,0)),""))</f>
        <v/>
      </c>
      <c r="G54" s="39"/>
      <c r="H54" s="39"/>
      <c r="I54" s="40"/>
      <c r="J54" s="41"/>
      <c r="K54" s="38"/>
      <c r="L54" s="42" t="str">
        <f aca="false">IF($B54="","",IF(AND(N($I54)=0,N($J54)=0),"금액이 없습니다",IF(AND($I54&gt;0,$J54&gt;0),"수입·지출 둘 다 적혔습니다",IF($C54="","결제수단을 고르십시오",IF(ISNA(MATCH($C54,'교육원 ③ 통장·카드'!$A$5:$A$11,0)),"③ 통장·카드에 없는 결제수단입니다",IF($D54="","계정과목을 고르십시오",IF($E54="※없는 과목","④ 설정에 없는 과목입니다",IF(AND($E54="수입",$J54&gt;0),"수입 과목인데 지출에 적혔습니다",IF(AND(LEFT($E54,2)&lt;&gt;"수입",$E54&lt;&gt;"대체",$I54&gt;0),"지출 과목인데 수입에 적혔습니다",IF($K54="","증빙을 고르십시오",IF($H54="","적요를 적으십시오","")))))))))))</f>
        <v/>
      </c>
      <c r="M54" s="39"/>
      <c r="O54" s="11" t="str">
        <f aca="false">IF($B54="","",YEAR($B54)*100+MONTH($B54))</f>
        <v/>
      </c>
      <c r="P54" s="11" t="str">
        <f aca="false">IF($B54="","",IF($E54="대체",0,1))</f>
        <v/>
      </c>
    </row>
    <row r="55" customFormat="false" ht="15" hidden="false" customHeight="false" outlineLevel="0" collapsed="false">
      <c r="A55" s="36" t="str">
        <f aca="false">IF($B55="","",COUNT($B$15:$B55))</f>
        <v/>
      </c>
      <c r="B55" s="37"/>
      <c r="C55" s="38"/>
      <c r="D55" s="20"/>
      <c r="E55" s="36" t="str">
        <f aca="false">IF($D55="","",IFERROR(INDEX('교육원 ④ 설정'!$A$6:$A$40,MATCH($D55,'교육원 ④ 설정'!$B$6:$B$40,0)),"※없는 과목"))</f>
        <v/>
      </c>
      <c r="F55" s="36" t="str">
        <f aca="false">IF($D55="","",IFERROR(INDEX('교육원 ④ 설정'!$C$6:$C$40,MATCH($D55,'교육원 ④ 설정'!$B$6:$B$40,0)),""))</f>
        <v/>
      </c>
      <c r="G55" s="39"/>
      <c r="H55" s="39"/>
      <c r="I55" s="40"/>
      <c r="J55" s="41"/>
      <c r="K55" s="38"/>
      <c r="L55" s="42" t="str">
        <f aca="false">IF($B55="","",IF(AND(N($I55)=0,N($J55)=0),"금액이 없습니다",IF(AND($I55&gt;0,$J55&gt;0),"수입·지출 둘 다 적혔습니다",IF($C55="","결제수단을 고르십시오",IF(ISNA(MATCH($C55,'교육원 ③ 통장·카드'!$A$5:$A$11,0)),"③ 통장·카드에 없는 결제수단입니다",IF($D55="","계정과목을 고르십시오",IF($E55="※없는 과목","④ 설정에 없는 과목입니다",IF(AND($E55="수입",$J55&gt;0),"수입 과목인데 지출에 적혔습니다",IF(AND(LEFT($E55,2)&lt;&gt;"수입",$E55&lt;&gt;"대체",$I55&gt;0),"지출 과목인데 수입에 적혔습니다",IF($K55="","증빙을 고르십시오",IF($H55="","적요를 적으십시오","")))))))))))</f>
        <v/>
      </c>
      <c r="M55" s="39"/>
      <c r="O55" s="11" t="str">
        <f aca="false">IF($B55="","",YEAR($B55)*100+MONTH($B55))</f>
        <v/>
      </c>
      <c r="P55" s="11" t="str">
        <f aca="false">IF($B55="","",IF($E55="대체",0,1))</f>
        <v/>
      </c>
    </row>
    <row r="56" customFormat="false" ht="15" hidden="false" customHeight="false" outlineLevel="0" collapsed="false">
      <c r="A56" s="36" t="str">
        <f aca="false">IF($B56="","",COUNT($B$15:$B56))</f>
        <v/>
      </c>
      <c r="B56" s="37"/>
      <c r="C56" s="38"/>
      <c r="D56" s="20"/>
      <c r="E56" s="36" t="str">
        <f aca="false">IF($D56="","",IFERROR(INDEX('교육원 ④ 설정'!$A$6:$A$40,MATCH($D56,'교육원 ④ 설정'!$B$6:$B$40,0)),"※없는 과목"))</f>
        <v/>
      </c>
      <c r="F56" s="36" t="str">
        <f aca="false">IF($D56="","",IFERROR(INDEX('교육원 ④ 설정'!$C$6:$C$40,MATCH($D56,'교육원 ④ 설정'!$B$6:$B$40,0)),""))</f>
        <v/>
      </c>
      <c r="G56" s="39"/>
      <c r="H56" s="39"/>
      <c r="I56" s="40"/>
      <c r="J56" s="41"/>
      <c r="K56" s="38"/>
      <c r="L56" s="42" t="str">
        <f aca="false">IF($B56="","",IF(AND(N($I56)=0,N($J56)=0),"금액이 없습니다",IF(AND($I56&gt;0,$J56&gt;0),"수입·지출 둘 다 적혔습니다",IF($C56="","결제수단을 고르십시오",IF(ISNA(MATCH($C56,'교육원 ③ 통장·카드'!$A$5:$A$11,0)),"③ 통장·카드에 없는 결제수단입니다",IF($D56="","계정과목을 고르십시오",IF($E56="※없는 과목","④ 설정에 없는 과목입니다",IF(AND($E56="수입",$J56&gt;0),"수입 과목인데 지출에 적혔습니다",IF(AND(LEFT($E56,2)&lt;&gt;"수입",$E56&lt;&gt;"대체",$I56&gt;0),"지출 과목인데 수입에 적혔습니다",IF($K56="","증빙을 고르십시오",IF($H56="","적요를 적으십시오","")))))))))))</f>
        <v/>
      </c>
      <c r="M56" s="39"/>
      <c r="O56" s="11" t="str">
        <f aca="false">IF($B56="","",YEAR($B56)*100+MONTH($B56))</f>
        <v/>
      </c>
      <c r="P56" s="11" t="str">
        <f aca="false">IF($B56="","",IF($E56="대체",0,1))</f>
        <v/>
      </c>
    </row>
    <row r="57" customFormat="false" ht="15" hidden="false" customHeight="false" outlineLevel="0" collapsed="false">
      <c r="A57" s="36" t="str">
        <f aca="false">IF($B57="","",COUNT($B$15:$B57))</f>
        <v/>
      </c>
      <c r="B57" s="37"/>
      <c r="C57" s="38"/>
      <c r="D57" s="20"/>
      <c r="E57" s="36" t="str">
        <f aca="false">IF($D57="","",IFERROR(INDEX('교육원 ④ 설정'!$A$6:$A$40,MATCH($D57,'교육원 ④ 설정'!$B$6:$B$40,0)),"※없는 과목"))</f>
        <v/>
      </c>
      <c r="F57" s="36" t="str">
        <f aca="false">IF($D57="","",IFERROR(INDEX('교육원 ④ 설정'!$C$6:$C$40,MATCH($D57,'교육원 ④ 설정'!$B$6:$B$40,0)),""))</f>
        <v/>
      </c>
      <c r="G57" s="39"/>
      <c r="H57" s="39"/>
      <c r="I57" s="40"/>
      <c r="J57" s="41"/>
      <c r="K57" s="38"/>
      <c r="L57" s="42" t="str">
        <f aca="false">IF($B57="","",IF(AND(N($I57)=0,N($J57)=0),"금액이 없습니다",IF(AND($I57&gt;0,$J57&gt;0),"수입·지출 둘 다 적혔습니다",IF($C57="","결제수단을 고르십시오",IF(ISNA(MATCH($C57,'교육원 ③ 통장·카드'!$A$5:$A$11,0)),"③ 통장·카드에 없는 결제수단입니다",IF($D57="","계정과목을 고르십시오",IF($E57="※없는 과목","④ 설정에 없는 과목입니다",IF(AND($E57="수입",$J57&gt;0),"수입 과목인데 지출에 적혔습니다",IF(AND(LEFT($E57,2)&lt;&gt;"수입",$E57&lt;&gt;"대체",$I57&gt;0),"지출 과목인데 수입에 적혔습니다",IF($K57="","증빙을 고르십시오",IF($H57="","적요를 적으십시오","")))))))))))</f>
        <v/>
      </c>
      <c r="M57" s="39"/>
      <c r="O57" s="11" t="str">
        <f aca="false">IF($B57="","",YEAR($B57)*100+MONTH($B57))</f>
        <v/>
      </c>
      <c r="P57" s="11" t="str">
        <f aca="false">IF($B57="","",IF($E57="대체",0,1))</f>
        <v/>
      </c>
    </row>
    <row r="58" customFormat="false" ht="15" hidden="false" customHeight="false" outlineLevel="0" collapsed="false">
      <c r="A58" s="36" t="str">
        <f aca="false">IF($B58="","",COUNT($B$15:$B58))</f>
        <v/>
      </c>
      <c r="B58" s="37"/>
      <c r="C58" s="38"/>
      <c r="D58" s="20"/>
      <c r="E58" s="36" t="str">
        <f aca="false">IF($D58="","",IFERROR(INDEX('교육원 ④ 설정'!$A$6:$A$40,MATCH($D58,'교육원 ④ 설정'!$B$6:$B$40,0)),"※없는 과목"))</f>
        <v/>
      </c>
      <c r="F58" s="36" t="str">
        <f aca="false">IF($D58="","",IFERROR(INDEX('교육원 ④ 설정'!$C$6:$C$40,MATCH($D58,'교육원 ④ 설정'!$B$6:$B$40,0)),""))</f>
        <v/>
      </c>
      <c r="G58" s="39"/>
      <c r="H58" s="39"/>
      <c r="I58" s="40"/>
      <c r="J58" s="41"/>
      <c r="K58" s="38"/>
      <c r="L58" s="42" t="str">
        <f aca="false">IF($B58="","",IF(AND(N($I58)=0,N($J58)=0),"금액이 없습니다",IF(AND($I58&gt;0,$J58&gt;0),"수입·지출 둘 다 적혔습니다",IF($C58="","결제수단을 고르십시오",IF(ISNA(MATCH($C58,'교육원 ③ 통장·카드'!$A$5:$A$11,0)),"③ 통장·카드에 없는 결제수단입니다",IF($D58="","계정과목을 고르십시오",IF($E58="※없는 과목","④ 설정에 없는 과목입니다",IF(AND($E58="수입",$J58&gt;0),"수입 과목인데 지출에 적혔습니다",IF(AND(LEFT($E58,2)&lt;&gt;"수입",$E58&lt;&gt;"대체",$I58&gt;0),"지출 과목인데 수입에 적혔습니다",IF($K58="","증빙을 고르십시오",IF($H58="","적요를 적으십시오","")))))))))))</f>
        <v/>
      </c>
      <c r="M58" s="39"/>
      <c r="O58" s="11" t="str">
        <f aca="false">IF($B58="","",YEAR($B58)*100+MONTH($B58))</f>
        <v/>
      </c>
      <c r="P58" s="11" t="str">
        <f aca="false">IF($B58="","",IF($E58="대체",0,1))</f>
        <v/>
      </c>
    </row>
    <row r="59" customFormat="false" ht="15" hidden="false" customHeight="false" outlineLevel="0" collapsed="false">
      <c r="A59" s="36" t="str">
        <f aca="false">IF($B59="","",COUNT($B$15:$B59))</f>
        <v/>
      </c>
      <c r="B59" s="37"/>
      <c r="C59" s="38"/>
      <c r="D59" s="20"/>
      <c r="E59" s="36" t="str">
        <f aca="false">IF($D59="","",IFERROR(INDEX('교육원 ④ 설정'!$A$6:$A$40,MATCH($D59,'교육원 ④ 설정'!$B$6:$B$40,0)),"※없는 과목"))</f>
        <v/>
      </c>
      <c r="F59" s="36" t="str">
        <f aca="false">IF($D59="","",IFERROR(INDEX('교육원 ④ 설정'!$C$6:$C$40,MATCH($D59,'교육원 ④ 설정'!$B$6:$B$40,0)),""))</f>
        <v/>
      </c>
      <c r="G59" s="39"/>
      <c r="H59" s="39"/>
      <c r="I59" s="40"/>
      <c r="J59" s="41"/>
      <c r="K59" s="38"/>
      <c r="L59" s="42" t="str">
        <f aca="false">IF($B59="","",IF(AND(N($I59)=0,N($J59)=0),"금액이 없습니다",IF(AND($I59&gt;0,$J59&gt;0),"수입·지출 둘 다 적혔습니다",IF($C59="","결제수단을 고르십시오",IF(ISNA(MATCH($C59,'교육원 ③ 통장·카드'!$A$5:$A$11,0)),"③ 통장·카드에 없는 결제수단입니다",IF($D59="","계정과목을 고르십시오",IF($E59="※없는 과목","④ 설정에 없는 과목입니다",IF(AND($E59="수입",$J59&gt;0),"수입 과목인데 지출에 적혔습니다",IF(AND(LEFT($E59,2)&lt;&gt;"수입",$E59&lt;&gt;"대체",$I59&gt;0),"지출 과목인데 수입에 적혔습니다",IF($K59="","증빙을 고르십시오",IF($H59="","적요를 적으십시오","")))))))))))</f>
        <v/>
      </c>
      <c r="M59" s="39"/>
      <c r="O59" s="11" t="str">
        <f aca="false">IF($B59="","",YEAR($B59)*100+MONTH($B59))</f>
        <v/>
      </c>
      <c r="P59" s="11" t="str">
        <f aca="false">IF($B59="","",IF($E59="대체",0,1))</f>
        <v/>
      </c>
    </row>
    <row r="60" customFormat="false" ht="15" hidden="false" customHeight="false" outlineLevel="0" collapsed="false">
      <c r="A60" s="36" t="str">
        <f aca="false">IF($B60="","",COUNT($B$15:$B60))</f>
        <v/>
      </c>
      <c r="B60" s="37"/>
      <c r="C60" s="38"/>
      <c r="D60" s="20"/>
      <c r="E60" s="36" t="str">
        <f aca="false">IF($D60="","",IFERROR(INDEX('교육원 ④ 설정'!$A$6:$A$40,MATCH($D60,'교육원 ④ 설정'!$B$6:$B$40,0)),"※없는 과목"))</f>
        <v/>
      </c>
      <c r="F60" s="36" t="str">
        <f aca="false">IF($D60="","",IFERROR(INDEX('교육원 ④ 설정'!$C$6:$C$40,MATCH($D60,'교육원 ④ 설정'!$B$6:$B$40,0)),""))</f>
        <v/>
      </c>
      <c r="G60" s="39"/>
      <c r="H60" s="39"/>
      <c r="I60" s="40"/>
      <c r="J60" s="41"/>
      <c r="K60" s="38"/>
      <c r="L60" s="42" t="str">
        <f aca="false">IF($B60="","",IF(AND(N($I60)=0,N($J60)=0),"금액이 없습니다",IF(AND($I60&gt;0,$J60&gt;0),"수입·지출 둘 다 적혔습니다",IF($C60="","결제수단을 고르십시오",IF(ISNA(MATCH($C60,'교육원 ③ 통장·카드'!$A$5:$A$11,0)),"③ 통장·카드에 없는 결제수단입니다",IF($D60="","계정과목을 고르십시오",IF($E60="※없는 과목","④ 설정에 없는 과목입니다",IF(AND($E60="수입",$J60&gt;0),"수입 과목인데 지출에 적혔습니다",IF(AND(LEFT($E60,2)&lt;&gt;"수입",$E60&lt;&gt;"대체",$I60&gt;0),"지출 과목인데 수입에 적혔습니다",IF($K60="","증빙을 고르십시오",IF($H60="","적요를 적으십시오","")))))))))))</f>
        <v/>
      </c>
      <c r="M60" s="39"/>
      <c r="O60" s="11" t="str">
        <f aca="false">IF($B60="","",YEAR($B60)*100+MONTH($B60))</f>
        <v/>
      </c>
      <c r="P60" s="11" t="str">
        <f aca="false">IF($B60="","",IF($E60="대체",0,1))</f>
        <v/>
      </c>
    </row>
    <row r="61" customFormat="false" ht="15" hidden="false" customHeight="false" outlineLevel="0" collapsed="false">
      <c r="A61" s="36" t="str">
        <f aca="false">IF($B61="","",COUNT($B$15:$B61))</f>
        <v/>
      </c>
      <c r="B61" s="37"/>
      <c r="C61" s="38"/>
      <c r="D61" s="20"/>
      <c r="E61" s="36" t="str">
        <f aca="false">IF($D61="","",IFERROR(INDEX('교육원 ④ 설정'!$A$6:$A$40,MATCH($D61,'교육원 ④ 설정'!$B$6:$B$40,0)),"※없는 과목"))</f>
        <v/>
      </c>
      <c r="F61" s="36" t="str">
        <f aca="false">IF($D61="","",IFERROR(INDEX('교육원 ④ 설정'!$C$6:$C$40,MATCH($D61,'교육원 ④ 설정'!$B$6:$B$40,0)),""))</f>
        <v/>
      </c>
      <c r="G61" s="39"/>
      <c r="H61" s="39"/>
      <c r="I61" s="40"/>
      <c r="J61" s="41"/>
      <c r="K61" s="38"/>
      <c r="L61" s="42" t="str">
        <f aca="false">IF($B61="","",IF(AND(N($I61)=0,N($J61)=0),"금액이 없습니다",IF(AND($I61&gt;0,$J61&gt;0),"수입·지출 둘 다 적혔습니다",IF($C61="","결제수단을 고르십시오",IF(ISNA(MATCH($C61,'교육원 ③ 통장·카드'!$A$5:$A$11,0)),"③ 통장·카드에 없는 결제수단입니다",IF($D61="","계정과목을 고르십시오",IF($E61="※없는 과목","④ 설정에 없는 과목입니다",IF(AND($E61="수입",$J61&gt;0),"수입 과목인데 지출에 적혔습니다",IF(AND(LEFT($E61,2)&lt;&gt;"수입",$E61&lt;&gt;"대체",$I61&gt;0),"지출 과목인데 수입에 적혔습니다",IF($K61="","증빙을 고르십시오",IF($H61="","적요를 적으십시오","")))))))))))</f>
        <v/>
      </c>
      <c r="M61" s="39"/>
      <c r="O61" s="11" t="str">
        <f aca="false">IF($B61="","",YEAR($B61)*100+MONTH($B61))</f>
        <v/>
      </c>
      <c r="P61" s="11" t="str">
        <f aca="false">IF($B61="","",IF($E61="대체",0,1))</f>
        <v/>
      </c>
    </row>
    <row r="62" customFormat="false" ht="15" hidden="false" customHeight="false" outlineLevel="0" collapsed="false">
      <c r="A62" s="36" t="str">
        <f aca="false">IF($B62="","",COUNT($B$15:$B62))</f>
        <v/>
      </c>
      <c r="B62" s="37"/>
      <c r="C62" s="38"/>
      <c r="D62" s="20"/>
      <c r="E62" s="36" t="str">
        <f aca="false">IF($D62="","",IFERROR(INDEX('교육원 ④ 설정'!$A$6:$A$40,MATCH($D62,'교육원 ④ 설정'!$B$6:$B$40,0)),"※없는 과목"))</f>
        <v/>
      </c>
      <c r="F62" s="36" t="str">
        <f aca="false">IF($D62="","",IFERROR(INDEX('교육원 ④ 설정'!$C$6:$C$40,MATCH($D62,'교육원 ④ 설정'!$B$6:$B$40,0)),""))</f>
        <v/>
      </c>
      <c r="G62" s="39"/>
      <c r="H62" s="39"/>
      <c r="I62" s="40"/>
      <c r="J62" s="41"/>
      <c r="K62" s="38"/>
      <c r="L62" s="42" t="str">
        <f aca="false">IF($B62="","",IF(AND(N($I62)=0,N($J62)=0),"금액이 없습니다",IF(AND($I62&gt;0,$J62&gt;0),"수입·지출 둘 다 적혔습니다",IF($C62="","결제수단을 고르십시오",IF(ISNA(MATCH($C62,'교육원 ③ 통장·카드'!$A$5:$A$11,0)),"③ 통장·카드에 없는 결제수단입니다",IF($D62="","계정과목을 고르십시오",IF($E62="※없는 과목","④ 설정에 없는 과목입니다",IF(AND($E62="수입",$J62&gt;0),"수입 과목인데 지출에 적혔습니다",IF(AND(LEFT($E62,2)&lt;&gt;"수입",$E62&lt;&gt;"대체",$I62&gt;0),"지출 과목인데 수입에 적혔습니다",IF($K62="","증빙을 고르십시오",IF($H62="","적요를 적으십시오","")))))))))))</f>
        <v/>
      </c>
      <c r="M62" s="39"/>
      <c r="O62" s="11" t="str">
        <f aca="false">IF($B62="","",YEAR($B62)*100+MONTH($B62))</f>
        <v/>
      </c>
      <c r="P62" s="11" t="str">
        <f aca="false">IF($B62="","",IF($E62="대체",0,1))</f>
        <v/>
      </c>
    </row>
    <row r="63" customFormat="false" ht="15" hidden="false" customHeight="false" outlineLevel="0" collapsed="false">
      <c r="A63" s="36" t="str">
        <f aca="false">IF($B63="","",COUNT($B$15:$B63))</f>
        <v/>
      </c>
      <c r="B63" s="37"/>
      <c r="C63" s="38"/>
      <c r="D63" s="20"/>
      <c r="E63" s="36" t="str">
        <f aca="false">IF($D63="","",IFERROR(INDEX('교육원 ④ 설정'!$A$6:$A$40,MATCH($D63,'교육원 ④ 설정'!$B$6:$B$40,0)),"※없는 과목"))</f>
        <v/>
      </c>
      <c r="F63" s="36" t="str">
        <f aca="false">IF($D63="","",IFERROR(INDEX('교육원 ④ 설정'!$C$6:$C$40,MATCH($D63,'교육원 ④ 설정'!$B$6:$B$40,0)),""))</f>
        <v/>
      </c>
      <c r="G63" s="39"/>
      <c r="H63" s="39"/>
      <c r="I63" s="40"/>
      <c r="J63" s="41"/>
      <c r="K63" s="38"/>
      <c r="L63" s="42" t="str">
        <f aca="false">IF($B63="","",IF(AND(N($I63)=0,N($J63)=0),"금액이 없습니다",IF(AND($I63&gt;0,$J63&gt;0),"수입·지출 둘 다 적혔습니다",IF($C63="","결제수단을 고르십시오",IF(ISNA(MATCH($C63,'교육원 ③ 통장·카드'!$A$5:$A$11,0)),"③ 통장·카드에 없는 결제수단입니다",IF($D63="","계정과목을 고르십시오",IF($E63="※없는 과목","④ 설정에 없는 과목입니다",IF(AND($E63="수입",$J63&gt;0),"수입 과목인데 지출에 적혔습니다",IF(AND(LEFT($E63,2)&lt;&gt;"수입",$E63&lt;&gt;"대체",$I63&gt;0),"지출 과목인데 수입에 적혔습니다",IF($K63="","증빙을 고르십시오",IF($H63="","적요를 적으십시오","")))))))))))</f>
        <v/>
      </c>
      <c r="M63" s="39"/>
      <c r="O63" s="11" t="str">
        <f aca="false">IF($B63="","",YEAR($B63)*100+MONTH($B63))</f>
        <v/>
      </c>
      <c r="P63" s="11" t="str">
        <f aca="false">IF($B63="","",IF($E63="대체",0,1))</f>
        <v/>
      </c>
    </row>
    <row r="64" customFormat="false" ht="15" hidden="false" customHeight="false" outlineLevel="0" collapsed="false">
      <c r="A64" s="36" t="str">
        <f aca="false">IF($B64="","",COUNT($B$15:$B64))</f>
        <v/>
      </c>
      <c r="B64" s="37"/>
      <c r="C64" s="38"/>
      <c r="D64" s="20"/>
      <c r="E64" s="36" t="str">
        <f aca="false">IF($D64="","",IFERROR(INDEX('교육원 ④ 설정'!$A$6:$A$40,MATCH($D64,'교육원 ④ 설정'!$B$6:$B$40,0)),"※없는 과목"))</f>
        <v/>
      </c>
      <c r="F64" s="36" t="str">
        <f aca="false">IF($D64="","",IFERROR(INDEX('교육원 ④ 설정'!$C$6:$C$40,MATCH($D64,'교육원 ④ 설정'!$B$6:$B$40,0)),""))</f>
        <v/>
      </c>
      <c r="G64" s="39"/>
      <c r="H64" s="39"/>
      <c r="I64" s="40"/>
      <c r="J64" s="41"/>
      <c r="K64" s="38"/>
      <c r="L64" s="42" t="str">
        <f aca="false">IF($B64="","",IF(AND(N($I64)=0,N($J64)=0),"금액이 없습니다",IF(AND($I64&gt;0,$J64&gt;0),"수입·지출 둘 다 적혔습니다",IF($C64="","결제수단을 고르십시오",IF(ISNA(MATCH($C64,'교육원 ③ 통장·카드'!$A$5:$A$11,0)),"③ 통장·카드에 없는 결제수단입니다",IF($D64="","계정과목을 고르십시오",IF($E64="※없는 과목","④ 설정에 없는 과목입니다",IF(AND($E64="수입",$J64&gt;0),"수입 과목인데 지출에 적혔습니다",IF(AND(LEFT($E64,2)&lt;&gt;"수입",$E64&lt;&gt;"대체",$I64&gt;0),"지출 과목인데 수입에 적혔습니다",IF($K64="","증빙을 고르십시오",IF($H64="","적요를 적으십시오","")))))))))))</f>
        <v/>
      </c>
      <c r="M64" s="39"/>
      <c r="O64" s="11" t="str">
        <f aca="false">IF($B64="","",YEAR($B64)*100+MONTH($B64))</f>
        <v/>
      </c>
      <c r="P64" s="11" t="str">
        <f aca="false">IF($B64="","",IF($E64="대체",0,1))</f>
        <v/>
      </c>
    </row>
    <row r="65" customFormat="false" ht="15" hidden="false" customHeight="false" outlineLevel="0" collapsed="false">
      <c r="A65" s="36" t="str">
        <f aca="false">IF($B65="","",COUNT($B$15:$B65))</f>
        <v/>
      </c>
      <c r="B65" s="37"/>
      <c r="C65" s="38"/>
      <c r="D65" s="20"/>
      <c r="E65" s="36" t="str">
        <f aca="false">IF($D65="","",IFERROR(INDEX('교육원 ④ 설정'!$A$6:$A$40,MATCH($D65,'교육원 ④ 설정'!$B$6:$B$40,0)),"※없는 과목"))</f>
        <v/>
      </c>
      <c r="F65" s="36" t="str">
        <f aca="false">IF($D65="","",IFERROR(INDEX('교육원 ④ 설정'!$C$6:$C$40,MATCH($D65,'교육원 ④ 설정'!$B$6:$B$40,0)),""))</f>
        <v/>
      </c>
      <c r="G65" s="39"/>
      <c r="H65" s="39"/>
      <c r="I65" s="40"/>
      <c r="J65" s="41"/>
      <c r="K65" s="38"/>
      <c r="L65" s="42" t="str">
        <f aca="false">IF($B65="","",IF(AND(N($I65)=0,N($J65)=0),"금액이 없습니다",IF(AND($I65&gt;0,$J65&gt;0),"수입·지출 둘 다 적혔습니다",IF($C65="","결제수단을 고르십시오",IF(ISNA(MATCH($C65,'교육원 ③ 통장·카드'!$A$5:$A$11,0)),"③ 통장·카드에 없는 결제수단입니다",IF($D65="","계정과목을 고르십시오",IF($E65="※없는 과목","④ 설정에 없는 과목입니다",IF(AND($E65="수입",$J65&gt;0),"수입 과목인데 지출에 적혔습니다",IF(AND(LEFT($E65,2)&lt;&gt;"수입",$E65&lt;&gt;"대체",$I65&gt;0),"지출 과목인데 수입에 적혔습니다",IF($K65="","증빙을 고르십시오",IF($H65="","적요를 적으십시오","")))))))))))</f>
        <v/>
      </c>
      <c r="M65" s="39"/>
      <c r="O65" s="11" t="str">
        <f aca="false">IF($B65="","",YEAR($B65)*100+MONTH($B65))</f>
        <v/>
      </c>
      <c r="P65" s="11" t="str">
        <f aca="false">IF($B65="","",IF($E65="대체",0,1))</f>
        <v/>
      </c>
    </row>
    <row r="66" customFormat="false" ht="15" hidden="false" customHeight="false" outlineLevel="0" collapsed="false">
      <c r="A66" s="36" t="str">
        <f aca="false">IF($B66="","",COUNT($B$15:$B66))</f>
        <v/>
      </c>
      <c r="B66" s="37"/>
      <c r="C66" s="38"/>
      <c r="D66" s="20"/>
      <c r="E66" s="36" t="str">
        <f aca="false">IF($D66="","",IFERROR(INDEX('교육원 ④ 설정'!$A$6:$A$40,MATCH($D66,'교육원 ④ 설정'!$B$6:$B$40,0)),"※없는 과목"))</f>
        <v/>
      </c>
      <c r="F66" s="36" t="str">
        <f aca="false">IF($D66="","",IFERROR(INDEX('교육원 ④ 설정'!$C$6:$C$40,MATCH($D66,'교육원 ④ 설정'!$B$6:$B$40,0)),""))</f>
        <v/>
      </c>
      <c r="G66" s="39"/>
      <c r="H66" s="39"/>
      <c r="I66" s="40"/>
      <c r="J66" s="41"/>
      <c r="K66" s="38"/>
      <c r="L66" s="42" t="str">
        <f aca="false">IF($B66="","",IF(AND(N($I66)=0,N($J66)=0),"금액이 없습니다",IF(AND($I66&gt;0,$J66&gt;0),"수입·지출 둘 다 적혔습니다",IF($C66="","결제수단을 고르십시오",IF(ISNA(MATCH($C66,'교육원 ③ 통장·카드'!$A$5:$A$11,0)),"③ 통장·카드에 없는 결제수단입니다",IF($D66="","계정과목을 고르십시오",IF($E66="※없는 과목","④ 설정에 없는 과목입니다",IF(AND($E66="수입",$J66&gt;0),"수입 과목인데 지출에 적혔습니다",IF(AND(LEFT($E66,2)&lt;&gt;"수입",$E66&lt;&gt;"대체",$I66&gt;0),"지출 과목인데 수입에 적혔습니다",IF($K66="","증빙을 고르십시오",IF($H66="","적요를 적으십시오","")))))))))))</f>
        <v/>
      </c>
      <c r="M66" s="39"/>
      <c r="O66" s="11" t="str">
        <f aca="false">IF($B66="","",YEAR($B66)*100+MONTH($B66))</f>
        <v/>
      </c>
      <c r="P66" s="11" t="str">
        <f aca="false">IF($B66="","",IF($E66="대체",0,1))</f>
        <v/>
      </c>
    </row>
    <row r="67" customFormat="false" ht="15" hidden="false" customHeight="false" outlineLevel="0" collapsed="false">
      <c r="A67" s="36" t="str">
        <f aca="false">IF($B67="","",COUNT($B$15:$B67))</f>
        <v/>
      </c>
      <c r="B67" s="37"/>
      <c r="C67" s="38"/>
      <c r="D67" s="20"/>
      <c r="E67" s="36" t="str">
        <f aca="false">IF($D67="","",IFERROR(INDEX('교육원 ④ 설정'!$A$6:$A$40,MATCH($D67,'교육원 ④ 설정'!$B$6:$B$40,0)),"※없는 과목"))</f>
        <v/>
      </c>
      <c r="F67" s="36" t="str">
        <f aca="false">IF($D67="","",IFERROR(INDEX('교육원 ④ 설정'!$C$6:$C$40,MATCH($D67,'교육원 ④ 설정'!$B$6:$B$40,0)),""))</f>
        <v/>
      </c>
      <c r="G67" s="39"/>
      <c r="H67" s="39"/>
      <c r="I67" s="40"/>
      <c r="J67" s="41"/>
      <c r="K67" s="38"/>
      <c r="L67" s="42" t="str">
        <f aca="false">IF($B67="","",IF(AND(N($I67)=0,N($J67)=0),"금액이 없습니다",IF(AND($I67&gt;0,$J67&gt;0),"수입·지출 둘 다 적혔습니다",IF($C67="","결제수단을 고르십시오",IF(ISNA(MATCH($C67,'교육원 ③ 통장·카드'!$A$5:$A$11,0)),"③ 통장·카드에 없는 결제수단입니다",IF($D67="","계정과목을 고르십시오",IF($E67="※없는 과목","④ 설정에 없는 과목입니다",IF(AND($E67="수입",$J67&gt;0),"수입 과목인데 지출에 적혔습니다",IF(AND(LEFT($E67,2)&lt;&gt;"수입",$E67&lt;&gt;"대체",$I67&gt;0),"지출 과목인데 수입에 적혔습니다",IF($K67="","증빙을 고르십시오",IF($H67="","적요를 적으십시오","")))))))))))</f>
        <v/>
      </c>
      <c r="M67" s="39"/>
      <c r="O67" s="11" t="str">
        <f aca="false">IF($B67="","",YEAR($B67)*100+MONTH($B67))</f>
        <v/>
      </c>
      <c r="P67" s="11" t="str">
        <f aca="false">IF($B67="","",IF($E67="대체",0,1))</f>
        <v/>
      </c>
    </row>
    <row r="68" customFormat="false" ht="15" hidden="false" customHeight="false" outlineLevel="0" collapsed="false">
      <c r="A68" s="36" t="str">
        <f aca="false">IF($B68="","",COUNT($B$15:$B68))</f>
        <v/>
      </c>
      <c r="B68" s="37"/>
      <c r="C68" s="38"/>
      <c r="D68" s="20"/>
      <c r="E68" s="36" t="str">
        <f aca="false">IF($D68="","",IFERROR(INDEX('교육원 ④ 설정'!$A$6:$A$40,MATCH($D68,'교육원 ④ 설정'!$B$6:$B$40,0)),"※없는 과목"))</f>
        <v/>
      </c>
      <c r="F68" s="36" t="str">
        <f aca="false">IF($D68="","",IFERROR(INDEX('교육원 ④ 설정'!$C$6:$C$40,MATCH($D68,'교육원 ④ 설정'!$B$6:$B$40,0)),""))</f>
        <v/>
      </c>
      <c r="G68" s="39"/>
      <c r="H68" s="39"/>
      <c r="I68" s="40"/>
      <c r="J68" s="41"/>
      <c r="K68" s="38"/>
      <c r="L68" s="42" t="str">
        <f aca="false">IF($B68="","",IF(AND(N($I68)=0,N($J68)=0),"금액이 없습니다",IF(AND($I68&gt;0,$J68&gt;0),"수입·지출 둘 다 적혔습니다",IF($C68="","결제수단을 고르십시오",IF(ISNA(MATCH($C68,'교육원 ③ 통장·카드'!$A$5:$A$11,0)),"③ 통장·카드에 없는 결제수단입니다",IF($D68="","계정과목을 고르십시오",IF($E68="※없는 과목","④ 설정에 없는 과목입니다",IF(AND($E68="수입",$J68&gt;0),"수입 과목인데 지출에 적혔습니다",IF(AND(LEFT($E68,2)&lt;&gt;"수입",$E68&lt;&gt;"대체",$I68&gt;0),"지출 과목인데 수입에 적혔습니다",IF($K68="","증빙을 고르십시오",IF($H68="","적요를 적으십시오","")))))))))))</f>
        <v/>
      </c>
      <c r="M68" s="39"/>
      <c r="O68" s="11" t="str">
        <f aca="false">IF($B68="","",YEAR($B68)*100+MONTH($B68))</f>
        <v/>
      </c>
      <c r="P68" s="11" t="str">
        <f aca="false">IF($B68="","",IF($E68="대체",0,1))</f>
        <v/>
      </c>
    </row>
    <row r="69" customFormat="false" ht="15" hidden="false" customHeight="false" outlineLevel="0" collapsed="false">
      <c r="A69" s="36" t="str">
        <f aca="false">IF($B69="","",COUNT($B$15:$B69))</f>
        <v/>
      </c>
      <c r="B69" s="37"/>
      <c r="C69" s="38"/>
      <c r="D69" s="20"/>
      <c r="E69" s="36" t="str">
        <f aca="false">IF($D69="","",IFERROR(INDEX('교육원 ④ 설정'!$A$6:$A$40,MATCH($D69,'교육원 ④ 설정'!$B$6:$B$40,0)),"※없는 과목"))</f>
        <v/>
      </c>
      <c r="F69" s="36" t="str">
        <f aca="false">IF($D69="","",IFERROR(INDEX('교육원 ④ 설정'!$C$6:$C$40,MATCH($D69,'교육원 ④ 설정'!$B$6:$B$40,0)),""))</f>
        <v/>
      </c>
      <c r="G69" s="39"/>
      <c r="H69" s="39"/>
      <c r="I69" s="40"/>
      <c r="J69" s="41"/>
      <c r="K69" s="38"/>
      <c r="L69" s="42" t="str">
        <f aca="false">IF($B69="","",IF(AND(N($I69)=0,N($J69)=0),"금액이 없습니다",IF(AND($I69&gt;0,$J69&gt;0),"수입·지출 둘 다 적혔습니다",IF($C69="","결제수단을 고르십시오",IF(ISNA(MATCH($C69,'교육원 ③ 통장·카드'!$A$5:$A$11,0)),"③ 통장·카드에 없는 결제수단입니다",IF($D69="","계정과목을 고르십시오",IF($E69="※없는 과목","④ 설정에 없는 과목입니다",IF(AND($E69="수입",$J69&gt;0),"수입 과목인데 지출에 적혔습니다",IF(AND(LEFT($E69,2)&lt;&gt;"수입",$E69&lt;&gt;"대체",$I69&gt;0),"지출 과목인데 수입에 적혔습니다",IF($K69="","증빙을 고르십시오",IF($H69="","적요를 적으십시오","")))))))))))</f>
        <v/>
      </c>
      <c r="M69" s="39"/>
      <c r="O69" s="11" t="str">
        <f aca="false">IF($B69="","",YEAR($B69)*100+MONTH($B69))</f>
        <v/>
      </c>
      <c r="P69" s="11" t="str">
        <f aca="false">IF($B69="","",IF($E69="대체",0,1))</f>
        <v/>
      </c>
    </row>
    <row r="70" customFormat="false" ht="15" hidden="false" customHeight="false" outlineLevel="0" collapsed="false">
      <c r="A70" s="36" t="str">
        <f aca="false">IF($B70="","",COUNT($B$15:$B70))</f>
        <v/>
      </c>
      <c r="B70" s="37"/>
      <c r="C70" s="38"/>
      <c r="D70" s="20"/>
      <c r="E70" s="36" t="str">
        <f aca="false">IF($D70="","",IFERROR(INDEX('교육원 ④ 설정'!$A$6:$A$40,MATCH($D70,'교육원 ④ 설정'!$B$6:$B$40,0)),"※없는 과목"))</f>
        <v/>
      </c>
      <c r="F70" s="36" t="str">
        <f aca="false">IF($D70="","",IFERROR(INDEX('교육원 ④ 설정'!$C$6:$C$40,MATCH($D70,'교육원 ④ 설정'!$B$6:$B$40,0)),""))</f>
        <v/>
      </c>
      <c r="G70" s="39"/>
      <c r="H70" s="39"/>
      <c r="I70" s="40"/>
      <c r="J70" s="41"/>
      <c r="K70" s="38"/>
      <c r="L70" s="42" t="str">
        <f aca="false">IF($B70="","",IF(AND(N($I70)=0,N($J70)=0),"금액이 없습니다",IF(AND($I70&gt;0,$J70&gt;0),"수입·지출 둘 다 적혔습니다",IF($C70="","결제수단을 고르십시오",IF(ISNA(MATCH($C70,'교육원 ③ 통장·카드'!$A$5:$A$11,0)),"③ 통장·카드에 없는 결제수단입니다",IF($D70="","계정과목을 고르십시오",IF($E70="※없는 과목","④ 설정에 없는 과목입니다",IF(AND($E70="수입",$J70&gt;0),"수입 과목인데 지출에 적혔습니다",IF(AND(LEFT($E70,2)&lt;&gt;"수입",$E70&lt;&gt;"대체",$I70&gt;0),"지출 과목인데 수입에 적혔습니다",IF($K70="","증빙을 고르십시오",IF($H70="","적요를 적으십시오","")))))))))))</f>
        <v/>
      </c>
      <c r="M70" s="39"/>
      <c r="O70" s="11" t="str">
        <f aca="false">IF($B70="","",YEAR($B70)*100+MONTH($B70))</f>
        <v/>
      </c>
      <c r="P70" s="11" t="str">
        <f aca="false">IF($B70="","",IF($E70="대체",0,1))</f>
        <v/>
      </c>
    </row>
    <row r="71" customFormat="false" ht="15" hidden="false" customHeight="false" outlineLevel="0" collapsed="false">
      <c r="A71" s="36" t="str">
        <f aca="false">IF($B71="","",COUNT($B$15:$B71))</f>
        <v/>
      </c>
      <c r="B71" s="37"/>
      <c r="C71" s="38"/>
      <c r="D71" s="20"/>
      <c r="E71" s="36" t="str">
        <f aca="false">IF($D71="","",IFERROR(INDEX('교육원 ④ 설정'!$A$6:$A$40,MATCH($D71,'교육원 ④ 설정'!$B$6:$B$40,0)),"※없는 과목"))</f>
        <v/>
      </c>
      <c r="F71" s="36" t="str">
        <f aca="false">IF($D71="","",IFERROR(INDEX('교육원 ④ 설정'!$C$6:$C$40,MATCH($D71,'교육원 ④ 설정'!$B$6:$B$40,0)),""))</f>
        <v/>
      </c>
      <c r="G71" s="39"/>
      <c r="H71" s="39"/>
      <c r="I71" s="40"/>
      <c r="J71" s="41"/>
      <c r="K71" s="38"/>
      <c r="L71" s="42" t="str">
        <f aca="false">IF($B71="","",IF(AND(N($I71)=0,N($J71)=0),"금액이 없습니다",IF(AND($I71&gt;0,$J71&gt;0),"수입·지출 둘 다 적혔습니다",IF($C71="","결제수단을 고르십시오",IF(ISNA(MATCH($C71,'교육원 ③ 통장·카드'!$A$5:$A$11,0)),"③ 통장·카드에 없는 결제수단입니다",IF($D71="","계정과목을 고르십시오",IF($E71="※없는 과목","④ 설정에 없는 과목입니다",IF(AND($E71="수입",$J71&gt;0),"수입 과목인데 지출에 적혔습니다",IF(AND(LEFT($E71,2)&lt;&gt;"수입",$E71&lt;&gt;"대체",$I71&gt;0),"지출 과목인데 수입에 적혔습니다",IF($K71="","증빙을 고르십시오",IF($H71="","적요를 적으십시오","")))))))))))</f>
        <v/>
      </c>
      <c r="M71" s="39"/>
      <c r="O71" s="11" t="str">
        <f aca="false">IF($B71="","",YEAR($B71)*100+MONTH($B71))</f>
        <v/>
      </c>
      <c r="P71" s="11" t="str">
        <f aca="false">IF($B71="","",IF($E71="대체",0,1))</f>
        <v/>
      </c>
    </row>
    <row r="72" customFormat="false" ht="15" hidden="false" customHeight="false" outlineLevel="0" collapsed="false">
      <c r="A72" s="36" t="str">
        <f aca="false">IF($B72="","",COUNT($B$15:$B72))</f>
        <v/>
      </c>
      <c r="B72" s="37"/>
      <c r="C72" s="38"/>
      <c r="D72" s="20"/>
      <c r="E72" s="36" t="str">
        <f aca="false">IF($D72="","",IFERROR(INDEX('교육원 ④ 설정'!$A$6:$A$40,MATCH($D72,'교육원 ④ 설정'!$B$6:$B$40,0)),"※없는 과목"))</f>
        <v/>
      </c>
      <c r="F72" s="36" t="str">
        <f aca="false">IF($D72="","",IFERROR(INDEX('교육원 ④ 설정'!$C$6:$C$40,MATCH($D72,'교육원 ④ 설정'!$B$6:$B$40,0)),""))</f>
        <v/>
      </c>
      <c r="G72" s="39"/>
      <c r="H72" s="39"/>
      <c r="I72" s="40"/>
      <c r="J72" s="41"/>
      <c r="K72" s="38"/>
      <c r="L72" s="42" t="str">
        <f aca="false">IF($B72="","",IF(AND(N($I72)=0,N($J72)=0),"금액이 없습니다",IF(AND($I72&gt;0,$J72&gt;0),"수입·지출 둘 다 적혔습니다",IF($C72="","결제수단을 고르십시오",IF(ISNA(MATCH($C72,'교육원 ③ 통장·카드'!$A$5:$A$11,0)),"③ 통장·카드에 없는 결제수단입니다",IF($D72="","계정과목을 고르십시오",IF($E72="※없는 과목","④ 설정에 없는 과목입니다",IF(AND($E72="수입",$J72&gt;0),"수입 과목인데 지출에 적혔습니다",IF(AND(LEFT($E72,2)&lt;&gt;"수입",$E72&lt;&gt;"대체",$I72&gt;0),"지출 과목인데 수입에 적혔습니다",IF($K72="","증빙을 고르십시오",IF($H72="","적요를 적으십시오","")))))))))))</f>
        <v/>
      </c>
      <c r="M72" s="39"/>
      <c r="O72" s="11" t="str">
        <f aca="false">IF($B72="","",YEAR($B72)*100+MONTH($B72))</f>
        <v/>
      </c>
      <c r="P72" s="11" t="str">
        <f aca="false">IF($B72="","",IF($E72="대체",0,1))</f>
        <v/>
      </c>
    </row>
    <row r="73" customFormat="false" ht="15" hidden="false" customHeight="false" outlineLevel="0" collapsed="false">
      <c r="A73" s="36" t="str">
        <f aca="false">IF($B73="","",COUNT($B$15:$B73))</f>
        <v/>
      </c>
      <c r="B73" s="37"/>
      <c r="C73" s="38"/>
      <c r="D73" s="20"/>
      <c r="E73" s="36" t="str">
        <f aca="false">IF($D73="","",IFERROR(INDEX('교육원 ④ 설정'!$A$6:$A$40,MATCH($D73,'교육원 ④ 설정'!$B$6:$B$40,0)),"※없는 과목"))</f>
        <v/>
      </c>
      <c r="F73" s="36" t="str">
        <f aca="false">IF($D73="","",IFERROR(INDEX('교육원 ④ 설정'!$C$6:$C$40,MATCH($D73,'교육원 ④ 설정'!$B$6:$B$40,0)),""))</f>
        <v/>
      </c>
      <c r="G73" s="39"/>
      <c r="H73" s="39"/>
      <c r="I73" s="40"/>
      <c r="J73" s="41"/>
      <c r="K73" s="38"/>
      <c r="L73" s="42" t="str">
        <f aca="false">IF($B73="","",IF(AND(N($I73)=0,N($J73)=0),"금액이 없습니다",IF(AND($I73&gt;0,$J73&gt;0),"수입·지출 둘 다 적혔습니다",IF($C73="","결제수단을 고르십시오",IF(ISNA(MATCH($C73,'교육원 ③ 통장·카드'!$A$5:$A$11,0)),"③ 통장·카드에 없는 결제수단입니다",IF($D73="","계정과목을 고르십시오",IF($E73="※없는 과목","④ 설정에 없는 과목입니다",IF(AND($E73="수입",$J73&gt;0),"수입 과목인데 지출에 적혔습니다",IF(AND(LEFT($E73,2)&lt;&gt;"수입",$E73&lt;&gt;"대체",$I73&gt;0),"지출 과목인데 수입에 적혔습니다",IF($K73="","증빙을 고르십시오",IF($H73="","적요를 적으십시오","")))))))))))</f>
        <v/>
      </c>
      <c r="M73" s="39"/>
      <c r="O73" s="11" t="str">
        <f aca="false">IF($B73="","",YEAR($B73)*100+MONTH($B73))</f>
        <v/>
      </c>
      <c r="P73" s="11" t="str">
        <f aca="false">IF($B73="","",IF($E73="대체",0,1))</f>
        <v/>
      </c>
    </row>
    <row r="74" customFormat="false" ht="15" hidden="false" customHeight="false" outlineLevel="0" collapsed="false">
      <c r="A74" s="36" t="str">
        <f aca="false">IF($B74="","",COUNT($B$15:$B74))</f>
        <v/>
      </c>
      <c r="B74" s="37"/>
      <c r="C74" s="38"/>
      <c r="D74" s="20"/>
      <c r="E74" s="36" t="str">
        <f aca="false">IF($D74="","",IFERROR(INDEX('교육원 ④ 설정'!$A$6:$A$40,MATCH($D74,'교육원 ④ 설정'!$B$6:$B$40,0)),"※없는 과목"))</f>
        <v/>
      </c>
      <c r="F74" s="36" t="str">
        <f aca="false">IF($D74="","",IFERROR(INDEX('교육원 ④ 설정'!$C$6:$C$40,MATCH($D74,'교육원 ④ 설정'!$B$6:$B$40,0)),""))</f>
        <v/>
      </c>
      <c r="G74" s="39"/>
      <c r="H74" s="39"/>
      <c r="I74" s="40"/>
      <c r="J74" s="41"/>
      <c r="K74" s="38"/>
      <c r="L74" s="42" t="str">
        <f aca="false">IF($B74="","",IF(AND(N($I74)=0,N($J74)=0),"금액이 없습니다",IF(AND($I74&gt;0,$J74&gt;0),"수입·지출 둘 다 적혔습니다",IF($C74="","결제수단을 고르십시오",IF(ISNA(MATCH($C74,'교육원 ③ 통장·카드'!$A$5:$A$11,0)),"③ 통장·카드에 없는 결제수단입니다",IF($D74="","계정과목을 고르십시오",IF($E74="※없는 과목","④ 설정에 없는 과목입니다",IF(AND($E74="수입",$J74&gt;0),"수입 과목인데 지출에 적혔습니다",IF(AND(LEFT($E74,2)&lt;&gt;"수입",$E74&lt;&gt;"대체",$I74&gt;0),"지출 과목인데 수입에 적혔습니다",IF($K74="","증빙을 고르십시오",IF($H74="","적요를 적으십시오","")))))))))))</f>
        <v/>
      </c>
      <c r="M74" s="39"/>
      <c r="O74" s="11" t="str">
        <f aca="false">IF($B74="","",YEAR($B74)*100+MONTH($B74))</f>
        <v/>
      </c>
      <c r="P74" s="11" t="str">
        <f aca="false">IF($B74="","",IF($E74="대체",0,1))</f>
        <v/>
      </c>
    </row>
    <row r="75" customFormat="false" ht="15" hidden="false" customHeight="false" outlineLevel="0" collapsed="false">
      <c r="A75" s="36" t="str">
        <f aca="false">IF($B75="","",COUNT($B$15:$B75))</f>
        <v/>
      </c>
      <c r="B75" s="37"/>
      <c r="C75" s="38"/>
      <c r="D75" s="20"/>
      <c r="E75" s="36" t="str">
        <f aca="false">IF($D75="","",IFERROR(INDEX('교육원 ④ 설정'!$A$6:$A$40,MATCH($D75,'교육원 ④ 설정'!$B$6:$B$40,0)),"※없는 과목"))</f>
        <v/>
      </c>
      <c r="F75" s="36" t="str">
        <f aca="false">IF($D75="","",IFERROR(INDEX('교육원 ④ 설정'!$C$6:$C$40,MATCH($D75,'교육원 ④ 설정'!$B$6:$B$40,0)),""))</f>
        <v/>
      </c>
      <c r="G75" s="39"/>
      <c r="H75" s="39"/>
      <c r="I75" s="40"/>
      <c r="J75" s="41"/>
      <c r="K75" s="38"/>
      <c r="L75" s="42" t="str">
        <f aca="false">IF($B75="","",IF(AND(N($I75)=0,N($J75)=0),"금액이 없습니다",IF(AND($I75&gt;0,$J75&gt;0),"수입·지출 둘 다 적혔습니다",IF($C75="","결제수단을 고르십시오",IF(ISNA(MATCH($C75,'교육원 ③ 통장·카드'!$A$5:$A$11,0)),"③ 통장·카드에 없는 결제수단입니다",IF($D75="","계정과목을 고르십시오",IF($E75="※없는 과목","④ 설정에 없는 과목입니다",IF(AND($E75="수입",$J75&gt;0),"수입 과목인데 지출에 적혔습니다",IF(AND(LEFT($E75,2)&lt;&gt;"수입",$E75&lt;&gt;"대체",$I75&gt;0),"지출 과목인데 수입에 적혔습니다",IF($K75="","증빙을 고르십시오",IF($H75="","적요를 적으십시오","")))))))))))</f>
        <v/>
      </c>
      <c r="M75" s="39"/>
      <c r="O75" s="11" t="str">
        <f aca="false">IF($B75="","",YEAR($B75)*100+MONTH($B75))</f>
        <v/>
      </c>
      <c r="P75" s="11" t="str">
        <f aca="false">IF($B75="","",IF($E75="대체",0,1))</f>
        <v/>
      </c>
    </row>
    <row r="76" customFormat="false" ht="15" hidden="false" customHeight="false" outlineLevel="0" collapsed="false">
      <c r="A76" s="36" t="str">
        <f aca="false">IF($B76="","",COUNT($B$15:$B76))</f>
        <v/>
      </c>
      <c r="B76" s="37"/>
      <c r="C76" s="38"/>
      <c r="D76" s="20"/>
      <c r="E76" s="36" t="str">
        <f aca="false">IF($D76="","",IFERROR(INDEX('교육원 ④ 설정'!$A$6:$A$40,MATCH($D76,'교육원 ④ 설정'!$B$6:$B$40,0)),"※없는 과목"))</f>
        <v/>
      </c>
      <c r="F76" s="36" t="str">
        <f aca="false">IF($D76="","",IFERROR(INDEX('교육원 ④ 설정'!$C$6:$C$40,MATCH($D76,'교육원 ④ 설정'!$B$6:$B$40,0)),""))</f>
        <v/>
      </c>
      <c r="G76" s="39"/>
      <c r="H76" s="39"/>
      <c r="I76" s="40"/>
      <c r="J76" s="41"/>
      <c r="K76" s="38"/>
      <c r="L76" s="42" t="str">
        <f aca="false">IF($B76="","",IF(AND(N($I76)=0,N($J76)=0),"금액이 없습니다",IF(AND($I76&gt;0,$J76&gt;0),"수입·지출 둘 다 적혔습니다",IF($C76="","결제수단을 고르십시오",IF(ISNA(MATCH($C76,'교육원 ③ 통장·카드'!$A$5:$A$11,0)),"③ 통장·카드에 없는 결제수단입니다",IF($D76="","계정과목을 고르십시오",IF($E76="※없는 과목","④ 설정에 없는 과목입니다",IF(AND($E76="수입",$J76&gt;0),"수입 과목인데 지출에 적혔습니다",IF(AND(LEFT($E76,2)&lt;&gt;"수입",$E76&lt;&gt;"대체",$I76&gt;0),"지출 과목인데 수입에 적혔습니다",IF($K76="","증빙을 고르십시오",IF($H76="","적요를 적으십시오","")))))))))))</f>
        <v/>
      </c>
      <c r="M76" s="39"/>
      <c r="O76" s="11" t="str">
        <f aca="false">IF($B76="","",YEAR($B76)*100+MONTH($B76))</f>
        <v/>
      </c>
      <c r="P76" s="11" t="str">
        <f aca="false">IF($B76="","",IF($E76="대체",0,1))</f>
        <v/>
      </c>
    </row>
    <row r="77" customFormat="false" ht="15" hidden="false" customHeight="false" outlineLevel="0" collapsed="false">
      <c r="A77" s="36" t="str">
        <f aca="false">IF($B77="","",COUNT($B$15:$B77))</f>
        <v/>
      </c>
      <c r="B77" s="37"/>
      <c r="C77" s="38"/>
      <c r="D77" s="20"/>
      <c r="E77" s="36" t="str">
        <f aca="false">IF($D77="","",IFERROR(INDEX('교육원 ④ 설정'!$A$6:$A$40,MATCH($D77,'교육원 ④ 설정'!$B$6:$B$40,0)),"※없는 과목"))</f>
        <v/>
      </c>
      <c r="F77" s="36" t="str">
        <f aca="false">IF($D77="","",IFERROR(INDEX('교육원 ④ 설정'!$C$6:$C$40,MATCH($D77,'교육원 ④ 설정'!$B$6:$B$40,0)),""))</f>
        <v/>
      </c>
      <c r="G77" s="39"/>
      <c r="H77" s="39"/>
      <c r="I77" s="40"/>
      <c r="J77" s="41"/>
      <c r="K77" s="38"/>
      <c r="L77" s="42" t="str">
        <f aca="false">IF($B77="","",IF(AND(N($I77)=0,N($J77)=0),"금액이 없습니다",IF(AND($I77&gt;0,$J77&gt;0),"수입·지출 둘 다 적혔습니다",IF($C77="","결제수단을 고르십시오",IF(ISNA(MATCH($C77,'교육원 ③ 통장·카드'!$A$5:$A$11,0)),"③ 통장·카드에 없는 결제수단입니다",IF($D77="","계정과목을 고르십시오",IF($E77="※없는 과목","④ 설정에 없는 과목입니다",IF(AND($E77="수입",$J77&gt;0),"수입 과목인데 지출에 적혔습니다",IF(AND(LEFT($E77,2)&lt;&gt;"수입",$E77&lt;&gt;"대체",$I77&gt;0),"지출 과목인데 수입에 적혔습니다",IF($K77="","증빙을 고르십시오",IF($H77="","적요를 적으십시오","")))))))))))</f>
        <v/>
      </c>
      <c r="M77" s="39"/>
      <c r="O77" s="11" t="str">
        <f aca="false">IF($B77="","",YEAR($B77)*100+MONTH($B77))</f>
        <v/>
      </c>
      <c r="P77" s="11" t="str">
        <f aca="false">IF($B77="","",IF($E77="대체",0,1))</f>
        <v/>
      </c>
    </row>
    <row r="78" customFormat="false" ht="15" hidden="false" customHeight="false" outlineLevel="0" collapsed="false">
      <c r="A78" s="36" t="str">
        <f aca="false">IF($B78="","",COUNT($B$15:$B78))</f>
        <v/>
      </c>
      <c r="B78" s="37"/>
      <c r="C78" s="38"/>
      <c r="D78" s="20"/>
      <c r="E78" s="36" t="str">
        <f aca="false">IF($D78="","",IFERROR(INDEX('교육원 ④ 설정'!$A$6:$A$40,MATCH($D78,'교육원 ④ 설정'!$B$6:$B$40,0)),"※없는 과목"))</f>
        <v/>
      </c>
      <c r="F78" s="36" t="str">
        <f aca="false">IF($D78="","",IFERROR(INDEX('교육원 ④ 설정'!$C$6:$C$40,MATCH($D78,'교육원 ④ 설정'!$B$6:$B$40,0)),""))</f>
        <v/>
      </c>
      <c r="G78" s="39"/>
      <c r="H78" s="39"/>
      <c r="I78" s="40"/>
      <c r="J78" s="41"/>
      <c r="K78" s="38"/>
      <c r="L78" s="42" t="str">
        <f aca="false">IF($B78="","",IF(AND(N($I78)=0,N($J78)=0),"금액이 없습니다",IF(AND($I78&gt;0,$J78&gt;0),"수입·지출 둘 다 적혔습니다",IF($C78="","결제수단을 고르십시오",IF(ISNA(MATCH($C78,'교육원 ③ 통장·카드'!$A$5:$A$11,0)),"③ 통장·카드에 없는 결제수단입니다",IF($D78="","계정과목을 고르십시오",IF($E78="※없는 과목","④ 설정에 없는 과목입니다",IF(AND($E78="수입",$J78&gt;0),"수입 과목인데 지출에 적혔습니다",IF(AND(LEFT($E78,2)&lt;&gt;"수입",$E78&lt;&gt;"대체",$I78&gt;0),"지출 과목인데 수입에 적혔습니다",IF($K78="","증빙을 고르십시오",IF($H78="","적요를 적으십시오","")))))))))))</f>
        <v/>
      </c>
      <c r="M78" s="39"/>
      <c r="O78" s="11" t="str">
        <f aca="false">IF($B78="","",YEAR($B78)*100+MONTH($B78))</f>
        <v/>
      </c>
      <c r="P78" s="11" t="str">
        <f aca="false">IF($B78="","",IF($E78="대체",0,1))</f>
        <v/>
      </c>
    </row>
    <row r="79" customFormat="false" ht="15" hidden="false" customHeight="false" outlineLevel="0" collapsed="false">
      <c r="A79" s="36" t="str">
        <f aca="false">IF($B79="","",COUNT($B$15:$B79))</f>
        <v/>
      </c>
      <c r="B79" s="37"/>
      <c r="C79" s="38"/>
      <c r="D79" s="20"/>
      <c r="E79" s="36" t="str">
        <f aca="false">IF($D79="","",IFERROR(INDEX('교육원 ④ 설정'!$A$6:$A$40,MATCH($D79,'교육원 ④ 설정'!$B$6:$B$40,0)),"※없는 과목"))</f>
        <v/>
      </c>
      <c r="F79" s="36" t="str">
        <f aca="false">IF($D79="","",IFERROR(INDEX('교육원 ④ 설정'!$C$6:$C$40,MATCH($D79,'교육원 ④ 설정'!$B$6:$B$40,0)),""))</f>
        <v/>
      </c>
      <c r="G79" s="39"/>
      <c r="H79" s="39"/>
      <c r="I79" s="40"/>
      <c r="J79" s="41"/>
      <c r="K79" s="38"/>
      <c r="L79" s="42" t="str">
        <f aca="false">IF($B79="","",IF(AND(N($I79)=0,N($J79)=0),"금액이 없습니다",IF(AND($I79&gt;0,$J79&gt;0),"수입·지출 둘 다 적혔습니다",IF($C79="","결제수단을 고르십시오",IF(ISNA(MATCH($C79,'교육원 ③ 통장·카드'!$A$5:$A$11,0)),"③ 통장·카드에 없는 결제수단입니다",IF($D79="","계정과목을 고르십시오",IF($E79="※없는 과목","④ 설정에 없는 과목입니다",IF(AND($E79="수입",$J79&gt;0),"수입 과목인데 지출에 적혔습니다",IF(AND(LEFT($E79,2)&lt;&gt;"수입",$E79&lt;&gt;"대체",$I79&gt;0),"지출 과목인데 수입에 적혔습니다",IF($K79="","증빙을 고르십시오",IF($H79="","적요를 적으십시오","")))))))))))</f>
        <v/>
      </c>
      <c r="M79" s="39"/>
      <c r="O79" s="11" t="str">
        <f aca="false">IF($B79="","",YEAR($B79)*100+MONTH($B79))</f>
        <v/>
      </c>
      <c r="P79" s="11" t="str">
        <f aca="false">IF($B79="","",IF($E79="대체",0,1))</f>
        <v/>
      </c>
    </row>
    <row r="80" customFormat="false" ht="15" hidden="false" customHeight="false" outlineLevel="0" collapsed="false">
      <c r="A80" s="36" t="str">
        <f aca="false">IF($B80="","",COUNT($B$15:$B80))</f>
        <v/>
      </c>
      <c r="B80" s="37"/>
      <c r="C80" s="38"/>
      <c r="D80" s="20"/>
      <c r="E80" s="36" t="str">
        <f aca="false">IF($D80="","",IFERROR(INDEX('교육원 ④ 설정'!$A$6:$A$40,MATCH($D80,'교육원 ④ 설정'!$B$6:$B$40,0)),"※없는 과목"))</f>
        <v/>
      </c>
      <c r="F80" s="36" t="str">
        <f aca="false">IF($D80="","",IFERROR(INDEX('교육원 ④ 설정'!$C$6:$C$40,MATCH($D80,'교육원 ④ 설정'!$B$6:$B$40,0)),""))</f>
        <v/>
      </c>
      <c r="G80" s="39"/>
      <c r="H80" s="39"/>
      <c r="I80" s="40"/>
      <c r="J80" s="41"/>
      <c r="K80" s="38"/>
      <c r="L80" s="42" t="str">
        <f aca="false">IF($B80="","",IF(AND(N($I80)=0,N($J80)=0),"금액이 없습니다",IF(AND($I80&gt;0,$J80&gt;0),"수입·지출 둘 다 적혔습니다",IF($C80="","결제수단을 고르십시오",IF(ISNA(MATCH($C80,'교육원 ③ 통장·카드'!$A$5:$A$11,0)),"③ 통장·카드에 없는 결제수단입니다",IF($D80="","계정과목을 고르십시오",IF($E80="※없는 과목","④ 설정에 없는 과목입니다",IF(AND($E80="수입",$J80&gt;0),"수입 과목인데 지출에 적혔습니다",IF(AND(LEFT($E80,2)&lt;&gt;"수입",$E80&lt;&gt;"대체",$I80&gt;0),"지출 과목인데 수입에 적혔습니다",IF($K80="","증빙을 고르십시오",IF($H80="","적요를 적으십시오","")))))))))))</f>
        <v/>
      </c>
      <c r="M80" s="39"/>
      <c r="O80" s="11" t="str">
        <f aca="false">IF($B80="","",YEAR($B80)*100+MONTH($B80))</f>
        <v/>
      </c>
      <c r="P80" s="11" t="str">
        <f aca="false">IF($B80="","",IF($E80="대체",0,1))</f>
        <v/>
      </c>
    </row>
    <row r="81" customFormat="false" ht="15" hidden="false" customHeight="false" outlineLevel="0" collapsed="false">
      <c r="A81" s="36" t="str">
        <f aca="false">IF($B81="","",COUNT($B$15:$B81))</f>
        <v/>
      </c>
      <c r="B81" s="37"/>
      <c r="C81" s="38"/>
      <c r="D81" s="20"/>
      <c r="E81" s="36" t="str">
        <f aca="false">IF($D81="","",IFERROR(INDEX('교육원 ④ 설정'!$A$6:$A$40,MATCH($D81,'교육원 ④ 설정'!$B$6:$B$40,0)),"※없는 과목"))</f>
        <v/>
      </c>
      <c r="F81" s="36" t="str">
        <f aca="false">IF($D81="","",IFERROR(INDEX('교육원 ④ 설정'!$C$6:$C$40,MATCH($D81,'교육원 ④ 설정'!$B$6:$B$40,0)),""))</f>
        <v/>
      </c>
      <c r="G81" s="39"/>
      <c r="H81" s="39"/>
      <c r="I81" s="40"/>
      <c r="J81" s="41"/>
      <c r="K81" s="38"/>
      <c r="L81" s="42" t="str">
        <f aca="false">IF($B81="","",IF(AND(N($I81)=0,N($J81)=0),"금액이 없습니다",IF(AND($I81&gt;0,$J81&gt;0),"수입·지출 둘 다 적혔습니다",IF($C81="","결제수단을 고르십시오",IF(ISNA(MATCH($C81,'교육원 ③ 통장·카드'!$A$5:$A$11,0)),"③ 통장·카드에 없는 결제수단입니다",IF($D81="","계정과목을 고르십시오",IF($E81="※없는 과목","④ 설정에 없는 과목입니다",IF(AND($E81="수입",$J81&gt;0),"수입 과목인데 지출에 적혔습니다",IF(AND(LEFT($E81,2)&lt;&gt;"수입",$E81&lt;&gt;"대체",$I81&gt;0),"지출 과목인데 수입에 적혔습니다",IF($K81="","증빙을 고르십시오",IF($H81="","적요를 적으십시오","")))))))))))</f>
        <v/>
      </c>
      <c r="M81" s="39"/>
      <c r="O81" s="11" t="str">
        <f aca="false">IF($B81="","",YEAR($B81)*100+MONTH($B81))</f>
        <v/>
      </c>
      <c r="P81" s="11" t="str">
        <f aca="false">IF($B81="","",IF($E81="대체",0,1))</f>
        <v/>
      </c>
    </row>
    <row r="82" customFormat="false" ht="15" hidden="false" customHeight="false" outlineLevel="0" collapsed="false">
      <c r="A82" s="36" t="str">
        <f aca="false">IF($B82="","",COUNT($B$15:$B82))</f>
        <v/>
      </c>
      <c r="B82" s="37"/>
      <c r="C82" s="38"/>
      <c r="D82" s="20"/>
      <c r="E82" s="36" t="str">
        <f aca="false">IF($D82="","",IFERROR(INDEX('교육원 ④ 설정'!$A$6:$A$40,MATCH($D82,'교육원 ④ 설정'!$B$6:$B$40,0)),"※없는 과목"))</f>
        <v/>
      </c>
      <c r="F82" s="36" t="str">
        <f aca="false">IF($D82="","",IFERROR(INDEX('교육원 ④ 설정'!$C$6:$C$40,MATCH($D82,'교육원 ④ 설정'!$B$6:$B$40,0)),""))</f>
        <v/>
      </c>
      <c r="G82" s="39"/>
      <c r="H82" s="39"/>
      <c r="I82" s="40"/>
      <c r="J82" s="41"/>
      <c r="K82" s="38"/>
      <c r="L82" s="42" t="str">
        <f aca="false">IF($B82="","",IF(AND(N($I82)=0,N($J82)=0),"금액이 없습니다",IF(AND($I82&gt;0,$J82&gt;0),"수입·지출 둘 다 적혔습니다",IF($C82="","결제수단을 고르십시오",IF(ISNA(MATCH($C82,'교육원 ③ 통장·카드'!$A$5:$A$11,0)),"③ 통장·카드에 없는 결제수단입니다",IF($D82="","계정과목을 고르십시오",IF($E82="※없는 과목","④ 설정에 없는 과목입니다",IF(AND($E82="수입",$J82&gt;0),"수입 과목인데 지출에 적혔습니다",IF(AND(LEFT($E82,2)&lt;&gt;"수입",$E82&lt;&gt;"대체",$I82&gt;0),"지출 과목인데 수입에 적혔습니다",IF($K82="","증빙을 고르십시오",IF($H82="","적요를 적으십시오","")))))))))))</f>
        <v/>
      </c>
      <c r="M82" s="39"/>
      <c r="O82" s="11" t="str">
        <f aca="false">IF($B82="","",YEAR($B82)*100+MONTH($B82))</f>
        <v/>
      </c>
      <c r="P82" s="11" t="str">
        <f aca="false">IF($B82="","",IF($E82="대체",0,1))</f>
        <v/>
      </c>
    </row>
    <row r="83" customFormat="false" ht="15" hidden="false" customHeight="false" outlineLevel="0" collapsed="false">
      <c r="A83" s="36" t="str">
        <f aca="false">IF($B83="","",COUNT($B$15:$B83))</f>
        <v/>
      </c>
      <c r="B83" s="37"/>
      <c r="C83" s="38"/>
      <c r="D83" s="20"/>
      <c r="E83" s="36" t="str">
        <f aca="false">IF($D83="","",IFERROR(INDEX('교육원 ④ 설정'!$A$6:$A$40,MATCH($D83,'교육원 ④ 설정'!$B$6:$B$40,0)),"※없는 과목"))</f>
        <v/>
      </c>
      <c r="F83" s="36" t="str">
        <f aca="false">IF($D83="","",IFERROR(INDEX('교육원 ④ 설정'!$C$6:$C$40,MATCH($D83,'교육원 ④ 설정'!$B$6:$B$40,0)),""))</f>
        <v/>
      </c>
      <c r="G83" s="39"/>
      <c r="H83" s="39"/>
      <c r="I83" s="40"/>
      <c r="J83" s="41"/>
      <c r="K83" s="38"/>
      <c r="L83" s="42" t="str">
        <f aca="false">IF($B83="","",IF(AND(N($I83)=0,N($J83)=0),"금액이 없습니다",IF(AND($I83&gt;0,$J83&gt;0),"수입·지출 둘 다 적혔습니다",IF($C83="","결제수단을 고르십시오",IF(ISNA(MATCH($C83,'교육원 ③ 통장·카드'!$A$5:$A$11,0)),"③ 통장·카드에 없는 결제수단입니다",IF($D83="","계정과목을 고르십시오",IF($E83="※없는 과목","④ 설정에 없는 과목입니다",IF(AND($E83="수입",$J83&gt;0),"수입 과목인데 지출에 적혔습니다",IF(AND(LEFT($E83,2)&lt;&gt;"수입",$E83&lt;&gt;"대체",$I83&gt;0),"지출 과목인데 수입에 적혔습니다",IF($K83="","증빙을 고르십시오",IF($H83="","적요를 적으십시오","")))))))))))</f>
        <v/>
      </c>
      <c r="M83" s="39"/>
      <c r="O83" s="11" t="str">
        <f aca="false">IF($B83="","",YEAR($B83)*100+MONTH($B83))</f>
        <v/>
      </c>
      <c r="P83" s="11" t="str">
        <f aca="false">IF($B83="","",IF($E83="대체",0,1))</f>
        <v/>
      </c>
    </row>
    <row r="84" customFormat="false" ht="15" hidden="false" customHeight="false" outlineLevel="0" collapsed="false">
      <c r="A84" s="36" t="str">
        <f aca="false">IF($B84="","",COUNT($B$15:$B84))</f>
        <v/>
      </c>
      <c r="B84" s="37"/>
      <c r="C84" s="38"/>
      <c r="D84" s="20"/>
      <c r="E84" s="36" t="str">
        <f aca="false">IF($D84="","",IFERROR(INDEX('교육원 ④ 설정'!$A$6:$A$40,MATCH($D84,'교육원 ④ 설정'!$B$6:$B$40,0)),"※없는 과목"))</f>
        <v/>
      </c>
      <c r="F84" s="36" t="str">
        <f aca="false">IF($D84="","",IFERROR(INDEX('교육원 ④ 설정'!$C$6:$C$40,MATCH($D84,'교육원 ④ 설정'!$B$6:$B$40,0)),""))</f>
        <v/>
      </c>
      <c r="G84" s="39"/>
      <c r="H84" s="39"/>
      <c r="I84" s="40"/>
      <c r="J84" s="41"/>
      <c r="K84" s="38"/>
      <c r="L84" s="42" t="str">
        <f aca="false">IF($B84="","",IF(AND(N($I84)=0,N($J84)=0),"금액이 없습니다",IF(AND($I84&gt;0,$J84&gt;0),"수입·지출 둘 다 적혔습니다",IF($C84="","결제수단을 고르십시오",IF(ISNA(MATCH($C84,'교육원 ③ 통장·카드'!$A$5:$A$11,0)),"③ 통장·카드에 없는 결제수단입니다",IF($D84="","계정과목을 고르십시오",IF($E84="※없는 과목","④ 설정에 없는 과목입니다",IF(AND($E84="수입",$J84&gt;0),"수입 과목인데 지출에 적혔습니다",IF(AND(LEFT($E84,2)&lt;&gt;"수입",$E84&lt;&gt;"대체",$I84&gt;0),"지출 과목인데 수입에 적혔습니다",IF($K84="","증빙을 고르십시오",IF($H84="","적요를 적으십시오","")))))))))))</f>
        <v/>
      </c>
      <c r="M84" s="39"/>
      <c r="O84" s="11" t="str">
        <f aca="false">IF($B84="","",YEAR($B84)*100+MONTH($B84))</f>
        <v/>
      </c>
      <c r="P84" s="11" t="str">
        <f aca="false">IF($B84="","",IF($E84="대체",0,1))</f>
        <v/>
      </c>
    </row>
    <row r="85" customFormat="false" ht="15" hidden="false" customHeight="false" outlineLevel="0" collapsed="false">
      <c r="A85" s="36" t="str">
        <f aca="false">IF($B85="","",COUNT($B$15:$B85))</f>
        <v/>
      </c>
      <c r="B85" s="37"/>
      <c r="C85" s="38"/>
      <c r="D85" s="20"/>
      <c r="E85" s="36" t="str">
        <f aca="false">IF($D85="","",IFERROR(INDEX('교육원 ④ 설정'!$A$6:$A$40,MATCH($D85,'교육원 ④ 설정'!$B$6:$B$40,0)),"※없는 과목"))</f>
        <v/>
      </c>
      <c r="F85" s="36" t="str">
        <f aca="false">IF($D85="","",IFERROR(INDEX('교육원 ④ 설정'!$C$6:$C$40,MATCH($D85,'교육원 ④ 설정'!$B$6:$B$40,0)),""))</f>
        <v/>
      </c>
      <c r="G85" s="39"/>
      <c r="H85" s="39"/>
      <c r="I85" s="40"/>
      <c r="J85" s="41"/>
      <c r="K85" s="38"/>
      <c r="L85" s="42" t="str">
        <f aca="false">IF($B85="","",IF(AND(N($I85)=0,N($J85)=0),"금액이 없습니다",IF(AND($I85&gt;0,$J85&gt;0),"수입·지출 둘 다 적혔습니다",IF($C85="","결제수단을 고르십시오",IF(ISNA(MATCH($C85,'교육원 ③ 통장·카드'!$A$5:$A$11,0)),"③ 통장·카드에 없는 결제수단입니다",IF($D85="","계정과목을 고르십시오",IF($E85="※없는 과목","④ 설정에 없는 과목입니다",IF(AND($E85="수입",$J85&gt;0),"수입 과목인데 지출에 적혔습니다",IF(AND(LEFT($E85,2)&lt;&gt;"수입",$E85&lt;&gt;"대체",$I85&gt;0),"지출 과목인데 수입에 적혔습니다",IF($K85="","증빙을 고르십시오",IF($H85="","적요를 적으십시오","")))))))))))</f>
        <v/>
      </c>
      <c r="M85" s="39"/>
      <c r="O85" s="11" t="str">
        <f aca="false">IF($B85="","",YEAR($B85)*100+MONTH($B85))</f>
        <v/>
      </c>
      <c r="P85" s="11" t="str">
        <f aca="false">IF($B85="","",IF($E85="대체",0,1))</f>
        <v/>
      </c>
    </row>
    <row r="86" customFormat="false" ht="15" hidden="false" customHeight="false" outlineLevel="0" collapsed="false">
      <c r="A86" s="36" t="str">
        <f aca="false">IF($B86="","",COUNT($B$15:$B86))</f>
        <v/>
      </c>
      <c r="B86" s="37"/>
      <c r="C86" s="38"/>
      <c r="D86" s="20"/>
      <c r="E86" s="36" t="str">
        <f aca="false">IF($D86="","",IFERROR(INDEX('교육원 ④ 설정'!$A$6:$A$40,MATCH($D86,'교육원 ④ 설정'!$B$6:$B$40,0)),"※없는 과목"))</f>
        <v/>
      </c>
      <c r="F86" s="36" t="str">
        <f aca="false">IF($D86="","",IFERROR(INDEX('교육원 ④ 설정'!$C$6:$C$40,MATCH($D86,'교육원 ④ 설정'!$B$6:$B$40,0)),""))</f>
        <v/>
      </c>
      <c r="G86" s="39"/>
      <c r="H86" s="39"/>
      <c r="I86" s="40"/>
      <c r="J86" s="41"/>
      <c r="K86" s="38"/>
      <c r="L86" s="42" t="str">
        <f aca="false">IF($B86="","",IF(AND(N($I86)=0,N($J86)=0),"금액이 없습니다",IF(AND($I86&gt;0,$J86&gt;0),"수입·지출 둘 다 적혔습니다",IF($C86="","결제수단을 고르십시오",IF(ISNA(MATCH($C86,'교육원 ③ 통장·카드'!$A$5:$A$11,0)),"③ 통장·카드에 없는 결제수단입니다",IF($D86="","계정과목을 고르십시오",IF($E86="※없는 과목","④ 설정에 없는 과목입니다",IF(AND($E86="수입",$J86&gt;0),"수입 과목인데 지출에 적혔습니다",IF(AND(LEFT($E86,2)&lt;&gt;"수입",$E86&lt;&gt;"대체",$I86&gt;0),"지출 과목인데 수입에 적혔습니다",IF($K86="","증빙을 고르십시오",IF($H86="","적요를 적으십시오","")))))))))))</f>
        <v/>
      </c>
      <c r="M86" s="39"/>
      <c r="O86" s="11" t="str">
        <f aca="false">IF($B86="","",YEAR($B86)*100+MONTH($B86))</f>
        <v/>
      </c>
      <c r="P86" s="11" t="str">
        <f aca="false">IF($B86="","",IF($E86="대체",0,1))</f>
        <v/>
      </c>
    </row>
    <row r="87" customFormat="false" ht="15" hidden="false" customHeight="false" outlineLevel="0" collapsed="false">
      <c r="A87" s="36" t="str">
        <f aca="false">IF($B87="","",COUNT($B$15:$B87))</f>
        <v/>
      </c>
      <c r="B87" s="37"/>
      <c r="C87" s="38"/>
      <c r="D87" s="20"/>
      <c r="E87" s="36" t="str">
        <f aca="false">IF($D87="","",IFERROR(INDEX('교육원 ④ 설정'!$A$6:$A$40,MATCH($D87,'교육원 ④ 설정'!$B$6:$B$40,0)),"※없는 과목"))</f>
        <v/>
      </c>
      <c r="F87" s="36" t="str">
        <f aca="false">IF($D87="","",IFERROR(INDEX('교육원 ④ 설정'!$C$6:$C$40,MATCH($D87,'교육원 ④ 설정'!$B$6:$B$40,0)),""))</f>
        <v/>
      </c>
      <c r="G87" s="39"/>
      <c r="H87" s="39"/>
      <c r="I87" s="40"/>
      <c r="J87" s="41"/>
      <c r="K87" s="38"/>
      <c r="L87" s="42" t="str">
        <f aca="false">IF($B87="","",IF(AND(N($I87)=0,N($J87)=0),"금액이 없습니다",IF(AND($I87&gt;0,$J87&gt;0),"수입·지출 둘 다 적혔습니다",IF($C87="","결제수단을 고르십시오",IF(ISNA(MATCH($C87,'교육원 ③ 통장·카드'!$A$5:$A$11,0)),"③ 통장·카드에 없는 결제수단입니다",IF($D87="","계정과목을 고르십시오",IF($E87="※없는 과목","④ 설정에 없는 과목입니다",IF(AND($E87="수입",$J87&gt;0),"수입 과목인데 지출에 적혔습니다",IF(AND(LEFT($E87,2)&lt;&gt;"수입",$E87&lt;&gt;"대체",$I87&gt;0),"지출 과목인데 수입에 적혔습니다",IF($K87="","증빙을 고르십시오",IF($H87="","적요를 적으십시오","")))))))))))</f>
        <v/>
      </c>
      <c r="M87" s="39"/>
      <c r="O87" s="11" t="str">
        <f aca="false">IF($B87="","",YEAR($B87)*100+MONTH($B87))</f>
        <v/>
      </c>
      <c r="P87" s="11" t="str">
        <f aca="false">IF($B87="","",IF($E87="대체",0,1))</f>
        <v/>
      </c>
    </row>
    <row r="88" customFormat="false" ht="15" hidden="false" customHeight="false" outlineLevel="0" collapsed="false">
      <c r="A88" s="36" t="str">
        <f aca="false">IF($B88="","",COUNT($B$15:$B88))</f>
        <v/>
      </c>
      <c r="B88" s="37"/>
      <c r="C88" s="38"/>
      <c r="D88" s="20"/>
      <c r="E88" s="36" t="str">
        <f aca="false">IF($D88="","",IFERROR(INDEX('교육원 ④ 설정'!$A$6:$A$40,MATCH($D88,'교육원 ④ 설정'!$B$6:$B$40,0)),"※없는 과목"))</f>
        <v/>
      </c>
      <c r="F88" s="36" t="str">
        <f aca="false">IF($D88="","",IFERROR(INDEX('교육원 ④ 설정'!$C$6:$C$40,MATCH($D88,'교육원 ④ 설정'!$B$6:$B$40,0)),""))</f>
        <v/>
      </c>
      <c r="G88" s="39"/>
      <c r="H88" s="39"/>
      <c r="I88" s="40"/>
      <c r="J88" s="41"/>
      <c r="K88" s="38"/>
      <c r="L88" s="42" t="str">
        <f aca="false">IF($B88="","",IF(AND(N($I88)=0,N($J88)=0),"금액이 없습니다",IF(AND($I88&gt;0,$J88&gt;0),"수입·지출 둘 다 적혔습니다",IF($C88="","결제수단을 고르십시오",IF(ISNA(MATCH($C88,'교육원 ③ 통장·카드'!$A$5:$A$11,0)),"③ 통장·카드에 없는 결제수단입니다",IF($D88="","계정과목을 고르십시오",IF($E88="※없는 과목","④ 설정에 없는 과목입니다",IF(AND($E88="수입",$J88&gt;0),"수입 과목인데 지출에 적혔습니다",IF(AND(LEFT($E88,2)&lt;&gt;"수입",$E88&lt;&gt;"대체",$I88&gt;0),"지출 과목인데 수입에 적혔습니다",IF($K88="","증빙을 고르십시오",IF($H88="","적요를 적으십시오","")))))))))))</f>
        <v/>
      </c>
      <c r="M88" s="39"/>
      <c r="O88" s="11" t="str">
        <f aca="false">IF($B88="","",YEAR($B88)*100+MONTH($B88))</f>
        <v/>
      </c>
      <c r="P88" s="11" t="str">
        <f aca="false">IF($B88="","",IF($E88="대체",0,1))</f>
        <v/>
      </c>
    </row>
    <row r="89" customFormat="false" ht="15" hidden="false" customHeight="false" outlineLevel="0" collapsed="false">
      <c r="A89" s="36" t="str">
        <f aca="false">IF($B89="","",COUNT($B$15:$B89))</f>
        <v/>
      </c>
      <c r="B89" s="37"/>
      <c r="C89" s="38"/>
      <c r="D89" s="20"/>
      <c r="E89" s="36" t="str">
        <f aca="false">IF($D89="","",IFERROR(INDEX('교육원 ④ 설정'!$A$6:$A$40,MATCH($D89,'교육원 ④ 설정'!$B$6:$B$40,0)),"※없는 과목"))</f>
        <v/>
      </c>
      <c r="F89" s="36" t="str">
        <f aca="false">IF($D89="","",IFERROR(INDEX('교육원 ④ 설정'!$C$6:$C$40,MATCH($D89,'교육원 ④ 설정'!$B$6:$B$40,0)),""))</f>
        <v/>
      </c>
      <c r="G89" s="39"/>
      <c r="H89" s="39"/>
      <c r="I89" s="40"/>
      <c r="J89" s="41"/>
      <c r="K89" s="38"/>
      <c r="L89" s="42" t="str">
        <f aca="false">IF($B89="","",IF(AND(N($I89)=0,N($J89)=0),"금액이 없습니다",IF(AND($I89&gt;0,$J89&gt;0),"수입·지출 둘 다 적혔습니다",IF($C89="","결제수단을 고르십시오",IF(ISNA(MATCH($C89,'교육원 ③ 통장·카드'!$A$5:$A$11,0)),"③ 통장·카드에 없는 결제수단입니다",IF($D89="","계정과목을 고르십시오",IF($E89="※없는 과목","④ 설정에 없는 과목입니다",IF(AND($E89="수입",$J89&gt;0),"수입 과목인데 지출에 적혔습니다",IF(AND(LEFT($E89,2)&lt;&gt;"수입",$E89&lt;&gt;"대체",$I89&gt;0),"지출 과목인데 수입에 적혔습니다",IF($K89="","증빙을 고르십시오",IF($H89="","적요를 적으십시오","")))))))))))</f>
        <v/>
      </c>
      <c r="M89" s="39"/>
      <c r="O89" s="11" t="str">
        <f aca="false">IF($B89="","",YEAR($B89)*100+MONTH($B89))</f>
        <v/>
      </c>
      <c r="P89" s="11" t="str">
        <f aca="false">IF($B89="","",IF($E89="대체",0,1))</f>
        <v/>
      </c>
    </row>
    <row r="90" customFormat="false" ht="15" hidden="false" customHeight="false" outlineLevel="0" collapsed="false">
      <c r="A90" s="36" t="str">
        <f aca="false">IF($B90="","",COUNT($B$15:$B90))</f>
        <v/>
      </c>
      <c r="B90" s="37"/>
      <c r="C90" s="38"/>
      <c r="D90" s="20"/>
      <c r="E90" s="36" t="str">
        <f aca="false">IF($D90="","",IFERROR(INDEX('교육원 ④ 설정'!$A$6:$A$40,MATCH($D90,'교육원 ④ 설정'!$B$6:$B$40,0)),"※없는 과목"))</f>
        <v/>
      </c>
      <c r="F90" s="36" t="str">
        <f aca="false">IF($D90="","",IFERROR(INDEX('교육원 ④ 설정'!$C$6:$C$40,MATCH($D90,'교육원 ④ 설정'!$B$6:$B$40,0)),""))</f>
        <v/>
      </c>
      <c r="G90" s="39"/>
      <c r="H90" s="39"/>
      <c r="I90" s="40"/>
      <c r="J90" s="41"/>
      <c r="K90" s="38"/>
      <c r="L90" s="42" t="str">
        <f aca="false">IF($B90="","",IF(AND(N($I90)=0,N($J90)=0),"금액이 없습니다",IF(AND($I90&gt;0,$J90&gt;0),"수입·지출 둘 다 적혔습니다",IF($C90="","결제수단을 고르십시오",IF(ISNA(MATCH($C90,'교육원 ③ 통장·카드'!$A$5:$A$11,0)),"③ 통장·카드에 없는 결제수단입니다",IF($D90="","계정과목을 고르십시오",IF($E90="※없는 과목","④ 설정에 없는 과목입니다",IF(AND($E90="수입",$J90&gt;0),"수입 과목인데 지출에 적혔습니다",IF(AND(LEFT($E90,2)&lt;&gt;"수입",$E90&lt;&gt;"대체",$I90&gt;0),"지출 과목인데 수입에 적혔습니다",IF($K90="","증빙을 고르십시오",IF($H90="","적요를 적으십시오","")))))))))))</f>
        <v/>
      </c>
      <c r="M90" s="39"/>
      <c r="O90" s="11" t="str">
        <f aca="false">IF($B90="","",YEAR($B90)*100+MONTH($B90))</f>
        <v/>
      </c>
      <c r="P90" s="11" t="str">
        <f aca="false">IF($B90="","",IF($E90="대체",0,1))</f>
        <v/>
      </c>
    </row>
    <row r="91" customFormat="false" ht="15" hidden="false" customHeight="false" outlineLevel="0" collapsed="false">
      <c r="A91" s="36" t="str">
        <f aca="false">IF($B91="","",COUNT($B$15:$B91))</f>
        <v/>
      </c>
      <c r="B91" s="37"/>
      <c r="C91" s="38"/>
      <c r="D91" s="20"/>
      <c r="E91" s="36" t="str">
        <f aca="false">IF($D91="","",IFERROR(INDEX('교육원 ④ 설정'!$A$6:$A$40,MATCH($D91,'교육원 ④ 설정'!$B$6:$B$40,0)),"※없는 과목"))</f>
        <v/>
      </c>
      <c r="F91" s="36" t="str">
        <f aca="false">IF($D91="","",IFERROR(INDEX('교육원 ④ 설정'!$C$6:$C$40,MATCH($D91,'교육원 ④ 설정'!$B$6:$B$40,0)),""))</f>
        <v/>
      </c>
      <c r="G91" s="39"/>
      <c r="H91" s="39"/>
      <c r="I91" s="40"/>
      <c r="J91" s="41"/>
      <c r="K91" s="38"/>
      <c r="L91" s="42" t="str">
        <f aca="false">IF($B91="","",IF(AND(N($I91)=0,N($J91)=0),"금액이 없습니다",IF(AND($I91&gt;0,$J91&gt;0),"수입·지출 둘 다 적혔습니다",IF($C91="","결제수단을 고르십시오",IF(ISNA(MATCH($C91,'교육원 ③ 통장·카드'!$A$5:$A$11,0)),"③ 통장·카드에 없는 결제수단입니다",IF($D91="","계정과목을 고르십시오",IF($E91="※없는 과목","④ 설정에 없는 과목입니다",IF(AND($E91="수입",$J91&gt;0),"수입 과목인데 지출에 적혔습니다",IF(AND(LEFT($E91,2)&lt;&gt;"수입",$E91&lt;&gt;"대체",$I91&gt;0),"지출 과목인데 수입에 적혔습니다",IF($K91="","증빙을 고르십시오",IF($H91="","적요를 적으십시오","")))))))))))</f>
        <v/>
      </c>
      <c r="M91" s="39"/>
      <c r="O91" s="11" t="str">
        <f aca="false">IF($B91="","",YEAR($B91)*100+MONTH($B91))</f>
        <v/>
      </c>
      <c r="P91" s="11" t="str">
        <f aca="false">IF($B91="","",IF($E91="대체",0,1))</f>
        <v/>
      </c>
    </row>
    <row r="92" customFormat="false" ht="15" hidden="false" customHeight="false" outlineLevel="0" collapsed="false">
      <c r="A92" s="36" t="str">
        <f aca="false">IF($B92="","",COUNT($B$15:$B92))</f>
        <v/>
      </c>
      <c r="B92" s="37"/>
      <c r="C92" s="38"/>
      <c r="D92" s="20"/>
      <c r="E92" s="36" t="str">
        <f aca="false">IF($D92="","",IFERROR(INDEX('교육원 ④ 설정'!$A$6:$A$40,MATCH($D92,'교육원 ④ 설정'!$B$6:$B$40,0)),"※없는 과목"))</f>
        <v/>
      </c>
      <c r="F92" s="36" t="str">
        <f aca="false">IF($D92="","",IFERROR(INDEX('교육원 ④ 설정'!$C$6:$C$40,MATCH($D92,'교육원 ④ 설정'!$B$6:$B$40,0)),""))</f>
        <v/>
      </c>
      <c r="G92" s="39"/>
      <c r="H92" s="39"/>
      <c r="I92" s="40"/>
      <c r="J92" s="41"/>
      <c r="K92" s="38"/>
      <c r="L92" s="42" t="str">
        <f aca="false">IF($B92="","",IF(AND(N($I92)=0,N($J92)=0),"금액이 없습니다",IF(AND($I92&gt;0,$J92&gt;0),"수입·지출 둘 다 적혔습니다",IF($C92="","결제수단을 고르십시오",IF(ISNA(MATCH($C92,'교육원 ③ 통장·카드'!$A$5:$A$11,0)),"③ 통장·카드에 없는 결제수단입니다",IF($D92="","계정과목을 고르십시오",IF($E92="※없는 과목","④ 설정에 없는 과목입니다",IF(AND($E92="수입",$J92&gt;0),"수입 과목인데 지출에 적혔습니다",IF(AND(LEFT($E92,2)&lt;&gt;"수입",$E92&lt;&gt;"대체",$I92&gt;0),"지출 과목인데 수입에 적혔습니다",IF($K92="","증빙을 고르십시오",IF($H92="","적요를 적으십시오","")))))))))))</f>
        <v/>
      </c>
      <c r="M92" s="39"/>
      <c r="O92" s="11" t="str">
        <f aca="false">IF($B92="","",YEAR($B92)*100+MONTH($B92))</f>
        <v/>
      </c>
      <c r="P92" s="11" t="str">
        <f aca="false">IF($B92="","",IF($E92="대체",0,1))</f>
        <v/>
      </c>
    </row>
    <row r="93" customFormat="false" ht="15" hidden="false" customHeight="false" outlineLevel="0" collapsed="false">
      <c r="A93" s="36" t="str">
        <f aca="false">IF($B93="","",COUNT($B$15:$B93))</f>
        <v/>
      </c>
      <c r="B93" s="37"/>
      <c r="C93" s="38"/>
      <c r="D93" s="20"/>
      <c r="E93" s="36" t="str">
        <f aca="false">IF($D93="","",IFERROR(INDEX('교육원 ④ 설정'!$A$6:$A$40,MATCH($D93,'교육원 ④ 설정'!$B$6:$B$40,0)),"※없는 과목"))</f>
        <v/>
      </c>
      <c r="F93" s="36" t="str">
        <f aca="false">IF($D93="","",IFERROR(INDEX('교육원 ④ 설정'!$C$6:$C$40,MATCH($D93,'교육원 ④ 설정'!$B$6:$B$40,0)),""))</f>
        <v/>
      </c>
      <c r="G93" s="39"/>
      <c r="H93" s="39"/>
      <c r="I93" s="40"/>
      <c r="J93" s="41"/>
      <c r="K93" s="38"/>
      <c r="L93" s="42" t="str">
        <f aca="false">IF($B93="","",IF(AND(N($I93)=0,N($J93)=0),"금액이 없습니다",IF(AND($I93&gt;0,$J93&gt;0),"수입·지출 둘 다 적혔습니다",IF($C93="","결제수단을 고르십시오",IF(ISNA(MATCH($C93,'교육원 ③ 통장·카드'!$A$5:$A$11,0)),"③ 통장·카드에 없는 결제수단입니다",IF($D93="","계정과목을 고르십시오",IF($E93="※없는 과목","④ 설정에 없는 과목입니다",IF(AND($E93="수입",$J93&gt;0),"수입 과목인데 지출에 적혔습니다",IF(AND(LEFT($E93,2)&lt;&gt;"수입",$E93&lt;&gt;"대체",$I93&gt;0),"지출 과목인데 수입에 적혔습니다",IF($K93="","증빙을 고르십시오",IF($H93="","적요를 적으십시오","")))))))))))</f>
        <v/>
      </c>
      <c r="M93" s="39"/>
      <c r="O93" s="11" t="str">
        <f aca="false">IF($B93="","",YEAR($B93)*100+MONTH($B93))</f>
        <v/>
      </c>
      <c r="P93" s="11" t="str">
        <f aca="false">IF($B93="","",IF($E93="대체",0,1))</f>
        <v/>
      </c>
    </row>
    <row r="94" customFormat="false" ht="15" hidden="false" customHeight="false" outlineLevel="0" collapsed="false">
      <c r="A94" s="36" t="str">
        <f aca="false">IF($B94="","",COUNT($B$15:$B94))</f>
        <v/>
      </c>
      <c r="B94" s="37"/>
      <c r="C94" s="38"/>
      <c r="D94" s="20"/>
      <c r="E94" s="36" t="str">
        <f aca="false">IF($D94="","",IFERROR(INDEX('교육원 ④ 설정'!$A$6:$A$40,MATCH($D94,'교육원 ④ 설정'!$B$6:$B$40,0)),"※없는 과목"))</f>
        <v/>
      </c>
      <c r="F94" s="36" t="str">
        <f aca="false">IF($D94="","",IFERROR(INDEX('교육원 ④ 설정'!$C$6:$C$40,MATCH($D94,'교육원 ④ 설정'!$B$6:$B$40,0)),""))</f>
        <v/>
      </c>
      <c r="G94" s="39"/>
      <c r="H94" s="39"/>
      <c r="I94" s="40"/>
      <c r="J94" s="41"/>
      <c r="K94" s="38"/>
      <c r="L94" s="42" t="str">
        <f aca="false">IF($B94="","",IF(AND(N($I94)=0,N($J94)=0),"금액이 없습니다",IF(AND($I94&gt;0,$J94&gt;0),"수입·지출 둘 다 적혔습니다",IF($C94="","결제수단을 고르십시오",IF(ISNA(MATCH($C94,'교육원 ③ 통장·카드'!$A$5:$A$11,0)),"③ 통장·카드에 없는 결제수단입니다",IF($D94="","계정과목을 고르십시오",IF($E94="※없는 과목","④ 설정에 없는 과목입니다",IF(AND($E94="수입",$J94&gt;0),"수입 과목인데 지출에 적혔습니다",IF(AND(LEFT($E94,2)&lt;&gt;"수입",$E94&lt;&gt;"대체",$I94&gt;0),"지출 과목인데 수입에 적혔습니다",IF($K94="","증빙을 고르십시오",IF($H94="","적요를 적으십시오","")))))))))))</f>
        <v/>
      </c>
      <c r="M94" s="39"/>
      <c r="O94" s="11" t="str">
        <f aca="false">IF($B94="","",YEAR($B94)*100+MONTH($B94))</f>
        <v/>
      </c>
      <c r="P94" s="11" t="str">
        <f aca="false">IF($B94="","",IF($E94="대체",0,1))</f>
        <v/>
      </c>
    </row>
    <row r="95" customFormat="false" ht="15" hidden="false" customHeight="false" outlineLevel="0" collapsed="false">
      <c r="A95" s="36" t="str">
        <f aca="false">IF($B95="","",COUNT($B$15:$B95))</f>
        <v/>
      </c>
      <c r="B95" s="37"/>
      <c r="C95" s="38"/>
      <c r="D95" s="20"/>
      <c r="E95" s="36" t="str">
        <f aca="false">IF($D95="","",IFERROR(INDEX('교육원 ④ 설정'!$A$6:$A$40,MATCH($D95,'교육원 ④ 설정'!$B$6:$B$40,0)),"※없는 과목"))</f>
        <v/>
      </c>
      <c r="F95" s="36" t="str">
        <f aca="false">IF($D95="","",IFERROR(INDEX('교육원 ④ 설정'!$C$6:$C$40,MATCH($D95,'교육원 ④ 설정'!$B$6:$B$40,0)),""))</f>
        <v/>
      </c>
      <c r="G95" s="39"/>
      <c r="H95" s="39"/>
      <c r="I95" s="40"/>
      <c r="J95" s="41"/>
      <c r="K95" s="38"/>
      <c r="L95" s="42" t="str">
        <f aca="false">IF($B95="","",IF(AND(N($I95)=0,N($J95)=0),"금액이 없습니다",IF(AND($I95&gt;0,$J95&gt;0),"수입·지출 둘 다 적혔습니다",IF($C95="","결제수단을 고르십시오",IF(ISNA(MATCH($C95,'교육원 ③ 통장·카드'!$A$5:$A$11,0)),"③ 통장·카드에 없는 결제수단입니다",IF($D95="","계정과목을 고르십시오",IF($E95="※없는 과목","④ 설정에 없는 과목입니다",IF(AND($E95="수입",$J95&gt;0),"수입 과목인데 지출에 적혔습니다",IF(AND(LEFT($E95,2)&lt;&gt;"수입",$E95&lt;&gt;"대체",$I95&gt;0),"지출 과목인데 수입에 적혔습니다",IF($K95="","증빙을 고르십시오",IF($H95="","적요를 적으십시오","")))))))))))</f>
        <v/>
      </c>
      <c r="M95" s="39"/>
      <c r="O95" s="11" t="str">
        <f aca="false">IF($B95="","",YEAR($B95)*100+MONTH($B95))</f>
        <v/>
      </c>
      <c r="P95" s="11" t="str">
        <f aca="false">IF($B95="","",IF($E95="대체",0,1))</f>
        <v/>
      </c>
    </row>
    <row r="96" customFormat="false" ht="15" hidden="false" customHeight="false" outlineLevel="0" collapsed="false">
      <c r="A96" s="36" t="str">
        <f aca="false">IF($B96="","",COUNT($B$15:$B96))</f>
        <v/>
      </c>
      <c r="B96" s="37"/>
      <c r="C96" s="38"/>
      <c r="D96" s="20"/>
      <c r="E96" s="36" t="str">
        <f aca="false">IF($D96="","",IFERROR(INDEX('교육원 ④ 설정'!$A$6:$A$40,MATCH($D96,'교육원 ④ 설정'!$B$6:$B$40,0)),"※없는 과목"))</f>
        <v/>
      </c>
      <c r="F96" s="36" t="str">
        <f aca="false">IF($D96="","",IFERROR(INDEX('교육원 ④ 설정'!$C$6:$C$40,MATCH($D96,'교육원 ④ 설정'!$B$6:$B$40,0)),""))</f>
        <v/>
      </c>
      <c r="G96" s="39"/>
      <c r="H96" s="39"/>
      <c r="I96" s="40"/>
      <c r="J96" s="41"/>
      <c r="K96" s="38"/>
      <c r="L96" s="42" t="str">
        <f aca="false">IF($B96="","",IF(AND(N($I96)=0,N($J96)=0),"금액이 없습니다",IF(AND($I96&gt;0,$J96&gt;0),"수입·지출 둘 다 적혔습니다",IF($C96="","결제수단을 고르십시오",IF(ISNA(MATCH($C96,'교육원 ③ 통장·카드'!$A$5:$A$11,0)),"③ 통장·카드에 없는 결제수단입니다",IF($D96="","계정과목을 고르십시오",IF($E96="※없는 과목","④ 설정에 없는 과목입니다",IF(AND($E96="수입",$J96&gt;0),"수입 과목인데 지출에 적혔습니다",IF(AND(LEFT($E96,2)&lt;&gt;"수입",$E96&lt;&gt;"대체",$I96&gt;0),"지출 과목인데 수입에 적혔습니다",IF($K96="","증빙을 고르십시오",IF($H96="","적요를 적으십시오","")))))))))))</f>
        <v/>
      </c>
      <c r="M96" s="39"/>
      <c r="O96" s="11" t="str">
        <f aca="false">IF($B96="","",YEAR($B96)*100+MONTH($B96))</f>
        <v/>
      </c>
      <c r="P96" s="11" t="str">
        <f aca="false">IF($B96="","",IF($E96="대체",0,1))</f>
        <v/>
      </c>
    </row>
    <row r="97" customFormat="false" ht="15" hidden="false" customHeight="false" outlineLevel="0" collapsed="false">
      <c r="A97" s="36" t="str">
        <f aca="false">IF($B97="","",COUNT($B$15:$B97))</f>
        <v/>
      </c>
      <c r="B97" s="37"/>
      <c r="C97" s="38"/>
      <c r="D97" s="20"/>
      <c r="E97" s="36" t="str">
        <f aca="false">IF($D97="","",IFERROR(INDEX('교육원 ④ 설정'!$A$6:$A$40,MATCH($D97,'교육원 ④ 설정'!$B$6:$B$40,0)),"※없는 과목"))</f>
        <v/>
      </c>
      <c r="F97" s="36" t="str">
        <f aca="false">IF($D97="","",IFERROR(INDEX('교육원 ④ 설정'!$C$6:$C$40,MATCH($D97,'교육원 ④ 설정'!$B$6:$B$40,0)),""))</f>
        <v/>
      </c>
      <c r="G97" s="39"/>
      <c r="H97" s="39"/>
      <c r="I97" s="40"/>
      <c r="J97" s="41"/>
      <c r="K97" s="38"/>
      <c r="L97" s="42" t="str">
        <f aca="false">IF($B97="","",IF(AND(N($I97)=0,N($J97)=0),"금액이 없습니다",IF(AND($I97&gt;0,$J97&gt;0),"수입·지출 둘 다 적혔습니다",IF($C97="","결제수단을 고르십시오",IF(ISNA(MATCH($C97,'교육원 ③ 통장·카드'!$A$5:$A$11,0)),"③ 통장·카드에 없는 결제수단입니다",IF($D97="","계정과목을 고르십시오",IF($E97="※없는 과목","④ 설정에 없는 과목입니다",IF(AND($E97="수입",$J97&gt;0),"수입 과목인데 지출에 적혔습니다",IF(AND(LEFT($E97,2)&lt;&gt;"수입",$E97&lt;&gt;"대체",$I97&gt;0),"지출 과목인데 수입에 적혔습니다",IF($K97="","증빙을 고르십시오",IF($H97="","적요를 적으십시오","")))))))))))</f>
        <v/>
      </c>
      <c r="M97" s="39"/>
      <c r="O97" s="11" t="str">
        <f aca="false">IF($B97="","",YEAR($B97)*100+MONTH($B97))</f>
        <v/>
      </c>
      <c r="P97" s="11" t="str">
        <f aca="false">IF($B97="","",IF($E97="대체",0,1))</f>
        <v/>
      </c>
    </row>
    <row r="98" customFormat="false" ht="15" hidden="false" customHeight="false" outlineLevel="0" collapsed="false">
      <c r="A98" s="36" t="str">
        <f aca="false">IF($B98="","",COUNT($B$15:$B98))</f>
        <v/>
      </c>
      <c r="B98" s="37"/>
      <c r="C98" s="38"/>
      <c r="D98" s="20"/>
      <c r="E98" s="36" t="str">
        <f aca="false">IF($D98="","",IFERROR(INDEX('교육원 ④ 설정'!$A$6:$A$40,MATCH($D98,'교육원 ④ 설정'!$B$6:$B$40,0)),"※없는 과목"))</f>
        <v/>
      </c>
      <c r="F98" s="36" t="str">
        <f aca="false">IF($D98="","",IFERROR(INDEX('교육원 ④ 설정'!$C$6:$C$40,MATCH($D98,'교육원 ④ 설정'!$B$6:$B$40,0)),""))</f>
        <v/>
      </c>
      <c r="G98" s="39"/>
      <c r="H98" s="39"/>
      <c r="I98" s="40"/>
      <c r="J98" s="41"/>
      <c r="K98" s="38"/>
      <c r="L98" s="42" t="str">
        <f aca="false">IF($B98="","",IF(AND(N($I98)=0,N($J98)=0),"금액이 없습니다",IF(AND($I98&gt;0,$J98&gt;0),"수입·지출 둘 다 적혔습니다",IF($C98="","결제수단을 고르십시오",IF(ISNA(MATCH($C98,'교육원 ③ 통장·카드'!$A$5:$A$11,0)),"③ 통장·카드에 없는 결제수단입니다",IF($D98="","계정과목을 고르십시오",IF($E98="※없는 과목","④ 설정에 없는 과목입니다",IF(AND($E98="수입",$J98&gt;0),"수입 과목인데 지출에 적혔습니다",IF(AND(LEFT($E98,2)&lt;&gt;"수입",$E98&lt;&gt;"대체",$I98&gt;0),"지출 과목인데 수입에 적혔습니다",IF($K98="","증빙을 고르십시오",IF($H98="","적요를 적으십시오","")))))))))))</f>
        <v/>
      </c>
      <c r="M98" s="39"/>
      <c r="O98" s="11" t="str">
        <f aca="false">IF($B98="","",YEAR($B98)*100+MONTH($B98))</f>
        <v/>
      </c>
      <c r="P98" s="11" t="str">
        <f aca="false">IF($B98="","",IF($E98="대체",0,1))</f>
        <v/>
      </c>
    </row>
    <row r="99" customFormat="false" ht="15" hidden="false" customHeight="false" outlineLevel="0" collapsed="false">
      <c r="A99" s="36" t="str">
        <f aca="false">IF($B99="","",COUNT($B$15:$B99))</f>
        <v/>
      </c>
      <c r="B99" s="37"/>
      <c r="C99" s="38"/>
      <c r="D99" s="20"/>
      <c r="E99" s="36" t="str">
        <f aca="false">IF($D99="","",IFERROR(INDEX('교육원 ④ 설정'!$A$6:$A$40,MATCH($D99,'교육원 ④ 설정'!$B$6:$B$40,0)),"※없는 과목"))</f>
        <v/>
      </c>
      <c r="F99" s="36" t="str">
        <f aca="false">IF($D99="","",IFERROR(INDEX('교육원 ④ 설정'!$C$6:$C$40,MATCH($D99,'교육원 ④ 설정'!$B$6:$B$40,0)),""))</f>
        <v/>
      </c>
      <c r="G99" s="39"/>
      <c r="H99" s="39"/>
      <c r="I99" s="40"/>
      <c r="J99" s="41"/>
      <c r="K99" s="38"/>
      <c r="L99" s="42" t="str">
        <f aca="false">IF($B99="","",IF(AND(N($I99)=0,N($J99)=0),"금액이 없습니다",IF(AND($I99&gt;0,$J99&gt;0),"수입·지출 둘 다 적혔습니다",IF($C99="","결제수단을 고르십시오",IF(ISNA(MATCH($C99,'교육원 ③ 통장·카드'!$A$5:$A$11,0)),"③ 통장·카드에 없는 결제수단입니다",IF($D99="","계정과목을 고르십시오",IF($E99="※없는 과목","④ 설정에 없는 과목입니다",IF(AND($E99="수입",$J99&gt;0),"수입 과목인데 지출에 적혔습니다",IF(AND(LEFT($E99,2)&lt;&gt;"수입",$E99&lt;&gt;"대체",$I99&gt;0),"지출 과목인데 수입에 적혔습니다",IF($K99="","증빙을 고르십시오",IF($H99="","적요를 적으십시오","")))))))))))</f>
        <v/>
      </c>
      <c r="M99" s="39"/>
      <c r="O99" s="11" t="str">
        <f aca="false">IF($B99="","",YEAR($B99)*100+MONTH($B99))</f>
        <v/>
      </c>
      <c r="P99" s="11" t="str">
        <f aca="false">IF($B99="","",IF($E99="대체",0,1))</f>
        <v/>
      </c>
    </row>
    <row r="100" customFormat="false" ht="15" hidden="false" customHeight="false" outlineLevel="0" collapsed="false">
      <c r="A100" s="36" t="str">
        <f aca="false">IF($B100="","",COUNT($B$15:$B100))</f>
        <v/>
      </c>
      <c r="B100" s="37"/>
      <c r="C100" s="38"/>
      <c r="D100" s="20"/>
      <c r="E100" s="36" t="str">
        <f aca="false">IF($D100="","",IFERROR(INDEX('교육원 ④ 설정'!$A$6:$A$40,MATCH($D100,'교육원 ④ 설정'!$B$6:$B$40,0)),"※없는 과목"))</f>
        <v/>
      </c>
      <c r="F100" s="36" t="str">
        <f aca="false">IF($D100="","",IFERROR(INDEX('교육원 ④ 설정'!$C$6:$C$40,MATCH($D100,'교육원 ④ 설정'!$B$6:$B$40,0)),""))</f>
        <v/>
      </c>
      <c r="G100" s="39"/>
      <c r="H100" s="39"/>
      <c r="I100" s="40"/>
      <c r="J100" s="41"/>
      <c r="K100" s="38"/>
      <c r="L100" s="42" t="str">
        <f aca="false">IF($B100="","",IF(AND(N($I100)=0,N($J100)=0),"금액이 없습니다",IF(AND($I100&gt;0,$J100&gt;0),"수입·지출 둘 다 적혔습니다",IF($C100="","결제수단을 고르십시오",IF(ISNA(MATCH($C100,'교육원 ③ 통장·카드'!$A$5:$A$11,0)),"③ 통장·카드에 없는 결제수단입니다",IF($D100="","계정과목을 고르십시오",IF($E100="※없는 과목","④ 설정에 없는 과목입니다",IF(AND($E100="수입",$J100&gt;0),"수입 과목인데 지출에 적혔습니다",IF(AND(LEFT($E100,2)&lt;&gt;"수입",$E100&lt;&gt;"대체",$I100&gt;0),"지출 과목인데 수입에 적혔습니다",IF($K100="","증빙을 고르십시오",IF($H100="","적요를 적으십시오","")))))))))))</f>
        <v/>
      </c>
      <c r="M100" s="39"/>
      <c r="O100" s="11" t="str">
        <f aca="false">IF($B100="","",YEAR($B100)*100+MONTH($B100))</f>
        <v/>
      </c>
      <c r="P100" s="11" t="str">
        <f aca="false">IF($B100="","",IF($E100="대체",0,1))</f>
        <v/>
      </c>
    </row>
    <row r="101" customFormat="false" ht="15" hidden="false" customHeight="false" outlineLevel="0" collapsed="false">
      <c r="A101" s="36" t="str">
        <f aca="false">IF($B101="","",COUNT($B$15:$B101))</f>
        <v/>
      </c>
      <c r="B101" s="37"/>
      <c r="C101" s="38"/>
      <c r="D101" s="20"/>
      <c r="E101" s="36" t="str">
        <f aca="false">IF($D101="","",IFERROR(INDEX('교육원 ④ 설정'!$A$6:$A$40,MATCH($D101,'교육원 ④ 설정'!$B$6:$B$40,0)),"※없는 과목"))</f>
        <v/>
      </c>
      <c r="F101" s="36" t="str">
        <f aca="false">IF($D101="","",IFERROR(INDEX('교육원 ④ 설정'!$C$6:$C$40,MATCH($D101,'교육원 ④ 설정'!$B$6:$B$40,0)),""))</f>
        <v/>
      </c>
      <c r="G101" s="39"/>
      <c r="H101" s="39"/>
      <c r="I101" s="40"/>
      <c r="J101" s="41"/>
      <c r="K101" s="38"/>
      <c r="L101" s="42" t="str">
        <f aca="false">IF($B101="","",IF(AND(N($I101)=0,N($J101)=0),"금액이 없습니다",IF(AND($I101&gt;0,$J101&gt;0),"수입·지출 둘 다 적혔습니다",IF($C101="","결제수단을 고르십시오",IF(ISNA(MATCH($C101,'교육원 ③ 통장·카드'!$A$5:$A$11,0)),"③ 통장·카드에 없는 결제수단입니다",IF($D101="","계정과목을 고르십시오",IF($E101="※없는 과목","④ 설정에 없는 과목입니다",IF(AND($E101="수입",$J101&gt;0),"수입 과목인데 지출에 적혔습니다",IF(AND(LEFT($E101,2)&lt;&gt;"수입",$E101&lt;&gt;"대체",$I101&gt;0),"지출 과목인데 수입에 적혔습니다",IF($K101="","증빙을 고르십시오",IF($H101="","적요를 적으십시오","")))))))))))</f>
        <v/>
      </c>
      <c r="M101" s="39"/>
      <c r="O101" s="11" t="str">
        <f aca="false">IF($B101="","",YEAR($B101)*100+MONTH($B101))</f>
        <v/>
      </c>
      <c r="P101" s="11" t="str">
        <f aca="false">IF($B101="","",IF($E101="대체",0,1))</f>
        <v/>
      </c>
    </row>
    <row r="102" customFormat="false" ht="15" hidden="false" customHeight="false" outlineLevel="0" collapsed="false">
      <c r="A102" s="36" t="str">
        <f aca="false">IF($B102="","",COUNT($B$15:$B102))</f>
        <v/>
      </c>
      <c r="B102" s="37"/>
      <c r="C102" s="38"/>
      <c r="D102" s="20"/>
      <c r="E102" s="36" t="str">
        <f aca="false">IF($D102="","",IFERROR(INDEX('교육원 ④ 설정'!$A$6:$A$40,MATCH($D102,'교육원 ④ 설정'!$B$6:$B$40,0)),"※없는 과목"))</f>
        <v/>
      </c>
      <c r="F102" s="36" t="str">
        <f aca="false">IF($D102="","",IFERROR(INDEX('교육원 ④ 설정'!$C$6:$C$40,MATCH($D102,'교육원 ④ 설정'!$B$6:$B$40,0)),""))</f>
        <v/>
      </c>
      <c r="G102" s="39"/>
      <c r="H102" s="39"/>
      <c r="I102" s="40"/>
      <c r="J102" s="41"/>
      <c r="K102" s="38"/>
      <c r="L102" s="42" t="str">
        <f aca="false">IF($B102="","",IF(AND(N($I102)=0,N($J102)=0),"금액이 없습니다",IF(AND($I102&gt;0,$J102&gt;0),"수입·지출 둘 다 적혔습니다",IF($C102="","결제수단을 고르십시오",IF(ISNA(MATCH($C102,'교육원 ③ 통장·카드'!$A$5:$A$11,0)),"③ 통장·카드에 없는 결제수단입니다",IF($D102="","계정과목을 고르십시오",IF($E102="※없는 과목","④ 설정에 없는 과목입니다",IF(AND($E102="수입",$J102&gt;0),"수입 과목인데 지출에 적혔습니다",IF(AND(LEFT($E102,2)&lt;&gt;"수입",$E102&lt;&gt;"대체",$I102&gt;0),"지출 과목인데 수입에 적혔습니다",IF($K102="","증빙을 고르십시오",IF($H102="","적요를 적으십시오","")))))))))))</f>
        <v/>
      </c>
      <c r="M102" s="39"/>
      <c r="O102" s="11" t="str">
        <f aca="false">IF($B102="","",YEAR($B102)*100+MONTH($B102))</f>
        <v/>
      </c>
      <c r="P102" s="11" t="str">
        <f aca="false">IF($B102="","",IF($E102="대체",0,1))</f>
        <v/>
      </c>
    </row>
    <row r="103" customFormat="false" ht="15" hidden="false" customHeight="false" outlineLevel="0" collapsed="false">
      <c r="A103" s="36" t="str">
        <f aca="false">IF($B103="","",COUNT($B$15:$B103))</f>
        <v/>
      </c>
      <c r="B103" s="37"/>
      <c r="C103" s="38"/>
      <c r="D103" s="20"/>
      <c r="E103" s="36" t="str">
        <f aca="false">IF($D103="","",IFERROR(INDEX('교육원 ④ 설정'!$A$6:$A$40,MATCH($D103,'교육원 ④ 설정'!$B$6:$B$40,0)),"※없는 과목"))</f>
        <v/>
      </c>
      <c r="F103" s="36" t="str">
        <f aca="false">IF($D103="","",IFERROR(INDEX('교육원 ④ 설정'!$C$6:$C$40,MATCH($D103,'교육원 ④ 설정'!$B$6:$B$40,0)),""))</f>
        <v/>
      </c>
      <c r="G103" s="39"/>
      <c r="H103" s="39"/>
      <c r="I103" s="40"/>
      <c r="J103" s="41"/>
      <c r="K103" s="38"/>
      <c r="L103" s="42" t="str">
        <f aca="false">IF($B103="","",IF(AND(N($I103)=0,N($J103)=0),"금액이 없습니다",IF(AND($I103&gt;0,$J103&gt;0),"수입·지출 둘 다 적혔습니다",IF($C103="","결제수단을 고르십시오",IF(ISNA(MATCH($C103,'교육원 ③ 통장·카드'!$A$5:$A$11,0)),"③ 통장·카드에 없는 결제수단입니다",IF($D103="","계정과목을 고르십시오",IF($E103="※없는 과목","④ 설정에 없는 과목입니다",IF(AND($E103="수입",$J103&gt;0),"수입 과목인데 지출에 적혔습니다",IF(AND(LEFT($E103,2)&lt;&gt;"수입",$E103&lt;&gt;"대체",$I103&gt;0),"지출 과목인데 수입에 적혔습니다",IF($K103="","증빙을 고르십시오",IF($H103="","적요를 적으십시오","")))))))))))</f>
        <v/>
      </c>
      <c r="M103" s="39"/>
      <c r="O103" s="11" t="str">
        <f aca="false">IF($B103="","",YEAR($B103)*100+MONTH($B103))</f>
        <v/>
      </c>
      <c r="P103" s="11" t="str">
        <f aca="false">IF($B103="","",IF($E103="대체",0,1))</f>
        <v/>
      </c>
    </row>
    <row r="104" customFormat="false" ht="15" hidden="false" customHeight="false" outlineLevel="0" collapsed="false">
      <c r="A104" s="36" t="str">
        <f aca="false">IF($B104="","",COUNT($B$15:$B104))</f>
        <v/>
      </c>
      <c r="B104" s="37"/>
      <c r="C104" s="38"/>
      <c r="D104" s="20"/>
      <c r="E104" s="36" t="str">
        <f aca="false">IF($D104="","",IFERROR(INDEX('교육원 ④ 설정'!$A$6:$A$40,MATCH($D104,'교육원 ④ 설정'!$B$6:$B$40,0)),"※없는 과목"))</f>
        <v/>
      </c>
      <c r="F104" s="36" t="str">
        <f aca="false">IF($D104="","",IFERROR(INDEX('교육원 ④ 설정'!$C$6:$C$40,MATCH($D104,'교육원 ④ 설정'!$B$6:$B$40,0)),""))</f>
        <v/>
      </c>
      <c r="G104" s="39"/>
      <c r="H104" s="39"/>
      <c r="I104" s="40"/>
      <c r="J104" s="41"/>
      <c r="K104" s="38"/>
      <c r="L104" s="42" t="str">
        <f aca="false">IF($B104="","",IF(AND(N($I104)=0,N($J104)=0),"금액이 없습니다",IF(AND($I104&gt;0,$J104&gt;0),"수입·지출 둘 다 적혔습니다",IF($C104="","결제수단을 고르십시오",IF(ISNA(MATCH($C104,'교육원 ③ 통장·카드'!$A$5:$A$11,0)),"③ 통장·카드에 없는 결제수단입니다",IF($D104="","계정과목을 고르십시오",IF($E104="※없는 과목","④ 설정에 없는 과목입니다",IF(AND($E104="수입",$J104&gt;0),"수입 과목인데 지출에 적혔습니다",IF(AND(LEFT($E104,2)&lt;&gt;"수입",$E104&lt;&gt;"대체",$I104&gt;0),"지출 과목인데 수입에 적혔습니다",IF($K104="","증빙을 고르십시오",IF($H104="","적요를 적으십시오","")))))))))))</f>
        <v/>
      </c>
      <c r="M104" s="39"/>
      <c r="O104" s="11" t="str">
        <f aca="false">IF($B104="","",YEAR($B104)*100+MONTH($B104))</f>
        <v/>
      </c>
      <c r="P104" s="11" t="str">
        <f aca="false">IF($B104="","",IF($E104="대체",0,1))</f>
        <v/>
      </c>
    </row>
    <row r="105" customFormat="false" ht="15" hidden="false" customHeight="false" outlineLevel="0" collapsed="false">
      <c r="A105" s="36" t="str">
        <f aca="false">IF($B105="","",COUNT($B$15:$B105))</f>
        <v/>
      </c>
      <c r="B105" s="37"/>
      <c r="C105" s="38"/>
      <c r="D105" s="20"/>
      <c r="E105" s="36" t="str">
        <f aca="false">IF($D105="","",IFERROR(INDEX('교육원 ④ 설정'!$A$6:$A$40,MATCH($D105,'교육원 ④ 설정'!$B$6:$B$40,0)),"※없는 과목"))</f>
        <v/>
      </c>
      <c r="F105" s="36" t="str">
        <f aca="false">IF($D105="","",IFERROR(INDEX('교육원 ④ 설정'!$C$6:$C$40,MATCH($D105,'교육원 ④ 설정'!$B$6:$B$40,0)),""))</f>
        <v/>
      </c>
      <c r="G105" s="39"/>
      <c r="H105" s="39"/>
      <c r="I105" s="40"/>
      <c r="J105" s="41"/>
      <c r="K105" s="38"/>
      <c r="L105" s="42" t="str">
        <f aca="false">IF($B105="","",IF(AND(N($I105)=0,N($J105)=0),"금액이 없습니다",IF(AND($I105&gt;0,$J105&gt;0),"수입·지출 둘 다 적혔습니다",IF($C105="","결제수단을 고르십시오",IF(ISNA(MATCH($C105,'교육원 ③ 통장·카드'!$A$5:$A$11,0)),"③ 통장·카드에 없는 결제수단입니다",IF($D105="","계정과목을 고르십시오",IF($E105="※없는 과목","④ 설정에 없는 과목입니다",IF(AND($E105="수입",$J105&gt;0),"수입 과목인데 지출에 적혔습니다",IF(AND(LEFT($E105,2)&lt;&gt;"수입",$E105&lt;&gt;"대체",$I105&gt;0),"지출 과목인데 수입에 적혔습니다",IF($K105="","증빙을 고르십시오",IF($H105="","적요를 적으십시오","")))))))))))</f>
        <v/>
      </c>
      <c r="M105" s="39"/>
      <c r="O105" s="11" t="str">
        <f aca="false">IF($B105="","",YEAR($B105)*100+MONTH($B105))</f>
        <v/>
      </c>
      <c r="P105" s="11" t="str">
        <f aca="false">IF($B105="","",IF($E105="대체",0,1))</f>
        <v/>
      </c>
    </row>
    <row r="106" customFormat="false" ht="15" hidden="false" customHeight="false" outlineLevel="0" collapsed="false">
      <c r="A106" s="36" t="str">
        <f aca="false">IF($B106="","",COUNT($B$15:$B106))</f>
        <v/>
      </c>
      <c r="B106" s="37"/>
      <c r="C106" s="38"/>
      <c r="D106" s="20"/>
      <c r="E106" s="36" t="str">
        <f aca="false">IF($D106="","",IFERROR(INDEX('교육원 ④ 설정'!$A$6:$A$40,MATCH($D106,'교육원 ④ 설정'!$B$6:$B$40,0)),"※없는 과목"))</f>
        <v/>
      </c>
      <c r="F106" s="36" t="str">
        <f aca="false">IF($D106="","",IFERROR(INDEX('교육원 ④ 설정'!$C$6:$C$40,MATCH($D106,'교육원 ④ 설정'!$B$6:$B$40,0)),""))</f>
        <v/>
      </c>
      <c r="G106" s="39"/>
      <c r="H106" s="39"/>
      <c r="I106" s="40"/>
      <c r="J106" s="41"/>
      <c r="K106" s="38"/>
      <c r="L106" s="42" t="str">
        <f aca="false">IF($B106="","",IF(AND(N($I106)=0,N($J106)=0),"금액이 없습니다",IF(AND($I106&gt;0,$J106&gt;0),"수입·지출 둘 다 적혔습니다",IF($C106="","결제수단을 고르십시오",IF(ISNA(MATCH($C106,'교육원 ③ 통장·카드'!$A$5:$A$11,0)),"③ 통장·카드에 없는 결제수단입니다",IF($D106="","계정과목을 고르십시오",IF($E106="※없는 과목","④ 설정에 없는 과목입니다",IF(AND($E106="수입",$J106&gt;0),"수입 과목인데 지출에 적혔습니다",IF(AND(LEFT($E106,2)&lt;&gt;"수입",$E106&lt;&gt;"대체",$I106&gt;0),"지출 과목인데 수입에 적혔습니다",IF($K106="","증빙을 고르십시오",IF($H106="","적요를 적으십시오","")))))))))))</f>
        <v/>
      </c>
      <c r="M106" s="39"/>
      <c r="O106" s="11" t="str">
        <f aca="false">IF($B106="","",YEAR($B106)*100+MONTH($B106))</f>
        <v/>
      </c>
      <c r="P106" s="11" t="str">
        <f aca="false">IF($B106="","",IF($E106="대체",0,1))</f>
        <v/>
      </c>
    </row>
    <row r="107" customFormat="false" ht="15" hidden="false" customHeight="false" outlineLevel="0" collapsed="false">
      <c r="A107" s="36" t="str">
        <f aca="false">IF($B107="","",COUNT($B$15:$B107))</f>
        <v/>
      </c>
      <c r="B107" s="37"/>
      <c r="C107" s="38"/>
      <c r="D107" s="20"/>
      <c r="E107" s="36" t="str">
        <f aca="false">IF($D107="","",IFERROR(INDEX('교육원 ④ 설정'!$A$6:$A$40,MATCH($D107,'교육원 ④ 설정'!$B$6:$B$40,0)),"※없는 과목"))</f>
        <v/>
      </c>
      <c r="F107" s="36" t="str">
        <f aca="false">IF($D107="","",IFERROR(INDEX('교육원 ④ 설정'!$C$6:$C$40,MATCH($D107,'교육원 ④ 설정'!$B$6:$B$40,0)),""))</f>
        <v/>
      </c>
      <c r="G107" s="39"/>
      <c r="H107" s="39"/>
      <c r="I107" s="40"/>
      <c r="J107" s="41"/>
      <c r="K107" s="38"/>
      <c r="L107" s="42" t="str">
        <f aca="false">IF($B107="","",IF(AND(N($I107)=0,N($J107)=0),"금액이 없습니다",IF(AND($I107&gt;0,$J107&gt;0),"수입·지출 둘 다 적혔습니다",IF($C107="","결제수단을 고르십시오",IF(ISNA(MATCH($C107,'교육원 ③ 통장·카드'!$A$5:$A$11,0)),"③ 통장·카드에 없는 결제수단입니다",IF($D107="","계정과목을 고르십시오",IF($E107="※없는 과목","④ 설정에 없는 과목입니다",IF(AND($E107="수입",$J107&gt;0),"수입 과목인데 지출에 적혔습니다",IF(AND(LEFT($E107,2)&lt;&gt;"수입",$E107&lt;&gt;"대체",$I107&gt;0),"지출 과목인데 수입에 적혔습니다",IF($K107="","증빙을 고르십시오",IF($H107="","적요를 적으십시오","")))))))))))</f>
        <v/>
      </c>
      <c r="M107" s="39"/>
      <c r="O107" s="11" t="str">
        <f aca="false">IF($B107="","",YEAR($B107)*100+MONTH($B107))</f>
        <v/>
      </c>
      <c r="P107" s="11" t="str">
        <f aca="false">IF($B107="","",IF($E107="대체",0,1))</f>
        <v/>
      </c>
    </row>
    <row r="108" customFormat="false" ht="15" hidden="false" customHeight="false" outlineLevel="0" collapsed="false">
      <c r="A108" s="36" t="str">
        <f aca="false">IF($B108="","",COUNT($B$15:$B108))</f>
        <v/>
      </c>
      <c r="B108" s="37"/>
      <c r="C108" s="38"/>
      <c r="D108" s="20"/>
      <c r="E108" s="36" t="str">
        <f aca="false">IF($D108="","",IFERROR(INDEX('교육원 ④ 설정'!$A$6:$A$40,MATCH($D108,'교육원 ④ 설정'!$B$6:$B$40,0)),"※없는 과목"))</f>
        <v/>
      </c>
      <c r="F108" s="36" t="str">
        <f aca="false">IF($D108="","",IFERROR(INDEX('교육원 ④ 설정'!$C$6:$C$40,MATCH($D108,'교육원 ④ 설정'!$B$6:$B$40,0)),""))</f>
        <v/>
      </c>
      <c r="G108" s="39"/>
      <c r="H108" s="39"/>
      <c r="I108" s="40"/>
      <c r="J108" s="41"/>
      <c r="K108" s="38"/>
      <c r="L108" s="42" t="str">
        <f aca="false">IF($B108="","",IF(AND(N($I108)=0,N($J108)=0),"금액이 없습니다",IF(AND($I108&gt;0,$J108&gt;0),"수입·지출 둘 다 적혔습니다",IF($C108="","결제수단을 고르십시오",IF(ISNA(MATCH($C108,'교육원 ③ 통장·카드'!$A$5:$A$11,0)),"③ 통장·카드에 없는 결제수단입니다",IF($D108="","계정과목을 고르십시오",IF($E108="※없는 과목","④ 설정에 없는 과목입니다",IF(AND($E108="수입",$J108&gt;0),"수입 과목인데 지출에 적혔습니다",IF(AND(LEFT($E108,2)&lt;&gt;"수입",$E108&lt;&gt;"대체",$I108&gt;0),"지출 과목인데 수입에 적혔습니다",IF($K108="","증빙을 고르십시오",IF($H108="","적요를 적으십시오","")))))))))))</f>
        <v/>
      </c>
      <c r="M108" s="39"/>
      <c r="O108" s="11" t="str">
        <f aca="false">IF($B108="","",YEAR($B108)*100+MONTH($B108))</f>
        <v/>
      </c>
      <c r="P108" s="11" t="str">
        <f aca="false">IF($B108="","",IF($E108="대체",0,1))</f>
        <v/>
      </c>
    </row>
    <row r="109" customFormat="false" ht="15" hidden="false" customHeight="false" outlineLevel="0" collapsed="false">
      <c r="A109" s="36" t="str">
        <f aca="false">IF($B109="","",COUNT($B$15:$B109))</f>
        <v/>
      </c>
      <c r="B109" s="37"/>
      <c r="C109" s="38"/>
      <c r="D109" s="20"/>
      <c r="E109" s="36" t="str">
        <f aca="false">IF($D109="","",IFERROR(INDEX('교육원 ④ 설정'!$A$6:$A$40,MATCH($D109,'교육원 ④ 설정'!$B$6:$B$40,0)),"※없는 과목"))</f>
        <v/>
      </c>
      <c r="F109" s="36" t="str">
        <f aca="false">IF($D109="","",IFERROR(INDEX('교육원 ④ 설정'!$C$6:$C$40,MATCH($D109,'교육원 ④ 설정'!$B$6:$B$40,0)),""))</f>
        <v/>
      </c>
      <c r="G109" s="39"/>
      <c r="H109" s="39"/>
      <c r="I109" s="40"/>
      <c r="J109" s="41"/>
      <c r="K109" s="38"/>
      <c r="L109" s="42" t="str">
        <f aca="false">IF($B109="","",IF(AND(N($I109)=0,N($J109)=0),"금액이 없습니다",IF(AND($I109&gt;0,$J109&gt;0),"수입·지출 둘 다 적혔습니다",IF($C109="","결제수단을 고르십시오",IF(ISNA(MATCH($C109,'교육원 ③ 통장·카드'!$A$5:$A$11,0)),"③ 통장·카드에 없는 결제수단입니다",IF($D109="","계정과목을 고르십시오",IF($E109="※없는 과목","④ 설정에 없는 과목입니다",IF(AND($E109="수입",$J109&gt;0),"수입 과목인데 지출에 적혔습니다",IF(AND(LEFT($E109,2)&lt;&gt;"수입",$E109&lt;&gt;"대체",$I109&gt;0),"지출 과목인데 수입에 적혔습니다",IF($K109="","증빙을 고르십시오",IF($H109="","적요를 적으십시오","")))))))))))</f>
        <v/>
      </c>
      <c r="M109" s="39"/>
      <c r="O109" s="11" t="str">
        <f aca="false">IF($B109="","",YEAR($B109)*100+MONTH($B109))</f>
        <v/>
      </c>
      <c r="P109" s="11" t="str">
        <f aca="false">IF($B109="","",IF($E109="대체",0,1))</f>
        <v/>
      </c>
    </row>
    <row r="110" customFormat="false" ht="15" hidden="false" customHeight="false" outlineLevel="0" collapsed="false">
      <c r="A110" s="36" t="str">
        <f aca="false">IF($B110="","",COUNT($B$15:$B110))</f>
        <v/>
      </c>
      <c r="B110" s="37"/>
      <c r="C110" s="38"/>
      <c r="D110" s="20"/>
      <c r="E110" s="36" t="str">
        <f aca="false">IF($D110="","",IFERROR(INDEX('교육원 ④ 설정'!$A$6:$A$40,MATCH($D110,'교육원 ④ 설정'!$B$6:$B$40,0)),"※없는 과목"))</f>
        <v/>
      </c>
      <c r="F110" s="36" t="str">
        <f aca="false">IF($D110="","",IFERROR(INDEX('교육원 ④ 설정'!$C$6:$C$40,MATCH($D110,'교육원 ④ 설정'!$B$6:$B$40,0)),""))</f>
        <v/>
      </c>
      <c r="G110" s="39"/>
      <c r="H110" s="39"/>
      <c r="I110" s="40"/>
      <c r="J110" s="41"/>
      <c r="K110" s="38"/>
      <c r="L110" s="42" t="str">
        <f aca="false">IF($B110="","",IF(AND(N($I110)=0,N($J110)=0),"금액이 없습니다",IF(AND($I110&gt;0,$J110&gt;0),"수입·지출 둘 다 적혔습니다",IF($C110="","결제수단을 고르십시오",IF(ISNA(MATCH($C110,'교육원 ③ 통장·카드'!$A$5:$A$11,0)),"③ 통장·카드에 없는 결제수단입니다",IF($D110="","계정과목을 고르십시오",IF($E110="※없는 과목","④ 설정에 없는 과목입니다",IF(AND($E110="수입",$J110&gt;0),"수입 과목인데 지출에 적혔습니다",IF(AND(LEFT($E110,2)&lt;&gt;"수입",$E110&lt;&gt;"대체",$I110&gt;0),"지출 과목인데 수입에 적혔습니다",IF($K110="","증빙을 고르십시오",IF($H110="","적요를 적으십시오","")))))))))))</f>
        <v/>
      </c>
      <c r="M110" s="39"/>
      <c r="O110" s="11" t="str">
        <f aca="false">IF($B110="","",YEAR($B110)*100+MONTH($B110))</f>
        <v/>
      </c>
      <c r="P110" s="11" t="str">
        <f aca="false">IF($B110="","",IF($E110="대체",0,1))</f>
        <v/>
      </c>
    </row>
    <row r="111" customFormat="false" ht="15" hidden="false" customHeight="false" outlineLevel="0" collapsed="false">
      <c r="A111" s="36" t="str">
        <f aca="false">IF($B111="","",COUNT($B$15:$B111))</f>
        <v/>
      </c>
      <c r="B111" s="37"/>
      <c r="C111" s="38"/>
      <c r="D111" s="20"/>
      <c r="E111" s="36" t="str">
        <f aca="false">IF($D111="","",IFERROR(INDEX('교육원 ④ 설정'!$A$6:$A$40,MATCH($D111,'교육원 ④ 설정'!$B$6:$B$40,0)),"※없는 과목"))</f>
        <v/>
      </c>
      <c r="F111" s="36" t="str">
        <f aca="false">IF($D111="","",IFERROR(INDEX('교육원 ④ 설정'!$C$6:$C$40,MATCH($D111,'교육원 ④ 설정'!$B$6:$B$40,0)),""))</f>
        <v/>
      </c>
      <c r="G111" s="39"/>
      <c r="H111" s="39"/>
      <c r="I111" s="40"/>
      <c r="J111" s="41"/>
      <c r="K111" s="38"/>
      <c r="L111" s="42" t="str">
        <f aca="false">IF($B111="","",IF(AND(N($I111)=0,N($J111)=0),"금액이 없습니다",IF(AND($I111&gt;0,$J111&gt;0),"수입·지출 둘 다 적혔습니다",IF($C111="","결제수단을 고르십시오",IF(ISNA(MATCH($C111,'교육원 ③ 통장·카드'!$A$5:$A$11,0)),"③ 통장·카드에 없는 결제수단입니다",IF($D111="","계정과목을 고르십시오",IF($E111="※없는 과목","④ 설정에 없는 과목입니다",IF(AND($E111="수입",$J111&gt;0),"수입 과목인데 지출에 적혔습니다",IF(AND(LEFT($E111,2)&lt;&gt;"수입",$E111&lt;&gt;"대체",$I111&gt;0),"지출 과목인데 수입에 적혔습니다",IF($K111="","증빙을 고르십시오",IF($H111="","적요를 적으십시오","")))))))))))</f>
        <v/>
      </c>
      <c r="M111" s="39"/>
      <c r="O111" s="11" t="str">
        <f aca="false">IF($B111="","",YEAR($B111)*100+MONTH($B111))</f>
        <v/>
      </c>
      <c r="P111" s="11" t="str">
        <f aca="false">IF($B111="","",IF($E111="대체",0,1))</f>
        <v/>
      </c>
    </row>
    <row r="112" customFormat="false" ht="15" hidden="false" customHeight="false" outlineLevel="0" collapsed="false">
      <c r="A112" s="36" t="str">
        <f aca="false">IF($B112="","",COUNT($B$15:$B112))</f>
        <v/>
      </c>
      <c r="B112" s="37"/>
      <c r="C112" s="38"/>
      <c r="D112" s="20"/>
      <c r="E112" s="36" t="str">
        <f aca="false">IF($D112="","",IFERROR(INDEX('교육원 ④ 설정'!$A$6:$A$40,MATCH($D112,'교육원 ④ 설정'!$B$6:$B$40,0)),"※없는 과목"))</f>
        <v/>
      </c>
      <c r="F112" s="36" t="str">
        <f aca="false">IF($D112="","",IFERROR(INDEX('교육원 ④ 설정'!$C$6:$C$40,MATCH($D112,'교육원 ④ 설정'!$B$6:$B$40,0)),""))</f>
        <v/>
      </c>
      <c r="G112" s="39"/>
      <c r="H112" s="39"/>
      <c r="I112" s="40"/>
      <c r="J112" s="41"/>
      <c r="K112" s="38"/>
      <c r="L112" s="42" t="str">
        <f aca="false">IF($B112="","",IF(AND(N($I112)=0,N($J112)=0),"금액이 없습니다",IF(AND($I112&gt;0,$J112&gt;0),"수입·지출 둘 다 적혔습니다",IF($C112="","결제수단을 고르십시오",IF(ISNA(MATCH($C112,'교육원 ③ 통장·카드'!$A$5:$A$11,0)),"③ 통장·카드에 없는 결제수단입니다",IF($D112="","계정과목을 고르십시오",IF($E112="※없는 과목","④ 설정에 없는 과목입니다",IF(AND($E112="수입",$J112&gt;0),"수입 과목인데 지출에 적혔습니다",IF(AND(LEFT($E112,2)&lt;&gt;"수입",$E112&lt;&gt;"대체",$I112&gt;0),"지출 과목인데 수입에 적혔습니다",IF($K112="","증빙을 고르십시오",IF($H112="","적요를 적으십시오","")))))))))))</f>
        <v/>
      </c>
      <c r="M112" s="39"/>
      <c r="O112" s="11" t="str">
        <f aca="false">IF($B112="","",YEAR($B112)*100+MONTH($B112))</f>
        <v/>
      </c>
      <c r="P112" s="11" t="str">
        <f aca="false">IF($B112="","",IF($E112="대체",0,1))</f>
        <v/>
      </c>
    </row>
    <row r="113" customFormat="false" ht="15" hidden="false" customHeight="false" outlineLevel="0" collapsed="false">
      <c r="A113" s="36" t="str">
        <f aca="false">IF($B113="","",COUNT($B$15:$B113))</f>
        <v/>
      </c>
      <c r="B113" s="37"/>
      <c r="C113" s="38"/>
      <c r="D113" s="20"/>
      <c r="E113" s="36" t="str">
        <f aca="false">IF($D113="","",IFERROR(INDEX('교육원 ④ 설정'!$A$6:$A$40,MATCH($D113,'교육원 ④ 설정'!$B$6:$B$40,0)),"※없는 과목"))</f>
        <v/>
      </c>
      <c r="F113" s="36" t="str">
        <f aca="false">IF($D113="","",IFERROR(INDEX('교육원 ④ 설정'!$C$6:$C$40,MATCH($D113,'교육원 ④ 설정'!$B$6:$B$40,0)),""))</f>
        <v/>
      </c>
      <c r="G113" s="39"/>
      <c r="H113" s="39"/>
      <c r="I113" s="40"/>
      <c r="J113" s="41"/>
      <c r="K113" s="38"/>
      <c r="L113" s="42" t="str">
        <f aca="false">IF($B113="","",IF(AND(N($I113)=0,N($J113)=0),"금액이 없습니다",IF(AND($I113&gt;0,$J113&gt;0),"수입·지출 둘 다 적혔습니다",IF($C113="","결제수단을 고르십시오",IF(ISNA(MATCH($C113,'교육원 ③ 통장·카드'!$A$5:$A$11,0)),"③ 통장·카드에 없는 결제수단입니다",IF($D113="","계정과목을 고르십시오",IF($E113="※없는 과목","④ 설정에 없는 과목입니다",IF(AND($E113="수입",$J113&gt;0),"수입 과목인데 지출에 적혔습니다",IF(AND(LEFT($E113,2)&lt;&gt;"수입",$E113&lt;&gt;"대체",$I113&gt;0),"지출 과목인데 수입에 적혔습니다",IF($K113="","증빙을 고르십시오",IF($H113="","적요를 적으십시오","")))))))))))</f>
        <v/>
      </c>
      <c r="M113" s="39"/>
      <c r="O113" s="11" t="str">
        <f aca="false">IF($B113="","",YEAR($B113)*100+MONTH($B113))</f>
        <v/>
      </c>
      <c r="P113" s="11" t="str">
        <f aca="false">IF($B113="","",IF($E113="대체",0,1))</f>
        <v/>
      </c>
    </row>
    <row r="114" customFormat="false" ht="15" hidden="false" customHeight="false" outlineLevel="0" collapsed="false">
      <c r="A114" s="36" t="str">
        <f aca="false">IF($B114="","",COUNT($B$15:$B114))</f>
        <v/>
      </c>
      <c r="B114" s="37"/>
      <c r="C114" s="38"/>
      <c r="D114" s="20"/>
      <c r="E114" s="36" t="str">
        <f aca="false">IF($D114="","",IFERROR(INDEX('교육원 ④ 설정'!$A$6:$A$40,MATCH($D114,'교육원 ④ 설정'!$B$6:$B$40,0)),"※없는 과목"))</f>
        <v/>
      </c>
      <c r="F114" s="36" t="str">
        <f aca="false">IF($D114="","",IFERROR(INDEX('교육원 ④ 설정'!$C$6:$C$40,MATCH($D114,'교육원 ④ 설정'!$B$6:$B$40,0)),""))</f>
        <v/>
      </c>
      <c r="G114" s="39"/>
      <c r="H114" s="39"/>
      <c r="I114" s="40"/>
      <c r="J114" s="41"/>
      <c r="K114" s="38"/>
      <c r="L114" s="42" t="str">
        <f aca="false">IF($B114="","",IF(AND(N($I114)=0,N($J114)=0),"금액이 없습니다",IF(AND($I114&gt;0,$J114&gt;0),"수입·지출 둘 다 적혔습니다",IF($C114="","결제수단을 고르십시오",IF(ISNA(MATCH($C114,'교육원 ③ 통장·카드'!$A$5:$A$11,0)),"③ 통장·카드에 없는 결제수단입니다",IF($D114="","계정과목을 고르십시오",IF($E114="※없는 과목","④ 설정에 없는 과목입니다",IF(AND($E114="수입",$J114&gt;0),"수입 과목인데 지출에 적혔습니다",IF(AND(LEFT($E114,2)&lt;&gt;"수입",$E114&lt;&gt;"대체",$I114&gt;0),"지출 과목인데 수입에 적혔습니다",IF($K114="","증빙을 고르십시오",IF($H114="","적요를 적으십시오","")))))))))))</f>
        <v/>
      </c>
      <c r="M114" s="39"/>
      <c r="O114" s="11" t="str">
        <f aca="false">IF($B114="","",YEAR($B114)*100+MONTH($B114))</f>
        <v/>
      </c>
      <c r="P114" s="11" t="str">
        <f aca="false">IF($B114="","",IF($E114="대체",0,1))</f>
        <v/>
      </c>
    </row>
    <row r="115" customFormat="false" ht="15" hidden="false" customHeight="false" outlineLevel="0" collapsed="false">
      <c r="A115" s="36" t="str">
        <f aca="false">IF($B115="","",COUNT($B$15:$B115))</f>
        <v/>
      </c>
      <c r="B115" s="37"/>
      <c r="C115" s="38"/>
      <c r="D115" s="20"/>
      <c r="E115" s="36" t="str">
        <f aca="false">IF($D115="","",IFERROR(INDEX('교육원 ④ 설정'!$A$6:$A$40,MATCH($D115,'교육원 ④ 설정'!$B$6:$B$40,0)),"※없는 과목"))</f>
        <v/>
      </c>
      <c r="F115" s="36" t="str">
        <f aca="false">IF($D115="","",IFERROR(INDEX('교육원 ④ 설정'!$C$6:$C$40,MATCH($D115,'교육원 ④ 설정'!$B$6:$B$40,0)),""))</f>
        <v/>
      </c>
      <c r="G115" s="39"/>
      <c r="H115" s="39"/>
      <c r="I115" s="40"/>
      <c r="J115" s="41"/>
      <c r="K115" s="38"/>
      <c r="L115" s="42" t="str">
        <f aca="false">IF($B115="","",IF(AND(N($I115)=0,N($J115)=0),"금액이 없습니다",IF(AND($I115&gt;0,$J115&gt;0),"수입·지출 둘 다 적혔습니다",IF($C115="","결제수단을 고르십시오",IF(ISNA(MATCH($C115,'교육원 ③ 통장·카드'!$A$5:$A$11,0)),"③ 통장·카드에 없는 결제수단입니다",IF($D115="","계정과목을 고르십시오",IF($E115="※없는 과목","④ 설정에 없는 과목입니다",IF(AND($E115="수입",$J115&gt;0),"수입 과목인데 지출에 적혔습니다",IF(AND(LEFT($E115,2)&lt;&gt;"수입",$E115&lt;&gt;"대체",$I115&gt;0),"지출 과목인데 수입에 적혔습니다",IF($K115="","증빙을 고르십시오",IF($H115="","적요를 적으십시오","")))))))))))</f>
        <v/>
      </c>
      <c r="M115" s="39"/>
      <c r="O115" s="11" t="str">
        <f aca="false">IF($B115="","",YEAR($B115)*100+MONTH($B115))</f>
        <v/>
      </c>
      <c r="P115" s="11" t="str">
        <f aca="false">IF($B115="","",IF($E115="대체",0,1))</f>
        <v/>
      </c>
    </row>
    <row r="116" customFormat="false" ht="15" hidden="false" customHeight="false" outlineLevel="0" collapsed="false">
      <c r="A116" s="36" t="str">
        <f aca="false">IF($B116="","",COUNT($B$15:$B116))</f>
        <v/>
      </c>
      <c r="B116" s="37"/>
      <c r="C116" s="38"/>
      <c r="D116" s="20"/>
      <c r="E116" s="36" t="str">
        <f aca="false">IF($D116="","",IFERROR(INDEX('교육원 ④ 설정'!$A$6:$A$40,MATCH($D116,'교육원 ④ 설정'!$B$6:$B$40,0)),"※없는 과목"))</f>
        <v/>
      </c>
      <c r="F116" s="36" t="str">
        <f aca="false">IF($D116="","",IFERROR(INDEX('교육원 ④ 설정'!$C$6:$C$40,MATCH($D116,'교육원 ④ 설정'!$B$6:$B$40,0)),""))</f>
        <v/>
      </c>
      <c r="G116" s="39"/>
      <c r="H116" s="39"/>
      <c r="I116" s="40"/>
      <c r="J116" s="41"/>
      <c r="K116" s="38"/>
      <c r="L116" s="42" t="str">
        <f aca="false">IF($B116="","",IF(AND(N($I116)=0,N($J116)=0),"금액이 없습니다",IF(AND($I116&gt;0,$J116&gt;0),"수입·지출 둘 다 적혔습니다",IF($C116="","결제수단을 고르십시오",IF(ISNA(MATCH($C116,'교육원 ③ 통장·카드'!$A$5:$A$11,0)),"③ 통장·카드에 없는 결제수단입니다",IF($D116="","계정과목을 고르십시오",IF($E116="※없는 과목","④ 설정에 없는 과목입니다",IF(AND($E116="수입",$J116&gt;0),"수입 과목인데 지출에 적혔습니다",IF(AND(LEFT($E116,2)&lt;&gt;"수입",$E116&lt;&gt;"대체",$I116&gt;0),"지출 과목인데 수입에 적혔습니다",IF($K116="","증빙을 고르십시오",IF($H116="","적요를 적으십시오","")))))))))))</f>
        <v/>
      </c>
      <c r="M116" s="39"/>
      <c r="O116" s="11" t="str">
        <f aca="false">IF($B116="","",YEAR($B116)*100+MONTH($B116))</f>
        <v/>
      </c>
      <c r="P116" s="11" t="str">
        <f aca="false">IF($B116="","",IF($E116="대체",0,1))</f>
        <v/>
      </c>
    </row>
    <row r="117" customFormat="false" ht="15" hidden="false" customHeight="false" outlineLevel="0" collapsed="false">
      <c r="A117" s="36" t="str">
        <f aca="false">IF($B117="","",COUNT($B$15:$B117))</f>
        <v/>
      </c>
      <c r="B117" s="37"/>
      <c r="C117" s="38"/>
      <c r="D117" s="20"/>
      <c r="E117" s="36" t="str">
        <f aca="false">IF($D117="","",IFERROR(INDEX('교육원 ④ 설정'!$A$6:$A$40,MATCH($D117,'교육원 ④ 설정'!$B$6:$B$40,0)),"※없는 과목"))</f>
        <v/>
      </c>
      <c r="F117" s="36" t="str">
        <f aca="false">IF($D117="","",IFERROR(INDEX('교육원 ④ 설정'!$C$6:$C$40,MATCH($D117,'교육원 ④ 설정'!$B$6:$B$40,0)),""))</f>
        <v/>
      </c>
      <c r="G117" s="39"/>
      <c r="H117" s="39"/>
      <c r="I117" s="40"/>
      <c r="J117" s="41"/>
      <c r="K117" s="38"/>
      <c r="L117" s="42" t="str">
        <f aca="false">IF($B117="","",IF(AND(N($I117)=0,N($J117)=0),"금액이 없습니다",IF(AND($I117&gt;0,$J117&gt;0),"수입·지출 둘 다 적혔습니다",IF($C117="","결제수단을 고르십시오",IF(ISNA(MATCH($C117,'교육원 ③ 통장·카드'!$A$5:$A$11,0)),"③ 통장·카드에 없는 결제수단입니다",IF($D117="","계정과목을 고르십시오",IF($E117="※없는 과목","④ 설정에 없는 과목입니다",IF(AND($E117="수입",$J117&gt;0),"수입 과목인데 지출에 적혔습니다",IF(AND(LEFT($E117,2)&lt;&gt;"수입",$E117&lt;&gt;"대체",$I117&gt;0),"지출 과목인데 수입에 적혔습니다",IF($K117="","증빙을 고르십시오",IF($H117="","적요를 적으십시오","")))))))))))</f>
        <v/>
      </c>
      <c r="M117" s="39"/>
      <c r="O117" s="11" t="str">
        <f aca="false">IF($B117="","",YEAR($B117)*100+MONTH($B117))</f>
        <v/>
      </c>
      <c r="P117" s="11" t="str">
        <f aca="false">IF($B117="","",IF($E117="대체",0,1))</f>
        <v/>
      </c>
    </row>
    <row r="118" customFormat="false" ht="15" hidden="false" customHeight="false" outlineLevel="0" collapsed="false">
      <c r="A118" s="36" t="str">
        <f aca="false">IF($B118="","",COUNT($B$15:$B118))</f>
        <v/>
      </c>
      <c r="B118" s="37"/>
      <c r="C118" s="38"/>
      <c r="D118" s="20"/>
      <c r="E118" s="36" t="str">
        <f aca="false">IF($D118="","",IFERROR(INDEX('교육원 ④ 설정'!$A$6:$A$40,MATCH($D118,'교육원 ④ 설정'!$B$6:$B$40,0)),"※없는 과목"))</f>
        <v/>
      </c>
      <c r="F118" s="36" t="str">
        <f aca="false">IF($D118="","",IFERROR(INDEX('교육원 ④ 설정'!$C$6:$C$40,MATCH($D118,'교육원 ④ 설정'!$B$6:$B$40,0)),""))</f>
        <v/>
      </c>
      <c r="G118" s="39"/>
      <c r="H118" s="39"/>
      <c r="I118" s="40"/>
      <c r="J118" s="41"/>
      <c r="K118" s="38"/>
      <c r="L118" s="42" t="str">
        <f aca="false">IF($B118="","",IF(AND(N($I118)=0,N($J118)=0),"금액이 없습니다",IF(AND($I118&gt;0,$J118&gt;0),"수입·지출 둘 다 적혔습니다",IF($C118="","결제수단을 고르십시오",IF(ISNA(MATCH($C118,'교육원 ③ 통장·카드'!$A$5:$A$11,0)),"③ 통장·카드에 없는 결제수단입니다",IF($D118="","계정과목을 고르십시오",IF($E118="※없는 과목","④ 설정에 없는 과목입니다",IF(AND($E118="수입",$J118&gt;0),"수입 과목인데 지출에 적혔습니다",IF(AND(LEFT($E118,2)&lt;&gt;"수입",$E118&lt;&gt;"대체",$I118&gt;0),"지출 과목인데 수입에 적혔습니다",IF($K118="","증빙을 고르십시오",IF($H118="","적요를 적으십시오","")))))))))))</f>
        <v/>
      </c>
      <c r="M118" s="39"/>
      <c r="O118" s="11" t="str">
        <f aca="false">IF($B118="","",YEAR($B118)*100+MONTH($B118))</f>
        <v/>
      </c>
      <c r="P118" s="11" t="str">
        <f aca="false">IF($B118="","",IF($E118="대체",0,1))</f>
        <v/>
      </c>
    </row>
    <row r="119" customFormat="false" ht="15" hidden="false" customHeight="false" outlineLevel="0" collapsed="false">
      <c r="A119" s="36" t="str">
        <f aca="false">IF($B119="","",COUNT($B$15:$B119))</f>
        <v/>
      </c>
      <c r="B119" s="37"/>
      <c r="C119" s="38"/>
      <c r="D119" s="20"/>
      <c r="E119" s="36" t="str">
        <f aca="false">IF($D119="","",IFERROR(INDEX('교육원 ④ 설정'!$A$6:$A$40,MATCH($D119,'교육원 ④ 설정'!$B$6:$B$40,0)),"※없는 과목"))</f>
        <v/>
      </c>
      <c r="F119" s="36" t="str">
        <f aca="false">IF($D119="","",IFERROR(INDEX('교육원 ④ 설정'!$C$6:$C$40,MATCH($D119,'교육원 ④ 설정'!$B$6:$B$40,0)),""))</f>
        <v/>
      </c>
      <c r="G119" s="39"/>
      <c r="H119" s="39"/>
      <c r="I119" s="40"/>
      <c r="J119" s="41"/>
      <c r="K119" s="38"/>
      <c r="L119" s="42" t="str">
        <f aca="false">IF($B119="","",IF(AND(N($I119)=0,N($J119)=0),"금액이 없습니다",IF(AND($I119&gt;0,$J119&gt;0),"수입·지출 둘 다 적혔습니다",IF($C119="","결제수단을 고르십시오",IF(ISNA(MATCH($C119,'교육원 ③ 통장·카드'!$A$5:$A$11,0)),"③ 통장·카드에 없는 결제수단입니다",IF($D119="","계정과목을 고르십시오",IF($E119="※없는 과목","④ 설정에 없는 과목입니다",IF(AND($E119="수입",$J119&gt;0),"수입 과목인데 지출에 적혔습니다",IF(AND(LEFT($E119,2)&lt;&gt;"수입",$E119&lt;&gt;"대체",$I119&gt;0),"지출 과목인데 수입에 적혔습니다",IF($K119="","증빙을 고르십시오",IF($H119="","적요를 적으십시오","")))))))))))</f>
        <v/>
      </c>
      <c r="M119" s="39"/>
      <c r="O119" s="11" t="str">
        <f aca="false">IF($B119="","",YEAR($B119)*100+MONTH($B119))</f>
        <v/>
      </c>
      <c r="P119" s="11" t="str">
        <f aca="false">IF($B119="","",IF($E119="대체",0,1))</f>
        <v/>
      </c>
    </row>
    <row r="120" customFormat="false" ht="15" hidden="false" customHeight="false" outlineLevel="0" collapsed="false">
      <c r="A120" s="36" t="str">
        <f aca="false">IF($B120="","",COUNT($B$15:$B120))</f>
        <v/>
      </c>
      <c r="B120" s="37"/>
      <c r="C120" s="38"/>
      <c r="D120" s="20"/>
      <c r="E120" s="36" t="str">
        <f aca="false">IF($D120="","",IFERROR(INDEX('교육원 ④ 설정'!$A$6:$A$40,MATCH($D120,'교육원 ④ 설정'!$B$6:$B$40,0)),"※없는 과목"))</f>
        <v/>
      </c>
      <c r="F120" s="36" t="str">
        <f aca="false">IF($D120="","",IFERROR(INDEX('교육원 ④ 설정'!$C$6:$C$40,MATCH($D120,'교육원 ④ 설정'!$B$6:$B$40,0)),""))</f>
        <v/>
      </c>
      <c r="G120" s="39"/>
      <c r="H120" s="39"/>
      <c r="I120" s="40"/>
      <c r="J120" s="41"/>
      <c r="K120" s="38"/>
      <c r="L120" s="42" t="str">
        <f aca="false">IF($B120="","",IF(AND(N($I120)=0,N($J120)=0),"금액이 없습니다",IF(AND($I120&gt;0,$J120&gt;0),"수입·지출 둘 다 적혔습니다",IF($C120="","결제수단을 고르십시오",IF(ISNA(MATCH($C120,'교육원 ③ 통장·카드'!$A$5:$A$11,0)),"③ 통장·카드에 없는 결제수단입니다",IF($D120="","계정과목을 고르십시오",IF($E120="※없는 과목","④ 설정에 없는 과목입니다",IF(AND($E120="수입",$J120&gt;0),"수입 과목인데 지출에 적혔습니다",IF(AND(LEFT($E120,2)&lt;&gt;"수입",$E120&lt;&gt;"대체",$I120&gt;0),"지출 과목인데 수입에 적혔습니다",IF($K120="","증빙을 고르십시오",IF($H120="","적요를 적으십시오","")))))))))))</f>
        <v/>
      </c>
      <c r="M120" s="39"/>
      <c r="O120" s="11" t="str">
        <f aca="false">IF($B120="","",YEAR($B120)*100+MONTH($B120))</f>
        <v/>
      </c>
      <c r="P120" s="11" t="str">
        <f aca="false">IF($B120="","",IF($E120="대체",0,1))</f>
        <v/>
      </c>
    </row>
    <row r="121" customFormat="false" ht="15" hidden="false" customHeight="false" outlineLevel="0" collapsed="false">
      <c r="A121" s="36" t="str">
        <f aca="false">IF($B121="","",COUNT($B$15:$B121))</f>
        <v/>
      </c>
      <c r="B121" s="37"/>
      <c r="C121" s="38"/>
      <c r="D121" s="20"/>
      <c r="E121" s="36" t="str">
        <f aca="false">IF($D121="","",IFERROR(INDEX('교육원 ④ 설정'!$A$6:$A$40,MATCH($D121,'교육원 ④ 설정'!$B$6:$B$40,0)),"※없는 과목"))</f>
        <v/>
      </c>
      <c r="F121" s="36" t="str">
        <f aca="false">IF($D121="","",IFERROR(INDEX('교육원 ④ 설정'!$C$6:$C$40,MATCH($D121,'교육원 ④ 설정'!$B$6:$B$40,0)),""))</f>
        <v/>
      </c>
      <c r="G121" s="39"/>
      <c r="H121" s="39"/>
      <c r="I121" s="40"/>
      <c r="J121" s="41"/>
      <c r="K121" s="38"/>
      <c r="L121" s="42" t="str">
        <f aca="false">IF($B121="","",IF(AND(N($I121)=0,N($J121)=0),"금액이 없습니다",IF(AND($I121&gt;0,$J121&gt;0),"수입·지출 둘 다 적혔습니다",IF($C121="","결제수단을 고르십시오",IF(ISNA(MATCH($C121,'교육원 ③ 통장·카드'!$A$5:$A$11,0)),"③ 통장·카드에 없는 결제수단입니다",IF($D121="","계정과목을 고르십시오",IF($E121="※없는 과목","④ 설정에 없는 과목입니다",IF(AND($E121="수입",$J121&gt;0),"수입 과목인데 지출에 적혔습니다",IF(AND(LEFT($E121,2)&lt;&gt;"수입",$E121&lt;&gt;"대체",$I121&gt;0),"지출 과목인데 수입에 적혔습니다",IF($K121="","증빙을 고르십시오",IF($H121="","적요를 적으십시오","")))))))))))</f>
        <v/>
      </c>
      <c r="M121" s="39"/>
      <c r="O121" s="11" t="str">
        <f aca="false">IF($B121="","",YEAR($B121)*100+MONTH($B121))</f>
        <v/>
      </c>
      <c r="P121" s="11" t="str">
        <f aca="false">IF($B121="","",IF($E121="대체",0,1))</f>
        <v/>
      </c>
    </row>
    <row r="122" customFormat="false" ht="15" hidden="false" customHeight="false" outlineLevel="0" collapsed="false">
      <c r="A122" s="36" t="str">
        <f aca="false">IF($B122="","",COUNT($B$15:$B122))</f>
        <v/>
      </c>
      <c r="B122" s="37"/>
      <c r="C122" s="38"/>
      <c r="D122" s="20"/>
      <c r="E122" s="36" t="str">
        <f aca="false">IF($D122="","",IFERROR(INDEX('교육원 ④ 설정'!$A$6:$A$40,MATCH($D122,'교육원 ④ 설정'!$B$6:$B$40,0)),"※없는 과목"))</f>
        <v/>
      </c>
      <c r="F122" s="36" t="str">
        <f aca="false">IF($D122="","",IFERROR(INDEX('교육원 ④ 설정'!$C$6:$C$40,MATCH($D122,'교육원 ④ 설정'!$B$6:$B$40,0)),""))</f>
        <v/>
      </c>
      <c r="G122" s="39"/>
      <c r="H122" s="39"/>
      <c r="I122" s="40"/>
      <c r="J122" s="41"/>
      <c r="K122" s="38"/>
      <c r="L122" s="42" t="str">
        <f aca="false">IF($B122="","",IF(AND(N($I122)=0,N($J122)=0),"금액이 없습니다",IF(AND($I122&gt;0,$J122&gt;0),"수입·지출 둘 다 적혔습니다",IF($C122="","결제수단을 고르십시오",IF(ISNA(MATCH($C122,'교육원 ③ 통장·카드'!$A$5:$A$11,0)),"③ 통장·카드에 없는 결제수단입니다",IF($D122="","계정과목을 고르십시오",IF($E122="※없는 과목","④ 설정에 없는 과목입니다",IF(AND($E122="수입",$J122&gt;0),"수입 과목인데 지출에 적혔습니다",IF(AND(LEFT($E122,2)&lt;&gt;"수입",$E122&lt;&gt;"대체",$I122&gt;0),"지출 과목인데 수입에 적혔습니다",IF($K122="","증빙을 고르십시오",IF($H122="","적요를 적으십시오","")))))))))))</f>
        <v/>
      </c>
      <c r="M122" s="39"/>
      <c r="O122" s="11" t="str">
        <f aca="false">IF($B122="","",YEAR($B122)*100+MONTH($B122))</f>
        <v/>
      </c>
      <c r="P122" s="11" t="str">
        <f aca="false">IF($B122="","",IF($E122="대체",0,1))</f>
        <v/>
      </c>
    </row>
    <row r="123" customFormat="false" ht="15" hidden="false" customHeight="false" outlineLevel="0" collapsed="false">
      <c r="A123" s="36" t="str">
        <f aca="false">IF($B123="","",COUNT($B$15:$B123))</f>
        <v/>
      </c>
      <c r="B123" s="37"/>
      <c r="C123" s="38"/>
      <c r="D123" s="20"/>
      <c r="E123" s="36" t="str">
        <f aca="false">IF($D123="","",IFERROR(INDEX('교육원 ④ 설정'!$A$6:$A$40,MATCH($D123,'교육원 ④ 설정'!$B$6:$B$40,0)),"※없는 과목"))</f>
        <v/>
      </c>
      <c r="F123" s="36" t="str">
        <f aca="false">IF($D123="","",IFERROR(INDEX('교육원 ④ 설정'!$C$6:$C$40,MATCH($D123,'교육원 ④ 설정'!$B$6:$B$40,0)),""))</f>
        <v/>
      </c>
      <c r="G123" s="39"/>
      <c r="H123" s="39"/>
      <c r="I123" s="40"/>
      <c r="J123" s="41"/>
      <c r="K123" s="38"/>
      <c r="L123" s="42" t="str">
        <f aca="false">IF($B123="","",IF(AND(N($I123)=0,N($J123)=0),"금액이 없습니다",IF(AND($I123&gt;0,$J123&gt;0),"수입·지출 둘 다 적혔습니다",IF($C123="","결제수단을 고르십시오",IF(ISNA(MATCH($C123,'교육원 ③ 통장·카드'!$A$5:$A$11,0)),"③ 통장·카드에 없는 결제수단입니다",IF($D123="","계정과목을 고르십시오",IF($E123="※없는 과목","④ 설정에 없는 과목입니다",IF(AND($E123="수입",$J123&gt;0),"수입 과목인데 지출에 적혔습니다",IF(AND(LEFT($E123,2)&lt;&gt;"수입",$E123&lt;&gt;"대체",$I123&gt;0),"지출 과목인데 수입에 적혔습니다",IF($K123="","증빙을 고르십시오",IF($H123="","적요를 적으십시오","")))))))))))</f>
        <v/>
      </c>
      <c r="M123" s="39"/>
      <c r="O123" s="11" t="str">
        <f aca="false">IF($B123="","",YEAR($B123)*100+MONTH($B123))</f>
        <v/>
      </c>
      <c r="P123" s="11" t="str">
        <f aca="false">IF($B123="","",IF($E123="대체",0,1))</f>
        <v/>
      </c>
    </row>
    <row r="124" customFormat="false" ht="15" hidden="false" customHeight="false" outlineLevel="0" collapsed="false">
      <c r="A124" s="36" t="str">
        <f aca="false">IF($B124="","",COUNT($B$15:$B124))</f>
        <v/>
      </c>
      <c r="B124" s="37"/>
      <c r="C124" s="38"/>
      <c r="D124" s="20"/>
      <c r="E124" s="36" t="str">
        <f aca="false">IF($D124="","",IFERROR(INDEX('교육원 ④ 설정'!$A$6:$A$40,MATCH($D124,'교육원 ④ 설정'!$B$6:$B$40,0)),"※없는 과목"))</f>
        <v/>
      </c>
      <c r="F124" s="36" t="str">
        <f aca="false">IF($D124="","",IFERROR(INDEX('교육원 ④ 설정'!$C$6:$C$40,MATCH($D124,'교육원 ④ 설정'!$B$6:$B$40,0)),""))</f>
        <v/>
      </c>
      <c r="G124" s="39"/>
      <c r="H124" s="39"/>
      <c r="I124" s="40"/>
      <c r="J124" s="41"/>
      <c r="K124" s="38"/>
      <c r="L124" s="42" t="str">
        <f aca="false">IF($B124="","",IF(AND(N($I124)=0,N($J124)=0),"금액이 없습니다",IF(AND($I124&gt;0,$J124&gt;0),"수입·지출 둘 다 적혔습니다",IF($C124="","결제수단을 고르십시오",IF(ISNA(MATCH($C124,'교육원 ③ 통장·카드'!$A$5:$A$11,0)),"③ 통장·카드에 없는 결제수단입니다",IF($D124="","계정과목을 고르십시오",IF($E124="※없는 과목","④ 설정에 없는 과목입니다",IF(AND($E124="수입",$J124&gt;0),"수입 과목인데 지출에 적혔습니다",IF(AND(LEFT($E124,2)&lt;&gt;"수입",$E124&lt;&gt;"대체",$I124&gt;0),"지출 과목인데 수입에 적혔습니다",IF($K124="","증빙을 고르십시오",IF($H124="","적요를 적으십시오","")))))))))))</f>
        <v/>
      </c>
      <c r="M124" s="39"/>
      <c r="O124" s="11" t="str">
        <f aca="false">IF($B124="","",YEAR($B124)*100+MONTH($B124))</f>
        <v/>
      </c>
      <c r="P124" s="11" t="str">
        <f aca="false">IF($B124="","",IF($E124="대체",0,1))</f>
        <v/>
      </c>
    </row>
    <row r="125" customFormat="false" ht="15" hidden="false" customHeight="false" outlineLevel="0" collapsed="false">
      <c r="A125" s="36" t="str">
        <f aca="false">IF($B125="","",COUNT($B$15:$B125))</f>
        <v/>
      </c>
      <c r="B125" s="37"/>
      <c r="C125" s="38"/>
      <c r="D125" s="20"/>
      <c r="E125" s="36" t="str">
        <f aca="false">IF($D125="","",IFERROR(INDEX('교육원 ④ 설정'!$A$6:$A$40,MATCH($D125,'교육원 ④ 설정'!$B$6:$B$40,0)),"※없는 과목"))</f>
        <v/>
      </c>
      <c r="F125" s="36" t="str">
        <f aca="false">IF($D125="","",IFERROR(INDEX('교육원 ④ 설정'!$C$6:$C$40,MATCH($D125,'교육원 ④ 설정'!$B$6:$B$40,0)),""))</f>
        <v/>
      </c>
      <c r="G125" s="39"/>
      <c r="H125" s="39"/>
      <c r="I125" s="40"/>
      <c r="J125" s="41"/>
      <c r="K125" s="38"/>
      <c r="L125" s="42" t="str">
        <f aca="false">IF($B125="","",IF(AND(N($I125)=0,N($J125)=0),"금액이 없습니다",IF(AND($I125&gt;0,$J125&gt;0),"수입·지출 둘 다 적혔습니다",IF($C125="","결제수단을 고르십시오",IF(ISNA(MATCH($C125,'교육원 ③ 통장·카드'!$A$5:$A$11,0)),"③ 통장·카드에 없는 결제수단입니다",IF($D125="","계정과목을 고르십시오",IF($E125="※없는 과목","④ 설정에 없는 과목입니다",IF(AND($E125="수입",$J125&gt;0),"수입 과목인데 지출에 적혔습니다",IF(AND(LEFT($E125,2)&lt;&gt;"수입",$E125&lt;&gt;"대체",$I125&gt;0),"지출 과목인데 수입에 적혔습니다",IF($K125="","증빙을 고르십시오",IF($H125="","적요를 적으십시오","")))))))))))</f>
        <v/>
      </c>
      <c r="M125" s="39"/>
      <c r="O125" s="11" t="str">
        <f aca="false">IF($B125="","",YEAR($B125)*100+MONTH($B125))</f>
        <v/>
      </c>
      <c r="P125" s="11" t="str">
        <f aca="false">IF($B125="","",IF($E125="대체",0,1))</f>
        <v/>
      </c>
    </row>
    <row r="126" customFormat="false" ht="15" hidden="false" customHeight="false" outlineLevel="0" collapsed="false">
      <c r="A126" s="36" t="str">
        <f aca="false">IF($B126="","",COUNT($B$15:$B126))</f>
        <v/>
      </c>
      <c r="B126" s="37"/>
      <c r="C126" s="38"/>
      <c r="D126" s="20"/>
      <c r="E126" s="36" t="str">
        <f aca="false">IF($D126="","",IFERROR(INDEX('교육원 ④ 설정'!$A$6:$A$40,MATCH($D126,'교육원 ④ 설정'!$B$6:$B$40,0)),"※없는 과목"))</f>
        <v/>
      </c>
      <c r="F126" s="36" t="str">
        <f aca="false">IF($D126="","",IFERROR(INDEX('교육원 ④ 설정'!$C$6:$C$40,MATCH($D126,'교육원 ④ 설정'!$B$6:$B$40,0)),""))</f>
        <v/>
      </c>
      <c r="G126" s="39"/>
      <c r="H126" s="39"/>
      <c r="I126" s="40"/>
      <c r="J126" s="41"/>
      <c r="K126" s="38"/>
      <c r="L126" s="42" t="str">
        <f aca="false">IF($B126="","",IF(AND(N($I126)=0,N($J126)=0),"금액이 없습니다",IF(AND($I126&gt;0,$J126&gt;0),"수입·지출 둘 다 적혔습니다",IF($C126="","결제수단을 고르십시오",IF(ISNA(MATCH($C126,'교육원 ③ 통장·카드'!$A$5:$A$11,0)),"③ 통장·카드에 없는 결제수단입니다",IF($D126="","계정과목을 고르십시오",IF($E126="※없는 과목","④ 설정에 없는 과목입니다",IF(AND($E126="수입",$J126&gt;0),"수입 과목인데 지출에 적혔습니다",IF(AND(LEFT($E126,2)&lt;&gt;"수입",$E126&lt;&gt;"대체",$I126&gt;0),"지출 과목인데 수입에 적혔습니다",IF($K126="","증빙을 고르십시오",IF($H126="","적요를 적으십시오","")))))))))))</f>
        <v/>
      </c>
      <c r="M126" s="39"/>
      <c r="O126" s="11" t="str">
        <f aca="false">IF($B126="","",YEAR($B126)*100+MONTH($B126))</f>
        <v/>
      </c>
      <c r="P126" s="11" t="str">
        <f aca="false">IF($B126="","",IF($E126="대체",0,1))</f>
        <v/>
      </c>
    </row>
    <row r="127" customFormat="false" ht="15" hidden="false" customHeight="false" outlineLevel="0" collapsed="false">
      <c r="A127" s="36" t="str">
        <f aca="false">IF($B127="","",COUNT($B$15:$B127))</f>
        <v/>
      </c>
      <c r="B127" s="37"/>
      <c r="C127" s="38"/>
      <c r="D127" s="20"/>
      <c r="E127" s="36" t="str">
        <f aca="false">IF($D127="","",IFERROR(INDEX('교육원 ④ 설정'!$A$6:$A$40,MATCH($D127,'교육원 ④ 설정'!$B$6:$B$40,0)),"※없는 과목"))</f>
        <v/>
      </c>
      <c r="F127" s="36" t="str">
        <f aca="false">IF($D127="","",IFERROR(INDEX('교육원 ④ 설정'!$C$6:$C$40,MATCH($D127,'교육원 ④ 설정'!$B$6:$B$40,0)),""))</f>
        <v/>
      </c>
      <c r="G127" s="39"/>
      <c r="H127" s="39"/>
      <c r="I127" s="40"/>
      <c r="J127" s="41"/>
      <c r="K127" s="38"/>
      <c r="L127" s="42" t="str">
        <f aca="false">IF($B127="","",IF(AND(N($I127)=0,N($J127)=0),"금액이 없습니다",IF(AND($I127&gt;0,$J127&gt;0),"수입·지출 둘 다 적혔습니다",IF($C127="","결제수단을 고르십시오",IF(ISNA(MATCH($C127,'교육원 ③ 통장·카드'!$A$5:$A$11,0)),"③ 통장·카드에 없는 결제수단입니다",IF($D127="","계정과목을 고르십시오",IF($E127="※없는 과목","④ 설정에 없는 과목입니다",IF(AND($E127="수입",$J127&gt;0),"수입 과목인데 지출에 적혔습니다",IF(AND(LEFT($E127,2)&lt;&gt;"수입",$E127&lt;&gt;"대체",$I127&gt;0),"지출 과목인데 수입에 적혔습니다",IF($K127="","증빙을 고르십시오",IF($H127="","적요를 적으십시오","")))))))))))</f>
        <v/>
      </c>
      <c r="M127" s="39"/>
      <c r="O127" s="11" t="str">
        <f aca="false">IF($B127="","",YEAR($B127)*100+MONTH($B127))</f>
        <v/>
      </c>
      <c r="P127" s="11" t="str">
        <f aca="false">IF($B127="","",IF($E127="대체",0,1))</f>
        <v/>
      </c>
    </row>
    <row r="128" customFormat="false" ht="15" hidden="false" customHeight="false" outlineLevel="0" collapsed="false">
      <c r="A128" s="36" t="str">
        <f aca="false">IF($B128="","",COUNT($B$15:$B128))</f>
        <v/>
      </c>
      <c r="B128" s="37"/>
      <c r="C128" s="38"/>
      <c r="D128" s="20"/>
      <c r="E128" s="36" t="str">
        <f aca="false">IF($D128="","",IFERROR(INDEX('교육원 ④ 설정'!$A$6:$A$40,MATCH($D128,'교육원 ④ 설정'!$B$6:$B$40,0)),"※없는 과목"))</f>
        <v/>
      </c>
      <c r="F128" s="36" t="str">
        <f aca="false">IF($D128="","",IFERROR(INDEX('교육원 ④ 설정'!$C$6:$C$40,MATCH($D128,'교육원 ④ 설정'!$B$6:$B$40,0)),""))</f>
        <v/>
      </c>
      <c r="G128" s="39"/>
      <c r="H128" s="39"/>
      <c r="I128" s="40"/>
      <c r="J128" s="41"/>
      <c r="K128" s="38"/>
      <c r="L128" s="42" t="str">
        <f aca="false">IF($B128="","",IF(AND(N($I128)=0,N($J128)=0),"금액이 없습니다",IF(AND($I128&gt;0,$J128&gt;0),"수입·지출 둘 다 적혔습니다",IF($C128="","결제수단을 고르십시오",IF(ISNA(MATCH($C128,'교육원 ③ 통장·카드'!$A$5:$A$11,0)),"③ 통장·카드에 없는 결제수단입니다",IF($D128="","계정과목을 고르십시오",IF($E128="※없는 과목","④ 설정에 없는 과목입니다",IF(AND($E128="수입",$J128&gt;0),"수입 과목인데 지출에 적혔습니다",IF(AND(LEFT($E128,2)&lt;&gt;"수입",$E128&lt;&gt;"대체",$I128&gt;0),"지출 과목인데 수입에 적혔습니다",IF($K128="","증빙을 고르십시오",IF($H128="","적요를 적으십시오","")))))))))))</f>
        <v/>
      </c>
      <c r="M128" s="39"/>
      <c r="O128" s="11" t="str">
        <f aca="false">IF($B128="","",YEAR($B128)*100+MONTH($B128))</f>
        <v/>
      </c>
      <c r="P128" s="11" t="str">
        <f aca="false">IF($B128="","",IF($E128="대체",0,1))</f>
        <v/>
      </c>
    </row>
    <row r="129" customFormat="false" ht="15" hidden="false" customHeight="false" outlineLevel="0" collapsed="false">
      <c r="A129" s="36" t="str">
        <f aca="false">IF($B129="","",COUNT($B$15:$B129))</f>
        <v/>
      </c>
      <c r="B129" s="37"/>
      <c r="C129" s="38"/>
      <c r="D129" s="20"/>
      <c r="E129" s="36" t="str">
        <f aca="false">IF($D129="","",IFERROR(INDEX('교육원 ④ 설정'!$A$6:$A$40,MATCH($D129,'교육원 ④ 설정'!$B$6:$B$40,0)),"※없는 과목"))</f>
        <v/>
      </c>
      <c r="F129" s="36" t="str">
        <f aca="false">IF($D129="","",IFERROR(INDEX('교육원 ④ 설정'!$C$6:$C$40,MATCH($D129,'교육원 ④ 설정'!$B$6:$B$40,0)),""))</f>
        <v/>
      </c>
      <c r="G129" s="39"/>
      <c r="H129" s="39"/>
      <c r="I129" s="40"/>
      <c r="J129" s="41"/>
      <c r="K129" s="38"/>
      <c r="L129" s="42" t="str">
        <f aca="false">IF($B129="","",IF(AND(N($I129)=0,N($J129)=0),"금액이 없습니다",IF(AND($I129&gt;0,$J129&gt;0),"수입·지출 둘 다 적혔습니다",IF($C129="","결제수단을 고르십시오",IF(ISNA(MATCH($C129,'교육원 ③ 통장·카드'!$A$5:$A$11,0)),"③ 통장·카드에 없는 결제수단입니다",IF($D129="","계정과목을 고르십시오",IF($E129="※없는 과목","④ 설정에 없는 과목입니다",IF(AND($E129="수입",$J129&gt;0),"수입 과목인데 지출에 적혔습니다",IF(AND(LEFT($E129,2)&lt;&gt;"수입",$E129&lt;&gt;"대체",$I129&gt;0),"지출 과목인데 수입에 적혔습니다",IF($K129="","증빙을 고르십시오",IF($H129="","적요를 적으십시오","")))))))))))</f>
        <v/>
      </c>
      <c r="M129" s="39"/>
      <c r="O129" s="11" t="str">
        <f aca="false">IF($B129="","",YEAR($B129)*100+MONTH($B129))</f>
        <v/>
      </c>
      <c r="P129" s="11" t="str">
        <f aca="false">IF($B129="","",IF($E129="대체",0,1))</f>
        <v/>
      </c>
    </row>
    <row r="130" customFormat="false" ht="15" hidden="false" customHeight="false" outlineLevel="0" collapsed="false">
      <c r="A130" s="36" t="str">
        <f aca="false">IF($B130="","",COUNT($B$15:$B130))</f>
        <v/>
      </c>
      <c r="B130" s="37"/>
      <c r="C130" s="38"/>
      <c r="D130" s="20"/>
      <c r="E130" s="36" t="str">
        <f aca="false">IF($D130="","",IFERROR(INDEX('교육원 ④ 설정'!$A$6:$A$40,MATCH($D130,'교육원 ④ 설정'!$B$6:$B$40,0)),"※없는 과목"))</f>
        <v/>
      </c>
      <c r="F130" s="36" t="str">
        <f aca="false">IF($D130="","",IFERROR(INDEX('교육원 ④ 설정'!$C$6:$C$40,MATCH($D130,'교육원 ④ 설정'!$B$6:$B$40,0)),""))</f>
        <v/>
      </c>
      <c r="G130" s="39"/>
      <c r="H130" s="39"/>
      <c r="I130" s="40"/>
      <c r="J130" s="41"/>
      <c r="K130" s="38"/>
      <c r="L130" s="42" t="str">
        <f aca="false">IF($B130="","",IF(AND(N($I130)=0,N($J130)=0),"금액이 없습니다",IF(AND($I130&gt;0,$J130&gt;0),"수입·지출 둘 다 적혔습니다",IF($C130="","결제수단을 고르십시오",IF(ISNA(MATCH($C130,'교육원 ③ 통장·카드'!$A$5:$A$11,0)),"③ 통장·카드에 없는 결제수단입니다",IF($D130="","계정과목을 고르십시오",IF($E130="※없는 과목","④ 설정에 없는 과목입니다",IF(AND($E130="수입",$J130&gt;0),"수입 과목인데 지출에 적혔습니다",IF(AND(LEFT($E130,2)&lt;&gt;"수입",$E130&lt;&gt;"대체",$I130&gt;0),"지출 과목인데 수입에 적혔습니다",IF($K130="","증빙을 고르십시오",IF($H130="","적요를 적으십시오","")))))))))))</f>
        <v/>
      </c>
      <c r="M130" s="39"/>
      <c r="O130" s="11" t="str">
        <f aca="false">IF($B130="","",YEAR($B130)*100+MONTH($B130))</f>
        <v/>
      </c>
      <c r="P130" s="11" t="str">
        <f aca="false">IF($B130="","",IF($E130="대체",0,1))</f>
        <v/>
      </c>
    </row>
    <row r="131" customFormat="false" ht="15" hidden="false" customHeight="false" outlineLevel="0" collapsed="false">
      <c r="A131" s="36" t="str">
        <f aca="false">IF($B131="","",COUNT($B$15:$B131))</f>
        <v/>
      </c>
      <c r="B131" s="37"/>
      <c r="C131" s="38"/>
      <c r="D131" s="20"/>
      <c r="E131" s="36" t="str">
        <f aca="false">IF($D131="","",IFERROR(INDEX('교육원 ④ 설정'!$A$6:$A$40,MATCH($D131,'교육원 ④ 설정'!$B$6:$B$40,0)),"※없는 과목"))</f>
        <v/>
      </c>
      <c r="F131" s="36" t="str">
        <f aca="false">IF($D131="","",IFERROR(INDEX('교육원 ④ 설정'!$C$6:$C$40,MATCH($D131,'교육원 ④ 설정'!$B$6:$B$40,0)),""))</f>
        <v/>
      </c>
      <c r="G131" s="39"/>
      <c r="H131" s="39"/>
      <c r="I131" s="40"/>
      <c r="J131" s="41"/>
      <c r="K131" s="38"/>
      <c r="L131" s="42" t="str">
        <f aca="false">IF($B131="","",IF(AND(N($I131)=0,N($J131)=0),"금액이 없습니다",IF(AND($I131&gt;0,$J131&gt;0),"수입·지출 둘 다 적혔습니다",IF($C131="","결제수단을 고르십시오",IF(ISNA(MATCH($C131,'교육원 ③ 통장·카드'!$A$5:$A$11,0)),"③ 통장·카드에 없는 결제수단입니다",IF($D131="","계정과목을 고르십시오",IF($E131="※없는 과목","④ 설정에 없는 과목입니다",IF(AND($E131="수입",$J131&gt;0),"수입 과목인데 지출에 적혔습니다",IF(AND(LEFT($E131,2)&lt;&gt;"수입",$E131&lt;&gt;"대체",$I131&gt;0),"지출 과목인데 수입에 적혔습니다",IF($K131="","증빙을 고르십시오",IF($H131="","적요를 적으십시오","")))))))))))</f>
        <v/>
      </c>
      <c r="M131" s="39"/>
      <c r="O131" s="11" t="str">
        <f aca="false">IF($B131="","",YEAR($B131)*100+MONTH($B131))</f>
        <v/>
      </c>
      <c r="P131" s="11" t="str">
        <f aca="false">IF($B131="","",IF($E131="대체",0,1))</f>
        <v/>
      </c>
    </row>
    <row r="132" customFormat="false" ht="15" hidden="false" customHeight="false" outlineLevel="0" collapsed="false">
      <c r="A132" s="36" t="str">
        <f aca="false">IF($B132="","",COUNT($B$15:$B132))</f>
        <v/>
      </c>
      <c r="B132" s="37"/>
      <c r="C132" s="38"/>
      <c r="D132" s="20"/>
      <c r="E132" s="36" t="str">
        <f aca="false">IF($D132="","",IFERROR(INDEX('교육원 ④ 설정'!$A$6:$A$40,MATCH($D132,'교육원 ④ 설정'!$B$6:$B$40,0)),"※없는 과목"))</f>
        <v/>
      </c>
      <c r="F132" s="36" t="str">
        <f aca="false">IF($D132="","",IFERROR(INDEX('교육원 ④ 설정'!$C$6:$C$40,MATCH($D132,'교육원 ④ 설정'!$B$6:$B$40,0)),""))</f>
        <v/>
      </c>
      <c r="G132" s="39"/>
      <c r="H132" s="39"/>
      <c r="I132" s="40"/>
      <c r="J132" s="41"/>
      <c r="K132" s="38"/>
      <c r="L132" s="42" t="str">
        <f aca="false">IF($B132="","",IF(AND(N($I132)=0,N($J132)=0),"금액이 없습니다",IF(AND($I132&gt;0,$J132&gt;0),"수입·지출 둘 다 적혔습니다",IF($C132="","결제수단을 고르십시오",IF(ISNA(MATCH($C132,'교육원 ③ 통장·카드'!$A$5:$A$11,0)),"③ 통장·카드에 없는 결제수단입니다",IF($D132="","계정과목을 고르십시오",IF($E132="※없는 과목","④ 설정에 없는 과목입니다",IF(AND($E132="수입",$J132&gt;0),"수입 과목인데 지출에 적혔습니다",IF(AND(LEFT($E132,2)&lt;&gt;"수입",$E132&lt;&gt;"대체",$I132&gt;0),"지출 과목인데 수입에 적혔습니다",IF($K132="","증빙을 고르십시오",IF($H132="","적요를 적으십시오","")))))))))))</f>
        <v/>
      </c>
      <c r="M132" s="39"/>
      <c r="O132" s="11" t="str">
        <f aca="false">IF($B132="","",YEAR($B132)*100+MONTH($B132))</f>
        <v/>
      </c>
      <c r="P132" s="11" t="str">
        <f aca="false">IF($B132="","",IF($E132="대체",0,1))</f>
        <v/>
      </c>
    </row>
    <row r="133" customFormat="false" ht="15" hidden="false" customHeight="false" outlineLevel="0" collapsed="false">
      <c r="A133" s="36" t="str">
        <f aca="false">IF($B133="","",COUNT($B$15:$B133))</f>
        <v/>
      </c>
      <c r="B133" s="37"/>
      <c r="C133" s="38"/>
      <c r="D133" s="20"/>
      <c r="E133" s="36" t="str">
        <f aca="false">IF($D133="","",IFERROR(INDEX('교육원 ④ 설정'!$A$6:$A$40,MATCH($D133,'교육원 ④ 설정'!$B$6:$B$40,0)),"※없는 과목"))</f>
        <v/>
      </c>
      <c r="F133" s="36" t="str">
        <f aca="false">IF($D133="","",IFERROR(INDEX('교육원 ④ 설정'!$C$6:$C$40,MATCH($D133,'교육원 ④ 설정'!$B$6:$B$40,0)),""))</f>
        <v/>
      </c>
      <c r="G133" s="39"/>
      <c r="H133" s="39"/>
      <c r="I133" s="40"/>
      <c r="J133" s="41"/>
      <c r="K133" s="38"/>
      <c r="L133" s="42" t="str">
        <f aca="false">IF($B133="","",IF(AND(N($I133)=0,N($J133)=0),"금액이 없습니다",IF(AND($I133&gt;0,$J133&gt;0),"수입·지출 둘 다 적혔습니다",IF($C133="","결제수단을 고르십시오",IF(ISNA(MATCH($C133,'교육원 ③ 통장·카드'!$A$5:$A$11,0)),"③ 통장·카드에 없는 결제수단입니다",IF($D133="","계정과목을 고르십시오",IF($E133="※없는 과목","④ 설정에 없는 과목입니다",IF(AND($E133="수입",$J133&gt;0),"수입 과목인데 지출에 적혔습니다",IF(AND(LEFT($E133,2)&lt;&gt;"수입",$E133&lt;&gt;"대체",$I133&gt;0),"지출 과목인데 수입에 적혔습니다",IF($K133="","증빙을 고르십시오",IF($H133="","적요를 적으십시오","")))))))))))</f>
        <v/>
      </c>
      <c r="M133" s="39"/>
      <c r="O133" s="11" t="str">
        <f aca="false">IF($B133="","",YEAR($B133)*100+MONTH($B133))</f>
        <v/>
      </c>
      <c r="P133" s="11" t="str">
        <f aca="false">IF($B133="","",IF($E133="대체",0,1))</f>
        <v/>
      </c>
    </row>
    <row r="134" customFormat="false" ht="15" hidden="false" customHeight="false" outlineLevel="0" collapsed="false">
      <c r="A134" s="36" t="str">
        <f aca="false">IF($B134="","",COUNT($B$15:$B134))</f>
        <v/>
      </c>
      <c r="B134" s="37"/>
      <c r="C134" s="38"/>
      <c r="D134" s="20"/>
      <c r="E134" s="36" t="str">
        <f aca="false">IF($D134="","",IFERROR(INDEX('교육원 ④ 설정'!$A$6:$A$40,MATCH($D134,'교육원 ④ 설정'!$B$6:$B$40,0)),"※없는 과목"))</f>
        <v/>
      </c>
      <c r="F134" s="36" t="str">
        <f aca="false">IF($D134="","",IFERROR(INDEX('교육원 ④ 설정'!$C$6:$C$40,MATCH($D134,'교육원 ④ 설정'!$B$6:$B$40,0)),""))</f>
        <v/>
      </c>
      <c r="G134" s="39"/>
      <c r="H134" s="39"/>
      <c r="I134" s="40"/>
      <c r="J134" s="41"/>
      <c r="K134" s="38"/>
      <c r="L134" s="42" t="str">
        <f aca="false">IF($B134="","",IF(AND(N($I134)=0,N($J134)=0),"금액이 없습니다",IF(AND($I134&gt;0,$J134&gt;0),"수입·지출 둘 다 적혔습니다",IF($C134="","결제수단을 고르십시오",IF(ISNA(MATCH($C134,'교육원 ③ 통장·카드'!$A$5:$A$11,0)),"③ 통장·카드에 없는 결제수단입니다",IF($D134="","계정과목을 고르십시오",IF($E134="※없는 과목","④ 설정에 없는 과목입니다",IF(AND($E134="수입",$J134&gt;0),"수입 과목인데 지출에 적혔습니다",IF(AND(LEFT($E134,2)&lt;&gt;"수입",$E134&lt;&gt;"대체",$I134&gt;0),"지출 과목인데 수입에 적혔습니다",IF($K134="","증빙을 고르십시오",IF($H134="","적요를 적으십시오","")))))))))))</f>
        <v/>
      </c>
      <c r="M134" s="39"/>
      <c r="O134" s="11" t="str">
        <f aca="false">IF($B134="","",YEAR($B134)*100+MONTH($B134))</f>
        <v/>
      </c>
      <c r="P134" s="11" t="str">
        <f aca="false">IF($B134="","",IF($E134="대체",0,1))</f>
        <v/>
      </c>
    </row>
    <row r="135" customFormat="false" ht="15" hidden="false" customHeight="false" outlineLevel="0" collapsed="false">
      <c r="A135" s="36" t="str">
        <f aca="false">IF($B135="","",COUNT($B$15:$B135))</f>
        <v/>
      </c>
      <c r="B135" s="37"/>
      <c r="C135" s="38"/>
      <c r="D135" s="20"/>
      <c r="E135" s="36" t="str">
        <f aca="false">IF($D135="","",IFERROR(INDEX('교육원 ④ 설정'!$A$6:$A$40,MATCH($D135,'교육원 ④ 설정'!$B$6:$B$40,0)),"※없는 과목"))</f>
        <v/>
      </c>
      <c r="F135" s="36" t="str">
        <f aca="false">IF($D135="","",IFERROR(INDEX('교육원 ④ 설정'!$C$6:$C$40,MATCH($D135,'교육원 ④ 설정'!$B$6:$B$40,0)),""))</f>
        <v/>
      </c>
      <c r="G135" s="39"/>
      <c r="H135" s="39"/>
      <c r="I135" s="40"/>
      <c r="J135" s="41"/>
      <c r="K135" s="38"/>
      <c r="L135" s="42" t="str">
        <f aca="false">IF($B135="","",IF(AND(N($I135)=0,N($J135)=0),"금액이 없습니다",IF(AND($I135&gt;0,$J135&gt;0),"수입·지출 둘 다 적혔습니다",IF($C135="","결제수단을 고르십시오",IF(ISNA(MATCH($C135,'교육원 ③ 통장·카드'!$A$5:$A$11,0)),"③ 통장·카드에 없는 결제수단입니다",IF($D135="","계정과목을 고르십시오",IF($E135="※없는 과목","④ 설정에 없는 과목입니다",IF(AND($E135="수입",$J135&gt;0),"수입 과목인데 지출에 적혔습니다",IF(AND(LEFT($E135,2)&lt;&gt;"수입",$E135&lt;&gt;"대체",$I135&gt;0),"지출 과목인데 수입에 적혔습니다",IF($K135="","증빙을 고르십시오",IF($H135="","적요를 적으십시오","")))))))))))</f>
        <v/>
      </c>
      <c r="M135" s="39"/>
      <c r="O135" s="11" t="str">
        <f aca="false">IF($B135="","",YEAR($B135)*100+MONTH($B135))</f>
        <v/>
      </c>
      <c r="P135" s="11" t="str">
        <f aca="false">IF($B135="","",IF($E135="대체",0,1))</f>
        <v/>
      </c>
    </row>
    <row r="136" customFormat="false" ht="15" hidden="false" customHeight="false" outlineLevel="0" collapsed="false">
      <c r="A136" s="36" t="str">
        <f aca="false">IF($B136="","",COUNT($B$15:$B136))</f>
        <v/>
      </c>
      <c r="B136" s="37"/>
      <c r="C136" s="38"/>
      <c r="D136" s="20"/>
      <c r="E136" s="36" t="str">
        <f aca="false">IF($D136="","",IFERROR(INDEX('교육원 ④ 설정'!$A$6:$A$40,MATCH($D136,'교육원 ④ 설정'!$B$6:$B$40,0)),"※없는 과목"))</f>
        <v/>
      </c>
      <c r="F136" s="36" t="str">
        <f aca="false">IF($D136="","",IFERROR(INDEX('교육원 ④ 설정'!$C$6:$C$40,MATCH($D136,'교육원 ④ 설정'!$B$6:$B$40,0)),""))</f>
        <v/>
      </c>
      <c r="G136" s="39"/>
      <c r="H136" s="39"/>
      <c r="I136" s="40"/>
      <c r="J136" s="41"/>
      <c r="K136" s="38"/>
      <c r="L136" s="42" t="str">
        <f aca="false">IF($B136="","",IF(AND(N($I136)=0,N($J136)=0),"금액이 없습니다",IF(AND($I136&gt;0,$J136&gt;0),"수입·지출 둘 다 적혔습니다",IF($C136="","결제수단을 고르십시오",IF(ISNA(MATCH($C136,'교육원 ③ 통장·카드'!$A$5:$A$11,0)),"③ 통장·카드에 없는 결제수단입니다",IF($D136="","계정과목을 고르십시오",IF($E136="※없는 과목","④ 설정에 없는 과목입니다",IF(AND($E136="수입",$J136&gt;0),"수입 과목인데 지출에 적혔습니다",IF(AND(LEFT($E136,2)&lt;&gt;"수입",$E136&lt;&gt;"대체",$I136&gt;0),"지출 과목인데 수입에 적혔습니다",IF($K136="","증빙을 고르십시오",IF($H136="","적요를 적으십시오","")))))))))))</f>
        <v/>
      </c>
      <c r="M136" s="39"/>
      <c r="O136" s="11" t="str">
        <f aca="false">IF($B136="","",YEAR($B136)*100+MONTH($B136))</f>
        <v/>
      </c>
      <c r="P136" s="11" t="str">
        <f aca="false">IF($B136="","",IF($E136="대체",0,1))</f>
        <v/>
      </c>
    </row>
    <row r="137" customFormat="false" ht="15" hidden="false" customHeight="false" outlineLevel="0" collapsed="false">
      <c r="A137" s="36" t="str">
        <f aca="false">IF($B137="","",COUNT($B$15:$B137))</f>
        <v/>
      </c>
      <c r="B137" s="37"/>
      <c r="C137" s="38"/>
      <c r="D137" s="20"/>
      <c r="E137" s="36" t="str">
        <f aca="false">IF($D137="","",IFERROR(INDEX('교육원 ④ 설정'!$A$6:$A$40,MATCH($D137,'교육원 ④ 설정'!$B$6:$B$40,0)),"※없는 과목"))</f>
        <v/>
      </c>
      <c r="F137" s="36" t="str">
        <f aca="false">IF($D137="","",IFERROR(INDEX('교육원 ④ 설정'!$C$6:$C$40,MATCH($D137,'교육원 ④ 설정'!$B$6:$B$40,0)),""))</f>
        <v/>
      </c>
      <c r="G137" s="39"/>
      <c r="H137" s="39"/>
      <c r="I137" s="40"/>
      <c r="J137" s="41"/>
      <c r="K137" s="38"/>
      <c r="L137" s="42" t="str">
        <f aca="false">IF($B137="","",IF(AND(N($I137)=0,N($J137)=0),"금액이 없습니다",IF(AND($I137&gt;0,$J137&gt;0),"수입·지출 둘 다 적혔습니다",IF($C137="","결제수단을 고르십시오",IF(ISNA(MATCH($C137,'교육원 ③ 통장·카드'!$A$5:$A$11,0)),"③ 통장·카드에 없는 결제수단입니다",IF($D137="","계정과목을 고르십시오",IF($E137="※없는 과목","④ 설정에 없는 과목입니다",IF(AND($E137="수입",$J137&gt;0),"수입 과목인데 지출에 적혔습니다",IF(AND(LEFT($E137,2)&lt;&gt;"수입",$E137&lt;&gt;"대체",$I137&gt;0),"지출 과목인데 수입에 적혔습니다",IF($K137="","증빙을 고르십시오",IF($H137="","적요를 적으십시오","")))))))))))</f>
        <v/>
      </c>
      <c r="M137" s="39"/>
      <c r="O137" s="11" t="str">
        <f aca="false">IF($B137="","",YEAR($B137)*100+MONTH($B137))</f>
        <v/>
      </c>
      <c r="P137" s="11" t="str">
        <f aca="false">IF($B137="","",IF($E137="대체",0,1))</f>
        <v/>
      </c>
    </row>
    <row r="138" customFormat="false" ht="15" hidden="false" customHeight="false" outlineLevel="0" collapsed="false">
      <c r="A138" s="36" t="str">
        <f aca="false">IF($B138="","",COUNT($B$15:$B138))</f>
        <v/>
      </c>
      <c r="B138" s="37"/>
      <c r="C138" s="38"/>
      <c r="D138" s="20"/>
      <c r="E138" s="36" t="str">
        <f aca="false">IF($D138="","",IFERROR(INDEX('교육원 ④ 설정'!$A$6:$A$40,MATCH($D138,'교육원 ④ 설정'!$B$6:$B$40,0)),"※없는 과목"))</f>
        <v/>
      </c>
      <c r="F138" s="36" t="str">
        <f aca="false">IF($D138="","",IFERROR(INDEX('교육원 ④ 설정'!$C$6:$C$40,MATCH($D138,'교육원 ④ 설정'!$B$6:$B$40,0)),""))</f>
        <v/>
      </c>
      <c r="G138" s="39"/>
      <c r="H138" s="39"/>
      <c r="I138" s="40"/>
      <c r="J138" s="41"/>
      <c r="K138" s="38"/>
      <c r="L138" s="42" t="str">
        <f aca="false">IF($B138="","",IF(AND(N($I138)=0,N($J138)=0),"금액이 없습니다",IF(AND($I138&gt;0,$J138&gt;0),"수입·지출 둘 다 적혔습니다",IF($C138="","결제수단을 고르십시오",IF(ISNA(MATCH($C138,'교육원 ③ 통장·카드'!$A$5:$A$11,0)),"③ 통장·카드에 없는 결제수단입니다",IF($D138="","계정과목을 고르십시오",IF($E138="※없는 과목","④ 설정에 없는 과목입니다",IF(AND($E138="수입",$J138&gt;0),"수입 과목인데 지출에 적혔습니다",IF(AND(LEFT($E138,2)&lt;&gt;"수입",$E138&lt;&gt;"대체",$I138&gt;0),"지출 과목인데 수입에 적혔습니다",IF($K138="","증빙을 고르십시오",IF($H138="","적요를 적으십시오","")))))))))))</f>
        <v/>
      </c>
      <c r="M138" s="39"/>
      <c r="O138" s="11" t="str">
        <f aca="false">IF($B138="","",YEAR($B138)*100+MONTH($B138))</f>
        <v/>
      </c>
      <c r="P138" s="11" t="str">
        <f aca="false">IF($B138="","",IF($E138="대체",0,1))</f>
        <v/>
      </c>
    </row>
    <row r="139" customFormat="false" ht="15" hidden="false" customHeight="false" outlineLevel="0" collapsed="false">
      <c r="A139" s="36" t="str">
        <f aca="false">IF($B139="","",COUNT($B$15:$B139))</f>
        <v/>
      </c>
      <c r="B139" s="37"/>
      <c r="C139" s="38"/>
      <c r="D139" s="20"/>
      <c r="E139" s="36" t="str">
        <f aca="false">IF($D139="","",IFERROR(INDEX('교육원 ④ 설정'!$A$6:$A$40,MATCH($D139,'교육원 ④ 설정'!$B$6:$B$40,0)),"※없는 과목"))</f>
        <v/>
      </c>
      <c r="F139" s="36" t="str">
        <f aca="false">IF($D139="","",IFERROR(INDEX('교육원 ④ 설정'!$C$6:$C$40,MATCH($D139,'교육원 ④ 설정'!$B$6:$B$40,0)),""))</f>
        <v/>
      </c>
      <c r="G139" s="39"/>
      <c r="H139" s="39"/>
      <c r="I139" s="40"/>
      <c r="J139" s="41"/>
      <c r="K139" s="38"/>
      <c r="L139" s="42" t="str">
        <f aca="false">IF($B139="","",IF(AND(N($I139)=0,N($J139)=0),"금액이 없습니다",IF(AND($I139&gt;0,$J139&gt;0),"수입·지출 둘 다 적혔습니다",IF($C139="","결제수단을 고르십시오",IF(ISNA(MATCH($C139,'교육원 ③ 통장·카드'!$A$5:$A$11,0)),"③ 통장·카드에 없는 결제수단입니다",IF($D139="","계정과목을 고르십시오",IF($E139="※없는 과목","④ 설정에 없는 과목입니다",IF(AND($E139="수입",$J139&gt;0),"수입 과목인데 지출에 적혔습니다",IF(AND(LEFT($E139,2)&lt;&gt;"수입",$E139&lt;&gt;"대체",$I139&gt;0),"지출 과목인데 수입에 적혔습니다",IF($K139="","증빙을 고르십시오",IF($H139="","적요를 적으십시오","")))))))))))</f>
        <v/>
      </c>
      <c r="M139" s="39"/>
      <c r="O139" s="11" t="str">
        <f aca="false">IF($B139="","",YEAR($B139)*100+MONTH($B139))</f>
        <v/>
      </c>
      <c r="P139" s="11" t="str">
        <f aca="false">IF($B139="","",IF($E139="대체",0,1))</f>
        <v/>
      </c>
    </row>
    <row r="140" customFormat="false" ht="15" hidden="false" customHeight="false" outlineLevel="0" collapsed="false">
      <c r="A140" s="36" t="str">
        <f aca="false">IF($B140="","",COUNT($B$15:$B140))</f>
        <v/>
      </c>
      <c r="B140" s="37"/>
      <c r="C140" s="38"/>
      <c r="D140" s="20"/>
      <c r="E140" s="36" t="str">
        <f aca="false">IF($D140="","",IFERROR(INDEX('교육원 ④ 설정'!$A$6:$A$40,MATCH($D140,'교육원 ④ 설정'!$B$6:$B$40,0)),"※없는 과목"))</f>
        <v/>
      </c>
      <c r="F140" s="36" t="str">
        <f aca="false">IF($D140="","",IFERROR(INDEX('교육원 ④ 설정'!$C$6:$C$40,MATCH($D140,'교육원 ④ 설정'!$B$6:$B$40,0)),""))</f>
        <v/>
      </c>
      <c r="G140" s="39"/>
      <c r="H140" s="39"/>
      <c r="I140" s="40"/>
      <c r="J140" s="41"/>
      <c r="K140" s="38"/>
      <c r="L140" s="42" t="str">
        <f aca="false">IF($B140="","",IF(AND(N($I140)=0,N($J140)=0),"금액이 없습니다",IF(AND($I140&gt;0,$J140&gt;0),"수입·지출 둘 다 적혔습니다",IF($C140="","결제수단을 고르십시오",IF(ISNA(MATCH($C140,'교육원 ③ 통장·카드'!$A$5:$A$11,0)),"③ 통장·카드에 없는 결제수단입니다",IF($D140="","계정과목을 고르십시오",IF($E140="※없는 과목","④ 설정에 없는 과목입니다",IF(AND($E140="수입",$J140&gt;0),"수입 과목인데 지출에 적혔습니다",IF(AND(LEFT($E140,2)&lt;&gt;"수입",$E140&lt;&gt;"대체",$I140&gt;0),"지출 과목인데 수입에 적혔습니다",IF($K140="","증빙을 고르십시오",IF($H140="","적요를 적으십시오","")))))))))))</f>
        <v/>
      </c>
      <c r="M140" s="39"/>
      <c r="O140" s="11" t="str">
        <f aca="false">IF($B140="","",YEAR($B140)*100+MONTH($B140))</f>
        <v/>
      </c>
      <c r="P140" s="11" t="str">
        <f aca="false">IF($B140="","",IF($E140="대체",0,1))</f>
        <v/>
      </c>
    </row>
    <row r="141" customFormat="false" ht="15" hidden="false" customHeight="false" outlineLevel="0" collapsed="false">
      <c r="A141" s="36" t="str">
        <f aca="false">IF($B141="","",COUNT($B$15:$B141))</f>
        <v/>
      </c>
      <c r="B141" s="37"/>
      <c r="C141" s="38"/>
      <c r="D141" s="20"/>
      <c r="E141" s="36" t="str">
        <f aca="false">IF($D141="","",IFERROR(INDEX('교육원 ④ 설정'!$A$6:$A$40,MATCH($D141,'교육원 ④ 설정'!$B$6:$B$40,0)),"※없는 과목"))</f>
        <v/>
      </c>
      <c r="F141" s="36" t="str">
        <f aca="false">IF($D141="","",IFERROR(INDEX('교육원 ④ 설정'!$C$6:$C$40,MATCH($D141,'교육원 ④ 설정'!$B$6:$B$40,0)),""))</f>
        <v/>
      </c>
      <c r="G141" s="39"/>
      <c r="H141" s="39"/>
      <c r="I141" s="40"/>
      <c r="J141" s="41"/>
      <c r="K141" s="38"/>
      <c r="L141" s="42" t="str">
        <f aca="false">IF($B141="","",IF(AND(N($I141)=0,N($J141)=0),"금액이 없습니다",IF(AND($I141&gt;0,$J141&gt;0),"수입·지출 둘 다 적혔습니다",IF($C141="","결제수단을 고르십시오",IF(ISNA(MATCH($C141,'교육원 ③ 통장·카드'!$A$5:$A$11,0)),"③ 통장·카드에 없는 결제수단입니다",IF($D141="","계정과목을 고르십시오",IF($E141="※없는 과목","④ 설정에 없는 과목입니다",IF(AND($E141="수입",$J141&gt;0),"수입 과목인데 지출에 적혔습니다",IF(AND(LEFT($E141,2)&lt;&gt;"수입",$E141&lt;&gt;"대체",$I141&gt;0),"지출 과목인데 수입에 적혔습니다",IF($K141="","증빙을 고르십시오",IF($H141="","적요를 적으십시오","")))))))))))</f>
        <v/>
      </c>
      <c r="M141" s="39"/>
      <c r="O141" s="11" t="str">
        <f aca="false">IF($B141="","",YEAR($B141)*100+MONTH($B141))</f>
        <v/>
      </c>
      <c r="P141" s="11" t="str">
        <f aca="false">IF($B141="","",IF($E141="대체",0,1))</f>
        <v/>
      </c>
    </row>
    <row r="142" customFormat="false" ht="15" hidden="false" customHeight="false" outlineLevel="0" collapsed="false">
      <c r="A142" s="36" t="str">
        <f aca="false">IF($B142="","",COUNT($B$15:$B142))</f>
        <v/>
      </c>
      <c r="B142" s="37"/>
      <c r="C142" s="38"/>
      <c r="D142" s="20"/>
      <c r="E142" s="36" t="str">
        <f aca="false">IF($D142="","",IFERROR(INDEX('교육원 ④ 설정'!$A$6:$A$40,MATCH($D142,'교육원 ④ 설정'!$B$6:$B$40,0)),"※없는 과목"))</f>
        <v/>
      </c>
      <c r="F142" s="36" t="str">
        <f aca="false">IF($D142="","",IFERROR(INDEX('교육원 ④ 설정'!$C$6:$C$40,MATCH($D142,'교육원 ④ 설정'!$B$6:$B$40,0)),""))</f>
        <v/>
      </c>
      <c r="G142" s="39"/>
      <c r="H142" s="39"/>
      <c r="I142" s="40"/>
      <c r="J142" s="41"/>
      <c r="K142" s="38"/>
      <c r="L142" s="42" t="str">
        <f aca="false">IF($B142="","",IF(AND(N($I142)=0,N($J142)=0),"금액이 없습니다",IF(AND($I142&gt;0,$J142&gt;0),"수입·지출 둘 다 적혔습니다",IF($C142="","결제수단을 고르십시오",IF(ISNA(MATCH($C142,'교육원 ③ 통장·카드'!$A$5:$A$11,0)),"③ 통장·카드에 없는 결제수단입니다",IF($D142="","계정과목을 고르십시오",IF($E142="※없는 과목","④ 설정에 없는 과목입니다",IF(AND($E142="수입",$J142&gt;0),"수입 과목인데 지출에 적혔습니다",IF(AND(LEFT($E142,2)&lt;&gt;"수입",$E142&lt;&gt;"대체",$I142&gt;0),"지출 과목인데 수입에 적혔습니다",IF($K142="","증빙을 고르십시오",IF($H142="","적요를 적으십시오","")))))))))))</f>
        <v/>
      </c>
      <c r="M142" s="39"/>
      <c r="O142" s="11" t="str">
        <f aca="false">IF($B142="","",YEAR($B142)*100+MONTH($B142))</f>
        <v/>
      </c>
      <c r="P142" s="11" t="str">
        <f aca="false">IF($B142="","",IF($E142="대체",0,1))</f>
        <v/>
      </c>
    </row>
    <row r="143" customFormat="false" ht="15" hidden="false" customHeight="false" outlineLevel="0" collapsed="false">
      <c r="A143" s="36" t="str">
        <f aca="false">IF($B143="","",COUNT($B$15:$B143))</f>
        <v/>
      </c>
      <c r="B143" s="37"/>
      <c r="C143" s="38"/>
      <c r="D143" s="20"/>
      <c r="E143" s="36" t="str">
        <f aca="false">IF($D143="","",IFERROR(INDEX('교육원 ④ 설정'!$A$6:$A$40,MATCH($D143,'교육원 ④ 설정'!$B$6:$B$40,0)),"※없는 과목"))</f>
        <v/>
      </c>
      <c r="F143" s="36" t="str">
        <f aca="false">IF($D143="","",IFERROR(INDEX('교육원 ④ 설정'!$C$6:$C$40,MATCH($D143,'교육원 ④ 설정'!$B$6:$B$40,0)),""))</f>
        <v/>
      </c>
      <c r="G143" s="39"/>
      <c r="H143" s="39"/>
      <c r="I143" s="40"/>
      <c r="J143" s="41"/>
      <c r="K143" s="38"/>
      <c r="L143" s="42" t="str">
        <f aca="false">IF($B143="","",IF(AND(N($I143)=0,N($J143)=0),"금액이 없습니다",IF(AND($I143&gt;0,$J143&gt;0),"수입·지출 둘 다 적혔습니다",IF($C143="","결제수단을 고르십시오",IF(ISNA(MATCH($C143,'교육원 ③ 통장·카드'!$A$5:$A$11,0)),"③ 통장·카드에 없는 결제수단입니다",IF($D143="","계정과목을 고르십시오",IF($E143="※없는 과목","④ 설정에 없는 과목입니다",IF(AND($E143="수입",$J143&gt;0),"수입 과목인데 지출에 적혔습니다",IF(AND(LEFT($E143,2)&lt;&gt;"수입",$E143&lt;&gt;"대체",$I143&gt;0),"지출 과목인데 수입에 적혔습니다",IF($K143="","증빙을 고르십시오",IF($H143="","적요를 적으십시오","")))))))))))</f>
        <v/>
      </c>
      <c r="M143" s="39"/>
      <c r="O143" s="11" t="str">
        <f aca="false">IF($B143="","",YEAR($B143)*100+MONTH($B143))</f>
        <v/>
      </c>
      <c r="P143" s="11" t="str">
        <f aca="false">IF($B143="","",IF($E143="대체",0,1))</f>
        <v/>
      </c>
    </row>
    <row r="144" customFormat="false" ht="15" hidden="false" customHeight="false" outlineLevel="0" collapsed="false">
      <c r="A144" s="36" t="str">
        <f aca="false">IF($B144="","",COUNT($B$15:$B144))</f>
        <v/>
      </c>
      <c r="B144" s="37"/>
      <c r="C144" s="38"/>
      <c r="D144" s="20"/>
      <c r="E144" s="36" t="str">
        <f aca="false">IF($D144="","",IFERROR(INDEX('교육원 ④ 설정'!$A$6:$A$40,MATCH($D144,'교육원 ④ 설정'!$B$6:$B$40,0)),"※없는 과목"))</f>
        <v/>
      </c>
      <c r="F144" s="36" t="str">
        <f aca="false">IF($D144="","",IFERROR(INDEX('교육원 ④ 설정'!$C$6:$C$40,MATCH($D144,'교육원 ④ 설정'!$B$6:$B$40,0)),""))</f>
        <v/>
      </c>
      <c r="G144" s="39"/>
      <c r="H144" s="39"/>
      <c r="I144" s="40"/>
      <c r="J144" s="41"/>
      <c r="K144" s="38"/>
      <c r="L144" s="42" t="str">
        <f aca="false">IF($B144="","",IF(AND(N($I144)=0,N($J144)=0),"금액이 없습니다",IF(AND($I144&gt;0,$J144&gt;0),"수입·지출 둘 다 적혔습니다",IF($C144="","결제수단을 고르십시오",IF(ISNA(MATCH($C144,'교육원 ③ 통장·카드'!$A$5:$A$11,0)),"③ 통장·카드에 없는 결제수단입니다",IF($D144="","계정과목을 고르십시오",IF($E144="※없는 과목","④ 설정에 없는 과목입니다",IF(AND($E144="수입",$J144&gt;0),"수입 과목인데 지출에 적혔습니다",IF(AND(LEFT($E144,2)&lt;&gt;"수입",$E144&lt;&gt;"대체",$I144&gt;0),"지출 과목인데 수입에 적혔습니다",IF($K144="","증빙을 고르십시오",IF($H144="","적요를 적으십시오","")))))))))))</f>
        <v/>
      </c>
      <c r="M144" s="39"/>
      <c r="O144" s="11" t="str">
        <f aca="false">IF($B144="","",YEAR($B144)*100+MONTH($B144))</f>
        <v/>
      </c>
      <c r="P144" s="11" t="str">
        <f aca="false">IF($B144="","",IF($E144="대체",0,1))</f>
        <v/>
      </c>
    </row>
    <row r="145" customFormat="false" ht="15" hidden="false" customHeight="false" outlineLevel="0" collapsed="false">
      <c r="A145" s="36" t="str">
        <f aca="false">IF($B145="","",COUNT($B$15:$B145))</f>
        <v/>
      </c>
      <c r="B145" s="37"/>
      <c r="C145" s="38"/>
      <c r="D145" s="20"/>
      <c r="E145" s="36" t="str">
        <f aca="false">IF($D145="","",IFERROR(INDEX('교육원 ④ 설정'!$A$6:$A$40,MATCH($D145,'교육원 ④ 설정'!$B$6:$B$40,0)),"※없는 과목"))</f>
        <v/>
      </c>
      <c r="F145" s="36" t="str">
        <f aca="false">IF($D145="","",IFERROR(INDEX('교육원 ④ 설정'!$C$6:$C$40,MATCH($D145,'교육원 ④ 설정'!$B$6:$B$40,0)),""))</f>
        <v/>
      </c>
      <c r="G145" s="39"/>
      <c r="H145" s="39"/>
      <c r="I145" s="40"/>
      <c r="J145" s="41"/>
      <c r="K145" s="38"/>
      <c r="L145" s="42" t="str">
        <f aca="false">IF($B145="","",IF(AND(N($I145)=0,N($J145)=0),"금액이 없습니다",IF(AND($I145&gt;0,$J145&gt;0),"수입·지출 둘 다 적혔습니다",IF($C145="","결제수단을 고르십시오",IF(ISNA(MATCH($C145,'교육원 ③ 통장·카드'!$A$5:$A$11,0)),"③ 통장·카드에 없는 결제수단입니다",IF($D145="","계정과목을 고르십시오",IF($E145="※없는 과목","④ 설정에 없는 과목입니다",IF(AND($E145="수입",$J145&gt;0),"수입 과목인데 지출에 적혔습니다",IF(AND(LEFT($E145,2)&lt;&gt;"수입",$E145&lt;&gt;"대체",$I145&gt;0),"지출 과목인데 수입에 적혔습니다",IF($K145="","증빙을 고르십시오",IF($H145="","적요를 적으십시오","")))))))))))</f>
        <v/>
      </c>
      <c r="M145" s="39"/>
      <c r="O145" s="11" t="str">
        <f aca="false">IF($B145="","",YEAR($B145)*100+MONTH($B145))</f>
        <v/>
      </c>
      <c r="P145" s="11" t="str">
        <f aca="false">IF($B145="","",IF($E145="대체",0,1))</f>
        <v/>
      </c>
    </row>
    <row r="146" customFormat="false" ht="15" hidden="false" customHeight="false" outlineLevel="0" collapsed="false">
      <c r="A146" s="36" t="str">
        <f aca="false">IF($B146="","",COUNT($B$15:$B146))</f>
        <v/>
      </c>
      <c r="B146" s="37"/>
      <c r="C146" s="38"/>
      <c r="D146" s="20"/>
      <c r="E146" s="36" t="str">
        <f aca="false">IF($D146="","",IFERROR(INDEX('교육원 ④ 설정'!$A$6:$A$40,MATCH($D146,'교육원 ④ 설정'!$B$6:$B$40,0)),"※없는 과목"))</f>
        <v/>
      </c>
      <c r="F146" s="36" t="str">
        <f aca="false">IF($D146="","",IFERROR(INDEX('교육원 ④ 설정'!$C$6:$C$40,MATCH($D146,'교육원 ④ 설정'!$B$6:$B$40,0)),""))</f>
        <v/>
      </c>
      <c r="G146" s="39"/>
      <c r="H146" s="39"/>
      <c r="I146" s="40"/>
      <c r="J146" s="41"/>
      <c r="K146" s="38"/>
      <c r="L146" s="42" t="str">
        <f aca="false">IF($B146="","",IF(AND(N($I146)=0,N($J146)=0),"금액이 없습니다",IF(AND($I146&gt;0,$J146&gt;0),"수입·지출 둘 다 적혔습니다",IF($C146="","결제수단을 고르십시오",IF(ISNA(MATCH($C146,'교육원 ③ 통장·카드'!$A$5:$A$11,0)),"③ 통장·카드에 없는 결제수단입니다",IF($D146="","계정과목을 고르십시오",IF($E146="※없는 과목","④ 설정에 없는 과목입니다",IF(AND($E146="수입",$J146&gt;0),"수입 과목인데 지출에 적혔습니다",IF(AND(LEFT($E146,2)&lt;&gt;"수입",$E146&lt;&gt;"대체",$I146&gt;0),"지출 과목인데 수입에 적혔습니다",IF($K146="","증빙을 고르십시오",IF($H146="","적요를 적으십시오","")))))))))))</f>
        <v/>
      </c>
      <c r="M146" s="39"/>
      <c r="O146" s="11" t="str">
        <f aca="false">IF($B146="","",YEAR($B146)*100+MONTH($B146))</f>
        <v/>
      </c>
      <c r="P146" s="11" t="str">
        <f aca="false">IF($B146="","",IF($E146="대체",0,1))</f>
        <v/>
      </c>
    </row>
    <row r="147" customFormat="false" ht="15" hidden="false" customHeight="false" outlineLevel="0" collapsed="false">
      <c r="A147" s="36" t="str">
        <f aca="false">IF($B147="","",COUNT($B$15:$B147))</f>
        <v/>
      </c>
      <c r="B147" s="37"/>
      <c r="C147" s="38"/>
      <c r="D147" s="20"/>
      <c r="E147" s="36" t="str">
        <f aca="false">IF($D147="","",IFERROR(INDEX('교육원 ④ 설정'!$A$6:$A$40,MATCH($D147,'교육원 ④ 설정'!$B$6:$B$40,0)),"※없는 과목"))</f>
        <v/>
      </c>
      <c r="F147" s="36" t="str">
        <f aca="false">IF($D147="","",IFERROR(INDEX('교육원 ④ 설정'!$C$6:$C$40,MATCH($D147,'교육원 ④ 설정'!$B$6:$B$40,0)),""))</f>
        <v/>
      </c>
      <c r="G147" s="39"/>
      <c r="H147" s="39"/>
      <c r="I147" s="40"/>
      <c r="J147" s="41"/>
      <c r="K147" s="38"/>
      <c r="L147" s="42" t="str">
        <f aca="false">IF($B147="","",IF(AND(N($I147)=0,N($J147)=0),"금액이 없습니다",IF(AND($I147&gt;0,$J147&gt;0),"수입·지출 둘 다 적혔습니다",IF($C147="","결제수단을 고르십시오",IF(ISNA(MATCH($C147,'교육원 ③ 통장·카드'!$A$5:$A$11,0)),"③ 통장·카드에 없는 결제수단입니다",IF($D147="","계정과목을 고르십시오",IF($E147="※없는 과목","④ 설정에 없는 과목입니다",IF(AND($E147="수입",$J147&gt;0),"수입 과목인데 지출에 적혔습니다",IF(AND(LEFT($E147,2)&lt;&gt;"수입",$E147&lt;&gt;"대체",$I147&gt;0),"지출 과목인데 수입에 적혔습니다",IF($K147="","증빙을 고르십시오",IF($H147="","적요를 적으십시오","")))))))))))</f>
        <v/>
      </c>
      <c r="M147" s="39"/>
      <c r="O147" s="11" t="str">
        <f aca="false">IF($B147="","",YEAR($B147)*100+MONTH($B147))</f>
        <v/>
      </c>
      <c r="P147" s="11" t="str">
        <f aca="false">IF($B147="","",IF($E147="대체",0,1))</f>
        <v/>
      </c>
    </row>
    <row r="148" customFormat="false" ht="15" hidden="false" customHeight="false" outlineLevel="0" collapsed="false">
      <c r="A148" s="36" t="str">
        <f aca="false">IF($B148="","",COUNT($B$15:$B148))</f>
        <v/>
      </c>
      <c r="B148" s="37"/>
      <c r="C148" s="38"/>
      <c r="D148" s="20"/>
      <c r="E148" s="36" t="str">
        <f aca="false">IF($D148="","",IFERROR(INDEX('교육원 ④ 설정'!$A$6:$A$40,MATCH($D148,'교육원 ④ 설정'!$B$6:$B$40,0)),"※없는 과목"))</f>
        <v/>
      </c>
      <c r="F148" s="36" t="str">
        <f aca="false">IF($D148="","",IFERROR(INDEX('교육원 ④ 설정'!$C$6:$C$40,MATCH($D148,'교육원 ④ 설정'!$B$6:$B$40,0)),""))</f>
        <v/>
      </c>
      <c r="G148" s="39"/>
      <c r="H148" s="39"/>
      <c r="I148" s="40"/>
      <c r="J148" s="41"/>
      <c r="K148" s="38"/>
      <c r="L148" s="42" t="str">
        <f aca="false">IF($B148="","",IF(AND(N($I148)=0,N($J148)=0),"금액이 없습니다",IF(AND($I148&gt;0,$J148&gt;0),"수입·지출 둘 다 적혔습니다",IF($C148="","결제수단을 고르십시오",IF(ISNA(MATCH($C148,'교육원 ③ 통장·카드'!$A$5:$A$11,0)),"③ 통장·카드에 없는 결제수단입니다",IF($D148="","계정과목을 고르십시오",IF($E148="※없는 과목","④ 설정에 없는 과목입니다",IF(AND($E148="수입",$J148&gt;0),"수입 과목인데 지출에 적혔습니다",IF(AND(LEFT($E148,2)&lt;&gt;"수입",$E148&lt;&gt;"대체",$I148&gt;0),"지출 과목인데 수입에 적혔습니다",IF($K148="","증빙을 고르십시오",IF($H148="","적요를 적으십시오","")))))))))))</f>
        <v/>
      </c>
      <c r="M148" s="39"/>
      <c r="O148" s="11" t="str">
        <f aca="false">IF($B148="","",YEAR($B148)*100+MONTH($B148))</f>
        <v/>
      </c>
      <c r="P148" s="11" t="str">
        <f aca="false">IF($B148="","",IF($E148="대체",0,1))</f>
        <v/>
      </c>
    </row>
    <row r="149" customFormat="false" ht="15" hidden="false" customHeight="false" outlineLevel="0" collapsed="false">
      <c r="A149" s="36" t="str">
        <f aca="false">IF($B149="","",COUNT($B$15:$B149))</f>
        <v/>
      </c>
      <c r="B149" s="37"/>
      <c r="C149" s="38"/>
      <c r="D149" s="20"/>
      <c r="E149" s="36" t="str">
        <f aca="false">IF($D149="","",IFERROR(INDEX('교육원 ④ 설정'!$A$6:$A$40,MATCH($D149,'교육원 ④ 설정'!$B$6:$B$40,0)),"※없는 과목"))</f>
        <v/>
      </c>
      <c r="F149" s="36" t="str">
        <f aca="false">IF($D149="","",IFERROR(INDEX('교육원 ④ 설정'!$C$6:$C$40,MATCH($D149,'교육원 ④ 설정'!$B$6:$B$40,0)),""))</f>
        <v/>
      </c>
      <c r="G149" s="39"/>
      <c r="H149" s="39"/>
      <c r="I149" s="40"/>
      <c r="J149" s="41"/>
      <c r="K149" s="38"/>
      <c r="L149" s="42" t="str">
        <f aca="false">IF($B149="","",IF(AND(N($I149)=0,N($J149)=0),"금액이 없습니다",IF(AND($I149&gt;0,$J149&gt;0),"수입·지출 둘 다 적혔습니다",IF($C149="","결제수단을 고르십시오",IF(ISNA(MATCH($C149,'교육원 ③ 통장·카드'!$A$5:$A$11,0)),"③ 통장·카드에 없는 결제수단입니다",IF($D149="","계정과목을 고르십시오",IF($E149="※없는 과목","④ 설정에 없는 과목입니다",IF(AND($E149="수입",$J149&gt;0),"수입 과목인데 지출에 적혔습니다",IF(AND(LEFT($E149,2)&lt;&gt;"수입",$E149&lt;&gt;"대체",$I149&gt;0),"지출 과목인데 수입에 적혔습니다",IF($K149="","증빙을 고르십시오",IF($H149="","적요를 적으십시오","")))))))))))</f>
        <v/>
      </c>
      <c r="M149" s="39"/>
      <c r="O149" s="11" t="str">
        <f aca="false">IF($B149="","",YEAR($B149)*100+MONTH($B149))</f>
        <v/>
      </c>
      <c r="P149" s="11" t="str">
        <f aca="false">IF($B149="","",IF($E149="대체",0,1))</f>
        <v/>
      </c>
    </row>
    <row r="150" customFormat="false" ht="15" hidden="false" customHeight="false" outlineLevel="0" collapsed="false">
      <c r="A150" s="36" t="str">
        <f aca="false">IF($B150="","",COUNT($B$15:$B150))</f>
        <v/>
      </c>
      <c r="B150" s="37"/>
      <c r="C150" s="38"/>
      <c r="D150" s="20"/>
      <c r="E150" s="36" t="str">
        <f aca="false">IF($D150="","",IFERROR(INDEX('교육원 ④ 설정'!$A$6:$A$40,MATCH($D150,'교육원 ④ 설정'!$B$6:$B$40,0)),"※없는 과목"))</f>
        <v/>
      </c>
      <c r="F150" s="36" t="str">
        <f aca="false">IF($D150="","",IFERROR(INDEX('교육원 ④ 설정'!$C$6:$C$40,MATCH($D150,'교육원 ④ 설정'!$B$6:$B$40,0)),""))</f>
        <v/>
      </c>
      <c r="G150" s="39"/>
      <c r="H150" s="39"/>
      <c r="I150" s="40"/>
      <c r="J150" s="41"/>
      <c r="K150" s="38"/>
      <c r="L150" s="42" t="str">
        <f aca="false">IF($B150="","",IF(AND(N($I150)=0,N($J150)=0),"금액이 없습니다",IF(AND($I150&gt;0,$J150&gt;0),"수입·지출 둘 다 적혔습니다",IF($C150="","결제수단을 고르십시오",IF(ISNA(MATCH($C150,'교육원 ③ 통장·카드'!$A$5:$A$11,0)),"③ 통장·카드에 없는 결제수단입니다",IF($D150="","계정과목을 고르십시오",IF($E150="※없는 과목","④ 설정에 없는 과목입니다",IF(AND($E150="수입",$J150&gt;0),"수입 과목인데 지출에 적혔습니다",IF(AND(LEFT($E150,2)&lt;&gt;"수입",$E150&lt;&gt;"대체",$I150&gt;0),"지출 과목인데 수입에 적혔습니다",IF($K150="","증빙을 고르십시오",IF($H150="","적요를 적으십시오","")))))))))))</f>
        <v/>
      </c>
      <c r="M150" s="39"/>
      <c r="O150" s="11" t="str">
        <f aca="false">IF($B150="","",YEAR($B150)*100+MONTH($B150))</f>
        <v/>
      </c>
      <c r="P150" s="11" t="str">
        <f aca="false">IF($B150="","",IF($E150="대체",0,1))</f>
        <v/>
      </c>
    </row>
    <row r="151" customFormat="false" ht="15" hidden="false" customHeight="false" outlineLevel="0" collapsed="false">
      <c r="A151" s="36" t="str">
        <f aca="false">IF($B151="","",COUNT($B$15:$B151))</f>
        <v/>
      </c>
      <c r="B151" s="37"/>
      <c r="C151" s="38"/>
      <c r="D151" s="20"/>
      <c r="E151" s="36" t="str">
        <f aca="false">IF($D151="","",IFERROR(INDEX('교육원 ④ 설정'!$A$6:$A$40,MATCH($D151,'교육원 ④ 설정'!$B$6:$B$40,0)),"※없는 과목"))</f>
        <v/>
      </c>
      <c r="F151" s="36" t="str">
        <f aca="false">IF($D151="","",IFERROR(INDEX('교육원 ④ 설정'!$C$6:$C$40,MATCH($D151,'교육원 ④ 설정'!$B$6:$B$40,0)),""))</f>
        <v/>
      </c>
      <c r="G151" s="39"/>
      <c r="H151" s="39"/>
      <c r="I151" s="40"/>
      <c r="J151" s="41"/>
      <c r="K151" s="38"/>
      <c r="L151" s="42" t="str">
        <f aca="false">IF($B151="","",IF(AND(N($I151)=0,N($J151)=0),"금액이 없습니다",IF(AND($I151&gt;0,$J151&gt;0),"수입·지출 둘 다 적혔습니다",IF($C151="","결제수단을 고르십시오",IF(ISNA(MATCH($C151,'교육원 ③ 통장·카드'!$A$5:$A$11,0)),"③ 통장·카드에 없는 결제수단입니다",IF($D151="","계정과목을 고르십시오",IF($E151="※없는 과목","④ 설정에 없는 과목입니다",IF(AND($E151="수입",$J151&gt;0),"수입 과목인데 지출에 적혔습니다",IF(AND(LEFT($E151,2)&lt;&gt;"수입",$E151&lt;&gt;"대체",$I151&gt;0),"지출 과목인데 수입에 적혔습니다",IF($K151="","증빙을 고르십시오",IF($H151="","적요를 적으십시오","")))))))))))</f>
        <v/>
      </c>
      <c r="M151" s="39"/>
      <c r="O151" s="11" t="str">
        <f aca="false">IF($B151="","",YEAR($B151)*100+MONTH($B151))</f>
        <v/>
      </c>
      <c r="P151" s="11" t="str">
        <f aca="false">IF($B151="","",IF($E151="대체",0,1))</f>
        <v/>
      </c>
    </row>
    <row r="152" customFormat="false" ht="15" hidden="false" customHeight="false" outlineLevel="0" collapsed="false">
      <c r="A152" s="36" t="str">
        <f aca="false">IF($B152="","",COUNT($B$15:$B152))</f>
        <v/>
      </c>
      <c r="B152" s="37"/>
      <c r="C152" s="38"/>
      <c r="D152" s="20"/>
      <c r="E152" s="36" t="str">
        <f aca="false">IF($D152="","",IFERROR(INDEX('교육원 ④ 설정'!$A$6:$A$40,MATCH($D152,'교육원 ④ 설정'!$B$6:$B$40,0)),"※없는 과목"))</f>
        <v/>
      </c>
      <c r="F152" s="36" t="str">
        <f aca="false">IF($D152="","",IFERROR(INDEX('교육원 ④ 설정'!$C$6:$C$40,MATCH($D152,'교육원 ④ 설정'!$B$6:$B$40,0)),""))</f>
        <v/>
      </c>
      <c r="G152" s="39"/>
      <c r="H152" s="39"/>
      <c r="I152" s="40"/>
      <c r="J152" s="41"/>
      <c r="K152" s="38"/>
      <c r="L152" s="42" t="str">
        <f aca="false">IF($B152="","",IF(AND(N($I152)=0,N($J152)=0),"금액이 없습니다",IF(AND($I152&gt;0,$J152&gt;0),"수입·지출 둘 다 적혔습니다",IF($C152="","결제수단을 고르십시오",IF(ISNA(MATCH($C152,'교육원 ③ 통장·카드'!$A$5:$A$11,0)),"③ 통장·카드에 없는 결제수단입니다",IF($D152="","계정과목을 고르십시오",IF($E152="※없는 과목","④ 설정에 없는 과목입니다",IF(AND($E152="수입",$J152&gt;0),"수입 과목인데 지출에 적혔습니다",IF(AND(LEFT($E152,2)&lt;&gt;"수입",$E152&lt;&gt;"대체",$I152&gt;0),"지출 과목인데 수입에 적혔습니다",IF($K152="","증빙을 고르십시오",IF($H152="","적요를 적으십시오","")))))))))))</f>
        <v/>
      </c>
      <c r="M152" s="39"/>
      <c r="O152" s="11" t="str">
        <f aca="false">IF($B152="","",YEAR($B152)*100+MONTH($B152))</f>
        <v/>
      </c>
      <c r="P152" s="11" t="str">
        <f aca="false">IF($B152="","",IF($E152="대체",0,1))</f>
        <v/>
      </c>
    </row>
    <row r="153" customFormat="false" ht="15" hidden="false" customHeight="false" outlineLevel="0" collapsed="false">
      <c r="A153" s="36" t="str">
        <f aca="false">IF($B153="","",COUNT($B$15:$B153))</f>
        <v/>
      </c>
      <c r="B153" s="37"/>
      <c r="C153" s="38"/>
      <c r="D153" s="20"/>
      <c r="E153" s="36" t="str">
        <f aca="false">IF($D153="","",IFERROR(INDEX('교육원 ④ 설정'!$A$6:$A$40,MATCH($D153,'교육원 ④ 설정'!$B$6:$B$40,0)),"※없는 과목"))</f>
        <v/>
      </c>
      <c r="F153" s="36" t="str">
        <f aca="false">IF($D153="","",IFERROR(INDEX('교육원 ④ 설정'!$C$6:$C$40,MATCH($D153,'교육원 ④ 설정'!$B$6:$B$40,0)),""))</f>
        <v/>
      </c>
      <c r="G153" s="39"/>
      <c r="H153" s="39"/>
      <c r="I153" s="40"/>
      <c r="J153" s="41"/>
      <c r="K153" s="38"/>
      <c r="L153" s="42" t="str">
        <f aca="false">IF($B153="","",IF(AND(N($I153)=0,N($J153)=0),"금액이 없습니다",IF(AND($I153&gt;0,$J153&gt;0),"수입·지출 둘 다 적혔습니다",IF($C153="","결제수단을 고르십시오",IF(ISNA(MATCH($C153,'교육원 ③ 통장·카드'!$A$5:$A$11,0)),"③ 통장·카드에 없는 결제수단입니다",IF($D153="","계정과목을 고르십시오",IF($E153="※없는 과목","④ 설정에 없는 과목입니다",IF(AND($E153="수입",$J153&gt;0),"수입 과목인데 지출에 적혔습니다",IF(AND(LEFT($E153,2)&lt;&gt;"수입",$E153&lt;&gt;"대체",$I153&gt;0),"지출 과목인데 수입에 적혔습니다",IF($K153="","증빙을 고르십시오",IF($H153="","적요를 적으십시오","")))))))))))</f>
        <v/>
      </c>
      <c r="M153" s="39"/>
      <c r="O153" s="11" t="str">
        <f aca="false">IF($B153="","",YEAR($B153)*100+MONTH($B153))</f>
        <v/>
      </c>
      <c r="P153" s="11" t="str">
        <f aca="false">IF($B153="","",IF($E153="대체",0,1))</f>
        <v/>
      </c>
    </row>
    <row r="154" customFormat="false" ht="15" hidden="false" customHeight="false" outlineLevel="0" collapsed="false">
      <c r="A154" s="36" t="str">
        <f aca="false">IF($B154="","",COUNT($B$15:$B154))</f>
        <v/>
      </c>
      <c r="B154" s="37"/>
      <c r="C154" s="38"/>
      <c r="D154" s="20"/>
      <c r="E154" s="36" t="str">
        <f aca="false">IF($D154="","",IFERROR(INDEX('교육원 ④ 설정'!$A$6:$A$40,MATCH($D154,'교육원 ④ 설정'!$B$6:$B$40,0)),"※없는 과목"))</f>
        <v/>
      </c>
      <c r="F154" s="36" t="str">
        <f aca="false">IF($D154="","",IFERROR(INDEX('교육원 ④ 설정'!$C$6:$C$40,MATCH($D154,'교육원 ④ 설정'!$B$6:$B$40,0)),""))</f>
        <v/>
      </c>
      <c r="G154" s="39"/>
      <c r="H154" s="39"/>
      <c r="I154" s="40"/>
      <c r="J154" s="41"/>
      <c r="K154" s="38"/>
      <c r="L154" s="42" t="str">
        <f aca="false">IF($B154="","",IF(AND(N($I154)=0,N($J154)=0),"금액이 없습니다",IF(AND($I154&gt;0,$J154&gt;0),"수입·지출 둘 다 적혔습니다",IF($C154="","결제수단을 고르십시오",IF(ISNA(MATCH($C154,'교육원 ③ 통장·카드'!$A$5:$A$11,0)),"③ 통장·카드에 없는 결제수단입니다",IF($D154="","계정과목을 고르십시오",IF($E154="※없는 과목","④ 설정에 없는 과목입니다",IF(AND($E154="수입",$J154&gt;0),"수입 과목인데 지출에 적혔습니다",IF(AND(LEFT($E154,2)&lt;&gt;"수입",$E154&lt;&gt;"대체",$I154&gt;0),"지출 과목인데 수입에 적혔습니다",IF($K154="","증빙을 고르십시오",IF($H154="","적요를 적으십시오","")))))))))))</f>
        <v/>
      </c>
      <c r="M154" s="39"/>
      <c r="O154" s="11" t="str">
        <f aca="false">IF($B154="","",YEAR($B154)*100+MONTH($B154))</f>
        <v/>
      </c>
      <c r="P154" s="11" t="str">
        <f aca="false">IF($B154="","",IF($E154="대체",0,1))</f>
        <v/>
      </c>
    </row>
    <row r="155" customFormat="false" ht="15" hidden="false" customHeight="false" outlineLevel="0" collapsed="false">
      <c r="A155" s="36" t="str">
        <f aca="false">IF($B155="","",COUNT($B$15:$B155))</f>
        <v/>
      </c>
      <c r="B155" s="37"/>
      <c r="C155" s="38"/>
      <c r="D155" s="20"/>
      <c r="E155" s="36" t="str">
        <f aca="false">IF($D155="","",IFERROR(INDEX('교육원 ④ 설정'!$A$6:$A$40,MATCH($D155,'교육원 ④ 설정'!$B$6:$B$40,0)),"※없는 과목"))</f>
        <v/>
      </c>
      <c r="F155" s="36" t="str">
        <f aca="false">IF($D155="","",IFERROR(INDEX('교육원 ④ 설정'!$C$6:$C$40,MATCH($D155,'교육원 ④ 설정'!$B$6:$B$40,0)),""))</f>
        <v/>
      </c>
      <c r="G155" s="39"/>
      <c r="H155" s="39"/>
      <c r="I155" s="40"/>
      <c r="J155" s="41"/>
      <c r="K155" s="38"/>
      <c r="L155" s="42" t="str">
        <f aca="false">IF($B155="","",IF(AND(N($I155)=0,N($J155)=0),"금액이 없습니다",IF(AND($I155&gt;0,$J155&gt;0),"수입·지출 둘 다 적혔습니다",IF($C155="","결제수단을 고르십시오",IF(ISNA(MATCH($C155,'교육원 ③ 통장·카드'!$A$5:$A$11,0)),"③ 통장·카드에 없는 결제수단입니다",IF($D155="","계정과목을 고르십시오",IF($E155="※없는 과목","④ 설정에 없는 과목입니다",IF(AND($E155="수입",$J155&gt;0),"수입 과목인데 지출에 적혔습니다",IF(AND(LEFT($E155,2)&lt;&gt;"수입",$E155&lt;&gt;"대체",$I155&gt;0),"지출 과목인데 수입에 적혔습니다",IF($K155="","증빙을 고르십시오",IF($H155="","적요를 적으십시오","")))))))))))</f>
        <v/>
      </c>
      <c r="M155" s="39"/>
      <c r="O155" s="11" t="str">
        <f aca="false">IF($B155="","",YEAR($B155)*100+MONTH($B155))</f>
        <v/>
      </c>
      <c r="P155" s="11" t="str">
        <f aca="false">IF($B155="","",IF($E155="대체",0,1))</f>
        <v/>
      </c>
    </row>
    <row r="156" customFormat="false" ht="15" hidden="false" customHeight="false" outlineLevel="0" collapsed="false">
      <c r="A156" s="36" t="str">
        <f aca="false">IF($B156="","",COUNT($B$15:$B156))</f>
        <v/>
      </c>
      <c r="B156" s="37"/>
      <c r="C156" s="38"/>
      <c r="D156" s="20"/>
      <c r="E156" s="36" t="str">
        <f aca="false">IF($D156="","",IFERROR(INDEX('교육원 ④ 설정'!$A$6:$A$40,MATCH($D156,'교육원 ④ 설정'!$B$6:$B$40,0)),"※없는 과목"))</f>
        <v/>
      </c>
      <c r="F156" s="36" t="str">
        <f aca="false">IF($D156="","",IFERROR(INDEX('교육원 ④ 설정'!$C$6:$C$40,MATCH($D156,'교육원 ④ 설정'!$B$6:$B$40,0)),""))</f>
        <v/>
      </c>
      <c r="G156" s="39"/>
      <c r="H156" s="39"/>
      <c r="I156" s="40"/>
      <c r="J156" s="41"/>
      <c r="K156" s="38"/>
      <c r="L156" s="42" t="str">
        <f aca="false">IF($B156="","",IF(AND(N($I156)=0,N($J156)=0),"금액이 없습니다",IF(AND($I156&gt;0,$J156&gt;0),"수입·지출 둘 다 적혔습니다",IF($C156="","결제수단을 고르십시오",IF(ISNA(MATCH($C156,'교육원 ③ 통장·카드'!$A$5:$A$11,0)),"③ 통장·카드에 없는 결제수단입니다",IF($D156="","계정과목을 고르십시오",IF($E156="※없는 과목","④ 설정에 없는 과목입니다",IF(AND($E156="수입",$J156&gt;0),"수입 과목인데 지출에 적혔습니다",IF(AND(LEFT($E156,2)&lt;&gt;"수입",$E156&lt;&gt;"대체",$I156&gt;0),"지출 과목인데 수입에 적혔습니다",IF($K156="","증빙을 고르십시오",IF($H156="","적요를 적으십시오","")))))))))))</f>
        <v/>
      </c>
      <c r="M156" s="39"/>
      <c r="O156" s="11" t="str">
        <f aca="false">IF($B156="","",YEAR($B156)*100+MONTH($B156))</f>
        <v/>
      </c>
      <c r="P156" s="11" t="str">
        <f aca="false">IF($B156="","",IF($E156="대체",0,1))</f>
        <v/>
      </c>
    </row>
    <row r="157" customFormat="false" ht="15" hidden="false" customHeight="false" outlineLevel="0" collapsed="false">
      <c r="A157" s="36" t="str">
        <f aca="false">IF($B157="","",COUNT($B$15:$B157))</f>
        <v/>
      </c>
      <c r="B157" s="37"/>
      <c r="C157" s="38"/>
      <c r="D157" s="20"/>
      <c r="E157" s="36" t="str">
        <f aca="false">IF($D157="","",IFERROR(INDEX('교육원 ④ 설정'!$A$6:$A$40,MATCH($D157,'교육원 ④ 설정'!$B$6:$B$40,0)),"※없는 과목"))</f>
        <v/>
      </c>
      <c r="F157" s="36" t="str">
        <f aca="false">IF($D157="","",IFERROR(INDEX('교육원 ④ 설정'!$C$6:$C$40,MATCH($D157,'교육원 ④ 설정'!$B$6:$B$40,0)),""))</f>
        <v/>
      </c>
      <c r="G157" s="39"/>
      <c r="H157" s="39"/>
      <c r="I157" s="40"/>
      <c r="J157" s="41"/>
      <c r="K157" s="38"/>
      <c r="L157" s="42" t="str">
        <f aca="false">IF($B157="","",IF(AND(N($I157)=0,N($J157)=0),"금액이 없습니다",IF(AND($I157&gt;0,$J157&gt;0),"수입·지출 둘 다 적혔습니다",IF($C157="","결제수단을 고르십시오",IF(ISNA(MATCH($C157,'교육원 ③ 통장·카드'!$A$5:$A$11,0)),"③ 통장·카드에 없는 결제수단입니다",IF($D157="","계정과목을 고르십시오",IF($E157="※없는 과목","④ 설정에 없는 과목입니다",IF(AND($E157="수입",$J157&gt;0),"수입 과목인데 지출에 적혔습니다",IF(AND(LEFT($E157,2)&lt;&gt;"수입",$E157&lt;&gt;"대체",$I157&gt;0),"지출 과목인데 수입에 적혔습니다",IF($K157="","증빙을 고르십시오",IF($H157="","적요를 적으십시오","")))))))))))</f>
        <v/>
      </c>
      <c r="M157" s="39"/>
      <c r="O157" s="11" t="str">
        <f aca="false">IF($B157="","",YEAR($B157)*100+MONTH($B157))</f>
        <v/>
      </c>
      <c r="P157" s="11" t="str">
        <f aca="false">IF($B157="","",IF($E157="대체",0,1))</f>
        <v/>
      </c>
    </row>
    <row r="158" customFormat="false" ht="15" hidden="false" customHeight="false" outlineLevel="0" collapsed="false">
      <c r="A158" s="36" t="str">
        <f aca="false">IF($B158="","",COUNT($B$15:$B158))</f>
        <v/>
      </c>
      <c r="B158" s="37"/>
      <c r="C158" s="38"/>
      <c r="D158" s="20"/>
      <c r="E158" s="36" t="str">
        <f aca="false">IF($D158="","",IFERROR(INDEX('교육원 ④ 설정'!$A$6:$A$40,MATCH($D158,'교육원 ④ 설정'!$B$6:$B$40,0)),"※없는 과목"))</f>
        <v/>
      </c>
      <c r="F158" s="36" t="str">
        <f aca="false">IF($D158="","",IFERROR(INDEX('교육원 ④ 설정'!$C$6:$C$40,MATCH($D158,'교육원 ④ 설정'!$B$6:$B$40,0)),""))</f>
        <v/>
      </c>
      <c r="G158" s="39"/>
      <c r="H158" s="39"/>
      <c r="I158" s="40"/>
      <c r="J158" s="41"/>
      <c r="K158" s="38"/>
      <c r="L158" s="42" t="str">
        <f aca="false">IF($B158="","",IF(AND(N($I158)=0,N($J158)=0),"금액이 없습니다",IF(AND($I158&gt;0,$J158&gt;0),"수입·지출 둘 다 적혔습니다",IF($C158="","결제수단을 고르십시오",IF(ISNA(MATCH($C158,'교육원 ③ 통장·카드'!$A$5:$A$11,0)),"③ 통장·카드에 없는 결제수단입니다",IF($D158="","계정과목을 고르십시오",IF($E158="※없는 과목","④ 설정에 없는 과목입니다",IF(AND($E158="수입",$J158&gt;0),"수입 과목인데 지출에 적혔습니다",IF(AND(LEFT($E158,2)&lt;&gt;"수입",$E158&lt;&gt;"대체",$I158&gt;0),"지출 과목인데 수입에 적혔습니다",IF($K158="","증빙을 고르십시오",IF($H158="","적요를 적으십시오","")))))))))))</f>
        <v/>
      </c>
      <c r="M158" s="39"/>
      <c r="O158" s="11" t="str">
        <f aca="false">IF($B158="","",YEAR($B158)*100+MONTH($B158))</f>
        <v/>
      </c>
      <c r="P158" s="11" t="str">
        <f aca="false">IF($B158="","",IF($E158="대체",0,1))</f>
        <v/>
      </c>
    </row>
    <row r="159" customFormat="false" ht="15" hidden="false" customHeight="false" outlineLevel="0" collapsed="false">
      <c r="A159" s="36" t="str">
        <f aca="false">IF($B159="","",COUNT($B$15:$B159))</f>
        <v/>
      </c>
      <c r="B159" s="37"/>
      <c r="C159" s="38"/>
      <c r="D159" s="20"/>
      <c r="E159" s="36" t="str">
        <f aca="false">IF($D159="","",IFERROR(INDEX('교육원 ④ 설정'!$A$6:$A$40,MATCH($D159,'교육원 ④ 설정'!$B$6:$B$40,0)),"※없는 과목"))</f>
        <v/>
      </c>
      <c r="F159" s="36" t="str">
        <f aca="false">IF($D159="","",IFERROR(INDEX('교육원 ④ 설정'!$C$6:$C$40,MATCH($D159,'교육원 ④ 설정'!$B$6:$B$40,0)),""))</f>
        <v/>
      </c>
      <c r="G159" s="39"/>
      <c r="H159" s="39"/>
      <c r="I159" s="40"/>
      <c r="J159" s="41"/>
      <c r="K159" s="38"/>
      <c r="L159" s="42" t="str">
        <f aca="false">IF($B159="","",IF(AND(N($I159)=0,N($J159)=0),"금액이 없습니다",IF(AND($I159&gt;0,$J159&gt;0),"수입·지출 둘 다 적혔습니다",IF($C159="","결제수단을 고르십시오",IF(ISNA(MATCH($C159,'교육원 ③ 통장·카드'!$A$5:$A$11,0)),"③ 통장·카드에 없는 결제수단입니다",IF($D159="","계정과목을 고르십시오",IF($E159="※없는 과목","④ 설정에 없는 과목입니다",IF(AND($E159="수입",$J159&gt;0),"수입 과목인데 지출에 적혔습니다",IF(AND(LEFT($E159,2)&lt;&gt;"수입",$E159&lt;&gt;"대체",$I159&gt;0),"지출 과목인데 수입에 적혔습니다",IF($K159="","증빙을 고르십시오",IF($H159="","적요를 적으십시오","")))))))))))</f>
        <v/>
      </c>
      <c r="M159" s="39"/>
      <c r="O159" s="11" t="str">
        <f aca="false">IF($B159="","",YEAR($B159)*100+MONTH($B159))</f>
        <v/>
      </c>
      <c r="P159" s="11" t="str">
        <f aca="false">IF($B159="","",IF($E159="대체",0,1))</f>
        <v/>
      </c>
    </row>
    <row r="160" customFormat="false" ht="15" hidden="false" customHeight="false" outlineLevel="0" collapsed="false">
      <c r="A160" s="36" t="str">
        <f aca="false">IF($B160="","",COUNT($B$15:$B160))</f>
        <v/>
      </c>
      <c r="B160" s="37"/>
      <c r="C160" s="38"/>
      <c r="D160" s="20"/>
      <c r="E160" s="36" t="str">
        <f aca="false">IF($D160="","",IFERROR(INDEX('교육원 ④ 설정'!$A$6:$A$40,MATCH($D160,'교육원 ④ 설정'!$B$6:$B$40,0)),"※없는 과목"))</f>
        <v/>
      </c>
      <c r="F160" s="36" t="str">
        <f aca="false">IF($D160="","",IFERROR(INDEX('교육원 ④ 설정'!$C$6:$C$40,MATCH($D160,'교육원 ④ 설정'!$B$6:$B$40,0)),""))</f>
        <v/>
      </c>
      <c r="G160" s="39"/>
      <c r="H160" s="39"/>
      <c r="I160" s="40"/>
      <c r="J160" s="41"/>
      <c r="K160" s="38"/>
      <c r="L160" s="42" t="str">
        <f aca="false">IF($B160="","",IF(AND(N($I160)=0,N($J160)=0),"금액이 없습니다",IF(AND($I160&gt;0,$J160&gt;0),"수입·지출 둘 다 적혔습니다",IF($C160="","결제수단을 고르십시오",IF(ISNA(MATCH($C160,'교육원 ③ 통장·카드'!$A$5:$A$11,0)),"③ 통장·카드에 없는 결제수단입니다",IF($D160="","계정과목을 고르십시오",IF($E160="※없는 과목","④ 설정에 없는 과목입니다",IF(AND($E160="수입",$J160&gt;0),"수입 과목인데 지출에 적혔습니다",IF(AND(LEFT($E160,2)&lt;&gt;"수입",$E160&lt;&gt;"대체",$I160&gt;0),"지출 과목인데 수입에 적혔습니다",IF($K160="","증빙을 고르십시오",IF($H160="","적요를 적으십시오","")))))))))))</f>
        <v/>
      </c>
      <c r="M160" s="39"/>
      <c r="O160" s="11" t="str">
        <f aca="false">IF($B160="","",YEAR($B160)*100+MONTH($B160))</f>
        <v/>
      </c>
      <c r="P160" s="11" t="str">
        <f aca="false">IF($B160="","",IF($E160="대체",0,1))</f>
        <v/>
      </c>
    </row>
    <row r="161" customFormat="false" ht="15" hidden="false" customHeight="false" outlineLevel="0" collapsed="false">
      <c r="A161" s="36" t="str">
        <f aca="false">IF($B161="","",COUNT($B$15:$B161))</f>
        <v/>
      </c>
      <c r="B161" s="37"/>
      <c r="C161" s="38"/>
      <c r="D161" s="20"/>
      <c r="E161" s="36" t="str">
        <f aca="false">IF($D161="","",IFERROR(INDEX('교육원 ④ 설정'!$A$6:$A$40,MATCH($D161,'교육원 ④ 설정'!$B$6:$B$40,0)),"※없는 과목"))</f>
        <v/>
      </c>
      <c r="F161" s="36" t="str">
        <f aca="false">IF($D161="","",IFERROR(INDEX('교육원 ④ 설정'!$C$6:$C$40,MATCH($D161,'교육원 ④ 설정'!$B$6:$B$40,0)),""))</f>
        <v/>
      </c>
      <c r="G161" s="39"/>
      <c r="H161" s="39"/>
      <c r="I161" s="40"/>
      <c r="J161" s="41"/>
      <c r="K161" s="38"/>
      <c r="L161" s="42" t="str">
        <f aca="false">IF($B161="","",IF(AND(N($I161)=0,N($J161)=0),"금액이 없습니다",IF(AND($I161&gt;0,$J161&gt;0),"수입·지출 둘 다 적혔습니다",IF($C161="","결제수단을 고르십시오",IF(ISNA(MATCH($C161,'교육원 ③ 통장·카드'!$A$5:$A$11,0)),"③ 통장·카드에 없는 결제수단입니다",IF($D161="","계정과목을 고르십시오",IF($E161="※없는 과목","④ 설정에 없는 과목입니다",IF(AND($E161="수입",$J161&gt;0),"수입 과목인데 지출에 적혔습니다",IF(AND(LEFT($E161,2)&lt;&gt;"수입",$E161&lt;&gt;"대체",$I161&gt;0),"지출 과목인데 수입에 적혔습니다",IF($K161="","증빙을 고르십시오",IF($H161="","적요를 적으십시오","")))))))))))</f>
        <v/>
      </c>
      <c r="M161" s="39"/>
      <c r="O161" s="11" t="str">
        <f aca="false">IF($B161="","",YEAR($B161)*100+MONTH($B161))</f>
        <v/>
      </c>
      <c r="P161" s="11" t="str">
        <f aca="false">IF($B161="","",IF($E161="대체",0,1))</f>
        <v/>
      </c>
    </row>
    <row r="162" customFormat="false" ht="15" hidden="false" customHeight="false" outlineLevel="0" collapsed="false">
      <c r="A162" s="36" t="str">
        <f aca="false">IF($B162="","",COUNT($B$15:$B162))</f>
        <v/>
      </c>
      <c r="B162" s="37"/>
      <c r="C162" s="38"/>
      <c r="D162" s="20"/>
      <c r="E162" s="36" t="str">
        <f aca="false">IF($D162="","",IFERROR(INDEX('교육원 ④ 설정'!$A$6:$A$40,MATCH($D162,'교육원 ④ 설정'!$B$6:$B$40,0)),"※없는 과목"))</f>
        <v/>
      </c>
      <c r="F162" s="36" t="str">
        <f aca="false">IF($D162="","",IFERROR(INDEX('교육원 ④ 설정'!$C$6:$C$40,MATCH($D162,'교육원 ④ 설정'!$B$6:$B$40,0)),""))</f>
        <v/>
      </c>
      <c r="G162" s="39"/>
      <c r="H162" s="39"/>
      <c r="I162" s="40"/>
      <c r="J162" s="41"/>
      <c r="K162" s="38"/>
      <c r="L162" s="42" t="str">
        <f aca="false">IF($B162="","",IF(AND(N($I162)=0,N($J162)=0),"금액이 없습니다",IF(AND($I162&gt;0,$J162&gt;0),"수입·지출 둘 다 적혔습니다",IF($C162="","결제수단을 고르십시오",IF(ISNA(MATCH($C162,'교육원 ③ 통장·카드'!$A$5:$A$11,0)),"③ 통장·카드에 없는 결제수단입니다",IF($D162="","계정과목을 고르십시오",IF($E162="※없는 과목","④ 설정에 없는 과목입니다",IF(AND($E162="수입",$J162&gt;0),"수입 과목인데 지출에 적혔습니다",IF(AND(LEFT($E162,2)&lt;&gt;"수입",$E162&lt;&gt;"대체",$I162&gt;0),"지출 과목인데 수입에 적혔습니다",IF($K162="","증빙을 고르십시오",IF($H162="","적요를 적으십시오","")))))))))))</f>
        <v/>
      </c>
      <c r="M162" s="39"/>
      <c r="O162" s="11" t="str">
        <f aca="false">IF($B162="","",YEAR($B162)*100+MONTH($B162))</f>
        <v/>
      </c>
      <c r="P162" s="11" t="str">
        <f aca="false">IF($B162="","",IF($E162="대체",0,1))</f>
        <v/>
      </c>
    </row>
    <row r="163" customFormat="false" ht="15" hidden="false" customHeight="false" outlineLevel="0" collapsed="false">
      <c r="A163" s="36" t="str">
        <f aca="false">IF($B163="","",COUNT($B$15:$B163))</f>
        <v/>
      </c>
      <c r="B163" s="37"/>
      <c r="C163" s="38"/>
      <c r="D163" s="20"/>
      <c r="E163" s="36" t="str">
        <f aca="false">IF($D163="","",IFERROR(INDEX('교육원 ④ 설정'!$A$6:$A$40,MATCH($D163,'교육원 ④ 설정'!$B$6:$B$40,0)),"※없는 과목"))</f>
        <v/>
      </c>
      <c r="F163" s="36" t="str">
        <f aca="false">IF($D163="","",IFERROR(INDEX('교육원 ④ 설정'!$C$6:$C$40,MATCH($D163,'교육원 ④ 설정'!$B$6:$B$40,0)),""))</f>
        <v/>
      </c>
      <c r="G163" s="39"/>
      <c r="H163" s="39"/>
      <c r="I163" s="40"/>
      <c r="J163" s="41"/>
      <c r="K163" s="38"/>
      <c r="L163" s="42" t="str">
        <f aca="false">IF($B163="","",IF(AND(N($I163)=0,N($J163)=0),"금액이 없습니다",IF(AND($I163&gt;0,$J163&gt;0),"수입·지출 둘 다 적혔습니다",IF($C163="","결제수단을 고르십시오",IF(ISNA(MATCH($C163,'교육원 ③ 통장·카드'!$A$5:$A$11,0)),"③ 통장·카드에 없는 결제수단입니다",IF($D163="","계정과목을 고르십시오",IF($E163="※없는 과목","④ 설정에 없는 과목입니다",IF(AND($E163="수입",$J163&gt;0),"수입 과목인데 지출에 적혔습니다",IF(AND(LEFT($E163,2)&lt;&gt;"수입",$E163&lt;&gt;"대체",$I163&gt;0),"지출 과목인데 수입에 적혔습니다",IF($K163="","증빙을 고르십시오",IF($H163="","적요를 적으십시오","")))))))))))</f>
        <v/>
      </c>
      <c r="M163" s="39"/>
      <c r="O163" s="11" t="str">
        <f aca="false">IF($B163="","",YEAR($B163)*100+MONTH($B163))</f>
        <v/>
      </c>
      <c r="P163" s="11" t="str">
        <f aca="false">IF($B163="","",IF($E163="대체",0,1))</f>
        <v/>
      </c>
    </row>
    <row r="164" customFormat="false" ht="15" hidden="false" customHeight="false" outlineLevel="0" collapsed="false">
      <c r="A164" s="36" t="str">
        <f aca="false">IF($B164="","",COUNT($B$15:$B164))</f>
        <v/>
      </c>
      <c r="B164" s="37"/>
      <c r="C164" s="38"/>
      <c r="D164" s="20"/>
      <c r="E164" s="36" t="str">
        <f aca="false">IF($D164="","",IFERROR(INDEX('교육원 ④ 설정'!$A$6:$A$40,MATCH($D164,'교육원 ④ 설정'!$B$6:$B$40,0)),"※없는 과목"))</f>
        <v/>
      </c>
      <c r="F164" s="36" t="str">
        <f aca="false">IF($D164="","",IFERROR(INDEX('교육원 ④ 설정'!$C$6:$C$40,MATCH($D164,'교육원 ④ 설정'!$B$6:$B$40,0)),""))</f>
        <v/>
      </c>
      <c r="G164" s="39"/>
      <c r="H164" s="39"/>
      <c r="I164" s="40"/>
      <c r="J164" s="41"/>
      <c r="K164" s="38"/>
      <c r="L164" s="42" t="str">
        <f aca="false">IF($B164="","",IF(AND(N($I164)=0,N($J164)=0),"금액이 없습니다",IF(AND($I164&gt;0,$J164&gt;0),"수입·지출 둘 다 적혔습니다",IF($C164="","결제수단을 고르십시오",IF(ISNA(MATCH($C164,'교육원 ③ 통장·카드'!$A$5:$A$11,0)),"③ 통장·카드에 없는 결제수단입니다",IF($D164="","계정과목을 고르십시오",IF($E164="※없는 과목","④ 설정에 없는 과목입니다",IF(AND($E164="수입",$J164&gt;0),"수입 과목인데 지출에 적혔습니다",IF(AND(LEFT($E164,2)&lt;&gt;"수입",$E164&lt;&gt;"대체",$I164&gt;0),"지출 과목인데 수입에 적혔습니다",IF($K164="","증빙을 고르십시오",IF($H164="","적요를 적으십시오","")))))))))))</f>
        <v/>
      </c>
      <c r="M164" s="39"/>
      <c r="O164" s="11" t="str">
        <f aca="false">IF($B164="","",YEAR($B164)*100+MONTH($B164))</f>
        <v/>
      </c>
      <c r="P164" s="11" t="str">
        <f aca="false">IF($B164="","",IF($E164="대체",0,1))</f>
        <v/>
      </c>
    </row>
    <row r="165" customFormat="false" ht="15" hidden="false" customHeight="false" outlineLevel="0" collapsed="false">
      <c r="A165" s="36" t="str">
        <f aca="false">IF($B165="","",COUNT($B$15:$B165))</f>
        <v/>
      </c>
      <c r="B165" s="37"/>
      <c r="C165" s="38"/>
      <c r="D165" s="20"/>
      <c r="E165" s="36" t="str">
        <f aca="false">IF($D165="","",IFERROR(INDEX('교육원 ④ 설정'!$A$6:$A$40,MATCH($D165,'교육원 ④ 설정'!$B$6:$B$40,0)),"※없는 과목"))</f>
        <v/>
      </c>
      <c r="F165" s="36" t="str">
        <f aca="false">IF($D165="","",IFERROR(INDEX('교육원 ④ 설정'!$C$6:$C$40,MATCH($D165,'교육원 ④ 설정'!$B$6:$B$40,0)),""))</f>
        <v/>
      </c>
      <c r="G165" s="39"/>
      <c r="H165" s="39"/>
      <c r="I165" s="40"/>
      <c r="J165" s="41"/>
      <c r="K165" s="38"/>
      <c r="L165" s="42" t="str">
        <f aca="false">IF($B165="","",IF(AND(N($I165)=0,N($J165)=0),"금액이 없습니다",IF(AND($I165&gt;0,$J165&gt;0),"수입·지출 둘 다 적혔습니다",IF($C165="","결제수단을 고르십시오",IF(ISNA(MATCH($C165,'교육원 ③ 통장·카드'!$A$5:$A$11,0)),"③ 통장·카드에 없는 결제수단입니다",IF($D165="","계정과목을 고르십시오",IF($E165="※없는 과목","④ 설정에 없는 과목입니다",IF(AND($E165="수입",$J165&gt;0),"수입 과목인데 지출에 적혔습니다",IF(AND(LEFT($E165,2)&lt;&gt;"수입",$E165&lt;&gt;"대체",$I165&gt;0),"지출 과목인데 수입에 적혔습니다",IF($K165="","증빙을 고르십시오",IF($H165="","적요를 적으십시오","")))))))))))</f>
        <v/>
      </c>
      <c r="M165" s="39"/>
      <c r="O165" s="11" t="str">
        <f aca="false">IF($B165="","",YEAR($B165)*100+MONTH($B165))</f>
        <v/>
      </c>
      <c r="P165" s="11" t="str">
        <f aca="false">IF($B165="","",IF($E165="대체",0,1))</f>
        <v/>
      </c>
    </row>
    <row r="166" customFormat="false" ht="15" hidden="false" customHeight="false" outlineLevel="0" collapsed="false">
      <c r="A166" s="36" t="str">
        <f aca="false">IF($B166="","",COUNT($B$15:$B166))</f>
        <v/>
      </c>
      <c r="B166" s="37"/>
      <c r="C166" s="38"/>
      <c r="D166" s="20"/>
      <c r="E166" s="36" t="str">
        <f aca="false">IF($D166="","",IFERROR(INDEX('교육원 ④ 설정'!$A$6:$A$40,MATCH($D166,'교육원 ④ 설정'!$B$6:$B$40,0)),"※없는 과목"))</f>
        <v/>
      </c>
      <c r="F166" s="36" t="str">
        <f aca="false">IF($D166="","",IFERROR(INDEX('교육원 ④ 설정'!$C$6:$C$40,MATCH($D166,'교육원 ④ 설정'!$B$6:$B$40,0)),""))</f>
        <v/>
      </c>
      <c r="G166" s="39"/>
      <c r="H166" s="39"/>
      <c r="I166" s="40"/>
      <c r="J166" s="41"/>
      <c r="K166" s="38"/>
      <c r="L166" s="42" t="str">
        <f aca="false">IF($B166="","",IF(AND(N($I166)=0,N($J166)=0),"금액이 없습니다",IF(AND($I166&gt;0,$J166&gt;0),"수입·지출 둘 다 적혔습니다",IF($C166="","결제수단을 고르십시오",IF(ISNA(MATCH($C166,'교육원 ③ 통장·카드'!$A$5:$A$11,0)),"③ 통장·카드에 없는 결제수단입니다",IF($D166="","계정과목을 고르십시오",IF($E166="※없는 과목","④ 설정에 없는 과목입니다",IF(AND($E166="수입",$J166&gt;0),"수입 과목인데 지출에 적혔습니다",IF(AND(LEFT($E166,2)&lt;&gt;"수입",$E166&lt;&gt;"대체",$I166&gt;0),"지출 과목인데 수입에 적혔습니다",IF($K166="","증빙을 고르십시오",IF($H166="","적요를 적으십시오","")))))))))))</f>
        <v/>
      </c>
      <c r="M166" s="39"/>
      <c r="O166" s="11" t="str">
        <f aca="false">IF($B166="","",YEAR($B166)*100+MONTH($B166))</f>
        <v/>
      </c>
      <c r="P166" s="11" t="str">
        <f aca="false">IF($B166="","",IF($E166="대체",0,1))</f>
        <v/>
      </c>
    </row>
    <row r="167" customFormat="false" ht="15" hidden="false" customHeight="false" outlineLevel="0" collapsed="false">
      <c r="A167" s="36" t="str">
        <f aca="false">IF($B167="","",COUNT($B$15:$B167))</f>
        <v/>
      </c>
      <c r="B167" s="37"/>
      <c r="C167" s="38"/>
      <c r="D167" s="20"/>
      <c r="E167" s="36" t="str">
        <f aca="false">IF($D167="","",IFERROR(INDEX('교육원 ④ 설정'!$A$6:$A$40,MATCH($D167,'교육원 ④ 설정'!$B$6:$B$40,0)),"※없는 과목"))</f>
        <v/>
      </c>
      <c r="F167" s="36" t="str">
        <f aca="false">IF($D167="","",IFERROR(INDEX('교육원 ④ 설정'!$C$6:$C$40,MATCH($D167,'교육원 ④ 설정'!$B$6:$B$40,0)),""))</f>
        <v/>
      </c>
      <c r="G167" s="39"/>
      <c r="H167" s="39"/>
      <c r="I167" s="40"/>
      <c r="J167" s="41"/>
      <c r="K167" s="38"/>
      <c r="L167" s="42" t="str">
        <f aca="false">IF($B167="","",IF(AND(N($I167)=0,N($J167)=0),"금액이 없습니다",IF(AND($I167&gt;0,$J167&gt;0),"수입·지출 둘 다 적혔습니다",IF($C167="","결제수단을 고르십시오",IF(ISNA(MATCH($C167,'교육원 ③ 통장·카드'!$A$5:$A$11,0)),"③ 통장·카드에 없는 결제수단입니다",IF($D167="","계정과목을 고르십시오",IF($E167="※없는 과목","④ 설정에 없는 과목입니다",IF(AND($E167="수입",$J167&gt;0),"수입 과목인데 지출에 적혔습니다",IF(AND(LEFT($E167,2)&lt;&gt;"수입",$E167&lt;&gt;"대체",$I167&gt;0),"지출 과목인데 수입에 적혔습니다",IF($K167="","증빙을 고르십시오",IF($H167="","적요를 적으십시오","")))))))))))</f>
        <v/>
      </c>
      <c r="M167" s="39"/>
      <c r="O167" s="11" t="str">
        <f aca="false">IF($B167="","",YEAR($B167)*100+MONTH($B167))</f>
        <v/>
      </c>
      <c r="P167" s="11" t="str">
        <f aca="false">IF($B167="","",IF($E167="대체",0,1))</f>
        <v/>
      </c>
    </row>
    <row r="168" customFormat="false" ht="15" hidden="false" customHeight="false" outlineLevel="0" collapsed="false">
      <c r="A168" s="36" t="str">
        <f aca="false">IF($B168="","",COUNT($B$15:$B168))</f>
        <v/>
      </c>
      <c r="B168" s="37"/>
      <c r="C168" s="38"/>
      <c r="D168" s="20"/>
      <c r="E168" s="36" t="str">
        <f aca="false">IF($D168="","",IFERROR(INDEX('교육원 ④ 설정'!$A$6:$A$40,MATCH($D168,'교육원 ④ 설정'!$B$6:$B$40,0)),"※없는 과목"))</f>
        <v/>
      </c>
      <c r="F168" s="36" t="str">
        <f aca="false">IF($D168="","",IFERROR(INDEX('교육원 ④ 설정'!$C$6:$C$40,MATCH($D168,'교육원 ④ 설정'!$B$6:$B$40,0)),""))</f>
        <v/>
      </c>
      <c r="G168" s="39"/>
      <c r="H168" s="39"/>
      <c r="I168" s="40"/>
      <c r="J168" s="41"/>
      <c r="K168" s="38"/>
      <c r="L168" s="42" t="str">
        <f aca="false">IF($B168="","",IF(AND(N($I168)=0,N($J168)=0),"금액이 없습니다",IF(AND($I168&gt;0,$J168&gt;0),"수입·지출 둘 다 적혔습니다",IF($C168="","결제수단을 고르십시오",IF(ISNA(MATCH($C168,'교육원 ③ 통장·카드'!$A$5:$A$11,0)),"③ 통장·카드에 없는 결제수단입니다",IF($D168="","계정과목을 고르십시오",IF($E168="※없는 과목","④ 설정에 없는 과목입니다",IF(AND($E168="수입",$J168&gt;0),"수입 과목인데 지출에 적혔습니다",IF(AND(LEFT($E168,2)&lt;&gt;"수입",$E168&lt;&gt;"대체",$I168&gt;0),"지출 과목인데 수입에 적혔습니다",IF($K168="","증빙을 고르십시오",IF($H168="","적요를 적으십시오","")))))))))))</f>
        <v/>
      </c>
      <c r="M168" s="39"/>
      <c r="O168" s="11" t="str">
        <f aca="false">IF($B168="","",YEAR($B168)*100+MONTH($B168))</f>
        <v/>
      </c>
      <c r="P168" s="11" t="str">
        <f aca="false">IF($B168="","",IF($E168="대체",0,1))</f>
        <v/>
      </c>
    </row>
    <row r="169" customFormat="false" ht="15" hidden="false" customHeight="false" outlineLevel="0" collapsed="false">
      <c r="A169" s="36" t="str">
        <f aca="false">IF($B169="","",COUNT($B$15:$B169))</f>
        <v/>
      </c>
      <c r="B169" s="37"/>
      <c r="C169" s="38"/>
      <c r="D169" s="20"/>
      <c r="E169" s="36" t="str">
        <f aca="false">IF($D169="","",IFERROR(INDEX('교육원 ④ 설정'!$A$6:$A$40,MATCH($D169,'교육원 ④ 설정'!$B$6:$B$40,0)),"※없는 과목"))</f>
        <v/>
      </c>
      <c r="F169" s="36" t="str">
        <f aca="false">IF($D169="","",IFERROR(INDEX('교육원 ④ 설정'!$C$6:$C$40,MATCH($D169,'교육원 ④ 설정'!$B$6:$B$40,0)),""))</f>
        <v/>
      </c>
      <c r="G169" s="39"/>
      <c r="H169" s="39"/>
      <c r="I169" s="40"/>
      <c r="J169" s="41"/>
      <c r="K169" s="38"/>
      <c r="L169" s="42" t="str">
        <f aca="false">IF($B169="","",IF(AND(N($I169)=0,N($J169)=0),"금액이 없습니다",IF(AND($I169&gt;0,$J169&gt;0),"수입·지출 둘 다 적혔습니다",IF($C169="","결제수단을 고르십시오",IF(ISNA(MATCH($C169,'교육원 ③ 통장·카드'!$A$5:$A$11,0)),"③ 통장·카드에 없는 결제수단입니다",IF($D169="","계정과목을 고르십시오",IF($E169="※없는 과목","④ 설정에 없는 과목입니다",IF(AND($E169="수입",$J169&gt;0),"수입 과목인데 지출에 적혔습니다",IF(AND(LEFT($E169,2)&lt;&gt;"수입",$E169&lt;&gt;"대체",$I169&gt;0),"지출 과목인데 수입에 적혔습니다",IF($K169="","증빙을 고르십시오",IF($H169="","적요를 적으십시오","")))))))))))</f>
        <v/>
      </c>
      <c r="M169" s="39"/>
      <c r="O169" s="11" t="str">
        <f aca="false">IF($B169="","",YEAR($B169)*100+MONTH($B169))</f>
        <v/>
      </c>
      <c r="P169" s="11" t="str">
        <f aca="false">IF($B169="","",IF($E169="대체",0,1))</f>
        <v/>
      </c>
    </row>
    <row r="170" customFormat="false" ht="15" hidden="false" customHeight="false" outlineLevel="0" collapsed="false">
      <c r="A170" s="36" t="str">
        <f aca="false">IF($B170="","",COUNT($B$15:$B170))</f>
        <v/>
      </c>
      <c r="B170" s="37"/>
      <c r="C170" s="38"/>
      <c r="D170" s="20"/>
      <c r="E170" s="36" t="str">
        <f aca="false">IF($D170="","",IFERROR(INDEX('교육원 ④ 설정'!$A$6:$A$40,MATCH($D170,'교육원 ④ 설정'!$B$6:$B$40,0)),"※없는 과목"))</f>
        <v/>
      </c>
      <c r="F170" s="36" t="str">
        <f aca="false">IF($D170="","",IFERROR(INDEX('교육원 ④ 설정'!$C$6:$C$40,MATCH($D170,'교육원 ④ 설정'!$B$6:$B$40,0)),""))</f>
        <v/>
      </c>
      <c r="G170" s="39"/>
      <c r="H170" s="39"/>
      <c r="I170" s="40"/>
      <c r="J170" s="41"/>
      <c r="K170" s="38"/>
      <c r="L170" s="42" t="str">
        <f aca="false">IF($B170="","",IF(AND(N($I170)=0,N($J170)=0),"금액이 없습니다",IF(AND($I170&gt;0,$J170&gt;0),"수입·지출 둘 다 적혔습니다",IF($C170="","결제수단을 고르십시오",IF(ISNA(MATCH($C170,'교육원 ③ 통장·카드'!$A$5:$A$11,0)),"③ 통장·카드에 없는 결제수단입니다",IF($D170="","계정과목을 고르십시오",IF($E170="※없는 과목","④ 설정에 없는 과목입니다",IF(AND($E170="수입",$J170&gt;0),"수입 과목인데 지출에 적혔습니다",IF(AND(LEFT($E170,2)&lt;&gt;"수입",$E170&lt;&gt;"대체",$I170&gt;0),"지출 과목인데 수입에 적혔습니다",IF($K170="","증빙을 고르십시오",IF($H170="","적요를 적으십시오","")))))))))))</f>
        <v/>
      </c>
      <c r="M170" s="39"/>
      <c r="O170" s="11" t="str">
        <f aca="false">IF($B170="","",YEAR($B170)*100+MONTH($B170))</f>
        <v/>
      </c>
      <c r="P170" s="11" t="str">
        <f aca="false">IF($B170="","",IF($E170="대체",0,1))</f>
        <v/>
      </c>
    </row>
    <row r="171" customFormat="false" ht="15" hidden="false" customHeight="false" outlineLevel="0" collapsed="false">
      <c r="A171" s="36" t="str">
        <f aca="false">IF($B171="","",COUNT($B$15:$B171))</f>
        <v/>
      </c>
      <c r="B171" s="37"/>
      <c r="C171" s="38"/>
      <c r="D171" s="20"/>
      <c r="E171" s="36" t="str">
        <f aca="false">IF($D171="","",IFERROR(INDEX('교육원 ④ 설정'!$A$6:$A$40,MATCH($D171,'교육원 ④ 설정'!$B$6:$B$40,0)),"※없는 과목"))</f>
        <v/>
      </c>
      <c r="F171" s="36" t="str">
        <f aca="false">IF($D171="","",IFERROR(INDEX('교육원 ④ 설정'!$C$6:$C$40,MATCH($D171,'교육원 ④ 설정'!$B$6:$B$40,0)),""))</f>
        <v/>
      </c>
      <c r="G171" s="39"/>
      <c r="H171" s="39"/>
      <c r="I171" s="40"/>
      <c r="J171" s="41"/>
      <c r="K171" s="38"/>
      <c r="L171" s="42" t="str">
        <f aca="false">IF($B171="","",IF(AND(N($I171)=0,N($J171)=0),"금액이 없습니다",IF(AND($I171&gt;0,$J171&gt;0),"수입·지출 둘 다 적혔습니다",IF($C171="","결제수단을 고르십시오",IF(ISNA(MATCH($C171,'교육원 ③ 통장·카드'!$A$5:$A$11,0)),"③ 통장·카드에 없는 결제수단입니다",IF($D171="","계정과목을 고르십시오",IF($E171="※없는 과목","④ 설정에 없는 과목입니다",IF(AND($E171="수입",$J171&gt;0),"수입 과목인데 지출에 적혔습니다",IF(AND(LEFT($E171,2)&lt;&gt;"수입",$E171&lt;&gt;"대체",$I171&gt;0),"지출 과목인데 수입에 적혔습니다",IF($K171="","증빙을 고르십시오",IF($H171="","적요를 적으십시오","")))))))))))</f>
        <v/>
      </c>
      <c r="M171" s="39"/>
      <c r="O171" s="11" t="str">
        <f aca="false">IF($B171="","",YEAR($B171)*100+MONTH($B171))</f>
        <v/>
      </c>
      <c r="P171" s="11" t="str">
        <f aca="false">IF($B171="","",IF($E171="대체",0,1))</f>
        <v/>
      </c>
    </row>
    <row r="172" customFormat="false" ht="15" hidden="false" customHeight="false" outlineLevel="0" collapsed="false">
      <c r="A172" s="36" t="str">
        <f aca="false">IF($B172="","",COUNT($B$15:$B172))</f>
        <v/>
      </c>
      <c r="B172" s="37"/>
      <c r="C172" s="38"/>
      <c r="D172" s="20"/>
      <c r="E172" s="36" t="str">
        <f aca="false">IF($D172="","",IFERROR(INDEX('교육원 ④ 설정'!$A$6:$A$40,MATCH($D172,'교육원 ④ 설정'!$B$6:$B$40,0)),"※없는 과목"))</f>
        <v/>
      </c>
      <c r="F172" s="36" t="str">
        <f aca="false">IF($D172="","",IFERROR(INDEX('교육원 ④ 설정'!$C$6:$C$40,MATCH($D172,'교육원 ④ 설정'!$B$6:$B$40,0)),""))</f>
        <v/>
      </c>
      <c r="G172" s="39"/>
      <c r="H172" s="39"/>
      <c r="I172" s="40"/>
      <c r="J172" s="41"/>
      <c r="K172" s="38"/>
      <c r="L172" s="42" t="str">
        <f aca="false">IF($B172="","",IF(AND(N($I172)=0,N($J172)=0),"금액이 없습니다",IF(AND($I172&gt;0,$J172&gt;0),"수입·지출 둘 다 적혔습니다",IF($C172="","결제수단을 고르십시오",IF(ISNA(MATCH($C172,'교육원 ③ 통장·카드'!$A$5:$A$11,0)),"③ 통장·카드에 없는 결제수단입니다",IF($D172="","계정과목을 고르십시오",IF($E172="※없는 과목","④ 설정에 없는 과목입니다",IF(AND($E172="수입",$J172&gt;0),"수입 과목인데 지출에 적혔습니다",IF(AND(LEFT($E172,2)&lt;&gt;"수입",$E172&lt;&gt;"대체",$I172&gt;0),"지출 과목인데 수입에 적혔습니다",IF($K172="","증빙을 고르십시오",IF($H172="","적요를 적으십시오","")))))))))))</f>
        <v/>
      </c>
      <c r="M172" s="39"/>
      <c r="O172" s="11" t="str">
        <f aca="false">IF($B172="","",YEAR($B172)*100+MONTH($B172))</f>
        <v/>
      </c>
      <c r="P172" s="11" t="str">
        <f aca="false">IF($B172="","",IF($E172="대체",0,1))</f>
        <v/>
      </c>
    </row>
    <row r="173" customFormat="false" ht="15" hidden="false" customHeight="false" outlineLevel="0" collapsed="false">
      <c r="A173" s="36" t="str">
        <f aca="false">IF($B173="","",COUNT($B$15:$B173))</f>
        <v/>
      </c>
      <c r="B173" s="37"/>
      <c r="C173" s="38"/>
      <c r="D173" s="20"/>
      <c r="E173" s="36" t="str">
        <f aca="false">IF($D173="","",IFERROR(INDEX('교육원 ④ 설정'!$A$6:$A$40,MATCH($D173,'교육원 ④ 설정'!$B$6:$B$40,0)),"※없는 과목"))</f>
        <v/>
      </c>
      <c r="F173" s="36" t="str">
        <f aca="false">IF($D173="","",IFERROR(INDEX('교육원 ④ 설정'!$C$6:$C$40,MATCH($D173,'교육원 ④ 설정'!$B$6:$B$40,0)),""))</f>
        <v/>
      </c>
      <c r="G173" s="39"/>
      <c r="H173" s="39"/>
      <c r="I173" s="40"/>
      <c r="J173" s="41"/>
      <c r="K173" s="38"/>
      <c r="L173" s="42" t="str">
        <f aca="false">IF($B173="","",IF(AND(N($I173)=0,N($J173)=0),"금액이 없습니다",IF(AND($I173&gt;0,$J173&gt;0),"수입·지출 둘 다 적혔습니다",IF($C173="","결제수단을 고르십시오",IF(ISNA(MATCH($C173,'교육원 ③ 통장·카드'!$A$5:$A$11,0)),"③ 통장·카드에 없는 결제수단입니다",IF($D173="","계정과목을 고르십시오",IF($E173="※없는 과목","④ 설정에 없는 과목입니다",IF(AND($E173="수입",$J173&gt;0),"수입 과목인데 지출에 적혔습니다",IF(AND(LEFT($E173,2)&lt;&gt;"수입",$E173&lt;&gt;"대체",$I173&gt;0),"지출 과목인데 수입에 적혔습니다",IF($K173="","증빙을 고르십시오",IF($H173="","적요를 적으십시오","")))))))))))</f>
        <v/>
      </c>
      <c r="M173" s="39"/>
      <c r="O173" s="11" t="str">
        <f aca="false">IF($B173="","",YEAR($B173)*100+MONTH($B173))</f>
        <v/>
      </c>
      <c r="P173" s="11" t="str">
        <f aca="false">IF($B173="","",IF($E173="대체",0,1))</f>
        <v/>
      </c>
    </row>
    <row r="174" customFormat="false" ht="15" hidden="false" customHeight="false" outlineLevel="0" collapsed="false">
      <c r="A174" s="36" t="str">
        <f aca="false">IF($B174="","",COUNT($B$15:$B174))</f>
        <v/>
      </c>
      <c r="B174" s="37"/>
      <c r="C174" s="38"/>
      <c r="D174" s="20"/>
      <c r="E174" s="36" t="str">
        <f aca="false">IF($D174="","",IFERROR(INDEX('교육원 ④ 설정'!$A$6:$A$40,MATCH($D174,'교육원 ④ 설정'!$B$6:$B$40,0)),"※없는 과목"))</f>
        <v/>
      </c>
      <c r="F174" s="36" t="str">
        <f aca="false">IF($D174="","",IFERROR(INDEX('교육원 ④ 설정'!$C$6:$C$40,MATCH($D174,'교육원 ④ 설정'!$B$6:$B$40,0)),""))</f>
        <v/>
      </c>
      <c r="G174" s="39"/>
      <c r="H174" s="39"/>
      <c r="I174" s="40"/>
      <c r="J174" s="41"/>
      <c r="K174" s="38"/>
      <c r="L174" s="42" t="str">
        <f aca="false">IF($B174="","",IF(AND(N($I174)=0,N($J174)=0),"금액이 없습니다",IF(AND($I174&gt;0,$J174&gt;0),"수입·지출 둘 다 적혔습니다",IF($C174="","결제수단을 고르십시오",IF(ISNA(MATCH($C174,'교육원 ③ 통장·카드'!$A$5:$A$11,0)),"③ 통장·카드에 없는 결제수단입니다",IF($D174="","계정과목을 고르십시오",IF($E174="※없는 과목","④ 설정에 없는 과목입니다",IF(AND($E174="수입",$J174&gt;0),"수입 과목인데 지출에 적혔습니다",IF(AND(LEFT($E174,2)&lt;&gt;"수입",$E174&lt;&gt;"대체",$I174&gt;0),"지출 과목인데 수입에 적혔습니다",IF($K174="","증빙을 고르십시오",IF($H174="","적요를 적으십시오","")))))))))))</f>
        <v/>
      </c>
      <c r="M174" s="39"/>
      <c r="O174" s="11" t="str">
        <f aca="false">IF($B174="","",YEAR($B174)*100+MONTH($B174))</f>
        <v/>
      </c>
      <c r="P174" s="11" t="str">
        <f aca="false">IF($B174="","",IF($E174="대체",0,1))</f>
        <v/>
      </c>
    </row>
    <row r="175" customFormat="false" ht="15" hidden="false" customHeight="false" outlineLevel="0" collapsed="false">
      <c r="A175" s="36" t="str">
        <f aca="false">IF($B175="","",COUNT($B$15:$B175))</f>
        <v/>
      </c>
      <c r="B175" s="37"/>
      <c r="C175" s="38"/>
      <c r="D175" s="20"/>
      <c r="E175" s="36" t="str">
        <f aca="false">IF($D175="","",IFERROR(INDEX('교육원 ④ 설정'!$A$6:$A$40,MATCH($D175,'교육원 ④ 설정'!$B$6:$B$40,0)),"※없는 과목"))</f>
        <v/>
      </c>
      <c r="F175" s="36" t="str">
        <f aca="false">IF($D175="","",IFERROR(INDEX('교육원 ④ 설정'!$C$6:$C$40,MATCH($D175,'교육원 ④ 설정'!$B$6:$B$40,0)),""))</f>
        <v/>
      </c>
      <c r="G175" s="39"/>
      <c r="H175" s="39"/>
      <c r="I175" s="40"/>
      <c r="J175" s="41"/>
      <c r="K175" s="38"/>
      <c r="L175" s="42" t="str">
        <f aca="false">IF($B175="","",IF(AND(N($I175)=0,N($J175)=0),"금액이 없습니다",IF(AND($I175&gt;0,$J175&gt;0),"수입·지출 둘 다 적혔습니다",IF($C175="","결제수단을 고르십시오",IF(ISNA(MATCH($C175,'교육원 ③ 통장·카드'!$A$5:$A$11,0)),"③ 통장·카드에 없는 결제수단입니다",IF($D175="","계정과목을 고르십시오",IF($E175="※없는 과목","④ 설정에 없는 과목입니다",IF(AND($E175="수입",$J175&gt;0),"수입 과목인데 지출에 적혔습니다",IF(AND(LEFT($E175,2)&lt;&gt;"수입",$E175&lt;&gt;"대체",$I175&gt;0),"지출 과목인데 수입에 적혔습니다",IF($K175="","증빙을 고르십시오",IF($H175="","적요를 적으십시오","")))))))))))</f>
        <v/>
      </c>
      <c r="M175" s="39"/>
      <c r="O175" s="11" t="str">
        <f aca="false">IF($B175="","",YEAR($B175)*100+MONTH($B175))</f>
        <v/>
      </c>
      <c r="P175" s="11" t="str">
        <f aca="false">IF($B175="","",IF($E175="대체",0,1))</f>
        <v/>
      </c>
    </row>
    <row r="176" customFormat="false" ht="15" hidden="false" customHeight="false" outlineLevel="0" collapsed="false">
      <c r="A176" s="36" t="str">
        <f aca="false">IF($B176="","",COUNT($B$15:$B176))</f>
        <v/>
      </c>
      <c r="B176" s="37"/>
      <c r="C176" s="38"/>
      <c r="D176" s="20"/>
      <c r="E176" s="36" t="str">
        <f aca="false">IF($D176="","",IFERROR(INDEX('교육원 ④ 설정'!$A$6:$A$40,MATCH($D176,'교육원 ④ 설정'!$B$6:$B$40,0)),"※없는 과목"))</f>
        <v/>
      </c>
      <c r="F176" s="36" t="str">
        <f aca="false">IF($D176="","",IFERROR(INDEX('교육원 ④ 설정'!$C$6:$C$40,MATCH($D176,'교육원 ④ 설정'!$B$6:$B$40,0)),""))</f>
        <v/>
      </c>
      <c r="G176" s="39"/>
      <c r="H176" s="39"/>
      <c r="I176" s="40"/>
      <c r="J176" s="41"/>
      <c r="K176" s="38"/>
      <c r="L176" s="42" t="str">
        <f aca="false">IF($B176="","",IF(AND(N($I176)=0,N($J176)=0),"금액이 없습니다",IF(AND($I176&gt;0,$J176&gt;0),"수입·지출 둘 다 적혔습니다",IF($C176="","결제수단을 고르십시오",IF(ISNA(MATCH($C176,'교육원 ③ 통장·카드'!$A$5:$A$11,0)),"③ 통장·카드에 없는 결제수단입니다",IF($D176="","계정과목을 고르십시오",IF($E176="※없는 과목","④ 설정에 없는 과목입니다",IF(AND($E176="수입",$J176&gt;0),"수입 과목인데 지출에 적혔습니다",IF(AND(LEFT($E176,2)&lt;&gt;"수입",$E176&lt;&gt;"대체",$I176&gt;0),"지출 과목인데 수입에 적혔습니다",IF($K176="","증빙을 고르십시오",IF($H176="","적요를 적으십시오","")))))))))))</f>
        <v/>
      </c>
      <c r="M176" s="39"/>
      <c r="O176" s="11" t="str">
        <f aca="false">IF($B176="","",YEAR($B176)*100+MONTH($B176))</f>
        <v/>
      </c>
      <c r="P176" s="11" t="str">
        <f aca="false">IF($B176="","",IF($E176="대체",0,1))</f>
        <v/>
      </c>
    </row>
    <row r="177" customFormat="false" ht="15" hidden="false" customHeight="false" outlineLevel="0" collapsed="false">
      <c r="A177" s="36" t="str">
        <f aca="false">IF($B177="","",COUNT($B$15:$B177))</f>
        <v/>
      </c>
      <c r="B177" s="37"/>
      <c r="C177" s="38"/>
      <c r="D177" s="20"/>
      <c r="E177" s="36" t="str">
        <f aca="false">IF($D177="","",IFERROR(INDEX('교육원 ④ 설정'!$A$6:$A$40,MATCH($D177,'교육원 ④ 설정'!$B$6:$B$40,0)),"※없는 과목"))</f>
        <v/>
      </c>
      <c r="F177" s="36" t="str">
        <f aca="false">IF($D177="","",IFERROR(INDEX('교육원 ④ 설정'!$C$6:$C$40,MATCH($D177,'교육원 ④ 설정'!$B$6:$B$40,0)),""))</f>
        <v/>
      </c>
      <c r="G177" s="39"/>
      <c r="H177" s="39"/>
      <c r="I177" s="40"/>
      <c r="J177" s="41"/>
      <c r="K177" s="38"/>
      <c r="L177" s="42" t="str">
        <f aca="false">IF($B177="","",IF(AND(N($I177)=0,N($J177)=0),"금액이 없습니다",IF(AND($I177&gt;0,$J177&gt;0),"수입·지출 둘 다 적혔습니다",IF($C177="","결제수단을 고르십시오",IF(ISNA(MATCH($C177,'교육원 ③ 통장·카드'!$A$5:$A$11,0)),"③ 통장·카드에 없는 결제수단입니다",IF($D177="","계정과목을 고르십시오",IF($E177="※없는 과목","④ 설정에 없는 과목입니다",IF(AND($E177="수입",$J177&gt;0),"수입 과목인데 지출에 적혔습니다",IF(AND(LEFT($E177,2)&lt;&gt;"수입",$E177&lt;&gt;"대체",$I177&gt;0),"지출 과목인데 수입에 적혔습니다",IF($K177="","증빙을 고르십시오",IF($H177="","적요를 적으십시오","")))))))))))</f>
        <v/>
      </c>
      <c r="M177" s="39"/>
      <c r="O177" s="11" t="str">
        <f aca="false">IF($B177="","",YEAR($B177)*100+MONTH($B177))</f>
        <v/>
      </c>
      <c r="P177" s="11" t="str">
        <f aca="false">IF($B177="","",IF($E177="대체",0,1))</f>
        <v/>
      </c>
    </row>
    <row r="178" customFormat="false" ht="15" hidden="false" customHeight="false" outlineLevel="0" collapsed="false">
      <c r="A178" s="36" t="str">
        <f aca="false">IF($B178="","",COUNT($B$15:$B178))</f>
        <v/>
      </c>
      <c r="B178" s="37"/>
      <c r="C178" s="38"/>
      <c r="D178" s="20"/>
      <c r="E178" s="36" t="str">
        <f aca="false">IF($D178="","",IFERROR(INDEX('교육원 ④ 설정'!$A$6:$A$40,MATCH($D178,'교육원 ④ 설정'!$B$6:$B$40,0)),"※없는 과목"))</f>
        <v/>
      </c>
      <c r="F178" s="36" t="str">
        <f aca="false">IF($D178="","",IFERROR(INDEX('교육원 ④ 설정'!$C$6:$C$40,MATCH($D178,'교육원 ④ 설정'!$B$6:$B$40,0)),""))</f>
        <v/>
      </c>
      <c r="G178" s="39"/>
      <c r="H178" s="39"/>
      <c r="I178" s="40"/>
      <c r="J178" s="41"/>
      <c r="K178" s="38"/>
      <c r="L178" s="42" t="str">
        <f aca="false">IF($B178="","",IF(AND(N($I178)=0,N($J178)=0),"금액이 없습니다",IF(AND($I178&gt;0,$J178&gt;0),"수입·지출 둘 다 적혔습니다",IF($C178="","결제수단을 고르십시오",IF(ISNA(MATCH($C178,'교육원 ③ 통장·카드'!$A$5:$A$11,0)),"③ 통장·카드에 없는 결제수단입니다",IF($D178="","계정과목을 고르십시오",IF($E178="※없는 과목","④ 설정에 없는 과목입니다",IF(AND($E178="수입",$J178&gt;0),"수입 과목인데 지출에 적혔습니다",IF(AND(LEFT($E178,2)&lt;&gt;"수입",$E178&lt;&gt;"대체",$I178&gt;0),"지출 과목인데 수입에 적혔습니다",IF($K178="","증빙을 고르십시오",IF($H178="","적요를 적으십시오","")))))))))))</f>
        <v/>
      </c>
      <c r="M178" s="39"/>
      <c r="O178" s="11" t="str">
        <f aca="false">IF($B178="","",YEAR($B178)*100+MONTH($B178))</f>
        <v/>
      </c>
      <c r="P178" s="11" t="str">
        <f aca="false">IF($B178="","",IF($E178="대체",0,1))</f>
        <v/>
      </c>
    </row>
    <row r="179" customFormat="false" ht="15" hidden="false" customHeight="false" outlineLevel="0" collapsed="false">
      <c r="A179" s="36" t="str">
        <f aca="false">IF($B179="","",COUNT($B$15:$B179))</f>
        <v/>
      </c>
      <c r="B179" s="37"/>
      <c r="C179" s="38"/>
      <c r="D179" s="20"/>
      <c r="E179" s="36" t="str">
        <f aca="false">IF($D179="","",IFERROR(INDEX('교육원 ④ 설정'!$A$6:$A$40,MATCH($D179,'교육원 ④ 설정'!$B$6:$B$40,0)),"※없는 과목"))</f>
        <v/>
      </c>
      <c r="F179" s="36" t="str">
        <f aca="false">IF($D179="","",IFERROR(INDEX('교육원 ④ 설정'!$C$6:$C$40,MATCH($D179,'교육원 ④ 설정'!$B$6:$B$40,0)),""))</f>
        <v/>
      </c>
      <c r="G179" s="39"/>
      <c r="H179" s="39"/>
      <c r="I179" s="40"/>
      <c r="J179" s="41"/>
      <c r="K179" s="38"/>
      <c r="L179" s="42" t="str">
        <f aca="false">IF($B179="","",IF(AND(N($I179)=0,N($J179)=0),"금액이 없습니다",IF(AND($I179&gt;0,$J179&gt;0),"수입·지출 둘 다 적혔습니다",IF($C179="","결제수단을 고르십시오",IF(ISNA(MATCH($C179,'교육원 ③ 통장·카드'!$A$5:$A$11,0)),"③ 통장·카드에 없는 결제수단입니다",IF($D179="","계정과목을 고르십시오",IF($E179="※없는 과목","④ 설정에 없는 과목입니다",IF(AND($E179="수입",$J179&gt;0),"수입 과목인데 지출에 적혔습니다",IF(AND(LEFT($E179,2)&lt;&gt;"수입",$E179&lt;&gt;"대체",$I179&gt;0),"지출 과목인데 수입에 적혔습니다",IF($K179="","증빙을 고르십시오",IF($H179="","적요를 적으십시오","")))))))))))</f>
        <v/>
      </c>
      <c r="M179" s="39"/>
      <c r="O179" s="11" t="str">
        <f aca="false">IF($B179="","",YEAR($B179)*100+MONTH($B179))</f>
        <v/>
      </c>
      <c r="P179" s="11" t="str">
        <f aca="false">IF($B179="","",IF($E179="대체",0,1))</f>
        <v/>
      </c>
    </row>
    <row r="180" customFormat="false" ht="15" hidden="false" customHeight="false" outlineLevel="0" collapsed="false">
      <c r="A180" s="36" t="str">
        <f aca="false">IF($B180="","",COUNT($B$15:$B180))</f>
        <v/>
      </c>
      <c r="B180" s="37"/>
      <c r="C180" s="38"/>
      <c r="D180" s="20"/>
      <c r="E180" s="36" t="str">
        <f aca="false">IF($D180="","",IFERROR(INDEX('교육원 ④ 설정'!$A$6:$A$40,MATCH($D180,'교육원 ④ 설정'!$B$6:$B$40,0)),"※없는 과목"))</f>
        <v/>
      </c>
      <c r="F180" s="36" t="str">
        <f aca="false">IF($D180="","",IFERROR(INDEX('교육원 ④ 설정'!$C$6:$C$40,MATCH($D180,'교육원 ④ 설정'!$B$6:$B$40,0)),""))</f>
        <v/>
      </c>
      <c r="G180" s="39"/>
      <c r="H180" s="39"/>
      <c r="I180" s="40"/>
      <c r="J180" s="41"/>
      <c r="K180" s="38"/>
      <c r="L180" s="42" t="str">
        <f aca="false">IF($B180="","",IF(AND(N($I180)=0,N($J180)=0),"금액이 없습니다",IF(AND($I180&gt;0,$J180&gt;0),"수입·지출 둘 다 적혔습니다",IF($C180="","결제수단을 고르십시오",IF(ISNA(MATCH($C180,'교육원 ③ 통장·카드'!$A$5:$A$11,0)),"③ 통장·카드에 없는 결제수단입니다",IF($D180="","계정과목을 고르십시오",IF($E180="※없는 과목","④ 설정에 없는 과목입니다",IF(AND($E180="수입",$J180&gt;0),"수입 과목인데 지출에 적혔습니다",IF(AND(LEFT($E180,2)&lt;&gt;"수입",$E180&lt;&gt;"대체",$I180&gt;0),"지출 과목인데 수입에 적혔습니다",IF($K180="","증빙을 고르십시오",IF($H180="","적요를 적으십시오","")))))))))))</f>
        <v/>
      </c>
      <c r="M180" s="39"/>
      <c r="O180" s="11" t="str">
        <f aca="false">IF($B180="","",YEAR($B180)*100+MONTH($B180))</f>
        <v/>
      </c>
      <c r="P180" s="11" t="str">
        <f aca="false">IF($B180="","",IF($E180="대체",0,1))</f>
        <v/>
      </c>
    </row>
    <row r="181" customFormat="false" ht="15" hidden="false" customHeight="false" outlineLevel="0" collapsed="false">
      <c r="A181" s="36" t="str">
        <f aca="false">IF($B181="","",COUNT($B$15:$B181))</f>
        <v/>
      </c>
      <c r="B181" s="37"/>
      <c r="C181" s="38"/>
      <c r="D181" s="20"/>
      <c r="E181" s="36" t="str">
        <f aca="false">IF($D181="","",IFERROR(INDEX('교육원 ④ 설정'!$A$6:$A$40,MATCH($D181,'교육원 ④ 설정'!$B$6:$B$40,0)),"※없는 과목"))</f>
        <v/>
      </c>
      <c r="F181" s="36" t="str">
        <f aca="false">IF($D181="","",IFERROR(INDEX('교육원 ④ 설정'!$C$6:$C$40,MATCH($D181,'교육원 ④ 설정'!$B$6:$B$40,0)),""))</f>
        <v/>
      </c>
      <c r="G181" s="39"/>
      <c r="H181" s="39"/>
      <c r="I181" s="40"/>
      <c r="J181" s="41"/>
      <c r="K181" s="38"/>
      <c r="L181" s="42" t="str">
        <f aca="false">IF($B181="","",IF(AND(N($I181)=0,N($J181)=0),"금액이 없습니다",IF(AND($I181&gt;0,$J181&gt;0),"수입·지출 둘 다 적혔습니다",IF($C181="","결제수단을 고르십시오",IF(ISNA(MATCH($C181,'교육원 ③ 통장·카드'!$A$5:$A$11,0)),"③ 통장·카드에 없는 결제수단입니다",IF($D181="","계정과목을 고르십시오",IF($E181="※없는 과목","④ 설정에 없는 과목입니다",IF(AND($E181="수입",$J181&gt;0),"수입 과목인데 지출에 적혔습니다",IF(AND(LEFT($E181,2)&lt;&gt;"수입",$E181&lt;&gt;"대체",$I181&gt;0),"지출 과목인데 수입에 적혔습니다",IF($K181="","증빙을 고르십시오",IF($H181="","적요를 적으십시오","")))))))))))</f>
        <v/>
      </c>
      <c r="M181" s="39"/>
      <c r="O181" s="11" t="str">
        <f aca="false">IF($B181="","",YEAR($B181)*100+MONTH($B181))</f>
        <v/>
      </c>
      <c r="P181" s="11" t="str">
        <f aca="false">IF($B181="","",IF($E181="대체",0,1))</f>
        <v/>
      </c>
    </row>
    <row r="182" customFormat="false" ht="15" hidden="false" customHeight="false" outlineLevel="0" collapsed="false">
      <c r="A182" s="36" t="str">
        <f aca="false">IF($B182="","",COUNT($B$15:$B182))</f>
        <v/>
      </c>
      <c r="B182" s="37"/>
      <c r="C182" s="38"/>
      <c r="D182" s="20"/>
      <c r="E182" s="36" t="str">
        <f aca="false">IF($D182="","",IFERROR(INDEX('교육원 ④ 설정'!$A$6:$A$40,MATCH($D182,'교육원 ④ 설정'!$B$6:$B$40,0)),"※없는 과목"))</f>
        <v/>
      </c>
      <c r="F182" s="36" t="str">
        <f aca="false">IF($D182="","",IFERROR(INDEX('교육원 ④ 설정'!$C$6:$C$40,MATCH($D182,'교육원 ④ 설정'!$B$6:$B$40,0)),""))</f>
        <v/>
      </c>
      <c r="G182" s="39"/>
      <c r="H182" s="39"/>
      <c r="I182" s="40"/>
      <c r="J182" s="41"/>
      <c r="K182" s="38"/>
      <c r="L182" s="42" t="str">
        <f aca="false">IF($B182="","",IF(AND(N($I182)=0,N($J182)=0),"금액이 없습니다",IF(AND($I182&gt;0,$J182&gt;0),"수입·지출 둘 다 적혔습니다",IF($C182="","결제수단을 고르십시오",IF(ISNA(MATCH($C182,'교육원 ③ 통장·카드'!$A$5:$A$11,0)),"③ 통장·카드에 없는 결제수단입니다",IF($D182="","계정과목을 고르십시오",IF($E182="※없는 과목","④ 설정에 없는 과목입니다",IF(AND($E182="수입",$J182&gt;0),"수입 과목인데 지출에 적혔습니다",IF(AND(LEFT($E182,2)&lt;&gt;"수입",$E182&lt;&gt;"대체",$I182&gt;0),"지출 과목인데 수입에 적혔습니다",IF($K182="","증빙을 고르십시오",IF($H182="","적요를 적으십시오","")))))))))))</f>
        <v/>
      </c>
      <c r="M182" s="39"/>
      <c r="O182" s="11" t="str">
        <f aca="false">IF($B182="","",YEAR($B182)*100+MONTH($B182))</f>
        <v/>
      </c>
      <c r="P182" s="11" t="str">
        <f aca="false">IF($B182="","",IF($E182="대체",0,1))</f>
        <v/>
      </c>
    </row>
    <row r="183" customFormat="false" ht="15" hidden="false" customHeight="false" outlineLevel="0" collapsed="false">
      <c r="A183" s="36" t="str">
        <f aca="false">IF($B183="","",COUNT($B$15:$B183))</f>
        <v/>
      </c>
      <c r="B183" s="37"/>
      <c r="C183" s="38"/>
      <c r="D183" s="20"/>
      <c r="E183" s="36" t="str">
        <f aca="false">IF($D183="","",IFERROR(INDEX('교육원 ④ 설정'!$A$6:$A$40,MATCH($D183,'교육원 ④ 설정'!$B$6:$B$40,0)),"※없는 과목"))</f>
        <v/>
      </c>
      <c r="F183" s="36" t="str">
        <f aca="false">IF($D183="","",IFERROR(INDEX('교육원 ④ 설정'!$C$6:$C$40,MATCH($D183,'교육원 ④ 설정'!$B$6:$B$40,0)),""))</f>
        <v/>
      </c>
      <c r="G183" s="39"/>
      <c r="H183" s="39"/>
      <c r="I183" s="40"/>
      <c r="J183" s="41"/>
      <c r="K183" s="38"/>
      <c r="L183" s="42" t="str">
        <f aca="false">IF($B183="","",IF(AND(N($I183)=0,N($J183)=0),"금액이 없습니다",IF(AND($I183&gt;0,$J183&gt;0),"수입·지출 둘 다 적혔습니다",IF($C183="","결제수단을 고르십시오",IF(ISNA(MATCH($C183,'교육원 ③ 통장·카드'!$A$5:$A$11,0)),"③ 통장·카드에 없는 결제수단입니다",IF($D183="","계정과목을 고르십시오",IF($E183="※없는 과목","④ 설정에 없는 과목입니다",IF(AND($E183="수입",$J183&gt;0),"수입 과목인데 지출에 적혔습니다",IF(AND(LEFT($E183,2)&lt;&gt;"수입",$E183&lt;&gt;"대체",$I183&gt;0),"지출 과목인데 수입에 적혔습니다",IF($K183="","증빙을 고르십시오",IF($H183="","적요를 적으십시오","")))))))))))</f>
        <v/>
      </c>
      <c r="M183" s="39"/>
      <c r="O183" s="11" t="str">
        <f aca="false">IF($B183="","",YEAR($B183)*100+MONTH($B183))</f>
        <v/>
      </c>
      <c r="P183" s="11" t="str">
        <f aca="false">IF($B183="","",IF($E183="대체",0,1))</f>
        <v/>
      </c>
    </row>
    <row r="184" customFormat="false" ht="15" hidden="false" customHeight="false" outlineLevel="0" collapsed="false">
      <c r="A184" s="36" t="str">
        <f aca="false">IF($B184="","",COUNT($B$15:$B184))</f>
        <v/>
      </c>
      <c r="B184" s="37"/>
      <c r="C184" s="38"/>
      <c r="D184" s="20"/>
      <c r="E184" s="36" t="str">
        <f aca="false">IF($D184="","",IFERROR(INDEX('교육원 ④ 설정'!$A$6:$A$40,MATCH($D184,'교육원 ④ 설정'!$B$6:$B$40,0)),"※없는 과목"))</f>
        <v/>
      </c>
      <c r="F184" s="36" t="str">
        <f aca="false">IF($D184="","",IFERROR(INDEX('교육원 ④ 설정'!$C$6:$C$40,MATCH($D184,'교육원 ④ 설정'!$B$6:$B$40,0)),""))</f>
        <v/>
      </c>
      <c r="G184" s="39"/>
      <c r="H184" s="39"/>
      <c r="I184" s="40"/>
      <c r="J184" s="41"/>
      <c r="K184" s="38"/>
      <c r="L184" s="42" t="str">
        <f aca="false">IF($B184="","",IF(AND(N($I184)=0,N($J184)=0),"금액이 없습니다",IF(AND($I184&gt;0,$J184&gt;0),"수입·지출 둘 다 적혔습니다",IF($C184="","결제수단을 고르십시오",IF(ISNA(MATCH($C184,'교육원 ③ 통장·카드'!$A$5:$A$11,0)),"③ 통장·카드에 없는 결제수단입니다",IF($D184="","계정과목을 고르십시오",IF($E184="※없는 과목","④ 설정에 없는 과목입니다",IF(AND($E184="수입",$J184&gt;0),"수입 과목인데 지출에 적혔습니다",IF(AND(LEFT($E184,2)&lt;&gt;"수입",$E184&lt;&gt;"대체",$I184&gt;0),"지출 과목인데 수입에 적혔습니다",IF($K184="","증빙을 고르십시오",IF($H184="","적요를 적으십시오","")))))))))))</f>
        <v/>
      </c>
      <c r="M184" s="39"/>
      <c r="O184" s="11" t="str">
        <f aca="false">IF($B184="","",YEAR($B184)*100+MONTH($B184))</f>
        <v/>
      </c>
      <c r="P184" s="11" t="str">
        <f aca="false">IF($B184="","",IF($E184="대체",0,1))</f>
        <v/>
      </c>
    </row>
    <row r="185" customFormat="false" ht="15" hidden="false" customHeight="false" outlineLevel="0" collapsed="false">
      <c r="A185" s="36" t="str">
        <f aca="false">IF($B185="","",COUNT($B$15:$B185))</f>
        <v/>
      </c>
      <c r="B185" s="37"/>
      <c r="C185" s="38"/>
      <c r="D185" s="20"/>
      <c r="E185" s="36" t="str">
        <f aca="false">IF($D185="","",IFERROR(INDEX('교육원 ④ 설정'!$A$6:$A$40,MATCH($D185,'교육원 ④ 설정'!$B$6:$B$40,0)),"※없는 과목"))</f>
        <v/>
      </c>
      <c r="F185" s="36" t="str">
        <f aca="false">IF($D185="","",IFERROR(INDEX('교육원 ④ 설정'!$C$6:$C$40,MATCH($D185,'교육원 ④ 설정'!$B$6:$B$40,0)),""))</f>
        <v/>
      </c>
      <c r="G185" s="39"/>
      <c r="H185" s="39"/>
      <c r="I185" s="40"/>
      <c r="J185" s="41"/>
      <c r="K185" s="38"/>
      <c r="L185" s="42" t="str">
        <f aca="false">IF($B185="","",IF(AND(N($I185)=0,N($J185)=0),"금액이 없습니다",IF(AND($I185&gt;0,$J185&gt;0),"수입·지출 둘 다 적혔습니다",IF($C185="","결제수단을 고르십시오",IF(ISNA(MATCH($C185,'교육원 ③ 통장·카드'!$A$5:$A$11,0)),"③ 통장·카드에 없는 결제수단입니다",IF($D185="","계정과목을 고르십시오",IF($E185="※없는 과목","④ 설정에 없는 과목입니다",IF(AND($E185="수입",$J185&gt;0),"수입 과목인데 지출에 적혔습니다",IF(AND(LEFT($E185,2)&lt;&gt;"수입",$E185&lt;&gt;"대체",$I185&gt;0),"지출 과목인데 수입에 적혔습니다",IF($K185="","증빙을 고르십시오",IF($H185="","적요를 적으십시오","")))))))))))</f>
        <v/>
      </c>
      <c r="M185" s="39"/>
      <c r="O185" s="11" t="str">
        <f aca="false">IF($B185="","",YEAR($B185)*100+MONTH($B185))</f>
        <v/>
      </c>
      <c r="P185" s="11" t="str">
        <f aca="false">IF($B185="","",IF($E185="대체",0,1))</f>
        <v/>
      </c>
    </row>
    <row r="186" customFormat="false" ht="15" hidden="false" customHeight="false" outlineLevel="0" collapsed="false">
      <c r="A186" s="36" t="str">
        <f aca="false">IF($B186="","",COUNT($B$15:$B186))</f>
        <v/>
      </c>
      <c r="B186" s="37"/>
      <c r="C186" s="38"/>
      <c r="D186" s="20"/>
      <c r="E186" s="36" t="str">
        <f aca="false">IF($D186="","",IFERROR(INDEX('교육원 ④ 설정'!$A$6:$A$40,MATCH($D186,'교육원 ④ 설정'!$B$6:$B$40,0)),"※없는 과목"))</f>
        <v/>
      </c>
      <c r="F186" s="36" t="str">
        <f aca="false">IF($D186="","",IFERROR(INDEX('교육원 ④ 설정'!$C$6:$C$40,MATCH($D186,'교육원 ④ 설정'!$B$6:$B$40,0)),""))</f>
        <v/>
      </c>
      <c r="G186" s="39"/>
      <c r="H186" s="39"/>
      <c r="I186" s="40"/>
      <c r="J186" s="41"/>
      <c r="K186" s="38"/>
      <c r="L186" s="42" t="str">
        <f aca="false">IF($B186="","",IF(AND(N($I186)=0,N($J186)=0),"금액이 없습니다",IF(AND($I186&gt;0,$J186&gt;0),"수입·지출 둘 다 적혔습니다",IF($C186="","결제수단을 고르십시오",IF(ISNA(MATCH($C186,'교육원 ③ 통장·카드'!$A$5:$A$11,0)),"③ 통장·카드에 없는 결제수단입니다",IF($D186="","계정과목을 고르십시오",IF($E186="※없는 과목","④ 설정에 없는 과목입니다",IF(AND($E186="수입",$J186&gt;0),"수입 과목인데 지출에 적혔습니다",IF(AND(LEFT($E186,2)&lt;&gt;"수입",$E186&lt;&gt;"대체",$I186&gt;0),"지출 과목인데 수입에 적혔습니다",IF($K186="","증빙을 고르십시오",IF($H186="","적요를 적으십시오","")))))))))))</f>
        <v/>
      </c>
      <c r="M186" s="39"/>
      <c r="O186" s="11" t="str">
        <f aca="false">IF($B186="","",YEAR($B186)*100+MONTH($B186))</f>
        <v/>
      </c>
      <c r="P186" s="11" t="str">
        <f aca="false">IF($B186="","",IF($E186="대체",0,1))</f>
        <v/>
      </c>
    </row>
    <row r="187" customFormat="false" ht="15" hidden="false" customHeight="false" outlineLevel="0" collapsed="false">
      <c r="A187" s="36" t="str">
        <f aca="false">IF($B187="","",COUNT($B$15:$B187))</f>
        <v/>
      </c>
      <c r="B187" s="37"/>
      <c r="C187" s="38"/>
      <c r="D187" s="20"/>
      <c r="E187" s="36" t="str">
        <f aca="false">IF($D187="","",IFERROR(INDEX('교육원 ④ 설정'!$A$6:$A$40,MATCH($D187,'교육원 ④ 설정'!$B$6:$B$40,0)),"※없는 과목"))</f>
        <v/>
      </c>
      <c r="F187" s="36" t="str">
        <f aca="false">IF($D187="","",IFERROR(INDEX('교육원 ④ 설정'!$C$6:$C$40,MATCH($D187,'교육원 ④ 설정'!$B$6:$B$40,0)),""))</f>
        <v/>
      </c>
      <c r="G187" s="39"/>
      <c r="H187" s="39"/>
      <c r="I187" s="40"/>
      <c r="J187" s="41"/>
      <c r="K187" s="38"/>
      <c r="L187" s="42" t="str">
        <f aca="false">IF($B187="","",IF(AND(N($I187)=0,N($J187)=0),"금액이 없습니다",IF(AND($I187&gt;0,$J187&gt;0),"수입·지출 둘 다 적혔습니다",IF($C187="","결제수단을 고르십시오",IF(ISNA(MATCH($C187,'교육원 ③ 통장·카드'!$A$5:$A$11,0)),"③ 통장·카드에 없는 결제수단입니다",IF($D187="","계정과목을 고르십시오",IF($E187="※없는 과목","④ 설정에 없는 과목입니다",IF(AND($E187="수입",$J187&gt;0),"수입 과목인데 지출에 적혔습니다",IF(AND(LEFT($E187,2)&lt;&gt;"수입",$E187&lt;&gt;"대체",$I187&gt;0),"지출 과목인데 수입에 적혔습니다",IF($K187="","증빙을 고르십시오",IF($H187="","적요를 적으십시오","")))))))))))</f>
        <v/>
      </c>
      <c r="M187" s="39"/>
      <c r="O187" s="11" t="str">
        <f aca="false">IF($B187="","",YEAR($B187)*100+MONTH($B187))</f>
        <v/>
      </c>
      <c r="P187" s="11" t="str">
        <f aca="false">IF($B187="","",IF($E187="대체",0,1))</f>
        <v/>
      </c>
    </row>
    <row r="188" customFormat="false" ht="15" hidden="false" customHeight="false" outlineLevel="0" collapsed="false">
      <c r="A188" s="36" t="str">
        <f aca="false">IF($B188="","",COUNT($B$15:$B188))</f>
        <v/>
      </c>
      <c r="B188" s="37"/>
      <c r="C188" s="38"/>
      <c r="D188" s="20"/>
      <c r="E188" s="36" t="str">
        <f aca="false">IF($D188="","",IFERROR(INDEX('교육원 ④ 설정'!$A$6:$A$40,MATCH($D188,'교육원 ④ 설정'!$B$6:$B$40,0)),"※없는 과목"))</f>
        <v/>
      </c>
      <c r="F188" s="36" t="str">
        <f aca="false">IF($D188="","",IFERROR(INDEX('교육원 ④ 설정'!$C$6:$C$40,MATCH($D188,'교육원 ④ 설정'!$B$6:$B$40,0)),""))</f>
        <v/>
      </c>
      <c r="G188" s="39"/>
      <c r="H188" s="39"/>
      <c r="I188" s="40"/>
      <c r="J188" s="41"/>
      <c r="K188" s="38"/>
      <c r="L188" s="42" t="str">
        <f aca="false">IF($B188="","",IF(AND(N($I188)=0,N($J188)=0),"금액이 없습니다",IF(AND($I188&gt;0,$J188&gt;0),"수입·지출 둘 다 적혔습니다",IF($C188="","결제수단을 고르십시오",IF(ISNA(MATCH($C188,'교육원 ③ 통장·카드'!$A$5:$A$11,0)),"③ 통장·카드에 없는 결제수단입니다",IF($D188="","계정과목을 고르십시오",IF($E188="※없는 과목","④ 설정에 없는 과목입니다",IF(AND($E188="수입",$J188&gt;0),"수입 과목인데 지출에 적혔습니다",IF(AND(LEFT($E188,2)&lt;&gt;"수입",$E188&lt;&gt;"대체",$I188&gt;0),"지출 과목인데 수입에 적혔습니다",IF($K188="","증빙을 고르십시오",IF($H188="","적요를 적으십시오","")))))))))))</f>
        <v/>
      </c>
      <c r="M188" s="39"/>
      <c r="O188" s="11" t="str">
        <f aca="false">IF($B188="","",YEAR($B188)*100+MONTH($B188))</f>
        <v/>
      </c>
      <c r="P188" s="11" t="str">
        <f aca="false">IF($B188="","",IF($E188="대체",0,1))</f>
        <v/>
      </c>
    </row>
    <row r="189" customFormat="false" ht="15" hidden="false" customHeight="false" outlineLevel="0" collapsed="false">
      <c r="A189" s="36" t="str">
        <f aca="false">IF($B189="","",COUNT($B$15:$B189))</f>
        <v/>
      </c>
      <c r="B189" s="37"/>
      <c r="C189" s="38"/>
      <c r="D189" s="20"/>
      <c r="E189" s="36" t="str">
        <f aca="false">IF($D189="","",IFERROR(INDEX('교육원 ④ 설정'!$A$6:$A$40,MATCH($D189,'교육원 ④ 설정'!$B$6:$B$40,0)),"※없는 과목"))</f>
        <v/>
      </c>
      <c r="F189" s="36" t="str">
        <f aca="false">IF($D189="","",IFERROR(INDEX('교육원 ④ 설정'!$C$6:$C$40,MATCH($D189,'교육원 ④ 설정'!$B$6:$B$40,0)),""))</f>
        <v/>
      </c>
      <c r="G189" s="39"/>
      <c r="H189" s="39"/>
      <c r="I189" s="40"/>
      <c r="J189" s="41"/>
      <c r="K189" s="38"/>
      <c r="L189" s="42" t="str">
        <f aca="false">IF($B189="","",IF(AND(N($I189)=0,N($J189)=0),"금액이 없습니다",IF(AND($I189&gt;0,$J189&gt;0),"수입·지출 둘 다 적혔습니다",IF($C189="","결제수단을 고르십시오",IF(ISNA(MATCH($C189,'교육원 ③ 통장·카드'!$A$5:$A$11,0)),"③ 통장·카드에 없는 결제수단입니다",IF($D189="","계정과목을 고르십시오",IF($E189="※없는 과목","④ 설정에 없는 과목입니다",IF(AND($E189="수입",$J189&gt;0),"수입 과목인데 지출에 적혔습니다",IF(AND(LEFT($E189,2)&lt;&gt;"수입",$E189&lt;&gt;"대체",$I189&gt;0),"지출 과목인데 수입에 적혔습니다",IF($K189="","증빙을 고르십시오",IF($H189="","적요를 적으십시오","")))))))))))</f>
        <v/>
      </c>
      <c r="M189" s="39"/>
      <c r="O189" s="11" t="str">
        <f aca="false">IF($B189="","",YEAR($B189)*100+MONTH($B189))</f>
        <v/>
      </c>
      <c r="P189" s="11" t="str">
        <f aca="false">IF($B189="","",IF($E189="대체",0,1))</f>
        <v/>
      </c>
    </row>
    <row r="190" customFormat="false" ht="15" hidden="false" customHeight="false" outlineLevel="0" collapsed="false">
      <c r="A190" s="36" t="str">
        <f aca="false">IF($B190="","",COUNT($B$15:$B190))</f>
        <v/>
      </c>
      <c r="B190" s="37"/>
      <c r="C190" s="38"/>
      <c r="D190" s="20"/>
      <c r="E190" s="36" t="str">
        <f aca="false">IF($D190="","",IFERROR(INDEX('교육원 ④ 설정'!$A$6:$A$40,MATCH($D190,'교육원 ④ 설정'!$B$6:$B$40,0)),"※없는 과목"))</f>
        <v/>
      </c>
      <c r="F190" s="36" t="str">
        <f aca="false">IF($D190="","",IFERROR(INDEX('교육원 ④ 설정'!$C$6:$C$40,MATCH($D190,'교육원 ④ 설정'!$B$6:$B$40,0)),""))</f>
        <v/>
      </c>
      <c r="G190" s="39"/>
      <c r="H190" s="39"/>
      <c r="I190" s="40"/>
      <c r="J190" s="41"/>
      <c r="K190" s="38"/>
      <c r="L190" s="42" t="str">
        <f aca="false">IF($B190="","",IF(AND(N($I190)=0,N($J190)=0),"금액이 없습니다",IF(AND($I190&gt;0,$J190&gt;0),"수입·지출 둘 다 적혔습니다",IF($C190="","결제수단을 고르십시오",IF(ISNA(MATCH($C190,'교육원 ③ 통장·카드'!$A$5:$A$11,0)),"③ 통장·카드에 없는 결제수단입니다",IF($D190="","계정과목을 고르십시오",IF($E190="※없는 과목","④ 설정에 없는 과목입니다",IF(AND($E190="수입",$J190&gt;0),"수입 과목인데 지출에 적혔습니다",IF(AND(LEFT($E190,2)&lt;&gt;"수입",$E190&lt;&gt;"대체",$I190&gt;0),"지출 과목인데 수입에 적혔습니다",IF($K190="","증빙을 고르십시오",IF($H190="","적요를 적으십시오","")))))))))))</f>
        <v/>
      </c>
      <c r="M190" s="39"/>
      <c r="O190" s="11" t="str">
        <f aca="false">IF($B190="","",YEAR($B190)*100+MONTH($B190))</f>
        <v/>
      </c>
      <c r="P190" s="11" t="str">
        <f aca="false">IF($B190="","",IF($E190="대체",0,1))</f>
        <v/>
      </c>
    </row>
    <row r="191" customFormat="false" ht="15" hidden="false" customHeight="false" outlineLevel="0" collapsed="false">
      <c r="A191" s="36" t="str">
        <f aca="false">IF($B191="","",COUNT($B$15:$B191))</f>
        <v/>
      </c>
      <c r="B191" s="37"/>
      <c r="C191" s="38"/>
      <c r="D191" s="20"/>
      <c r="E191" s="36" t="str">
        <f aca="false">IF($D191="","",IFERROR(INDEX('교육원 ④ 설정'!$A$6:$A$40,MATCH($D191,'교육원 ④ 설정'!$B$6:$B$40,0)),"※없는 과목"))</f>
        <v/>
      </c>
      <c r="F191" s="36" t="str">
        <f aca="false">IF($D191="","",IFERROR(INDEX('교육원 ④ 설정'!$C$6:$C$40,MATCH($D191,'교육원 ④ 설정'!$B$6:$B$40,0)),""))</f>
        <v/>
      </c>
      <c r="G191" s="39"/>
      <c r="H191" s="39"/>
      <c r="I191" s="40"/>
      <c r="J191" s="41"/>
      <c r="K191" s="38"/>
      <c r="L191" s="42" t="str">
        <f aca="false">IF($B191="","",IF(AND(N($I191)=0,N($J191)=0),"금액이 없습니다",IF(AND($I191&gt;0,$J191&gt;0),"수입·지출 둘 다 적혔습니다",IF($C191="","결제수단을 고르십시오",IF(ISNA(MATCH($C191,'교육원 ③ 통장·카드'!$A$5:$A$11,0)),"③ 통장·카드에 없는 결제수단입니다",IF($D191="","계정과목을 고르십시오",IF($E191="※없는 과목","④ 설정에 없는 과목입니다",IF(AND($E191="수입",$J191&gt;0),"수입 과목인데 지출에 적혔습니다",IF(AND(LEFT($E191,2)&lt;&gt;"수입",$E191&lt;&gt;"대체",$I191&gt;0),"지출 과목인데 수입에 적혔습니다",IF($K191="","증빙을 고르십시오",IF($H191="","적요를 적으십시오","")))))))))))</f>
        <v/>
      </c>
      <c r="M191" s="39"/>
      <c r="O191" s="11" t="str">
        <f aca="false">IF($B191="","",YEAR($B191)*100+MONTH($B191))</f>
        <v/>
      </c>
      <c r="P191" s="11" t="str">
        <f aca="false">IF($B191="","",IF($E191="대체",0,1))</f>
        <v/>
      </c>
    </row>
    <row r="192" customFormat="false" ht="15" hidden="false" customHeight="false" outlineLevel="0" collapsed="false">
      <c r="A192" s="36" t="str">
        <f aca="false">IF($B192="","",COUNT($B$15:$B192))</f>
        <v/>
      </c>
      <c r="B192" s="37"/>
      <c r="C192" s="38"/>
      <c r="D192" s="20"/>
      <c r="E192" s="36" t="str">
        <f aca="false">IF($D192="","",IFERROR(INDEX('교육원 ④ 설정'!$A$6:$A$40,MATCH($D192,'교육원 ④ 설정'!$B$6:$B$40,0)),"※없는 과목"))</f>
        <v/>
      </c>
      <c r="F192" s="36" t="str">
        <f aca="false">IF($D192="","",IFERROR(INDEX('교육원 ④ 설정'!$C$6:$C$40,MATCH($D192,'교육원 ④ 설정'!$B$6:$B$40,0)),""))</f>
        <v/>
      </c>
      <c r="G192" s="39"/>
      <c r="H192" s="39"/>
      <c r="I192" s="40"/>
      <c r="J192" s="41"/>
      <c r="K192" s="38"/>
      <c r="L192" s="42" t="str">
        <f aca="false">IF($B192="","",IF(AND(N($I192)=0,N($J192)=0),"금액이 없습니다",IF(AND($I192&gt;0,$J192&gt;0),"수입·지출 둘 다 적혔습니다",IF($C192="","결제수단을 고르십시오",IF(ISNA(MATCH($C192,'교육원 ③ 통장·카드'!$A$5:$A$11,0)),"③ 통장·카드에 없는 결제수단입니다",IF($D192="","계정과목을 고르십시오",IF($E192="※없는 과목","④ 설정에 없는 과목입니다",IF(AND($E192="수입",$J192&gt;0),"수입 과목인데 지출에 적혔습니다",IF(AND(LEFT($E192,2)&lt;&gt;"수입",$E192&lt;&gt;"대체",$I192&gt;0),"지출 과목인데 수입에 적혔습니다",IF($K192="","증빙을 고르십시오",IF($H192="","적요를 적으십시오","")))))))))))</f>
        <v/>
      </c>
      <c r="M192" s="39"/>
      <c r="O192" s="11" t="str">
        <f aca="false">IF($B192="","",YEAR($B192)*100+MONTH($B192))</f>
        <v/>
      </c>
      <c r="P192" s="11" t="str">
        <f aca="false">IF($B192="","",IF($E192="대체",0,1))</f>
        <v/>
      </c>
    </row>
    <row r="193" customFormat="false" ht="15" hidden="false" customHeight="false" outlineLevel="0" collapsed="false">
      <c r="A193" s="36" t="str">
        <f aca="false">IF($B193="","",COUNT($B$15:$B193))</f>
        <v/>
      </c>
      <c r="B193" s="37"/>
      <c r="C193" s="38"/>
      <c r="D193" s="20"/>
      <c r="E193" s="36" t="str">
        <f aca="false">IF($D193="","",IFERROR(INDEX('교육원 ④ 설정'!$A$6:$A$40,MATCH($D193,'교육원 ④ 설정'!$B$6:$B$40,0)),"※없는 과목"))</f>
        <v/>
      </c>
      <c r="F193" s="36" t="str">
        <f aca="false">IF($D193="","",IFERROR(INDEX('교육원 ④ 설정'!$C$6:$C$40,MATCH($D193,'교육원 ④ 설정'!$B$6:$B$40,0)),""))</f>
        <v/>
      </c>
      <c r="G193" s="39"/>
      <c r="H193" s="39"/>
      <c r="I193" s="40"/>
      <c r="J193" s="41"/>
      <c r="K193" s="38"/>
      <c r="L193" s="42" t="str">
        <f aca="false">IF($B193="","",IF(AND(N($I193)=0,N($J193)=0),"금액이 없습니다",IF(AND($I193&gt;0,$J193&gt;0),"수입·지출 둘 다 적혔습니다",IF($C193="","결제수단을 고르십시오",IF(ISNA(MATCH($C193,'교육원 ③ 통장·카드'!$A$5:$A$11,0)),"③ 통장·카드에 없는 결제수단입니다",IF($D193="","계정과목을 고르십시오",IF($E193="※없는 과목","④ 설정에 없는 과목입니다",IF(AND($E193="수입",$J193&gt;0),"수입 과목인데 지출에 적혔습니다",IF(AND(LEFT($E193,2)&lt;&gt;"수입",$E193&lt;&gt;"대체",$I193&gt;0),"지출 과목인데 수입에 적혔습니다",IF($K193="","증빙을 고르십시오",IF($H193="","적요를 적으십시오","")))))))))))</f>
        <v/>
      </c>
      <c r="M193" s="39"/>
      <c r="O193" s="11" t="str">
        <f aca="false">IF($B193="","",YEAR($B193)*100+MONTH($B193))</f>
        <v/>
      </c>
      <c r="P193" s="11" t="str">
        <f aca="false">IF($B193="","",IF($E193="대체",0,1))</f>
        <v/>
      </c>
    </row>
    <row r="194" customFormat="false" ht="15" hidden="false" customHeight="false" outlineLevel="0" collapsed="false">
      <c r="A194" s="36" t="str">
        <f aca="false">IF($B194="","",COUNT($B$15:$B194))</f>
        <v/>
      </c>
      <c r="B194" s="37"/>
      <c r="C194" s="38"/>
      <c r="D194" s="20"/>
      <c r="E194" s="36" t="str">
        <f aca="false">IF($D194="","",IFERROR(INDEX('교육원 ④ 설정'!$A$6:$A$40,MATCH($D194,'교육원 ④ 설정'!$B$6:$B$40,0)),"※없는 과목"))</f>
        <v/>
      </c>
      <c r="F194" s="36" t="str">
        <f aca="false">IF($D194="","",IFERROR(INDEX('교육원 ④ 설정'!$C$6:$C$40,MATCH($D194,'교육원 ④ 설정'!$B$6:$B$40,0)),""))</f>
        <v/>
      </c>
      <c r="G194" s="39"/>
      <c r="H194" s="39"/>
      <c r="I194" s="40"/>
      <c r="J194" s="41"/>
      <c r="K194" s="38"/>
      <c r="L194" s="42" t="str">
        <f aca="false">IF($B194="","",IF(AND(N($I194)=0,N($J194)=0),"금액이 없습니다",IF(AND($I194&gt;0,$J194&gt;0),"수입·지출 둘 다 적혔습니다",IF($C194="","결제수단을 고르십시오",IF(ISNA(MATCH($C194,'교육원 ③ 통장·카드'!$A$5:$A$11,0)),"③ 통장·카드에 없는 결제수단입니다",IF($D194="","계정과목을 고르십시오",IF($E194="※없는 과목","④ 설정에 없는 과목입니다",IF(AND($E194="수입",$J194&gt;0),"수입 과목인데 지출에 적혔습니다",IF(AND(LEFT($E194,2)&lt;&gt;"수입",$E194&lt;&gt;"대체",$I194&gt;0),"지출 과목인데 수입에 적혔습니다",IF($K194="","증빙을 고르십시오",IF($H194="","적요를 적으십시오","")))))))))))</f>
        <v/>
      </c>
      <c r="M194" s="39"/>
      <c r="O194" s="11" t="str">
        <f aca="false">IF($B194="","",YEAR($B194)*100+MONTH($B194))</f>
        <v/>
      </c>
      <c r="P194" s="11" t="str">
        <f aca="false">IF($B194="","",IF($E194="대체",0,1))</f>
        <v/>
      </c>
    </row>
    <row r="195" customFormat="false" ht="15" hidden="false" customHeight="false" outlineLevel="0" collapsed="false">
      <c r="A195" s="36" t="str">
        <f aca="false">IF($B195="","",COUNT($B$15:$B195))</f>
        <v/>
      </c>
      <c r="B195" s="37"/>
      <c r="C195" s="38"/>
      <c r="D195" s="20"/>
      <c r="E195" s="36" t="str">
        <f aca="false">IF($D195="","",IFERROR(INDEX('교육원 ④ 설정'!$A$6:$A$40,MATCH($D195,'교육원 ④ 설정'!$B$6:$B$40,0)),"※없는 과목"))</f>
        <v/>
      </c>
      <c r="F195" s="36" t="str">
        <f aca="false">IF($D195="","",IFERROR(INDEX('교육원 ④ 설정'!$C$6:$C$40,MATCH($D195,'교육원 ④ 설정'!$B$6:$B$40,0)),""))</f>
        <v/>
      </c>
      <c r="G195" s="39"/>
      <c r="H195" s="39"/>
      <c r="I195" s="40"/>
      <c r="J195" s="41"/>
      <c r="K195" s="38"/>
      <c r="L195" s="42" t="str">
        <f aca="false">IF($B195="","",IF(AND(N($I195)=0,N($J195)=0),"금액이 없습니다",IF(AND($I195&gt;0,$J195&gt;0),"수입·지출 둘 다 적혔습니다",IF($C195="","결제수단을 고르십시오",IF(ISNA(MATCH($C195,'교육원 ③ 통장·카드'!$A$5:$A$11,0)),"③ 통장·카드에 없는 결제수단입니다",IF($D195="","계정과목을 고르십시오",IF($E195="※없는 과목","④ 설정에 없는 과목입니다",IF(AND($E195="수입",$J195&gt;0),"수입 과목인데 지출에 적혔습니다",IF(AND(LEFT($E195,2)&lt;&gt;"수입",$E195&lt;&gt;"대체",$I195&gt;0),"지출 과목인데 수입에 적혔습니다",IF($K195="","증빙을 고르십시오",IF($H195="","적요를 적으십시오","")))))))))))</f>
        <v/>
      </c>
      <c r="M195" s="39"/>
      <c r="O195" s="11" t="str">
        <f aca="false">IF($B195="","",YEAR($B195)*100+MONTH($B195))</f>
        <v/>
      </c>
      <c r="P195" s="11" t="str">
        <f aca="false">IF($B195="","",IF($E195="대체",0,1))</f>
        <v/>
      </c>
    </row>
    <row r="196" customFormat="false" ht="15" hidden="false" customHeight="false" outlineLevel="0" collapsed="false">
      <c r="A196" s="36" t="str">
        <f aca="false">IF($B196="","",COUNT($B$15:$B196))</f>
        <v/>
      </c>
      <c r="B196" s="37"/>
      <c r="C196" s="38"/>
      <c r="D196" s="20"/>
      <c r="E196" s="36" t="str">
        <f aca="false">IF($D196="","",IFERROR(INDEX('교육원 ④ 설정'!$A$6:$A$40,MATCH($D196,'교육원 ④ 설정'!$B$6:$B$40,0)),"※없는 과목"))</f>
        <v/>
      </c>
      <c r="F196" s="36" t="str">
        <f aca="false">IF($D196="","",IFERROR(INDEX('교육원 ④ 설정'!$C$6:$C$40,MATCH($D196,'교육원 ④ 설정'!$B$6:$B$40,0)),""))</f>
        <v/>
      </c>
      <c r="G196" s="39"/>
      <c r="H196" s="39"/>
      <c r="I196" s="40"/>
      <c r="J196" s="41"/>
      <c r="K196" s="38"/>
      <c r="L196" s="42" t="str">
        <f aca="false">IF($B196="","",IF(AND(N($I196)=0,N($J196)=0),"금액이 없습니다",IF(AND($I196&gt;0,$J196&gt;0),"수입·지출 둘 다 적혔습니다",IF($C196="","결제수단을 고르십시오",IF(ISNA(MATCH($C196,'교육원 ③ 통장·카드'!$A$5:$A$11,0)),"③ 통장·카드에 없는 결제수단입니다",IF($D196="","계정과목을 고르십시오",IF($E196="※없는 과목","④ 설정에 없는 과목입니다",IF(AND($E196="수입",$J196&gt;0),"수입 과목인데 지출에 적혔습니다",IF(AND(LEFT($E196,2)&lt;&gt;"수입",$E196&lt;&gt;"대체",$I196&gt;0),"지출 과목인데 수입에 적혔습니다",IF($K196="","증빙을 고르십시오",IF($H196="","적요를 적으십시오","")))))))))))</f>
        <v/>
      </c>
      <c r="M196" s="39"/>
      <c r="O196" s="11" t="str">
        <f aca="false">IF($B196="","",YEAR($B196)*100+MONTH($B196))</f>
        <v/>
      </c>
      <c r="P196" s="11" t="str">
        <f aca="false">IF($B196="","",IF($E196="대체",0,1))</f>
        <v/>
      </c>
    </row>
    <row r="197" customFormat="false" ht="15" hidden="false" customHeight="false" outlineLevel="0" collapsed="false">
      <c r="A197" s="36" t="str">
        <f aca="false">IF($B197="","",COUNT($B$15:$B197))</f>
        <v/>
      </c>
      <c r="B197" s="37"/>
      <c r="C197" s="38"/>
      <c r="D197" s="20"/>
      <c r="E197" s="36" t="str">
        <f aca="false">IF($D197="","",IFERROR(INDEX('교육원 ④ 설정'!$A$6:$A$40,MATCH($D197,'교육원 ④ 설정'!$B$6:$B$40,0)),"※없는 과목"))</f>
        <v/>
      </c>
      <c r="F197" s="36" t="str">
        <f aca="false">IF($D197="","",IFERROR(INDEX('교육원 ④ 설정'!$C$6:$C$40,MATCH($D197,'교육원 ④ 설정'!$B$6:$B$40,0)),""))</f>
        <v/>
      </c>
      <c r="G197" s="39"/>
      <c r="H197" s="39"/>
      <c r="I197" s="40"/>
      <c r="J197" s="41"/>
      <c r="K197" s="38"/>
      <c r="L197" s="42" t="str">
        <f aca="false">IF($B197="","",IF(AND(N($I197)=0,N($J197)=0),"금액이 없습니다",IF(AND($I197&gt;0,$J197&gt;0),"수입·지출 둘 다 적혔습니다",IF($C197="","결제수단을 고르십시오",IF(ISNA(MATCH($C197,'교육원 ③ 통장·카드'!$A$5:$A$11,0)),"③ 통장·카드에 없는 결제수단입니다",IF($D197="","계정과목을 고르십시오",IF($E197="※없는 과목","④ 설정에 없는 과목입니다",IF(AND($E197="수입",$J197&gt;0),"수입 과목인데 지출에 적혔습니다",IF(AND(LEFT($E197,2)&lt;&gt;"수입",$E197&lt;&gt;"대체",$I197&gt;0),"지출 과목인데 수입에 적혔습니다",IF($K197="","증빙을 고르십시오",IF($H197="","적요를 적으십시오","")))))))))))</f>
        <v/>
      </c>
      <c r="M197" s="39"/>
      <c r="O197" s="11" t="str">
        <f aca="false">IF($B197="","",YEAR($B197)*100+MONTH($B197))</f>
        <v/>
      </c>
      <c r="P197" s="11" t="str">
        <f aca="false">IF($B197="","",IF($E197="대체",0,1))</f>
        <v/>
      </c>
    </row>
    <row r="198" customFormat="false" ht="15" hidden="false" customHeight="false" outlineLevel="0" collapsed="false">
      <c r="A198" s="36" t="str">
        <f aca="false">IF($B198="","",COUNT($B$15:$B198))</f>
        <v/>
      </c>
      <c r="B198" s="37"/>
      <c r="C198" s="38"/>
      <c r="D198" s="20"/>
      <c r="E198" s="36" t="str">
        <f aca="false">IF($D198="","",IFERROR(INDEX('교육원 ④ 설정'!$A$6:$A$40,MATCH($D198,'교육원 ④ 설정'!$B$6:$B$40,0)),"※없는 과목"))</f>
        <v/>
      </c>
      <c r="F198" s="36" t="str">
        <f aca="false">IF($D198="","",IFERROR(INDEX('교육원 ④ 설정'!$C$6:$C$40,MATCH($D198,'교육원 ④ 설정'!$B$6:$B$40,0)),""))</f>
        <v/>
      </c>
      <c r="G198" s="39"/>
      <c r="H198" s="39"/>
      <c r="I198" s="40"/>
      <c r="J198" s="41"/>
      <c r="K198" s="38"/>
      <c r="L198" s="42" t="str">
        <f aca="false">IF($B198="","",IF(AND(N($I198)=0,N($J198)=0),"금액이 없습니다",IF(AND($I198&gt;0,$J198&gt;0),"수입·지출 둘 다 적혔습니다",IF($C198="","결제수단을 고르십시오",IF(ISNA(MATCH($C198,'교육원 ③ 통장·카드'!$A$5:$A$11,0)),"③ 통장·카드에 없는 결제수단입니다",IF($D198="","계정과목을 고르십시오",IF($E198="※없는 과목","④ 설정에 없는 과목입니다",IF(AND($E198="수입",$J198&gt;0),"수입 과목인데 지출에 적혔습니다",IF(AND(LEFT($E198,2)&lt;&gt;"수입",$E198&lt;&gt;"대체",$I198&gt;0),"지출 과목인데 수입에 적혔습니다",IF($K198="","증빙을 고르십시오",IF($H198="","적요를 적으십시오","")))))))))))</f>
        <v/>
      </c>
      <c r="M198" s="39"/>
      <c r="O198" s="11" t="str">
        <f aca="false">IF($B198="","",YEAR($B198)*100+MONTH($B198))</f>
        <v/>
      </c>
      <c r="P198" s="11" t="str">
        <f aca="false">IF($B198="","",IF($E198="대체",0,1))</f>
        <v/>
      </c>
    </row>
    <row r="199" customFormat="false" ht="15" hidden="false" customHeight="false" outlineLevel="0" collapsed="false">
      <c r="A199" s="36" t="str">
        <f aca="false">IF($B199="","",COUNT($B$15:$B199))</f>
        <v/>
      </c>
      <c r="B199" s="37"/>
      <c r="C199" s="38"/>
      <c r="D199" s="20"/>
      <c r="E199" s="36" t="str">
        <f aca="false">IF($D199="","",IFERROR(INDEX('교육원 ④ 설정'!$A$6:$A$40,MATCH($D199,'교육원 ④ 설정'!$B$6:$B$40,0)),"※없는 과목"))</f>
        <v/>
      </c>
      <c r="F199" s="36" t="str">
        <f aca="false">IF($D199="","",IFERROR(INDEX('교육원 ④ 설정'!$C$6:$C$40,MATCH($D199,'교육원 ④ 설정'!$B$6:$B$40,0)),""))</f>
        <v/>
      </c>
      <c r="G199" s="39"/>
      <c r="H199" s="39"/>
      <c r="I199" s="40"/>
      <c r="J199" s="41"/>
      <c r="K199" s="38"/>
      <c r="L199" s="42" t="str">
        <f aca="false">IF($B199="","",IF(AND(N($I199)=0,N($J199)=0),"금액이 없습니다",IF(AND($I199&gt;0,$J199&gt;0),"수입·지출 둘 다 적혔습니다",IF($C199="","결제수단을 고르십시오",IF(ISNA(MATCH($C199,'교육원 ③ 통장·카드'!$A$5:$A$11,0)),"③ 통장·카드에 없는 결제수단입니다",IF($D199="","계정과목을 고르십시오",IF($E199="※없는 과목","④ 설정에 없는 과목입니다",IF(AND($E199="수입",$J199&gt;0),"수입 과목인데 지출에 적혔습니다",IF(AND(LEFT($E199,2)&lt;&gt;"수입",$E199&lt;&gt;"대체",$I199&gt;0),"지출 과목인데 수입에 적혔습니다",IF($K199="","증빙을 고르십시오",IF($H199="","적요를 적으십시오","")))))))))))</f>
        <v/>
      </c>
      <c r="M199" s="39"/>
      <c r="O199" s="11" t="str">
        <f aca="false">IF($B199="","",YEAR($B199)*100+MONTH($B199))</f>
        <v/>
      </c>
      <c r="P199" s="11" t="str">
        <f aca="false">IF($B199="","",IF($E199="대체",0,1))</f>
        <v/>
      </c>
    </row>
    <row r="200" customFormat="false" ht="15" hidden="false" customHeight="false" outlineLevel="0" collapsed="false">
      <c r="A200" s="36" t="str">
        <f aca="false">IF($B200="","",COUNT($B$15:$B200))</f>
        <v/>
      </c>
      <c r="B200" s="37"/>
      <c r="C200" s="38"/>
      <c r="D200" s="20"/>
      <c r="E200" s="36" t="str">
        <f aca="false">IF($D200="","",IFERROR(INDEX('교육원 ④ 설정'!$A$6:$A$40,MATCH($D200,'교육원 ④ 설정'!$B$6:$B$40,0)),"※없는 과목"))</f>
        <v/>
      </c>
      <c r="F200" s="36" t="str">
        <f aca="false">IF($D200="","",IFERROR(INDEX('교육원 ④ 설정'!$C$6:$C$40,MATCH($D200,'교육원 ④ 설정'!$B$6:$B$40,0)),""))</f>
        <v/>
      </c>
      <c r="G200" s="39"/>
      <c r="H200" s="39"/>
      <c r="I200" s="40"/>
      <c r="J200" s="41"/>
      <c r="K200" s="38"/>
      <c r="L200" s="42" t="str">
        <f aca="false">IF($B200="","",IF(AND(N($I200)=0,N($J200)=0),"금액이 없습니다",IF(AND($I200&gt;0,$J200&gt;0),"수입·지출 둘 다 적혔습니다",IF($C200="","결제수단을 고르십시오",IF(ISNA(MATCH($C200,'교육원 ③ 통장·카드'!$A$5:$A$11,0)),"③ 통장·카드에 없는 결제수단입니다",IF($D200="","계정과목을 고르십시오",IF($E200="※없는 과목","④ 설정에 없는 과목입니다",IF(AND($E200="수입",$J200&gt;0),"수입 과목인데 지출에 적혔습니다",IF(AND(LEFT($E200,2)&lt;&gt;"수입",$E200&lt;&gt;"대체",$I200&gt;0),"지출 과목인데 수입에 적혔습니다",IF($K200="","증빙을 고르십시오",IF($H200="","적요를 적으십시오","")))))))))))</f>
        <v/>
      </c>
      <c r="M200" s="39"/>
      <c r="O200" s="11" t="str">
        <f aca="false">IF($B200="","",YEAR($B200)*100+MONTH($B200))</f>
        <v/>
      </c>
      <c r="P200" s="11" t="str">
        <f aca="false">IF($B200="","",IF($E200="대체",0,1))</f>
        <v/>
      </c>
    </row>
    <row r="201" customFormat="false" ht="15" hidden="false" customHeight="false" outlineLevel="0" collapsed="false">
      <c r="A201" s="36" t="str">
        <f aca="false">IF($B201="","",COUNT($B$15:$B201))</f>
        <v/>
      </c>
      <c r="B201" s="37"/>
      <c r="C201" s="38"/>
      <c r="D201" s="20"/>
      <c r="E201" s="36" t="str">
        <f aca="false">IF($D201="","",IFERROR(INDEX('교육원 ④ 설정'!$A$6:$A$40,MATCH($D201,'교육원 ④ 설정'!$B$6:$B$40,0)),"※없는 과목"))</f>
        <v/>
      </c>
      <c r="F201" s="36" t="str">
        <f aca="false">IF($D201="","",IFERROR(INDEX('교육원 ④ 설정'!$C$6:$C$40,MATCH($D201,'교육원 ④ 설정'!$B$6:$B$40,0)),""))</f>
        <v/>
      </c>
      <c r="G201" s="39"/>
      <c r="H201" s="39"/>
      <c r="I201" s="40"/>
      <c r="J201" s="41"/>
      <c r="K201" s="38"/>
      <c r="L201" s="42" t="str">
        <f aca="false">IF($B201="","",IF(AND(N($I201)=0,N($J201)=0),"금액이 없습니다",IF(AND($I201&gt;0,$J201&gt;0),"수입·지출 둘 다 적혔습니다",IF($C201="","결제수단을 고르십시오",IF(ISNA(MATCH($C201,'교육원 ③ 통장·카드'!$A$5:$A$11,0)),"③ 통장·카드에 없는 결제수단입니다",IF($D201="","계정과목을 고르십시오",IF($E201="※없는 과목","④ 설정에 없는 과목입니다",IF(AND($E201="수입",$J201&gt;0),"수입 과목인데 지출에 적혔습니다",IF(AND(LEFT($E201,2)&lt;&gt;"수입",$E201&lt;&gt;"대체",$I201&gt;0),"지출 과목인데 수입에 적혔습니다",IF($K201="","증빙을 고르십시오",IF($H201="","적요를 적으십시오","")))))))))))</f>
        <v/>
      </c>
      <c r="M201" s="39"/>
      <c r="O201" s="11" t="str">
        <f aca="false">IF($B201="","",YEAR($B201)*100+MONTH($B201))</f>
        <v/>
      </c>
      <c r="P201" s="11" t="str">
        <f aca="false">IF($B201="","",IF($E201="대체",0,1))</f>
        <v/>
      </c>
    </row>
    <row r="202" customFormat="false" ht="15" hidden="false" customHeight="false" outlineLevel="0" collapsed="false">
      <c r="A202" s="36" t="str">
        <f aca="false">IF($B202="","",COUNT($B$15:$B202))</f>
        <v/>
      </c>
      <c r="B202" s="37"/>
      <c r="C202" s="38"/>
      <c r="D202" s="20"/>
      <c r="E202" s="36" t="str">
        <f aca="false">IF($D202="","",IFERROR(INDEX('교육원 ④ 설정'!$A$6:$A$40,MATCH($D202,'교육원 ④ 설정'!$B$6:$B$40,0)),"※없는 과목"))</f>
        <v/>
      </c>
      <c r="F202" s="36" t="str">
        <f aca="false">IF($D202="","",IFERROR(INDEX('교육원 ④ 설정'!$C$6:$C$40,MATCH($D202,'교육원 ④ 설정'!$B$6:$B$40,0)),""))</f>
        <v/>
      </c>
      <c r="G202" s="39"/>
      <c r="H202" s="39"/>
      <c r="I202" s="40"/>
      <c r="J202" s="41"/>
      <c r="K202" s="38"/>
      <c r="L202" s="42" t="str">
        <f aca="false">IF($B202="","",IF(AND(N($I202)=0,N($J202)=0),"금액이 없습니다",IF(AND($I202&gt;0,$J202&gt;0),"수입·지출 둘 다 적혔습니다",IF($C202="","결제수단을 고르십시오",IF(ISNA(MATCH($C202,'교육원 ③ 통장·카드'!$A$5:$A$11,0)),"③ 통장·카드에 없는 결제수단입니다",IF($D202="","계정과목을 고르십시오",IF($E202="※없는 과목","④ 설정에 없는 과목입니다",IF(AND($E202="수입",$J202&gt;0),"수입 과목인데 지출에 적혔습니다",IF(AND(LEFT($E202,2)&lt;&gt;"수입",$E202&lt;&gt;"대체",$I202&gt;0),"지출 과목인데 수입에 적혔습니다",IF($K202="","증빙을 고르십시오",IF($H202="","적요를 적으십시오","")))))))))))</f>
        <v/>
      </c>
      <c r="M202" s="39"/>
      <c r="O202" s="11" t="str">
        <f aca="false">IF($B202="","",YEAR($B202)*100+MONTH($B202))</f>
        <v/>
      </c>
      <c r="P202" s="11" t="str">
        <f aca="false">IF($B202="","",IF($E202="대체",0,1))</f>
        <v/>
      </c>
    </row>
    <row r="203" customFormat="false" ht="15" hidden="false" customHeight="false" outlineLevel="0" collapsed="false">
      <c r="A203" s="36" t="str">
        <f aca="false">IF($B203="","",COUNT($B$15:$B203))</f>
        <v/>
      </c>
      <c r="B203" s="37"/>
      <c r="C203" s="38"/>
      <c r="D203" s="20"/>
      <c r="E203" s="36" t="str">
        <f aca="false">IF($D203="","",IFERROR(INDEX('교육원 ④ 설정'!$A$6:$A$40,MATCH($D203,'교육원 ④ 설정'!$B$6:$B$40,0)),"※없는 과목"))</f>
        <v/>
      </c>
      <c r="F203" s="36" t="str">
        <f aca="false">IF($D203="","",IFERROR(INDEX('교육원 ④ 설정'!$C$6:$C$40,MATCH($D203,'교육원 ④ 설정'!$B$6:$B$40,0)),""))</f>
        <v/>
      </c>
      <c r="G203" s="39"/>
      <c r="H203" s="39"/>
      <c r="I203" s="40"/>
      <c r="J203" s="41"/>
      <c r="K203" s="38"/>
      <c r="L203" s="42" t="str">
        <f aca="false">IF($B203="","",IF(AND(N($I203)=0,N($J203)=0),"금액이 없습니다",IF(AND($I203&gt;0,$J203&gt;0),"수입·지출 둘 다 적혔습니다",IF($C203="","결제수단을 고르십시오",IF(ISNA(MATCH($C203,'교육원 ③ 통장·카드'!$A$5:$A$11,0)),"③ 통장·카드에 없는 결제수단입니다",IF($D203="","계정과목을 고르십시오",IF($E203="※없는 과목","④ 설정에 없는 과목입니다",IF(AND($E203="수입",$J203&gt;0),"수입 과목인데 지출에 적혔습니다",IF(AND(LEFT($E203,2)&lt;&gt;"수입",$E203&lt;&gt;"대체",$I203&gt;0),"지출 과목인데 수입에 적혔습니다",IF($K203="","증빙을 고르십시오",IF($H203="","적요를 적으십시오","")))))))))))</f>
        <v/>
      </c>
      <c r="M203" s="39"/>
      <c r="O203" s="11" t="str">
        <f aca="false">IF($B203="","",YEAR($B203)*100+MONTH($B203))</f>
        <v/>
      </c>
      <c r="P203" s="11" t="str">
        <f aca="false">IF($B203="","",IF($E203="대체",0,1))</f>
        <v/>
      </c>
    </row>
    <row r="204" customFormat="false" ht="15" hidden="false" customHeight="false" outlineLevel="0" collapsed="false">
      <c r="A204" s="36" t="str">
        <f aca="false">IF($B204="","",COUNT($B$15:$B204))</f>
        <v/>
      </c>
      <c r="B204" s="37"/>
      <c r="C204" s="38"/>
      <c r="D204" s="20"/>
      <c r="E204" s="36" t="str">
        <f aca="false">IF($D204="","",IFERROR(INDEX('교육원 ④ 설정'!$A$6:$A$40,MATCH($D204,'교육원 ④ 설정'!$B$6:$B$40,0)),"※없는 과목"))</f>
        <v/>
      </c>
      <c r="F204" s="36" t="str">
        <f aca="false">IF($D204="","",IFERROR(INDEX('교육원 ④ 설정'!$C$6:$C$40,MATCH($D204,'교육원 ④ 설정'!$B$6:$B$40,0)),""))</f>
        <v/>
      </c>
      <c r="G204" s="39"/>
      <c r="H204" s="39"/>
      <c r="I204" s="40"/>
      <c r="J204" s="41"/>
      <c r="K204" s="38"/>
      <c r="L204" s="42" t="str">
        <f aca="false">IF($B204="","",IF(AND(N($I204)=0,N($J204)=0),"금액이 없습니다",IF(AND($I204&gt;0,$J204&gt;0),"수입·지출 둘 다 적혔습니다",IF($C204="","결제수단을 고르십시오",IF(ISNA(MATCH($C204,'교육원 ③ 통장·카드'!$A$5:$A$11,0)),"③ 통장·카드에 없는 결제수단입니다",IF($D204="","계정과목을 고르십시오",IF($E204="※없는 과목","④ 설정에 없는 과목입니다",IF(AND($E204="수입",$J204&gt;0),"수입 과목인데 지출에 적혔습니다",IF(AND(LEFT($E204,2)&lt;&gt;"수입",$E204&lt;&gt;"대체",$I204&gt;0),"지출 과목인데 수입에 적혔습니다",IF($K204="","증빙을 고르십시오",IF($H204="","적요를 적으십시오","")))))))))))</f>
        <v/>
      </c>
      <c r="M204" s="39"/>
      <c r="O204" s="11" t="str">
        <f aca="false">IF($B204="","",YEAR($B204)*100+MONTH($B204))</f>
        <v/>
      </c>
      <c r="P204" s="11" t="str">
        <f aca="false">IF($B204="","",IF($E204="대체",0,1))</f>
        <v/>
      </c>
    </row>
    <row r="205" customFormat="false" ht="15" hidden="false" customHeight="false" outlineLevel="0" collapsed="false">
      <c r="A205" s="36" t="str">
        <f aca="false">IF($B205="","",COUNT($B$15:$B205))</f>
        <v/>
      </c>
      <c r="B205" s="37"/>
      <c r="C205" s="38"/>
      <c r="D205" s="20"/>
      <c r="E205" s="36" t="str">
        <f aca="false">IF($D205="","",IFERROR(INDEX('교육원 ④ 설정'!$A$6:$A$40,MATCH($D205,'교육원 ④ 설정'!$B$6:$B$40,0)),"※없는 과목"))</f>
        <v/>
      </c>
      <c r="F205" s="36" t="str">
        <f aca="false">IF($D205="","",IFERROR(INDEX('교육원 ④ 설정'!$C$6:$C$40,MATCH($D205,'교육원 ④ 설정'!$B$6:$B$40,0)),""))</f>
        <v/>
      </c>
      <c r="G205" s="39"/>
      <c r="H205" s="39"/>
      <c r="I205" s="40"/>
      <c r="J205" s="41"/>
      <c r="K205" s="38"/>
      <c r="L205" s="42" t="str">
        <f aca="false">IF($B205="","",IF(AND(N($I205)=0,N($J205)=0),"금액이 없습니다",IF(AND($I205&gt;0,$J205&gt;0),"수입·지출 둘 다 적혔습니다",IF($C205="","결제수단을 고르십시오",IF(ISNA(MATCH($C205,'교육원 ③ 통장·카드'!$A$5:$A$11,0)),"③ 통장·카드에 없는 결제수단입니다",IF($D205="","계정과목을 고르십시오",IF($E205="※없는 과목","④ 설정에 없는 과목입니다",IF(AND($E205="수입",$J205&gt;0),"수입 과목인데 지출에 적혔습니다",IF(AND(LEFT($E205,2)&lt;&gt;"수입",$E205&lt;&gt;"대체",$I205&gt;0),"지출 과목인데 수입에 적혔습니다",IF($K205="","증빙을 고르십시오",IF($H205="","적요를 적으십시오","")))))))))))</f>
        <v/>
      </c>
      <c r="M205" s="39"/>
      <c r="O205" s="11" t="str">
        <f aca="false">IF($B205="","",YEAR($B205)*100+MONTH($B205))</f>
        <v/>
      </c>
      <c r="P205" s="11" t="str">
        <f aca="false">IF($B205="","",IF($E205="대체",0,1))</f>
        <v/>
      </c>
    </row>
    <row r="206" customFormat="false" ht="15" hidden="false" customHeight="false" outlineLevel="0" collapsed="false">
      <c r="A206" s="36" t="str">
        <f aca="false">IF($B206="","",COUNT($B$15:$B206))</f>
        <v/>
      </c>
      <c r="B206" s="37"/>
      <c r="C206" s="38"/>
      <c r="D206" s="20"/>
      <c r="E206" s="36" t="str">
        <f aca="false">IF($D206="","",IFERROR(INDEX('교육원 ④ 설정'!$A$6:$A$40,MATCH($D206,'교육원 ④ 설정'!$B$6:$B$40,0)),"※없는 과목"))</f>
        <v/>
      </c>
      <c r="F206" s="36" t="str">
        <f aca="false">IF($D206="","",IFERROR(INDEX('교육원 ④ 설정'!$C$6:$C$40,MATCH($D206,'교육원 ④ 설정'!$B$6:$B$40,0)),""))</f>
        <v/>
      </c>
      <c r="G206" s="39"/>
      <c r="H206" s="39"/>
      <c r="I206" s="40"/>
      <c r="J206" s="41"/>
      <c r="K206" s="38"/>
      <c r="L206" s="42" t="str">
        <f aca="false">IF($B206="","",IF(AND(N($I206)=0,N($J206)=0),"금액이 없습니다",IF(AND($I206&gt;0,$J206&gt;0),"수입·지출 둘 다 적혔습니다",IF($C206="","결제수단을 고르십시오",IF(ISNA(MATCH($C206,'교육원 ③ 통장·카드'!$A$5:$A$11,0)),"③ 통장·카드에 없는 결제수단입니다",IF($D206="","계정과목을 고르십시오",IF($E206="※없는 과목","④ 설정에 없는 과목입니다",IF(AND($E206="수입",$J206&gt;0),"수입 과목인데 지출에 적혔습니다",IF(AND(LEFT($E206,2)&lt;&gt;"수입",$E206&lt;&gt;"대체",$I206&gt;0),"지출 과목인데 수입에 적혔습니다",IF($K206="","증빙을 고르십시오",IF($H206="","적요를 적으십시오","")))))))))))</f>
        <v/>
      </c>
      <c r="M206" s="39"/>
      <c r="O206" s="11" t="str">
        <f aca="false">IF($B206="","",YEAR($B206)*100+MONTH($B206))</f>
        <v/>
      </c>
      <c r="P206" s="11" t="str">
        <f aca="false">IF($B206="","",IF($E206="대체",0,1))</f>
        <v/>
      </c>
    </row>
    <row r="207" customFormat="false" ht="15" hidden="false" customHeight="false" outlineLevel="0" collapsed="false">
      <c r="A207" s="36" t="str">
        <f aca="false">IF($B207="","",COUNT($B$15:$B207))</f>
        <v/>
      </c>
      <c r="B207" s="37"/>
      <c r="C207" s="38"/>
      <c r="D207" s="20"/>
      <c r="E207" s="36" t="str">
        <f aca="false">IF($D207="","",IFERROR(INDEX('교육원 ④ 설정'!$A$6:$A$40,MATCH($D207,'교육원 ④ 설정'!$B$6:$B$40,0)),"※없는 과목"))</f>
        <v/>
      </c>
      <c r="F207" s="36" t="str">
        <f aca="false">IF($D207="","",IFERROR(INDEX('교육원 ④ 설정'!$C$6:$C$40,MATCH($D207,'교육원 ④ 설정'!$B$6:$B$40,0)),""))</f>
        <v/>
      </c>
      <c r="G207" s="39"/>
      <c r="H207" s="39"/>
      <c r="I207" s="40"/>
      <c r="J207" s="41"/>
      <c r="K207" s="38"/>
      <c r="L207" s="42" t="str">
        <f aca="false">IF($B207="","",IF(AND(N($I207)=0,N($J207)=0),"금액이 없습니다",IF(AND($I207&gt;0,$J207&gt;0),"수입·지출 둘 다 적혔습니다",IF($C207="","결제수단을 고르십시오",IF(ISNA(MATCH($C207,'교육원 ③ 통장·카드'!$A$5:$A$11,0)),"③ 통장·카드에 없는 결제수단입니다",IF($D207="","계정과목을 고르십시오",IF($E207="※없는 과목","④ 설정에 없는 과목입니다",IF(AND($E207="수입",$J207&gt;0),"수입 과목인데 지출에 적혔습니다",IF(AND(LEFT($E207,2)&lt;&gt;"수입",$E207&lt;&gt;"대체",$I207&gt;0),"지출 과목인데 수입에 적혔습니다",IF($K207="","증빙을 고르십시오",IF($H207="","적요를 적으십시오","")))))))))))</f>
        <v/>
      </c>
      <c r="M207" s="39"/>
      <c r="O207" s="11" t="str">
        <f aca="false">IF($B207="","",YEAR($B207)*100+MONTH($B207))</f>
        <v/>
      </c>
      <c r="P207" s="11" t="str">
        <f aca="false">IF($B207="","",IF($E207="대체",0,1))</f>
        <v/>
      </c>
    </row>
    <row r="208" customFormat="false" ht="15" hidden="false" customHeight="false" outlineLevel="0" collapsed="false">
      <c r="A208" s="36" t="str">
        <f aca="false">IF($B208="","",COUNT($B$15:$B208))</f>
        <v/>
      </c>
      <c r="B208" s="37"/>
      <c r="C208" s="38"/>
      <c r="D208" s="20"/>
      <c r="E208" s="36" t="str">
        <f aca="false">IF($D208="","",IFERROR(INDEX('교육원 ④ 설정'!$A$6:$A$40,MATCH($D208,'교육원 ④ 설정'!$B$6:$B$40,0)),"※없는 과목"))</f>
        <v/>
      </c>
      <c r="F208" s="36" t="str">
        <f aca="false">IF($D208="","",IFERROR(INDEX('교육원 ④ 설정'!$C$6:$C$40,MATCH($D208,'교육원 ④ 설정'!$B$6:$B$40,0)),""))</f>
        <v/>
      </c>
      <c r="G208" s="39"/>
      <c r="H208" s="39"/>
      <c r="I208" s="40"/>
      <c r="J208" s="41"/>
      <c r="K208" s="38"/>
      <c r="L208" s="42" t="str">
        <f aca="false">IF($B208="","",IF(AND(N($I208)=0,N($J208)=0),"금액이 없습니다",IF(AND($I208&gt;0,$J208&gt;0),"수입·지출 둘 다 적혔습니다",IF($C208="","결제수단을 고르십시오",IF(ISNA(MATCH($C208,'교육원 ③ 통장·카드'!$A$5:$A$11,0)),"③ 통장·카드에 없는 결제수단입니다",IF($D208="","계정과목을 고르십시오",IF($E208="※없는 과목","④ 설정에 없는 과목입니다",IF(AND($E208="수입",$J208&gt;0),"수입 과목인데 지출에 적혔습니다",IF(AND(LEFT($E208,2)&lt;&gt;"수입",$E208&lt;&gt;"대체",$I208&gt;0),"지출 과목인데 수입에 적혔습니다",IF($K208="","증빙을 고르십시오",IF($H208="","적요를 적으십시오","")))))))))))</f>
        <v/>
      </c>
      <c r="M208" s="39"/>
      <c r="O208" s="11" t="str">
        <f aca="false">IF($B208="","",YEAR($B208)*100+MONTH($B208))</f>
        <v/>
      </c>
      <c r="P208" s="11" t="str">
        <f aca="false">IF($B208="","",IF($E208="대체",0,1))</f>
        <v/>
      </c>
    </row>
    <row r="209" customFormat="false" ht="15" hidden="false" customHeight="false" outlineLevel="0" collapsed="false">
      <c r="A209" s="36" t="str">
        <f aca="false">IF($B209="","",COUNT($B$15:$B209))</f>
        <v/>
      </c>
      <c r="B209" s="37"/>
      <c r="C209" s="38"/>
      <c r="D209" s="20"/>
      <c r="E209" s="36" t="str">
        <f aca="false">IF($D209="","",IFERROR(INDEX('교육원 ④ 설정'!$A$6:$A$40,MATCH($D209,'교육원 ④ 설정'!$B$6:$B$40,0)),"※없는 과목"))</f>
        <v/>
      </c>
      <c r="F209" s="36" t="str">
        <f aca="false">IF($D209="","",IFERROR(INDEX('교육원 ④ 설정'!$C$6:$C$40,MATCH($D209,'교육원 ④ 설정'!$B$6:$B$40,0)),""))</f>
        <v/>
      </c>
      <c r="G209" s="39"/>
      <c r="H209" s="39"/>
      <c r="I209" s="40"/>
      <c r="J209" s="41"/>
      <c r="K209" s="38"/>
      <c r="L209" s="42" t="str">
        <f aca="false">IF($B209="","",IF(AND(N($I209)=0,N($J209)=0),"금액이 없습니다",IF(AND($I209&gt;0,$J209&gt;0),"수입·지출 둘 다 적혔습니다",IF($C209="","결제수단을 고르십시오",IF(ISNA(MATCH($C209,'교육원 ③ 통장·카드'!$A$5:$A$11,0)),"③ 통장·카드에 없는 결제수단입니다",IF($D209="","계정과목을 고르십시오",IF($E209="※없는 과목","④ 설정에 없는 과목입니다",IF(AND($E209="수입",$J209&gt;0),"수입 과목인데 지출에 적혔습니다",IF(AND(LEFT($E209,2)&lt;&gt;"수입",$E209&lt;&gt;"대체",$I209&gt;0),"지출 과목인데 수입에 적혔습니다",IF($K209="","증빙을 고르십시오",IF($H209="","적요를 적으십시오","")))))))))))</f>
        <v/>
      </c>
      <c r="M209" s="39"/>
      <c r="O209" s="11" t="str">
        <f aca="false">IF($B209="","",YEAR($B209)*100+MONTH($B209))</f>
        <v/>
      </c>
      <c r="P209" s="11" t="str">
        <f aca="false">IF($B209="","",IF($E209="대체",0,1))</f>
        <v/>
      </c>
    </row>
    <row r="210" customFormat="false" ht="15" hidden="false" customHeight="false" outlineLevel="0" collapsed="false">
      <c r="A210" s="36" t="str">
        <f aca="false">IF($B210="","",COUNT($B$15:$B210))</f>
        <v/>
      </c>
      <c r="B210" s="37"/>
      <c r="C210" s="38"/>
      <c r="D210" s="20"/>
      <c r="E210" s="36" t="str">
        <f aca="false">IF($D210="","",IFERROR(INDEX('교육원 ④ 설정'!$A$6:$A$40,MATCH($D210,'교육원 ④ 설정'!$B$6:$B$40,0)),"※없는 과목"))</f>
        <v/>
      </c>
      <c r="F210" s="36" t="str">
        <f aca="false">IF($D210="","",IFERROR(INDEX('교육원 ④ 설정'!$C$6:$C$40,MATCH($D210,'교육원 ④ 설정'!$B$6:$B$40,0)),""))</f>
        <v/>
      </c>
      <c r="G210" s="39"/>
      <c r="H210" s="39"/>
      <c r="I210" s="40"/>
      <c r="J210" s="41"/>
      <c r="K210" s="38"/>
      <c r="L210" s="42" t="str">
        <f aca="false">IF($B210="","",IF(AND(N($I210)=0,N($J210)=0),"금액이 없습니다",IF(AND($I210&gt;0,$J210&gt;0),"수입·지출 둘 다 적혔습니다",IF($C210="","결제수단을 고르십시오",IF(ISNA(MATCH($C210,'교육원 ③ 통장·카드'!$A$5:$A$11,0)),"③ 통장·카드에 없는 결제수단입니다",IF($D210="","계정과목을 고르십시오",IF($E210="※없는 과목","④ 설정에 없는 과목입니다",IF(AND($E210="수입",$J210&gt;0),"수입 과목인데 지출에 적혔습니다",IF(AND(LEFT($E210,2)&lt;&gt;"수입",$E210&lt;&gt;"대체",$I210&gt;0),"지출 과목인데 수입에 적혔습니다",IF($K210="","증빙을 고르십시오",IF($H210="","적요를 적으십시오","")))))))))))</f>
        <v/>
      </c>
      <c r="M210" s="39"/>
      <c r="O210" s="11" t="str">
        <f aca="false">IF($B210="","",YEAR($B210)*100+MONTH($B210))</f>
        <v/>
      </c>
      <c r="P210" s="11" t="str">
        <f aca="false">IF($B210="","",IF($E210="대체",0,1))</f>
        <v/>
      </c>
    </row>
    <row r="211" customFormat="false" ht="15" hidden="false" customHeight="false" outlineLevel="0" collapsed="false">
      <c r="A211" s="36" t="str">
        <f aca="false">IF($B211="","",COUNT($B$15:$B211))</f>
        <v/>
      </c>
      <c r="B211" s="37"/>
      <c r="C211" s="38"/>
      <c r="D211" s="20"/>
      <c r="E211" s="36" t="str">
        <f aca="false">IF($D211="","",IFERROR(INDEX('교육원 ④ 설정'!$A$6:$A$40,MATCH($D211,'교육원 ④ 설정'!$B$6:$B$40,0)),"※없는 과목"))</f>
        <v/>
      </c>
      <c r="F211" s="36" t="str">
        <f aca="false">IF($D211="","",IFERROR(INDEX('교육원 ④ 설정'!$C$6:$C$40,MATCH($D211,'교육원 ④ 설정'!$B$6:$B$40,0)),""))</f>
        <v/>
      </c>
      <c r="G211" s="39"/>
      <c r="H211" s="39"/>
      <c r="I211" s="40"/>
      <c r="J211" s="41"/>
      <c r="K211" s="38"/>
      <c r="L211" s="42" t="str">
        <f aca="false">IF($B211="","",IF(AND(N($I211)=0,N($J211)=0),"금액이 없습니다",IF(AND($I211&gt;0,$J211&gt;0),"수입·지출 둘 다 적혔습니다",IF($C211="","결제수단을 고르십시오",IF(ISNA(MATCH($C211,'교육원 ③ 통장·카드'!$A$5:$A$11,0)),"③ 통장·카드에 없는 결제수단입니다",IF($D211="","계정과목을 고르십시오",IF($E211="※없는 과목","④ 설정에 없는 과목입니다",IF(AND($E211="수입",$J211&gt;0),"수입 과목인데 지출에 적혔습니다",IF(AND(LEFT($E211,2)&lt;&gt;"수입",$E211&lt;&gt;"대체",$I211&gt;0),"지출 과목인데 수입에 적혔습니다",IF($K211="","증빙을 고르십시오",IF($H211="","적요를 적으십시오","")))))))))))</f>
        <v/>
      </c>
      <c r="M211" s="39"/>
      <c r="O211" s="11" t="str">
        <f aca="false">IF($B211="","",YEAR($B211)*100+MONTH($B211))</f>
        <v/>
      </c>
      <c r="P211" s="11" t="str">
        <f aca="false">IF($B211="","",IF($E211="대체",0,1))</f>
        <v/>
      </c>
    </row>
    <row r="212" customFormat="false" ht="15" hidden="false" customHeight="false" outlineLevel="0" collapsed="false">
      <c r="A212" s="36" t="str">
        <f aca="false">IF($B212="","",COUNT($B$15:$B212))</f>
        <v/>
      </c>
      <c r="B212" s="37"/>
      <c r="C212" s="38"/>
      <c r="D212" s="20"/>
      <c r="E212" s="36" t="str">
        <f aca="false">IF($D212="","",IFERROR(INDEX('교육원 ④ 설정'!$A$6:$A$40,MATCH($D212,'교육원 ④ 설정'!$B$6:$B$40,0)),"※없는 과목"))</f>
        <v/>
      </c>
      <c r="F212" s="36" t="str">
        <f aca="false">IF($D212="","",IFERROR(INDEX('교육원 ④ 설정'!$C$6:$C$40,MATCH($D212,'교육원 ④ 설정'!$B$6:$B$40,0)),""))</f>
        <v/>
      </c>
      <c r="G212" s="39"/>
      <c r="H212" s="39"/>
      <c r="I212" s="40"/>
      <c r="J212" s="41"/>
      <c r="K212" s="38"/>
      <c r="L212" s="42" t="str">
        <f aca="false">IF($B212="","",IF(AND(N($I212)=0,N($J212)=0),"금액이 없습니다",IF(AND($I212&gt;0,$J212&gt;0),"수입·지출 둘 다 적혔습니다",IF($C212="","결제수단을 고르십시오",IF(ISNA(MATCH($C212,'교육원 ③ 통장·카드'!$A$5:$A$11,0)),"③ 통장·카드에 없는 결제수단입니다",IF($D212="","계정과목을 고르십시오",IF($E212="※없는 과목","④ 설정에 없는 과목입니다",IF(AND($E212="수입",$J212&gt;0),"수입 과목인데 지출에 적혔습니다",IF(AND(LEFT($E212,2)&lt;&gt;"수입",$E212&lt;&gt;"대체",$I212&gt;0),"지출 과목인데 수입에 적혔습니다",IF($K212="","증빙을 고르십시오",IF($H212="","적요를 적으십시오","")))))))))))</f>
        <v/>
      </c>
      <c r="M212" s="39"/>
      <c r="O212" s="11" t="str">
        <f aca="false">IF($B212="","",YEAR($B212)*100+MONTH($B212))</f>
        <v/>
      </c>
      <c r="P212" s="11" t="str">
        <f aca="false">IF($B212="","",IF($E212="대체",0,1))</f>
        <v/>
      </c>
    </row>
    <row r="213" customFormat="false" ht="15" hidden="false" customHeight="false" outlineLevel="0" collapsed="false">
      <c r="A213" s="36" t="str">
        <f aca="false">IF($B213="","",COUNT($B$15:$B213))</f>
        <v/>
      </c>
      <c r="B213" s="37"/>
      <c r="C213" s="38"/>
      <c r="D213" s="20"/>
      <c r="E213" s="36" t="str">
        <f aca="false">IF($D213="","",IFERROR(INDEX('교육원 ④ 설정'!$A$6:$A$40,MATCH($D213,'교육원 ④ 설정'!$B$6:$B$40,0)),"※없는 과목"))</f>
        <v/>
      </c>
      <c r="F213" s="36" t="str">
        <f aca="false">IF($D213="","",IFERROR(INDEX('교육원 ④ 설정'!$C$6:$C$40,MATCH($D213,'교육원 ④ 설정'!$B$6:$B$40,0)),""))</f>
        <v/>
      </c>
      <c r="G213" s="39"/>
      <c r="H213" s="39"/>
      <c r="I213" s="40"/>
      <c r="J213" s="41"/>
      <c r="K213" s="38"/>
      <c r="L213" s="42" t="str">
        <f aca="false">IF($B213="","",IF(AND(N($I213)=0,N($J213)=0),"금액이 없습니다",IF(AND($I213&gt;0,$J213&gt;0),"수입·지출 둘 다 적혔습니다",IF($C213="","결제수단을 고르십시오",IF(ISNA(MATCH($C213,'교육원 ③ 통장·카드'!$A$5:$A$11,0)),"③ 통장·카드에 없는 결제수단입니다",IF($D213="","계정과목을 고르십시오",IF($E213="※없는 과목","④ 설정에 없는 과목입니다",IF(AND($E213="수입",$J213&gt;0),"수입 과목인데 지출에 적혔습니다",IF(AND(LEFT($E213,2)&lt;&gt;"수입",$E213&lt;&gt;"대체",$I213&gt;0),"지출 과목인데 수입에 적혔습니다",IF($K213="","증빙을 고르십시오",IF($H213="","적요를 적으십시오","")))))))))))</f>
        <v/>
      </c>
      <c r="M213" s="39"/>
      <c r="O213" s="11" t="str">
        <f aca="false">IF($B213="","",YEAR($B213)*100+MONTH($B213))</f>
        <v/>
      </c>
      <c r="P213" s="11" t="str">
        <f aca="false">IF($B213="","",IF($E213="대체",0,1))</f>
        <v/>
      </c>
    </row>
    <row r="214" customFormat="false" ht="15" hidden="false" customHeight="false" outlineLevel="0" collapsed="false">
      <c r="A214" s="36" t="str">
        <f aca="false">IF($B214="","",COUNT($B$15:$B214))</f>
        <v/>
      </c>
      <c r="B214" s="37"/>
      <c r="C214" s="38"/>
      <c r="D214" s="20"/>
      <c r="E214" s="36" t="str">
        <f aca="false">IF($D214="","",IFERROR(INDEX('교육원 ④ 설정'!$A$6:$A$40,MATCH($D214,'교육원 ④ 설정'!$B$6:$B$40,0)),"※없는 과목"))</f>
        <v/>
      </c>
      <c r="F214" s="36" t="str">
        <f aca="false">IF($D214="","",IFERROR(INDEX('교육원 ④ 설정'!$C$6:$C$40,MATCH($D214,'교육원 ④ 설정'!$B$6:$B$40,0)),""))</f>
        <v/>
      </c>
      <c r="G214" s="39"/>
      <c r="H214" s="39"/>
      <c r="I214" s="40"/>
      <c r="J214" s="41"/>
      <c r="K214" s="38"/>
      <c r="L214" s="42" t="str">
        <f aca="false">IF($B214="","",IF(AND(N($I214)=0,N($J214)=0),"금액이 없습니다",IF(AND($I214&gt;0,$J214&gt;0),"수입·지출 둘 다 적혔습니다",IF($C214="","결제수단을 고르십시오",IF(ISNA(MATCH($C214,'교육원 ③ 통장·카드'!$A$5:$A$11,0)),"③ 통장·카드에 없는 결제수단입니다",IF($D214="","계정과목을 고르십시오",IF($E214="※없는 과목","④ 설정에 없는 과목입니다",IF(AND($E214="수입",$J214&gt;0),"수입 과목인데 지출에 적혔습니다",IF(AND(LEFT($E214,2)&lt;&gt;"수입",$E214&lt;&gt;"대체",$I214&gt;0),"지출 과목인데 수입에 적혔습니다",IF($K214="","증빙을 고르십시오",IF($H214="","적요를 적으십시오","")))))))))))</f>
        <v/>
      </c>
      <c r="M214" s="39"/>
      <c r="O214" s="11" t="str">
        <f aca="false">IF($B214="","",YEAR($B214)*100+MONTH($B214))</f>
        <v/>
      </c>
      <c r="P214" s="11" t="str">
        <f aca="false">IF($B214="","",IF($E214="대체",0,1))</f>
        <v/>
      </c>
    </row>
    <row r="215" customFormat="false" ht="15" hidden="false" customHeight="false" outlineLevel="0" collapsed="false">
      <c r="A215" s="36" t="str">
        <f aca="false">IF($B215="","",COUNT($B$15:$B215))</f>
        <v/>
      </c>
      <c r="B215" s="37"/>
      <c r="C215" s="38"/>
      <c r="D215" s="20"/>
      <c r="E215" s="36" t="str">
        <f aca="false">IF($D215="","",IFERROR(INDEX('교육원 ④ 설정'!$A$6:$A$40,MATCH($D215,'교육원 ④ 설정'!$B$6:$B$40,0)),"※없는 과목"))</f>
        <v/>
      </c>
      <c r="F215" s="36" t="str">
        <f aca="false">IF($D215="","",IFERROR(INDEX('교육원 ④ 설정'!$C$6:$C$40,MATCH($D215,'교육원 ④ 설정'!$B$6:$B$40,0)),""))</f>
        <v/>
      </c>
      <c r="G215" s="39"/>
      <c r="H215" s="39"/>
      <c r="I215" s="40"/>
      <c r="J215" s="41"/>
      <c r="K215" s="38"/>
      <c r="L215" s="42" t="str">
        <f aca="false">IF($B215="","",IF(AND(N($I215)=0,N($J215)=0),"금액이 없습니다",IF(AND($I215&gt;0,$J215&gt;0),"수입·지출 둘 다 적혔습니다",IF($C215="","결제수단을 고르십시오",IF(ISNA(MATCH($C215,'교육원 ③ 통장·카드'!$A$5:$A$11,0)),"③ 통장·카드에 없는 결제수단입니다",IF($D215="","계정과목을 고르십시오",IF($E215="※없는 과목","④ 설정에 없는 과목입니다",IF(AND($E215="수입",$J215&gt;0),"수입 과목인데 지출에 적혔습니다",IF(AND(LEFT($E215,2)&lt;&gt;"수입",$E215&lt;&gt;"대체",$I215&gt;0),"지출 과목인데 수입에 적혔습니다",IF($K215="","증빙을 고르십시오",IF($H215="","적요를 적으십시오","")))))))))))</f>
        <v/>
      </c>
      <c r="M215" s="39"/>
      <c r="O215" s="11" t="str">
        <f aca="false">IF($B215="","",YEAR($B215)*100+MONTH($B215))</f>
        <v/>
      </c>
      <c r="P215" s="11" t="str">
        <f aca="false">IF($B215="","",IF($E215="대체",0,1))</f>
        <v/>
      </c>
    </row>
    <row r="216" customFormat="false" ht="15" hidden="false" customHeight="false" outlineLevel="0" collapsed="false">
      <c r="A216" s="36" t="str">
        <f aca="false">IF($B216="","",COUNT($B$15:$B216))</f>
        <v/>
      </c>
      <c r="B216" s="37"/>
      <c r="C216" s="38"/>
      <c r="D216" s="20"/>
      <c r="E216" s="36" t="str">
        <f aca="false">IF($D216="","",IFERROR(INDEX('교육원 ④ 설정'!$A$6:$A$40,MATCH($D216,'교육원 ④ 설정'!$B$6:$B$40,0)),"※없는 과목"))</f>
        <v/>
      </c>
      <c r="F216" s="36" t="str">
        <f aca="false">IF($D216="","",IFERROR(INDEX('교육원 ④ 설정'!$C$6:$C$40,MATCH($D216,'교육원 ④ 설정'!$B$6:$B$40,0)),""))</f>
        <v/>
      </c>
      <c r="G216" s="39"/>
      <c r="H216" s="39"/>
      <c r="I216" s="40"/>
      <c r="J216" s="41"/>
      <c r="K216" s="38"/>
      <c r="L216" s="42" t="str">
        <f aca="false">IF($B216="","",IF(AND(N($I216)=0,N($J216)=0),"금액이 없습니다",IF(AND($I216&gt;0,$J216&gt;0),"수입·지출 둘 다 적혔습니다",IF($C216="","결제수단을 고르십시오",IF(ISNA(MATCH($C216,'교육원 ③ 통장·카드'!$A$5:$A$11,0)),"③ 통장·카드에 없는 결제수단입니다",IF($D216="","계정과목을 고르십시오",IF($E216="※없는 과목","④ 설정에 없는 과목입니다",IF(AND($E216="수입",$J216&gt;0),"수입 과목인데 지출에 적혔습니다",IF(AND(LEFT($E216,2)&lt;&gt;"수입",$E216&lt;&gt;"대체",$I216&gt;0),"지출 과목인데 수입에 적혔습니다",IF($K216="","증빙을 고르십시오",IF($H216="","적요를 적으십시오","")))))))))))</f>
        <v/>
      </c>
      <c r="M216" s="39"/>
      <c r="O216" s="11" t="str">
        <f aca="false">IF($B216="","",YEAR($B216)*100+MONTH($B216))</f>
        <v/>
      </c>
      <c r="P216" s="11" t="str">
        <f aca="false">IF($B216="","",IF($E216="대체",0,1))</f>
        <v/>
      </c>
    </row>
    <row r="217" customFormat="false" ht="15" hidden="false" customHeight="false" outlineLevel="0" collapsed="false">
      <c r="A217" s="36" t="str">
        <f aca="false">IF($B217="","",COUNT($B$15:$B217))</f>
        <v/>
      </c>
      <c r="B217" s="37"/>
      <c r="C217" s="38"/>
      <c r="D217" s="20"/>
      <c r="E217" s="36" t="str">
        <f aca="false">IF($D217="","",IFERROR(INDEX('교육원 ④ 설정'!$A$6:$A$40,MATCH($D217,'교육원 ④ 설정'!$B$6:$B$40,0)),"※없는 과목"))</f>
        <v/>
      </c>
      <c r="F217" s="36" t="str">
        <f aca="false">IF($D217="","",IFERROR(INDEX('교육원 ④ 설정'!$C$6:$C$40,MATCH($D217,'교육원 ④ 설정'!$B$6:$B$40,0)),""))</f>
        <v/>
      </c>
      <c r="G217" s="39"/>
      <c r="H217" s="39"/>
      <c r="I217" s="40"/>
      <c r="J217" s="41"/>
      <c r="K217" s="38"/>
      <c r="L217" s="42" t="str">
        <f aca="false">IF($B217="","",IF(AND(N($I217)=0,N($J217)=0),"금액이 없습니다",IF(AND($I217&gt;0,$J217&gt;0),"수입·지출 둘 다 적혔습니다",IF($C217="","결제수단을 고르십시오",IF(ISNA(MATCH($C217,'교육원 ③ 통장·카드'!$A$5:$A$11,0)),"③ 통장·카드에 없는 결제수단입니다",IF($D217="","계정과목을 고르십시오",IF($E217="※없는 과목","④ 설정에 없는 과목입니다",IF(AND($E217="수입",$J217&gt;0),"수입 과목인데 지출에 적혔습니다",IF(AND(LEFT($E217,2)&lt;&gt;"수입",$E217&lt;&gt;"대체",$I217&gt;0),"지출 과목인데 수입에 적혔습니다",IF($K217="","증빙을 고르십시오",IF($H217="","적요를 적으십시오","")))))))))))</f>
        <v/>
      </c>
      <c r="M217" s="39"/>
      <c r="O217" s="11" t="str">
        <f aca="false">IF($B217="","",YEAR($B217)*100+MONTH($B217))</f>
        <v/>
      </c>
      <c r="P217" s="11" t="str">
        <f aca="false">IF($B217="","",IF($E217="대체",0,1))</f>
        <v/>
      </c>
    </row>
    <row r="218" customFormat="false" ht="15" hidden="false" customHeight="false" outlineLevel="0" collapsed="false">
      <c r="A218" s="36" t="str">
        <f aca="false">IF($B218="","",COUNT($B$15:$B218))</f>
        <v/>
      </c>
      <c r="B218" s="37"/>
      <c r="C218" s="38"/>
      <c r="D218" s="20"/>
      <c r="E218" s="36" t="str">
        <f aca="false">IF($D218="","",IFERROR(INDEX('교육원 ④ 설정'!$A$6:$A$40,MATCH($D218,'교육원 ④ 설정'!$B$6:$B$40,0)),"※없는 과목"))</f>
        <v/>
      </c>
      <c r="F218" s="36" t="str">
        <f aca="false">IF($D218="","",IFERROR(INDEX('교육원 ④ 설정'!$C$6:$C$40,MATCH($D218,'교육원 ④ 설정'!$B$6:$B$40,0)),""))</f>
        <v/>
      </c>
      <c r="G218" s="39"/>
      <c r="H218" s="39"/>
      <c r="I218" s="40"/>
      <c r="J218" s="41"/>
      <c r="K218" s="38"/>
      <c r="L218" s="42" t="str">
        <f aca="false">IF($B218="","",IF(AND(N($I218)=0,N($J218)=0),"금액이 없습니다",IF(AND($I218&gt;0,$J218&gt;0),"수입·지출 둘 다 적혔습니다",IF($C218="","결제수단을 고르십시오",IF(ISNA(MATCH($C218,'교육원 ③ 통장·카드'!$A$5:$A$11,0)),"③ 통장·카드에 없는 결제수단입니다",IF($D218="","계정과목을 고르십시오",IF($E218="※없는 과목","④ 설정에 없는 과목입니다",IF(AND($E218="수입",$J218&gt;0),"수입 과목인데 지출에 적혔습니다",IF(AND(LEFT($E218,2)&lt;&gt;"수입",$E218&lt;&gt;"대체",$I218&gt;0),"지출 과목인데 수입에 적혔습니다",IF($K218="","증빙을 고르십시오",IF($H218="","적요를 적으십시오","")))))))))))</f>
        <v/>
      </c>
      <c r="M218" s="39"/>
      <c r="O218" s="11" t="str">
        <f aca="false">IF($B218="","",YEAR($B218)*100+MONTH($B218))</f>
        <v/>
      </c>
      <c r="P218" s="11" t="str">
        <f aca="false">IF($B218="","",IF($E218="대체",0,1))</f>
        <v/>
      </c>
    </row>
    <row r="219" customFormat="false" ht="15" hidden="false" customHeight="false" outlineLevel="0" collapsed="false">
      <c r="A219" s="36" t="str">
        <f aca="false">IF($B219="","",COUNT($B$15:$B219))</f>
        <v/>
      </c>
      <c r="B219" s="37"/>
      <c r="C219" s="38"/>
      <c r="D219" s="20"/>
      <c r="E219" s="36" t="str">
        <f aca="false">IF($D219="","",IFERROR(INDEX('교육원 ④ 설정'!$A$6:$A$40,MATCH($D219,'교육원 ④ 설정'!$B$6:$B$40,0)),"※없는 과목"))</f>
        <v/>
      </c>
      <c r="F219" s="36" t="str">
        <f aca="false">IF($D219="","",IFERROR(INDEX('교육원 ④ 설정'!$C$6:$C$40,MATCH($D219,'교육원 ④ 설정'!$B$6:$B$40,0)),""))</f>
        <v/>
      </c>
      <c r="G219" s="39"/>
      <c r="H219" s="39"/>
      <c r="I219" s="40"/>
      <c r="J219" s="41"/>
      <c r="K219" s="38"/>
      <c r="L219" s="42" t="str">
        <f aca="false">IF($B219="","",IF(AND(N($I219)=0,N($J219)=0),"금액이 없습니다",IF(AND($I219&gt;0,$J219&gt;0),"수입·지출 둘 다 적혔습니다",IF($C219="","결제수단을 고르십시오",IF(ISNA(MATCH($C219,'교육원 ③ 통장·카드'!$A$5:$A$11,0)),"③ 통장·카드에 없는 결제수단입니다",IF($D219="","계정과목을 고르십시오",IF($E219="※없는 과목","④ 설정에 없는 과목입니다",IF(AND($E219="수입",$J219&gt;0),"수입 과목인데 지출에 적혔습니다",IF(AND(LEFT($E219,2)&lt;&gt;"수입",$E219&lt;&gt;"대체",$I219&gt;0),"지출 과목인데 수입에 적혔습니다",IF($K219="","증빙을 고르십시오",IF($H219="","적요를 적으십시오","")))))))))))</f>
        <v/>
      </c>
      <c r="M219" s="39"/>
      <c r="O219" s="11" t="str">
        <f aca="false">IF($B219="","",YEAR($B219)*100+MONTH($B219))</f>
        <v/>
      </c>
      <c r="P219" s="11" t="str">
        <f aca="false">IF($B219="","",IF($E219="대체",0,1))</f>
        <v/>
      </c>
    </row>
    <row r="220" customFormat="false" ht="15" hidden="false" customHeight="false" outlineLevel="0" collapsed="false">
      <c r="A220" s="36" t="str">
        <f aca="false">IF($B220="","",COUNT($B$15:$B220))</f>
        <v/>
      </c>
      <c r="B220" s="37"/>
      <c r="C220" s="38"/>
      <c r="D220" s="20"/>
      <c r="E220" s="36" t="str">
        <f aca="false">IF($D220="","",IFERROR(INDEX('교육원 ④ 설정'!$A$6:$A$40,MATCH($D220,'교육원 ④ 설정'!$B$6:$B$40,0)),"※없는 과목"))</f>
        <v/>
      </c>
      <c r="F220" s="36" t="str">
        <f aca="false">IF($D220="","",IFERROR(INDEX('교육원 ④ 설정'!$C$6:$C$40,MATCH($D220,'교육원 ④ 설정'!$B$6:$B$40,0)),""))</f>
        <v/>
      </c>
      <c r="G220" s="39"/>
      <c r="H220" s="39"/>
      <c r="I220" s="40"/>
      <c r="J220" s="41"/>
      <c r="K220" s="38"/>
      <c r="L220" s="42" t="str">
        <f aca="false">IF($B220="","",IF(AND(N($I220)=0,N($J220)=0),"금액이 없습니다",IF(AND($I220&gt;0,$J220&gt;0),"수입·지출 둘 다 적혔습니다",IF($C220="","결제수단을 고르십시오",IF(ISNA(MATCH($C220,'교육원 ③ 통장·카드'!$A$5:$A$11,0)),"③ 통장·카드에 없는 결제수단입니다",IF($D220="","계정과목을 고르십시오",IF($E220="※없는 과목","④ 설정에 없는 과목입니다",IF(AND($E220="수입",$J220&gt;0),"수입 과목인데 지출에 적혔습니다",IF(AND(LEFT($E220,2)&lt;&gt;"수입",$E220&lt;&gt;"대체",$I220&gt;0),"지출 과목인데 수입에 적혔습니다",IF($K220="","증빙을 고르십시오",IF($H220="","적요를 적으십시오","")))))))))))</f>
        <v/>
      </c>
      <c r="M220" s="39"/>
      <c r="O220" s="11" t="str">
        <f aca="false">IF($B220="","",YEAR($B220)*100+MONTH($B220))</f>
        <v/>
      </c>
      <c r="P220" s="11" t="str">
        <f aca="false">IF($B220="","",IF($E220="대체",0,1))</f>
        <v/>
      </c>
    </row>
    <row r="221" customFormat="false" ht="15" hidden="false" customHeight="false" outlineLevel="0" collapsed="false">
      <c r="A221" s="36" t="str">
        <f aca="false">IF($B221="","",COUNT($B$15:$B221))</f>
        <v/>
      </c>
      <c r="B221" s="37"/>
      <c r="C221" s="38"/>
      <c r="D221" s="20"/>
      <c r="E221" s="36" t="str">
        <f aca="false">IF($D221="","",IFERROR(INDEX('교육원 ④ 설정'!$A$6:$A$40,MATCH($D221,'교육원 ④ 설정'!$B$6:$B$40,0)),"※없는 과목"))</f>
        <v/>
      </c>
      <c r="F221" s="36" t="str">
        <f aca="false">IF($D221="","",IFERROR(INDEX('교육원 ④ 설정'!$C$6:$C$40,MATCH($D221,'교육원 ④ 설정'!$B$6:$B$40,0)),""))</f>
        <v/>
      </c>
      <c r="G221" s="39"/>
      <c r="H221" s="39"/>
      <c r="I221" s="40"/>
      <c r="J221" s="41"/>
      <c r="K221" s="38"/>
      <c r="L221" s="42" t="str">
        <f aca="false">IF($B221="","",IF(AND(N($I221)=0,N($J221)=0),"금액이 없습니다",IF(AND($I221&gt;0,$J221&gt;0),"수입·지출 둘 다 적혔습니다",IF($C221="","결제수단을 고르십시오",IF(ISNA(MATCH($C221,'교육원 ③ 통장·카드'!$A$5:$A$11,0)),"③ 통장·카드에 없는 결제수단입니다",IF($D221="","계정과목을 고르십시오",IF($E221="※없는 과목","④ 설정에 없는 과목입니다",IF(AND($E221="수입",$J221&gt;0),"수입 과목인데 지출에 적혔습니다",IF(AND(LEFT($E221,2)&lt;&gt;"수입",$E221&lt;&gt;"대체",$I221&gt;0),"지출 과목인데 수입에 적혔습니다",IF($K221="","증빙을 고르십시오",IF($H221="","적요를 적으십시오","")))))))))))</f>
        <v/>
      </c>
      <c r="M221" s="39"/>
      <c r="O221" s="11" t="str">
        <f aca="false">IF($B221="","",YEAR($B221)*100+MONTH($B221))</f>
        <v/>
      </c>
      <c r="P221" s="11" t="str">
        <f aca="false">IF($B221="","",IF($E221="대체",0,1))</f>
        <v/>
      </c>
    </row>
    <row r="222" customFormat="false" ht="15" hidden="false" customHeight="false" outlineLevel="0" collapsed="false">
      <c r="A222" s="36" t="str">
        <f aca="false">IF($B222="","",COUNT($B$15:$B222))</f>
        <v/>
      </c>
      <c r="B222" s="37"/>
      <c r="C222" s="38"/>
      <c r="D222" s="20"/>
      <c r="E222" s="36" t="str">
        <f aca="false">IF($D222="","",IFERROR(INDEX('교육원 ④ 설정'!$A$6:$A$40,MATCH($D222,'교육원 ④ 설정'!$B$6:$B$40,0)),"※없는 과목"))</f>
        <v/>
      </c>
      <c r="F222" s="36" t="str">
        <f aca="false">IF($D222="","",IFERROR(INDEX('교육원 ④ 설정'!$C$6:$C$40,MATCH($D222,'교육원 ④ 설정'!$B$6:$B$40,0)),""))</f>
        <v/>
      </c>
      <c r="G222" s="39"/>
      <c r="H222" s="39"/>
      <c r="I222" s="40"/>
      <c r="J222" s="41"/>
      <c r="K222" s="38"/>
      <c r="L222" s="42" t="str">
        <f aca="false">IF($B222="","",IF(AND(N($I222)=0,N($J222)=0),"금액이 없습니다",IF(AND($I222&gt;0,$J222&gt;0),"수입·지출 둘 다 적혔습니다",IF($C222="","결제수단을 고르십시오",IF(ISNA(MATCH($C222,'교육원 ③ 통장·카드'!$A$5:$A$11,0)),"③ 통장·카드에 없는 결제수단입니다",IF($D222="","계정과목을 고르십시오",IF($E222="※없는 과목","④ 설정에 없는 과목입니다",IF(AND($E222="수입",$J222&gt;0),"수입 과목인데 지출에 적혔습니다",IF(AND(LEFT($E222,2)&lt;&gt;"수입",$E222&lt;&gt;"대체",$I222&gt;0),"지출 과목인데 수입에 적혔습니다",IF($K222="","증빙을 고르십시오",IF($H222="","적요를 적으십시오","")))))))))))</f>
        <v/>
      </c>
      <c r="M222" s="39"/>
      <c r="O222" s="11" t="str">
        <f aca="false">IF($B222="","",YEAR($B222)*100+MONTH($B222))</f>
        <v/>
      </c>
      <c r="P222" s="11" t="str">
        <f aca="false">IF($B222="","",IF($E222="대체",0,1))</f>
        <v/>
      </c>
    </row>
    <row r="223" customFormat="false" ht="15" hidden="false" customHeight="false" outlineLevel="0" collapsed="false">
      <c r="A223" s="36" t="str">
        <f aca="false">IF($B223="","",COUNT($B$15:$B223))</f>
        <v/>
      </c>
      <c r="B223" s="37"/>
      <c r="C223" s="38"/>
      <c r="D223" s="20"/>
      <c r="E223" s="36" t="str">
        <f aca="false">IF($D223="","",IFERROR(INDEX('교육원 ④ 설정'!$A$6:$A$40,MATCH($D223,'교육원 ④ 설정'!$B$6:$B$40,0)),"※없는 과목"))</f>
        <v/>
      </c>
      <c r="F223" s="36" t="str">
        <f aca="false">IF($D223="","",IFERROR(INDEX('교육원 ④ 설정'!$C$6:$C$40,MATCH($D223,'교육원 ④ 설정'!$B$6:$B$40,0)),""))</f>
        <v/>
      </c>
      <c r="G223" s="39"/>
      <c r="H223" s="39"/>
      <c r="I223" s="40"/>
      <c r="J223" s="41"/>
      <c r="K223" s="38"/>
      <c r="L223" s="42" t="str">
        <f aca="false">IF($B223="","",IF(AND(N($I223)=0,N($J223)=0),"금액이 없습니다",IF(AND($I223&gt;0,$J223&gt;0),"수입·지출 둘 다 적혔습니다",IF($C223="","결제수단을 고르십시오",IF(ISNA(MATCH($C223,'교육원 ③ 통장·카드'!$A$5:$A$11,0)),"③ 통장·카드에 없는 결제수단입니다",IF($D223="","계정과목을 고르십시오",IF($E223="※없는 과목","④ 설정에 없는 과목입니다",IF(AND($E223="수입",$J223&gt;0),"수입 과목인데 지출에 적혔습니다",IF(AND(LEFT($E223,2)&lt;&gt;"수입",$E223&lt;&gt;"대체",$I223&gt;0),"지출 과목인데 수입에 적혔습니다",IF($K223="","증빙을 고르십시오",IF($H223="","적요를 적으십시오","")))))))))))</f>
        <v/>
      </c>
      <c r="M223" s="39"/>
      <c r="O223" s="11" t="str">
        <f aca="false">IF($B223="","",YEAR($B223)*100+MONTH($B223))</f>
        <v/>
      </c>
      <c r="P223" s="11" t="str">
        <f aca="false">IF($B223="","",IF($E223="대체",0,1))</f>
        <v/>
      </c>
    </row>
    <row r="224" customFormat="false" ht="15" hidden="false" customHeight="false" outlineLevel="0" collapsed="false">
      <c r="A224" s="36" t="str">
        <f aca="false">IF($B224="","",COUNT($B$15:$B224))</f>
        <v/>
      </c>
      <c r="B224" s="37"/>
      <c r="C224" s="38"/>
      <c r="D224" s="20"/>
      <c r="E224" s="36" t="str">
        <f aca="false">IF($D224="","",IFERROR(INDEX('교육원 ④ 설정'!$A$6:$A$40,MATCH($D224,'교육원 ④ 설정'!$B$6:$B$40,0)),"※없는 과목"))</f>
        <v/>
      </c>
      <c r="F224" s="36" t="str">
        <f aca="false">IF($D224="","",IFERROR(INDEX('교육원 ④ 설정'!$C$6:$C$40,MATCH($D224,'교육원 ④ 설정'!$B$6:$B$40,0)),""))</f>
        <v/>
      </c>
      <c r="G224" s="39"/>
      <c r="H224" s="39"/>
      <c r="I224" s="40"/>
      <c r="J224" s="41"/>
      <c r="K224" s="38"/>
      <c r="L224" s="42" t="str">
        <f aca="false">IF($B224="","",IF(AND(N($I224)=0,N($J224)=0),"금액이 없습니다",IF(AND($I224&gt;0,$J224&gt;0),"수입·지출 둘 다 적혔습니다",IF($C224="","결제수단을 고르십시오",IF(ISNA(MATCH($C224,'교육원 ③ 통장·카드'!$A$5:$A$11,0)),"③ 통장·카드에 없는 결제수단입니다",IF($D224="","계정과목을 고르십시오",IF($E224="※없는 과목","④ 설정에 없는 과목입니다",IF(AND($E224="수입",$J224&gt;0),"수입 과목인데 지출에 적혔습니다",IF(AND(LEFT($E224,2)&lt;&gt;"수입",$E224&lt;&gt;"대체",$I224&gt;0),"지출 과목인데 수입에 적혔습니다",IF($K224="","증빙을 고르십시오",IF($H224="","적요를 적으십시오","")))))))))))</f>
        <v/>
      </c>
      <c r="M224" s="39"/>
      <c r="O224" s="11" t="str">
        <f aca="false">IF($B224="","",YEAR($B224)*100+MONTH($B224))</f>
        <v/>
      </c>
      <c r="P224" s="11" t="str">
        <f aca="false">IF($B224="","",IF($E224="대체",0,1))</f>
        <v/>
      </c>
    </row>
    <row r="225" customFormat="false" ht="15" hidden="false" customHeight="false" outlineLevel="0" collapsed="false">
      <c r="A225" s="36" t="str">
        <f aca="false">IF($B225="","",COUNT($B$15:$B225))</f>
        <v/>
      </c>
      <c r="B225" s="37"/>
      <c r="C225" s="38"/>
      <c r="D225" s="20"/>
      <c r="E225" s="36" t="str">
        <f aca="false">IF($D225="","",IFERROR(INDEX('교육원 ④ 설정'!$A$6:$A$40,MATCH($D225,'교육원 ④ 설정'!$B$6:$B$40,0)),"※없는 과목"))</f>
        <v/>
      </c>
      <c r="F225" s="36" t="str">
        <f aca="false">IF($D225="","",IFERROR(INDEX('교육원 ④ 설정'!$C$6:$C$40,MATCH($D225,'교육원 ④ 설정'!$B$6:$B$40,0)),""))</f>
        <v/>
      </c>
      <c r="G225" s="39"/>
      <c r="H225" s="39"/>
      <c r="I225" s="40"/>
      <c r="J225" s="41"/>
      <c r="K225" s="38"/>
      <c r="L225" s="42" t="str">
        <f aca="false">IF($B225="","",IF(AND(N($I225)=0,N($J225)=0),"금액이 없습니다",IF(AND($I225&gt;0,$J225&gt;0),"수입·지출 둘 다 적혔습니다",IF($C225="","결제수단을 고르십시오",IF(ISNA(MATCH($C225,'교육원 ③ 통장·카드'!$A$5:$A$11,0)),"③ 통장·카드에 없는 결제수단입니다",IF($D225="","계정과목을 고르십시오",IF($E225="※없는 과목","④ 설정에 없는 과목입니다",IF(AND($E225="수입",$J225&gt;0),"수입 과목인데 지출에 적혔습니다",IF(AND(LEFT($E225,2)&lt;&gt;"수입",$E225&lt;&gt;"대체",$I225&gt;0),"지출 과목인데 수입에 적혔습니다",IF($K225="","증빙을 고르십시오",IF($H225="","적요를 적으십시오","")))))))))))</f>
        <v/>
      </c>
      <c r="M225" s="39"/>
      <c r="O225" s="11" t="str">
        <f aca="false">IF($B225="","",YEAR($B225)*100+MONTH($B225))</f>
        <v/>
      </c>
      <c r="P225" s="11" t="str">
        <f aca="false">IF($B225="","",IF($E225="대체",0,1))</f>
        <v/>
      </c>
    </row>
    <row r="226" customFormat="false" ht="15" hidden="false" customHeight="false" outlineLevel="0" collapsed="false">
      <c r="A226" s="36" t="str">
        <f aca="false">IF($B226="","",COUNT($B$15:$B226))</f>
        <v/>
      </c>
      <c r="B226" s="37"/>
      <c r="C226" s="38"/>
      <c r="D226" s="20"/>
      <c r="E226" s="36" t="str">
        <f aca="false">IF($D226="","",IFERROR(INDEX('교육원 ④ 설정'!$A$6:$A$40,MATCH($D226,'교육원 ④ 설정'!$B$6:$B$40,0)),"※없는 과목"))</f>
        <v/>
      </c>
      <c r="F226" s="36" t="str">
        <f aca="false">IF($D226="","",IFERROR(INDEX('교육원 ④ 설정'!$C$6:$C$40,MATCH($D226,'교육원 ④ 설정'!$B$6:$B$40,0)),""))</f>
        <v/>
      </c>
      <c r="G226" s="39"/>
      <c r="H226" s="39"/>
      <c r="I226" s="40"/>
      <c r="J226" s="41"/>
      <c r="K226" s="38"/>
      <c r="L226" s="42" t="str">
        <f aca="false">IF($B226="","",IF(AND(N($I226)=0,N($J226)=0),"금액이 없습니다",IF(AND($I226&gt;0,$J226&gt;0),"수입·지출 둘 다 적혔습니다",IF($C226="","결제수단을 고르십시오",IF(ISNA(MATCH($C226,'교육원 ③ 통장·카드'!$A$5:$A$11,0)),"③ 통장·카드에 없는 결제수단입니다",IF($D226="","계정과목을 고르십시오",IF($E226="※없는 과목","④ 설정에 없는 과목입니다",IF(AND($E226="수입",$J226&gt;0),"수입 과목인데 지출에 적혔습니다",IF(AND(LEFT($E226,2)&lt;&gt;"수입",$E226&lt;&gt;"대체",$I226&gt;0),"지출 과목인데 수입에 적혔습니다",IF($K226="","증빙을 고르십시오",IF($H226="","적요를 적으십시오","")))))))))))</f>
        <v/>
      </c>
      <c r="M226" s="39"/>
      <c r="O226" s="11" t="str">
        <f aca="false">IF($B226="","",YEAR($B226)*100+MONTH($B226))</f>
        <v/>
      </c>
      <c r="P226" s="11" t="str">
        <f aca="false">IF($B226="","",IF($E226="대체",0,1))</f>
        <v/>
      </c>
    </row>
    <row r="227" customFormat="false" ht="15" hidden="false" customHeight="false" outlineLevel="0" collapsed="false">
      <c r="A227" s="36" t="str">
        <f aca="false">IF($B227="","",COUNT($B$15:$B227))</f>
        <v/>
      </c>
      <c r="B227" s="37"/>
      <c r="C227" s="38"/>
      <c r="D227" s="20"/>
      <c r="E227" s="36" t="str">
        <f aca="false">IF($D227="","",IFERROR(INDEX('교육원 ④ 설정'!$A$6:$A$40,MATCH($D227,'교육원 ④ 설정'!$B$6:$B$40,0)),"※없는 과목"))</f>
        <v/>
      </c>
      <c r="F227" s="36" t="str">
        <f aca="false">IF($D227="","",IFERROR(INDEX('교육원 ④ 설정'!$C$6:$C$40,MATCH($D227,'교육원 ④ 설정'!$B$6:$B$40,0)),""))</f>
        <v/>
      </c>
      <c r="G227" s="39"/>
      <c r="H227" s="39"/>
      <c r="I227" s="40"/>
      <c r="J227" s="41"/>
      <c r="K227" s="38"/>
      <c r="L227" s="42" t="str">
        <f aca="false">IF($B227="","",IF(AND(N($I227)=0,N($J227)=0),"금액이 없습니다",IF(AND($I227&gt;0,$J227&gt;0),"수입·지출 둘 다 적혔습니다",IF($C227="","결제수단을 고르십시오",IF(ISNA(MATCH($C227,'교육원 ③ 통장·카드'!$A$5:$A$11,0)),"③ 통장·카드에 없는 결제수단입니다",IF($D227="","계정과목을 고르십시오",IF($E227="※없는 과목","④ 설정에 없는 과목입니다",IF(AND($E227="수입",$J227&gt;0),"수입 과목인데 지출에 적혔습니다",IF(AND(LEFT($E227,2)&lt;&gt;"수입",$E227&lt;&gt;"대체",$I227&gt;0),"지출 과목인데 수입에 적혔습니다",IF($K227="","증빙을 고르십시오",IF($H227="","적요를 적으십시오","")))))))))))</f>
        <v/>
      </c>
      <c r="M227" s="39"/>
      <c r="O227" s="11" t="str">
        <f aca="false">IF($B227="","",YEAR($B227)*100+MONTH($B227))</f>
        <v/>
      </c>
      <c r="P227" s="11" t="str">
        <f aca="false">IF($B227="","",IF($E227="대체",0,1))</f>
        <v/>
      </c>
    </row>
    <row r="228" customFormat="false" ht="15" hidden="false" customHeight="false" outlineLevel="0" collapsed="false">
      <c r="A228" s="36" t="str">
        <f aca="false">IF($B228="","",COUNT($B$15:$B228))</f>
        <v/>
      </c>
      <c r="B228" s="37"/>
      <c r="C228" s="38"/>
      <c r="D228" s="20"/>
      <c r="E228" s="36" t="str">
        <f aca="false">IF($D228="","",IFERROR(INDEX('교육원 ④ 설정'!$A$6:$A$40,MATCH($D228,'교육원 ④ 설정'!$B$6:$B$40,0)),"※없는 과목"))</f>
        <v/>
      </c>
      <c r="F228" s="36" t="str">
        <f aca="false">IF($D228="","",IFERROR(INDEX('교육원 ④ 설정'!$C$6:$C$40,MATCH($D228,'교육원 ④ 설정'!$B$6:$B$40,0)),""))</f>
        <v/>
      </c>
      <c r="G228" s="39"/>
      <c r="H228" s="39"/>
      <c r="I228" s="40"/>
      <c r="J228" s="41"/>
      <c r="K228" s="38"/>
      <c r="L228" s="42" t="str">
        <f aca="false">IF($B228="","",IF(AND(N($I228)=0,N($J228)=0),"금액이 없습니다",IF(AND($I228&gt;0,$J228&gt;0),"수입·지출 둘 다 적혔습니다",IF($C228="","결제수단을 고르십시오",IF(ISNA(MATCH($C228,'교육원 ③ 통장·카드'!$A$5:$A$11,0)),"③ 통장·카드에 없는 결제수단입니다",IF($D228="","계정과목을 고르십시오",IF($E228="※없는 과목","④ 설정에 없는 과목입니다",IF(AND($E228="수입",$J228&gt;0),"수입 과목인데 지출에 적혔습니다",IF(AND(LEFT($E228,2)&lt;&gt;"수입",$E228&lt;&gt;"대체",$I228&gt;0),"지출 과목인데 수입에 적혔습니다",IF($K228="","증빙을 고르십시오",IF($H228="","적요를 적으십시오","")))))))))))</f>
        <v/>
      </c>
      <c r="M228" s="39"/>
      <c r="O228" s="11" t="str">
        <f aca="false">IF($B228="","",YEAR($B228)*100+MONTH($B228))</f>
        <v/>
      </c>
      <c r="P228" s="11" t="str">
        <f aca="false">IF($B228="","",IF($E228="대체",0,1))</f>
        <v/>
      </c>
    </row>
    <row r="229" customFormat="false" ht="15" hidden="false" customHeight="false" outlineLevel="0" collapsed="false">
      <c r="A229" s="36" t="str">
        <f aca="false">IF($B229="","",COUNT($B$15:$B229))</f>
        <v/>
      </c>
      <c r="B229" s="37"/>
      <c r="C229" s="38"/>
      <c r="D229" s="20"/>
      <c r="E229" s="36" t="str">
        <f aca="false">IF($D229="","",IFERROR(INDEX('교육원 ④ 설정'!$A$6:$A$40,MATCH($D229,'교육원 ④ 설정'!$B$6:$B$40,0)),"※없는 과목"))</f>
        <v/>
      </c>
      <c r="F229" s="36" t="str">
        <f aca="false">IF($D229="","",IFERROR(INDEX('교육원 ④ 설정'!$C$6:$C$40,MATCH($D229,'교육원 ④ 설정'!$B$6:$B$40,0)),""))</f>
        <v/>
      </c>
      <c r="G229" s="39"/>
      <c r="H229" s="39"/>
      <c r="I229" s="40"/>
      <c r="J229" s="41"/>
      <c r="K229" s="38"/>
      <c r="L229" s="42" t="str">
        <f aca="false">IF($B229="","",IF(AND(N($I229)=0,N($J229)=0),"금액이 없습니다",IF(AND($I229&gt;0,$J229&gt;0),"수입·지출 둘 다 적혔습니다",IF($C229="","결제수단을 고르십시오",IF(ISNA(MATCH($C229,'교육원 ③ 통장·카드'!$A$5:$A$11,0)),"③ 통장·카드에 없는 결제수단입니다",IF($D229="","계정과목을 고르십시오",IF($E229="※없는 과목","④ 설정에 없는 과목입니다",IF(AND($E229="수입",$J229&gt;0),"수입 과목인데 지출에 적혔습니다",IF(AND(LEFT($E229,2)&lt;&gt;"수입",$E229&lt;&gt;"대체",$I229&gt;0),"지출 과목인데 수입에 적혔습니다",IF($K229="","증빙을 고르십시오",IF($H229="","적요를 적으십시오","")))))))))))</f>
        <v/>
      </c>
      <c r="M229" s="39"/>
      <c r="O229" s="11" t="str">
        <f aca="false">IF($B229="","",YEAR($B229)*100+MONTH($B229))</f>
        <v/>
      </c>
      <c r="P229" s="11" t="str">
        <f aca="false">IF($B229="","",IF($E229="대체",0,1))</f>
        <v/>
      </c>
    </row>
    <row r="230" customFormat="false" ht="15" hidden="false" customHeight="false" outlineLevel="0" collapsed="false">
      <c r="A230" s="36" t="str">
        <f aca="false">IF($B230="","",COUNT($B$15:$B230))</f>
        <v/>
      </c>
      <c r="B230" s="37"/>
      <c r="C230" s="38"/>
      <c r="D230" s="20"/>
      <c r="E230" s="36" t="str">
        <f aca="false">IF($D230="","",IFERROR(INDEX('교육원 ④ 설정'!$A$6:$A$40,MATCH($D230,'교육원 ④ 설정'!$B$6:$B$40,0)),"※없는 과목"))</f>
        <v/>
      </c>
      <c r="F230" s="36" t="str">
        <f aca="false">IF($D230="","",IFERROR(INDEX('교육원 ④ 설정'!$C$6:$C$40,MATCH($D230,'교육원 ④ 설정'!$B$6:$B$40,0)),""))</f>
        <v/>
      </c>
      <c r="G230" s="39"/>
      <c r="H230" s="39"/>
      <c r="I230" s="40"/>
      <c r="J230" s="41"/>
      <c r="K230" s="38"/>
      <c r="L230" s="42" t="str">
        <f aca="false">IF($B230="","",IF(AND(N($I230)=0,N($J230)=0),"금액이 없습니다",IF(AND($I230&gt;0,$J230&gt;0),"수입·지출 둘 다 적혔습니다",IF($C230="","결제수단을 고르십시오",IF(ISNA(MATCH($C230,'교육원 ③ 통장·카드'!$A$5:$A$11,0)),"③ 통장·카드에 없는 결제수단입니다",IF($D230="","계정과목을 고르십시오",IF($E230="※없는 과목","④ 설정에 없는 과목입니다",IF(AND($E230="수입",$J230&gt;0),"수입 과목인데 지출에 적혔습니다",IF(AND(LEFT($E230,2)&lt;&gt;"수입",$E230&lt;&gt;"대체",$I230&gt;0),"지출 과목인데 수입에 적혔습니다",IF($K230="","증빙을 고르십시오",IF($H230="","적요를 적으십시오","")))))))))))</f>
        <v/>
      </c>
      <c r="M230" s="39"/>
      <c r="O230" s="11" t="str">
        <f aca="false">IF($B230="","",YEAR($B230)*100+MONTH($B230))</f>
        <v/>
      </c>
      <c r="P230" s="11" t="str">
        <f aca="false">IF($B230="","",IF($E230="대체",0,1))</f>
        <v/>
      </c>
    </row>
    <row r="231" customFormat="false" ht="15" hidden="false" customHeight="false" outlineLevel="0" collapsed="false">
      <c r="A231" s="36" t="str">
        <f aca="false">IF($B231="","",COUNT($B$15:$B231))</f>
        <v/>
      </c>
      <c r="B231" s="37"/>
      <c r="C231" s="38"/>
      <c r="D231" s="20"/>
      <c r="E231" s="36" t="str">
        <f aca="false">IF($D231="","",IFERROR(INDEX('교육원 ④ 설정'!$A$6:$A$40,MATCH($D231,'교육원 ④ 설정'!$B$6:$B$40,0)),"※없는 과목"))</f>
        <v/>
      </c>
      <c r="F231" s="36" t="str">
        <f aca="false">IF($D231="","",IFERROR(INDEX('교육원 ④ 설정'!$C$6:$C$40,MATCH($D231,'교육원 ④ 설정'!$B$6:$B$40,0)),""))</f>
        <v/>
      </c>
      <c r="G231" s="39"/>
      <c r="H231" s="39"/>
      <c r="I231" s="40"/>
      <c r="J231" s="41"/>
      <c r="K231" s="38"/>
      <c r="L231" s="42" t="str">
        <f aca="false">IF($B231="","",IF(AND(N($I231)=0,N($J231)=0),"금액이 없습니다",IF(AND($I231&gt;0,$J231&gt;0),"수입·지출 둘 다 적혔습니다",IF($C231="","결제수단을 고르십시오",IF(ISNA(MATCH($C231,'교육원 ③ 통장·카드'!$A$5:$A$11,0)),"③ 통장·카드에 없는 결제수단입니다",IF($D231="","계정과목을 고르십시오",IF($E231="※없는 과목","④ 설정에 없는 과목입니다",IF(AND($E231="수입",$J231&gt;0),"수입 과목인데 지출에 적혔습니다",IF(AND(LEFT($E231,2)&lt;&gt;"수입",$E231&lt;&gt;"대체",$I231&gt;0),"지출 과목인데 수입에 적혔습니다",IF($K231="","증빙을 고르십시오",IF($H231="","적요를 적으십시오","")))))))))))</f>
        <v/>
      </c>
      <c r="M231" s="39"/>
      <c r="O231" s="11" t="str">
        <f aca="false">IF($B231="","",YEAR($B231)*100+MONTH($B231))</f>
        <v/>
      </c>
      <c r="P231" s="11" t="str">
        <f aca="false">IF($B231="","",IF($E231="대체",0,1))</f>
        <v/>
      </c>
    </row>
    <row r="232" customFormat="false" ht="15" hidden="false" customHeight="false" outlineLevel="0" collapsed="false">
      <c r="A232" s="36" t="str">
        <f aca="false">IF($B232="","",COUNT($B$15:$B232))</f>
        <v/>
      </c>
      <c r="B232" s="37"/>
      <c r="C232" s="38"/>
      <c r="D232" s="20"/>
      <c r="E232" s="36" t="str">
        <f aca="false">IF($D232="","",IFERROR(INDEX('교육원 ④ 설정'!$A$6:$A$40,MATCH($D232,'교육원 ④ 설정'!$B$6:$B$40,0)),"※없는 과목"))</f>
        <v/>
      </c>
      <c r="F232" s="36" t="str">
        <f aca="false">IF($D232="","",IFERROR(INDEX('교육원 ④ 설정'!$C$6:$C$40,MATCH($D232,'교육원 ④ 설정'!$B$6:$B$40,0)),""))</f>
        <v/>
      </c>
      <c r="G232" s="39"/>
      <c r="H232" s="39"/>
      <c r="I232" s="40"/>
      <c r="J232" s="41"/>
      <c r="K232" s="38"/>
      <c r="L232" s="42" t="str">
        <f aca="false">IF($B232="","",IF(AND(N($I232)=0,N($J232)=0),"금액이 없습니다",IF(AND($I232&gt;0,$J232&gt;0),"수입·지출 둘 다 적혔습니다",IF($C232="","결제수단을 고르십시오",IF(ISNA(MATCH($C232,'교육원 ③ 통장·카드'!$A$5:$A$11,0)),"③ 통장·카드에 없는 결제수단입니다",IF($D232="","계정과목을 고르십시오",IF($E232="※없는 과목","④ 설정에 없는 과목입니다",IF(AND($E232="수입",$J232&gt;0),"수입 과목인데 지출에 적혔습니다",IF(AND(LEFT($E232,2)&lt;&gt;"수입",$E232&lt;&gt;"대체",$I232&gt;0),"지출 과목인데 수입에 적혔습니다",IF($K232="","증빙을 고르십시오",IF($H232="","적요를 적으십시오","")))))))))))</f>
        <v/>
      </c>
      <c r="M232" s="39"/>
      <c r="O232" s="11" t="str">
        <f aca="false">IF($B232="","",YEAR($B232)*100+MONTH($B232))</f>
        <v/>
      </c>
      <c r="P232" s="11" t="str">
        <f aca="false">IF($B232="","",IF($E232="대체",0,1))</f>
        <v/>
      </c>
    </row>
    <row r="233" customFormat="false" ht="15" hidden="false" customHeight="false" outlineLevel="0" collapsed="false">
      <c r="A233" s="36" t="str">
        <f aca="false">IF($B233="","",COUNT($B$15:$B233))</f>
        <v/>
      </c>
      <c r="B233" s="37"/>
      <c r="C233" s="38"/>
      <c r="D233" s="20"/>
      <c r="E233" s="36" t="str">
        <f aca="false">IF($D233="","",IFERROR(INDEX('교육원 ④ 설정'!$A$6:$A$40,MATCH($D233,'교육원 ④ 설정'!$B$6:$B$40,0)),"※없는 과목"))</f>
        <v/>
      </c>
      <c r="F233" s="36" t="str">
        <f aca="false">IF($D233="","",IFERROR(INDEX('교육원 ④ 설정'!$C$6:$C$40,MATCH($D233,'교육원 ④ 설정'!$B$6:$B$40,0)),""))</f>
        <v/>
      </c>
      <c r="G233" s="39"/>
      <c r="H233" s="39"/>
      <c r="I233" s="40"/>
      <c r="J233" s="41"/>
      <c r="K233" s="38"/>
      <c r="L233" s="42" t="str">
        <f aca="false">IF($B233="","",IF(AND(N($I233)=0,N($J233)=0),"금액이 없습니다",IF(AND($I233&gt;0,$J233&gt;0),"수입·지출 둘 다 적혔습니다",IF($C233="","결제수단을 고르십시오",IF(ISNA(MATCH($C233,'교육원 ③ 통장·카드'!$A$5:$A$11,0)),"③ 통장·카드에 없는 결제수단입니다",IF($D233="","계정과목을 고르십시오",IF($E233="※없는 과목","④ 설정에 없는 과목입니다",IF(AND($E233="수입",$J233&gt;0),"수입 과목인데 지출에 적혔습니다",IF(AND(LEFT($E233,2)&lt;&gt;"수입",$E233&lt;&gt;"대체",$I233&gt;0),"지출 과목인데 수입에 적혔습니다",IF($K233="","증빙을 고르십시오",IF($H233="","적요를 적으십시오","")))))))))))</f>
        <v/>
      </c>
      <c r="M233" s="39"/>
      <c r="O233" s="11" t="str">
        <f aca="false">IF($B233="","",YEAR($B233)*100+MONTH($B233))</f>
        <v/>
      </c>
      <c r="P233" s="11" t="str">
        <f aca="false">IF($B233="","",IF($E233="대체",0,1))</f>
        <v/>
      </c>
    </row>
    <row r="234" customFormat="false" ht="15" hidden="false" customHeight="false" outlineLevel="0" collapsed="false">
      <c r="A234" s="36" t="str">
        <f aca="false">IF($B234="","",COUNT($B$15:$B234))</f>
        <v/>
      </c>
      <c r="B234" s="37"/>
      <c r="C234" s="38"/>
      <c r="D234" s="20"/>
      <c r="E234" s="36" t="str">
        <f aca="false">IF($D234="","",IFERROR(INDEX('교육원 ④ 설정'!$A$6:$A$40,MATCH($D234,'교육원 ④ 설정'!$B$6:$B$40,0)),"※없는 과목"))</f>
        <v/>
      </c>
      <c r="F234" s="36" t="str">
        <f aca="false">IF($D234="","",IFERROR(INDEX('교육원 ④ 설정'!$C$6:$C$40,MATCH($D234,'교육원 ④ 설정'!$B$6:$B$40,0)),""))</f>
        <v/>
      </c>
      <c r="G234" s="39"/>
      <c r="H234" s="39"/>
      <c r="I234" s="40"/>
      <c r="J234" s="41"/>
      <c r="K234" s="38"/>
      <c r="L234" s="42" t="str">
        <f aca="false">IF($B234="","",IF(AND(N($I234)=0,N($J234)=0),"금액이 없습니다",IF(AND($I234&gt;0,$J234&gt;0),"수입·지출 둘 다 적혔습니다",IF($C234="","결제수단을 고르십시오",IF(ISNA(MATCH($C234,'교육원 ③ 통장·카드'!$A$5:$A$11,0)),"③ 통장·카드에 없는 결제수단입니다",IF($D234="","계정과목을 고르십시오",IF($E234="※없는 과목","④ 설정에 없는 과목입니다",IF(AND($E234="수입",$J234&gt;0),"수입 과목인데 지출에 적혔습니다",IF(AND(LEFT($E234,2)&lt;&gt;"수입",$E234&lt;&gt;"대체",$I234&gt;0),"지출 과목인데 수입에 적혔습니다",IF($K234="","증빙을 고르십시오",IF($H234="","적요를 적으십시오","")))))))))))</f>
        <v/>
      </c>
      <c r="M234" s="39"/>
      <c r="O234" s="11" t="str">
        <f aca="false">IF($B234="","",YEAR($B234)*100+MONTH($B234))</f>
        <v/>
      </c>
      <c r="P234" s="11" t="str">
        <f aca="false">IF($B234="","",IF($E234="대체",0,1))</f>
        <v/>
      </c>
    </row>
    <row r="235" customFormat="false" ht="15" hidden="false" customHeight="false" outlineLevel="0" collapsed="false">
      <c r="A235" s="36" t="str">
        <f aca="false">IF($B235="","",COUNT($B$15:$B235))</f>
        <v/>
      </c>
      <c r="B235" s="37"/>
      <c r="C235" s="38"/>
      <c r="D235" s="20"/>
      <c r="E235" s="36" t="str">
        <f aca="false">IF($D235="","",IFERROR(INDEX('교육원 ④ 설정'!$A$6:$A$40,MATCH($D235,'교육원 ④ 설정'!$B$6:$B$40,0)),"※없는 과목"))</f>
        <v/>
      </c>
      <c r="F235" s="36" t="str">
        <f aca="false">IF($D235="","",IFERROR(INDEX('교육원 ④ 설정'!$C$6:$C$40,MATCH($D235,'교육원 ④ 설정'!$B$6:$B$40,0)),""))</f>
        <v/>
      </c>
      <c r="G235" s="39"/>
      <c r="H235" s="39"/>
      <c r="I235" s="40"/>
      <c r="J235" s="41"/>
      <c r="K235" s="38"/>
      <c r="L235" s="42" t="str">
        <f aca="false">IF($B235="","",IF(AND(N($I235)=0,N($J235)=0),"금액이 없습니다",IF(AND($I235&gt;0,$J235&gt;0),"수입·지출 둘 다 적혔습니다",IF($C235="","결제수단을 고르십시오",IF(ISNA(MATCH($C235,'교육원 ③ 통장·카드'!$A$5:$A$11,0)),"③ 통장·카드에 없는 결제수단입니다",IF($D235="","계정과목을 고르십시오",IF($E235="※없는 과목","④ 설정에 없는 과목입니다",IF(AND($E235="수입",$J235&gt;0),"수입 과목인데 지출에 적혔습니다",IF(AND(LEFT($E235,2)&lt;&gt;"수입",$E235&lt;&gt;"대체",$I235&gt;0),"지출 과목인데 수입에 적혔습니다",IF($K235="","증빙을 고르십시오",IF($H235="","적요를 적으십시오","")))))))))))</f>
        <v/>
      </c>
      <c r="M235" s="39"/>
      <c r="O235" s="11" t="str">
        <f aca="false">IF($B235="","",YEAR($B235)*100+MONTH($B235))</f>
        <v/>
      </c>
      <c r="P235" s="11" t="str">
        <f aca="false">IF($B235="","",IF($E235="대체",0,1))</f>
        <v/>
      </c>
    </row>
    <row r="236" customFormat="false" ht="15" hidden="false" customHeight="false" outlineLevel="0" collapsed="false">
      <c r="A236" s="36" t="str">
        <f aca="false">IF($B236="","",COUNT($B$15:$B236))</f>
        <v/>
      </c>
      <c r="B236" s="37"/>
      <c r="C236" s="38"/>
      <c r="D236" s="20"/>
      <c r="E236" s="36" t="str">
        <f aca="false">IF($D236="","",IFERROR(INDEX('교육원 ④ 설정'!$A$6:$A$40,MATCH($D236,'교육원 ④ 설정'!$B$6:$B$40,0)),"※없는 과목"))</f>
        <v/>
      </c>
      <c r="F236" s="36" t="str">
        <f aca="false">IF($D236="","",IFERROR(INDEX('교육원 ④ 설정'!$C$6:$C$40,MATCH($D236,'교육원 ④ 설정'!$B$6:$B$40,0)),""))</f>
        <v/>
      </c>
      <c r="G236" s="39"/>
      <c r="H236" s="39"/>
      <c r="I236" s="40"/>
      <c r="J236" s="41"/>
      <c r="K236" s="38"/>
      <c r="L236" s="42" t="str">
        <f aca="false">IF($B236="","",IF(AND(N($I236)=0,N($J236)=0),"금액이 없습니다",IF(AND($I236&gt;0,$J236&gt;0),"수입·지출 둘 다 적혔습니다",IF($C236="","결제수단을 고르십시오",IF(ISNA(MATCH($C236,'교육원 ③ 통장·카드'!$A$5:$A$11,0)),"③ 통장·카드에 없는 결제수단입니다",IF($D236="","계정과목을 고르십시오",IF($E236="※없는 과목","④ 설정에 없는 과목입니다",IF(AND($E236="수입",$J236&gt;0),"수입 과목인데 지출에 적혔습니다",IF(AND(LEFT($E236,2)&lt;&gt;"수입",$E236&lt;&gt;"대체",$I236&gt;0),"지출 과목인데 수입에 적혔습니다",IF($K236="","증빙을 고르십시오",IF($H236="","적요를 적으십시오","")))))))))))</f>
        <v/>
      </c>
      <c r="M236" s="39"/>
      <c r="O236" s="11" t="str">
        <f aca="false">IF($B236="","",YEAR($B236)*100+MONTH($B236))</f>
        <v/>
      </c>
      <c r="P236" s="11" t="str">
        <f aca="false">IF($B236="","",IF($E236="대체",0,1))</f>
        <v/>
      </c>
    </row>
    <row r="237" customFormat="false" ht="15" hidden="false" customHeight="false" outlineLevel="0" collapsed="false">
      <c r="A237" s="36" t="str">
        <f aca="false">IF($B237="","",COUNT($B$15:$B237))</f>
        <v/>
      </c>
      <c r="B237" s="37"/>
      <c r="C237" s="38"/>
      <c r="D237" s="20"/>
      <c r="E237" s="36" t="str">
        <f aca="false">IF($D237="","",IFERROR(INDEX('교육원 ④ 설정'!$A$6:$A$40,MATCH($D237,'교육원 ④ 설정'!$B$6:$B$40,0)),"※없는 과목"))</f>
        <v/>
      </c>
      <c r="F237" s="36" t="str">
        <f aca="false">IF($D237="","",IFERROR(INDEX('교육원 ④ 설정'!$C$6:$C$40,MATCH($D237,'교육원 ④ 설정'!$B$6:$B$40,0)),""))</f>
        <v/>
      </c>
      <c r="G237" s="39"/>
      <c r="H237" s="39"/>
      <c r="I237" s="40"/>
      <c r="J237" s="41"/>
      <c r="K237" s="38"/>
      <c r="L237" s="42" t="str">
        <f aca="false">IF($B237="","",IF(AND(N($I237)=0,N($J237)=0),"금액이 없습니다",IF(AND($I237&gt;0,$J237&gt;0),"수입·지출 둘 다 적혔습니다",IF($C237="","결제수단을 고르십시오",IF(ISNA(MATCH($C237,'교육원 ③ 통장·카드'!$A$5:$A$11,0)),"③ 통장·카드에 없는 결제수단입니다",IF($D237="","계정과목을 고르십시오",IF($E237="※없는 과목","④ 설정에 없는 과목입니다",IF(AND($E237="수입",$J237&gt;0),"수입 과목인데 지출에 적혔습니다",IF(AND(LEFT($E237,2)&lt;&gt;"수입",$E237&lt;&gt;"대체",$I237&gt;0),"지출 과목인데 수입에 적혔습니다",IF($K237="","증빙을 고르십시오",IF($H237="","적요를 적으십시오","")))))))))))</f>
        <v/>
      </c>
      <c r="M237" s="39"/>
      <c r="O237" s="11" t="str">
        <f aca="false">IF($B237="","",YEAR($B237)*100+MONTH($B237))</f>
        <v/>
      </c>
      <c r="P237" s="11" t="str">
        <f aca="false">IF($B237="","",IF($E237="대체",0,1))</f>
        <v/>
      </c>
    </row>
    <row r="238" customFormat="false" ht="15" hidden="false" customHeight="false" outlineLevel="0" collapsed="false">
      <c r="A238" s="36" t="str">
        <f aca="false">IF($B238="","",COUNT($B$15:$B238))</f>
        <v/>
      </c>
      <c r="B238" s="37"/>
      <c r="C238" s="38"/>
      <c r="D238" s="20"/>
      <c r="E238" s="36" t="str">
        <f aca="false">IF($D238="","",IFERROR(INDEX('교육원 ④ 설정'!$A$6:$A$40,MATCH($D238,'교육원 ④ 설정'!$B$6:$B$40,0)),"※없는 과목"))</f>
        <v/>
      </c>
      <c r="F238" s="36" t="str">
        <f aca="false">IF($D238="","",IFERROR(INDEX('교육원 ④ 설정'!$C$6:$C$40,MATCH($D238,'교육원 ④ 설정'!$B$6:$B$40,0)),""))</f>
        <v/>
      </c>
      <c r="G238" s="39"/>
      <c r="H238" s="39"/>
      <c r="I238" s="40"/>
      <c r="J238" s="41"/>
      <c r="K238" s="38"/>
      <c r="L238" s="42" t="str">
        <f aca="false">IF($B238="","",IF(AND(N($I238)=0,N($J238)=0),"금액이 없습니다",IF(AND($I238&gt;0,$J238&gt;0),"수입·지출 둘 다 적혔습니다",IF($C238="","결제수단을 고르십시오",IF(ISNA(MATCH($C238,'교육원 ③ 통장·카드'!$A$5:$A$11,0)),"③ 통장·카드에 없는 결제수단입니다",IF($D238="","계정과목을 고르십시오",IF($E238="※없는 과목","④ 설정에 없는 과목입니다",IF(AND($E238="수입",$J238&gt;0),"수입 과목인데 지출에 적혔습니다",IF(AND(LEFT($E238,2)&lt;&gt;"수입",$E238&lt;&gt;"대체",$I238&gt;0),"지출 과목인데 수입에 적혔습니다",IF($K238="","증빙을 고르십시오",IF($H238="","적요를 적으십시오","")))))))))))</f>
        <v/>
      </c>
      <c r="M238" s="39"/>
      <c r="O238" s="11" t="str">
        <f aca="false">IF($B238="","",YEAR($B238)*100+MONTH($B238))</f>
        <v/>
      </c>
      <c r="P238" s="11" t="str">
        <f aca="false">IF($B238="","",IF($E238="대체",0,1))</f>
        <v/>
      </c>
    </row>
    <row r="239" customFormat="false" ht="15" hidden="false" customHeight="false" outlineLevel="0" collapsed="false">
      <c r="A239" s="36" t="str">
        <f aca="false">IF($B239="","",COUNT($B$15:$B239))</f>
        <v/>
      </c>
      <c r="B239" s="37"/>
      <c r="C239" s="38"/>
      <c r="D239" s="20"/>
      <c r="E239" s="36" t="str">
        <f aca="false">IF($D239="","",IFERROR(INDEX('교육원 ④ 설정'!$A$6:$A$40,MATCH($D239,'교육원 ④ 설정'!$B$6:$B$40,0)),"※없는 과목"))</f>
        <v/>
      </c>
      <c r="F239" s="36" t="str">
        <f aca="false">IF($D239="","",IFERROR(INDEX('교육원 ④ 설정'!$C$6:$C$40,MATCH($D239,'교육원 ④ 설정'!$B$6:$B$40,0)),""))</f>
        <v/>
      </c>
      <c r="G239" s="39"/>
      <c r="H239" s="39"/>
      <c r="I239" s="40"/>
      <c r="J239" s="41"/>
      <c r="K239" s="38"/>
      <c r="L239" s="42" t="str">
        <f aca="false">IF($B239="","",IF(AND(N($I239)=0,N($J239)=0),"금액이 없습니다",IF(AND($I239&gt;0,$J239&gt;0),"수입·지출 둘 다 적혔습니다",IF($C239="","결제수단을 고르십시오",IF(ISNA(MATCH($C239,'교육원 ③ 통장·카드'!$A$5:$A$11,0)),"③ 통장·카드에 없는 결제수단입니다",IF($D239="","계정과목을 고르십시오",IF($E239="※없는 과목","④ 설정에 없는 과목입니다",IF(AND($E239="수입",$J239&gt;0),"수입 과목인데 지출에 적혔습니다",IF(AND(LEFT($E239,2)&lt;&gt;"수입",$E239&lt;&gt;"대체",$I239&gt;0),"지출 과목인데 수입에 적혔습니다",IF($K239="","증빙을 고르십시오",IF($H239="","적요를 적으십시오","")))))))))))</f>
        <v/>
      </c>
      <c r="M239" s="39"/>
      <c r="O239" s="11" t="str">
        <f aca="false">IF($B239="","",YEAR($B239)*100+MONTH($B239))</f>
        <v/>
      </c>
      <c r="P239" s="11" t="str">
        <f aca="false">IF($B239="","",IF($E239="대체",0,1))</f>
        <v/>
      </c>
    </row>
    <row r="240" customFormat="false" ht="15" hidden="false" customHeight="false" outlineLevel="0" collapsed="false">
      <c r="A240" s="36" t="str">
        <f aca="false">IF($B240="","",COUNT($B$15:$B240))</f>
        <v/>
      </c>
      <c r="B240" s="37"/>
      <c r="C240" s="38"/>
      <c r="D240" s="20"/>
      <c r="E240" s="36" t="str">
        <f aca="false">IF($D240="","",IFERROR(INDEX('교육원 ④ 설정'!$A$6:$A$40,MATCH($D240,'교육원 ④ 설정'!$B$6:$B$40,0)),"※없는 과목"))</f>
        <v/>
      </c>
      <c r="F240" s="36" t="str">
        <f aca="false">IF($D240="","",IFERROR(INDEX('교육원 ④ 설정'!$C$6:$C$40,MATCH($D240,'교육원 ④ 설정'!$B$6:$B$40,0)),""))</f>
        <v/>
      </c>
      <c r="G240" s="39"/>
      <c r="H240" s="39"/>
      <c r="I240" s="40"/>
      <c r="J240" s="41"/>
      <c r="K240" s="38"/>
      <c r="L240" s="42" t="str">
        <f aca="false">IF($B240="","",IF(AND(N($I240)=0,N($J240)=0),"금액이 없습니다",IF(AND($I240&gt;0,$J240&gt;0),"수입·지출 둘 다 적혔습니다",IF($C240="","결제수단을 고르십시오",IF(ISNA(MATCH($C240,'교육원 ③ 통장·카드'!$A$5:$A$11,0)),"③ 통장·카드에 없는 결제수단입니다",IF($D240="","계정과목을 고르십시오",IF($E240="※없는 과목","④ 설정에 없는 과목입니다",IF(AND($E240="수입",$J240&gt;0),"수입 과목인데 지출에 적혔습니다",IF(AND(LEFT($E240,2)&lt;&gt;"수입",$E240&lt;&gt;"대체",$I240&gt;0),"지출 과목인데 수입에 적혔습니다",IF($K240="","증빙을 고르십시오",IF($H240="","적요를 적으십시오","")))))))))))</f>
        <v/>
      </c>
      <c r="M240" s="39"/>
      <c r="O240" s="11" t="str">
        <f aca="false">IF($B240="","",YEAR($B240)*100+MONTH($B240))</f>
        <v/>
      </c>
      <c r="P240" s="11" t="str">
        <f aca="false">IF($B240="","",IF($E240="대체",0,1))</f>
        <v/>
      </c>
    </row>
    <row r="241" customFormat="false" ht="15" hidden="false" customHeight="false" outlineLevel="0" collapsed="false">
      <c r="A241" s="36" t="str">
        <f aca="false">IF($B241="","",COUNT($B$15:$B241))</f>
        <v/>
      </c>
      <c r="B241" s="37"/>
      <c r="C241" s="38"/>
      <c r="D241" s="20"/>
      <c r="E241" s="36" t="str">
        <f aca="false">IF($D241="","",IFERROR(INDEX('교육원 ④ 설정'!$A$6:$A$40,MATCH($D241,'교육원 ④ 설정'!$B$6:$B$40,0)),"※없는 과목"))</f>
        <v/>
      </c>
      <c r="F241" s="36" t="str">
        <f aca="false">IF($D241="","",IFERROR(INDEX('교육원 ④ 설정'!$C$6:$C$40,MATCH($D241,'교육원 ④ 설정'!$B$6:$B$40,0)),""))</f>
        <v/>
      </c>
      <c r="G241" s="39"/>
      <c r="H241" s="39"/>
      <c r="I241" s="40"/>
      <c r="J241" s="41"/>
      <c r="K241" s="38"/>
      <c r="L241" s="42" t="str">
        <f aca="false">IF($B241="","",IF(AND(N($I241)=0,N($J241)=0),"금액이 없습니다",IF(AND($I241&gt;0,$J241&gt;0),"수입·지출 둘 다 적혔습니다",IF($C241="","결제수단을 고르십시오",IF(ISNA(MATCH($C241,'교육원 ③ 통장·카드'!$A$5:$A$11,0)),"③ 통장·카드에 없는 결제수단입니다",IF($D241="","계정과목을 고르십시오",IF($E241="※없는 과목","④ 설정에 없는 과목입니다",IF(AND($E241="수입",$J241&gt;0),"수입 과목인데 지출에 적혔습니다",IF(AND(LEFT($E241,2)&lt;&gt;"수입",$E241&lt;&gt;"대체",$I241&gt;0),"지출 과목인데 수입에 적혔습니다",IF($K241="","증빙을 고르십시오",IF($H241="","적요를 적으십시오","")))))))))))</f>
        <v/>
      </c>
      <c r="M241" s="39"/>
      <c r="O241" s="11" t="str">
        <f aca="false">IF($B241="","",YEAR($B241)*100+MONTH($B241))</f>
        <v/>
      </c>
      <c r="P241" s="11" t="str">
        <f aca="false">IF($B241="","",IF($E241="대체",0,1))</f>
        <v/>
      </c>
    </row>
    <row r="242" customFormat="false" ht="15" hidden="false" customHeight="false" outlineLevel="0" collapsed="false">
      <c r="A242" s="36" t="str">
        <f aca="false">IF($B242="","",COUNT($B$15:$B242))</f>
        <v/>
      </c>
      <c r="B242" s="37"/>
      <c r="C242" s="38"/>
      <c r="D242" s="20"/>
      <c r="E242" s="36" t="str">
        <f aca="false">IF($D242="","",IFERROR(INDEX('교육원 ④ 설정'!$A$6:$A$40,MATCH($D242,'교육원 ④ 설정'!$B$6:$B$40,0)),"※없는 과목"))</f>
        <v/>
      </c>
      <c r="F242" s="36" t="str">
        <f aca="false">IF($D242="","",IFERROR(INDEX('교육원 ④ 설정'!$C$6:$C$40,MATCH($D242,'교육원 ④ 설정'!$B$6:$B$40,0)),""))</f>
        <v/>
      </c>
      <c r="G242" s="39"/>
      <c r="H242" s="39"/>
      <c r="I242" s="40"/>
      <c r="J242" s="41"/>
      <c r="K242" s="38"/>
      <c r="L242" s="42" t="str">
        <f aca="false">IF($B242="","",IF(AND(N($I242)=0,N($J242)=0),"금액이 없습니다",IF(AND($I242&gt;0,$J242&gt;0),"수입·지출 둘 다 적혔습니다",IF($C242="","결제수단을 고르십시오",IF(ISNA(MATCH($C242,'교육원 ③ 통장·카드'!$A$5:$A$11,0)),"③ 통장·카드에 없는 결제수단입니다",IF($D242="","계정과목을 고르십시오",IF($E242="※없는 과목","④ 설정에 없는 과목입니다",IF(AND($E242="수입",$J242&gt;0),"수입 과목인데 지출에 적혔습니다",IF(AND(LEFT($E242,2)&lt;&gt;"수입",$E242&lt;&gt;"대체",$I242&gt;0),"지출 과목인데 수입에 적혔습니다",IF($K242="","증빙을 고르십시오",IF($H242="","적요를 적으십시오","")))))))))))</f>
        <v/>
      </c>
      <c r="M242" s="39"/>
      <c r="O242" s="11" t="str">
        <f aca="false">IF($B242="","",YEAR($B242)*100+MONTH($B242))</f>
        <v/>
      </c>
      <c r="P242" s="11" t="str">
        <f aca="false">IF($B242="","",IF($E242="대체",0,1))</f>
        <v/>
      </c>
    </row>
    <row r="243" customFormat="false" ht="15" hidden="false" customHeight="false" outlineLevel="0" collapsed="false">
      <c r="A243" s="36" t="str">
        <f aca="false">IF($B243="","",COUNT($B$15:$B243))</f>
        <v/>
      </c>
      <c r="B243" s="37"/>
      <c r="C243" s="38"/>
      <c r="D243" s="20"/>
      <c r="E243" s="36" t="str">
        <f aca="false">IF($D243="","",IFERROR(INDEX('교육원 ④ 설정'!$A$6:$A$40,MATCH($D243,'교육원 ④ 설정'!$B$6:$B$40,0)),"※없는 과목"))</f>
        <v/>
      </c>
      <c r="F243" s="36" t="str">
        <f aca="false">IF($D243="","",IFERROR(INDEX('교육원 ④ 설정'!$C$6:$C$40,MATCH($D243,'교육원 ④ 설정'!$B$6:$B$40,0)),""))</f>
        <v/>
      </c>
      <c r="G243" s="39"/>
      <c r="H243" s="39"/>
      <c r="I243" s="40"/>
      <c r="J243" s="41"/>
      <c r="K243" s="38"/>
      <c r="L243" s="42" t="str">
        <f aca="false">IF($B243="","",IF(AND(N($I243)=0,N($J243)=0),"금액이 없습니다",IF(AND($I243&gt;0,$J243&gt;0),"수입·지출 둘 다 적혔습니다",IF($C243="","결제수단을 고르십시오",IF(ISNA(MATCH($C243,'교육원 ③ 통장·카드'!$A$5:$A$11,0)),"③ 통장·카드에 없는 결제수단입니다",IF($D243="","계정과목을 고르십시오",IF($E243="※없는 과목","④ 설정에 없는 과목입니다",IF(AND($E243="수입",$J243&gt;0),"수입 과목인데 지출에 적혔습니다",IF(AND(LEFT($E243,2)&lt;&gt;"수입",$E243&lt;&gt;"대체",$I243&gt;0),"지출 과목인데 수입에 적혔습니다",IF($K243="","증빙을 고르십시오",IF($H243="","적요를 적으십시오","")))))))))))</f>
        <v/>
      </c>
      <c r="M243" s="39"/>
      <c r="O243" s="11" t="str">
        <f aca="false">IF($B243="","",YEAR($B243)*100+MONTH($B243))</f>
        <v/>
      </c>
      <c r="P243" s="11" t="str">
        <f aca="false">IF($B243="","",IF($E243="대체",0,1))</f>
        <v/>
      </c>
    </row>
    <row r="244" customFormat="false" ht="15" hidden="false" customHeight="false" outlineLevel="0" collapsed="false">
      <c r="A244" s="36" t="str">
        <f aca="false">IF($B244="","",COUNT($B$15:$B244))</f>
        <v/>
      </c>
      <c r="B244" s="37"/>
      <c r="C244" s="38"/>
      <c r="D244" s="20"/>
      <c r="E244" s="36" t="str">
        <f aca="false">IF($D244="","",IFERROR(INDEX('교육원 ④ 설정'!$A$6:$A$40,MATCH($D244,'교육원 ④ 설정'!$B$6:$B$40,0)),"※없는 과목"))</f>
        <v/>
      </c>
      <c r="F244" s="36" t="str">
        <f aca="false">IF($D244="","",IFERROR(INDEX('교육원 ④ 설정'!$C$6:$C$40,MATCH($D244,'교육원 ④ 설정'!$B$6:$B$40,0)),""))</f>
        <v/>
      </c>
      <c r="G244" s="39"/>
      <c r="H244" s="39"/>
      <c r="I244" s="40"/>
      <c r="J244" s="41"/>
      <c r="K244" s="38"/>
      <c r="L244" s="42" t="str">
        <f aca="false">IF($B244="","",IF(AND(N($I244)=0,N($J244)=0),"금액이 없습니다",IF(AND($I244&gt;0,$J244&gt;0),"수입·지출 둘 다 적혔습니다",IF($C244="","결제수단을 고르십시오",IF(ISNA(MATCH($C244,'교육원 ③ 통장·카드'!$A$5:$A$11,0)),"③ 통장·카드에 없는 결제수단입니다",IF($D244="","계정과목을 고르십시오",IF($E244="※없는 과목","④ 설정에 없는 과목입니다",IF(AND($E244="수입",$J244&gt;0),"수입 과목인데 지출에 적혔습니다",IF(AND(LEFT($E244,2)&lt;&gt;"수입",$E244&lt;&gt;"대체",$I244&gt;0),"지출 과목인데 수입에 적혔습니다",IF($K244="","증빙을 고르십시오",IF($H244="","적요를 적으십시오","")))))))))))</f>
        <v/>
      </c>
      <c r="M244" s="39"/>
      <c r="O244" s="11" t="str">
        <f aca="false">IF($B244="","",YEAR($B244)*100+MONTH($B244))</f>
        <v/>
      </c>
      <c r="P244" s="11" t="str">
        <f aca="false">IF($B244="","",IF($E244="대체",0,1))</f>
        <v/>
      </c>
    </row>
    <row r="245" customFormat="false" ht="15" hidden="false" customHeight="false" outlineLevel="0" collapsed="false">
      <c r="A245" s="36" t="str">
        <f aca="false">IF($B245="","",COUNT($B$15:$B245))</f>
        <v/>
      </c>
      <c r="B245" s="37"/>
      <c r="C245" s="38"/>
      <c r="D245" s="20"/>
      <c r="E245" s="36" t="str">
        <f aca="false">IF($D245="","",IFERROR(INDEX('교육원 ④ 설정'!$A$6:$A$40,MATCH($D245,'교육원 ④ 설정'!$B$6:$B$40,0)),"※없는 과목"))</f>
        <v/>
      </c>
      <c r="F245" s="36" t="str">
        <f aca="false">IF($D245="","",IFERROR(INDEX('교육원 ④ 설정'!$C$6:$C$40,MATCH($D245,'교육원 ④ 설정'!$B$6:$B$40,0)),""))</f>
        <v/>
      </c>
      <c r="G245" s="39"/>
      <c r="H245" s="39"/>
      <c r="I245" s="40"/>
      <c r="J245" s="41"/>
      <c r="K245" s="38"/>
      <c r="L245" s="42" t="str">
        <f aca="false">IF($B245="","",IF(AND(N($I245)=0,N($J245)=0),"금액이 없습니다",IF(AND($I245&gt;0,$J245&gt;0),"수입·지출 둘 다 적혔습니다",IF($C245="","결제수단을 고르십시오",IF(ISNA(MATCH($C245,'교육원 ③ 통장·카드'!$A$5:$A$11,0)),"③ 통장·카드에 없는 결제수단입니다",IF($D245="","계정과목을 고르십시오",IF($E245="※없는 과목","④ 설정에 없는 과목입니다",IF(AND($E245="수입",$J245&gt;0),"수입 과목인데 지출에 적혔습니다",IF(AND(LEFT($E245,2)&lt;&gt;"수입",$E245&lt;&gt;"대체",$I245&gt;0),"지출 과목인데 수입에 적혔습니다",IF($K245="","증빙을 고르십시오",IF($H245="","적요를 적으십시오","")))))))))))</f>
        <v/>
      </c>
      <c r="M245" s="39"/>
      <c r="O245" s="11" t="str">
        <f aca="false">IF($B245="","",YEAR($B245)*100+MONTH($B245))</f>
        <v/>
      </c>
      <c r="P245" s="11" t="str">
        <f aca="false">IF($B245="","",IF($E245="대체",0,1))</f>
        <v/>
      </c>
    </row>
    <row r="246" customFormat="false" ht="15" hidden="false" customHeight="false" outlineLevel="0" collapsed="false">
      <c r="A246" s="36" t="str">
        <f aca="false">IF($B246="","",COUNT($B$15:$B246))</f>
        <v/>
      </c>
      <c r="B246" s="37"/>
      <c r="C246" s="38"/>
      <c r="D246" s="20"/>
      <c r="E246" s="36" t="str">
        <f aca="false">IF($D246="","",IFERROR(INDEX('교육원 ④ 설정'!$A$6:$A$40,MATCH($D246,'교육원 ④ 설정'!$B$6:$B$40,0)),"※없는 과목"))</f>
        <v/>
      </c>
      <c r="F246" s="36" t="str">
        <f aca="false">IF($D246="","",IFERROR(INDEX('교육원 ④ 설정'!$C$6:$C$40,MATCH($D246,'교육원 ④ 설정'!$B$6:$B$40,0)),""))</f>
        <v/>
      </c>
      <c r="G246" s="39"/>
      <c r="H246" s="39"/>
      <c r="I246" s="40"/>
      <c r="J246" s="41"/>
      <c r="K246" s="38"/>
      <c r="L246" s="42" t="str">
        <f aca="false">IF($B246="","",IF(AND(N($I246)=0,N($J246)=0),"금액이 없습니다",IF(AND($I246&gt;0,$J246&gt;0),"수입·지출 둘 다 적혔습니다",IF($C246="","결제수단을 고르십시오",IF(ISNA(MATCH($C246,'교육원 ③ 통장·카드'!$A$5:$A$11,0)),"③ 통장·카드에 없는 결제수단입니다",IF($D246="","계정과목을 고르십시오",IF($E246="※없는 과목","④ 설정에 없는 과목입니다",IF(AND($E246="수입",$J246&gt;0),"수입 과목인데 지출에 적혔습니다",IF(AND(LEFT($E246,2)&lt;&gt;"수입",$E246&lt;&gt;"대체",$I246&gt;0),"지출 과목인데 수입에 적혔습니다",IF($K246="","증빙을 고르십시오",IF($H246="","적요를 적으십시오","")))))))))))</f>
        <v/>
      </c>
      <c r="M246" s="39"/>
      <c r="O246" s="11" t="str">
        <f aca="false">IF($B246="","",YEAR($B246)*100+MONTH($B246))</f>
        <v/>
      </c>
      <c r="P246" s="11" t="str">
        <f aca="false">IF($B246="","",IF($E246="대체",0,1))</f>
        <v/>
      </c>
    </row>
    <row r="247" customFormat="false" ht="15" hidden="false" customHeight="false" outlineLevel="0" collapsed="false">
      <c r="A247" s="36" t="str">
        <f aca="false">IF($B247="","",COUNT($B$15:$B247))</f>
        <v/>
      </c>
      <c r="B247" s="37"/>
      <c r="C247" s="38"/>
      <c r="D247" s="20"/>
      <c r="E247" s="36" t="str">
        <f aca="false">IF($D247="","",IFERROR(INDEX('교육원 ④ 설정'!$A$6:$A$40,MATCH($D247,'교육원 ④ 설정'!$B$6:$B$40,0)),"※없는 과목"))</f>
        <v/>
      </c>
      <c r="F247" s="36" t="str">
        <f aca="false">IF($D247="","",IFERROR(INDEX('교육원 ④ 설정'!$C$6:$C$40,MATCH($D247,'교육원 ④ 설정'!$B$6:$B$40,0)),""))</f>
        <v/>
      </c>
      <c r="G247" s="39"/>
      <c r="H247" s="39"/>
      <c r="I247" s="40"/>
      <c r="J247" s="41"/>
      <c r="K247" s="38"/>
      <c r="L247" s="42" t="str">
        <f aca="false">IF($B247="","",IF(AND(N($I247)=0,N($J247)=0),"금액이 없습니다",IF(AND($I247&gt;0,$J247&gt;0),"수입·지출 둘 다 적혔습니다",IF($C247="","결제수단을 고르십시오",IF(ISNA(MATCH($C247,'교육원 ③ 통장·카드'!$A$5:$A$11,0)),"③ 통장·카드에 없는 결제수단입니다",IF($D247="","계정과목을 고르십시오",IF($E247="※없는 과목","④ 설정에 없는 과목입니다",IF(AND($E247="수입",$J247&gt;0),"수입 과목인데 지출에 적혔습니다",IF(AND(LEFT($E247,2)&lt;&gt;"수입",$E247&lt;&gt;"대체",$I247&gt;0),"지출 과목인데 수입에 적혔습니다",IF($K247="","증빙을 고르십시오",IF($H247="","적요를 적으십시오","")))))))))))</f>
        <v/>
      </c>
      <c r="M247" s="39"/>
      <c r="O247" s="11" t="str">
        <f aca="false">IF($B247="","",YEAR($B247)*100+MONTH($B247))</f>
        <v/>
      </c>
      <c r="P247" s="11" t="str">
        <f aca="false">IF($B247="","",IF($E247="대체",0,1))</f>
        <v/>
      </c>
    </row>
    <row r="248" customFormat="false" ht="15" hidden="false" customHeight="false" outlineLevel="0" collapsed="false">
      <c r="A248" s="36" t="str">
        <f aca="false">IF($B248="","",COUNT($B$15:$B248))</f>
        <v/>
      </c>
      <c r="B248" s="37"/>
      <c r="C248" s="38"/>
      <c r="D248" s="20"/>
      <c r="E248" s="36" t="str">
        <f aca="false">IF($D248="","",IFERROR(INDEX('교육원 ④ 설정'!$A$6:$A$40,MATCH($D248,'교육원 ④ 설정'!$B$6:$B$40,0)),"※없는 과목"))</f>
        <v/>
      </c>
      <c r="F248" s="36" t="str">
        <f aca="false">IF($D248="","",IFERROR(INDEX('교육원 ④ 설정'!$C$6:$C$40,MATCH($D248,'교육원 ④ 설정'!$B$6:$B$40,0)),""))</f>
        <v/>
      </c>
      <c r="G248" s="39"/>
      <c r="H248" s="39"/>
      <c r="I248" s="40"/>
      <c r="J248" s="41"/>
      <c r="K248" s="38"/>
      <c r="L248" s="42" t="str">
        <f aca="false">IF($B248="","",IF(AND(N($I248)=0,N($J248)=0),"금액이 없습니다",IF(AND($I248&gt;0,$J248&gt;0),"수입·지출 둘 다 적혔습니다",IF($C248="","결제수단을 고르십시오",IF(ISNA(MATCH($C248,'교육원 ③ 통장·카드'!$A$5:$A$11,0)),"③ 통장·카드에 없는 결제수단입니다",IF($D248="","계정과목을 고르십시오",IF($E248="※없는 과목","④ 설정에 없는 과목입니다",IF(AND($E248="수입",$J248&gt;0),"수입 과목인데 지출에 적혔습니다",IF(AND(LEFT($E248,2)&lt;&gt;"수입",$E248&lt;&gt;"대체",$I248&gt;0),"지출 과목인데 수입에 적혔습니다",IF($K248="","증빙을 고르십시오",IF($H248="","적요를 적으십시오","")))))))))))</f>
        <v/>
      </c>
      <c r="M248" s="39"/>
      <c r="O248" s="11" t="str">
        <f aca="false">IF($B248="","",YEAR($B248)*100+MONTH($B248))</f>
        <v/>
      </c>
      <c r="P248" s="11" t="str">
        <f aca="false">IF($B248="","",IF($E248="대체",0,1))</f>
        <v/>
      </c>
    </row>
    <row r="249" customFormat="false" ht="15" hidden="false" customHeight="false" outlineLevel="0" collapsed="false">
      <c r="A249" s="36" t="str">
        <f aca="false">IF($B249="","",COUNT($B$15:$B249))</f>
        <v/>
      </c>
      <c r="B249" s="37"/>
      <c r="C249" s="38"/>
      <c r="D249" s="20"/>
      <c r="E249" s="36" t="str">
        <f aca="false">IF($D249="","",IFERROR(INDEX('교육원 ④ 설정'!$A$6:$A$40,MATCH($D249,'교육원 ④ 설정'!$B$6:$B$40,0)),"※없는 과목"))</f>
        <v/>
      </c>
      <c r="F249" s="36" t="str">
        <f aca="false">IF($D249="","",IFERROR(INDEX('교육원 ④ 설정'!$C$6:$C$40,MATCH($D249,'교육원 ④ 설정'!$B$6:$B$40,0)),""))</f>
        <v/>
      </c>
      <c r="G249" s="39"/>
      <c r="H249" s="39"/>
      <c r="I249" s="40"/>
      <c r="J249" s="41"/>
      <c r="K249" s="38"/>
      <c r="L249" s="42" t="str">
        <f aca="false">IF($B249="","",IF(AND(N($I249)=0,N($J249)=0),"금액이 없습니다",IF(AND($I249&gt;0,$J249&gt;0),"수입·지출 둘 다 적혔습니다",IF($C249="","결제수단을 고르십시오",IF(ISNA(MATCH($C249,'교육원 ③ 통장·카드'!$A$5:$A$11,0)),"③ 통장·카드에 없는 결제수단입니다",IF($D249="","계정과목을 고르십시오",IF($E249="※없는 과목","④ 설정에 없는 과목입니다",IF(AND($E249="수입",$J249&gt;0),"수입 과목인데 지출에 적혔습니다",IF(AND(LEFT($E249,2)&lt;&gt;"수입",$E249&lt;&gt;"대체",$I249&gt;0),"지출 과목인데 수입에 적혔습니다",IF($K249="","증빙을 고르십시오",IF($H249="","적요를 적으십시오","")))))))))))</f>
        <v/>
      </c>
      <c r="M249" s="39"/>
      <c r="O249" s="11" t="str">
        <f aca="false">IF($B249="","",YEAR($B249)*100+MONTH($B249))</f>
        <v/>
      </c>
      <c r="P249" s="11" t="str">
        <f aca="false">IF($B249="","",IF($E249="대체",0,1))</f>
        <v/>
      </c>
    </row>
    <row r="250" customFormat="false" ht="15" hidden="false" customHeight="false" outlineLevel="0" collapsed="false">
      <c r="A250" s="36" t="str">
        <f aca="false">IF($B250="","",COUNT($B$15:$B250))</f>
        <v/>
      </c>
      <c r="B250" s="37"/>
      <c r="C250" s="38"/>
      <c r="D250" s="20"/>
      <c r="E250" s="36" t="str">
        <f aca="false">IF($D250="","",IFERROR(INDEX('교육원 ④ 설정'!$A$6:$A$40,MATCH($D250,'교육원 ④ 설정'!$B$6:$B$40,0)),"※없는 과목"))</f>
        <v/>
      </c>
      <c r="F250" s="36" t="str">
        <f aca="false">IF($D250="","",IFERROR(INDEX('교육원 ④ 설정'!$C$6:$C$40,MATCH($D250,'교육원 ④ 설정'!$B$6:$B$40,0)),""))</f>
        <v/>
      </c>
      <c r="G250" s="39"/>
      <c r="H250" s="39"/>
      <c r="I250" s="40"/>
      <c r="J250" s="41"/>
      <c r="K250" s="38"/>
      <c r="L250" s="42" t="str">
        <f aca="false">IF($B250="","",IF(AND(N($I250)=0,N($J250)=0),"금액이 없습니다",IF(AND($I250&gt;0,$J250&gt;0),"수입·지출 둘 다 적혔습니다",IF($C250="","결제수단을 고르십시오",IF(ISNA(MATCH($C250,'교육원 ③ 통장·카드'!$A$5:$A$11,0)),"③ 통장·카드에 없는 결제수단입니다",IF($D250="","계정과목을 고르십시오",IF($E250="※없는 과목","④ 설정에 없는 과목입니다",IF(AND($E250="수입",$J250&gt;0),"수입 과목인데 지출에 적혔습니다",IF(AND(LEFT($E250,2)&lt;&gt;"수입",$E250&lt;&gt;"대체",$I250&gt;0),"지출 과목인데 수입에 적혔습니다",IF($K250="","증빙을 고르십시오",IF($H250="","적요를 적으십시오","")))))))))))</f>
        <v/>
      </c>
      <c r="M250" s="39"/>
      <c r="O250" s="11" t="str">
        <f aca="false">IF($B250="","",YEAR($B250)*100+MONTH($B250))</f>
        <v/>
      </c>
      <c r="P250" s="11" t="str">
        <f aca="false">IF($B250="","",IF($E250="대체",0,1))</f>
        <v/>
      </c>
    </row>
    <row r="251" customFormat="false" ht="15" hidden="false" customHeight="false" outlineLevel="0" collapsed="false">
      <c r="A251" s="36" t="str">
        <f aca="false">IF($B251="","",COUNT($B$15:$B251))</f>
        <v/>
      </c>
      <c r="B251" s="37"/>
      <c r="C251" s="38"/>
      <c r="D251" s="20"/>
      <c r="E251" s="36" t="str">
        <f aca="false">IF($D251="","",IFERROR(INDEX('교육원 ④ 설정'!$A$6:$A$40,MATCH($D251,'교육원 ④ 설정'!$B$6:$B$40,0)),"※없는 과목"))</f>
        <v/>
      </c>
      <c r="F251" s="36" t="str">
        <f aca="false">IF($D251="","",IFERROR(INDEX('교육원 ④ 설정'!$C$6:$C$40,MATCH($D251,'교육원 ④ 설정'!$B$6:$B$40,0)),""))</f>
        <v/>
      </c>
      <c r="G251" s="39"/>
      <c r="H251" s="39"/>
      <c r="I251" s="40"/>
      <c r="J251" s="41"/>
      <c r="K251" s="38"/>
      <c r="L251" s="42" t="str">
        <f aca="false">IF($B251="","",IF(AND(N($I251)=0,N($J251)=0),"금액이 없습니다",IF(AND($I251&gt;0,$J251&gt;0),"수입·지출 둘 다 적혔습니다",IF($C251="","결제수단을 고르십시오",IF(ISNA(MATCH($C251,'교육원 ③ 통장·카드'!$A$5:$A$11,0)),"③ 통장·카드에 없는 결제수단입니다",IF($D251="","계정과목을 고르십시오",IF($E251="※없는 과목","④ 설정에 없는 과목입니다",IF(AND($E251="수입",$J251&gt;0),"수입 과목인데 지출에 적혔습니다",IF(AND(LEFT($E251,2)&lt;&gt;"수입",$E251&lt;&gt;"대체",$I251&gt;0),"지출 과목인데 수입에 적혔습니다",IF($K251="","증빙을 고르십시오",IF($H251="","적요를 적으십시오","")))))))))))</f>
        <v/>
      </c>
      <c r="M251" s="39"/>
      <c r="O251" s="11" t="str">
        <f aca="false">IF($B251="","",YEAR($B251)*100+MONTH($B251))</f>
        <v/>
      </c>
      <c r="P251" s="11" t="str">
        <f aca="false">IF($B251="","",IF($E251="대체",0,1))</f>
        <v/>
      </c>
    </row>
    <row r="252" customFormat="false" ht="15" hidden="false" customHeight="false" outlineLevel="0" collapsed="false">
      <c r="A252" s="36" t="str">
        <f aca="false">IF($B252="","",COUNT($B$15:$B252))</f>
        <v/>
      </c>
      <c r="B252" s="37"/>
      <c r="C252" s="38"/>
      <c r="D252" s="20"/>
      <c r="E252" s="36" t="str">
        <f aca="false">IF($D252="","",IFERROR(INDEX('교육원 ④ 설정'!$A$6:$A$40,MATCH($D252,'교육원 ④ 설정'!$B$6:$B$40,0)),"※없는 과목"))</f>
        <v/>
      </c>
      <c r="F252" s="36" t="str">
        <f aca="false">IF($D252="","",IFERROR(INDEX('교육원 ④ 설정'!$C$6:$C$40,MATCH($D252,'교육원 ④ 설정'!$B$6:$B$40,0)),""))</f>
        <v/>
      </c>
      <c r="G252" s="39"/>
      <c r="H252" s="39"/>
      <c r="I252" s="40"/>
      <c r="J252" s="41"/>
      <c r="K252" s="38"/>
      <c r="L252" s="42" t="str">
        <f aca="false">IF($B252="","",IF(AND(N($I252)=0,N($J252)=0),"금액이 없습니다",IF(AND($I252&gt;0,$J252&gt;0),"수입·지출 둘 다 적혔습니다",IF($C252="","결제수단을 고르십시오",IF(ISNA(MATCH($C252,'교육원 ③ 통장·카드'!$A$5:$A$11,0)),"③ 통장·카드에 없는 결제수단입니다",IF($D252="","계정과목을 고르십시오",IF($E252="※없는 과목","④ 설정에 없는 과목입니다",IF(AND($E252="수입",$J252&gt;0),"수입 과목인데 지출에 적혔습니다",IF(AND(LEFT($E252,2)&lt;&gt;"수입",$E252&lt;&gt;"대체",$I252&gt;0),"지출 과목인데 수입에 적혔습니다",IF($K252="","증빙을 고르십시오",IF($H252="","적요를 적으십시오","")))))))))))</f>
        <v/>
      </c>
      <c r="M252" s="39"/>
      <c r="O252" s="11" t="str">
        <f aca="false">IF($B252="","",YEAR($B252)*100+MONTH($B252))</f>
        <v/>
      </c>
      <c r="P252" s="11" t="str">
        <f aca="false">IF($B252="","",IF($E252="대체",0,1))</f>
        <v/>
      </c>
    </row>
    <row r="253" customFormat="false" ht="15" hidden="false" customHeight="false" outlineLevel="0" collapsed="false">
      <c r="A253" s="36" t="str">
        <f aca="false">IF($B253="","",COUNT($B$15:$B253))</f>
        <v/>
      </c>
      <c r="B253" s="37"/>
      <c r="C253" s="38"/>
      <c r="D253" s="20"/>
      <c r="E253" s="36" t="str">
        <f aca="false">IF($D253="","",IFERROR(INDEX('교육원 ④ 설정'!$A$6:$A$40,MATCH($D253,'교육원 ④ 설정'!$B$6:$B$40,0)),"※없는 과목"))</f>
        <v/>
      </c>
      <c r="F253" s="36" t="str">
        <f aca="false">IF($D253="","",IFERROR(INDEX('교육원 ④ 설정'!$C$6:$C$40,MATCH($D253,'교육원 ④ 설정'!$B$6:$B$40,0)),""))</f>
        <v/>
      </c>
      <c r="G253" s="39"/>
      <c r="H253" s="39"/>
      <c r="I253" s="40"/>
      <c r="J253" s="41"/>
      <c r="K253" s="38"/>
      <c r="L253" s="42" t="str">
        <f aca="false">IF($B253="","",IF(AND(N($I253)=0,N($J253)=0),"금액이 없습니다",IF(AND($I253&gt;0,$J253&gt;0),"수입·지출 둘 다 적혔습니다",IF($C253="","결제수단을 고르십시오",IF(ISNA(MATCH($C253,'교육원 ③ 통장·카드'!$A$5:$A$11,0)),"③ 통장·카드에 없는 결제수단입니다",IF($D253="","계정과목을 고르십시오",IF($E253="※없는 과목","④ 설정에 없는 과목입니다",IF(AND($E253="수입",$J253&gt;0),"수입 과목인데 지출에 적혔습니다",IF(AND(LEFT($E253,2)&lt;&gt;"수입",$E253&lt;&gt;"대체",$I253&gt;0),"지출 과목인데 수입에 적혔습니다",IF($K253="","증빙을 고르십시오",IF($H253="","적요를 적으십시오","")))))))))))</f>
        <v/>
      </c>
      <c r="M253" s="39"/>
      <c r="O253" s="11" t="str">
        <f aca="false">IF($B253="","",YEAR($B253)*100+MONTH($B253))</f>
        <v/>
      </c>
      <c r="P253" s="11" t="str">
        <f aca="false">IF($B253="","",IF($E253="대체",0,1))</f>
        <v/>
      </c>
    </row>
    <row r="254" customFormat="false" ht="15" hidden="false" customHeight="false" outlineLevel="0" collapsed="false">
      <c r="A254" s="36" t="str">
        <f aca="false">IF($B254="","",COUNT($B$15:$B254))</f>
        <v/>
      </c>
      <c r="B254" s="37"/>
      <c r="C254" s="38"/>
      <c r="D254" s="20"/>
      <c r="E254" s="36" t="str">
        <f aca="false">IF($D254="","",IFERROR(INDEX('교육원 ④ 설정'!$A$6:$A$40,MATCH($D254,'교육원 ④ 설정'!$B$6:$B$40,0)),"※없는 과목"))</f>
        <v/>
      </c>
      <c r="F254" s="36" t="str">
        <f aca="false">IF($D254="","",IFERROR(INDEX('교육원 ④ 설정'!$C$6:$C$40,MATCH($D254,'교육원 ④ 설정'!$B$6:$B$40,0)),""))</f>
        <v/>
      </c>
      <c r="G254" s="39"/>
      <c r="H254" s="39"/>
      <c r="I254" s="40"/>
      <c r="J254" s="41"/>
      <c r="K254" s="38"/>
      <c r="L254" s="42" t="str">
        <f aca="false">IF($B254="","",IF(AND(N($I254)=0,N($J254)=0),"금액이 없습니다",IF(AND($I254&gt;0,$J254&gt;0),"수입·지출 둘 다 적혔습니다",IF($C254="","결제수단을 고르십시오",IF(ISNA(MATCH($C254,'교육원 ③ 통장·카드'!$A$5:$A$11,0)),"③ 통장·카드에 없는 결제수단입니다",IF($D254="","계정과목을 고르십시오",IF($E254="※없는 과목","④ 설정에 없는 과목입니다",IF(AND($E254="수입",$J254&gt;0),"수입 과목인데 지출에 적혔습니다",IF(AND(LEFT($E254,2)&lt;&gt;"수입",$E254&lt;&gt;"대체",$I254&gt;0),"지출 과목인데 수입에 적혔습니다",IF($K254="","증빙을 고르십시오",IF($H254="","적요를 적으십시오","")))))))))))</f>
        <v/>
      </c>
      <c r="M254" s="39"/>
      <c r="O254" s="11" t="str">
        <f aca="false">IF($B254="","",YEAR($B254)*100+MONTH($B254))</f>
        <v/>
      </c>
      <c r="P254" s="11" t="str">
        <f aca="false">IF($B254="","",IF($E254="대체",0,1))</f>
        <v/>
      </c>
    </row>
    <row r="255" customFormat="false" ht="15" hidden="false" customHeight="false" outlineLevel="0" collapsed="false">
      <c r="A255" s="36" t="str">
        <f aca="false">IF($B255="","",COUNT($B$15:$B255))</f>
        <v/>
      </c>
      <c r="B255" s="37"/>
      <c r="C255" s="38"/>
      <c r="D255" s="20"/>
      <c r="E255" s="36" t="str">
        <f aca="false">IF($D255="","",IFERROR(INDEX('교육원 ④ 설정'!$A$6:$A$40,MATCH($D255,'교육원 ④ 설정'!$B$6:$B$40,0)),"※없는 과목"))</f>
        <v/>
      </c>
      <c r="F255" s="36" t="str">
        <f aca="false">IF($D255="","",IFERROR(INDEX('교육원 ④ 설정'!$C$6:$C$40,MATCH($D255,'교육원 ④ 설정'!$B$6:$B$40,0)),""))</f>
        <v/>
      </c>
      <c r="G255" s="39"/>
      <c r="H255" s="39"/>
      <c r="I255" s="40"/>
      <c r="J255" s="41"/>
      <c r="K255" s="38"/>
      <c r="L255" s="42" t="str">
        <f aca="false">IF($B255="","",IF(AND(N($I255)=0,N($J255)=0),"금액이 없습니다",IF(AND($I255&gt;0,$J255&gt;0),"수입·지출 둘 다 적혔습니다",IF($C255="","결제수단을 고르십시오",IF(ISNA(MATCH($C255,'교육원 ③ 통장·카드'!$A$5:$A$11,0)),"③ 통장·카드에 없는 결제수단입니다",IF($D255="","계정과목을 고르십시오",IF($E255="※없는 과목","④ 설정에 없는 과목입니다",IF(AND($E255="수입",$J255&gt;0),"수입 과목인데 지출에 적혔습니다",IF(AND(LEFT($E255,2)&lt;&gt;"수입",$E255&lt;&gt;"대체",$I255&gt;0),"지출 과목인데 수입에 적혔습니다",IF($K255="","증빙을 고르십시오",IF($H255="","적요를 적으십시오","")))))))))))</f>
        <v/>
      </c>
      <c r="M255" s="39"/>
      <c r="O255" s="11" t="str">
        <f aca="false">IF($B255="","",YEAR($B255)*100+MONTH($B255))</f>
        <v/>
      </c>
      <c r="P255" s="11" t="str">
        <f aca="false">IF($B255="","",IF($E255="대체",0,1))</f>
        <v/>
      </c>
    </row>
    <row r="256" customFormat="false" ht="15" hidden="false" customHeight="false" outlineLevel="0" collapsed="false">
      <c r="A256" s="36" t="str">
        <f aca="false">IF($B256="","",COUNT($B$15:$B256))</f>
        <v/>
      </c>
      <c r="B256" s="37"/>
      <c r="C256" s="38"/>
      <c r="D256" s="20"/>
      <c r="E256" s="36" t="str">
        <f aca="false">IF($D256="","",IFERROR(INDEX('교육원 ④ 설정'!$A$6:$A$40,MATCH($D256,'교육원 ④ 설정'!$B$6:$B$40,0)),"※없는 과목"))</f>
        <v/>
      </c>
      <c r="F256" s="36" t="str">
        <f aca="false">IF($D256="","",IFERROR(INDEX('교육원 ④ 설정'!$C$6:$C$40,MATCH($D256,'교육원 ④ 설정'!$B$6:$B$40,0)),""))</f>
        <v/>
      </c>
      <c r="G256" s="39"/>
      <c r="H256" s="39"/>
      <c r="I256" s="40"/>
      <c r="J256" s="41"/>
      <c r="K256" s="38"/>
      <c r="L256" s="42" t="str">
        <f aca="false">IF($B256="","",IF(AND(N($I256)=0,N($J256)=0),"금액이 없습니다",IF(AND($I256&gt;0,$J256&gt;0),"수입·지출 둘 다 적혔습니다",IF($C256="","결제수단을 고르십시오",IF(ISNA(MATCH($C256,'교육원 ③ 통장·카드'!$A$5:$A$11,0)),"③ 통장·카드에 없는 결제수단입니다",IF($D256="","계정과목을 고르십시오",IF($E256="※없는 과목","④ 설정에 없는 과목입니다",IF(AND($E256="수입",$J256&gt;0),"수입 과목인데 지출에 적혔습니다",IF(AND(LEFT($E256,2)&lt;&gt;"수입",$E256&lt;&gt;"대체",$I256&gt;0),"지출 과목인데 수입에 적혔습니다",IF($K256="","증빙을 고르십시오",IF($H256="","적요를 적으십시오","")))))))))))</f>
        <v/>
      </c>
      <c r="M256" s="39"/>
      <c r="O256" s="11" t="str">
        <f aca="false">IF($B256="","",YEAR($B256)*100+MONTH($B256))</f>
        <v/>
      </c>
      <c r="P256" s="11" t="str">
        <f aca="false">IF($B256="","",IF($E256="대체",0,1))</f>
        <v/>
      </c>
    </row>
    <row r="257" customFormat="false" ht="15" hidden="false" customHeight="false" outlineLevel="0" collapsed="false">
      <c r="A257" s="36" t="str">
        <f aca="false">IF($B257="","",COUNT($B$15:$B257))</f>
        <v/>
      </c>
      <c r="B257" s="37"/>
      <c r="C257" s="38"/>
      <c r="D257" s="20"/>
      <c r="E257" s="36" t="str">
        <f aca="false">IF($D257="","",IFERROR(INDEX('교육원 ④ 설정'!$A$6:$A$40,MATCH($D257,'교육원 ④ 설정'!$B$6:$B$40,0)),"※없는 과목"))</f>
        <v/>
      </c>
      <c r="F257" s="36" t="str">
        <f aca="false">IF($D257="","",IFERROR(INDEX('교육원 ④ 설정'!$C$6:$C$40,MATCH($D257,'교육원 ④ 설정'!$B$6:$B$40,0)),""))</f>
        <v/>
      </c>
      <c r="G257" s="39"/>
      <c r="H257" s="39"/>
      <c r="I257" s="40"/>
      <c r="J257" s="41"/>
      <c r="K257" s="38"/>
      <c r="L257" s="42" t="str">
        <f aca="false">IF($B257="","",IF(AND(N($I257)=0,N($J257)=0),"금액이 없습니다",IF(AND($I257&gt;0,$J257&gt;0),"수입·지출 둘 다 적혔습니다",IF($C257="","결제수단을 고르십시오",IF(ISNA(MATCH($C257,'교육원 ③ 통장·카드'!$A$5:$A$11,0)),"③ 통장·카드에 없는 결제수단입니다",IF($D257="","계정과목을 고르십시오",IF($E257="※없는 과목","④ 설정에 없는 과목입니다",IF(AND($E257="수입",$J257&gt;0),"수입 과목인데 지출에 적혔습니다",IF(AND(LEFT($E257,2)&lt;&gt;"수입",$E257&lt;&gt;"대체",$I257&gt;0),"지출 과목인데 수입에 적혔습니다",IF($K257="","증빙을 고르십시오",IF($H257="","적요를 적으십시오","")))))))))))</f>
        <v/>
      </c>
      <c r="M257" s="39"/>
      <c r="O257" s="11" t="str">
        <f aca="false">IF($B257="","",YEAR($B257)*100+MONTH($B257))</f>
        <v/>
      </c>
      <c r="P257" s="11" t="str">
        <f aca="false">IF($B257="","",IF($E257="대체",0,1))</f>
        <v/>
      </c>
    </row>
    <row r="258" customFormat="false" ht="15" hidden="false" customHeight="false" outlineLevel="0" collapsed="false">
      <c r="A258" s="36" t="str">
        <f aca="false">IF($B258="","",COUNT($B$15:$B258))</f>
        <v/>
      </c>
      <c r="B258" s="37"/>
      <c r="C258" s="38"/>
      <c r="D258" s="20"/>
      <c r="E258" s="36" t="str">
        <f aca="false">IF($D258="","",IFERROR(INDEX('교육원 ④ 설정'!$A$6:$A$40,MATCH($D258,'교육원 ④ 설정'!$B$6:$B$40,0)),"※없는 과목"))</f>
        <v/>
      </c>
      <c r="F258" s="36" t="str">
        <f aca="false">IF($D258="","",IFERROR(INDEX('교육원 ④ 설정'!$C$6:$C$40,MATCH($D258,'교육원 ④ 설정'!$B$6:$B$40,0)),""))</f>
        <v/>
      </c>
      <c r="G258" s="39"/>
      <c r="H258" s="39"/>
      <c r="I258" s="40"/>
      <c r="J258" s="41"/>
      <c r="K258" s="38"/>
      <c r="L258" s="42" t="str">
        <f aca="false">IF($B258="","",IF(AND(N($I258)=0,N($J258)=0),"금액이 없습니다",IF(AND($I258&gt;0,$J258&gt;0),"수입·지출 둘 다 적혔습니다",IF($C258="","결제수단을 고르십시오",IF(ISNA(MATCH($C258,'교육원 ③ 통장·카드'!$A$5:$A$11,0)),"③ 통장·카드에 없는 결제수단입니다",IF($D258="","계정과목을 고르십시오",IF($E258="※없는 과목","④ 설정에 없는 과목입니다",IF(AND($E258="수입",$J258&gt;0),"수입 과목인데 지출에 적혔습니다",IF(AND(LEFT($E258,2)&lt;&gt;"수입",$E258&lt;&gt;"대체",$I258&gt;0),"지출 과목인데 수입에 적혔습니다",IF($K258="","증빙을 고르십시오",IF($H258="","적요를 적으십시오","")))))))))))</f>
        <v/>
      </c>
      <c r="M258" s="39"/>
      <c r="O258" s="11" t="str">
        <f aca="false">IF($B258="","",YEAR($B258)*100+MONTH($B258))</f>
        <v/>
      </c>
      <c r="P258" s="11" t="str">
        <f aca="false">IF($B258="","",IF($E258="대체",0,1))</f>
        <v/>
      </c>
    </row>
    <row r="259" customFormat="false" ht="15" hidden="false" customHeight="false" outlineLevel="0" collapsed="false">
      <c r="A259" s="36" t="str">
        <f aca="false">IF($B259="","",COUNT($B$15:$B259))</f>
        <v/>
      </c>
      <c r="B259" s="37"/>
      <c r="C259" s="38"/>
      <c r="D259" s="20"/>
      <c r="E259" s="36" t="str">
        <f aca="false">IF($D259="","",IFERROR(INDEX('교육원 ④ 설정'!$A$6:$A$40,MATCH($D259,'교육원 ④ 설정'!$B$6:$B$40,0)),"※없는 과목"))</f>
        <v/>
      </c>
      <c r="F259" s="36" t="str">
        <f aca="false">IF($D259="","",IFERROR(INDEX('교육원 ④ 설정'!$C$6:$C$40,MATCH($D259,'교육원 ④ 설정'!$B$6:$B$40,0)),""))</f>
        <v/>
      </c>
      <c r="G259" s="39"/>
      <c r="H259" s="39"/>
      <c r="I259" s="40"/>
      <c r="J259" s="41"/>
      <c r="K259" s="38"/>
      <c r="L259" s="42" t="str">
        <f aca="false">IF($B259="","",IF(AND(N($I259)=0,N($J259)=0),"금액이 없습니다",IF(AND($I259&gt;0,$J259&gt;0),"수입·지출 둘 다 적혔습니다",IF($C259="","결제수단을 고르십시오",IF(ISNA(MATCH($C259,'교육원 ③ 통장·카드'!$A$5:$A$11,0)),"③ 통장·카드에 없는 결제수단입니다",IF($D259="","계정과목을 고르십시오",IF($E259="※없는 과목","④ 설정에 없는 과목입니다",IF(AND($E259="수입",$J259&gt;0),"수입 과목인데 지출에 적혔습니다",IF(AND(LEFT($E259,2)&lt;&gt;"수입",$E259&lt;&gt;"대체",$I259&gt;0),"지출 과목인데 수입에 적혔습니다",IF($K259="","증빙을 고르십시오",IF($H259="","적요를 적으십시오","")))))))))))</f>
        <v/>
      </c>
      <c r="M259" s="39"/>
      <c r="O259" s="11" t="str">
        <f aca="false">IF($B259="","",YEAR($B259)*100+MONTH($B259))</f>
        <v/>
      </c>
      <c r="P259" s="11" t="str">
        <f aca="false">IF($B259="","",IF($E259="대체",0,1))</f>
        <v/>
      </c>
    </row>
    <row r="260" customFormat="false" ht="15" hidden="false" customHeight="false" outlineLevel="0" collapsed="false">
      <c r="A260" s="36" t="str">
        <f aca="false">IF($B260="","",COUNT($B$15:$B260))</f>
        <v/>
      </c>
      <c r="B260" s="37"/>
      <c r="C260" s="38"/>
      <c r="D260" s="20"/>
      <c r="E260" s="36" t="str">
        <f aca="false">IF($D260="","",IFERROR(INDEX('교육원 ④ 설정'!$A$6:$A$40,MATCH($D260,'교육원 ④ 설정'!$B$6:$B$40,0)),"※없는 과목"))</f>
        <v/>
      </c>
      <c r="F260" s="36" t="str">
        <f aca="false">IF($D260="","",IFERROR(INDEX('교육원 ④ 설정'!$C$6:$C$40,MATCH($D260,'교육원 ④ 설정'!$B$6:$B$40,0)),""))</f>
        <v/>
      </c>
      <c r="G260" s="39"/>
      <c r="H260" s="39"/>
      <c r="I260" s="40"/>
      <c r="J260" s="41"/>
      <c r="K260" s="38"/>
      <c r="L260" s="42" t="str">
        <f aca="false">IF($B260="","",IF(AND(N($I260)=0,N($J260)=0),"금액이 없습니다",IF(AND($I260&gt;0,$J260&gt;0),"수입·지출 둘 다 적혔습니다",IF($C260="","결제수단을 고르십시오",IF(ISNA(MATCH($C260,'교육원 ③ 통장·카드'!$A$5:$A$11,0)),"③ 통장·카드에 없는 결제수단입니다",IF($D260="","계정과목을 고르십시오",IF($E260="※없는 과목","④ 설정에 없는 과목입니다",IF(AND($E260="수입",$J260&gt;0),"수입 과목인데 지출에 적혔습니다",IF(AND(LEFT($E260,2)&lt;&gt;"수입",$E260&lt;&gt;"대체",$I260&gt;0),"지출 과목인데 수입에 적혔습니다",IF($K260="","증빙을 고르십시오",IF($H260="","적요를 적으십시오","")))))))))))</f>
        <v/>
      </c>
      <c r="M260" s="39"/>
      <c r="O260" s="11" t="str">
        <f aca="false">IF($B260="","",YEAR($B260)*100+MONTH($B260))</f>
        <v/>
      </c>
      <c r="P260" s="11" t="str">
        <f aca="false">IF($B260="","",IF($E260="대체",0,1))</f>
        <v/>
      </c>
    </row>
    <row r="261" customFormat="false" ht="15" hidden="false" customHeight="false" outlineLevel="0" collapsed="false">
      <c r="A261" s="36" t="str">
        <f aca="false">IF($B261="","",COUNT($B$15:$B261))</f>
        <v/>
      </c>
      <c r="B261" s="37"/>
      <c r="C261" s="38"/>
      <c r="D261" s="20"/>
      <c r="E261" s="36" t="str">
        <f aca="false">IF($D261="","",IFERROR(INDEX('교육원 ④ 설정'!$A$6:$A$40,MATCH($D261,'교육원 ④ 설정'!$B$6:$B$40,0)),"※없는 과목"))</f>
        <v/>
      </c>
      <c r="F261" s="36" t="str">
        <f aca="false">IF($D261="","",IFERROR(INDEX('교육원 ④ 설정'!$C$6:$C$40,MATCH($D261,'교육원 ④ 설정'!$B$6:$B$40,0)),""))</f>
        <v/>
      </c>
      <c r="G261" s="39"/>
      <c r="H261" s="39"/>
      <c r="I261" s="40"/>
      <c r="J261" s="41"/>
      <c r="K261" s="38"/>
      <c r="L261" s="42" t="str">
        <f aca="false">IF($B261="","",IF(AND(N($I261)=0,N($J261)=0),"금액이 없습니다",IF(AND($I261&gt;0,$J261&gt;0),"수입·지출 둘 다 적혔습니다",IF($C261="","결제수단을 고르십시오",IF(ISNA(MATCH($C261,'교육원 ③ 통장·카드'!$A$5:$A$11,0)),"③ 통장·카드에 없는 결제수단입니다",IF($D261="","계정과목을 고르십시오",IF($E261="※없는 과목","④ 설정에 없는 과목입니다",IF(AND($E261="수입",$J261&gt;0),"수입 과목인데 지출에 적혔습니다",IF(AND(LEFT($E261,2)&lt;&gt;"수입",$E261&lt;&gt;"대체",$I261&gt;0),"지출 과목인데 수입에 적혔습니다",IF($K261="","증빙을 고르십시오",IF($H261="","적요를 적으십시오","")))))))))))</f>
        <v/>
      </c>
      <c r="M261" s="39"/>
      <c r="O261" s="11" t="str">
        <f aca="false">IF($B261="","",YEAR($B261)*100+MONTH($B261))</f>
        <v/>
      </c>
      <c r="P261" s="11" t="str">
        <f aca="false">IF($B261="","",IF($E261="대체",0,1))</f>
        <v/>
      </c>
    </row>
    <row r="262" customFormat="false" ht="15" hidden="false" customHeight="false" outlineLevel="0" collapsed="false">
      <c r="A262" s="36" t="str">
        <f aca="false">IF($B262="","",COUNT($B$15:$B262))</f>
        <v/>
      </c>
      <c r="B262" s="37"/>
      <c r="C262" s="38"/>
      <c r="D262" s="20"/>
      <c r="E262" s="36" t="str">
        <f aca="false">IF($D262="","",IFERROR(INDEX('교육원 ④ 설정'!$A$6:$A$40,MATCH($D262,'교육원 ④ 설정'!$B$6:$B$40,0)),"※없는 과목"))</f>
        <v/>
      </c>
      <c r="F262" s="36" t="str">
        <f aca="false">IF($D262="","",IFERROR(INDEX('교육원 ④ 설정'!$C$6:$C$40,MATCH($D262,'교육원 ④ 설정'!$B$6:$B$40,0)),""))</f>
        <v/>
      </c>
      <c r="G262" s="39"/>
      <c r="H262" s="39"/>
      <c r="I262" s="40"/>
      <c r="J262" s="41"/>
      <c r="K262" s="38"/>
      <c r="L262" s="42" t="str">
        <f aca="false">IF($B262="","",IF(AND(N($I262)=0,N($J262)=0),"금액이 없습니다",IF(AND($I262&gt;0,$J262&gt;0),"수입·지출 둘 다 적혔습니다",IF($C262="","결제수단을 고르십시오",IF(ISNA(MATCH($C262,'교육원 ③ 통장·카드'!$A$5:$A$11,0)),"③ 통장·카드에 없는 결제수단입니다",IF($D262="","계정과목을 고르십시오",IF($E262="※없는 과목","④ 설정에 없는 과목입니다",IF(AND($E262="수입",$J262&gt;0),"수입 과목인데 지출에 적혔습니다",IF(AND(LEFT($E262,2)&lt;&gt;"수입",$E262&lt;&gt;"대체",$I262&gt;0),"지출 과목인데 수입에 적혔습니다",IF($K262="","증빙을 고르십시오",IF($H262="","적요를 적으십시오","")))))))))))</f>
        <v/>
      </c>
      <c r="M262" s="39"/>
      <c r="O262" s="11" t="str">
        <f aca="false">IF($B262="","",YEAR($B262)*100+MONTH($B262))</f>
        <v/>
      </c>
      <c r="P262" s="11" t="str">
        <f aca="false">IF($B262="","",IF($E262="대체",0,1))</f>
        <v/>
      </c>
    </row>
    <row r="263" customFormat="false" ht="15" hidden="false" customHeight="false" outlineLevel="0" collapsed="false">
      <c r="A263" s="36" t="str">
        <f aca="false">IF($B263="","",COUNT($B$15:$B263))</f>
        <v/>
      </c>
      <c r="B263" s="37"/>
      <c r="C263" s="38"/>
      <c r="D263" s="20"/>
      <c r="E263" s="36" t="str">
        <f aca="false">IF($D263="","",IFERROR(INDEX('교육원 ④ 설정'!$A$6:$A$40,MATCH($D263,'교육원 ④ 설정'!$B$6:$B$40,0)),"※없는 과목"))</f>
        <v/>
      </c>
      <c r="F263" s="36" t="str">
        <f aca="false">IF($D263="","",IFERROR(INDEX('교육원 ④ 설정'!$C$6:$C$40,MATCH($D263,'교육원 ④ 설정'!$B$6:$B$40,0)),""))</f>
        <v/>
      </c>
      <c r="G263" s="39"/>
      <c r="H263" s="39"/>
      <c r="I263" s="40"/>
      <c r="J263" s="41"/>
      <c r="K263" s="38"/>
      <c r="L263" s="42" t="str">
        <f aca="false">IF($B263="","",IF(AND(N($I263)=0,N($J263)=0),"금액이 없습니다",IF(AND($I263&gt;0,$J263&gt;0),"수입·지출 둘 다 적혔습니다",IF($C263="","결제수단을 고르십시오",IF(ISNA(MATCH($C263,'교육원 ③ 통장·카드'!$A$5:$A$11,0)),"③ 통장·카드에 없는 결제수단입니다",IF($D263="","계정과목을 고르십시오",IF($E263="※없는 과목","④ 설정에 없는 과목입니다",IF(AND($E263="수입",$J263&gt;0),"수입 과목인데 지출에 적혔습니다",IF(AND(LEFT($E263,2)&lt;&gt;"수입",$E263&lt;&gt;"대체",$I263&gt;0),"지출 과목인데 수입에 적혔습니다",IF($K263="","증빙을 고르십시오",IF($H263="","적요를 적으십시오","")))))))))))</f>
        <v/>
      </c>
      <c r="M263" s="39"/>
      <c r="O263" s="11" t="str">
        <f aca="false">IF($B263="","",YEAR($B263)*100+MONTH($B263))</f>
        <v/>
      </c>
      <c r="P263" s="11" t="str">
        <f aca="false">IF($B263="","",IF($E263="대체",0,1))</f>
        <v/>
      </c>
    </row>
    <row r="264" customFormat="false" ht="15" hidden="false" customHeight="false" outlineLevel="0" collapsed="false">
      <c r="A264" s="36" t="str">
        <f aca="false">IF($B264="","",COUNT($B$15:$B264))</f>
        <v/>
      </c>
      <c r="B264" s="37"/>
      <c r="C264" s="38"/>
      <c r="D264" s="20"/>
      <c r="E264" s="36" t="str">
        <f aca="false">IF($D264="","",IFERROR(INDEX('교육원 ④ 설정'!$A$6:$A$40,MATCH($D264,'교육원 ④ 설정'!$B$6:$B$40,0)),"※없는 과목"))</f>
        <v/>
      </c>
      <c r="F264" s="36" t="str">
        <f aca="false">IF($D264="","",IFERROR(INDEX('교육원 ④ 설정'!$C$6:$C$40,MATCH($D264,'교육원 ④ 설정'!$B$6:$B$40,0)),""))</f>
        <v/>
      </c>
      <c r="G264" s="39"/>
      <c r="H264" s="39"/>
      <c r="I264" s="40"/>
      <c r="J264" s="41"/>
      <c r="K264" s="38"/>
      <c r="L264" s="42" t="str">
        <f aca="false">IF($B264="","",IF(AND(N($I264)=0,N($J264)=0),"금액이 없습니다",IF(AND($I264&gt;0,$J264&gt;0),"수입·지출 둘 다 적혔습니다",IF($C264="","결제수단을 고르십시오",IF(ISNA(MATCH($C264,'교육원 ③ 통장·카드'!$A$5:$A$11,0)),"③ 통장·카드에 없는 결제수단입니다",IF($D264="","계정과목을 고르십시오",IF($E264="※없는 과목","④ 설정에 없는 과목입니다",IF(AND($E264="수입",$J264&gt;0),"수입 과목인데 지출에 적혔습니다",IF(AND(LEFT($E264,2)&lt;&gt;"수입",$E264&lt;&gt;"대체",$I264&gt;0),"지출 과목인데 수입에 적혔습니다",IF($K264="","증빙을 고르십시오",IF($H264="","적요를 적으십시오","")))))))))))</f>
        <v/>
      </c>
      <c r="M264" s="39"/>
      <c r="O264" s="11" t="str">
        <f aca="false">IF($B264="","",YEAR($B264)*100+MONTH($B264))</f>
        <v/>
      </c>
      <c r="P264" s="11" t="str">
        <f aca="false">IF($B264="","",IF($E264="대체",0,1))</f>
        <v/>
      </c>
    </row>
    <row r="265" customFormat="false" ht="15" hidden="false" customHeight="false" outlineLevel="0" collapsed="false">
      <c r="A265" s="36" t="str">
        <f aca="false">IF($B265="","",COUNT($B$15:$B265))</f>
        <v/>
      </c>
      <c r="B265" s="37"/>
      <c r="C265" s="38"/>
      <c r="D265" s="20"/>
      <c r="E265" s="36" t="str">
        <f aca="false">IF($D265="","",IFERROR(INDEX('교육원 ④ 설정'!$A$6:$A$40,MATCH($D265,'교육원 ④ 설정'!$B$6:$B$40,0)),"※없는 과목"))</f>
        <v/>
      </c>
      <c r="F265" s="36" t="str">
        <f aca="false">IF($D265="","",IFERROR(INDEX('교육원 ④ 설정'!$C$6:$C$40,MATCH($D265,'교육원 ④ 설정'!$B$6:$B$40,0)),""))</f>
        <v/>
      </c>
      <c r="G265" s="39"/>
      <c r="H265" s="39"/>
      <c r="I265" s="40"/>
      <c r="J265" s="41"/>
      <c r="K265" s="38"/>
      <c r="L265" s="42" t="str">
        <f aca="false">IF($B265="","",IF(AND(N($I265)=0,N($J265)=0),"금액이 없습니다",IF(AND($I265&gt;0,$J265&gt;0),"수입·지출 둘 다 적혔습니다",IF($C265="","결제수단을 고르십시오",IF(ISNA(MATCH($C265,'교육원 ③ 통장·카드'!$A$5:$A$11,0)),"③ 통장·카드에 없는 결제수단입니다",IF($D265="","계정과목을 고르십시오",IF($E265="※없는 과목","④ 설정에 없는 과목입니다",IF(AND($E265="수입",$J265&gt;0),"수입 과목인데 지출에 적혔습니다",IF(AND(LEFT($E265,2)&lt;&gt;"수입",$E265&lt;&gt;"대체",$I265&gt;0),"지출 과목인데 수입에 적혔습니다",IF($K265="","증빙을 고르십시오",IF($H265="","적요를 적으십시오","")))))))))))</f>
        <v/>
      </c>
      <c r="M265" s="39"/>
      <c r="O265" s="11" t="str">
        <f aca="false">IF($B265="","",YEAR($B265)*100+MONTH($B265))</f>
        <v/>
      </c>
      <c r="P265" s="11" t="str">
        <f aca="false">IF($B265="","",IF($E265="대체",0,1))</f>
        <v/>
      </c>
    </row>
    <row r="266" customFormat="false" ht="15" hidden="false" customHeight="false" outlineLevel="0" collapsed="false">
      <c r="A266" s="36" t="str">
        <f aca="false">IF($B266="","",COUNT($B$15:$B266))</f>
        <v/>
      </c>
      <c r="B266" s="37"/>
      <c r="C266" s="38"/>
      <c r="D266" s="20"/>
      <c r="E266" s="36" t="str">
        <f aca="false">IF($D266="","",IFERROR(INDEX('교육원 ④ 설정'!$A$6:$A$40,MATCH($D266,'교육원 ④ 설정'!$B$6:$B$40,0)),"※없는 과목"))</f>
        <v/>
      </c>
      <c r="F266" s="36" t="str">
        <f aca="false">IF($D266="","",IFERROR(INDEX('교육원 ④ 설정'!$C$6:$C$40,MATCH($D266,'교육원 ④ 설정'!$B$6:$B$40,0)),""))</f>
        <v/>
      </c>
      <c r="G266" s="39"/>
      <c r="H266" s="39"/>
      <c r="I266" s="40"/>
      <c r="J266" s="41"/>
      <c r="K266" s="38"/>
      <c r="L266" s="42" t="str">
        <f aca="false">IF($B266="","",IF(AND(N($I266)=0,N($J266)=0),"금액이 없습니다",IF(AND($I266&gt;0,$J266&gt;0),"수입·지출 둘 다 적혔습니다",IF($C266="","결제수단을 고르십시오",IF(ISNA(MATCH($C266,'교육원 ③ 통장·카드'!$A$5:$A$11,0)),"③ 통장·카드에 없는 결제수단입니다",IF($D266="","계정과목을 고르십시오",IF($E266="※없는 과목","④ 설정에 없는 과목입니다",IF(AND($E266="수입",$J266&gt;0),"수입 과목인데 지출에 적혔습니다",IF(AND(LEFT($E266,2)&lt;&gt;"수입",$E266&lt;&gt;"대체",$I266&gt;0),"지출 과목인데 수입에 적혔습니다",IF($K266="","증빙을 고르십시오",IF($H266="","적요를 적으십시오","")))))))))))</f>
        <v/>
      </c>
      <c r="M266" s="39"/>
      <c r="O266" s="11" t="str">
        <f aca="false">IF($B266="","",YEAR($B266)*100+MONTH($B266))</f>
        <v/>
      </c>
      <c r="P266" s="11" t="str">
        <f aca="false">IF($B266="","",IF($E266="대체",0,1))</f>
        <v/>
      </c>
    </row>
    <row r="267" customFormat="false" ht="15" hidden="false" customHeight="false" outlineLevel="0" collapsed="false">
      <c r="A267" s="36" t="str">
        <f aca="false">IF($B267="","",COUNT($B$15:$B267))</f>
        <v/>
      </c>
      <c r="B267" s="37"/>
      <c r="C267" s="38"/>
      <c r="D267" s="20"/>
      <c r="E267" s="36" t="str">
        <f aca="false">IF($D267="","",IFERROR(INDEX('교육원 ④ 설정'!$A$6:$A$40,MATCH($D267,'교육원 ④ 설정'!$B$6:$B$40,0)),"※없는 과목"))</f>
        <v/>
      </c>
      <c r="F267" s="36" t="str">
        <f aca="false">IF($D267="","",IFERROR(INDEX('교육원 ④ 설정'!$C$6:$C$40,MATCH($D267,'교육원 ④ 설정'!$B$6:$B$40,0)),""))</f>
        <v/>
      </c>
      <c r="G267" s="39"/>
      <c r="H267" s="39"/>
      <c r="I267" s="40"/>
      <c r="J267" s="41"/>
      <c r="K267" s="38"/>
      <c r="L267" s="42" t="str">
        <f aca="false">IF($B267="","",IF(AND(N($I267)=0,N($J267)=0),"금액이 없습니다",IF(AND($I267&gt;0,$J267&gt;0),"수입·지출 둘 다 적혔습니다",IF($C267="","결제수단을 고르십시오",IF(ISNA(MATCH($C267,'교육원 ③ 통장·카드'!$A$5:$A$11,0)),"③ 통장·카드에 없는 결제수단입니다",IF($D267="","계정과목을 고르십시오",IF($E267="※없는 과목","④ 설정에 없는 과목입니다",IF(AND($E267="수입",$J267&gt;0),"수입 과목인데 지출에 적혔습니다",IF(AND(LEFT($E267,2)&lt;&gt;"수입",$E267&lt;&gt;"대체",$I267&gt;0),"지출 과목인데 수입에 적혔습니다",IF($K267="","증빙을 고르십시오",IF($H267="","적요를 적으십시오","")))))))))))</f>
        <v/>
      </c>
      <c r="M267" s="39"/>
      <c r="O267" s="11" t="str">
        <f aca="false">IF($B267="","",YEAR($B267)*100+MONTH($B267))</f>
        <v/>
      </c>
      <c r="P267" s="11" t="str">
        <f aca="false">IF($B267="","",IF($E267="대체",0,1))</f>
        <v/>
      </c>
    </row>
    <row r="268" customFormat="false" ht="15" hidden="false" customHeight="false" outlineLevel="0" collapsed="false">
      <c r="A268" s="36" t="str">
        <f aca="false">IF($B268="","",COUNT($B$15:$B268))</f>
        <v/>
      </c>
      <c r="B268" s="37"/>
      <c r="C268" s="38"/>
      <c r="D268" s="20"/>
      <c r="E268" s="36" t="str">
        <f aca="false">IF($D268="","",IFERROR(INDEX('교육원 ④ 설정'!$A$6:$A$40,MATCH($D268,'교육원 ④ 설정'!$B$6:$B$40,0)),"※없는 과목"))</f>
        <v/>
      </c>
      <c r="F268" s="36" t="str">
        <f aca="false">IF($D268="","",IFERROR(INDEX('교육원 ④ 설정'!$C$6:$C$40,MATCH($D268,'교육원 ④ 설정'!$B$6:$B$40,0)),""))</f>
        <v/>
      </c>
      <c r="G268" s="39"/>
      <c r="H268" s="39"/>
      <c r="I268" s="40"/>
      <c r="J268" s="41"/>
      <c r="K268" s="38"/>
      <c r="L268" s="42" t="str">
        <f aca="false">IF($B268="","",IF(AND(N($I268)=0,N($J268)=0),"금액이 없습니다",IF(AND($I268&gt;0,$J268&gt;0),"수입·지출 둘 다 적혔습니다",IF($C268="","결제수단을 고르십시오",IF(ISNA(MATCH($C268,'교육원 ③ 통장·카드'!$A$5:$A$11,0)),"③ 통장·카드에 없는 결제수단입니다",IF($D268="","계정과목을 고르십시오",IF($E268="※없는 과목","④ 설정에 없는 과목입니다",IF(AND($E268="수입",$J268&gt;0),"수입 과목인데 지출에 적혔습니다",IF(AND(LEFT($E268,2)&lt;&gt;"수입",$E268&lt;&gt;"대체",$I268&gt;0),"지출 과목인데 수입에 적혔습니다",IF($K268="","증빙을 고르십시오",IF($H268="","적요를 적으십시오","")))))))))))</f>
        <v/>
      </c>
      <c r="M268" s="39"/>
      <c r="O268" s="11" t="str">
        <f aca="false">IF($B268="","",YEAR($B268)*100+MONTH($B268))</f>
        <v/>
      </c>
      <c r="P268" s="11" t="str">
        <f aca="false">IF($B268="","",IF($E268="대체",0,1))</f>
        <v/>
      </c>
    </row>
    <row r="269" customFormat="false" ht="15" hidden="false" customHeight="false" outlineLevel="0" collapsed="false">
      <c r="A269" s="36" t="str">
        <f aca="false">IF($B269="","",COUNT($B$15:$B269))</f>
        <v/>
      </c>
      <c r="B269" s="37"/>
      <c r="C269" s="38"/>
      <c r="D269" s="20"/>
      <c r="E269" s="36" t="str">
        <f aca="false">IF($D269="","",IFERROR(INDEX('교육원 ④ 설정'!$A$6:$A$40,MATCH($D269,'교육원 ④ 설정'!$B$6:$B$40,0)),"※없는 과목"))</f>
        <v/>
      </c>
      <c r="F269" s="36" t="str">
        <f aca="false">IF($D269="","",IFERROR(INDEX('교육원 ④ 설정'!$C$6:$C$40,MATCH($D269,'교육원 ④ 설정'!$B$6:$B$40,0)),""))</f>
        <v/>
      </c>
      <c r="G269" s="39"/>
      <c r="H269" s="39"/>
      <c r="I269" s="40"/>
      <c r="J269" s="41"/>
      <c r="K269" s="38"/>
      <c r="L269" s="42" t="str">
        <f aca="false">IF($B269="","",IF(AND(N($I269)=0,N($J269)=0),"금액이 없습니다",IF(AND($I269&gt;0,$J269&gt;0),"수입·지출 둘 다 적혔습니다",IF($C269="","결제수단을 고르십시오",IF(ISNA(MATCH($C269,'교육원 ③ 통장·카드'!$A$5:$A$11,0)),"③ 통장·카드에 없는 결제수단입니다",IF($D269="","계정과목을 고르십시오",IF($E269="※없는 과목","④ 설정에 없는 과목입니다",IF(AND($E269="수입",$J269&gt;0),"수입 과목인데 지출에 적혔습니다",IF(AND(LEFT($E269,2)&lt;&gt;"수입",$E269&lt;&gt;"대체",$I269&gt;0),"지출 과목인데 수입에 적혔습니다",IF($K269="","증빙을 고르십시오",IF($H269="","적요를 적으십시오","")))))))))))</f>
        <v/>
      </c>
      <c r="M269" s="39"/>
      <c r="O269" s="11" t="str">
        <f aca="false">IF($B269="","",YEAR($B269)*100+MONTH($B269))</f>
        <v/>
      </c>
      <c r="P269" s="11" t="str">
        <f aca="false">IF($B269="","",IF($E269="대체",0,1))</f>
        <v/>
      </c>
    </row>
    <row r="270" customFormat="false" ht="15" hidden="false" customHeight="false" outlineLevel="0" collapsed="false">
      <c r="A270" s="36" t="str">
        <f aca="false">IF($B270="","",COUNT($B$15:$B270))</f>
        <v/>
      </c>
      <c r="B270" s="37"/>
      <c r="C270" s="38"/>
      <c r="D270" s="20"/>
      <c r="E270" s="36" t="str">
        <f aca="false">IF($D270="","",IFERROR(INDEX('교육원 ④ 설정'!$A$6:$A$40,MATCH($D270,'교육원 ④ 설정'!$B$6:$B$40,0)),"※없는 과목"))</f>
        <v/>
      </c>
      <c r="F270" s="36" t="str">
        <f aca="false">IF($D270="","",IFERROR(INDEX('교육원 ④ 설정'!$C$6:$C$40,MATCH($D270,'교육원 ④ 설정'!$B$6:$B$40,0)),""))</f>
        <v/>
      </c>
      <c r="G270" s="39"/>
      <c r="H270" s="39"/>
      <c r="I270" s="40"/>
      <c r="J270" s="41"/>
      <c r="K270" s="38"/>
      <c r="L270" s="42" t="str">
        <f aca="false">IF($B270="","",IF(AND(N($I270)=0,N($J270)=0),"금액이 없습니다",IF(AND($I270&gt;0,$J270&gt;0),"수입·지출 둘 다 적혔습니다",IF($C270="","결제수단을 고르십시오",IF(ISNA(MATCH($C270,'교육원 ③ 통장·카드'!$A$5:$A$11,0)),"③ 통장·카드에 없는 결제수단입니다",IF($D270="","계정과목을 고르십시오",IF($E270="※없는 과목","④ 설정에 없는 과목입니다",IF(AND($E270="수입",$J270&gt;0),"수입 과목인데 지출에 적혔습니다",IF(AND(LEFT($E270,2)&lt;&gt;"수입",$E270&lt;&gt;"대체",$I270&gt;0),"지출 과목인데 수입에 적혔습니다",IF($K270="","증빙을 고르십시오",IF($H270="","적요를 적으십시오","")))))))))))</f>
        <v/>
      </c>
      <c r="M270" s="39"/>
      <c r="O270" s="11" t="str">
        <f aca="false">IF($B270="","",YEAR($B270)*100+MONTH($B270))</f>
        <v/>
      </c>
      <c r="P270" s="11" t="str">
        <f aca="false">IF($B270="","",IF($E270="대체",0,1))</f>
        <v/>
      </c>
    </row>
    <row r="271" customFormat="false" ht="15" hidden="false" customHeight="false" outlineLevel="0" collapsed="false">
      <c r="A271" s="36" t="str">
        <f aca="false">IF($B271="","",COUNT($B$15:$B271))</f>
        <v/>
      </c>
      <c r="B271" s="37"/>
      <c r="C271" s="38"/>
      <c r="D271" s="20"/>
      <c r="E271" s="36" t="str">
        <f aca="false">IF($D271="","",IFERROR(INDEX('교육원 ④ 설정'!$A$6:$A$40,MATCH($D271,'교육원 ④ 설정'!$B$6:$B$40,0)),"※없는 과목"))</f>
        <v/>
      </c>
      <c r="F271" s="36" t="str">
        <f aca="false">IF($D271="","",IFERROR(INDEX('교육원 ④ 설정'!$C$6:$C$40,MATCH($D271,'교육원 ④ 설정'!$B$6:$B$40,0)),""))</f>
        <v/>
      </c>
      <c r="G271" s="39"/>
      <c r="H271" s="39"/>
      <c r="I271" s="40"/>
      <c r="J271" s="41"/>
      <c r="K271" s="38"/>
      <c r="L271" s="42" t="str">
        <f aca="false">IF($B271="","",IF(AND(N($I271)=0,N($J271)=0),"금액이 없습니다",IF(AND($I271&gt;0,$J271&gt;0),"수입·지출 둘 다 적혔습니다",IF($C271="","결제수단을 고르십시오",IF(ISNA(MATCH($C271,'교육원 ③ 통장·카드'!$A$5:$A$11,0)),"③ 통장·카드에 없는 결제수단입니다",IF($D271="","계정과목을 고르십시오",IF($E271="※없는 과목","④ 설정에 없는 과목입니다",IF(AND($E271="수입",$J271&gt;0),"수입 과목인데 지출에 적혔습니다",IF(AND(LEFT($E271,2)&lt;&gt;"수입",$E271&lt;&gt;"대체",$I271&gt;0),"지출 과목인데 수입에 적혔습니다",IF($K271="","증빙을 고르십시오",IF($H271="","적요를 적으십시오","")))))))))))</f>
        <v/>
      </c>
      <c r="M271" s="39"/>
      <c r="O271" s="11" t="str">
        <f aca="false">IF($B271="","",YEAR($B271)*100+MONTH($B271))</f>
        <v/>
      </c>
      <c r="P271" s="11" t="str">
        <f aca="false">IF($B271="","",IF($E271="대체",0,1))</f>
        <v/>
      </c>
    </row>
    <row r="272" customFormat="false" ht="15" hidden="false" customHeight="false" outlineLevel="0" collapsed="false">
      <c r="A272" s="36" t="str">
        <f aca="false">IF($B272="","",COUNT($B$15:$B272))</f>
        <v/>
      </c>
      <c r="B272" s="37"/>
      <c r="C272" s="38"/>
      <c r="D272" s="20"/>
      <c r="E272" s="36" t="str">
        <f aca="false">IF($D272="","",IFERROR(INDEX('교육원 ④ 설정'!$A$6:$A$40,MATCH($D272,'교육원 ④ 설정'!$B$6:$B$40,0)),"※없는 과목"))</f>
        <v/>
      </c>
      <c r="F272" s="36" t="str">
        <f aca="false">IF($D272="","",IFERROR(INDEX('교육원 ④ 설정'!$C$6:$C$40,MATCH($D272,'교육원 ④ 설정'!$B$6:$B$40,0)),""))</f>
        <v/>
      </c>
      <c r="G272" s="39"/>
      <c r="H272" s="39"/>
      <c r="I272" s="40"/>
      <c r="J272" s="41"/>
      <c r="K272" s="38"/>
      <c r="L272" s="42" t="str">
        <f aca="false">IF($B272="","",IF(AND(N($I272)=0,N($J272)=0),"금액이 없습니다",IF(AND($I272&gt;0,$J272&gt;0),"수입·지출 둘 다 적혔습니다",IF($C272="","결제수단을 고르십시오",IF(ISNA(MATCH($C272,'교육원 ③ 통장·카드'!$A$5:$A$11,0)),"③ 통장·카드에 없는 결제수단입니다",IF($D272="","계정과목을 고르십시오",IF($E272="※없는 과목","④ 설정에 없는 과목입니다",IF(AND($E272="수입",$J272&gt;0),"수입 과목인데 지출에 적혔습니다",IF(AND(LEFT($E272,2)&lt;&gt;"수입",$E272&lt;&gt;"대체",$I272&gt;0),"지출 과목인데 수입에 적혔습니다",IF($K272="","증빙을 고르십시오",IF($H272="","적요를 적으십시오","")))))))))))</f>
        <v/>
      </c>
      <c r="M272" s="39"/>
      <c r="O272" s="11" t="str">
        <f aca="false">IF($B272="","",YEAR($B272)*100+MONTH($B272))</f>
        <v/>
      </c>
      <c r="P272" s="11" t="str">
        <f aca="false">IF($B272="","",IF($E272="대체",0,1))</f>
        <v/>
      </c>
    </row>
    <row r="273" customFormat="false" ht="15" hidden="false" customHeight="false" outlineLevel="0" collapsed="false">
      <c r="A273" s="36" t="str">
        <f aca="false">IF($B273="","",COUNT($B$15:$B273))</f>
        <v/>
      </c>
      <c r="B273" s="37"/>
      <c r="C273" s="38"/>
      <c r="D273" s="20"/>
      <c r="E273" s="36" t="str">
        <f aca="false">IF($D273="","",IFERROR(INDEX('교육원 ④ 설정'!$A$6:$A$40,MATCH($D273,'교육원 ④ 설정'!$B$6:$B$40,0)),"※없는 과목"))</f>
        <v/>
      </c>
      <c r="F273" s="36" t="str">
        <f aca="false">IF($D273="","",IFERROR(INDEX('교육원 ④ 설정'!$C$6:$C$40,MATCH($D273,'교육원 ④ 설정'!$B$6:$B$40,0)),""))</f>
        <v/>
      </c>
      <c r="G273" s="39"/>
      <c r="H273" s="39"/>
      <c r="I273" s="40"/>
      <c r="J273" s="41"/>
      <c r="K273" s="38"/>
      <c r="L273" s="42" t="str">
        <f aca="false">IF($B273="","",IF(AND(N($I273)=0,N($J273)=0),"금액이 없습니다",IF(AND($I273&gt;0,$J273&gt;0),"수입·지출 둘 다 적혔습니다",IF($C273="","결제수단을 고르십시오",IF(ISNA(MATCH($C273,'교육원 ③ 통장·카드'!$A$5:$A$11,0)),"③ 통장·카드에 없는 결제수단입니다",IF($D273="","계정과목을 고르십시오",IF($E273="※없는 과목","④ 설정에 없는 과목입니다",IF(AND($E273="수입",$J273&gt;0),"수입 과목인데 지출에 적혔습니다",IF(AND(LEFT($E273,2)&lt;&gt;"수입",$E273&lt;&gt;"대체",$I273&gt;0),"지출 과목인데 수입에 적혔습니다",IF($K273="","증빙을 고르십시오",IF($H273="","적요를 적으십시오","")))))))))))</f>
        <v/>
      </c>
      <c r="M273" s="39"/>
      <c r="O273" s="11" t="str">
        <f aca="false">IF($B273="","",YEAR($B273)*100+MONTH($B273))</f>
        <v/>
      </c>
      <c r="P273" s="11" t="str">
        <f aca="false">IF($B273="","",IF($E273="대체",0,1))</f>
        <v/>
      </c>
    </row>
    <row r="274" customFormat="false" ht="15" hidden="false" customHeight="false" outlineLevel="0" collapsed="false">
      <c r="A274" s="36" t="str">
        <f aca="false">IF($B274="","",COUNT($B$15:$B274))</f>
        <v/>
      </c>
      <c r="B274" s="37"/>
      <c r="C274" s="38"/>
      <c r="D274" s="20"/>
      <c r="E274" s="36" t="str">
        <f aca="false">IF($D274="","",IFERROR(INDEX('교육원 ④ 설정'!$A$6:$A$40,MATCH($D274,'교육원 ④ 설정'!$B$6:$B$40,0)),"※없는 과목"))</f>
        <v/>
      </c>
      <c r="F274" s="36" t="str">
        <f aca="false">IF($D274="","",IFERROR(INDEX('교육원 ④ 설정'!$C$6:$C$40,MATCH($D274,'교육원 ④ 설정'!$B$6:$B$40,0)),""))</f>
        <v/>
      </c>
      <c r="G274" s="39"/>
      <c r="H274" s="39"/>
      <c r="I274" s="40"/>
      <c r="J274" s="41"/>
      <c r="K274" s="38"/>
      <c r="L274" s="42" t="str">
        <f aca="false">IF($B274="","",IF(AND(N($I274)=0,N($J274)=0),"금액이 없습니다",IF(AND($I274&gt;0,$J274&gt;0),"수입·지출 둘 다 적혔습니다",IF($C274="","결제수단을 고르십시오",IF(ISNA(MATCH($C274,'교육원 ③ 통장·카드'!$A$5:$A$11,0)),"③ 통장·카드에 없는 결제수단입니다",IF($D274="","계정과목을 고르십시오",IF($E274="※없는 과목","④ 설정에 없는 과목입니다",IF(AND($E274="수입",$J274&gt;0),"수입 과목인데 지출에 적혔습니다",IF(AND(LEFT($E274,2)&lt;&gt;"수입",$E274&lt;&gt;"대체",$I274&gt;0),"지출 과목인데 수입에 적혔습니다",IF($K274="","증빙을 고르십시오",IF($H274="","적요를 적으십시오","")))))))))))</f>
        <v/>
      </c>
      <c r="M274" s="39"/>
      <c r="O274" s="11" t="str">
        <f aca="false">IF($B274="","",YEAR($B274)*100+MONTH($B274))</f>
        <v/>
      </c>
      <c r="P274" s="11" t="str">
        <f aca="false">IF($B274="","",IF($E274="대체",0,1))</f>
        <v/>
      </c>
    </row>
    <row r="275" customFormat="false" ht="15" hidden="false" customHeight="false" outlineLevel="0" collapsed="false">
      <c r="A275" s="36" t="str">
        <f aca="false">IF($B275="","",COUNT($B$15:$B275))</f>
        <v/>
      </c>
      <c r="B275" s="37"/>
      <c r="C275" s="38"/>
      <c r="D275" s="20"/>
      <c r="E275" s="36" t="str">
        <f aca="false">IF($D275="","",IFERROR(INDEX('교육원 ④ 설정'!$A$6:$A$40,MATCH($D275,'교육원 ④ 설정'!$B$6:$B$40,0)),"※없는 과목"))</f>
        <v/>
      </c>
      <c r="F275" s="36" t="str">
        <f aca="false">IF($D275="","",IFERROR(INDEX('교육원 ④ 설정'!$C$6:$C$40,MATCH($D275,'교육원 ④ 설정'!$B$6:$B$40,0)),""))</f>
        <v/>
      </c>
      <c r="G275" s="39"/>
      <c r="H275" s="39"/>
      <c r="I275" s="40"/>
      <c r="J275" s="41"/>
      <c r="K275" s="38"/>
      <c r="L275" s="42" t="str">
        <f aca="false">IF($B275="","",IF(AND(N($I275)=0,N($J275)=0),"금액이 없습니다",IF(AND($I275&gt;0,$J275&gt;0),"수입·지출 둘 다 적혔습니다",IF($C275="","결제수단을 고르십시오",IF(ISNA(MATCH($C275,'교육원 ③ 통장·카드'!$A$5:$A$11,0)),"③ 통장·카드에 없는 결제수단입니다",IF($D275="","계정과목을 고르십시오",IF($E275="※없는 과목","④ 설정에 없는 과목입니다",IF(AND($E275="수입",$J275&gt;0),"수입 과목인데 지출에 적혔습니다",IF(AND(LEFT($E275,2)&lt;&gt;"수입",$E275&lt;&gt;"대체",$I275&gt;0),"지출 과목인데 수입에 적혔습니다",IF($K275="","증빙을 고르십시오",IF($H275="","적요를 적으십시오","")))))))))))</f>
        <v/>
      </c>
      <c r="M275" s="39"/>
      <c r="O275" s="11" t="str">
        <f aca="false">IF($B275="","",YEAR($B275)*100+MONTH($B275))</f>
        <v/>
      </c>
      <c r="P275" s="11" t="str">
        <f aca="false">IF($B275="","",IF($E275="대체",0,1))</f>
        <v/>
      </c>
    </row>
    <row r="276" customFormat="false" ht="15" hidden="false" customHeight="false" outlineLevel="0" collapsed="false">
      <c r="A276" s="36" t="str">
        <f aca="false">IF($B276="","",COUNT($B$15:$B276))</f>
        <v/>
      </c>
      <c r="B276" s="37"/>
      <c r="C276" s="38"/>
      <c r="D276" s="20"/>
      <c r="E276" s="36" t="str">
        <f aca="false">IF($D276="","",IFERROR(INDEX('교육원 ④ 설정'!$A$6:$A$40,MATCH($D276,'교육원 ④ 설정'!$B$6:$B$40,0)),"※없는 과목"))</f>
        <v/>
      </c>
      <c r="F276" s="36" t="str">
        <f aca="false">IF($D276="","",IFERROR(INDEX('교육원 ④ 설정'!$C$6:$C$40,MATCH($D276,'교육원 ④ 설정'!$B$6:$B$40,0)),""))</f>
        <v/>
      </c>
      <c r="G276" s="39"/>
      <c r="H276" s="39"/>
      <c r="I276" s="40"/>
      <c r="J276" s="41"/>
      <c r="K276" s="38"/>
      <c r="L276" s="42" t="str">
        <f aca="false">IF($B276="","",IF(AND(N($I276)=0,N($J276)=0),"금액이 없습니다",IF(AND($I276&gt;0,$J276&gt;0),"수입·지출 둘 다 적혔습니다",IF($C276="","결제수단을 고르십시오",IF(ISNA(MATCH($C276,'교육원 ③ 통장·카드'!$A$5:$A$11,0)),"③ 통장·카드에 없는 결제수단입니다",IF($D276="","계정과목을 고르십시오",IF($E276="※없는 과목","④ 설정에 없는 과목입니다",IF(AND($E276="수입",$J276&gt;0),"수입 과목인데 지출에 적혔습니다",IF(AND(LEFT($E276,2)&lt;&gt;"수입",$E276&lt;&gt;"대체",$I276&gt;0),"지출 과목인데 수입에 적혔습니다",IF($K276="","증빙을 고르십시오",IF($H276="","적요를 적으십시오","")))))))))))</f>
        <v/>
      </c>
      <c r="M276" s="39"/>
      <c r="O276" s="11" t="str">
        <f aca="false">IF($B276="","",YEAR($B276)*100+MONTH($B276))</f>
        <v/>
      </c>
      <c r="P276" s="11" t="str">
        <f aca="false">IF($B276="","",IF($E276="대체",0,1))</f>
        <v/>
      </c>
    </row>
    <row r="277" customFormat="false" ht="15" hidden="false" customHeight="false" outlineLevel="0" collapsed="false">
      <c r="A277" s="36" t="str">
        <f aca="false">IF($B277="","",COUNT($B$15:$B277))</f>
        <v/>
      </c>
      <c r="B277" s="37"/>
      <c r="C277" s="38"/>
      <c r="D277" s="20"/>
      <c r="E277" s="36" t="str">
        <f aca="false">IF($D277="","",IFERROR(INDEX('교육원 ④ 설정'!$A$6:$A$40,MATCH($D277,'교육원 ④ 설정'!$B$6:$B$40,0)),"※없는 과목"))</f>
        <v/>
      </c>
      <c r="F277" s="36" t="str">
        <f aca="false">IF($D277="","",IFERROR(INDEX('교육원 ④ 설정'!$C$6:$C$40,MATCH($D277,'교육원 ④ 설정'!$B$6:$B$40,0)),""))</f>
        <v/>
      </c>
      <c r="G277" s="39"/>
      <c r="H277" s="39"/>
      <c r="I277" s="40"/>
      <c r="J277" s="41"/>
      <c r="K277" s="38"/>
      <c r="L277" s="42" t="str">
        <f aca="false">IF($B277="","",IF(AND(N($I277)=0,N($J277)=0),"금액이 없습니다",IF(AND($I277&gt;0,$J277&gt;0),"수입·지출 둘 다 적혔습니다",IF($C277="","결제수단을 고르십시오",IF(ISNA(MATCH($C277,'교육원 ③ 통장·카드'!$A$5:$A$11,0)),"③ 통장·카드에 없는 결제수단입니다",IF($D277="","계정과목을 고르십시오",IF($E277="※없는 과목","④ 설정에 없는 과목입니다",IF(AND($E277="수입",$J277&gt;0),"수입 과목인데 지출에 적혔습니다",IF(AND(LEFT($E277,2)&lt;&gt;"수입",$E277&lt;&gt;"대체",$I277&gt;0),"지출 과목인데 수입에 적혔습니다",IF($K277="","증빙을 고르십시오",IF($H277="","적요를 적으십시오","")))))))))))</f>
        <v/>
      </c>
      <c r="M277" s="39"/>
      <c r="O277" s="11" t="str">
        <f aca="false">IF($B277="","",YEAR($B277)*100+MONTH($B277))</f>
        <v/>
      </c>
      <c r="P277" s="11" t="str">
        <f aca="false">IF($B277="","",IF($E277="대체",0,1))</f>
        <v/>
      </c>
    </row>
    <row r="278" customFormat="false" ht="15" hidden="false" customHeight="false" outlineLevel="0" collapsed="false">
      <c r="A278" s="36" t="str">
        <f aca="false">IF($B278="","",COUNT($B$15:$B278))</f>
        <v/>
      </c>
      <c r="B278" s="37"/>
      <c r="C278" s="38"/>
      <c r="D278" s="20"/>
      <c r="E278" s="36" t="str">
        <f aca="false">IF($D278="","",IFERROR(INDEX('교육원 ④ 설정'!$A$6:$A$40,MATCH($D278,'교육원 ④ 설정'!$B$6:$B$40,0)),"※없는 과목"))</f>
        <v/>
      </c>
      <c r="F278" s="36" t="str">
        <f aca="false">IF($D278="","",IFERROR(INDEX('교육원 ④ 설정'!$C$6:$C$40,MATCH($D278,'교육원 ④ 설정'!$B$6:$B$40,0)),""))</f>
        <v/>
      </c>
      <c r="G278" s="39"/>
      <c r="H278" s="39"/>
      <c r="I278" s="40"/>
      <c r="J278" s="41"/>
      <c r="K278" s="38"/>
      <c r="L278" s="42" t="str">
        <f aca="false">IF($B278="","",IF(AND(N($I278)=0,N($J278)=0),"금액이 없습니다",IF(AND($I278&gt;0,$J278&gt;0),"수입·지출 둘 다 적혔습니다",IF($C278="","결제수단을 고르십시오",IF(ISNA(MATCH($C278,'교육원 ③ 통장·카드'!$A$5:$A$11,0)),"③ 통장·카드에 없는 결제수단입니다",IF($D278="","계정과목을 고르십시오",IF($E278="※없는 과목","④ 설정에 없는 과목입니다",IF(AND($E278="수입",$J278&gt;0),"수입 과목인데 지출에 적혔습니다",IF(AND(LEFT($E278,2)&lt;&gt;"수입",$E278&lt;&gt;"대체",$I278&gt;0),"지출 과목인데 수입에 적혔습니다",IF($K278="","증빙을 고르십시오",IF($H278="","적요를 적으십시오","")))))))))))</f>
        <v/>
      </c>
      <c r="M278" s="39"/>
      <c r="O278" s="11" t="str">
        <f aca="false">IF($B278="","",YEAR($B278)*100+MONTH($B278))</f>
        <v/>
      </c>
      <c r="P278" s="11" t="str">
        <f aca="false">IF($B278="","",IF($E278="대체",0,1))</f>
        <v/>
      </c>
    </row>
    <row r="279" customFormat="false" ht="15" hidden="false" customHeight="false" outlineLevel="0" collapsed="false">
      <c r="A279" s="36" t="str">
        <f aca="false">IF($B279="","",COUNT($B$15:$B279))</f>
        <v/>
      </c>
      <c r="B279" s="37"/>
      <c r="C279" s="38"/>
      <c r="D279" s="20"/>
      <c r="E279" s="36" t="str">
        <f aca="false">IF($D279="","",IFERROR(INDEX('교육원 ④ 설정'!$A$6:$A$40,MATCH($D279,'교육원 ④ 설정'!$B$6:$B$40,0)),"※없는 과목"))</f>
        <v/>
      </c>
      <c r="F279" s="36" t="str">
        <f aca="false">IF($D279="","",IFERROR(INDEX('교육원 ④ 설정'!$C$6:$C$40,MATCH($D279,'교육원 ④ 설정'!$B$6:$B$40,0)),""))</f>
        <v/>
      </c>
      <c r="G279" s="39"/>
      <c r="H279" s="39"/>
      <c r="I279" s="40"/>
      <c r="J279" s="41"/>
      <c r="K279" s="38"/>
      <c r="L279" s="42" t="str">
        <f aca="false">IF($B279="","",IF(AND(N($I279)=0,N($J279)=0),"금액이 없습니다",IF(AND($I279&gt;0,$J279&gt;0),"수입·지출 둘 다 적혔습니다",IF($C279="","결제수단을 고르십시오",IF(ISNA(MATCH($C279,'교육원 ③ 통장·카드'!$A$5:$A$11,0)),"③ 통장·카드에 없는 결제수단입니다",IF($D279="","계정과목을 고르십시오",IF($E279="※없는 과목","④ 설정에 없는 과목입니다",IF(AND($E279="수입",$J279&gt;0),"수입 과목인데 지출에 적혔습니다",IF(AND(LEFT($E279,2)&lt;&gt;"수입",$E279&lt;&gt;"대체",$I279&gt;0),"지출 과목인데 수입에 적혔습니다",IF($K279="","증빙을 고르십시오",IF($H279="","적요를 적으십시오","")))))))))))</f>
        <v/>
      </c>
      <c r="M279" s="39"/>
      <c r="O279" s="11" t="str">
        <f aca="false">IF($B279="","",YEAR($B279)*100+MONTH($B279))</f>
        <v/>
      </c>
      <c r="P279" s="11" t="str">
        <f aca="false">IF($B279="","",IF($E279="대체",0,1))</f>
        <v/>
      </c>
    </row>
    <row r="280" customFormat="false" ht="15" hidden="false" customHeight="false" outlineLevel="0" collapsed="false">
      <c r="A280" s="36" t="str">
        <f aca="false">IF($B280="","",COUNT($B$15:$B280))</f>
        <v/>
      </c>
      <c r="B280" s="37"/>
      <c r="C280" s="38"/>
      <c r="D280" s="20"/>
      <c r="E280" s="36" t="str">
        <f aca="false">IF($D280="","",IFERROR(INDEX('교육원 ④ 설정'!$A$6:$A$40,MATCH($D280,'교육원 ④ 설정'!$B$6:$B$40,0)),"※없는 과목"))</f>
        <v/>
      </c>
      <c r="F280" s="36" t="str">
        <f aca="false">IF($D280="","",IFERROR(INDEX('교육원 ④ 설정'!$C$6:$C$40,MATCH($D280,'교육원 ④ 설정'!$B$6:$B$40,0)),""))</f>
        <v/>
      </c>
      <c r="G280" s="39"/>
      <c r="H280" s="39"/>
      <c r="I280" s="40"/>
      <c r="J280" s="41"/>
      <c r="K280" s="38"/>
      <c r="L280" s="42" t="str">
        <f aca="false">IF($B280="","",IF(AND(N($I280)=0,N($J280)=0),"금액이 없습니다",IF(AND($I280&gt;0,$J280&gt;0),"수입·지출 둘 다 적혔습니다",IF($C280="","결제수단을 고르십시오",IF(ISNA(MATCH($C280,'교육원 ③ 통장·카드'!$A$5:$A$11,0)),"③ 통장·카드에 없는 결제수단입니다",IF($D280="","계정과목을 고르십시오",IF($E280="※없는 과목","④ 설정에 없는 과목입니다",IF(AND($E280="수입",$J280&gt;0),"수입 과목인데 지출에 적혔습니다",IF(AND(LEFT($E280,2)&lt;&gt;"수입",$E280&lt;&gt;"대체",$I280&gt;0),"지출 과목인데 수입에 적혔습니다",IF($K280="","증빙을 고르십시오",IF($H280="","적요를 적으십시오","")))))))))))</f>
        <v/>
      </c>
      <c r="M280" s="39"/>
      <c r="O280" s="11" t="str">
        <f aca="false">IF($B280="","",YEAR($B280)*100+MONTH($B280))</f>
        <v/>
      </c>
      <c r="P280" s="11" t="str">
        <f aca="false">IF($B280="","",IF($E280="대체",0,1))</f>
        <v/>
      </c>
    </row>
    <row r="281" customFormat="false" ht="15" hidden="false" customHeight="false" outlineLevel="0" collapsed="false">
      <c r="A281" s="36" t="str">
        <f aca="false">IF($B281="","",COUNT($B$15:$B281))</f>
        <v/>
      </c>
      <c r="B281" s="37"/>
      <c r="C281" s="38"/>
      <c r="D281" s="20"/>
      <c r="E281" s="36" t="str">
        <f aca="false">IF($D281="","",IFERROR(INDEX('교육원 ④ 설정'!$A$6:$A$40,MATCH($D281,'교육원 ④ 설정'!$B$6:$B$40,0)),"※없는 과목"))</f>
        <v/>
      </c>
      <c r="F281" s="36" t="str">
        <f aca="false">IF($D281="","",IFERROR(INDEX('교육원 ④ 설정'!$C$6:$C$40,MATCH($D281,'교육원 ④ 설정'!$B$6:$B$40,0)),""))</f>
        <v/>
      </c>
      <c r="G281" s="39"/>
      <c r="H281" s="39"/>
      <c r="I281" s="40"/>
      <c r="J281" s="41"/>
      <c r="K281" s="38"/>
      <c r="L281" s="42" t="str">
        <f aca="false">IF($B281="","",IF(AND(N($I281)=0,N($J281)=0),"금액이 없습니다",IF(AND($I281&gt;0,$J281&gt;0),"수입·지출 둘 다 적혔습니다",IF($C281="","결제수단을 고르십시오",IF(ISNA(MATCH($C281,'교육원 ③ 통장·카드'!$A$5:$A$11,0)),"③ 통장·카드에 없는 결제수단입니다",IF($D281="","계정과목을 고르십시오",IF($E281="※없는 과목","④ 설정에 없는 과목입니다",IF(AND($E281="수입",$J281&gt;0),"수입 과목인데 지출에 적혔습니다",IF(AND(LEFT($E281,2)&lt;&gt;"수입",$E281&lt;&gt;"대체",$I281&gt;0),"지출 과목인데 수입에 적혔습니다",IF($K281="","증빙을 고르십시오",IF($H281="","적요를 적으십시오","")))))))))))</f>
        <v/>
      </c>
      <c r="M281" s="39"/>
      <c r="O281" s="11" t="str">
        <f aca="false">IF($B281="","",YEAR($B281)*100+MONTH($B281))</f>
        <v/>
      </c>
      <c r="P281" s="11" t="str">
        <f aca="false">IF($B281="","",IF($E281="대체",0,1))</f>
        <v/>
      </c>
    </row>
    <row r="282" customFormat="false" ht="15" hidden="false" customHeight="false" outlineLevel="0" collapsed="false">
      <c r="A282" s="36" t="str">
        <f aca="false">IF($B282="","",COUNT($B$15:$B282))</f>
        <v/>
      </c>
      <c r="B282" s="37"/>
      <c r="C282" s="38"/>
      <c r="D282" s="20"/>
      <c r="E282" s="36" t="str">
        <f aca="false">IF($D282="","",IFERROR(INDEX('교육원 ④ 설정'!$A$6:$A$40,MATCH($D282,'교육원 ④ 설정'!$B$6:$B$40,0)),"※없는 과목"))</f>
        <v/>
      </c>
      <c r="F282" s="36" t="str">
        <f aca="false">IF($D282="","",IFERROR(INDEX('교육원 ④ 설정'!$C$6:$C$40,MATCH($D282,'교육원 ④ 설정'!$B$6:$B$40,0)),""))</f>
        <v/>
      </c>
      <c r="G282" s="39"/>
      <c r="H282" s="39"/>
      <c r="I282" s="40"/>
      <c r="J282" s="41"/>
      <c r="K282" s="38"/>
      <c r="L282" s="42" t="str">
        <f aca="false">IF($B282="","",IF(AND(N($I282)=0,N($J282)=0),"금액이 없습니다",IF(AND($I282&gt;0,$J282&gt;0),"수입·지출 둘 다 적혔습니다",IF($C282="","결제수단을 고르십시오",IF(ISNA(MATCH($C282,'교육원 ③ 통장·카드'!$A$5:$A$11,0)),"③ 통장·카드에 없는 결제수단입니다",IF($D282="","계정과목을 고르십시오",IF($E282="※없는 과목","④ 설정에 없는 과목입니다",IF(AND($E282="수입",$J282&gt;0),"수입 과목인데 지출에 적혔습니다",IF(AND(LEFT($E282,2)&lt;&gt;"수입",$E282&lt;&gt;"대체",$I282&gt;0),"지출 과목인데 수입에 적혔습니다",IF($K282="","증빙을 고르십시오",IF($H282="","적요를 적으십시오","")))))))))))</f>
        <v/>
      </c>
      <c r="M282" s="39"/>
      <c r="O282" s="11" t="str">
        <f aca="false">IF($B282="","",YEAR($B282)*100+MONTH($B282))</f>
        <v/>
      </c>
      <c r="P282" s="11" t="str">
        <f aca="false">IF($B282="","",IF($E282="대체",0,1))</f>
        <v/>
      </c>
    </row>
    <row r="283" customFormat="false" ht="15" hidden="false" customHeight="false" outlineLevel="0" collapsed="false">
      <c r="A283" s="36" t="str">
        <f aca="false">IF($B283="","",COUNT($B$15:$B283))</f>
        <v/>
      </c>
      <c r="B283" s="37"/>
      <c r="C283" s="38"/>
      <c r="D283" s="20"/>
      <c r="E283" s="36" t="str">
        <f aca="false">IF($D283="","",IFERROR(INDEX('교육원 ④ 설정'!$A$6:$A$40,MATCH($D283,'교육원 ④ 설정'!$B$6:$B$40,0)),"※없는 과목"))</f>
        <v/>
      </c>
      <c r="F283" s="36" t="str">
        <f aca="false">IF($D283="","",IFERROR(INDEX('교육원 ④ 설정'!$C$6:$C$40,MATCH($D283,'교육원 ④ 설정'!$B$6:$B$40,0)),""))</f>
        <v/>
      </c>
      <c r="G283" s="39"/>
      <c r="H283" s="39"/>
      <c r="I283" s="40"/>
      <c r="J283" s="41"/>
      <c r="K283" s="38"/>
      <c r="L283" s="42" t="str">
        <f aca="false">IF($B283="","",IF(AND(N($I283)=0,N($J283)=0),"금액이 없습니다",IF(AND($I283&gt;0,$J283&gt;0),"수입·지출 둘 다 적혔습니다",IF($C283="","결제수단을 고르십시오",IF(ISNA(MATCH($C283,'교육원 ③ 통장·카드'!$A$5:$A$11,0)),"③ 통장·카드에 없는 결제수단입니다",IF($D283="","계정과목을 고르십시오",IF($E283="※없는 과목","④ 설정에 없는 과목입니다",IF(AND($E283="수입",$J283&gt;0),"수입 과목인데 지출에 적혔습니다",IF(AND(LEFT($E283,2)&lt;&gt;"수입",$E283&lt;&gt;"대체",$I283&gt;0),"지출 과목인데 수입에 적혔습니다",IF($K283="","증빙을 고르십시오",IF($H283="","적요를 적으십시오","")))))))))))</f>
        <v/>
      </c>
      <c r="M283" s="39"/>
      <c r="O283" s="11" t="str">
        <f aca="false">IF($B283="","",YEAR($B283)*100+MONTH($B283))</f>
        <v/>
      </c>
      <c r="P283" s="11" t="str">
        <f aca="false">IF($B283="","",IF($E283="대체",0,1))</f>
        <v/>
      </c>
    </row>
    <row r="284" customFormat="false" ht="15" hidden="false" customHeight="false" outlineLevel="0" collapsed="false">
      <c r="A284" s="36" t="str">
        <f aca="false">IF($B284="","",COUNT($B$15:$B284))</f>
        <v/>
      </c>
      <c r="B284" s="37"/>
      <c r="C284" s="38"/>
      <c r="D284" s="20"/>
      <c r="E284" s="36" t="str">
        <f aca="false">IF($D284="","",IFERROR(INDEX('교육원 ④ 설정'!$A$6:$A$40,MATCH($D284,'교육원 ④ 설정'!$B$6:$B$40,0)),"※없는 과목"))</f>
        <v/>
      </c>
      <c r="F284" s="36" t="str">
        <f aca="false">IF($D284="","",IFERROR(INDEX('교육원 ④ 설정'!$C$6:$C$40,MATCH($D284,'교육원 ④ 설정'!$B$6:$B$40,0)),""))</f>
        <v/>
      </c>
      <c r="G284" s="39"/>
      <c r="H284" s="39"/>
      <c r="I284" s="40"/>
      <c r="J284" s="41"/>
      <c r="K284" s="38"/>
      <c r="L284" s="42" t="str">
        <f aca="false">IF($B284="","",IF(AND(N($I284)=0,N($J284)=0),"금액이 없습니다",IF(AND($I284&gt;0,$J284&gt;0),"수입·지출 둘 다 적혔습니다",IF($C284="","결제수단을 고르십시오",IF(ISNA(MATCH($C284,'교육원 ③ 통장·카드'!$A$5:$A$11,0)),"③ 통장·카드에 없는 결제수단입니다",IF($D284="","계정과목을 고르십시오",IF($E284="※없는 과목","④ 설정에 없는 과목입니다",IF(AND($E284="수입",$J284&gt;0),"수입 과목인데 지출에 적혔습니다",IF(AND(LEFT($E284,2)&lt;&gt;"수입",$E284&lt;&gt;"대체",$I284&gt;0),"지출 과목인데 수입에 적혔습니다",IF($K284="","증빙을 고르십시오",IF($H284="","적요를 적으십시오","")))))))))))</f>
        <v/>
      </c>
      <c r="M284" s="39"/>
      <c r="O284" s="11" t="str">
        <f aca="false">IF($B284="","",YEAR($B284)*100+MONTH($B284))</f>
        <v/>
      </c>
      <c r="P284" s="11" t="str">
        <f aca="false">IF($B284="","",IF($E284="대체",0,1))</f>
        <v/>
      </c>
    </row>
    <row r="285" customFormat="false" ht="15" hidden="false" customHeight="false" outlineLevel="0" collapsed="false">
      <c r="A285" s="36" t="str">
        <f aca="false">IF($B285="","",COUNT($B$15:$B285))</f>
        <v/>
      </c>
      <c r="B285" s="37"/>
      <c r="C285" s="38"/>
      <c r="D285" s="20"/>
      <c r="E285" s="36" t="str">
        <f aca="false">IF($D285="","",IFERROR(INDEX('교육원 ④ 설정'!$A$6:$A$40,MATCH($D285,'교육원 ④ 설정'!$B$6:$B$40,0)),"※없는 과목"))</f>
        <v/>
      </c>
      <c r="F285" s="36" t="str">
        <f aca="false">IF($D285="","",IFERROR(INDEX('교육원 ④ 설정'!$C$6:$C$40,MATCH($D285,'교육원 ④ 설정'!$B$6:$B$40,0)),""))</f>
        <v/>
      </c>
      <c r="G285" s="39"/>
      <c r="H285" s="39"/>
      <c r="I285" s="40"/>
      <c r="J285" s="41"/>
      <c r="K285" s="38"/>
      <c r="L285" s="42" t="str">
        <f aca="false">IF($B285="","",IF(AND(N($I285)=0,N($J285)=0),"금액이 없습니다",IF(AND($I285&gt;0,$J285&gt;0),"수입·지출 둘 다 적혔습니다",IF($C285="","결제수단을 고르십시오",IF(ISNA(MATCH($C285,'교육원 ③ 통장·카드'!$A$5:$A$11,0)),"③ 통장·카드에 없는 결제수단입니다",IF($D285="","계정과목을 고르십시오",IF($E285="※없는 과목","④ 설정에 없는 과목입니다",IF(AND($E285="수입",$J285&gt;0),"수입 과목인데 지출에 적혔습니다",IF(AND(LEFT($E285,2)&lt;&gt;"수입",$E285&lt;&gt;"대체",$I285&gt;0),"지출 과목인데 수입에 적혔습니다",IF($K285="","증빙을 고르십시오",IF($H285="","적요를 적으십시오","")))))))))))</f>
        <v/>
      </c>
      <c r="M285" s="39"/>
      <c r="O285" s="11" t="str">
        <f aca="false">IF($B285="","",YEAR($B285)*100+MONTH($B285))</f>
        <v/>
      </c>
      <c r="P285" s="11" t="str">
        <f aca="false">IF($B285="","",IF($E285="대체",0,1))</f>
        <v/>
      </c>
    </row>
    <row r="286" customFormat="false" ht="15" hidden="false" customHeight="false" outlineLevel="0" collapsed="false">
      <c r="A286" s="36" t="str">
        <f aca="false">IF($B286="","",COUNT($B$15:$B286))</f>
        <v/>
      </c>
      <c r="B286" s="37"/>
      <c r="C286" s="38"/>
      <c r="D286" s="20"/>
      <c r="E286" s="36" t="str">
        <f aca="false">IF($D286="","",IFERROR(INDEX('교육원 ④ 설정'!$A$6:$A$40,MATCH($D286,'교육원 ④ 설정'!$B$6:$B$40,0)),"※없는 과목"))</f>
        <v/>
      </c>
      <c r="F286" s="36" t="str">
        <f aca="false">IF($D286="","",IFERROR(INDEX('교육원 ④ 설정'!$C$6:$C$40,MATCH($D286,'교육원 ④ 설정'!$B$6:$B$40,0)),""))</f>
        <v/>
      </c>
      <c r="G286" s="39"/>
      <c r="H286" s="39"/>
      <c r="I286" s="40"/>
      <c r="J286" s="41"/>
      <c r="K286" s="38"/>
      <c r="L286" s="42" t="str">
        <f aca="false">IF($B286="","",IF(AND(N($I286)=0,N($J286)=0),"금액이 없습니다",IF(AND($I286&gt;0,$J286&gt;0),"수입·지출 둘 다 적혔습니다",IF($C286="","결제수단을 고르십시오",IF(ISNA(MATCH($C286,'교육원 ③ 통장·카드'!$A$5:$A$11,0)),"③ 통장·카드에 없는 결제수단입니다",IF($D286="","계정과목을 고르십시오",IF($E286="※없는 과목","④ 설정에 없는 과목입니다",IF(AND($E286="수입",$J286&gt;0),"수입 과목인데 지출에 적혔습니다",IF(AND(LEFT($E286,2)&lt;&gt;"수입",$E286&lt;&gt;"대체",$I286&gt;0),"지출 과목인데 수입에 적혔습니다",IF($K286="","증빙을 고르십시오",IF($H286="","적요를 적으십시오","")))))))))))</f>
        <v/>
      </c>
      <c r="M286" s="39"/>
      <c r="O286" s="11" t="str">
        <f aca="false">IF($B286="","",YEAR($B286)*100+MONTH($B286))</f>
        <v/>
      </c>
      <c r="P286" s="11" t="str">
        <f aca="false">IF($B286="","",IF($E286="대체",0,1))</f>
        <v/>
      </c>
    </row>
    <row r="287" customFormat="false" ht="15" hidden="false" customHeight="false" outlineLevel="0" collapsed="false">
      <c r="A287" s="36" t="str">
        <f aca="false">IF($B287="","",COUNT($B$15:$B287))</f>
        <v/>
      </c>
      <c r="B287" s="37"/>
      <c r="C287" s="38"/>
      <c r="D287" s="20"/>
      <c r="E287" s="36" t="str">
        <f aca="false">IF($D287="","",IFERROR(INDEX('교육원 ④ 설정'!$A$6:$A$40,MATCH($D287,'교육원 ④ 설정'!$B$6:$B$40,0)),"※없는 과목"))</f>
        <v/>
      </c>
      <c r="F287" s="36" t="str">
        <f aca="false">IF($D287="","",IFERROR(INDEX('교육원 ④ 설정'!$C$6:$C$40,MATCH($D287,'교육원 ④ 설정'!$B$6:$B$40,0)),""))</f>
        <v/>
      </c>
      <c r="G287" s="39"/>
      <c r="H287" s="39"/>
      <c r="I287" s="40"/>
      <c r="J287" s="41"/>
      <c r="K287" s="38"/>
      <c r="L287" s="42" t="str">
        <f aca="false">IF($B287="","",IF(AND(N($I287)=0,N($J287)=0),"금액이 없습니다",IF(AND($I287&gt;0,$J287&gt;0),"수입·지출 둘 다 적혔습니다",IF($C287="","결제수단을 고르십시오",IF(ISNA(MATCH($C287,'교육원 ③ 통장·카드'!$A$5:$A$11,0)),"③ 통장·카드에 없는 결제수단입니다",IF($D287="","계정과목을 고르십시오",IF($E287="※없는 과목","④ 설정에 없는 과목입니다",IF(AND($E287="수입",$J287&gt;0),"수입 과목인데 지출에 적혔습니다",IF(AND(LEFT($E287,2)&lt;&gt;"수입",$E287&lt;&gt;"대체",$I287&gt;0),"지출 과목인데 수입에 적혔습니다",IF($K287="","증빙을 고르십시오",IF($H287="","적요를 적으십시오","")))))))))))</f>
        <v/>
      </c>
      <c r="M287" s="39"/>
      <c r="O287" s="11" t="str">
        <f aca="false">IF($B287="","",YEAR($B287)*100+MONTH($B287))</f>
        <v/>
      </c>
      <c r="P287" s="11" t="str">
        <f aca="false">IF($B287="","",IF($E287="대체",0,1))</f>
        <v/>
      </c>
    </row>
    <row r="288" customFormat="false" ht="15" hidden="false" customHeight="false" outlineLevel="0" collapsed="false">
      <c r="A288" s="36" t="str">
        <f aca="false">IF($B288="","",COUNT($B$15:$B288))</f>
        <v/>
      </c>
      <c r="B288" s="37"/>
      <c r="C288" s="38"/>
      <c r="D288" s="20"/>
      <c r="E288" s="36" t="str">
        <f aca="false">IF($D288="","",IFERROR(INDEX('교육원 ④ 설정'!$A$6:$A$40,MATCH($D288,'교육원 ④ 설정'!$B$6:$B$40,0)),"※없는 과목"))</f>
        <v/>
      </c>
      <c r="F288" s="36" t="str">
        <f aca="false">IF($D288="","",IFERROR(INDEX('교육원 ④ 설정'!$C$6:$C$40,MATCH($D288,'교육원 ④ 설정'!$B$6:$B$40,0)),""))</f>
        <v/>
      </c>
      <c r="G288" s="39"/>
      <c r="H288" s="39"/>
      <c r="I288" s="40"/>
      <c r="J288" s="41"/>
      <c r="K288" s="38"/>
      <c r="L288" s="42" t="str">
        <f aca="false">IF($B288="","",IF(AND(N($I288)=0,N($J288)=0),"금액이 없습니다",IF(AND($I288&gt;0,$J288&gt;0),"수입·지출 둘 다 적혔습니다",IF($C288="","결제수단을 고르십시오",IF(ISNA(MATCH($C288,'교육원 ③ 통장·카드'!$A$5:$A$11,0)),"③ 통장·카드에 없는 결제수단입니다",IF($D288="","계정과목을 고르십시오",IF($E288="※없는 과목","④ 설정에 없는 과목입니다",IF(AND($E288="수입",$J288&gt;0),"수입 과목인데 지출에 적혔습니다",IF(AND(LEFT($E288,2)&lt;&gt;"수입",$E288&lt;&gt;"대체",$I288&gt;0),"지출 과목인데 수입에 적혔습니다",IF($K288="","증빙을 고르십시오",IF($H288="","적요를 적으십시오","")))))))))))</f>
        <v/>
      </c>
      <c r="M288" s="39"/>
      <c r="O288" s="11" t="str">
        <f aca="false">IF($B288="","",YEAR($B288)*100+MONTH($B288))</f>
        <v/>
      </c>
      <c r="P288" s="11" t="str">
        <f aca="false">IF($B288="","",IF($E288="대체",0,1))</f>
        <v/>
      </c>
    </row>
    <row r="289" customFormat="false" ht="15" hidden="false" customHeight="false" outlineLevel="0" collapsed="false">
      <c r="A289" s="36" t="str">
        <f aca="false">IF($B289="","",COUNT($B$15:$B289))</f>
        <v/>
      </c>
      <c r="B289" s="37"/>
      <c r="C289" s="38"/>
      <c r="D289" s="20"/>
      <c r="E289" s="36" t="str">
        <f aca="false">IF($D289="","",IFERROR(INDEX('교육원 ④ 설정'!$A$6:$A$40,MATCH($D289,'교육원 ④ 설정'!$B$6:$B$40,0)),"※없는 과목"))</f>
        <v/>
      </c>
      <c r="F289" s="36" t="str">
        <f aca="false">IF($D289="","",IFERROR(INDEX('교육원 ④ 설정'!$C$6:$C$40,MATCH($D289,'교육원 ④ 설정'!$B$6:$B$40,0)),""))</f>
        <v/>
      </c>
      <c r="G289" s="39"/>
      <c r="H289" s="39"/>
      <c r="I289" s="40"/>
      <c r="J289" s="41"/>
      <c r="K289" s="38"/>
      <c r="L289" s="42" t="str">
        <f aca="false">IF($B289="","",IF(AND(N($I289)=0,N($J289)=0),"금액이 없습니다",IF(AND($I289&gt;0,$J289&gt;0),"수입·지출 둘 다 적혔습니다",IF($C289="","결제수단을 고르십시오",IF(ISNA(MATCH($C289,'교육원 ③ 통장·카드'!$A$5:$A$11,0)),"③ 통장·카드에 없는 결제수단입니다",IF($D289="","계정과목을 고르십시오",IF($E289="※없는 과목","④ 설정에 없는 과목입니다",IF(AND($E289="수입",$J289&gt;0),"수입 과목인데 지출에 적혔습니다",IF(AND(LEFT($E289,2)&lt;&gt;"수입",$E289&lt;&gt;"대체",$I289&gt;0),"지출 과목인데 수입에 적혔습니다",IF($K289="","증빙을 고르십시오",IF($H289="","적요를 적으십시오","")))))))))))</f>
        <v/>
      </c>
      <c r="M289" s="39"/>
      <c r="O289" s="11" t="str">
        <f aca="false">IF($B289="","",YEAR($B289)*100+MONTH($B289))</f>
        <v/>
      </c>
      <c r="P289" s="11" t="str">
        <f aca="false">IF($B289="","",IF($E289="대체",0,1))</f>
        <v/>
      </c>
    </row>
    <row r="290" customFormat="false" ht="15" hidden="false" customHeight="false" outlineLevel="0" collapsed="false">
      <c r="A290" s="36" t="str">
        <f aca="false">IF($B290="","",COUNT($B$15:$B290))</f>
        <v/>
      </c>
      <c r="B290" s="37"/>
      <c r="C290" s="38"/>
      <c r="D290" s="20"/>
      <c r="E290" s="36" t="str">
        <f aca="false">IF($D290="","",IFERROR(INDEX('교육원 ④ 설정'!$A$6:$A$40,MATCH($D290,'교육원 ④ 설정'!$B$6:$B$40,0)),"※없는 과목"))</f>
        <v/>
      </c>
      <c r="F290" s="36" t="str">
        <f aca="false">IF($D290="","",IFERROR(INDEX('교육원 ④ 설정'!$C$6:$C$40,MATCH($D290,'교육원 ④ 설정'!$B$6:$B$40,0)),""))</f>
        <v/>
      </c>
      <c r="G290" s="39"/>
      <c r="H290" s="39"/>
      <c r="I290" s="40"/>
      <c r="J290" s="41"/>
      <c r="K290" s="38"/>
      <c r="L290" s="42" t="str">
        <f aca="false">IF($B290="","",IF(AND(N($I290)=0,N($J290)=0),"금액이 없습니다",IF(AND($I290&gt;0,$J290&gt;0),"수입·지출 둘 다 적혔습니다",IF($C290="","결제수단을 고르십시오",IF(ISNA(MATCH($C290,'교육원 ③ 통장·카드'!$A$5:$A$11,0)),"③ 통장·카드에 없는 결제수단입니다",IF($D290="","계정과목을 고르십시오",IF($E290="※없는 과목","④ 설정에 없는 과목입니다",IF(AND($E290="수입",$J290&gt;0),"수입 과목인데 지출에 적혔습니다",IF(AND(LEFT($E290,2)&lt;&gt;"수입",$E290&lt;&gt;"대체",$I290&gt;0),"지출 과목인데 수입에 적혔습니다",IF($K290="","증빙을 고르십시오",IF($H290="","적요를 적으십시오","")))))))))))</f>
        <v/>
      </c>
      <c r="M290" s="39"/>
      <c r="O290" s="11" t="str">
        <f aca="false">IF($B290="","",YEAR($B290)*100+MONTH($B290))</f>
        <v/>
      </c>
      <c r="P290" s="11" t="str">
        <f aca="false">IF($B290="","",IF($E290="대체",0,1))</f>
        <v/>
      </c>
    </row>
    <row r="291" customFormat="false" ht="15" hidden="false" customHeight="false" outlineLevel="0" collapsed="false">
      <c r="A291" s="36" t="str">
        <f aca="false">IF($B291="","",COUNT($B$15:$B291))</f>
        <v/>
      </c>
      <c r="B291" s="37"/>
      <c r="C291" s="38"/>
      <c r="D291" s="20"/>
      <c r="E291" s="36" t="str">
        <f aca="false">IF($D291="","",IFERROR(INDEX('교육원 ④ 설정'!$A$6:$A$40,MATCH($D291,'교육원 ④ 설정'!$B$6:$B$40,0)),"※없는 과목"))</f>
        <v/>
      </c>
      <c r="F291" s="36" t="str">
        <f aca="false">IF($D291="","",IFERROR(INDEX('교육원 ④ 설정'!$C$6:$C$40,MATCH($D291,'교육원 ④ 설정'!$B$6:$B$40,0)),""))</f>
        <v/>
      </c>
      <c r="G291" s="39"/>
      <c r="H291" s="39"/>
      <c r="I291" s="40"/>
      <c r="J291" s="41"/>
      <c r="K291" s="38"/>
      <c r="L291" s="42" t="str">
        <f aca="false">IF($B291="","",IF(AND(N($I291)=0,N($J291)=0),"금액이 없습니다",IF(AND($I291&gt;0,$J291&gt;0),"수입·지출 둘 다 적혔습니다",IF($C291="","결제수단을 고르십시오",IF(ISNA(MATCH($C291,'교육원 ③ 통장·카드'!$A$5:$A$11,0)),"③ 통장·카드에 없는 결제수단입니다",IF($D291="","계정과목을 고르십시오",IF($E291="※없는 과목","④ 설정에 없는 과목입니다",IF(AND($E291="수입",$J291&gt;0),"수입 과목인데 지출에 적혔습니다",IF(AND(LEFT($E291,2)&lt;&gt;"수입",$E291&lt;&gt;"대체",$I291&gt;0),"지출 과목인데 수입에 적혔습니다",IF($K291="","증빙을 고르십시오",IF($H291="","적요를 적으십시오","")))))))))))</f>
        <v/>
      </c>
      <c r="M291" s="39"/>
      <c r="O291" s="11" t="str">
        <f aca="false">IF($B291="","",YEAR($B291)*100+MONTH($B291))</f>
        <v/>
      </c>
      <c r="P291" s="11" t="str">
        <f aca="false">IF($B291="","",IF($E291="대체",0,1))</f>
        <v/>
      </c>
    </row>
    <row r="292" customFormat="false" ht="15" hidden="false" customHeight="false" outlineLevel="0" collapsed="false">
      <c r="A292" s="36" t="str">
        <f aca="false">IF($B292="","",COUNT($B$15:$B292))</f>
        <v/>
      </c>
      <c r="B292" s="37"/>
      <c r="C292" s="38"/>
      <c r="D292" s="20"/>
      <c r="E292" s="36" t="str">
        <f aca="false">IF($D292="","",IFERROR(INDEX('교육원 ④ 설정'!$A$6:$A$40,MATCH($D292,'교육원 ④ 설정'!$B$6:$B$40,0)),"※없는 과목"))</f>
        <v/>
      </c>
      <c r="F292" s="36" t="str">
        <f aca="false">IF($D292="","",IFERROR(INDEX('교육원 ④ 설정'!$C$6:$C$40,MATCH($D292,'교육원 ④ 설정'!$B$6:$B$40,0)),""))</f>
        <v/>
      </c>
      <c r="G292" s="39"/>
      <c r="H292" s="39"/>
      <c r="I292" s="40"/>
      <c r="J292" s="41"/>
      <c r="K292" s="38"/>
      <c r="L292" s="42" t="str">
        <f aca="false">IF($B292="","",IF(AND(N($I292)=0,N($J292)=0),"금액이 없습니다",IF(AND($I292&gt;0,$J292&gt;0),"수입·지출 둘 다 적혔습니다",IF($C292="","결제수단을 고르십시오",IF(ISNA(MATCH($C292,'교육원 ③ 통장·카드'!$A$5:$A$11,0)),"③ 통장·카드에 없는 결제수단입니다",IF($D292="","계정과목을 고르십시오",IF($E292="※없는 과목","④ 설정에 없는 과목입니다",IF(AND($E292="수입",$J292&gt;0),"수입 과목인데 지출에 적혔습니다",IF(AND(LEFT($E292,2)&lt;&gt;"수입",$E292&lt;&gt;"대체",$I292&gt;0),"지출 과목인데 수입에 적혔습니다",IF($K292="","증빙을 고르십시오",IF($H292="","적요를 적으십시오","")))))))))))</f>
        <v/>
      </c>
      <c r="M292" s="39"/>
      <c r="O292" s="11" t="str">
        <f aca="false">IF($B292="","",YEAR($B292)*100+MONTH($B292))</f>
        <v/>
      </c>
      <c r="P292" s="11" t="str">
        <f aca="false">IF($B292="","",IF($E292="대체",0,1))</f>
        <v/>
      </c>
    </row>
    <row r="293" customFormat="false" ht="15" hidden="false" customHeight="false" outlineLevel="0" collapsed="false">
      <c r="A293" s="36" t="str">
        <f aca="false">IF($B293="","",COUNT($B$15:$B293))</f>
        <v/>
      </c>
      <c r="B293" s="37"/>
      <c r="C293" s="38"/>
      <c r="D293" s="20"/>
      <c r="E293" s="36" t="str">
        <f aca="false">IF($D293="","",IFERROR(INDEX('교육원 ④ 설정'!$A$6:$A$40,MATCH($D293,'교육원 ④ 설정'!$B$6:$B$40,0)),"※없는 과목"))</f>
        <v/>
      </c>
      <c r="F293" s="36" t="str">
        <f aca="false">IF($D293="","",IFERROR(INDEX('교육원 ④ 설정'!$C$6:$C$40,MATCH($D293,'교육원 ④ 설정'!$B$6:$B$40,0)),""))</f>
        <v/>
      </c>
      <c r="G293" s="39"/>
      <c r="H293" s="39"/>
      <c r="I293" s="40"/>
      <c r="J293" s="41"/>
      <c r="K293" s="38"/>
      <c r="L293" s="42" t="str">
        <f aca="false">IF($B293="","",IF(AND(N($I293)=0,N($J293)=0),"금액이 없습니다",IF(AND($I293&gt;0,$J293&gt;0),"수입·지출 둘 다 적혔습니다",IF($C293="","결제수단을 고르십시오",IF(ISNA(MATCH($C293,'교육원 ③ 통장·카드'!$A$5:$A$11,0)),"③ 통장·카드에 없는 결제수단입니다",IF($D293="","계정과목을 고르십시오",IF($E293="※없는 과목","④ 설정에 없는 과목입니다",IF(AND($E293="수입",$J293&gt;0),"수입 과목인데 지출에 적혔습니다",IF(AND(LEFT($E293,2)&lt;&gt;"수입",$E293&lt;&gt;"대체",$I293&gt;0),"지출 과목인데 수입에 적혔습니다",IF($K293="","증빙을 고르십시오",IF($H293="","적요를 적으십시오","")))))))))))</f>
        <v/>
      </c>
      <c r="M293" s="39"/>
      <c r="O293" s="11" t="str">
        <f aca="false">IF($B293="","",YEAR($B293)*100+MONTH($B293))</f>
        <v/>
      </c>
      <c r="P293" s="11" t="str">
        <f aca="false">IF($B293="","",IF($E293="대체",0,1))</f>
        <v/>
      </c>
    </row>
    <row r="294" customFormat="false" ht="15" hidden="false" customHeight="false" outlineLevel="0" collapsed="false">
      <c r="A294" s="36" t="str">
        <f aca="false">IF($B294="","",COUNT($B$15:$B294))</f>
        <v/>
      </c>
      <c r="B294" s="37"/>
      <c r="C294" s="38"/>
      <c r="D294" s="20"/>
      <c r="E294" s="36" t="str">
        <f aca="false">IF($D294="","",IFERROR(INDEX('교육원 ④ 설정'!$A$6:$A$40,MATCH($D294,'교육원 ④ 설정'!$B$6:$B$40,0)),"※없는 과목"))</f>
        <v/>
      </c>
      <c r="F294" s="36" t="str">
        <f aca="false">IF($D294="","",IFERROR(INDEX('교육원 ④ 설정'!$C$6:$C$40,MATCH($D294,'교육원 ④ 설정'!$B$6:$B$40,0)),""))</f>
        <v/>
      </c>
      <c r="G294" s="39"/>
      <c r="H294" s="39"/>
      <c r="I294" s="40"/>
      <c r="J294" s="41"/>
      <c r="K294" s="38"/>
      <c r="L294" s="42" t="str">
        <f aca="false">IF($B294="","",IF(AND(N($I294)=0,N($J294)=0),"금액이 없습니다",IF(AND($I294&gt;0,$J294&gt;0),"수입·지출 둘 다 적혔습니다",IF($C294="","결제수단을 고르십시오",IF(ISNA(MATCH($C294,'교육원 ③ 통장·카드'!$A$5:$A$11,0)),"③ 통장·카드에 없는 결제수단입니다",IF($D294="","계정과목을 고르십시오",IF($E294="※없는 과목","④ 설정에 없는 과목입니다",IF(AND($E294="수입",$J294&gt;0),"수입 과목인데 지출에 적혔습니다",IF(AND(LEFT($E294,2)&lt;&gt;"수입",$E294&lt;&gt;"대체",$I294&gt;0),"지출 과목인데 수입에 적혔습니다",IF($K294="","증빙을 고르십시오",IF($H294="","적요를 적으십시오","")))))))))))</f>
        <v/>
      </c>
      <c r="M294" s="39"/>
      <c r="O294" s="11" t="str">
        <f aca="false">IF($B294="","",YEAR($B294)*100+MONTH($B294))</f>
        <v/>
      </c>
      <c r="P294" s="11" t="str">
        <f aca="false">IF($B294="","",IF($E294="대체",0,1))</f>
        <v/>
      </c>
    </row>
    <row r="295" customFormat="false" ht="15" hidden="false" customHeight="false" outlineLevel="0" collapsed="false">
      <c r="A295" s="36" t="str">
        <f aca="false">IF($B295="","",COUNT($B$15:$B295))</f>
        <v/>
      </c>
      <c r="B295" s="37"/>
      <c r="C295" s="38"/>
      <c r="D295" s="20"/>
      <c r="E295" s="36" t="str">
        <f aca="false">IF($D295="","",IFERROR(INDEX('교육원 ④ 설정'!$A$6:$A$40,MATCH($D295,'교육원 ④ 설정'!$B$6:$B$40,0)),"※없는 과목"))</f>
        <v/>
      </c>
      <c r="F295" s="36" t="str">
        <f aca="false">IF($D295="","",IFERROR(INDEX('교육원 ④ 설정'!$C$6:$C$40,MATCH($D295,'교육원 ④ 설정'!$B$6:$B$40,0)),""))</f>
        <v/>
      </c>
      <c r="G295" s="39"/>
      <c r="H295" s="39"/>
      <c r="I295" s="40"/>
      <c r="J295" s="41"/>
      <c r="K295" s="38"/>
      <c r="L295" s="42" t="str">
        <f aca="false">IF($B295="","",IF(AND(N($I295)=0,N($J295)=0),"금액이 없습니다",IF(AND($I295&gt;0,$J295&gt;0),"수입·지출 둘 다 적혔습니다",IF($C295="","결제수단을 고르십시오",IF(ISNA(MATCH($C295,'교육원 ③ 통장·카드'!$A$5:$A$11,0)),"③ 통장·카드에 없는 결제수단입니다",IF($D295="","계정과목을 고르십시오",IF($E295="※없는 과목","④ 설정에 없는 과목입니다",IF(AND($E295="수입",$J295&gt;0),"수입 과목인데 지출에 적혔습니다",IF(AND(LEFT($E295,2)&lt;&gt;"수입",$E295&lt;&gt;"대체",$I295&gt;0),"지출 과목인데 수입에 적혔습니다",IF($K295="","증빙을 고르십시오",IF($H295="","적요를 적으십시오","")))))))))))</f>
        <v/>
      </c>
      <c r="M295" s="39"/>
      <c r="O295" s="11" t="str">
        <f aca="false">IF($B295="","",YEAR($B295)*100+MONTH($B295))</f>
        <v/>
      </c>
      <c r="P295" s="11" t="str">
        <f aca="false">IF($B295="","",IF($E295="대체",0,1))</f>
        <v/>
      </c>
    </row>
    <row r="296" customFormat="false" ht="15" hidden="false" customHeight="false" outlineLevel="0" collapsed="false">
      <c r="A296" s="36" t="str">
        <f aca="false">IF($B296="","",COUNT($B$15:$B296))</f>
        <v/>
      </c>
      <c r="B296" s="37"/>
      <c r="C296" s="38"/>
      <c r="D296" s="20"/>
      <c r="E296" s="36" t="str">
        <f aca="false">IF($D296="","",IFERROR(INDEX('교육원 ④ 설정'!$A$6:$A$40,MATCH($D296,'교육원 ④ 설정'!$B$6:$B$40,0)),"※없는 과목"))</f>
        <v/>
      </c>
      <c r="F296" s="36" t="str">
        <f aca="false">IF($D296="","",IFERROR(INDEX('교육원 ④ 설정'!$C$6:$C$40,MATCH($D296,'교육원 ④ 설정'!$B$6:$B$40,0)),""))</f>
        <v/>
      </c>
      <c r="G296" s="39"/>
      <c r="H296" s="39"/>
      <c r="I296" s="40"/>
      <c r="J296" s="41"/>
      <c r="K296" s="38"/>
      <c r="L296" s="42" t="str">
        <f aca="false">IF($B296="","",IF(AND(N($I296)=0,N($J296)=0),"금액이 없습니다",IF(AND($I296&gt;0,$J296&gt;0),"수입·지출 둘 다 적혔습니다",IF($C296="","결제수단을 고르십시오",IF(ISNA(MATCH($C296,'교육원 ③ 통장·카드'!$A$5:$A$11,0)),"③ 통장·카드에 없는 결제수단입니다",IF($D296="","계정과목을 고르십시오",IF($E296="※없는 과목","④ 설정에 없는 과목입니다",IF(AND($E296="수입",$J296&gt;0),"수입 과목인데 지출에 적혔습니다",IF(AND(LEFT($E296,2)&lt;&gt;"수입",$E296&lt;&gt;"대체",$I296&gt;0),"지출 과목인데 수입에 적혔습니다",IF($K296="","증빙을 고르십시오",IF($H296="","적요를 적으십시오","")))))))))))</f>
        <v/>
      </c>
      <c r="M296" s="39"/>
      <c r="O296" s="11" t="str">
        <f aca="false">IF($B296="","",YEAR($B296)*100+MONTH($B296))</f>
        <v/>
      </c>
      <c r="P296" s="11" t="str">
        <f aca="false">IF($B296="","",IF($E296="대체",0,1))</f>
        <v/>
      </c>
    </row>
    <row r="297" customFormat="false" ht="15" hidden="false" customHeight="false" outlineLevel="0" collapsed="false">
      <c r="A297" s="36" t="str">
        <f aca="false">IF($B297="","",COUNT($B$15:$B297))</f>
        <v/>
      </c>
      <c r="B297" s="37"/>
      <c r="C297" s="38"/>
      <c r="D297" s="20"/>
      <c r="E297" s="36" t="str">
        <f aca="false">IF($D297="","",IFERROR(INDEX('교육원 ④ 설정'!$A$6:$A$40,MATCH($D297,'교육원 ④ 설정'!$B$6:$B$40,0)),"※없는 과목"))</f>
        <v/>
      </c>
      <c r="F297" s="36" t="str">
        <f aca="false">IF($D297="","",IFERROR(INDEX('교육원 ④ 설정'!$C$6:$C$40,MATCH($D297,'교육원 ④ 설정'!$B$6:$B$40,0)),""))</f>
        <v/>
      </c>
      <c r="G297" s="39"/>
      <c r="H297" s="39"/>
      <c r="I297" s="40"/>
      <c r="J297" s="41"/>
      <c r="K297" s="38"/>
      <c r="L297" s="42" t="str">
        <f aca="false">IF($B297="","",IF(AND(N($I297)=0,N($J297)=0),"금액이 없습니다",IF(AND($I297&gt;0,$J297&gt;0),"수입·지출 둘 다 적혔습니다",IF($C297="","결제수단을 고르십시오",IF(ISNA(MATCH($C297,'교육원 ③ 통장·카드'!$A$5:$A$11,0)),"③ 통장·카드에 없는 결제수단입니다",IF($D297="","계정과목을 고르십시오",IF($E297="※없는 과목","④ 설정에 없는 과목입니다",IF(AND($E297="수입",$J297&gt;0),"수입 과목인데 지출에 적혔습니다",IF(AND(LEFT($E297,2)&lt;&gt;"수입",$E297&lt;&gt;"대체",$I297&gt;0),"지출 과목인데 수입에 적혔습니다",IF($K297="","증빙을 고르십시오",IF($H297="","적요를 적으십시오","")))))))))))</f>
        <v/>
      </c>
      <c r="M297" s="39"/>
      <c r="O297" s="11" t="str">
        <f aca="false">IF($B297="","",YEAR($B297)*100+MONTH($B297))</f>
        <v/>
      </c>
      <c r="P297" s="11" t="str">
        <f aca="false">IF($B297="","",IF($E297="대체",0,1))</f>
        <v/>
      </c>
    </row>
    <row r="298" customFormat="false" ht="15" hidden="false" customHeight="false" outlineLevel="0" collapsed="false">
      <c r="A298" s="36" t="str">
        <f aca="false">IF($B298="","",COUNT($B$15:$B298))</f>
        <v/>
      </c>
      <c r="B298" s="37"/>
      <c r="C298" s="38"/>
      <c r="D298" s="20"/>
      <c r="E298" s="36" t="str">
        <f aca="false">IF($D298="","",IFERROR(INDEX('교육원 ④ 설정'!$A$6:$A$40,MATCH($D298,'교육원 ④ 설정'!$B$6:$B$40,0)),"※없는 과목"))</f>
        <v/>
      </c>
      <c r="F298" s="36" t="str">
        <f aca="false">IF($D298="","",IFERROR(INDEX('교육원 ④ 설정'!$C$6:$C$40,MATCH($D298,'교육원 ④ 설정'!$B$6:$B$40,0)),""))</f>
        <v/>
      </c>
      <c r="G298" s="39"/>
      <c r="H298" s="39"/>
      <c r="I298" s="40"/>
      <c r="J298" s="41"/>
      <c r="K298" s="38"/>
      <c r="L298" s="42" t="str">
        <f aca="false">IF($B298="","",IF(AND(N($I298)=0,N($J298)=0),"금액이 없습니다",IF(AND($I298&gt;0,$J298&gt;0),"수입·지출 둘 다 적혔습니다",IF($C298="","결제수단을 고르십시오",IF(ISNA(MATCH($C298,'교육원 ③ 통장·카드'!$A$5:$A$11,0)),"③ 통장·카드에 없는 결제수단입니다",IF($D298="","계정과목을 고르십시오",IF($E298="※없는 과목","④ 설정에 없는 과목입니다",IF(AND($E298="수입",$J298&gt;0),"수입 과목인데 지출에 적혔습니다",IF(AND(LEFT($E298,2)&lt;&gt;"수입",$E298&lt;&gt;"대체",$I298&gt;0),"지출 과목인데 수입에 적혔습니다",IF($K298="","증빙을 고르십시오",IF($H298="","적요를 적으십시오","")))))))))))</f>
        <v/>
      </c>
      <c r="M298" s="39"/>
      <c r="O298" s="11" t="str">
        <f aca="false">IF($B298="","",YEAR($B298)*100+MONTH($B298))</f>
        <v/>
      </c>
      <c r="P298" s="11" t="str">
        <f aca="false">IF($B298="","",IF($E298="대체",0,1))</f>
        <v/>
      </c>
    </row>
    <row r="299" customFormat="false" ht="15" hidden="false" customHeight="false" outlineLevel="0" collapsed="false">
      <c r="A299" s="36" t="str">
        <f aca="false">IF($B299="","",COUNT($B$15:$B299))</f>
        <v/>
      </c>
      <c r="B299" s="37"/>
      <c r="C299" s="38"/>
      <c r="D299" s="20"/>
      <c r="E299" s="36" t="str">
        <f aca="false">IF($D299="","",IFERROR(INDEX('교육원 ④ 설정'!$A$6:$A$40,MATCH($D299,'교육원 ④ 설정'!$B$6:$B$40,0)),"※없는 과목"))</f>
        <v/>
      </c>
      <c r="F299" s="36" t="str">
        <f aca="false">IF($D299="","",IFERROR(INDEX('교육원 ④ 설정'!$C$6:$C$40,MATCH($D299,'교육원 ④ 설정'!$B$6:$B$40,0)),""))</f>
        <v/>
      </c>
      <c r="G299" s="39"/>
      <c r="H299" s="39"/>
      <c r="I299" s="40"/>
      <c r="J299" s="41"/>
      <c r="K299" s="38"/>
      <c r="L299" s="42" t="str">
        <f aca="false">IF($B299="","",IF(AND(N($I299)=0,N($J299)=0),"금액이 없습니다",IF(AND($I299&gt;0,$J299&gt;0),"수입·지출 둘 다 적혔습니다",IF($C299="","결제수단을 고르십시오",IF(ISNA(MATCH($C299,'교육원 ③ 통장·카드'!$A$5:$A$11,0)),"③ 통장·카드에 없는 결제수단입니다",IF($D299="","계정과목을 고르십시오",IF($E299="※없는 과목","④ 설정에 없는 과목입니다",IF(AND($E299="수입",$J299&gt;0),"수입 과목인데 지출에 적혔습니다",IF(AND(LEFT($E299,2)&lt;&gt;"수입",$E299&lt;&gt;"대체",$I299&gt;0),"지출 과목인데 수입에 적혔습니다",IF($K299="","증빙을 고르십시오",IF($H299="","적요를 적으십시오","")))))))))))</f>
        <v/>
      </c>
      <c r="M299" s="39"/>
      <c r="O299" s="11" t="str">
        <f aca="false">IF($B299="","",YEAR($B299)*100+MONTH($B299))</f>
        <v/>
      </c>
      <c r="P299" s="11" t="str">
        <f aca="false">IF($B299="","",IF($E299="대체",0,1))</f>
        <v/>
      </c>
    </row>
    <row r="300" customFormat="false" ht="15" hidden="false" customHeight="false" outlineLevel="0" collapsed="false">
      <c r="A300" s="36" t="str">
        <f aca="false">IF($B300="","",COUNT($B$15:$B300))</f>
        <v/>
      </c>
      <c r="B300" s="37"/>
      <c r="C300" s="38"/>
      <c r="D300" s="20"/>
      <c r="E300" s="36" t="str">
        <f aca="false">IF($D300="","",IFERROR(INDEX('교육원 ④ 설정'!$A$6:$A$40,MATCH($D300,'교육원 ④ 설정'!$B$6:$B$40,0)),"※없는 과목"))</f>
        <v/>
      </c>
      <c r="F300" s="36" t="str">
        <f aca="false">IF($D300="","",IFERROR(INDEX('교육원 ④ 설정'!$C$6:$C$40,MATCH($D300,'교육원 ④ 설정'!$B$6:$B$40,0)),""))</f>
        <v/>
      </c>
      <c r="G300" s="39"/>
      <c r="H300" s="39"/>
      <c r="I300" s="40"/>
      <c r="J300" s="41"/>
      <c r="K300" s="38"/>
      <c r="L300" s="42" t="str">
        <f aca="false">IF($B300="","",IF(AND(N($I300)=0,N($J300)=0),"금액이 없습니다",IF(AND($I300&gt;0,$J300&gt;0),"수입·지출 둘 다 적혔습니다",IF($C300="","결제수단을 고르십시오",IF(ISNA(MATCH($C300,'교육원 ③ 통장·카드'!$A$5:$A$11,0)),"③ 통장·카드에 없는 결제수단입니다",IF($D300="","계정과목을 고르십시오",IF($E300="※없는 과목","④ 설정에 없는 과목입니다",IF(AND($E300="수입",$J300&gt;0),"수입 과목인데 지출에 적혔습니다",IF(AND(LEFT($E300,2)&lt;&gt;"수입",$E300&lt;&gt;"대체",$I300&gt;0),"지출 과목인데 수입에 적혔습니다",IF($K300="","증빙을 고르십시오",IF($H300="","적요를 적으십시오","")))))))))))</f>
        <v/>
      </c>
      <c r="M300" s="39"/>
      <c r="O300" s="11" t="str">
        <f aca="false">IF($B300="","",YEAR($B300)*100+MONTH($B300))</f>
        <v/>
      </c>
      <c r="P300" s="11" t="str">
        <f aca="false">IF($B300="","",IF($E300="대체",0,1))</f>
        <v/>
      </c>
    </row>
    <row r="301" customFormat="false" ht="15" hidden="false" customHeight="false" outlineLevel="0" collapsed="false">
      <c r="A301" s="36" t="str">
        <f aca="false">IF($B301="","",COUNT($B$15:$B301))</f>
        <v/>
      </c>
      <c r="B301" s="37"/>
      <c r="C301" s="38"/>
      <c r="D301" s="20"/>
      <c r="E301" s="36" t="str">
        <f aca="false">IF($D301="","",IFERROR(INDEX('교육원 ④ 설정'!$A$6:$A$40,MATCH($D301,'교육원 ④ 설정'!$B$6:$B$40,0)),"※없는 과목"))</f>
        <v/>
      </c>
      <c r="F301" s="36" t="str">
        <f aca="false">IF($D301="","",IFERROR(INDEX('교육원 ④ 설정'!$C$6:$C$40,MATCH($D301,'교육원 ④ 설정'!$B$6:$B$40,0)),""))</f>
        <v/>
      </c>
      <c r="G301" s="39"/>
      <c r="H301" s="39"/>
      <c r="I301" s="40"/>
      <c r="J301" s="41"/>
      <c r="K301" s="38"/>
      <c r="L301" s="42" t="str">
        <f aca="false">IF($B301="","",IF(AND(N($I301)=0,N($J301)=0),"금액이 없습니다",IF(AND($I301&gt;0,$J301&gt;0),"수입·지출 둘 다 적혔습니다",IF($C301="","결제수단을 고르십시오",IF(ISNA(MATCH($C301,'교육원 ③ 통장·카드'!$A$5:$A$11,0)),"③ 통장·카드에 없는 결제수단입니다",IF($D301="","계정과목을 고르십시오",IF($E301="※없는 과목","④ 설정에 없는 과목입니다",IF(AND($E301="수입",$J301&gt;0),"수입 과목인데 지출에 적혔습니다",IF(AND(LEFT($E301,2)&lt;&gt;"수입",$E301&lt;&gt;"대체",$I301&gt;0),"지출 과목인데 수입에 적혔습니다",IF($K301="","증빙을 고르십시오",IF($H301="","적요를 적으십시오","")))))))))))</f>
        <v/>
      </c>
      <c r="M301" s="39"/>
      <c r="O301" s="11" t="str">
        <f aca="false">IF($B301="","",YEAR($B301)*100+MONTH($B301))</f>
        <v/>
      </c>
      <c r="P301" s="11" t="str">
        <f aca="false">IF($B301="","",IF($E301="대체",0,1))</f>
        <v/>
      </c>
    </row>
    <row r="302" customFormat="false" ht="15" hidden="false" customHeight="false" outlineLevel="0" collapsed="false">
      <c r="A302" s="36" t="str">
        <f aca="false">IF($B302="","",COUNT($B$15:$B302))</f>
        <v/>
      </c>
      <c r="B302" s="37"/>
      <c r="C302" s="38"/>
      <c r="D302" s="20"/>
      <c r="E302" s="36" t="str">
        <f aca="false">IF($D302="","",IFERROR(INDEX('교육원 ④ 설정'!$A$6:$A$40,MATCH($D302,'교육원 ④ 설정'!$B$6:$B$40,0)),"※없는 과목"))</f>
        <v/>
      </c>
      <c r="F302" s="36" t="str">
        <f aca="false">IF($D302="","",IFERROR(INDEX('교육원 ④ 설정'!$C$6:$C$40,MATCH($D302,'교육원 ④ 설정'!$B$6:$B$40,0)),""))</f>
        <v/>
      </c>
      <c r="G302" s="39"/>
      <c r="H302" s="39"/>
      <c r="I302" s="40"/>
      <c r="J302" s="41"/>
      <c r="K302" s="38"/>
      <c r="L302" s="42" t="str">
        <f aca="false">IF($B302="","",IF(AND(N($I302)=0,N($J302)=0),"금액이 없습니다",IF(AND($I302&gt;0,$J302&gt;0),"수입·지출 둘 다 적혔습니다",IF($C302="","결제수단을 고르십시오",IF(ISNA(MATCH($C302,'교육원 ③ 통장·카드'!$A$5:$A$11,0)),"③ 통장·카드에 없는 결제수단입니다",IF($D302="","계정과목을 고르십시오",IF($E302="※없는 과목","④ 설정에 없는 과목입니다",IF(AND($E302="수입",$J302&gt;0),"수입 과목인데 지출에 적혔습니다",IF(AND(LEFT($E302,2)&lt;&gt;"수입",$E302&lt;&gt;"대체",$I302&gt;0),"지출 과목인데 수입에 적혔습니다",IF($K302="","증빙을 고르십시오",IF($H302="","적요를 적으십시오","")))))))))))</f>
        <v/>
      </c>
      <c r="M302" s="39"/>
      <c r="O302" s="11" t="str">
        <f aca="false">IF($B302="","",YEAR($B302)*100+MONTH($B302))</f>
        <v/>
      </c>
      <c r="P302" s="11" t="str">
        <f aca="false">IF($B302="","",IF($E302="대체",0,1))</f>
        <v/>
      </c>
    </row>
    <row r="303" customFormat="false" ht="15" hidden="false" customHeight="false" outlineLevel="0" collapsed="false">
      <c r="A303" s="36" t="str">
        <f aca="false">IF($B303="","",COUNT($B$15:$B303))</f>
        <v/>
      </c>
      <c r="B303" s="37"/>
      <c r="C303" s="38"/>
      <c r="D303" s="20"/>
      <c r="E303" s="36" t="str">
        <f aca="false">IF($D303="","",IFERROR(INDEX('교육원 ④ 설정'!$A$6:$A$40,MATCH($D303,'교육원 ④ 설정'!$B$6:$B$40,0)),"※없는 과목"))</f>
        <v/>
      </c>
      <c r="F303" s="36" t="str">
        <f aca="false">IF($D303="","",IFERROR(INDEX('교육원 ④ 설정'!$C$6:$C$40,MATCH($D303,'교육원 ④ 설정'!$B$6:$B$40,0)),""))</f>
        <v/>
      </c>
      <c r="G303" s="39"/>
      <c r="H303" s="39"/>
      <c r="I303" s="40"/>
      <c r="J303" s="41"/>
      <c r="K303" s="38"/>
      <c r="L303" s="42" t="str">
        <f aca="false">IF($B303="","",IF(AND(N($I303)=0,N($J303)=0),"금액이 없습니다",IF(AND($I303&gt;0,$J303&gt;0),"수입·지출 둘 다 적혔습니다",IF($C303="","결제수단을 고르십시오",IF(ISNA(MATCH($C303,'교육원 ③ 통장·카드'!$A$5:$A$11,0)),"③ 통장·카드에 없는 결제수단입니다",IF($D303="","계정과목을 고르십시오",IF($E303="※없는 과목","④ 설정에 없는 과목입니다",IF(AND($E303="수입",$J303&gt;0),"수입 과목인데 지출에 적혔습니다",IF(AND(LEFT($E303,2)&lt;&gt;"수입",$E303&lt;&gt;"대체",$I303&gt;0),"지출 과목인데 수입에 적혔습니다",IF($K303="","증빙을 고르십시오",IF($H303="","적요를 적으십시오","")))))))))))</f>
        <v/>
      </c>
      <c r="M303" s="39"/>
      <c r="O303" s="11" t="str">
        <f aca="false">IF($B303="","",YEAR($B303)*100+MONTH($B303))</f>
        <v/>
      </c>
      <c r="P303" s="11" t="str">
        <f aca="false">IF($B303="","",IF($E303="대체",0,1))</f>
        <v/>
      </c>
    </row>
    <row r="304" customFormat="false" ht="15" hidden="false" customHeight="false" outlineLevel="0" collapsed="false">
      <c r="A304" s="36" t="str">
        <f aca="false">IF($B304="","",COUNT($B$15:$B304))</f>
        <v/>
      </c>
      <c r="B304" s="37"/>
      <c r="C304" s="38"/>
      <c r="D304" s="20"/>
      <c r="E304" s="36" t="str">
        <f aca="false">IF($D304="","",IFERROR(INDEX('교육원 ④ 설정'!$A$6:$A$40,MATCH($D304,'교육원 ④ 설정'!$B$6:$B$40,0)),"※없는 과목"))</f>
        <v/>
      </c>
      <c r="F304" s="36" t="str">
        <f aca="false">IF($D304="","",IFERROR(INDEX('교육원 ④ 설정'!$C$6:$C$40,MATCH($D304,'교육원 ④ 설정'!$B$6:$B$40,0)),""))</f>
        <v/>
      </c>
      <c r="G304" s="39"/>
      <c r="H304" s="39"/>
      <c r="I304" s="40"/>
      <c r="J304" s="41"/>
      <c r="K304" s="38"/>
      <c r="L304" s="42" t="str">
        <f aca="false">IF($B304="","",IF(AND(N($I304)=0,N($J304)=0),"금액이 없습니다",IF(AND($I304&gt;0,$J304&gt;0),"수입·지출 둘 다 적혔습니다",IF($C304="","결제수단을 고르십시오",IF(ISNA(MATCH($C304,'교육원 ③ 통장·카드'!$A$5:$A$11,0)),"③ 통장·카드에 없는 결제수단입니다",IF($D304="","계정과목을 고르십시오",IF($E304="※없는 과목","④ 설정에 없는 과목입니다",IF(AND($E304="수입",$J304&gt;0),"수입 과목인데 지출에 적혔습니다",IF(AND(LEFT($E304,2)&lt;&gt;"수입",$E304&lt;&gt;"대체",$I304&gt;0),"지출 과목인데 수입에 적혔습니다",IF($K304="","증빙을 고르십시오",IF($H304="","적요를 적으십시오","")))))))))))</f>
        <v/>
      </c>
      <c r="M304" s="39"/>
      <c r="O304" s="11" t="str">
        <f aca="false">IF($B304="","",YEAR($B304)*100+MONTH($B304))</f>
        <v/>
      </c>
      <c r="P304" s="11" t="str">
        <f aca="false">IF($B304="","",IF($E304="대체",0,1))</f>
        <v/>
      </c>
    </row>
    <row r="305" customFormat="false" ht="15" hidden="false" customHeight="false" outlineLevel="0" collapsed="false">
      <c r="A305" s="36" t="str">
        <f aca="false">IF($B305="","",COUNT($B$15:$B305))</f>
        <v/>
      </c>
      <c r="B305" s="37"/>
      <c r="C305" s="38"/>
      <c r="D305" s="20"/>
      <c r="E305" s="36" t="str">
        <f aca="false">IF($D305="","",IFERROR(INDEX('교육원 ④ 설정'!$A$6:$A$40,MATCH($D305,'교육원 ④ 설정'!$B$6:$B$40,0)),"※없는 과목"))</f>
        <v/>
      </c>
      <c r="F305" s="36" t="str">
        <f aca="false">IF($D305="","",IFERROR(INDEX('교육원 ④ 설정'!$C$6:$C$40,MATCH($D305,'교육원 ④ 설정'!$B$6:$B$40,0)),""))</f>
        <v/>
      </c>
      <c r="G305" s="39"/>
      <c r="H305" s="39"/>
      <c r="I305" s="40"/>
      <c r="J305" s="41"/>
      <c r="K305" s="38"/>
      <c r="L305" s="42" t="str">
        <f aca="false">IF($B305="","",IF(AND(N($I305)=0,N($J305)=0),"금액이 없습니다",IF(AND($I305&gt;0,$J305&gt;0),"수입·지출 둘 다 적혔습니다",IF($C305="","결제수단을 고르십시오",IF(ISNA(MATCH($C305,'교육원 ③ 통장·카드'!$A$5:$A$11,0)),"③ 통장·카드에 없는 결제수단입니다",IF($D305="","계정과목을 고르십시오",IF($E305="※없는 과목","④ 설정에 없는 과목입니다",IF(AND($E305="수입",$J305&gt;0),"수입 과목인데 지출에 적혔습니다",IF(AND(LEFT($E305,2)&lt;&gt;"수입",$E305&lt;&gt;"대체",$I305&gt;0),"지출 과목인데 수입에 적혔습니다",IF($K305="","증빙을 고르십시오",IF($H305="","적요를 적으십시오","")))))))))))</f>
        <v/>
      </c>
      <c r="M305" s="39"/>
      <c r="O305" s="11" t="str">
        <f aca="false">IF($B305="","",YEAR($B305)*100+MONTH($B305))</f>
        <v/>
      </c>
      <c r="P305" s="11" t="str">
        <f aca="false">IF($B305="","",IF($E305="대체",0,1))</f>
        <v/>
      </c>
    </row>
    <row r="306" customFormat="false" ht="15" hidden="false" customHeight="false" outlineLevel="0" collapsed="false">
      <c r="A306" s="36" t="str">
        <f aca="false">IF($B306="","",COUNT($B$15:$B306))</f>
        <v/>
      </c>
      <c r="B306" s="37"/>
      <c r="C306" s="38"/>
      <c r="D306" s="20"/>
      <c r="E306" s="36" t="str">
        <f aca="false">IF($D306="","",IFERROR(INDEX('교육원 ④ 설정'!$A$6:$A$40,MATCH($D306,'교육원 ④ 설정'!$B$6:$B$40,0)),"※없는 과목"))</f>
        <v/>
      </c>
      <c r="F306" s="36" t="str">
        <f aca="false">IF($D306="","",IFERROR(INDEX('교육원 ④ 설정'!$C$6:$C$40,MATCH($D306,'교육원 ④ 설정'!$B$6:$B$40,0)),""))</f>
        <v/>
      </c>
      <c r="G306" s="39"/>
      <c r="H306" s="39"/>
      <c r="I306" s="40"/>
      <c r="J306" s="41"/>
      <c r="K306" s="38"/>
      <c r="L306" s="42" t="str">
        <f aca="false">IF($B306="","",IF(AND(N($I306)=0,N($J306)=0),"금액이 없습니다",IF(AND($I306&gt;0,$J306&gt;0),"수입·지출 둘 다 적혔습니다",IF($C306="","결제수단을 고르십시오",IF(ISNA(MATCH($C306,'교육원 ③ 통장·카드'!$A$5:$A$11,0)),"③ 통장·카드에 없는 결제수단입니다",IF($D306="","계정과목을 고르십시오",IF($E306="※없는 과목","④ 설정에 없는 과목입니다",IF(AND($E306="수입",$J306&gt;0),"수입 과목인데 지출에 적혔습니다",IF(AND(LEFT($E306,2)&lt;&gt;"수입",$E306&lt;&gt;"대체",$I306&gt;0),"지출 과목인데 수입에 적혔습니다",IF($K306="","증빙을 고르십시오",IF($H306="","적요를 적으십시오","")))))))))))</f>
        <v/>
      </c>
      <c r="M306" s="39"/>
      <c r="O306" s="11" t="str">
        <f aca="false">IF($B306="","",YEAR($B306)*100+MONTH($B306))</f>
        <v/>
      </c>
      <c r="P306" s="11" t="str">
        <f aca="false">IF($B306="","",IF($E306="대체",0,1))</f>
        <v/>
      </c>
    </row>
    <row r="307" customFormat="false" ht="15" hidden="false" customHeight="false" outlineLevel="0" collapsed="false">
      <c r="A307" s="36" t="str">
        <f aca="false">IF($B307="","",COUNT($B$15:$B307))</f>
        <v/>
      </c>
      <c r="B307" s="37"/>
      <c r="C307" s="38"/>
      <c r="D307" s="20"/>
      <c r="E307" s="36" t="str">
        <f aca="false">IF($D307="","",IFERROR(INDEX('교육원 ④ 설정'!$A$6:$A$40,MATCH($D307,'교육원 ④ 설정'!$B$6:$B$40,0)),"※없는 과목"))</f>
        <v/>
      </c>
      <c r="F307" s="36" t="str">
        <f aca="false">IF($D307="","",IFERROR(INDEX('교육원 ④ 설정'!$C$6:$C$40,MATCH($D307,'교육원 ④ 설정'!$B$6:$B$40,0)),""))</f>
        <v/>
      </c>
      <c r="G307" s="39"/>
      <c r="H307" s="39"/>
      <c r="I307" s="40"/>
      <c r="J307" s="41"/>
      <c r="K307" s="38"/>
      <c r="L307" s="42" t="str">
        <f aca="false">IF($B307="","",IF(AND(N($I307)=0,N($J307)=0),"금액이 없습니다",IF(AND($I307&gt;0,$J307&gt;0),"수입·지출 둘 다 적혔습니다",IF($C307="","결제수단을 고르십시오",IF(ISNA(MATCH($C307,'교육원 ③ 통장·카드'!$A$5:$A$11,0)),"③ 통장·카드에 없는 결제수단입니다",IF($D307="","계정과목을 고르십시오",IF($E307="※없는 과목","④ 설정에 없는 과목입니다",IF(AND($E307="수입",$J307&gt;0),"수입 과목인데 지출에 적혔습니다",IF(AND(LEFT($E307,2)&lt;&gt;"수입",$E307&lt;&gt;"대체",$I307&gt;0),"지출 과목인데 수입에 적혔습니다",IF($K307="","증빙을 고르십시오",IF($H307="","적요를 적으십시오","")))))))))))</f>
        <v/>
      </c>
      <c r="M307" s="39"/>
      <c r="O307" s="11" t="str">
        <f aca="false">IF($B307="","",YEAR($B307)*100+MONTH($B307))</f>
        <v/>
      </c>
      <c r="P307" s="11" t="str">
        <f aca="false">IF($B307="","",IF($E307="대체",0,1))</f>
        <v/>
      </c>
    </row>
    <row r="308" customFormat="false" ht="15" hidden="false" customHeight="false" outlineLevel="0" collapsed="false">
      <c r="A308" s="36" t="str">
        <f aca="false">IF($B308="","",COUNT($B$15:$B308))</f>
        <v/>
      </c>
      <c r="B308" s="37"/>
      <c r="C308" s="38"/>
      <c r="D308" s="20"/>
      <c r="E308" s="36" t="str">
        <f aca="false">IF($D308="","",IFERROR(INDEX('교육원 ④ 설정'!$A$6:$A$40,MATCH($D308,'교육원 ④ 설정'!$B$6:$B$40,0)),"※없는 과목"))</f>
        <v/>
      </c>
      <c r="F308" s="36" t="str">
        <f aca="false">IF($D308="","",IFERROR(INDEX('교육원 ④ 설정'!$C$6:$C$40,MATCH($D308,'교육원 ④ 설정'!$B$6:$B$40,0)),""))</f>
        <v/>
      </c>
      <c r="G308" s="39"/>
      <c r="H308" s="39"/>
      <c r="I308" s="40"/>
      <c r="J308" s="41"/>
      <c r="K308" s="38"/>
      <c r="L308" s="42" t="str">
        <f aca="false">IF($B308="","",IF(AND(N($I308)=0,N($J308)=0),"금액이 없습니다",IF(AND($I308&gt;0,$J308&gt;0),"수입·지출 둘 다 적혔습니다",IF($C308="","결제수단을 고르십시오",IF(ISNA(MATCH($C308,'교육원 ③ 통장·카드'!$A$5:$A$11,0)),"③ 통장·카드에 없는 결제수단입니다",IF($D308="","계정과목을 고르십시오",IF($E308="※없는 과목","④ 설정에 없는 과목입니다",IF(AND($E308="수입",$J308&gt;0),"수입 과목인데 지출에 적혔습니다",IF(AND(LEFT($E308,2)&lt;&gt;"수입",$E308&lt;&gt;"대체",$I308&gt;0),"지출 과목인데 수입에 적혔습니다",IF($K308="","증빙을 고르십시오",IF($H308="","적요를 적으십시오","")))))))))))</f>
        <v/>
      </c>
      <c r="M308" s="39"/>
      <c r="O308" s="11" t="str">
        <f aca="false">IF($B308="","",YEAR($B308)*100+MONTH($B308))</f>
        <v/>
      </c>
      <c r="P308" s="11" t="str">
        <f aca="false">IF($B308="","",IF($E308="대체",0,1))</f>
        <v/>
      </c>
    </row>
    <row r="309" customFormat="false" ht="15" hidden="false" customHeight="false" outlineLevel="0" collapsed="false">
      <c r="A309" s="36" t="str">
        <f aca="false">IF($B309="","",COUNT($B$15:$B309))</f>
        <v/>
      </c>
      <c r="B309" s="37"/>
      <c r="C309" s="38"/>
      <c r="D309" s="20"/>
      <c r="E309" s="36" t="str">
        <f aca="false">IF($D309="","",IFERROR(INDEX('교육원 ④ 설정'!$A$6:$A$40,MATCH($D309,'교육원 ④ 설정'!$B$6:$B$40,0)),"※없는 과목"))</f>
        <v/>
      </c>
      <c r="F309" s="36" t="str">
        <f aca="false">IF($D309="","",IFERROR(INDEX('교육원 ④ 설정'!$C$6:$C$40,MATCH($D309,'교육원 ④ 설정'!$B$6:$B$40,0)),""))</f>
        <v/>
      </c>
      <c r="G309" s="39"/>
      <c r="H309" s="39"/>
      <c r="I309" s="40"/>
      <c r="J309" s="41"/>
      <c r="K309" s="38"/>
      <c r="L309" s="42" t="str">
        <f aca="false">IF($B309="","",IF(AND(N($I309)=0,N($J309)=0),"금액이 없습니다",IF(AND($I309&gt;0,$J309&gt;0),"수입·지출 둘 다 적혔습니다",IF($C309="","결제수단을 고르십시오",IF(ISNA(MATCH($C309,'교육원 ③ 통장·카드'!$A$5:$A$11,0)),"③ 통장·카드에 없는 결제수단입니다",IF($D309="","계정과목을 고르십시오",IF($E309="※없는 과목","④ 설정에 없는 과목입니다",IF(AND($E309="수입",$J309&gt;0),"수입 과목인데 지출에 적혔습니다",IF(AND(LEFT($E309,2)&lt;&gt;"수입",$E309&lt;&gt;"대체",$I309&gt;0),"지출 과목인데 수입에 적혔습니다",IF($K309="","증빙을 고르십시오",IF($H309="","적요를 적으십시오","")))))))))))</f>
        <v/>
      </c>
      <c r="M309" s="39"/>
      <c r="O309" s="11" t="str">
        <f aca="false">IF($B309="","",YEAR($B309)*100+MONTH($B309))</f>
        <v/>
      </c>
      <c r="P309" s="11" t="str">
        <f aca="false">IF($B309="","",IF($E309="대체",0,1))</f>
        <v/>
      </c>
    </row>
    <row r="310" customFormat="false" ht="15" hidden="false" customHeight="false" outlineLevel="0" collapsed="false">
      <c r="A310" s="36" t="str">
        <f aca="false">IF($B310="","",COUNT($B$15:$B310))</f>
        <v/>
      </c>
      <c r="B310" s="37"/>
      <c r="C310" s="38"/>
      <c r="D310" s="20"/>
      <c r="E310" s="36" t="str">
        <f aca="false">IF($D310="","",IFERROR(INDEX('교육원 ④ 설정'!$A$6:$A$40,MATCH($D310,'교육원 ④ 설정'!$B$6:$B$40,0)),"※없는 과목"))</f>
        <v/>
      </c>
      <c r="F310" s="36" t="str">
        <f aca="false">IF($D310="","",IFERROR(INDEX('교육원 ④ 설정'!$C$6:$C$40,MATCH($D310,'교육원 ④ 설정'!$B$6:$B$40,0)),""))</f>
        <v/>
      </c>
      <c r="G310" s="39"/>
      <c r="H310" s="39"/>
      <c r="I310" s="40"/>
      <c r="J310" s="41"/>
      <c r="K310" s="38"/>
      <c r="L310" s="42" t="str">
        <f aca="false">IF($B310="","",IF(AND(N($I310)=0,N($J310)=0),"금액이 없습니다",IF(AND($I310&gt;0,$J310&gt;0),"수입·지출 둘 다 적혔습니다",IF($C310="","결제수단을 고르십시오",IF(ISNA(MATCH($C310,'교육원 ③ 통장·카드'!$A$5:$A$11,0)),"③ 통장·카드에 없는 결제수단입니다",IF($D310="","계정과목을 고르십시오",IF($E310="※없는 과목","④ 설정에 없는 과목입니다",IF(AND($E310="수입",$J310&gt;0),"수입 과목인데 지출에 적혔습니다",IF(AND(LEFT($E310,2)&lt;&gt;"수입",$E310&lt;&gt;"대체",$I310&gt;0),"지출 과목인데 수입에 적혔습니다",IF($K310="","증빙을 고르십시오",IF($H310="","적요를 적으십시오","")))))))))))</f>
        <v/>
      </c>
      <c r="M310" s="39"/>
      <c r="O310" s="11" t="str">
        <f aca="false">IF($B310="","",YEAR($B310)*100+MONTH($B310))</f>
        <v/>
      </c>
      <c r="P310" s="11" t="str">
        <f aca="false">IF($B310="","",IF($E310="대체",0,1))</f>
        <v/>
      </c>
    </row>
    <row r="311" customFormat="false" ht="15" hidden="false" customHeight="false" outlineLevel="0" collapsed="false">
      <c r="A311" s="36" t="str">
        <f aca="false">IF($B311="","",COUNT($B$15:$B311))</f>
        <v/>
      </c>
      <c r="B311" s="37"/>
      <c r="C311" s="38"/>
      <c r="D311" s="20"/>
      <c r="E311" s="36" t="str">
        <f aca="false">IF($D311="","",IFERROR(INDEX('교육원 ④ 설정'!$A$6:$A$40,MATCH($D311,'교육원 ④ 설정'!$B$6:$B$40,0)),"※없는 과목"))</f>
        <v/>
      </c>
      <c r="F311" s="36" t="str">
        <f aca="false">IF($D311="","",IFERROR(INDEX('교육원 ④ 설정'!$C$6:$C$40,MATCH($D311,'교육원 ④ 설정'!$B$6:$B$40,0)),""))</f>
        <v/>
      </c>
      <c r="G311" s="39"/>
      <c r="H311" s="39"/>
      <c r="I311" s="40"/>
      <c r="J311" s="41"/>
      <c r="K311" s="38"/>
      <c r="L311" s="42" t="str">
        <f aca="false">IF($B311="","",IF(AND(N($I311)=0,N($J311)=0),"금액이 없습니다",IF(AND($I311&gt;0,$J311&gt;0),"수입·지출 둘 다 적혔습니다",IF($C311="","결제수단을 고르십시오",IF(ISNA(MATCH($C311,'교육원 ③ 통장·카드'!$A$5:$A$11,0)),"③ 통장·카드에 없는 결제수단입니다",IF($D311="","계정과목을 고르십시오",IF($E311="※없는 과목","④ 설정에 없는 과목입니다",IF(AND($E311="수입",$J311&gt;0),"수입 과목인데 지출에 적혔습니다",IF(AND(LEFT($E311,2)&lt;&gt;"수입",$E311&lt;&gt;"대체",$I311&gt;0),"지출 과목인데 수입에 적혔습니다",IF($K311="","증빙을 고르십시오",IF($H311="","적요를 적으십시오","")))))))))))</f>
        <v/>
      </c>
      <c r="M311" s="39"/>
      <c r="O311" s="11" t="str">
        <f aca="false">IF($B311="","",YEAR($B311)*100+MONTH($B311))</f>
        <v/>
      </c>
      <c r="P311" s="11" t="str">
        <f aca="false">IF($B311="","",IF($E311="대체",0,1))</f>
        <v/>
      </c>
    </row>
    <row r="312" customFormat="false" ht="15" hidden="false" customHeight="false" outlineLevel="0" collapsed="false">
      <c r="A312" s="36" t="str">
        <f aca="false">IF($B312="","",COUNT($B$15:$B312))</f>
        <v/>
      </c>
      <c r="B312" s="37"/>
      <c r="C312" s="38"/>
      <c r="D312" s="20"/>
      <c r="E312" s="36" t="str">
        <f aca="false">IF($D312="","",IFERROR(INDEX('교육원 ④ 설정'!$A$6:$A$40,MATCH($D312,'교육원 ④ 설정'!$B$6:$B$40,0)),"※없는 과목"))</f>
        <v/>
      </c>
      <c r="F312" s="36" t="str">
        <f aca="false">IF($D312="","",IFERROR(INDEX('교육원 ④ 설정'!$C$6:$C$40,MATCH($D312,'교육원 ④ 설정'!$B$6:$B$40,0)),""))</f>
        <v/>
      </c>
      <c r="G312" s="39"/>
      <c r="H312" s="39"/>
      <c r="I312" s="40"/>
      <c r="J312" s="41"/>
      <c r="K312" s="38"/>
      <c r="L312" s="42" t="str">
        <f aca="false">IF($B312="","",IF(AND(N($I312)=0,N($J312)=0),"금액이 없습니다",IF(AND($I312&gt;0,$J312&gt;0),"수입·지출 둘 다 적혔습니다",IF($C312="","결제수단을 고르십시오",IF(ISNA(MATCH($C312,'교육원 ③ 통장·카드'!$A$5:$A$11,0)),"③ 통장·카드에 없는 결제수단입니다",IF($D312="","계정과목을 고르십시오",IF($E312="※없는 과목","④ 설정에 없는 과목입니다",IF(AND($E312="수입",$J312&gt;0),"수입 과목인데 지출에 적혔습니다",IF(AND(LEFT($E312,2)&lt;&gt;"수입",$E312&lt;&gt;"대체",$I312&gt;0),"지출 과목인데 수입에 적혔습니다",IF($K312="","증빙을 고르십시오",IF($H312="","적요를 적으십시오","")))))))))))</f>
        <v/>
      </c>
      <c r="M312" s="39"/>
      <c r="O312" s="11" t="str">
        <f aca="false">IF($B312="","",YEAR($B312)*100+MONTH($B312))</f>
        <v/>
      </c>
      <c r="P312" s="11" t="str">
        <f aca="false">IF($B312="","",IF($E312="대체",0,1))</f>
        <v/>
      </c>
    </row>
    <row r="313" customFormat="false" ht="15" hidden="false" customHeight="false" outlineLevel="0" collapsed="false">
      <c r="A313" s="36" t="str">
        <f aca="false">IF($B313="","",COUNT($B$15:$B313))</f>
        <v/>
      </c>
      <c r="B313" s="37"/>
      <c r="C313" s="38"/>
      <c r="D313" s="20"/>
      <c r="E313" s="36" t="str">
        <f aca="false">IF($D313="","",IFERROR(INDEX('교육원 ④ 설정'!$A$6:$A$40,MATCH($D313,'교육원 ④ 설정'!$B$6:$B$40,0)),"※없는 과목"))</f>
        <v/>
      </c>
      <c r="F313" s="36" t="str">
        <f aca="false">IF($D313="","",IFERROR(INDEX('교육원 ④ 설정'!$C$6:$C$40,MATCH($D313,'교육원 ④ 설정'!$B$6:$B$40,0)),""))</f>
        <v/>
      </c>
      <c r="G313" s="39"/>
      <c r="H313" s="39"/>
      <c r="I313" s="40"/>
      <c r="J313" s="41"/>
      <c r="K313" s="38"/>
      <c r="L313" s="42" t="str">
        <f aca="false">IF($B313="","",IF(AND(N($I313)=0,N($J313)=0),"금액이 없습니다",IF(AND($I313&gt;0,$J313&gt;0),"수입·지출 둘 다 적혔습니다",IF($C313="","결제수단을 고르십시오",IF(ISNA(MATCH($C313,'교육원 ③ 통장·카드'!$A$5:$A$11,0)),"③ 통장·카드에 없는 결제수단입니다",IF($D313="","계정과목을 고르십시오",IF($E313="※없는 과목","④ 설정에 없는 과목입니다",IF(AND($E313="수입",$J313&gt;0),"수입 과목인데 지출에 적혔습니다",IF(AND(LEFT($E313,2)&lt;&gt;"수입",$E313&lt;&gt;"대체",$I313&gt;0),"지출 과목인데 수입에 적혔습니다",IF($K313="","증빙을 고르십시오",IF($H313="","적요를 적으십시오","")))))))))))</f>
        <v/>
      </c>
      <c r="M313" s="39"/>
      <c r="O313" s="11" t="str">
        <f aca="false">IF($B313="","",YEAR($B313)*100+MONTH($B313))</f>
        <v/>
      </c>
      <c r="P313" s="11" t="str">
        <f aca="false">IF($B313="","",IF($E313="대체",0,1))</f>
        <v/>
      </c>
    </row>
    <row r="314" customFormat="false" ht="15" hidden="false" customHeight="false" outlineLevel="0" collapsed="false">
      <c r="A314" s="36" t="str">
        <f aca="false">IF($B314="","",COUNT($B$15:$B314))</f>
        <v/>
      </c>
      <c r="B314" s="37"/>
      <c r="C314" s="38"/>
      <c r="D314" s="20"/>
      <c r="E314" s="36" t="str">
        <f aca="false">IF($D314="","",IFERROR(INDEX('교육원 ④ 설정'!$A$6:$A$40,MATCH($D314,'교육원 ④ 설정'!$B$6:$B$40,0)),"※없는 과목"))</f>
        <v/>
      </c>
      <c r="F314" s="36" t="str">
        <f aca="false">IF($D314="","",IFERROR(INDEX('교육원 ④ 설정'!$C$6:$C$40,MATCH($D314,'교육원 ④ 설정'!$B$6:$B$40,0)),""))</f>
        <v/>
      </c>
      <c r="G314" s="39"/>
      <c r="H314" s="39"/>
      <c r="I314" s="40"/>
      <c r="J314" s="41"/>
      <c r="K314" s="38"/>
      <c r="L314" s="42" t="str">
        <f aca="false">IF($B314="","",IF(AND(N($I314)=0,N($J314)=0),"금액이 없습니다",IF(AND($I314&gt;0,$J314&gt;0),"수입·지출 둘 다 적혔습니다",IF($C314="","결제수단을 고르십시오",IF(ISNA(MATCH($C314,'교육원 ③ 통장·카드'!$A$5:$A$11,0)),"③ 통장·카드에 없는 결제수단입니다",IF($D314="","계정과목을 고르십시오",IF($E314="※없는 과목","④ 설정에 없는 과목입니다",IF(AND($E314="수입",$J314&gt;0),"수입 과목인데 지출에 적혔습니다",IF(AND(LEFT($E314,2)&lt;&gt;"수입",$E314&lt;&gt;"대체",$I314&gt;0),"지출 과목인데 수입에 적혔습니다",IF($K314="","증빙을 고르십시오",IF($H314="","적요를 적으십시오","")))))))))))</f>
        <v/>
      </c>
      <c r="M314" s="39"/>
      <c r="O314" s="11" t="str">
        <f aca="false">IF($B314="","",YEAR($B314)*100+MONTH($B314))</f>
        <v/>
      </c>
      <c r="P314" s="11" t="str">
        <f aca="false">IF($B314="","",IF($E314="대체",0,1))</f>
        <v/>
      </c>
    </row>
    <row r="315" customFormat="false" ht="15" hidden="false" customHeight="false" outlineLevel="0" collapsed="false">
      <c r="A315" s="36" t="str">
        <f aca="false">IF($B315="","",COUNT($B$15:$B315))</f>
        <v/>
      </c>
      <c r="B315" s="37"/>
      <c r="C315" s="38"/>
      <c r="D315" s="20"/>
      <c r="E315" s="36" t="str">
        <f aca="false">IF($D315="","",IFERROR(INDEX('교육원 ④ 설정'!$A$6:$A$40,MATCH($D315,'교육원 ④ 설정'!$B$6:$B$40,0)),"※없는 과목"))</f>
        <v/>
      </c>
      <c r="F315" s="36" t="str">
        <f aca="false">IF($D315="","",IFERROR(INDEX('교육원 ④ 설정'!$C$6:$C$40,MATCH($D315,'교육원 ④ 설정'!$B$6:$B$40,0)),""))</f>
        <v/>
      </c>
      <c r="G315" s="39"/>
      <c r="H315" s="39"/>
      <c r="I315" s="40"/>
      <c r="J315" s="41"/>
      <c r="K315" s="38"/>
      <c r="L315" s="42" t="str">
        <f aca="false">IF($B315="","",IF(AND(N($I315)=0,N($J315)=0),"금액이 없습니다",IF(AND($I315&gt;0,$J315&gt;0),"수입·지출 둘 다 적혔습니다",IF($C315="","결제수단을 고르십시오",IF(ISNA(MATCH($C315,'교육원 ③ 통장·카드'!$A$5:$A$11,0)),"③ 통장·카드에 없는 결제수단입니다",IF($D315="","계정과목을 고르십시오",IF($E315="※없는 과목","④ 설정에 없는 과목입니다",IF(AND($E315="수입",$J315&gt;0),"수입 과목인데 지출에 적혔습니다",IF(AND(LEFT($E315,2)&lt;&gt;"수입",$E315&lt;&gt;"대체",$I315&gt;0),"지출 과목인데 수입에 적혔습니다",IF($K315="","증빙을 고르십시오",IF($H315="","적요를 적으십시오","")))))))))))</f>
        <v/>
      </c>
      <c r="M315" s="39"/>
      <c r="O315" s="11" t="str">
        <f aca="false">IF($B315="","",YEAR($B315)*100+MONTH($B315))</f>
        <v/>
      </c>
      <c r="P315" s="11" t="str">
        <f aca="false">IF($B315="","",IF($E315="대체",0,1))</f>
        <v/>
      </c>
    </row>
    <row r="316" customFormat="false" ht="15" hidden="false" customHeight="false" outlineLevel="0" collapsed="false">
      <c r="A316" s="36" t="str">
        <f aca="false">IF($B316="","",COUNT($B$15:$B316))</f>
        <v/>
      </c>
      <c r="B316" s="37"/>
      <c r="C316" s="38"/>
      <c r="D316" s="20"/>
      <c r="E316" s="36" t="str">
        <f aca="false">IF($D316="","",IFERROR(INDEX('교육원 ④ 설정'!$A$6:$A$40,MATCH($D316,'교육원 ④ 설정'!$B$6:$B$40,0)),"※없는 과목"))</f>
        <v/>
      </c>
      <c r="F316" s="36" t="str">
        <f aca="false">IF($D316="","",IFERROR(INDEX('교육원 ④ 설정'!$C$6:$C$40,MATCH($D316,'교육원 ④ 설정'!$B$6:$B$40,0)),""))</f>
        <v/>
      </c>
      <c r="G316" s="39"/>
      <c r="H316" s="39"/>
      <c r="I316" s="40"/>
      <c r="J316" s="41"/>
      <c r="K316" s="38"/>
      <c r="L316" s="42" t="str">
        <f aca="false">IF($B316="","",IF(AND(N($I316)=0,N($J316)=0),"금액이 없습니다",IF(AND($I316&gt;0,$J316&gt;0),"수입·지출 둘 다 적혔습니다",IF($C316="","결제수단을 고르십시오",IF(ISNA(MATCH($C316,'교육원 ③ 통장·카드'!$A$5:$A$11,0)),"③ 통장·카드에 없는 결제수단입니다",IF($D316="","계정과목을 고르십시오",IF($E316="※없는 과목","④ 설정에 없는 과목입니다",IF(AND($E316="수입",$J316&gt;0),"수입 과목인데 지출에 적혔습니다",IF(AND(LEFT($E316,2)&lt;&gt;"수입",$E316&lt;&gt;"대체",$I316&gt;0),"지출 과목인데 수입에 적혔습니다",IF($K316="","증빙을 고르십시오",IF($H316="","적요를 적으십시오","")))))))))))</f>
        <v/>
      </c>
      <c r="M316" s="39"/>
      <c r="O316" s="11" t="str">
        <f aca="false">IF($B316="","",YEAR($B316)*100+MONTH($B316))</f>
        <v/>
      </c>
      <c r="P316" s="11" t="str">
        <f aca="false">IF($B316="","",IF($E316="대체",0,1))</f>
        <v/>
      </c>
    </row>
    <row r="317" customFormat="false" ht="15" hidden="false" customHeight="false" outlineLevel="0" collapsed="false">
      <c r="A317" s="36" t="str">
        <f aca="false">IF($B317="","",COUNT($B$15:$B317))</f>
        <v/>
      </c>
      <c r="B317" s="37"/>
      <c r="C317" s="38"/>
      <c r="D317" s="20"/>
      <c r="E317" s="36" t="str">
        <f aca="false">IF($D317="","",IFERROR(INDEX('교육원 ④ 설정'!$A$6:$A$40,MATCH($D317,'교육원 ④ 설정'!$B$6:$B$40,0)),"※없는 과목"))</f>
        <v/>
      </c>
      <c r="F317" s="36" t="str">
        <f aca="false">IF($D317="","",IFERROR(INDEX('교육원 ④ 설정'!$C$6:$C$40,MATCH($D317,'교육원 ④ 설정'!$B$6:$B$40,0)),""))</f>
        <v/>
      </c>
      <c r="G317" s="39"/>
      <c r="H317" s="39"/>
      <c r="I317" s="40"/>
      <c r="J317" s="41"/>
      <c r="K317" s="38"/>
      <c r="L317" s="42" t="str">
        <f aca="false">IF($B317="","",IF(AND(N($I317)=0,N($J317)=0),"금액이 없습니다",IF(AND($I317&gt;0,$J317&gt;0),"수입·지출 둘 다 적혔습니다",IF($C317="","결제수단을 고르십시오",IF(ISNA(MATCH($C317,'교육원 ③ 통장·카드'!$A$5:$A$11,0)),"③ 통장·카드에 없는 결제수단입니다",IF($D317="","계정과목을 고르십시오",IF($E317="※없는 과목","④ 설정에 없는 과목입니다",IF(AND($E317="수입",$J317&gt;0),"수입 과목인데 지출에 적혔습니다",IF(AND(LEFT($E317,2)&lt;&gt;"수입",$E317&lt;&gt;"대체",$I317&gt;0),"지출 과목인데 수입에 적혔습니다",IF($K317="","증빙을 고르십시오",IF($H317="","적요를 적으십시오","")))))))))))</f>
        <v/>
      </c>
      <c r="M317" s="39"/>
      <c r="O317" s="11" t="str">
        <f aca="false">IF($B317="","",YEAR($B317)*100+MONTH($B317))</f>
        <v/>
      </c>
      <c r="P317" s="11" t="str">
        <f aca="false">IF($B317="","",IF($E317="대체",0,1))</f>
        <v/>
      </c>
    </row>
    <row r="318" customFormat="false" ht="15" hidden="false" customHeight="false" outlineLevel="0" collapsed="false">
      <c r="A318" s="36" t="str">
        <f aca="false">IF($B318="","",COUNT($B$15:$B318))</f>
        <v/>
      </c>
      <c r="B318" s="37"/>
      <c r="C318" s="38"/>
      <c r="D318" s="20"/>
      <c r="E318" s="36" t="str">
        <f aca="false">IF($D318="","",IFERROR(INDEX('교육원 ④ 설정'!$A$6:$A$40,MATCH($D318,'교육원 ④ 설정'!$B$6:$B$40,0)),"※없는 과목"))</f>
        <v/>
      </c>
      <c r="F318" s="36" t="str">
        <f aca="false">IF($D318="","",IFERROR(INDEX('교육원 ④ 설정'!$C$6:$C$40,MATCH($D318,'교육원 ④ 설정'!$B$6:$B$40,0)),""))</f>
        <v/>
      </c>
      <c r="G318" s="39"/>
      <c r="H318" s="39"/>
      <c r="I318" s="40"/>
      <c r="J318" s="41"/>
      <c r="K318" s="38"/>
      <c r="L318" s="42" t="str">
        <f aca="false">IF($B318="","",IF(AND(N($I318)=0,N($J318)=0),"금액이 없습니다",IF(AND($I318&gt;0,$J318&gt;0),"수입·지출 둘 다 적혔습니다",IF($C318="","결제수단을 고르십시오",IF(ISNA(MATCH($C318,'교육원 ③ 통장·카드'!$A$5:$A$11,0)),"③ 통장·카드에 없는 결제수단입니다",IF($D318="","계정과목을 고르십시오",IF($E318="※없는 과목","④ 설정에 없는 과목입니다",IF(AND($E318="수입",$J318&gt;0),"수입 과목인데 지출에 적혔습니다",IF(AND(LEFT($E318,2)&lt;&gt;"수입",$E318&lt;&gt;"대체",$I318&gt;0),"지출 과목인데 수입에 적혔습니다",IF($K318="","증빙을 고르십시오",IF($H318="","적요를 적으십시오","")))))))))))</f>
        <v/>
      </c>
      <c r="M318" s="39"/>
      <c r="O318" s="11" t="str">
        <f aca="false">IF($B318="","",YEAR($B318)*100+MONTH($B318))</f>
        <v/>
      </c>
      <c r="P318" s="11" t="str">
        <f aca="false">IF($B318="","",IF($E318="대체",0,1))</f>
        <v/>
      </c>
    </row>
    <row r="319" customFormat="false" ht="15" hidden="false" customHeight="false" outlineLevel="0" collapsed="false">
      <c r="A319" s="36" t="str">
        <f aca="false">IF($B319="","",COUNT($B$15:$B319))</f>
        <v/>
      </c>
      <c r="B319" s="37"/>
      <c r="C319" s="38"/>
      <c r="D319" s="20"/>
      <c r="E319" s="36" t="str">
        <f aca="false">IF($D319="","",IFERROR(INDEX('교육원 ④ 설정'!$A$6:$A$40,MATCH($D319,'교육원 ④ 설정'!$B$6:$B$40,0)),"※없는 과목"))</f>
        <v/>
      </c>
      <c r="F319" s="36" t="str">
        <f aca="false">IF($D319="","",IFERROR(INDEX('교육원 ④ 설정'!$C$6:$C$40,MATCH($D319,'교육원 ④ 설정'!$B$6:$B$40,0)),""))</f>
        <v/>
      </c>
      <c r="G319" s="39"/>
      <c r="H319" s="39"/>
      <c r="I319" s="40"/>
      <c r="J319" s="41"/>
      <c r="K319" s="38"/>
      <c r="L319" s="42" t="str">
        <f aca="false">IF($B319="","",IF(AND(N($I319)=0,N($J319)=0),"금액이 없습니다",IF(AND($I319&gt;0,$J319&gt;0),"수입·지출 둘 다 적혔습니다",IF($C319="","결제수단을 고르십시오",IF(ISNA(MATCH($C319,'교육원 ③ 통장·카드'!$A$5:$A$11,0)),"③ 통장·카드에 없는 결제수단입니다",IF($D319="","계정과목을 고르십시오",IF($E319="※없는 과목","④ 설정에 없는 과목입니다",IF(AND($E319="수입",$J319&gt;0),"수입 과목인데 지출에 적혔습니다",IF(AND(LEFT($E319,2)&lt;&gt;"수입",$E319&lt;&gt;"대체",$I319&gt;0),"지출 과목인데 수입에 적혔습니다",IF($K319="","증빙을 고르십시오",IF($H319="","적요를 적으십시오","")))))))))))</f>
        <v/>
      </c>
      <c r="M319" s="39"/>
      <c r="O319" s="11" t="str">
        <f aca="false">IF($B319="","",YEAR($B319)*100+MONTH($B319))</f>
        <v/>
      </c>
      <c r="P319" s="11" t="str">
        <f aca="false">IF($B319="","",IF($E319="대체",0,1))</f>
        <v/>
      </c>
    </row>
    <row r="320" customFormat="false" ht="15" hidden="false" customHeight="false" outlineLevel="0" collapsed="false">
      <c r="A320" s="36" t="str">
        <f aca="false">IF($B320="","",COUNT($B$15:$B320))</f>
        <v/>
      </c>
      <c r="B320" s="37"/>
      <c r="C320" s="38"/>
      <c r="D320" s="20"/>
      <c r="E320" s="36" t="str">
        <f aca="false">IF($D320="","",IFERROR(INDEX('교육원 ④ 설정'!$A$6:$A$40,MATCH($D320,'교육원 ④ 설정'!$B$6:$B$40,0)),"※없는 과목"))</f>
        <v/>
      </c>
      <c r="F320" s="36" t="str">
        <f aca="false">IF($D320="","",IFERROR(INDEX('교육원 ④ 설정'!$C$6:$C$40,MATCH($D320,'교육원 ④ 설정'!$B$6:$B$40,0)),""))</f>
        <v/>
      </c>
      <c r="G320" s="39"/>
      <c r="H320" s="39"/>
      <c r="I320" s="40"/>
      <c r="J320" s="41"/>
      <c r="K320" s="38"/>
      <c r="L320" s="42" t="str">
        <f aca="false">IF($B320="","",IF(AND(N($I320)=0,N($J320)=0),"금액이 없습니다",IF(AND($I320&gt;0,$J320&gt;0),"수입·지출 둘 다 적혔습니다",IF($C320="","결제수단을 고르십시오",IF(ISNA(MATCH($C320,'교육원 ③ 통장·카드'!$A$5:$A$11,0)),"③ 통장·카드에 없는 결제수단입니다",IF($D320="","계정과목을 고르십시오",IF($E320="※없는 과목","④ 설정에 없는 과목입니다",IF(AND($E320="수입",$J320&gt;0),"수입 과목인데 지출에 적혔습니다",IF(AND(LEFT($E320,2)&lt;&gt;"수입",$E320&lt;&gt;"대체",$I320&gt;0),"지출 과목인데 수입에 적혔습니다",IF($K320="","증빙을 고르십시오",IF($H320="","적요를 적으십시오","")))))))))))</f>
        <v/>
      </c>
      <c r="M320" s="39"/>
      <c r="O320" s="11" t="str">
        <f aca="false">IF($B320="","",YEAR($B320)*100+MONTH($B320))</f>
        <v/>
      </c>
      <c r="P320" s="11" t="str">
        <f aca="false">IF($B320="","",IF($E320="대체",0,1))</f>
        <v/>
      </c>
    </row>
    <row r="321" customFormat="false" ht="15" hidden="false" customHeight="false" outlineLevel="0" collapsed="false">
      <c r="A321" s="36" t="str">
        <f aca="false">IF($B321="","",COUNT($B$15:$B321))</f>
        <v/>
      </c>
      <c r="B321" s="37"/>
      <c r="C321" s="38"/>
      <c r="D321" s="20"/>
      <c r="E321" s="36" t="str">
        <f aca="false">IF($D321="","",IFERROR(INDEX('교육원 ④ 설정'!$A$6:$A$40,MATCH($D321,'교육원 ④ 설정'!$B$6:$B$40,0)),"※없는 과목"))</f>
        <v/>
      </c>
      <c r="F321" s="36" t="str">
        <f aca="false">IF($D321="","",IFERROR(INDEX('교육원 ④ 설정'!$C$6:$C$40,MATCH($D321,'교육원 ④ 설정'!$B$6:$B$40,0)),""))</f>
        <v/>
      </c>
      <c r="G321" s="39"/>
      <c r="H321" s="39"/>
      <c r="I321" s="40"/>
      <c r="J321" s="41"/>
      <c r="K321" s="38"/>
      <c r="L321" s="42" t="str">
        <f aca="false">IF($B321="","",IF(AND(N($I321)=0,N($J321)=0),"금액이 없습니다",IF(AND($I321&gt;0,$J321&gt;0),"수입·지출 둘 다 적혔습니다",IF($C321="","결제수단을 고르십시오",IF(ISNA(MATCH($C321,'교육원 ③ 통장·카드'!$A$5:$A$11,0)),"③ 통장·카드에 없는 결제수단입니다",IF($D321="","계정과목을 고르십시오",IF($E321="※없는 과목","④ 설정에 없는 과목입니다",IF(AND($E321="수입",$J321&gt;0),"수입 과목인데 지출에 적혔습니다",IF(AND(LEFT($E321,2)&lt;&gt;"수입",$E321&lt;&gt;"대체",$I321&gt;0),"지출 과목인데 수입에 적혔습니다",IF($K321="","증빙을 고르십시오",IF($H321="","적요를 적으십시오","")))))))))))</f>
        <v/>
      </c>
      <c r="M321" s="39"/>
      <c r="O321" s="11" t="str">
        <f aca="false">IF($B321="","",YEAR($B321)*100+MONTH($B321))</f>
        <v/>
      </c>
      <c r="P321" s="11" t="str">
        <f aca="false">IF($B321="","",IF($E321="대체",0,1))</f>
        <v/>
      </c>
    </row>
    <row r="322" customFormat="false" ht="15" hidden="false" customHeight="false" outlineLevel="0" collapsed="false">
      <c r="A322" s="36" t="str">
        <f aca="false">IF($B322="","",COUNT($B$15:$B322))</f>
        <v/>
      </c>
      <c r="B322" s="37"/>
      <c r="C322" s="38"/>
      <c r="D322" s="20"/>
      <c r="E322" s="36" t="str">
        <f aca="false">IF($D322="","",IFERROR(INDEX('교육원 ④ 설정'!$A$6:$A$40,MATCH($D322,'교육원 ④ 설정'!$B$6:$B$40,0)),"※없는 과목"))</f>
        <v/>
      </c>
      <c r="F322" s="36" t="str">
        <f aca="false">IF($D322="","",IFERROR(INDEX('교육원 ④ 설정'!$C$6:$C$40,MATCH($D322,'교육원 ④ 설정'!$B$6:$B$40,0)),""))</f>
        <v/>
      </c>
      <c r="G322" s="39"/>
      <c r="H322" s="39"/>
      <c r="I322" s="40"/>
      <c r="J322" s="41"/>
      <c r="K322" s="38"/>
      <c r="L322" s="42" t="str">
        <f aca="false">IF($B322="","",IF(AND(N($I322)=0,N($J322)=0),"금액이 없습니다",IF(AND($I322&gt;0,$J322&gt;0),"수입·지출 둘 다 적혔습니다",IF($C322="","결제수단을 고르십시오",IF(ISNA(MATCH($C322,'교육원 ③ 통장·카드'!$A$5:$A$11,0)),"③ 통장·카드에 없는 결제수단입니다",IF($D322="","계정과목을 고르십시오",IF($E322="※없는 과목","④ 설정에 없는 과목입니다",IF(AND($E322="수입",$J322&gt;0),"수입 과목인데 지출에 적혔습니다",IF(AND(LEFT($E322,2)&lt;&gt;"수입",$E322&lt;&gt;"대체",$I322&gt;0),"지출 과목인데 수입에 적혔습니다",IF($K322="","증빙을 고르십시오",IF($H322="","적요를 적으십시오","")))))))))))</f>
        <v/>
      </c>
      <c r="M322" s="39"/>
      <c r="O322" s="11" t="str">
        <f aca="false">IF($B322="","",YEAR($B322)*100+MONTH($B322))</f>
        <v/>
      </c>
      <c r="P322" s="11" t="str">
        <f aca="false">IF($B322="","",IF($E322="대체",0,1))</f>
        <v/>
      </c>
    </row>
    <row r="323" customFormat="false" ht="15" hidden="false" customHeight="false" outlineLevel="0" collapsed="false">
      <c r="A323" s="36" t="str">
        <f aca="false">IF($B323="","",COUNT($B$15:$B323))</f>
        <v/>
      </c>
      <c r="B323" s="37"/>
      <c r="C323" s="38"/>
      <c r="D323" s="20"/>
      <c r="E323" s="36" t="str">
        <f aca="false">IF($D323="","",IFERROR(INDEX('교육원 ④ 설정'!$A$6:$A$40,MATCH($D323,'교육원 ④ 설정'!$B$6:$B$40,0)),"※없는 과목"))</f>
        <v/>
      </c>
      <c r="F323" s="36" t="str">
        <f aca="false">IF($D323="","",IFERROR(INDEX('교육원 ④ 설정'!$C$6:$C$40,MATCH($D323,'교육원 ④ 설정'!$B$6:$B$40,0)),""))</f>
        <v/>
      </c>
      <c r="G323" s="39"/>
      <c r="H323" s="39"/>
      <c r="I323" s="40"/>
      <c r="J323" s="41"/>
      <c r="K323" s="38"/>
      <c r="L323" s="42" t="str">
        <f aca="false">IF($B323="","",IF(AND(N($I323)=0,N($J323)=0),"금액이 없습니다",IF(AND($I323&gt;0,$J323&gt;0),"수입·지출 둘 다 적혔습니다",IF($C323="","결제수단을 고르십시오",IF(ISNA(MATCH($C323,'교육원 ③ 통장·카드'!$A$5:$A$11,0)),"③ 통장·카드에 없는 결제수단입니다",IF($D323="","계정과목을 고르십시오",IF($E323="※없는 과목","④ 설정에 없는 과목입니다",IF(AND($E323="수입",$J323&gt;0),"수입 과목인데 지출에 적혔습니다",IF(AND(LEFT($E323,2)&lt;&gt;"수입",$E323&lt;&gt;"대체",$I323&gt;0),"지출 과목인데 수입에 적혔습니다",IF($K323="","증빙을 고르십시오",IF($H323="","적요를 적으십시오","")))))))))))</f>
        <v/>
      </c>
      <c r="M323" s="39"/>
      <c r="O323" s="11" t="str">
        <f aca="false">IF($B323="","",YEAR($B323)*100+MONTH($B323))</f>
        <v/>
      </c>
      <c r="P323" s="11" t="str">
        <f aca="false">IF($B323="","",IF($E323="대체",0,1))</f>
        <v/>
      </c>
    </row>
    <row r="324" customFormat="false" ht="15" hidden="false" customHeight="false" outlineLevel="0" collapsed="false">
      <c r="A324" s="36" t="str">
        <f aca="false">IF($B324="","",COUNT($B$15:$B324))</f>
        <v/>
      </c>
      <c r="B324" s="37"/>
      <c r="C324" s="38"/>
      <c r="D324" s="20"/>
      <c r="E324" s="36" t="str">
        <f aca="false">IF($D324="","",IFERROR(INDEX('교육원 ④ 설정'!$A$6:$A$40,MATCH($D324,'교육원 ④ 설정'!$B$6:$B$40,0)),"※없는 과목"))</f>
        <v/>
      </c>
      <c r="F324" s="36" t="str">
        <f aca="false">IF($D324="","",IFERROR(INDEX('교육원 ④ 설정'!$C$6:$C$40,MATCH($D324,'교육원 ④ 설정'!$B$6:$B$40,0)),""))</f>
        <v/>
      </c>
      <c r="G324" s="39"/>
      <c r="H324" s="39"/>
      <c r="I324" s="40"/>
      <c r="J324" s="41"/>
      <c r="K324" s="38"/>
      <c r="L324" s="42" t="str">
        <f aca="false">IF($B324="","",IF(AND(N($I324)=0,N($J324)=0),"금액이 없습니다",IF(AND($I324&gt;0,$J324&gt;0),"수입·지출 둘 다 적혔습니다",IF($C324="","결제수단을 고르십시오",IF(ISNA(MATCH($C324,'교육원 ③ 통장·카드'!$A$5:$A$11,0)),"③ 통장·카드에 없는 결제수단입니다",IF($D324="","계정과목을 고르십시오",IF($E324="※없는 과목","④ 설정에 없는 과목입니다",IF(AND($E324="수입",$J324&gt;0),"수입 과목인데 지출에 적혔습니다",IF(AND(LEFT($E324,2)&lt;&gt;"수입",$E324&lt;&gt;"대체",$I324&gt;0),"지출 과목인데 수입에 적혔습니다",IF($K324="","증빙을 고르십시오",IF($H324="","적요를 적으십시오","")))))))))))</f>
        <v/>
      </c>
      <c r="M324" s="39"/>
      <c r="O324" s="11" t="str">
        <f aca="false">IF($B324="","",YEAR($B324)*100+MONTH($B324))</f>
        <v/>
      </c>
      <c r="P324" s="11" t="str">
        <f aca="false">IF($B324="","",IF($E324="대체",0,1))</f>
        <v/>
      </c>
    </row>
    <row r="325" customFormat="false" ht="15" hidden="false" customHeight="false" outlineLevel="0" collapsed="false">
      <c r="A325" s="36" t="str">
        <f aca="false">IF($B325="","",COUNT($B$15:$B325))</f>
        <v/>
      </c>
      <c r="B325" s="37"/>
      <c r="C325" s="38"/>
      <c r="D325" s="20"/>
      <c r="E325" s="36" t="str">
        <f aca="false">IF($D325="","",IFERROR(INDEX('교육원 ④ 설정'!$A$6:$A$40,MATCH($D325,'교육원 ④ 설정'!$B$6:$B$40,0)),"※없는 과목"))</f>
        <v/>
      </c>
      <c r="F325" s="36" t="str">
        <f aca="false">IF($D325="","",IFERROR(INDEX('교육원 ④ 설정'!$C$6:$C$40,MATCH($D325,'교육원 ④ 설정'!$B$6:$B$40,0)),""))</f>
        <v/>
      </c>
      <c r="G325" s="39"/>
      <c r="H325" s="39"/>
      <c r="I325" s="40"/>
      <c r="J325" s="41"/>
      <c r="K325" s="38"/>
      <c r="L325" s="42" t="str">
        <f aca="false">IF($B325="","",IF(AND(N($I325)=0,N($J325)=0),"금액이 없습니다",IF(AND($I325&gt;0,$J325&gt;0),"수입·지출 둘 다 적혔습니다",IF($C325="","결제수단을 고르십시오",IF(ISNA(MATCH($C325,'교육원 ③ 통장·카드'!$A$5:$A$11,0)),"③ 통장·카드에 없는 결제수단입니다",IF($D325="","계정과목을 고르십시오",IF($E325="※없는 과목","④ 설정에 없는 과목입니다",IF(AND($E325="수입",$J325&gt;0),"수입 과목인데 지출에 적혔습니다",IF(AND(LEFT($E325,2)&lt;&gt;"수입",$E325&lt;&gt;"대체",$I325&gt;0),"지출 과목인데 수입에 적혔습니다",IF($K325="","증빙을 고르십시오",IF($H325="","적요를 적으십시오","")))))))))))</f>
        <v/>
      </c>
      <c r="M325" s="39"/>
      <c r="O325" s="11" t="str">
        <f aca="false">IF($B325="","",YEAR($B325)*100+MONTH($B325))</f>
        <v/>
      </c>
      <c r="P325" s="11" t="str">
        <f aca="false">IF($B325="","",IF($E325="대체",0,1))</f>
        <v/>
      </c>
    </row>
    <row r="326" customFormat="false" ht="15" hidden="false" customHeight="false" outlineLevel="0" collapsed="false">
      <c r="A326" s="36" t="str">
        <f aca="false">IF($B326="","",COUNT($B$15:$B326))</f>
        <v/>
      </c>
      <c r="B326" s="37"/>
      <c r="C326" s="38"/>
      <c r="D326" s="20"/>
      <c r="E326" s="36" t="str">
        <f aca="false">IF($D326="","",IFERROR(INDEX('교육원 ④ 설정'!$A$6:$A$40,MATCH($D326,'교육원 ④ 설정'!$B$6:$B$40,0)),"※없는 과목"))</f>
        <v/>
      </c>
      <c r="F326" s="36" t="str">
        <f aca="false">IF($D326="","",IFERROR(INDEX('교육원 ④ 설정'!$C$6:$C$40,MATCH($D326,'교육원 ④ 설정'!$B$6:$B$40,0)),""))</f>
        <v/>
      </c>
      <c r="G326" s="39"/>
      <c r="H326" s="39"/>
      <c r="I326" s="40"/>
      <c r="J326" s="41"/>
      <c r="K326" s="38"/>
      <c r="L326" s="42" t="str">
        <f aca="false">IF($B326="","",IF(AND(N($I326)=0,N($J326)=0),"금액이 없습니다",IF(AND($I326&gt;0,$J326&gt;0),"수입·지출 둘 다 적혔습니다",IF($C326="","결제수단을 고르십시오",IF(ISNA(MATCH($C326,'교육원 ③ 통장·카드'!$A$5:$A$11,0)),"③ 통장·카드에 없는 결제수단입니다",IF($D326="","계정과목을 고르십시오",IF($E326="※없는 과목","④ 설정에 없는 과목입니다",IF(AND($E326="수입",$J326&gt;0),"수입 과목인데 지출에 적혔습니다",IF(AND(LEFT($E326,2)&lt;&gt;"수입",$E326&lt;&gt;"대체",$I326&gt;0),"지출 과목인데 수입에 적혔습니다",IF($K326="","증빙을 고르십시오",IF($H326="","적요를 적으십시오","")))))))))))</f>
        <v/>
      </c>
      <c r="M326" s="39"/>
      <c r="O326" s="11" t="str">
        <f aca="false">IF($B326="","",YEAR($B326)*100+MONTH($B326))</f>
        <v/>
      </c>
      <c r="P326" s="11" t="str">
        <f aca="false">IF($B326="","",IF($E326="대체",0,1))</f>
        <v/>
      </c>
    </row>
    <row r="327" customFormat="false" ht="15" hidden="false" customHeight="false" outlineLevel="0" collapsed="false">
      <c r="A327" s="36" t="str">
        <f aca="false">IF($B327="","",COUNT($B$15:$B327))</f>
        <v/>
      </c>
      <c r="B327" s="37"/>
      <c r="C327" s="38"/>
      <c r="D327" s="20"/>
      <c r="E327" s="36" t="str">
        <f aca="false">IF($D327="","",IFERROR(INDEX('교육원 ④ 설정'!$A$6:$A$40,MATCH($D327,'교육원 ④ 설정'!$B$6:$B$40,0)),"※없는 과목"))</f>
        <v/>
      </c>
      <c r="F327" s="36" t="str">
        <f aca="false">IF($D327="","",IFERROR(INDEX('교육원 ④ 설정'!$C$6:$C$40,MATCH($D327,'교육원 ④ 설정'!$B$6:$B$40,0)),""))</f>
        <v/>
      </c>
      <c r="G327" s="39"/>
      <c r="H327" s="39"/>
      <c r="I327" s="40"/>
      <c r="J327" s="41"/>
      <c r="K327" s="38"/>
      <c r="L327" s="42" t="str">
        <f aca="false">IF($B327="","",IF(AND(N($I327)=0,N($J327)=0),"금액이 없습니다",IF(AND($I327&gt;0,$J327&gt;0),"수입·지출 둘 다 적혔습니다",IF($C327="","결제수단을 고르십시오",IF(ISNA(MATCH($C327,'교육원 ③ 통장·카드'!$A$5:$A$11,0)),"③ 통장·카드에 없는 결제수단입니다",IF($D327="","계정과목을 고르십시오",IF($E327="※없는 과목","④ 설정에 없는 과목입니다",IF(AND($E327="수입",$J327&gt;0),"수입 과목인데 지출에 적혔습니다",IF(AND(LEFT($E327,2)&lt;&gt;"수입",$E327&lt;&gt;"대체",$I327&gt;0),"지출 과목인데 수입에 적혔습니다",IF($K327="","증빙을 고르십시오",IF($H327="","적요를 적으십시오","")))))))))))</f>
        <v/>
      </c>
      <c r="M327" s="39"/>
      <c r="O327" s="11" t="str">
        <f aca="false">IF($B327="","",YEAR($B327)*100+MONTH($B327))</f>
        <v/>
      </c>
      <c r="P327" s="11" t="str">
        <f aca="false">IF($B327="","",IF($E327="대체",0,1))</f>
        <v/>
      </c>
    </row>
    <row r="328" customFormat="false" ht="15" hidden="false" customHeight="false" outlineLevel="0" collapsed="false">
      <c r="A328" s="36" t="str">
        <f aca="false">IF($B328="","",COUNT($B$15:$B328))</f>
        <v/>
      </c>
      <c r="B328" s="37"/>
      <c r="C328" s="38"/>
      <c r="D328" s="20"/>
      <c r="E328" s="36" t="str">
        <f aca="false">IF($D328="","",IFERROR(INDEX('교육원 ④ 설정'!$A$6:$A$40,MATCH($D328,'교육원 ④ 설정'!$B$6:$B$40,0)),"※없는 과목"))</f>
        <v/>
      </c>
      <c r="F328" s="36" t="str">
        <f aca="false">IF($D328="","",IFERROR(INDEX('교육원 ④ 설정'!$C$6:$C$40,MATCH($D328,'교육원 ④ 설정'!$B$6:$B$40,0)),""))</f>
        <v/>
      </c>
      <c r="G328" s="39"/>
      <c r="H328" s="39"/>
      <c r="I328" s="40"/>
      <c r="J328" s="41"/>
      <c r="K328" s="38"/>
      <c r="L328" s="42" t="str">
        <f aca="false">IF($B328="","",IF(AND(N($I328)=0,N($J328)=0),"금액이 없습니다",IF(AND($I328&gt;0,$J328&gt;0),"수입·지출 둘 다 적혔습니다",IF($C328="","결제수단을 고르십시오",IF(ISNA(MATCH($C328,'교육원 ③ 통장·카드'!$A$5:$A$11,0)),"③ 통장·카드에 없는 결제수단입니다",IF($D328="","계정과목을 고르십시오",IF($E328="※없는 과목","④ 설정에 없는 과목입니다",IF(AND($E328="수입",$J328&gt;0),"수입 과목인데 지출에 적혔습니다",IF(AND(LEFT($E328,2)&lt;&gt;"수입",$E328&lt;&gt;"대체",$I328&gt;0),"지출 과목인데 수입에 적혔습니다",IF($K328="","증빙을 고르십시오",IF($H328="","적요를 적으십시오","")))))))))))</f>
        <v/>
      </c>
      <c r="M328" s="39"/>
      <c r="O328" s="11" t="str">
        <f aca="false">IF($B328="","",YEAR($B328)*100+MONTH($B328))</f>
        <v/>
      </c>
      <c r="P328" s="11" t="str">
        <f aca="false">IF($B328="","",IF($E328="대체",0,1))</f>
        <v/>
      </c>
    </row>
    <row r="329" customFormat="false" ht="15" hidden="false" customHeight="false" outlineLevel="0" collapsed="false">
      <c r="A329" s="36" t="str">
        <f aca="false">IF($B329="","",COUNT($B$15:$B329))</f>
        <v/>
      </c>
      <c r="B329" s="37"/>
      <c r="C329" s="38"/>
      <c r="D329" s="20"/>
      <c r="E329" s="36" t="str">
        <f aca="false">IF($D329="","",IFERROR(INDEX('교육원 ④ 설정'!$A$6:$A$40,MATCH($D329,'교육원 ④ 설정'!$B$6:$B$40,0)),"※없는 과목"))</f>
        <v/>
      </c>
      <c r="F329" s="36" t="str">
        <f aca="false">IF($D329="","",IFERROR(INDEX('교육원 ④ 설정'!$C$6:$C$40,MATCH($D329,'교육원 ④ 설정'!$B$6:$B$40,0)),""))</f>
        <v/>
      </c>
      <c r="G329" s="39"/>
      <c r="H329" s="39"/>
      <c r="I329" s="40"/>
      <c r="J329" s="41"/>
      <c r="K329" s="38"/>
      <c r="L329" s="42" t="str">
        <f aca="false">IF($B329="","",IF(AND(N($I329)=0,N($J329)=0),"금액이 없습니다",IF(AND($I329&gt;0,$J329&gt;0),"수입·지출 둘 다 적혔습니다",IF($C329="","결제수단을 고르십시오",IF(ISNA(MATCH($C329,'교육원 ③ 통장·카드'!$A$5:$A$11,0)),"③ 통장·카드에 없는 결제수단입니다",IF($D329="","계정과목을 고르십시오",IF($E329="※없는 과목","④ 설정에 없는 과목입니다",IF(AND($E329="수입",$J329&gt;0),"수입 과목인데 지출에 적혔습니다",IF(AND(LEFT($E329,2)&lt;&gt;"수입",$E329&lt;&gt;"대체",$I329&gt;0),"지출 과목인데 수입에 적혔습니다",IF($K329="","증빙을 고르십시오",IF($H329="","적요를 적으십시오","")))))))))))</f>
        <v/>
      </c>
      <c r="M329" s="39"/>
      <c r="O329" s="11" t="str">
        <f aca="false">IF($B329="","",YEAR($B329)*100+MONTH($B329))</f>
        <v/>
      </c>
      <c r="P329" s="11" t="str">
        <f aca="false">IF($B329="","",IF($E329="대체",0,1))</f>
        <v/>
      </c>
    </row>
    <row r="330" customFormat="false" ht="15" hidden="false" customHeight="false" outlineLevel="0" collapsed="false">
      <c r="A330" s="36" t="str">
        <f aca="false">IF($B330="","",COUNT($B$15:$B330))</f>
        <v/>
      </c>
      <c r="B330" s="37"/>
      <c r="C330" s="38"/>
      <c r="D330" s="20"/>
      <c r="E330" s="36" t="str">
        <f aca="false">IF($D330="","",IFERROR(INDEX('교육원 ④ 설정'!$A$6:$A$40,MATCH($D330,'교육원 ④ 설정'!$B$6:$B$40,0)),"※없는 과목"))</f>
        <v/>
      </c>
      <c r="F330" s="36" t="str">
        <f aca="false">IF($D330="","",IFERROR(INDEX('교육원 ④ 설정'!$C$6:$C$40,MATCH($D330,'교육원 ④ 설정'!$B$6:$B$40,0)),""))</f>
        <v/>
      </c>
      <c r="G330" s="39"/>
      <c r="H330" s="39"/>
      <c r="I330" s="40"/>
      <c r="J330" s="41"/>
      <c r="K330" s="38"/>
      <c r="L330" s="42" t="str">
        <f aca="false">IF($B330="","",IF(AND(N($I330)=0,N($J330)=0),"금액이 없습니다",IF(AND($I330&gt;0,$J330&gt;0),"수입·지출 둘 다 적혔습니다",IF($C330="","결제수단을 고르십시오",IF(ISNA(MATCH($C330,'교육원 ③ 통장·카드'!$A$5:$A$11,0)),"③ 통장·카드에 없는 결제수단입니다",IF($D330="","계정과목을 고르십시오",IF($E330="※없는 과목","④ 설정에 없는 과목입니다",IF(AND($E330="수입",$J330&gt;0),"수입 과목인데 지출에 적혔습니다",IF(AND(LEFT($E330,2)&lt;&gt;"수입",$E330&lt;&gt;"대체",$I330&gt;0),"지출 과목인데 수입에 적혔습니다",IF($K330="","증빙을 고르십시오",IF($H330="","적요를 적으십시오","")))))))))))</f>
        <v/>
      </c>
      <c r="M330" s="39"/>
      <c r="O330" s="11" t="str">
        <f aca="false">IF($B330="","",YEAR($B330)*100+MONTH($B330))</f>
        <v/>
      </c>
      <c r="P330" s="11" t="str">
        <f aca="false">IF($B330="","",IF($E330="대체",0,1))</f>
        <v/>
      </c>
    </row>
    <row r="331" customFormat="false" ht="15" hidden="false" customHeight="false" outlineLevel="0" collapsed="false">
      <c r="A331" s="36" t="str">
        <f aca="false">IF($B331="","",COUNT($B$15:$B331))</f>
        <v/>
      </c>
      <c r="B331" s="37"/>
      <c r="C331" s="38"/>
      <c r="D331" s="20"/>
      <c r="E331" s="36" t="str">
        <f aca="false">IF($D331="","",IFERROR(INDEX('교육원 ④ 설정'!$A$6:$A$40,MATCH($D331,'교육원 ④ 설정'!$B$6:$B$40,0)),"※없는 과목"))</f>
        <v/>
      </c>
      <c r="F331" s="36" t="str">
        <f aca="false">IF($D331="","",IFERROR(INDEX('교육원 ④ 설정'!$C$6:$C$40,MATCH($D331,'교육원 ④ 설정'!$B$6:$B$40,0)),""))</f>
        <v/>
      </c>
      <c r="G331" s="39"/>
      <c r="H331" s="39"/>
      <c r="I331" s="40"/>
      <c r="J331" s="41"/>
      <c r="K331" s="38"/>
      <c r="L331" s="42" t="str">
        <f aca="false">IF($B331="","",IF(AND(N($I331)=0,N($J331)=0),"금액이 없습니다",IF(AND($I331&gt;0,$J331&gt;0),"수입·지출 둘 다 적혔습니다",IF($C331="","결제수단을 고르십시오",IF(ISNA(MATCH($C331,'교육원 ③ 통장·카드'!$A$5:$A$11,0)),"③ 통장·카드에 없는 결제수단입니다",IF($D331="","계정과목을 고르십시오",IF($E331="※없는 과목","④ 설정에 없는 과목입니다",IF(AND($E331="수입",$J331&gt;0),"수입 과목인데 지출에 적혔습니다",IF(AND(LEFT($E331,2)&lt;&gt;"수입",$E331&lt;&gt;"대체",$I331&gt;0),"지출 과목인데 수입에 적혔습니다",IF($K331="","증빙을 고르십시오",IF($H331="","적요를 적으십시오","")))))))))))</f>
        <v/>
      </c>
      <c r="M331" s="39"/>
      <c r="O331" s="11" t="str">
        <f aca="false">IF($B331="","",YEAR($B331)*100+MONTH($B331))</f>
        <v/>
      </c>
      <c r="P331" s="11" t="str">
        <f aca="false">IF($B331="","",IF($E331="대체",0,1))</f>
        <v/>
      </c>
    </row>
    <row r="332" customFormat="false" ht="15" hidden="false" customHeight="false" outlineLevel="0" collapsed="false">
      <c r="A332" s="36" t="str">
        <f aca="false">IF($B332="","",COUNT($B$15:$B332))</f>
        <v/>
      </c>
      <c r="B332" s="37"/>
      <c r="C332" s="38"/>
      <c r="D332" s="20"/>
      <c r="E332" s="36" t="str">
        <f aca="false">IF($D332="","",IFERROR(INDEX('교육원 ④ 설정'!$A$6:$A$40,MATCH($D332,'교육원 ④ 설정'!$B$6:$B$40,0)),"※없는 과목"))</f>
        <v/>
      </c>
      <c r="F332" s="36" t="str">
        <f aca="false">IF($D332="","",IFERROR(INDEX('교육원 ④ 설정'!$C$6:$C$40,MATCH($D332,'교육원 ④ 설정'!$B$6:$B$40,0)),""))</f>
        <v/>
      </c>
      <c r="G332" s="39"/>
      <c r="H332" s="39"/>
      <c r="I332" s="40"/>
      <c r="J332" s="41"/>
      <c r="K332" s="38"/>
      <c r="L332" s="42" t="str">
        <f aca="false">IF($B332="","",IF(AND(N($I332)=0,N($J332)=0),"금액이 없습니다",IF(AND($I332&gt;0,$J332&gt;0),"수입·지출 둘 다 적혔습니다",IF($C332="","결제수단을 고르십시오",IF(ISNA(MATCH($C332,'교육원 ③ 통장·카드'!$A$5:$A$11,0)),"③ 통장·카드에 없는 결제수단입니다",IF($D332="","계정과목을 고르십시오",IF($E332="※없는 과목","④ 설정에 없는 과목입니다",IF(AND($E332="수입",$J332&gt;0),"수입 과목인데 지출에 적혔습니다",IF(AND(LEFT($E332,2)&lt;&gt;"수입",$E332&lt;&gt;"대체",$I332&gt;0),"지출 과목인데 수입에 적혔습니다",IF($K332="","증빙을 고르십시오",IF($H332="","적요를 적으십시오","")))))))))))</f>
        <v/>
      </c>
      <c r="M332" s="39"/>
      <c r="O332" s="11" t="str">
        <f aca="false">IF($B332="","",YEAR($B332)*100+MONTH($B332))</f>
        <v/>
      </c>
      <c r="P332" s="11" t="str">
        <f aca="false">IF($B332="","",IF($E332="대체",0,1))</f>
        <v/>
      </c>
    </row>
    <row r="333" customFormat="false" ht="15" hidden="false" customHeight="false" outlineLevel="0" collapsed="false">
      <c r="A333" s="36" t="str">
        <f aca="false">IF($B333="","",COUNT($B$15:$B333))</f>
        <v/>
      </c>
      <c r="B333" s="37"/>
      <c r="C333" s="38"/>
      <c r="D333" s="20"/>
      <c r="E333" s="36" t="str">
        <f aca="false">IF($D333="","",IFERROR(INDEX('교육원 ④ 설정'!$A$6:$A$40,MATCH($D333,'교육원 ④ 설정'!$B$6:$B$40,0)),"※없는 과목"))</f>
        <v/>
      </c>
      <c r="F333" s="36" t="str">
        <f aca="false">IF($D333="","",IFERROR(INDEX('교육원 ④ 설정'!$C$6:$C$40,MATCH($D333,'교육원 ④ 설정'!$B$6:$B$40,0)),""))</f>
        <v/>
      </c>
      <c r="G333" s="39"/>
      <c r="H333" s="39"/>
      <c r="I333" s="40"/>
      <c r="J333" s="41"/>
      <c r="K333" s="38"/>
      <c r="L333" s="42" t="str">
        <f aca="false">IF($B333="","",IF(AND(N($I333)=0,N($J333)=0),"금액이 없습니다",IF(AND($I333&gt;0,$J333&gt;0),"수입·지출 둘 다 적혔습니다",IF($C333="","결제수단을 고르십시오",IF(ISNA(MATCH($C333,'교육원 ③ 통장·카드'!$A$5:$A$11,0)),"③ 통장·카드에 없는 결제수단입니다",IF($D333="","계정과목을 고르십시오",IF($E333="※없는 과목","④ 설정에 없는 과목입니다",IF(AND($E333="수입",$J333&gt;0),"수입 과목인데 지출에 적혔습니다",IF(AND(LEFT($E333,2)&lt;&gt;"수입",$E333&lt;&gt;"대체",$I333&gt;0),"지출 과목인데 수입에 적혔습니다",IF($K333="","증빙을 고르십시오",IF($H333="","적요를 적으십시오","")))))))))))</f>
        <v/>
      </c>
      <c r="M333" s="39"/>
      <c r="O333" s="11" t="str">
        <f aca="false">IF($B333="","",YEAR($B333)*100+MONTH($B333))</f>
        <v/>
      </c>
      <c r="P333" s="11" t="str">
        <f aca="false">IF($B333="","",IF($E333="대체",0,1))</f>
        <v/>
      </c>
    </row>
    <row r="334" customFormat="false" ht="15" hidden="false" customHeight="false" outlineLevel="0" collapsed="false">
      <c r="A334" s="36" t="str">
        <f aca="false">IF($B334="","",COUNT($B$15:$B334))</f>
        <v/>
      </c>
      <c r="B334" s="37"/>
      <c r="C334" s="38"/>
      <c r="D334" s="20"/>
      <c r="E334" s="36" t="str">
        <f aca="false">IF($D334="","",IFERROR(INDEX('교육원 ④ 설정'!$A$6:$A$40,MATCH($D334,'교육원 ④ 설정'!$B$6:$B$40,0)),"※없는 과목"))</f>
        <v/>
      </c>
      <c r="F334" s="36" t="str">
        <f aca="false">IF($D334="","",IFERROR(INDEX('교육원 ④ 설정'!$C$6:$C$40,MATCH($D334,'교육원 ④ 설정'!$B$6:$B$40,0)),""))</f>
        <v/>
      </c>
      <c r="G334" s="39"/>
      <c r="H334" s="39"/>
      <c r="I334" s="40"/>
      <c r="J334" s="41"/>
      <c r="K334" s="38"/>
      <c r="L334" s="42" t="str">
        <f aca="false">IF($B334="","",IF(AND(N($I334)=0,N($J334)=0),"금액이 없습니다",IF(AND($I334&gt;0,$J334&gt;0),"수입·지출 둘 다 적혔습니다",IF($C334="","결제수단을 고르십시오",IF(ISNA(MATCH($C334,'교육원 ③ 통장·카드'!$A$5:$A$11,0)),"③ 통장·카드에 없는 결제수단입니다",IF($D334="","계정과목을 고르십시오",IF($E334="※없는 과목","④ 설정에 없는 과목입니다",IF(AND($E334="수입",$J334&gt;0),"수입 과목인데 지출에 적혔습니다",IF(AND(LEFT($E334,2)&lt;&gt;"수입",$E334&lt;&gt;"대체",$I334&gt;0),"지출 과목인데 수입에 적혔습니다",IF($K334="","증빙을 고르십시오",IF($H334="","적요를 적으십시오","")))))))))))</f>
        <v/>
      </c>
      <c r="M334" s="39"/>
      <c r="O334" s="11" t="str">
        <f aca="false">IF($B334="","",YEAR($B334)*100+MONTH($B334))</f>
        <v/>
      </c>
      <c r="P334" s="11" t="str">
        <f aca="false">IF($B334="","",IF($E334="대체",0,1))</f>
        <v/>
      </c>
    </row>
    <row r="335" customFormat="false" ht="15" hidden="false" customHeight="false" outlineLevel="0" collapsed="false">
      <c r="A335" s="36" t="str">
        <f aca="false">IF($B335="","",COUNT($B$15:$B335))</f>
        <v/>
      </c>
      <c r="B335" s="37"/>
      <c r="C335" s="38"/>
      <c r="D335" s="20"/>
      <c r="E335" s="36" t="str">
        <f aca="false">IF($D335="","",IFERROR(INDEX('교육원 ④ 설정'!$A$6:$A$40,MATCH($D335,'교육원 ④ 설정'!$B$6:$B$40,0)),"※없는 과목"))</f>
        <v/>
      </c>
      <c r="F335" s="36" t="str">
        <f aca="false">IF($D335="","",IFERROR(INDEX('교육원 ④ 설정'!$C$6:$C$40,MATCH($D335,'교육원 ④ 설정'!$B$6:$B$40,0)),""))</f>
        <v/>
      </c>
      <c r="G335" s="39"/>
      <c r="H335" s="39"/>
      <c r="I335" s="40"/>
      <c r="J335" s="41"/>
      <c r="K335" s="38"/>
      <c r="L335" s="42" t="str">
        <f aca="false">IF($B335="","",IF(AND(N($I335)=0,N($J335)=0),"금액이 없습니다",IF(AND($I335&gt;0,$J335&gt;0),"수입·지출 둘 다 적혔습니다",IF($C335="","결제수단을 고르십시오",IF(ISNA(MATCH($C335,'교육원 ③ 통장·카드'!$A$5:$A$11,0)),"③ 통장·카드에 없는 결제수단입니다",IF($D335="","계정과목을 고르십시오",IF($E335="※없는 과목","④ 설정에 없는 과목입니다",IF(AND($E335="수입",$J335&gt;0),"수입 과목인데 지출에 적혔습니다",IF(AND(LEFT($E335,2)&lt;&gt;"수입",$E335&lt;&gt;"대체",$I335&gt;0),"지출 과목인데 수입에 적혔습니다",IF($K335="","증빙을 고르십시오",IF($H335="","적요를 적으십시오","")))))))))))</f>
        <v/>
      </c>
      <c r="M335" s="39"/>
      <c r="O335" s="11" t="str">
        <f aca="false">IF($B335="","",YEAR($B335)*100+MONTH($B335))</f>
        <v/>
      </c>
      <c r="P335" s="11" t="str">
        <f aca="false">IF($B335="","",IF($E335="대체",0,1))</f>
        <v/>
      </c>
    </row>
    <row r="336" customFormat="false" ht="15" hidden="false" customHeight="false" outlineLevel="0" collapsed="false">
      <c r="A336" s="36" t="str">
        <f aca="false">IF($B336="","",COUNT($B$15:$B336))</f>
        <v/>
      </c>
      <c r="B336" s="37"/>
      <c r="C336" s="38"/>
      <c r="D336" s="20"/>
      <c r="E336" s="36" t="str">
        <f aca="false">IF($D336="","",IFERROR(INDEX('교육원 ④ 설정'!$A$6:$A$40,MATCH($D336,'교육원 ④ 설정'!$B$6:$B$40,0)),"※없는 과목"))</f>
        <v/>
      </c>
      <c r="F336" s="36" t="str">
        <f aca="false">IF($D336="","",IFERROR(INDEX('교육원 ④ 설정'!$C$6:$C$40,MATCH($D336,'교육원 ④ 설정'!$B$6:$B$40,0)),""))</f>
        <v/>
      </c>
      <c r="G336" s="39"/>
      <c r="H336" s="39"/>
      <c r="I336" s="40"/>
      <c r="J336" s="41"/>
      <c r="K336" s="38"/>
      <c r="L336" s="42" t="str">
        <f aca="false">IF($B336="","",IF(AND(N($I336)=0,N($J336)=0),"금액이 없습니다",IF(AND($I336&gt;0,$J336&gt;0),"수입·지출 둘 다 적혔습니다",IF($C336="","결제수단을 고르십시오",IF(ISNA(MATCH($C336,'교육원 ③ 통장·카드'!$A$5:$A$11,0)),"③ 통장·카드에 없는 결제수단입니다",IF($D336="","계정과목을 고르십시오",IF($E336="※없는 과목","④ 설정에 없는 과목입니다",IF(AND($E336="수입",$J336&gt;0),"수입 과목인데 지출에 적혔습니다",IF(AND(LEFT($E336,2)&lt;&gt;"수입",$E336&lt;&gt;"대체",$I336&gt;0),"지출 과목인데 수입에 적혔습니다",IF($K336="","증빙을 고르십시오",IF($H336="","적요를 적으십시오","")))))))))))</f>
        <v/>
      </c>
      <c r="M336" s="39"/>
      <c r="O336" s="11" t="str">
        <f aca="false">IF($B336="","",YEAR($B336)*100+MONTH($B336))</f>
        <v/>
      </c>
      <c r="P336" s="11" t="str">
        <f aca="false">IF($B336="","",IF($E336="대체",0,1))</f>
        <v/>
      </c>
    </row>
    <row r="337" customFormat="false" ht="15" hidden="false" customHeight="false" outlineLevel="0" collapsed="false">
      <c r="A337" s="36" t="str">
        <f aca="false">IF($B337="","",COUNT($B$15:$B337))</f>
        <v/>
      </c>
      <c r="B337" s="37"/>
      <c r="C337" s="38"/>
      <c r="D337" s="20"/>
      <c r="E337" s="36" t="str">
        <f aca="false">IF($D337="","",IFERROR(INDEX('교육원 ④ 설정'!$A$6:$A$40,MATCH($D337,'교육원 ④ 설정'!$B$6:$B$40,0)),"※없는 과목"))</f>
        <v/>
      </c>
      <c r="F337" s="36" t="str">
        <f aca="false">IF($D337="","",IFERROR(INDEX('교육원 ④ 설정'!$C$6:$C$40,MATCH($D337,'교육원 ④ 설정'!$B$6:$B$40,0)),""))</f>
        <v/>
      </c>
      <c r="G337" s="39"/>
      <c r="H337" s="39"/>
      <c r="I337" s="40"/>
      <c r="J337" s="41"/>
      <c r="K337" s="38"/>
      <c r="L337" s="42" t="str">
        <f aca="false">IF($B337="","",IF(AND(N($I337)=0,N($J337)=0),"금액이 없습니다",IF(AND($I337&gt;0,$J337&gt;0),"수입·지출 둘 다 적혔습니다",IF($C337="","결제수단을 고르십시오",IF(ISNA(MATCH($C337,'교육원 ③ 통장·카드'!$A$5:$A$11,0)),"③ 통장·카드에 없는 결제수단입니다",IF($D337="","계정과목을 고르십시오",IF($E337="※없는 과목","④ 설정에 없는 과목입니다",IF(AND($E337="수입",$J337&gt;0),"수입 과목인데 지출에 적혔습니다",IF(AND(LEFT($E337,2)&lt;&gt;"수입",$E337&lt;&gt;"대체",$I337&gt;0),"지출 과목인데 수입에 적혔습니다",IF($K337="","증빙을 고르십시오",IF($H337="","적요를 적으십시오","")))))))))))</f>
        <v/>
      </c>
      <c r="M337" s="39"/>
      <c r="O337" s="11" t="str">
        <f aca="false">IF($B337="","",YEAR($B337)*100+MONTH($B337))</f>
        <v/>
      </c>
      <c r="P337" s="11" t="str">
        <f aca="false">IF($B337="","",IF($E337="대체",0,1))</f>
        <v/>
      </c>
    </row>
    <row r="338" customFormat="false" ht="15" hidden="false" customHeight="false" outlineLevel="0" collapsed="false">
      <c r="A338" s="36" t="str">
        <f aca="false">IF($B338="","",COUNT($B$15:$B338))</f>
        <v/>
      </c>
      <c r="B338" s="37"/>
      <c r="C338" s="38"/>
      <c r="D338" s="20"/>
      <c r="E338" s="36" t="str">
        <f aca="false">IF($D338="","",IFERROR(INDEX('교육원 ④ 설정'!$A$6:$A$40,MATCH($D338,'교육원 ④ 설정'!$B$6:$B$40,0)),"※없는 과목"))</f>
        <v/>
      </c>
      <c r="F338" s="36" t="str">
        <f aca="false">IF($D338="","",IFERROR(INDEX('교육원 ④ 설정'!$C$6:$C$40,MATCH($D338,'교육원 ④ 설정'!$B$6:$B$40,0)),""))</f>
        <v/>
      </c>
      <c r="G338" s="39"/>
      <c r="H338" s="39"/>
      <c r="I338" s="40"/>
      <c r="J338" s="41"/>
      <c r="K338" s="38"/>
      <c r="L338" s="42" t="str">
        <f aca="false">IF($B338="","",IF(AND(N($I338)=0,N($J338)=0),"금액이 없습니다",IF(AND($I338&gt;0,$J338&gt;0),"수입·지출 둘 다 적혔습니다",IF($C338="","결제수단을 고르십시오",IF(ISNA(MATCH($C338,'교육원 ③ 통장·카드'!$A$5:$A$11,0)),"③ 통장·카드에 없는 결제수단입니다",IF($D338="","계정과목을 고르십시오",IF($E338="※없는 과목","④ 설정에 없는 과목입니다",IF(AND($E338="수입",$J338&gt;0),"수입 과목인데 지출에 적혔습니다",IF(AND(LEFT($E338,2)&lt;&gt;"수입",$E338&lt;&gt;"대체",$I338&gt;0),"지출 과목인데 수입에 적혔습니다",IF($K338="","증빙을 고르십시오",IF($H338="","적요를 적으십시오","")))))))))))</f>
        <v/>
      </c>
      <c r="M338" s="39"/>
      <c r="O338" s="11" t="str">
        <f aca="false">IF($B338="","",YEAR($B338)*100+MONTH($B338))</f>
        <v/>
      </c>
      <c r="P338" s="11" t="str">
        <f aca="false">IF($B338="","",IF($E338="대체",0,1))</f>
        <v/>
      </c>
    </row>
    <row r="339" customFormat="false" ht="15" hidden="false" customHeight="false" outlineLevel="0" collapsed="false">
      <c r="A339" s="36" t="str">
        <f aca="false">IF($B339="","",COUNT($B$15:$B339))</f>
        <v/>
      </c>
      <c r="B339" s="37"/>
      <c r="C339" s="38"/>
      <c r="D339" s="20"/>
      <c r="E339" s="36" t="str">
        <f aca="false">IF($D339="","",IFERROR(INDEX('교육원 ④ 설정'!$A$6:$A$40,MATCH($D339,'교육원 ④ 설정'!$B$6:$B$40,0)),"※없는 과목"))</f>
        <v/>
      </c>
      <c r="F339" s="36" t="str">
        <f aca="false">IF($D339="","",IFERROR(INDEX('교육원 ④ 설정'!$C$6:$C$40,MATCH($D339,'교육원 ④ 설정'!$B$6:$B$40,0)),""))</f>
        <v/>
      </c>
      <c r="G339" s="39"/>
      <c r="H339" s="39"/>
      <c r="I339" s="40"/>
      <c r="J339" s="41"/>
      <c r="K339" s="38"/>
      <c r="L339" s="42" t="str">
        <f aca="false">IF($B339="","",IF(AND(N($I339)=0,N($J339)=0),"금액이 없습니다",IF(AND($I339&gt;0,$J339&gt;0),"수입·지출 둘 다 적혔습니다",IF($C339="","결제수단을 고르십시오",IF(ISNA(MATCH($C339,'교육원 ③ 통장·카드'!$A$5:$A$11,0)),"③ 통장·카드에 없는 결제수단입니다",IF($D339="","계정과목을 고르십시오",IF($E339="※없는 과목","④ 설정에 없는 과목입니다",IF(AND($E339="수입",$J339&gt;0),"수입 과목인데 지출에 적혔습니다",IF(AND(LEFT($E339,2)&lt;&gt;"수입",$E339&lt;&gt;"대체",$I339&gt;0),"지출 과목인데 수입에 적혔습니다",IF($K339="","증빙을 고르십시오",IF($H339="","적요를 적으십시오","")))))))))))</f>
        <v/>
      </c>
      <c r="M339" s="39"/>
      <c r="O339" s="11" t="str">
        <f aca="false">IF($B339="","",YEAR($B339)*100+MONTH($B339))</f>
        <v/>
      </c>
      <c r="P339" s="11" t="str">
        <f aca="false">IF($B339="","",IF($E339="대체",0,1))</f>
        <v/>
      </c>
    </row>
    <row r="340" customFormat="false" ht="15" hidden="false" customHeight="false" outlineLevel="0" collapsed="false">
      <c r="A340" s="36" t="str">
        <f aca="false">IF($B340="","",COUNT($B$15:$B340))</f>
        <v/>
      </c>
      <c r="B340" s="37"/>
      <c r="C340" s="38"/>
      <c r="D340" s="20"/>
      <c r="E340" s="36" t="str">
        <f aca="false">IF($D340="","",IFERROR(INDEX('교육원 ④ 설정'!$A$6:$A$40,MATCH($D340,'교육원 ④ 설정'!$B$6:$B$40,0)),"※없는 과목"))</f>
        <v/>
      </c>
      <c r="F340" s="36" t="str">
        <f aca="false">IF($D340="","",IFERROR(INDEX('교육원 ④ 설정'!$C$6:$C$40,MATCH($D340,'교육원 ④ 설정'!$B$6:$B$40,0)),""))</f>
        <v/>
      </c>
      <c r="G340" s="39"/>
      <c r="H340" s="39"/>
      <c r="I340" s="40"/>
      <c r="J340" s="41"/>
      <c r="K340" s="38"/>
      <c r="L340" s="42" t="str">
        <f aca="false">IF($B340="","",IF(AND(N($I340)=0,N($J340)=0),"금액이 없습니다",IF(AND($I340&gt;0,$J340&gt;0),"수입·지출 둘 다 적혔습니다",IF($C340="","결제수단을 고르십시오",IF(ISNA(MATCH($C340,'교육원 ③ 통장·카드'!$A$5:$A$11,0)),"③ 통장·카드에 없는 결제수단입니다",IF($D340="","계정과목을 고르십시오",IF($E340="※없는 과목","④ 설정에 없는 과목입니다",IF(AND($E340="수입",$J340&gt;0),"수입 과목인데 지출에 적혔습니다",IF(AND(LEFT($E340,2)&lt;&gt;"수입",$E340&lt;&gt;"대체",$I340&gt;0),"지출 과목인데 수입에 적혔습니다",IF($K340="","증빙을 고르십시오",IF($H340="","적요를 적으십시오","")))))))))))</f>
        <v/>
      </c>
      <c r="M340" s="39"/>
      <c r="O340" s="11" t="str">
        <f aca="false">IF($B340="","",YEAR($B340)*100+MONTH($B340))</f>
        <v/>
      </c>
      <c r="P340" s="11" t="str">
        <f aca="false">IF($B340="","",IF($E340="대체",0,1))</f>
        <v/>
      </c>
    </row>
    <row r="341" customFormat="false" ht="15" hidden="false" customHeight="false" outlineLevel="0" collapsed="false">
      <c r="A341" s="36" t="str">
        <f aca="false">IF($B341="","",COUNT($B$15:$B341))</f>
        <v/>
      </c>
      <c r="B341" s="37"/>
      <c r="C341" s="38"/>
      <c r="D341" s="20"/>
      <c r="E341" s="36" t="str">
        <f aca="false">IF($D341="","",IFERROR(INDEX('교육원 ④ 설정'!$A$6:$A$40,MATCH($D341,'교육원 ④ 설정'!$B$6:$B$40,0)),"※없는 과목"))</f>
        <v/>
      </c>
      <c r="F341" s="36" t="str">
        <f aca="false">IF($D341="","",IFERROR(INDEX('교육원 ④ 설정'!$C$6:$C$40,MATCH($D341,'교육원 ④ 설정'!$B$6:$B$40,0)),""))</f>
        <v/>
      </c>
      <c r="G341" s="39"/>
      <c r="H341" s="39"/>
      <c r="I341" s="40"/>
      <c r="J341" s="41"/>
      <c r="K341" s="38"/>
      <c r="L341" s="42" t="str">
        <f aca="false">IF($B341="","",IF(AND(N($I341)=0,N($J341)=0),"금액이 없습니다",IF(AND($I341&gt;0,$J341&gt;0),"수입·지출 둘 다 적혔습니다",IF($C341="","결제수단을 고르십시오",IF(ISNA(MATCH($C341,'교육원 ③ 통장·카드'!$A$5:$A$11,0)),"③ 통장·카드에 없는 결제수단입니다",IF($D341="","계정과목을 고르십시오",IF($E341="※없는 과목","④ 설정에 없는 과목입니다",IF(AND($E341="수입",$J341&gt;0),"수입 과목인데 지출에 적혔습니다",IF(AND(LEFT($E341,2)&lt;&gt;"수입",$E341&lt;&gt;"대체",$I341&gt;0),"지출 과목인데 수입에 적혔습니다",IF($K341="","증빙을 고르십시오",IF($H341="","적요를 적으십시오","")))))))))))</f>
        <v/>
      </c>
      <c r="M341" s="39"/>
      <c r="O341" s="11" t="str">
        <f aca="false">IF($B341="","",YEAR($B341)*100+MONTH($B341))</f>
        <v/>
      </c>
      <c r="P341" s="11" t="str">
        <f aca="false">IF($B341="","",IF($E341="대체",0,1))</f>
        <v/>
      </c>
    </row>
    <row r="342" customFormat="false" ht="15" hidden="false" customHeight="false" outlineLevel="0" collapsed="false">
      <c r="A342" s="36" t="str">
        <f aca="false">IF($B342="","",COUNT($B$15:$B342))</f>
        <v/>
      </c>
      <c r="B342" s="37"/>
      <c r="C342" s="38"/>
      <c r="D342" s="20"/>
      <c r="E342" s="36" t="str">
        <f aca="false">IF($D342="","",IFERROR(INDEX('교육원 ④ 설정'!$A$6:$A$40,MATCH($D342,'교육원 ④ 설정'!$B$6:$B$40,0)),"※없는 과목"))</f>
        <v/>
      </c>
      <c r="F342" s="36" t="str">
        <f aca="false">IF($D342="","",IFERROR(INDEX('교육원 ④ 설정'!$C$6:$C$40,MATCH($D342,'교육원 ④ 설정'!$B$6:$B$40,0)),""))</f>
        <v/>
      </c>
      <c r="G342" s="39"/>
      <c r="H342" s="39"/>
      <c r="I342" s="40"/>
      <c r="J342" s="41"/>
      <c r="K342" s="38"/>
      <c r="L342" s="42" t="str">
        <f aca="false">IF($B342="","",IF(AND(N($I342)=0,N($J342)=0),"금액이 없습니다",IF(AND($I342&gt;0,$J342&gt;0),"수입·지출 둘 다 적혔습니다",IF($C342="","결제수단을 고르십시오",IF(ISNA(MATCH($C342,'교육원 ③ 통장·카드'!$A$5:$A$11,0)),"③ 통장·카드에 없는 결제수단입니다",IF($D342="","계정과목을 고르십시오",IF($E342="※없는 과목","④ 설정에 없는 과목입니다",IF(AND($E342="수입",$J342&gt;0),"수입 과목인데 지출에 적혔습니다",IF(AND(LEFT($E342,2)&lt;&gt;"수입",$E342&lt;&gt;"대체",$I342&gt;0),"지출 과목인데 수입에 적혔습니다",IF($K342="","증빙을 고르십시오",IF($H342="","적요를 적으십시오","")))))))))))</f>
        <v/>
      </c>
      <c r="M342" s="39"/>
      <c r="O342" s="11" t="str">
        <f aca="false">IF($B342="","",YEAR($B342)*100+MONTH($B342))</f>
        <v/>
      </c>
      <c r="P342" s="11" t="str">
        <f aca="false">IF($B342="","",IF($E342="대체",0,1))</f>
        <v/>
      </c>
    </row>
    <row r="343" customFormat="false" ht="15" hidden="false" customHeight="false" outlineLevel="0" collapsed="false">
      <c r="A343" s="36" t="str">
        <f aca="false">IF($B343="","",COUNT($B$15:$B343))</f>
        <v/>
      </c>
      <c r="B343" s="37"/>
      <c r="C343" s="38"/>
      <c r="D343" s="20"/>
      <c r="E343" s="36" t="str">
        <f aca="false">IF($D343="","",IFERROR(INDEX('교육원 ④ 설정'!$A$6:$A$40,MATCH($D343,'교육원 ④ 설정'!$B$6:$B$40,0)),"※없는 과목"))</f>
        <v/>
      </c>
      <c r="F343" s="36" t="str">
        <f aca="false">IF($D343="","",IFERROR(INDEX('교육원 ④ 설정'!$C$6:$C$40,MATCH($D343,'교육원 ④ 설정'!$B$6:$B$40,0)),""))</f>
        <v/>
      </c>
      <c r="G343" s="39"/>
      <c r="H343" s="39"/>
      <c r="I343" s="40"/>
      <c r="J343" s="41"/>
      <c r="K343" s="38"/>
      <c r="L343" s="42" t="str">
        <f aca="false">IF($B343="","",IF(AND(N($I343)=0,N($J343)=0),"금액이 없습니다",IF(AND($I343&gt;0,$J343&gt;0),"수입·지출 둘 다 적혔습니다",IF($C343="","결제수단을 고르십시오",IF(ISNA(MATCH($C343,'교육원 ③ 통장·카드'!$A$5:$A$11,0)),"③ 통장·카드에 없는 결제수단입니다",IF($D343="","계정과목을 고르십시오",IF($E343="※없는 과목","④ 설정에 없는 과목입니다",IF(AND($E343="수입",$J343&gt;0),"수입 과목인데 지출에 적혔습니다",IF(AND(LEFT($E343,2)&lt;&gt;"수입",$E343&lt;&gt;"대체",$I343&gt;0),"지출 과목인데 수입에 적혔습니다",IF($K343="","증빙을 고르십시오",IF($H343="","적요를 적으십시오","")))))))))))</f>
        <v/>
      </c>
      <c r="M343" s="39"/>
      <c r="O343" s="11" t="str">
        <f aca="false">IF($B343="","",YEAR($B343)*100+MONTH($B343))</f>
        <v/>
      </c>
      <c r="P343" s="11" t="str">
        <f aca="false">IF($B343="","",IF($E343="대체",0,1))</f>
        <v/>
      </c>
    </row>
    <row r="344" customFormat="false" ht="15" hidden="false" customHeight="false" outlineLevel="0" collapsed="false">
      <c r="A344" s="36" t="str">
        <f aca="false">IF($B344="","",COUNT($B$15:$B344))</f>
        <v/>
      </c>
      <c r="B344" s="37"/>
      <c r="C344" s="38"/>
      <c r="D344" s="20"/>
      <c r="E344" s="36" t="str">
        <f aca="false">IF($D344="","",IFERROR(INDEX('교육원 ④ 설정'!$A$6:$A$40,MATCH($D344,'교육원 ④ 설정'!$B$6:$B$40,0)),"※없는 과목"))</f>
        <v/>
      </c>
      <c r="F344" s="36" t="str">
        <f aca="false">IF($D344="","",IFERROR(INDEX('교육원 ④ 설정'!$C$6:$C$40,MATCH($D344,'교육원 ④ 설정'!$B$6:$B$40,0)),""))</f>
        <v/>
      </c>
      <c r="G344" s="39"/>
      <c r="H344" s="39"/>
      <c r="I344" s="40"/>
      <c r="J344" s="41"/>
      <c r="K344" s="38"/>
      <c r="L344" s="42" t="str">
        <f aca="false">IF($B344="","",IF(AND(N($I344)=0,N($J344)=0),"금액이 없습니다",IF(AND($I344&gt;0,$J344&gt;0),"수입·지출 둘 다 적혔습니다",IF($C344="","결제수단을 고르십시오",IF(ISNA(MATCH($C344,'교육원 ③ 통장·카드'!$A$5:$A$11,0)),"③ 통장·카드에 없는 결제수단입니다",IF($D344="","계정과목을 고르십시오",IF($E344="※없는 과목","④ 설정에 없는 과목입니다",IF(AND($E344="수입",$J344&gt;0),"수입 과목인데 지출에 적혔습니다",IF(AND(LEFT($E344,2)&lt;&gt;"수입",$E344&lt;&gt;"대체",$I344&gt;0),"지출 과목인데 수입에 적혔습니다",IF($K344="","증빙을 고르십시오",IF($H344="","적요를 적으십시오","")))))))))))</f>
        <v/>
      </c>
      <c r="M344" s="39"/>
      <c r="O344" s="11" t="str">
        <f aca="false">IF($B344="","",YEAR($B344)*100+MONTH($B344))</f>
        <v/>
      </c>
      <c r="P344" s="11" t="str">
        <f aca="false">IF($B344="","",IF($E344="대체",0,1))</f>
        <v/>
      </c>
    </row>
    <row r="345" customFormat="false" ht="15" hidden="false" customHeight="false" outlineLevel="0" collapsed="false">
      <c r="A345" s="36" t="str">
        <f aca="false">IF($B345="","",COUNT($B$15:$B345))</f>
        <v/>
      </c>
      <c r="B345" s="37"/>
      <c r="C345" s="38"/>
      <c r="D345" s="20"/>
      <c r="E345" s="36" t="str">
        <f aca="false">IF($D345="","",IFERROR(INDEX('교육원 ④ 설정'!$A$6:$A$40,MATCH($D345,'교육원 ④ 설정'!$B$6:$B$40,0)),"※없는 과목"))</f>
        <v/>
      </c>
      <c r="F345" s="36" t="str">
        <f aca="false">IF($D345="","",IFERROR(INDEX('교육원 ④ 설정'!$C$6:$C$40,MATCH($D345,'교육원 ④ 설정'!$B$6:$B$40,0)),""))</f>
        <v/>
      </c>
      <c r="G345" s="39"/>
      <c r="H345" s="39"/>
      <c r="I345" s="40"/>
      <c r="J345" s="41"/>
      <c r="K345" s="38"/>
      <c r="L345" s="42" t="str">
        <f aca="false">IF($B345="","",IF(AND(N($I345)=0,N($J345)=0),"금액이 없습니다",IF(AND($I345&gt;0,$J345&gt;0),"수입·지출 둘 다 적혔습니다",IF($C345="","결제수단을 고르십시오",IF(ISNA(MATCH($C345,'교육원 ③ 통장·카드'!$A$5:$A$11,0)),"③ 통장·카드에 없는 결제수단입니다",IF($D345="","계정과목을 고르십시오",IF($E345="※없는 과목","④ 설정에 없는 과목입니다",IF(AND($E345="수입",$J345&gt;0),"수입 과목인데 지출에 적혔습니다",IF(AND(LEFT($E345,2)&lt;&gt;"수입",$E345&lt;&gt;"대체",$I345&gt;0),"지출 과목인데 수입에 적혔습니다",IF($K345="","증빙을 고르십시오",IF($H345="","적요를 적으십시오","")))))))))))</f>
        <v/>
      </c>
      <c r="M345" s="39"/>
      <c r="O345" s="11" t="str">
        <f aca="false">IF($B345="","",YEAR($B345)*100+MONTH($B345))</f>
        <v/>
      </c>
      <c r="P345" s="11" t="str">
        <f aca="false">IF($B345="","",IF($E345="대체",0,1))</f>
        <v/>
      </c>
    </row>
    <row r="346" customFormat="false" ht="15" hidden="false" customHeight="false" outlineLevel="0" collapsed="false">
      <c r="A346" s="36" t="str">
        <f aca="false">IF($B346="","",COUNT($B$15:$B346))</f>
        <v/>
      </c>
      <c r="B346" s="37"/>
      <c r="C346" s="38"/>
      <c r="D346" s="20"/>
      <c r="E346" s="36" t="str">
        <f aca="false">IF($D346="","",IFERROR(INDEX('교육원 ④ 설정'!$A$6:$A$40,MATCH($D346,'교육원 ④ 설정'!$B$6:$B$40,0)),"※없는 과목"))</f>
        <v/>
      </c>
      <c r="F346" s="36" t="str">
        <f aca="false">IF($D346="","",IFERROR(INDEX('교육원 ④ 설정'!$C$6:$C$40,MATCH($D346,'교육원 ④ 설정'!$B$6:$B$40,0)),""))</f>
        <v/>
      </c>
      <c r="G346" s="39"/>
      <c r="H346" s="39"/>
      <c r="I346" s="40"/>
      <c r="J346" s="41"/>
      <c r="K346" s="38"/>
      <c r="L346" s="42" t="str">
        <f aca="false">IF($B346="","",IF(AND(N($I346)=0,N($J346)=0),"금액이 없습니다",IF(AND($I346&gt;0,$J346&gt;0),"수입·지출 둘 다 적혔습니다",IF($C346="","결제수단을 고르십시오",IF(ISNA(MATCH($C346,'교육원 ③ 통장·카드'!$A$5:$A$11,0)),"③ 통장·카드에 없는 결제수단입니다",IF($D346="","계정과목을 고르십시오",IF($E346="※없는 과목","④ 설정에 없는 과목입니다",IF(AND($E346="수입",$J346&gt;0),"수입 과목인데 지출에 적혔습니다",IF(AND(LEFT($E346,2)&lt;&gt;"수입",$E346&lt;&gt;"대체",$I346&gt;0),"지출 과목인데 수입에 적혔습니다",IF($K346="","증빙을 고르십시오",IF($H346="","적요를 적으십시오","")))))))))))</f>
        <v/>
      </c>
      <c r="M346" s="39"/>
      <c r="O346" s="11" t="str">
        <f aca="false">IF($B346="","",YEAR($B346)*100+MONTH($B346))</f>
        <v/>
      </c>
      <c r="P346" s="11" t="str">
        <f aca="false">IF($B346="","",IF($E346="대체",0,1))</f>
        <v/>
      </c>
    </row>
    <row r="347" customFormat="false" ht="15" hidden="false" customHeight="false" outlineLevel="0" collapsed="false">
      <c r="A347" s="36" t="str">
        <f aca="false">IF($B347="","",COUNT($B$15:$B347))</f>
        <v/>
      </c>
      <c r="B347" s="37"/>
      <c r="C347" s="38"/>
      <c r="D347" s="20"/>
      <c r="E347" s="36" t="str">
        <f aca="false">IF($D347="","",IFERROR(INDEX('교육원 ④ 설정'!$A$6:$A$40,MATCH($D347,'교육원 ④ 설정'!$B$6:$B$40,0)),"※없는 과목"))</f>
        <v/>
      </c>
      <c r="F347" s="36" t="str">
        <f aca="false">IF($D347="","",IFERROR(INDEX('교육원 ④ 설정'!$C$6:$C$40,MATCH($D347,'교육원 ④ 설정'!$B$6:$B$40,0)),""))</f>
        <v/>
      </c>
      <c r="G347" s="39"/>
      <c r="H347" s="39"/>
      <c r="I347" s="40"/>
      <c r="J347" s="41"/>
      <c r="K347" s="38"/>
      <c r="L347" s="42" t="str">
        <f aca="false">IF($B347="","",IF(AND(N($I347)=0,N($J347)=0),"금액이 없습니다",IF(AND($I347&gt;0,$J347&gt;0),"수입·지출 둘 다 적혔습니다",IF($C347="","결제수단을 고르십시오",IF(ISNA(MATCH($C347,'교육원 ③ 통장·카드'!$A$5:$A$11,0)),"③ 통장·카드에 없는 결제수단입니다",IF($D347="","계정과목을 고르십시오",IF($E347="※없는 과목","④ 설정에 없는 과목입니다",IF(AND($E347="수입",$J347&gt;0),"수입 과목인데 지출에 적혔습니다",IF(AND(LEFT($E347,2)&lt;&gt;"수입",$E347&lt;&gt;"대체",$I347&gt;0),"지출 과목인데 수입에 적혔습니다",IF($K347="","증빙을 고르십시오",IF($H347="","적요를 적으십시오","")))))))))))</f>
        <v/>
      </c>
      <c r="M347" s="39"/>
      <c r="O347" s="11" t="str">
        <f aca="false">IF($B347="","",YEAR($B347)*100+MONTH($B347))</f>
        <v/>
      </c>
      <c r="P347" s="11" t="str">
        <f aca="false">IF($B347="","",IF($E347="대체",0,1))</f>
        <v/>
      </c>
    </row>
    <row r="348" customFormat="false" ht="15" hidden="false" customHeight="false" outlineLevel="0" collapsed="false">
      <c r="A348" s="36" t="str">
        <f aca="false">IF($B348="","",COUNT($B$15:$B348))</f>
        <v/>
      </c>
      <c r="B348" s="37"/>
      <c r="C348" s="38"/>
      <c r="D348" s="20"/>
      <c r="E348" s="36" t="str">
        <f aca="false">IF($D348="","",IFERROR(INDEX('교육원 ④ 설정'!$A$6:$A$40,MATCH($D348,'교육원 ④ 설정'!$B$6:$B$40,0)),"※없는 과목"))</f>
        <v/>
      </c>
      <c r="F348" s="36" t="str">
        <f aca="false">IF($D348="","",IFERROR(INDEX('교육원 ④ 설정'!$C$6:$C$40,MATCH($D348,'교육원 ④ 설정'!$B$6:$B$40,0)),""))</f>
        <v/>
      </c>
      <c r="G348" s="39"/>
      <c r="H348" s="39"/>
      <c r="I348" s="40"/>
      <c r="J348" s="41"/>
      <c r="K348" s="38"/>
      <c r="L348" s="42" t="str">
        <f aca="false">IF($B348="","",IF(AND(N($I348)=0,N($J348)=0),"금액이 없습니다",IF(AND($I348&gt;0,$J348&gt;0),"수입·지출 둘 다 적혔습니다",IF($C348="","결제수단을 고르십시오",IF(ISNA(MATCH($C348,'교육원 ③ 통장·카드'!$A$5:$A$11,0)),"③ 통장·카드에 없는 결제수단입니다",IF($D348="","계정과목을 고르십시오",IF($E348="※없는 과목","④ 설정에 없는 과목입니다",IF(AND($E348="수입",$J348&gt;0),"수입 과목인데 지출에 적혔습니다",IF(AND(LEFT($E348,2)&lt;&gt;"수입",$E348&lt;&gt;"대체",$I348&gt;0),"지출 과목인데 수입에 적혔습니다",IF($K348="","증빙을 고르십시오",IF($H348="","적요를 적으십시오","")))))))))))</f>
        <v/>
      </c>
      <c r="M348" s="39"/>
      <c r="O348" s="11" t="str">
        <f aca="false">IF($B348="","",YEAR($B348)*100+MONTH($B348))</f>
        <v/>
      </c>
      <c r="P348" s="11" t="str">
        <f aca="false">IF($B348="","",IF($E348="대체",0,1))</f>
        <v/>
      </c>
    </row>
    <row r="349" customFormat="false" ht="15" hidden="false" customHeight="false" outlineLevel="0" collapsed="false">
      <c r="A349" s="36" t="str">
        <f aca="false">IF($B349="","",COUNT($B$15:$B349))</f>
        <v/>
      </c>
      <c r="B349" s="37"/>
      <c r="C349" s="38"/>
      <c r="D349" s="20"/>
      <c r="E349" s="36" t="str">
        <f aca="false">IF($D349="","",IFERROR(INDEX('교육원 ④ 설정'!$A$6:$A$40,MATCH($D349,'교육원 ④ 설정'!$B$6:$B$40,0)),"※없는 과목"))</f>
        <v/>
      </c>
      <c r="F349" s="36" t="str">
        <f aca="false">IF($D349="","",IFERROR(INDEX('교육원 ④ 설정'!$C$6:$C$40,MATCH($D349,'교육원 ④ 설정'!$B$6:$B$40,0)),""))</f>
        <v/>
      </c>
      <c r="G349" s="39"/>
      <c r="H349" s="39"/>
      <c r="I349" s="40"/>
      <c r="J349" s="41"/>
      <c r="K349" s="38"/>
      <c r="L349" s="42" t="str">
        <f aca="false">IF($B349="","",IF(AND(N($I349)=0,N($J349)=0),"금액이 없습니다",IF(AND($I349&gt;0,$J349&gt;0),"수입·지출 둘 다 적혔습니다",IF($C349="","결제수단을 고르십시오",IF(ISNA(MATCH($C349,'교육원 ③ 통장·카드'!$A$5:$A$11,0)),"③ 통장·카드에 없는 결제수단입니다",IF($D349="","계정과목을 고르십시오",IF($E349="※없는 과목","④ 설정에 없는 과목입니다",IF(AND($E349="수입",$J349&gt;0),"수입 과목인데 지출에 적혔습니다",IF(AND(LEFT($E349,2)&lt;&gt;"수입",$E349&lt;&gt;"대체",$I349&gt;0),"지출 과목인데 수입에 적혔습니다",IF($K349="","증빙을 고르십시오",IF($H349="","적요를 적으십시오","")))))))))))</f>
        <v/>
      </c>
      <c r="M349" s="39"/>
      <c r="O349" s="11" t="str">
        <f aca="false">IF($B349="","",YEAR($B349)*100+MONTH($B349))</f>
        <v/>
      </c>
      <c r="P349" s="11" t="str">
        <f aca="false">IF($B349="","",IF($E349="대체",0,1))</f>
        <v/>
      </c>
    </row>
    <row r="350" customFormat="false" ht="15" hidden="false" customHeight="false" outlineLevel="0" collapsed="false">
      <c r="A350" s="36" t="str">
        <f aca="false">IF($B350="","",COUNT($B$15:$B350))</f>
        <v/>
      </c>
      <c r="B350" s="37"/>
      <c r="C350" s="38"/>
      <c r="D350" s="20"/>
      <c r="E350" s="36" t="str">
        <f aca="false">IF($D350="","",IFERROR(INDEX('교육원 ④ 설정'!$A$6:$A$40,MATCH($D350,'교육원 ④ 설정'!$B$6:$B$40,0)),"※없는 과목"))</f>
        <v/>
      </c>
      <c r="F350" s="36" t="str">
        <f aca="false">IF($D350="","",IFERROR(INDEX('교육원 ④ 설정'!$C$6:$C$40,MATCH($D350,'교육원 ④ 설정'!$B$6:$B$40,0)),""))</f>
        <v/>
      </c>
      <c r="G350" s="39"/>
      <c r="H350" s="39"/>
      <c r="I350" s="40"/>
      <c r="J350" s="41"/>
      <c r="K350" s="38"/>
      <c r="L350" s="42" t="str">
        <f aca="false">IF($B350="","",IF(AND(N($I350)=0,N($J350)=0),"금액이 없습니다",IF(AND($I350&gt;0,$J350&gt;0),"수입·지출 둘 다 적혔습니다",IF($C350="","결제수단을 고르십시오",IF(ISNA(MATCH($C350,'교육원 ③ 통장·카드'!$A$5:$A$11,0)),"③ 통장·카드에 없는 결제수단입니다",IF($D350="","계정과목을 고르십시오",IF($E350="※없는 과목","④ 설정에 없는 과목입니다",IF(AND($E350="수입",$J350&gt;0),"수입 과목인데 지출에 적혔습니다",IF(AND(LEFT($E350,2)&lt;&gt;"수입",$E350&lt;&gt;"대체",$I350&gt;0),"지출 과목인데 수입에 적혔습니다",IF($K350="","증빙을 고르십시오",IF($H350="","적요를 적으십시오","")))))))))))</f>
        <v/>
      </c>
      <c r="M350" s="39"/>
      <c r="O350" s="11" t="str">
        <f aca="false">IF($B350="","",YEAR($B350)*100+MONTH($B350))</f>
        <v/>
      </c>
      <c r="P350" s="11" t="str">
        <f aca="false">IF($B350="","",IF($E350="대체",0,1))</f>
        <v/>
      </c>
    </row>
    <row r="351" customFormat="false" ht="15" hidden="false" customHeight="false" outlineLevel="0" collapsed="false">
      <c r="A351" s="36" t="str">
        <f aca="false">IF($B351="","",COUNT($B$15:$B351))</f>
        <v/>
      </c>
      <c r="B351" s="37"/>
      <c r="C351" s="38"/>
      <c r="D351" s="20"/>
      <c r="E351" s="36" t="str">
        <f aca="false">IF($D351="","",IFERROR(INDEX('교육원 ④ 설정'!$A$6:$A$40,MATCH($D351,'교육원 ④ 설정'!$B$6:$B$40,0)),"※없는 과목"))</f>
        <v/>
      </c>
      <c r="F351" s="36" t="str">
        <f aca="false">IF($D351="","",IFERROR(INDEX('교육원 ④ 설정'!$C$6:$C$40,MATCH($D351,'교육원 ④ 설정'!$B$6:$B$40,0)),""))</f>
        <v/>
      </c>
      <c r="G351" s="39"/>
      <c r="H351" s="39"/>
      <c r="I351" s="40"/>
      <c r="J351" s="41"/>
      <c r="K351" s="38"/>
      <c r="L351" s="42" t="str">
        <f aca="false">IF($B351="","",IF(AND(N($I351)=0,N($J351)=0),"금액이 없습니다",IF(AND($I351&gt;0,$J351&gt;0),"수입·지출 둘 다 적혔습니다",IF($C351="","결제수단을 고르십시오",IF(ISNA(MATCH($C351,'교육원 ③ 통장·카드'!$A$5:$A$11,0)),"③ 통장·카드에 없는 결제수단입니다",IF($D351="","계정과목을 고르십시오",IF($E351="※없는 과목","④ 설정에 없는 과목입니다",IF(AND($E351="수입",$J351&gt;0),"수입 과목인데 지출에 적혔습니다",IF(AND(LEFT($E351,2)&lt;&gt;"수입",$E351&lt;&gt;"대체",$I351&gt;0),"지출 과목인데 수입에 적혔습니다",IF($K351="","증빙을 고르십시오",IF($H351="","적요를 적으십시오","")))))))))))</f>
        <v/>
      </c>
      <c r="M351" s="39"/>
      <c r="O351" s="11" t="str">
        <f aca="false">IF($B351="","",YEAR($B351)*100+MONTH($B351))</f>
        <v/>
      </c>
      <c r="P351" s="11" t="str">
        <f aca="false">IF($B351="","",IF($E351="대체",0,1))</f>
        <v/>
      </c>
    </row>
    <row r="352" customFormat="false" ht="15" hidden="false" customHeight="false" outlineLevel="0" collapsed="false">
      <c r="A352" s="36" t="str">
        <f aca="false">IF($B352="","",COUNT($B$15:$B352))</f>
        <v/>
      </c>
      <c r="B352" s="37"/>
      <c r="C352" s="38"/>
      <c r="D352" s="20"/>
      <c r="E352" s="36" t="str">
        <f aca="false">IF($D352="","",IFERROR(INDEX('교육원 ④ 설정'!$A$6:$A$40,MATCH($D352,'교육원 ④ 설정'!$B$6:$B$40,0)),"※없는 과목"))</f>
        <v/>
      </c>
      <c r="F352" s="36" t="str">
        <f aca="false">IF($D352="","",IFERROR(INDEX('교육원 ④ 설정'!$C$6:$C$40,MATCH($D352,'교육원 ④ 설정'!$B$6:$B$40,0)),""))</f>
        <v/>
      </c>
      <c r="G352" s="39"/>
      <c r="H352" s="39"/>
      <c r="I352" s="40"/>
      <c r="J352" s="41"/>
      <c r="K352" s="38"/>
      <c r="L352" s="42" t="str">
        <f aca="false">IF($B352="","",IF(AND(N($I352)=0,N($J352)=0),"금액이 없습니다",IF(AND($I352&gt;0,$J352&gt;0),"수입·지출 둘 다 적혔습니다",IF($C352="","결제수단을 고르십시오",IF(ISNA(MATCH($C352,'교육원 ③ 통장·카드'!$A$5:$A$11,0)),"③ 통장·카드에 없는 결제수단입니다",IF($D352="","계정과목을 고르십시오",IF($E352="※없는 과목","④ 설정에 없는 과목입니다",IF(AND($E352="수입",$J352&gt;0),"수입 과목인데 지출에 적혔습니다",IF(AND(LEFT($E352,2)&lt;&gt;"수입",$E352&lt;&gt;"대체",$I352&gt;0),"지출 과목인데 수입에 적혔습니다",IF($K352="","증빙을 고르십시오",IF($H352="","적요를 적으십시오","")))))))))))</f>
        <v/>
      </c>
      <c r="M352" s="39"/>
      <c r="O352" s="11" t="str">
        <f aca="false">IF($B352="","",YEAR($B352)*100+MONTH($B352))</f>
        <v/>
      </c>
      <c r="P352" s="11" t="str">
        <f aca="false">IF($B352="","",IF($E352="대체",0,1))</f>
        <v/>
      </c>
    </row>
    <row r="353" customFormat="false" ht="15" hidden="false" customHeight="false" outlineLevel="0" collapsed="false">
      <c r="A353" s="36" t="str">
        <f aca="false">IF($B353="","",COUNT($B$15:$B353))</f>
        <v/>
      </c>
      <c r="B353" s="37"/>
      <c r="C353" s="38"/>
      <c r="D353" s="20"/>
      <c r="E353" s="36" t="str">
        <f aca="false">IF($D353="","",IFERROR(INDEX('교육원 ④ 설정'!$A$6:$A$40,MATCH($D353,'교육원 ④ 설정'!$B$6:$B$40,0)),"※없는 과목"))</f>
        <v/>
      </c>
      <c r="F353" s="36" t="str">
        <f aca="false">IF($D353="","",IFERROR(INDEX('교육원 ④ 설정'!$C$6:$C$40,MATCH($D353,'교육원 ④ 설정'!$B$6:$B$40,0)),""))</f>
        <v/>
      </c>
      <c r="G353" s="39"/>
      <c r="H353" s="39"/>
      <c r="I353" s="40"/>
      <c r="J353" s="41"/>
      <c r="K353" s="38"/>
      <c r="L353" s="42" t="str">
        <f aca="false">IF($B353="","",IF(AND(N($I353)=0,N($J353)=0),"금액이 없습니다",IF(AND($I353&gt;0,$J353&gt;0),"수입·지출 둘 다 적혔습니다",IF($C353="","결제수단을 고르십시오",IF(ISNA(MATCH($C353,'교육원 ③ 통장·카드'!$A$5:$A$11,0)),"③ 통장·카드에 없는 결제수단입니다",IF($D353="","계정과목을 고르십시오",IF($E353="※없는 과목","④ 설정에 없는 과목입니다",IF(AND($E353="수입",$J353&gt;0),"수입 과목인데 지출에 적혔습니다",IF(AND(LEFT($E353,2)&lt;&gt;"수입",$E353&lt;&gt;"대체",$I353&gt;0),"지출 과목인데 수입에 적혔습니다",IF($K353="","증빙을 고르십시오",IF($H353="","적요를 적으십시오","")))))))))))</f>
        <v/>
      </c>
      <c r="M353" s="39"/>
      <c r="O353" s="11" t="str">
        <f aca="false">IF($B353="","",YEAR($B353)*100+MONTH($B353))</f>
        <v/>
      </c>
      <c r="P353" s="11" t="str">
        <f aca="false">IF($B353="","",IF($E353="대체",0,1))</f>
        <v/>
      </c>
    </row>
    <row r="354" customFormat="false" ht="15" hidden="false" customHeight="false" outlineLevel="0" collapsed="false">
      <c r="A354" s="36" t="str">
        <f aca="false">IF($B354="","",COUNT($B$15:$B354))</f>
        <v/>
      </c>
      <c r="B354" s="37"/>
      <c r="C354" s="38"/>
      <c r="D354" s="20"/>
      <c r="E354" s="36" t="str">
        <f aca="false">IF($D354="","",IFERROR(INDEX('교육원 ④ 설정'!$A$6:$A$40,MATCH($D354,'교육원 ④ 설정'!$B$6:$B$40,0)),"※없는 과목"))</f>
        <v/>
      </c>
      <c r="F354" s="36" t="str">
        <f aca="false">IF($D354="","",IFERROR(INDEX('교육원 ④ 설정'!$C$6:$C$40,MATCH($D354,'교육원 ④ 설정'!$B$6:$B$40,0)),""))</f>
        <v/>
      </c>
      <c r="G354" s="39"/>
      <c r="H354" s="39"/>
      <c r="I354" s="40"/>
      <c r="J354" s="41"/>
      <c r="K354" s="38"/>
      <c r="L354" s="42" t="str">
        <f aca="false">IF($B354="","",IF(AND(N($I354)=0,N($J354)=0),"금액이 없습니다",IF(AND($I354&gt;0,$J354&gt;0),"수입·지출 둘 다 적혔습니다",IF($C354="","결제수단을 고르십시오",IF(ISNA(MATCH($C354,'교육원 ③ 통장·카드'!$A$5:$A$11,0)),"③ 통장·카드에 없는 결제수단입니다",IF($D354="","계정과목을 고르십시오",IF($E354="※없는 과목","④ 설정에 없는 과목입니다",IF(AND($E354="수입",$J354&gt;0),"수입 과목인데 지출에 적혔습니다",IF(AND(LEFT($E354,2)&lt;&gt;"수입",$E354&lt;&gt;"대체",$I354&gt;0),"지출 과목인데 수입에 적혔습니다",IF($K354="","증빙을 고르십시오",IF($H354="","적요를 적으십시오","")))))))))))</f>
        <v/>
      </c>
      <c r="M354" s="39"/>
      <c r="O354" s="11" t="str">
        <f aca="false">IF($B354="","",YEAR($B354)*100+MONTH($B354))</f>
        <v/>
      </c>
      <c r="P354" s="11" t="str">
        <f aca="false">IF($B354="","",IF($E354="대체",0,1))</f>
        <v/>
      </c>
    </row>
    <row r="355" customFormat="false" ht="15" hidden="false" customHeight="false" outlineLevel="0" collapsed="false">
      <c r="A355" s="36" t="str">
        <f aca="false">IF($B355="","",COUNT($B$15:$B355))</f>
        <v/>
      </c>
      <c r="B355" s="37"/>
      <c r="C355" s="38"/>
      <c r="D355" s="20"/>
      <c r="E355" s="36" t="str">
        <f aca="false">IF($D355="","",IFERROR(INDEX('교육원 ④ 설정'!$A$6:$A$40,MATCH($D355,'교육원 ④ 설정'!$B$6:$B$40,0)),"※없는 과목"))</f>
        <v/>
      </c>
      <c r="F355" s="36" t="str">
        <f aca="false">IF($D355="","",IFERROR(INDEX('교육원 ④ 설정'!$C$6:$C$40,MATCH($D355,'교육원 ④ 설정'!$B$6:$B$40,0)),""))</f>
        <v/>
      </c>
      <c r="G355" s="39"/>
      <c r="H355" s="39"/>
      <c r="I355" s="40"/>
      <c r="J355" s="41"/>
      <c r="K355" s="38"/>
      <c r="L355" s="42" t="str">
        <f aca="false">IF($B355="","",IF(AND(N($I355)=0,N($J355)=0),"금액이 없습니다",IF(AND($I355&gt;0,$J355&gt;0),"수입·지출 둘 다 적혔습니다",IF($C355="","결제수단을 고르십시오",IF(ISNA(MATCH($C355,'교육원 ③ 통장·카드'!$A$5:$A$11,0)),"③ 통장·카드에 없는 결제수단입니다",IF($D355="","계정과목을 고르십시오",IF($E355="※없는 과목","④ 설정에 없는 과목입니다",IF(AND($E355="수입",$J355&gt;0),"수입 과목인데 지출에 적혔습니다",IF(AND(LEFT($E355,2)&lt;&gt;"수입",$E355&lt;&gt;"대체",$I355&gt;0),"지출 과목인데 수입에 적혔습니다",IF($K355="","증빙을 고르십시오",IF($H355="","적요를 적으십시오","")))))))))))</f>
        <v/>
      </c>
      <c r="M355" s="39"/>
      <c r="O355" s="11" t="str">
        <f aca="false">IF($B355="","",YEAR($B355)*100+MONTH($B355))</f>
        <v/>
      </c>
      <c r="P355" s="11" t="str">
        <f aca="false">IF($B355="","",IF($E355="대체",0,1))</f>
        <v/>
      </c>
    </row>
    <row r="356" customFormat="false" ht="15" hidden="false" customHeight="false" outlineLevel="0" collapsed="false">
      <c r="A356" s="36" t="str">
        <f aca="false">IF($B356="","",COUNT($B$15:$B356))</f>
        <v/>
      </c>
      <c r="B356" s="37"/>
      <c r="C356" s="38"/>
      <c r="D356" s="20"/>
      <c r="E356" s="36" t="str">
        <f aca="false">IF($D356="","",IFERROR(INDEX('교육원 ④ 설정'!$A$6:$A$40,MATCH($D356,'교육원 ④ 설정'!$B$6:$B$40,0)),"※없는 과목"))</f>
        <v/>
      </c>
      <c r="F356" s="36" t="str">
        <f aca="false">IF($D356="","",IFERROR(INDEX('교육원 ④ 설정'!$C$6:$C$40,MATCH($D356,'교육원 ④ 설정'!$B$6:$B$40,0)),""))</f>
        <v/>
      </c>
      <c r="G356" s="39"/>
      <c r="H356" s="39"/>
      <c r="I356" s="40"/>
      <c r="J356" s="41"/>
      <c r="K356" s="38"/>
      <c r="L356" s="42" t="str">
        <f aca="false">IF($B356="","",IF(AND(N($I356)=0,N($J356)=0),"금액이 없습니다",IF(AND($I356&gt;0,$J356&gt;0),"수입·지출 둘 다 적혔습니다",IF($C356="","결제수단을 고르십시오",IF(ISNA(MATCH($C356,'교육원 ③ 통장·카드'!$A$5:$A$11,0)),"③ 통장·카드에 없는 결제수단입니다",IF($D356="","계정과목을 고르십시오",IF($E356="※없는 과목","④ 설정에 없는 과목입니다",IF(AND($E356="수입",$J356&gt;0),"수입 과목인데 지출에 적혔습니다",IF(AND(LEFT($E356,2)&lt;&gt;"수입",$E356&lt;&gt;"대체",$I356&gt;0),"지출 과목인데 수입에 적혔습니다",IF($K356="","증빙을 고르십시오",IF($H356="","적요를 적으십시오","")))))))))))</f>
        <v/>
      </c>
      <c r="M356" s="39"/>
      <c r="O356" s="11" t="str">
        <f aca="false">IF($B356="","",YEAR($B356)*100+MONTH($B356))</f>
        <v/>
      </c>
      <c r="P356" s="11" t="str">
        <f aca="false">IF($B356="","",IF($E356="대체",0,1))</f>
        <v/>
      </c>
    </row>
    <row r="357" customFormat="false" ht="15" hidden="false" customHeight="false" outlineLevel="0" collapsed="false">
      <c r="A357" s="36" t="str">
        <f aca="false">IF($B357="","",COUNT($B$15:$B357))</f>
        <v/>
      </c>
      <c r="B357" s="37"/>
      <c r="C357" s="38"/>
      <c r="D357" s="20"/>
      <c r="E357" s="36" t="str">
        <f aca="false">IF($D357="","",IFERROR(INDEX('교육원 ④ 설정'!$A$6:$A$40,MATCH($D357,'교육원 ④ 설정'!$B$6:$B$40,0)),"※없는 과목"))</f>
        <v/>
      </c>
      <c r="F357" s="36" t="str">
        <f aca="false">IF($D357="","",IFERROR(INDEX('교육원 ④ 설정'!$C$6:$C$40,MATCH($D357,'교육원 ④ 설정'!$B$6:$B$40,0)),""))</f>
        <v/>
      </c>
      <c r="G357" s="39"/>
      <c r="H357" s="39"/>
      <c r="I357" s="40"/>
      <c r="J357" s="41"/>
      <c r="K357" s="38"/>
      <c r="L357" s="42" t="str">
        <f aca="false">IF($B357="","",IF(AND(N($I357)=0,N($J357)=0),"금액이 없습니다",IF(AND($I357&gt;0,$J357&gt;0),"수입·지출 둘 다 적혔습니다",IF($C357="","결제수단을 고르십시오",IF(ISNA(MATCH($C357,'교육원 ③ 통장·카드'!$A$5:$A$11,0)),"③ 통장·카드에 없는 결제수단입니다",IF($D357="","계정과목을 고르십시오",IF($E357="※없는 과목","④ 설정에 없는 과목입니다",IF(AND($E357="수입",$J357&gt;0),"수입 과목인데 지출에 적혔습니다",IF(AND(LEFT($E357,2)&lt;&gt;"수입",$E357&lt;&gt;"대체",$I357&gt;0),"지출 과목인데 수입에 적혔습니다",IF($K357="","증빙을 고르십시오",IF($H357="","적요를 적으십시오","")))))))))))</f>
        <v/>
      </c>
      <c r="M357" s="39"/>
      <c r="O357" s="11" t="str">
        <f aca="false">IF($B357="","",YEAR($B357)*100+MONTH($B357))</f>
        <v/>
      </c>
      <c r="P357" s="11" t="str">
        <f aca="false">IF($B357="","",IF($E357="대체",0,1))</f>
        <v/>
      </c>
    </row>
    <row r="358" customFormat="false" ht="15" hidden="false" customHeight="false" outlineLevel="0" collapsed="false">
      <c r="A358" s="36" t="str">
        <f aca="false">IF($B358="","",COUNT($B$15:$B358))</f>
        <v/>
      </c>
      <c r="B358" s="37"/>
      <c r="C358" s="38"/>
      <c r="D358" s="20"/>
      <c r="E358" s="36" t="str">
        <f aca="false">IF($D358="","",IFERROR(INDEX('교육원 ④ 설정'!$A$6:$A$40,MATCH($D358,'교육원 ④ 설정'!$B$6:$B$40,0)),"※없는 과목"))</f>
        <v/>
      </c>
      <c r="F358" s="36" t="str">
        <f aca="false">IF($D358="","",IFERROR(INDEX('교육원 ④ 설정'!$C$6:$C$40,MATCH($D358,'교육원 ④ 설정'!$B$6:$B$40,0)),""))</f>
        <v/>
      </c>
      <c r="G358" s="39"/>
      <c r="H358" s="39"/>
      <c r="I358" s="40"/>
      <c r="J358" s="41"/>
      <c r="K358" s="38"/>
      <c r="L358" s="42" t="str">
        <f aca="false">IF($B358="","",IF(AND(N($I358)=0,N($J358)=0),"금액이 없습니다",IF(AND($I358&gt;0,$J358&gt;0),"수입·지출 둘 다 적혔습니다",IF($C358="","결제수단을 고르십시오",IF(ISNA(MATCH($C358,'교육원 ③ 통장·카드'!$A$5:$A$11,0)),"③ 통장·카드에 없는 결제수단입니다",IF($D358="","계정과목을 고르십시오",IF($E358="※없는 과목","④ 설정에 없는 과목입니다",IF(AND($E358="수입",$J358&gt;0),"수입 과목인데 지출에 적혔습니다",IF(AND(LEFT($E358,2)&lt;&gt;"수입",$E358&lt;&gt;"대체",$I358&gt;0),"지출 과목인데 수입에 적혔습니다",IF($K358="","증빙을 고르십시오",IF($H358="","적요를 적으십시오","")))))))))))</f>
        <v/>
      </c>
      <c r="M358" s="39"/>
      <c r="O358" s="11" t="str">
        <f aca="false">IF($B358="","",YEAR($B358)*100+MONTH($B358))</f>
        <v/>
      </c>
      <c r="P358" s="11" t="str">
        <f aca="false">IF($B358="","",IF($E358="대체",0,1))</f>
        <v/>
      </c>
    </row>
    <row r="359" customFormat="false" ht="15" hidden="false" customHeight="false" outlineLevel="0" collapsed="false">
      <c r="A359" s="36" t="str">
        <f aca="false">IF($B359="","",COUNT($B$15:$B359))</f>
        <v/>
      </c>
      <c r="B359" s="37"/>
      <c r="C359" s="38"/>
      <c r="D359" s="20"/>
      <c r="E359" s="36" t="str">
        <f aca="false">IF($D359="","",IFERROR(INDEX('교육원 ④ 설정'!$A$6:$A$40,MATCH($D359,'교육원 ④ 설정'!$B$6:$B$40,0)),"※없는 과목"))</f>
        <v/>
      </c>
      <c r="F359" s="36" t="str">
        <f aca="false">IF($D359="","",IFERROR(INDEX('교육원 ④ 설정'!$C$6:$C$40,MATCH($D359,'교육원 ④ 설정'!$B$6:$B$40,0)),""))</f>
        <v/>
      </c>
      <c r="G359" s="39"/>
      <c r="H359" s="39"/>
      <c r="I359" s="40"/>
      <c r="J359" s="41"/>
      <c r="K359" s="38"/>
      <c r="L359" s="42" t="str">
        <f aca="false">IF($B359="","",IF(AND(N($I359)=0,N($J359)=0),"금액이 없습니다",IF(AND($I359&gt;0,$J359&gt;0),"수입·지출 둘 다 적혔습니다",IF($C359="","결제수단을 고르십시오",IF(ISNA(MATCH($C359,'교육원 ③ 통장·카드'!$A$5:$A$11,0)),"③ 통장·카드에 없는 결제수단입니다",IF($D359="","계정과목을 고르십시오",IF($E359="※없는 과목","④ 설정에 없는 과목입니다",IF(AND($E359="수입",$J359&gt;0),"수입 과목인데 지출에 적혔습니다",IF(AND(LEFT($E359,2)&lt;&gt;"수입",$E359&lt;&gt;"대체",$I359&gt;0),"지출 과목인데 수입에 적혔습니다",IF($K359="","증빙을 고르십시오",IF($H359="","적요를 적으십시오","")))))))))))</f>
        <v/>
      </c>
      <c r="M359" s="39"/>
      <c r="O359" s="11" t="str">
        <f aca="false">IF($B359="","",YEAR($B359)*100+MONTH($B359))</f>
        <v/>
      </c>
      <c r="P359" s="11" t="str">
        <f aca="false">IF($B359="","",IF($E359="대체",0,1))</f>
        <v/>
      </c>
    </row>
    <row r="360" customFormat="false" ht="15" hidden="false" customHeight="false" outlineLevel="0" collapsed="false">
      <c r="A360" s="36" t="str">
        <f aca="false">IF($B360="","",COUNT($B$15:$B360))</f>
        <v/>
      </c>
      <c r="B360" s="37"/>
      <c r="C360" s="38"/>
      <c r="D360" s="20"/>
      <c r="E360" s="36" t="str">
        <f aca="false">IF($D360="","",IFERROR(INDEX('교육원 ④ 설정'!$A$6:$A$40,MATCH($D360,'교육원 ④ 설정'!$B$6:$B$40,0)),"※없는 과목"))</f>
        <v/>
      </c>
      <c r="F360" s="36" t="str">
        <f aca="false">IF($D360="","",IFERROR(INDEX('교육원 ④ 설정'!$C$6:$C$40,MATCH($D360,'교육원 ④ 설정'!$B$6:$B$40,0)),""))</f>
        <v/>
      </c>
      <c r="G360" s="39"/>
      <c r="H360" s="39"/>
      <c r="I360" s="40"/>
      <c r="J360" s="41"/>
      <c r="K360" s="38"/>
      <c r="L360" s="42" t="str">
        <f aca="false">IF($B360="","",IF(AND(N($I360)=0,N($J360)=0),"금액이 없습니다",IF(AND($I360&gt;0,$J360&gt;0),"수입·지출 둘 다 적혔습니다",IF($C360="","결제수단을 고르십시오",IF(ISNA(MATCH($C360,'교육원 ③ 통장·카드'!$A$5:$A$11,0)),"③ 통장·카드에 없는 결제수단입니다",IF($D360="","계정과목을 고르십시오",IF($E360="※없는 과목","④ 설정에 없는 과목입니다",IF(AND($E360="수입",$J360&gt;0),"수입 과목인데 지출에 적혔습니다",IF(AND(LEFT($E360,2)&lt;&gt;"수입",$E360&lt;&gt;"대체",$I360&gt;0),"지출 과목인데 수입에 적혔습니다",IF($K360="","증빙을 고르십시오",IF($H360="","적요를 적으십시오","")))))))))))</f>
        <v/>
      </c>
      <c r="M360" s="39"/>
      <c r="O360" s="11" t="str">
        <f aca="false">IF($B360="","",YEAR($B360)*100+MONTH($B360))</f>
        <v/>
      </c>
      <c r="P360" s="11" t="str">
        <f aca="false">IF($B360="","",IF($E360="대체",0,1))</f>
        <v/>
      </c>
    </row>
    <row r="361" customFormat="false" ht="15" hidden="false" customHeight="false" outlineLevel="0" collapsed="false">
      <c r="A361" s="36" t="str">
        <f aca="false">IF($B361="","",COUNT($B$15:$B361))</f>
        <v/>
      </c>
      <c r="B361" s="37"/>
      <c r="C361" s="38"/>
      <c r="D361" s="20"/>
      <c r="E361" s="36" t="str">
        <f aca="false">IF($D361="","",IFERROR(INDEX('교육원 ④ 설정'!$A$6:$A$40,MATCH($D361,'교육원 ④ 설정'!$B$6:$B$40,0)),"※없는 과목"))</f>
        <v/>
      </c>
      <c r="F361" s="36" t="str">
        <f aca="false">IF($D361="","",IFERROR(INDEX('교육원 ④ 설정'!$C$6:$C$40,MATCH($D361,'교육원 ④ 설정'!$B$6:$B$40,0)),""))</f>
        <v/>
      </c>
      <c r="G361" s="39"/>
      <c r="H361" s="39"/>
      <c r="I361" s="40"/>
      <c r="J361" s="41"/>
      <c r="K361" s="38"/>
      <c r="L361" s="42" t="str">
        <f aca="false">IF($B361="","",IF(AND(N($I361)=0,N($J361)=0),"금액이 없습니다",IF(AND($I361&gt;0,$J361&gt;0),"수입·지출 둘 다 적혔습니다",IF($C361="","결제수단을 고르십시오",IF(ISNA(MATCH($C361,'교육원 ③ 통장·카드'!$A$5:$A$11,0)),"③ 통장·카드에 없는 결제수단입니다",IF($D361="","계정과목을 고르십시오",IF($E361="※없는 과목","④ 설정에 없는 과목입니다",IF(AND($E361="수입",$J361&gt;0),"수입 과목인데 지출에 적혔습니다",IF(AND(LEFT($E361,2)&lt;&gt;"수입",$E361&lt;&gt;"대체",$I361&gt;0),"지출 과목인데 수입에 적혔습니다",IF($K361="","증빙을 고르십시오",IF($H361="","적요를 적으십시오","")))))))))))</f>
        <v/>
      </c>
      <c r="M361" s="39"/>
      <c r="O361" s="11" t="str">
        <f aca="false">IF($B361="","",YEAR($B361)*100+MONTH($B361))</f>
        <v/>
      </c>
      <c r="P361" s="11" t="str">
        <f aca="false">IF($B361="","",IF($E361="대체",0,1))</f>
        <v/>
      </c>
    </row>
    <row r="362" customFormat="false" ht="15" hidden="false" customHeight="false" outlineLevel="0" collapsed="false">
      <c r="A362" s="36" t="str">
        <f aca="false">IF($B362="","",COUNT($B$15:$B362))</f>
        <v/>
      </c>
      <c r="B362" s="37"/>
      <c r="C362" s="38"/>
      <c r="D362" s="20"/>
      <c r="E362" s="36" t="str">
        <f aca="false">IF($D362="","",IFERROR(INDEX('교육원 ④ 설정'!$A$6:$A$40,MATCH($D362,'교육원 ④ 설정'!$B$6:$B$40,0)),"※없는 과목"))</f>
        <v/>
      </c>
      <c r="F362" s="36" t="str">
        <f aca="false">IF($D362="","",IFERROR(INDEX('교육원 ④ 설정'!$C$6:$C$40,MATCH($D362,'교육원 ④ 설정'!$B$6:$B$40,0)),""))</f>
        <v/>
      </c>
      <c r="G362" s="39"/>
      <c r="H362" s="39"/>
      <c r="I362" s="40"/>
      <c r="J362" s="41"/>
      <c r="K362" s="38"/>
      <c r="L362" s="42" t="str">
        <f aca="false">IF($B362="","",IF(AND(N($I362)=0,N($J362)=0),"금액이 없습니다",IF(AND($I362&gt;0,$J362&gt;0),"수입·지출 둘 다 적혔습니다",IF($C362="","결제수단을 고르십시오",IF(ISNA(MATCH($C362,'교육원 ③ 통장·카드'!$A$5:$A$11,0)),"③ 통장·카드에 없는 결제수단입니다",IF($D362="","계정과목을 고르십시오",IF($E362="※없는 과목","④ 설정에 없는 과목입니다",IF(AND($E362="수입",$J362&gt;0),"수입 과목인데 지출에 적혔습니다",IF(AND(LEFT($E362,2)&lt;&gt;"수입",$E362&lt;&gt;"대체",$I362&gt;0),"지출 과목인데 수입에 적혔습니다",IF($K362="","증빙을 고르십시오",IF($H362="","적요를 적으십시오","")))))))))))</f>
        <v/>
      </c>
      <c r="M362" s="39"/>
      <c r="O362" s="11" t="str">
        <f aca="false">IF($B362="","",YEAR($B362)*100+MONTH($B362))</f>
        <v/>
      </c>
      <c r="P362" s="11" t="str">
        <f aca="false">IF($B362="","",IF($E362="대체",0,1))</f>
        <v/>
      </c>
    </row>
    <row r="363" customFormat="false" ht="15" hidden="false" customHeight="false" outlineLevel="0" collapsed="false">
      <c r="A363" s="36" t="str">
        <f aca="false">IF($B363="","",COUNT($B$15:$B363))</f>
        <v/>
      </c>
      <c r="B363" s="37"/>
      <c r="C363" s="38"/>
      <c r="D363" s="20"/>
      <c r="E363" s="36" t="str">
        <f aca="false">IF($D363="","",IFERROR(INDEX('교육원 ④ 설정'!$A$6:$A$40,MATCH($D363,'교육원 ④ 설정'!$B$6:$B$40,0)),"※없는 과목"))</f>
        <v/>
      </c>
      <c r="F363" s="36" t="str">
        <f aca="false">IF($D363="","",IFERROR(INDEX('교육원 ④ 설정'!$C$6:$C$40,MATCH($D363,'교육원 ④ 설정'!$B$6:$B$40,0)),""))</f>
        <v/>
      </c>
      <c r="G363" s="39"/>
      <c r="H363" s="39"/>
      <c r="I363" s="40"/>
      <c r="J363" s="41"/>
      <c r="K363" s="38"/>
      <c r="L363" s="42" t="str">
        <f aca="false">IF($B363="","",IF(AND(N($I363)=0,N($J363)=0),"금액이 없습니다",IF(AND($I363&gt;0,$J363&gt;0),"수입·지출 둘 다 적혔습니다",IF($C363="","결제수단을 고르십시오",IF(ISNA(MATCH($C363,'교육원 ③ 통장·카드'!$A$5:$A$11,0)),"③ 통장·카드에 없는 결제수단입니다",IF($D363="","계정과목을 고르십시오",IF($E363="※없는 과목","④ 설정에 없는 과목입니다",IF(AND($E363="수입",$J363&gt;0),"수입 과목인데 지출에 적혔습니다",IF(AND(LEFT($E363,2)&lt;&gt;"수입",$E363&lt;&gt;"대체",$I363&gt;0),"지출 과목인데 수입에 적혔습니다",IF($K363="","증빙을 고르십시오",IF($H363="","적요를 적으십시오","")))))))))))</f>
        <v/>
      </c>
      <c r="M363" s="39"/>
      <c r="O363" s="11" t="str">
        <f aca="false">IF($B363="","",YEAR($B363)*100+MONTH($B363))</f>
        <v/>
      </c>
      <c r="P363" s="11" t="str">
        <f aca="false">IF($B363="","",IF($E363="대체",0,1))</f>
        <v/>
      </c>
    </row>
    <row r="364" customFormat="false" ht="15" hidden="false" customHeight="false" outlineLevel="0" collapsed="false">
      <c r="A364" s="36" t="str">
        <f aca="false">IF($B364="","",COUNT($B$15:$B364))</f>
        <v/>
      </c>
      <c r="B364" s="37"/>
      <c r="C364" s="38"/>
      <c r="D364" s="20"/>
      <c r="E364" s="36" t="str">
        <f aca="false">IF($D364="","",IFERROR(INDEX('교육원 ④ 설정'!$A$6:$A$40,MATCH($D364,'교육원 ④ 설정'!$B$6:$B$40,0)),"※없는 과목"))</f>
        <v/>
      </c>
      <c r="F364" s="36" t="str">
        <f aca="false">IF($D364="","",IFERROR(INDEX('교육원 ④ 설정'!$C$6:$C$40,MATCH($D364,'교육원 ④ 설정'!$B$6:$B$40,0)),""))</f>
        <v/>
      </c>
      <c r="G364" s="39"/>
      <c r="H364" s="39"/>
      <c r="I364" s="40"/>
      <c r="J364" s="41"/>
      <c r="K364" s="38"/>
      <c r="L364" s="42" t="str">
        <f aca="false">IF($B364="","",IF(AND(N($I364)=0,N($J364)=0),"금액이 없습니다",IF(AND($I364&gt;0,$J364&gt;0),"수입·지출 둘 다 적혔습니다",IF($C364="","결제수단을 고르십시오",IF(ISNA(MATCH($C364,'교육원 ③ 통장·카드'!$A$5:$A$11,0)),"③ 통장·카드에 없는 결제수단입니다",IF($D364="","계정과목을 고르십시오",IF($E364="※없는 과목","④ 설정에 없는 과목입니다",IF(AND($E364="수입",$J364&gt;0),"수입 과목인데 지출에 적혔습니다",IF(AND(LEFT($E364,2)&lt;&gt;"수입",$E364&lt;&gt;"대체",$I364&gt;0),"지출 과목인데 수입에 적혔습니다",IF($K364="","증빙을 고르십시오",IF($H364="","적요를 적으십시오","")))))))))))</f>
        <v/>
      </c>
      <c r="M364" s="39"/>
      <c r="O364" s="11" t="str">
        <f aca="false">IF($B364="","",YEAR($B364)*100+MONTH($B364))</f>
        <v/>
      </c>
      <c r="P364" s="11" t="str">
        <f aca="false">IF($B364="","",IF($E364="대체",0,1))</f>
        <v/>
      </c>
    </row>
    <row r="365" customFormat="false" ht="15" hidden="false" customHeight="false" outlineLevel="0" collapsed="false">
      <c r="A365" s="36" t="str">
        <f aca="false">IF($B365="","",COUNT($B$15:$B365))</f>
        <v/>
      </c>
      <c r="B365" s="37"/>
      <c r="C365" s="38"/>
      <c r="D365" s="20"/>
      <c r="E365" s="36" t="str">
        <f aca="false">IF($D365="","",IFERROR(INDEX('교육원 ④ 설정'!$A$6:$A$40,MATCH($D365,'교육원 ④ 설정'!$B$6:$B$40,0)),"※없는 과목"))</f>
        <v/>
      </c>
      <c r="F365" s="36" t="str">
        <f aca="false">IF($D365="","",IFERROR(INDEX('교육원 ④ 설정'!$C$6:$C$40,MATCH($D365,'교육원 ④ 설정'!$B$6:$B$40,0)),""))</f>
        <v/>
      </c>
      <c r="G365" s="39"/>
      <c r="H365" s="39"/>
      <c r="I365" s="40"/>
      <c r="J365" s="41"/>
      <c r="K365" s="38"/>
      <c r="L365" s="42" t="str">
        <f aca="false">IF($B365="","",IF(AND(N($I365)=0,N($J365)=0),"금액이 없습니다",IF(AND($I365&gt;0,$J365&gt;0),"수입·지출 둘 다 적혔습니다",IF($C365="","결제수단을 고르십시오",IF(ISNA(MATCH($C365,'교육원 ③ 통장·카드'!$A$5:$A$11,0)),"③ 통장·카드에 없는 결제수단입니다",IF($D365="","계정과목을 고르십시오",IF($E365="※없는 과목","④ 설정에 없는 과목입니다",IF(AND($E365="수입",$J365&gt;0),"수입 과목인데 지출에 적혔습니다",IF(AND(LEFT($E365,2)&lt;&gt;"수입",$E365&lt;&gt;"대체",$I365&gt;0),"지출 과목인데 수입에 적혔습니다",IF($K365="","증빙을 고르십시오",IF($H365="","적요를 적으십시오","")))))))))))</f>
        <v/>
      </c>
      <c r="M365" s="39"/>
      <c r="O365" s="11" t="str">
        <f aca="false">IF($B365="","",YEAR($B365)*100+MONTH($B365))</f>
        <v/>
      </c>
      <c r="P365" s="11" t="str">
        <f aca="false">IF($B365="","",IF($E365="대체",0,1))</f>
        <v/>
      </c>
    </row>
    <row r="366" customFormat="false" ht="15" hidden="false" customHeight="false" outlineLevel="0" collapsed="false">
      <c r="A366" s="36" t="str">
        <f aca="false">IF($B366="","",COUNT($B$15:$B366))</f>
        <v/>
      </c>
      <c r="B366" s="37"/>
      <c r="C366" s="38"/>
      <c r="D366" s="20"/>
      <c r="E366" s="36" t="str">
        <f aca="false">IF($D366="","",IFERROR(INDEX('교육원 ④ 설정'!$A$6:$A$40,MATCH($D366,'교육원 ④ 설정'!$B$6:$B$40,0)),"※없는 과목"))</f>
        <v/>
      </c>
      <c r="F366" s="36" t="str">
        <f aca="false">IF($D366="","",IFERROR(INDEX('교육원 ④ 설정'!$C$6:$C$40,MATCH($D366,'교육원 ④ 설정'!$B$6:$B$40,0)),""))</f>
        <v/>
      </c>
      <c r="G366" s="39"/>
      <c r="H366" s="39"/>
      <c r="I366" s="40"/>
      <c r="J366" s="41"/>
      <c r="K366" s="38"/>
      <c r="L366" s="42" t="str">
        <f aca="false">IF($B366="","",IF(AND(N($I366)=0,N($J366)=0),"금액이 없습니다",IF(AND($I366&gt;0,$J366&gt;0),"수입·지출 둘 다 적혔습니다",IF($C366="","결제수단을 고르십시오",IF(ISNA(MATCH($C366,'교육원 ③ 통장·카드'!$A$5:$A$11,0)),"③ 통장·카드에 없는 결제수단입니다",IF($D366="","계정과목을 고르십시오",IF($E366="※없는 과목","④ 설정에 없는 과목입니다",IF(AND($E366="수입",$J366&gt;0),"수입 과목인데 지출에 적혔습니다",IF(AND(LEFT($E366,2)&lt;&gt;"수입",$E366&lt;&gt;"대체",$I366&gt;0),"지출 과목인데 수입에 적혔습니다",IF($K366="","증빙을 고르십시오",IF($H366="","적요를 적으십시오","")))))))))))</f>
        <v/>
      </c>
      <c r="M366" s="39"/>
      <c r="O366" s="11" t="str">
        <f aca="false">IF($B366="","",YEAR($B366)*100+MONTH($B366))</f>
        <v/>
      </c>
      <c r="P366" s="11" t="str">
        <f aca="false">IF($B366="","",IF($E366="대체",0,1))</f>
        <v/>
      </c>
    </row>
    <row r="367" customFormat="false" ht="15" hidden="false" customHeight="false" outlineLevel="0" collapsed="false">
      <c r="A367" s="36" t="str">
        <f aca="false">IF($B367="","",COUNT($B$15:$B367))</f>
        <v/>
      </c>
      <c r="B367" s="37"/>
      <c r="C367" s="38"/>
      <c r="D367" s="20"/>
      <c r="E367" s="36" t="str">
        <f aca="false">IF($D367="","",IFERROR(INDEX('교육원 ④ 설정'!$A$6:$A$40,MATCH($D367,'교육원 ④ 설정'!$B$6:$B$40,0)),"※없는 과목"))</f>
        <v/>
      </c>
      <c r="F367" s="36" t="str">
        <f aca="false">IF($D367="","",IFERROR(INDEX('교육원 ④ 설정'!$C$6:$C$40,MATCH($D367,'교육원 ④ 설정'!$B$6:$B$40,0)),""))</f>
        <v/>
      </c>
      <c r="G367" s="39"/>
      <c r="H367" s="39"/>
      <c r="I367" s="40"/>
      <c r="J367" s="41"/>
      <c r="K367" s="38"/>
      <c r="L367" s="42" t="str">
        <f aca="false">IF($B367="","",IF(AND(N($I367)=0,N($J367)=0),"금액이 없습니다",IF(AND($I367&gt;0,$J367&gt;0),"수입·지출 둘 다 적혔습니다",IF($C367="","결제수단을 고르십시오",IF(ISNA(MATCH($C367,'교육원 ③ 통장·카드'!$A$5:$A$11,0)),"③ 통장·카드에 없는 결제수단입니다",IF($D367="","계정과목을 고르십시오",IF($E367="※없는 과목","④ 설정에 없는 과목입니다",IF(AND($E367="수입",$J367&gt;0),"수입 과목인데 지출에 적혔습니다",IF(AND(LEFT($E367,2)&lt;&gt;"수입",$E367&lt;&gt;"대체",$I367&gt;0),"지출 과목인데 수입에 적혔습니다",IF($K367="","증빙을 고르십시오",IF($H367="","적요를 적으십시오","")))))))))))</f>
        <v/>
      </c>
      <c r="M367" s="39"/>
      <c r="O367" s="11" t="str">
        <f aca="false">IF($B367="","",YEAR($B367)*100+MONTH($B367))</f>
        <v/>
      </c>
      <c r="P367" s="11" t="str">
        <f aca="false">IF($B367="","",IF($E367="대체",0,1))</f>
        <v/>
      </c>
    </row>
    <row r="368" customFormat="false" ht="15" hidden="false" customHeight="false" outlineLevel="0" collapsed="false">
      <c r="A368" s="36" t="str">
        <f aca="false">IF($B368="","",COUNT($B$15:$B368))</f>
        <v/>
      </c>
      <c r="B368" s="37"/>
      <c r="C368" s="38"/>
      <c r="D368" s="20"/>
      <c r="E368" s="36" t="str">
        <f aca="false">IF($D368="","",IFERROR(INDEX('교육원 ④ 설정'!$A$6:$A$40,MATCH($D368,'교육원 ④ 설정'!$B$6:$B$40,0)),"※없는 과목"))</f>
        <v/>
      </c>
      <c r="F368" s="36" t="str">
        <f aca="false">IF($D368="","",IFERROR(INDEX('교육원 ④ 설정'!$C$6:$C$40,MATCH($D368,'교육원 ④ 설정'!$B$6:$B$40,0)),""))</f>
        <v/>
      </c>
      <c r="G368" s="39"/>
      <c r="H368" s="39"/>
      <c r="I368" s="40"/>
      <c r="J368" s="41"/>
      <c r="K368" s="38"/>
      <c r="L368" s="42" t="str">
        <f aca="false">IF($B368="","",IF(AND(N($I368)=0,N($J368)=0),"금액이 없습니다",IF(AND($I368&gt;0,$J368&gt;0),"수입·지출 둘 다 적혔습니다",IF($C368="","결제수단을 고르십시오",IF(ISNA(MATCH($C368,'교육원 ③ 통장·카드'!$A$5:$A$11,0)),"③ 통장·카드에 없는 결제수단입니다",IF($D368="","계정과목을 고르십시오",IF($E368="※없는 과목","④ 설정에 없는 과목입니다",IF(AND($E368="수입",$J368&gt;0),"수입 과목인데 지출에 적혔습니다",IF(AND(LEFT($E368,2)&lt;&gt;"수입",$E368&lt;&gt;"대체",$I368&gt;0),"지출 과목인데 수입에 적혔습니다",IF($K368="","증빙을 고르십시오",IF($H368="","적요를 적으십시오","")))))))))))</f>
        <v/>
      </c>
      <c r="M368" s="39"/>
      <c r="O368" s="11" t="str">
        <f aca="false">IF($B368="","",YEAR($B368)*100+MONTH($B368))</f>
        <v/>
      </c>
      <c r="P368" s="11" t="str">
        <f aca="false">IF($B368="","",IF($E368="대체",0,1))</f>
        <v/>
      </c>
    </row>
    <row r="369" customFormat="false" ht="15" hidden="false" customHeight="false" outlineLevel="0" collapsed="false">
      <c r="A369" s="36" t="str">
        <f aca="false">IF($B369="","",COUNT($B$15:$B369))</f>
        <v/>
      </c>
      <c r="B369" s="37"/>
      <c r="C369" s="38"/>
      <c r="D369" s="20"/>
      <c r="E369" s="36" t="str">
        <f aca="false">IF($D369="","",IFERROR(INDEX('교육원 ④ 설정'!$A$6:$A$40,MATCH($D369,'교육원 ④ 설정'!$B$6:$B$40,0)),"※없는 과목"))</f>
        <v/>
      </c>
      <c r="F369" s="36" t="str">
        <f aca="false">IF($D369="","",IFERROR(INDEX('교육원 ④ 설정'!$C$6:$C$40,MATCH($D369,'교육원 ④ 설정'!$B$6:$B$40,0)),""))</f>
        <v/>
      </c>
      <c r="G369" s="39"/>
      <c r="H369" s="39"/>
      <c r="I369" s="40"/>
      <c r="J369" s="41"/>
      <c r="K369" s="38"/>
      <c r="L369" s="42" t="str">
        <f aca="false">IF($B369="","",IF(AND(N($I369)=0,N($J369)=0),"금액이 없습니다",IF(AND($I369&gt;0,$J369&gt;0),"수입·지출 둘 다 적혔습니다",IF($C369="","결제수단을 고르십시오",IF(ISNA(MATCH($C369,'교육원 ③ 통장·카드'!$A$5:$A$11,0)),"③ 통장·카드에 없는 결제수단입니다",IF($D369="","계정과목을 고르십시오",IF($E369="※없는 과목","④ 설정에 없는 과목입니다",IF(AND($E369="수입",$J369&gt;0),"수입 과목인데 지출에 적혔습니다",IF(AND(LEFT($E369,2)&lt;&gt;"수입",$E369&lt;&gt;"대체",$I369&gt;0),"지출 과목인데 수입에 적혔습니다",IF($K369="","증빙을 고르십시오",IF($H369="","적요를 적으십시오","")))))))))))</f>
        <v/>
      </c>
      <c r="M369" s="39"/>
      <c r="O369" s="11" t="str">
        <f aca="false">IF($B369="","",YEAR($B369)*100+MONTH($B369))</f>
        <v/>
      </c>
      <c r="P369" s="11" t="str">
        <f aca="false">IF($B369="","",IF($E369="대체",0,1))</f>
        <v/>
      </c>
    </row>
    <row r="370" customFormat="false" ht="15" hidden="false" customHeight="false" outlineLevel="0" collapsed="false">
      <c r="A370" s="36" t="str">
        <f aca="false">IF($B370="","",COUNT($B$15:$B370))</f>
        <v/>
      </c>
      <c r="B370" s="37"/>
      <c r="C370" s="38"/>
      <c r="D370" s="20"/>
      <c r="E370" s="36" t="str">
        <f aca="false">IF($D370="","",IFERROR(INDEX('교육원 ④ 설정'!$A$6:$A$40,MATCH($D370,'교육원 ④ 설정'!$B$6:$B$40,0)),"※없는 과목"))</f>
        <v/>
      </c>
      <c r="F370" s="36" t="str">
        <f aca="false">IF($D370="","",IFERROR(INDEX('교육원 ④ 설정'!$C$6:$C$40,MATCH($D370,'교육원 ④ 설정'!$B$6:$B$40,0)),""))</f>
        <v/>
      </c>
      <c r="G370" s="39"/>
      <c r="H370" s="39"/>
      <c r="I370" s="40"/>
      <c r="J370" s="41"/>
      <c r="K370" s="38"/>
      <c r="L370" s="42" t="str">
        <f aca="false">IF($B370="","",IF(AND(N($I370)=0,N($J370)=0),"금액이 없습니다",IF(AND($I370&gt;0,$J370&gt;0),"수입·지출 둘 다 적혔습니다",IF($C370="","결제수단을 고르십시오",IF(ISNA(MATCH($C370,'교육원 ③ 통장·카드'!$A$5:$A$11,0)),"③ 통장·카드에 없는 결제수단입니다",IF($D370="","계정과목을 고르십시오",IF($E370="※없는 과목","④ 설정에 없는 과목입니다",IF(AND($E370="수입",$J370&gt;0),"수입 과목인데 지출에 적혔습니다",IF(AND(LEFT($E370,2)&lt;&gt;"수입",$E370&lt;&gt;"대체",$I370&gt;0),"지출 과목인데 수입에 적혔습니다",IF($K370="","증빙을 고르십시오",IF($H370="","적요를 적으십시오","")))))))))))</f>
        <v/>
      </c>
      <c r="M370" s="39"/>
      <c r="O370" s="11" t="str">
        <f aca="false">IF($B370="","",YEAR($B370)*100+MONTH($B370))</f>
        <v/>
      </c>
      <c r="P370" s="11" t="str">
        <f aca="false">IF($B370="","",IF($E370="대체",0,1))</f>
        <v/>
      </c>
    </row>
    <row r="371" customFormat="false" ht="15" hidden="false" customHeight="false" outlineLevel="0" collapsed="false">
      <c r="A371" s="36" t="str">
        <f aca="false">IF($B371="","",COUNT($B$15:$B371))</f>
        <v/>
      </c>
      <c r="B371" s="37"/>
      <c r="C371" s="38"/>
      <c r="D371" s="20"/>
      <c r="E371" s="36" t="str">
        <f aca="false">IF($D371="","",IFERROR(INDEX('교육원 ④ 설정'!$A$6:$A$40,MATCH($D371,'교육원 ④ 설정'!$B$6:$B$40,0)),"※없는 과목"))</f>
        <v/>
      </c>
      <c r="F371" s="36" t="str">
        <f aca="false">IF($D371="","",IFERROR(INDEX('교육원 ④ 설정'!$C$6:$C$40,MATCH($D371,'교육원 ④ 설정'!$B$6:$B$40,0)),""))</f>
        <v/>
      </c>
      <c r="G371" s="39"/>
      <c r="H371" s="39"/>
      <c r="I371" s="40"/>
      <c r="J371" s="41"/>
      <c r="K371" s="38"/>
      <c r="L371" s="42" t="str">
        <f aca="false">IF($B371="","",IF(AND(N($I371)=0,N($J371)=0),"금액이 없습니다",IF(AND($I371&gt;0,$J371&gt;0),"수입·지출 둘 다 적혔습니다",IF($C371="","결제수단을 고르십시오",IF(ISNA(MATCH($C371,'교육원 ③ 통장·카드'!$A$5:$A$11,0)),"③ 통장·카드에 없는 결제수단입니다",IF($D371="","계정과목을 고르십시오",IF($E371="※없는 과목","④ 설정에 없는 과목입니다",IF(AND($E371="수입",$J371&gt;0),"수입 과목인데 지출에 적혔습니다",IF(AND(LEFT($E371,2)&lt;&gt;"수입",$E371&lt;&gt;"대체",$I371&gt;0),"지출 과목인데 수입에 적혔습니다",IF($K371="","증빙을 고르십시오",IF($H371="","적요를 적으십시오","")))))))))))</f>
        <v/>
      </c>
      <c r="M371" s="39"/>
      <c r="O371" s="11" t="str">
        <f aca="false">IF($B371="","",YEAR($B371)*100+MONTH($B371))</f>
        <v/>
      </c>
      <c r="P371" s="11" t="str">
        <f aca="false">IF($B371="","",IF($E371="대체",0,1))</f>
        <v/>
      </c>
    </row>
    <row r="372" customFormat="false" ht="15" hidden="false" customHeight="false" outlineLevel="0" collapsed="false">
      <c r="A372" s="36" t="str">
        <f aca="false">IF($B372="","",COUNT($B$15:$B372))</f>
        <v/>
      </c>
      <c r="B372" s="37"/>
      <c r="C372" s="38"/>
      <c r="D372" s="20"/>
      <c r="E372" s="36" t="str">
        <f aca="false">IF($D372="","",IFERROR(INDEX('교육원 ④ 설정'!$A$6:$A$40,MATCH($D372,'교육원 ④ 설정'!$B$6:$B$40,0)),"※없는 과목"))</f>
        <v/>
      </c>
      <c r="F372" s="36" t="str">
        <f aca="false">IF($D372="","",IFERROR(INDEX('교육원 ④ 설정'!$C$6:$C$40,MATCH($D372,'교육원 ④ 설정'!$B$6:$B$40,0)),""))</f>
        <v/>
      </c>
      <c r="G372" s="39"/>
      <c r="H372" s="39"/>
      <c r="I372" s="40"/>
      <c r="J372" s="41"/>
      <c r="K372" s="38"/>
      <c r="L372" s="42" t="str">
        <f aca="false">IF($B372="","",IF(AND(N($I372)=0,N($J372)=0),"금액이 없습니다",IF(AND($I372&gt;0,$J372&gt;0),"수입·지출 둘 다 적혔습니다",IF($C372="","결제수단을 고르십시오",IF(ISNA(MATCH($C372,'교육원 ③ 통장·카드'!$A$5:$A$11,0)),"③ 통장·카드에 없는 결제수단입니다",IF($D372="","계정과목을 고르십시오",IF($E372="※없는 과목","④ 설정에 없는 과목입니다",IF(AND($E372="수입",$J372&gt;0),"수입 과목인데 지출에 적혔습니다",IF(AND(LEFT($E372,2)&lt;&gt;"수입",$E372&lt;&gt;"대체",$I372&gt;0),"지출 과목인데 수입에 적혔습니다",IF($K372="","증빙을 고르십시오",IF($H372="","적요를 적으십시오","")))))))))))</f>
        <v/>
      </c>
      <c r="M372" s="39"/>
      <c r="O372" s="11" t="str">
        <f aca="false">IF($B372="","",YEAR($B372)*100+MONTH($B372))</f>
        <v/>
      </c>
      <c r="P372" s="11" t="str">
        <f aca="false">IF($B372="","",IF($E372="대체",0,1))</f>
        <v/>
      </c>
    </row>
    <row r="373" customFormat="false" ht="15" hidden="false" customHeight="false" outlineLevel="0" collapsed="false">
      <c r="A373" s="36" t="str">
        <f aca="false">IF($B373="","",COUNT($B$15:$B373))</f>
        <v/>
      </c>
      <c r="B373" s="37"/>
      <c r="C373" s="38"/>
      <c r="D373" s="20"/>
      <c r="E373" s="36" t="str">
        <f aca="false">IF($D373="","",IFERROR(INDEX('교육원 ④ 설정'!$A$6:$A$40,MATCH($D373,'교육원 ④ 설정'!$B$6:$B$40,0)),"※없는 과목"))</f>
        <v/>
      </c>
      <c r="F373" s="36" t="str">
        <f aca="false">IF($D373="","",IFERROR(INDEX('교육원 ④ 설정'!$C$6:$C$40,MATCH($D373,'교육원 ④ 설정'!$B$6:$B$40,0)),""))</f>
        <v/>
      </c>
      <c r="G373" s="39"/>
      <c r="H373" s="39"/>
      <c r="I373" s="40"/>
      <c r="J373" s="41"/>
      <c r="K373" s="38"/>
      <c r="L373" s="42" t="str">
        <f aca="false">IF($B373="","",IF(AND(N($I373)=0,N($J373)=0),"금액이 없습니다",IF(AND($I373&gt;0,$J373&gt;0),"수입·지출 둘 다 적혔습니다",IF($C373="","결제수단을 고르십시오",IF(ISNA(MATCH($C373,'교육원 ③ 통장·카드'!$A$5:$A$11,0)),"③ 통장·카드에 없는 결제수단입니다",IF($D373="","계정과목을 고르십시오",IF($E373="※없는 과목","④ 설정에 없는 과목입니다",IF(AND($E373="수입",$J373&gt;0),"수입 과목인데 지출에 적혔습니다",IF(AND(LEFT($E373,2)&lt;&gt;"수입",$E373&lt;&gt;"대체",$I373&gt;0),"지출 과목인데 수입에 적혔습니다",IF($K373="","증빙을 고르십시오",IF($H373="","적요를 적으십시오","")))))))))))</f>
        <v/>
      </c>
      <c r="M373" s="39"/>
      <c r="O373" s="11" t="str">
        <f aca="false">IF($B373="","",YEAR($B373)*100+MONTH($B373))</f>
        <v/>
      </c>
      <c r="P373" s="11" t="str">
        <f aca="false">IF($B373="","",IF($E373="대체",0,1))</f>
        <v/>
      </c>
    </row>
    <row r="374" customFormat="false" ht="15" hidden="false" customHeight="false" outlineLevel="0" collapsed="false">
      <c r="A374" s="36" t="str">
        <f aca="false">IF($B374="","",COUNT($B$15:$B374))</f>
        <v/>
      </c>
      <c r="B374" s="37"/>
      <c r="C374" s="38"/>
      <c r="D374" s="20"/>
      <c r="E374" s="36" t="str">
        <f aca="false">IF($D374="","",IFERROR(INDEX('교육원 ④ 설정'!$A$6:$A$40,MATCH($D374,'교육원 ④ 설정'!$B$6:$B$40,0)),"※없는 과목"))</f>
        <v/>
      </c>
      <c r="F374" s="36" t="str">
        <f aca="false">IF($D374="","",IFERROR(INDEX('교육원 ④ 설정'!$C$6:$C$40,MATCH($D374,'교육원 ④ 설정'!$B$6:$B$40,0)),""))</f>
        <v/>
      </c>
      <c r="G374" s="39"/>
      <c r="H374" s="39"/>
      <c r="I374" s="40"/>
      <c r="J374" s="41"/>
      <c r="K374" s="38"/>
      <c r="L374" s="42" t="str">
        <f aca="false">IF($B374="","",IF(AND(N($I374)=0,N($J374)=0),"금액이 없습니다",IF(AND($I374&gt;0,$J374&gt;0),"수입·지출 둘 다 적혔습니다",IF($C374="","결제수단을 고르십시오",IF(ISNA(MATCH($C374,'교육원 ③ 통장·카드'!$A$5:$A$11,0)),"③ 통장·카드에 없는 결제수단입니다",IF($D374="","계정과목을 고르십시오",IF($E374="※없는 과목","④ 설정에 없는 과목입니다",IF(AND($E374="수입",$J374&gt;0),"수입 과목인데 지출에 적혔습니다",IF(AND(LEFT($E374,2)&lt;&gt;"수입",$E374&lt;&gt;"대체",$I374&gt;0),"지출 과목인데 수입에 적혔습니다",IF($K374="","증빙을 고르십시오",IF($H374="","적요를 적으십시오","")))))))))))</f>
        <v/>
      </c>
      <c r="M374" s="39"/>
      <c r="O374" s="11" t="str">
        <f aca="false">IF($B374="","",YEAR($B374)*100+MONTH($B374))</f>
        <v/>
      </c>
      <c r="P374" s="11" t="str">
        <f aca="false">IF($B374="","",IF($E374="대체",0,1))</f>
        <v/>
      </c>
    </row>
    <row r="375" customFormat="false" ht="15" hidden="false" customHeight="false" outlineLevel="0" collapsed="false">
      <c r="A375" s="36" t="str">
        <f aca="false">IF($B375="","",COUNT($B$15:$B375))</f>
        <v/>
      </c>
      <c r="B375" s="37"/>
      <c r="C375" s="38"/>
      <c r="D375" s="20"/>
      <c r="E375" s="36" t="str">
        <f aca="false">IF($D375="","",IFERROR(INDEX('교육원 ④ 설정'!$A$6:$A$40,MATCH($D375,'교육원 ④ 설정'!$B$6:$B$40,0)),"※없는 과목"))</f>
        <v/>
      </c>
      <c r="F375" s="36" t="str">
        <f aca="false">IF($D375="","",IFERROR(INDEX('교육원 ④ 설정'!$C$6:$C$40,MATCH($D375,'교육원 ④ 설정'!$B$6:$B$40,0)),""))</f>
        <v/>
      </c>
      <c r="G375" s="39"/>
      <c r="H375" s="39"/>
      <c r="I375" s="40"/>
      <c r="J375" s="41"/>
      <c r="K375" s="38"/>
      <c r="L375" s="42" t="str">
        <f aca="false">IF($B375="","",IF(AND(N($I375)=0,N($J375)=0),"금액이 없습니다",IF(AND($I375&gt;0,$J375&gt;0),"수입·지출 둘 다 적혔습니다",IF($C375="","결제수단을 고르십시오",IF(ISNA(MATCH($C375,'교육원 ③ 통장·카드'!$A$5:$A$11,0)),"③ 통장·카드에 없는 결제수단입니다",IF($D375="","계정과목을 고르십시오",IF($E375="※없는 과목","④ 설정에 없는 과목입니다",IF(AND($E375="수입",$J375&gt;0),"수입 과목인데 지출에 적혔습니다",IF(AND(LEFT($E375,2)&lt;&gt;"수입",$E375&lt;&gt;"대체",$I375&gt;0),"지출 과목인데 수입에 적혔습니다",IF($K375="","증빙을 고르십시오",IF($H375="","적요를 적으십시오","")))))))))))</f>
        <v/>
      </c>
      <c r="M375" s="39"/>
      <c r="O375" s="11" t="str">
        <f aca="false">IF($B375="","",YEAR($B375)*100+MONTH($B375))</f>
        <v/>
      </c>
      <c r="P375" s="11" t="str">
        <f aca="false">IF($B375="","",IF($E375="대체",0,1))</f>
        <v/>
      </c>
    </row>
    <row r="376" customFormat="false" ht="15" hidden="false" customHeight="false" outlineLevel="0" collapsed="false">
      <c r="A376" s="36" t="str">
        <f aca="false">IF($B376="","",COUNT($B$15:$B376))</f>
        <v/>
      </c>
      <c r="B376" s="37"/>
      <c r="C376" s="38"/>
      <c r="D376" s="20"/>
      <c r="E376" s="36" t="str">
        <f aca="false">IF($D376="","",IFERROR(INDEX('교육원 ④ 설정'!$A$6:$A$40,MATCH($D376,'교육원 ④ 설정'!$B$6:$B$40,0)),"※없는 과목"))</f>
        <v/>
      </c>
      <c r="F376" s="36" t="str">
        <f aca="false">IF($D376="","",IFERROR(INDEX('교육원 ④ 설정'!$C$6:$C$40,MATCH($D376,'교육원 ④ 설정'!$B$6:$B$40,0)),""))</f>
        <v/>
      </c>
      <c r="G376" s="39"/>
      <c r="H376" s="39"/>
      <c r="I376" s="40"/>
      <c r="J376" s="41"/>
      <c r="K376" s="38"/>
      <c r="L376" s="42" t="str">
        <f aca="false">IF($B376="","",IF(AND(N($I376)=0,N($J376)=0),"금액이 없습니다",IF(AND($I376&gt;0,$J376&gt;0),"수입·지출 둘 다 적혔습니다",IF($C376="","결제수단을 고르십시오",IF(ISNA(MATCH($C376,'교육원 ③ 통장·카드'!$A$5:$A$11,0)),"③ 통장·카드에 없는 결제수단입니다",IF($D376="","계정과목을 고르십시오",IF($E376="※없는 과목","④ 설정에 없는 과목입니다",IF(AND($E376="수입",$J376&gt;0),"수입 과목인데 지출에 적혔습니다",IF(AND(LEFT($E376,2)&lt;&gt;"수입",$E376&lt;&gt;"대체",$I376&gt;0),"지출 과목인데 수입에 적혔습니다",IF($K376="","증빙을 고르십시오",IF($H376="","적요를 적으십시오","")))))))))))</f>
        <v/>
      </c>
      <c r="M376" s="39"/>
      <c r="O376" s="11" t="str">
        <f aca="false">IF($B376="","",YEAR($B376)*100+MONTH($B376))</f>
        <v/>
      </c>
      <c r="P376" s="11" t="str">
        <f aca="false">IF($B376="","",IF($E376="대체",0,1))</f>
        <v/>
      </c>
    </row>
    <row r="377" customFormat="false" ht="15" hidden="false" customHeight="false" outlineLevel="0" collapsed="false">
      <c r="A377" s="36" t="str">
        <f aca="false">IF($B377="","",COUNT($B$15:$B377))</f>
        <v/>
      </c>
      <c r="B377" s="37"/>
      <c r="C377" s="38"/>
      <c r="D377" s="20"/>
      <c r="E377" s="36" t="str">
        <f aca="false">IF($D377="","",IFERROR(INDEX('교육원 ④ 설정'!$A$6:$A$40,MATCH($D377,'교육원 ④ 설정'!$B$6:$B$40,0)),"※없는 과목"))</f>
        <v/>
      </c>
      <c r="F377" s="36" t="str">
        <f aca="false">IF($D377="","",IFERROR(INDEX('교육원 ④ 설정'!$C$6:$C$40,MATCH($D377,'교육원 ④ 설정'!$B$6:$B$40,0)),""))</f>
        <v/>
      </c>
      <c r="G377" s="39"/>
      <c r="H377" s="39"/>
      <c r="I377" s="40"/>
      <c r="J377" s="41"/>
      <c r="K377" s="38"/>
      <c r="L377" s="42" t="str">
        <f aca="false">IF($B377="","",IF(AND(N($I377)=0,N($J377)=0),"금액이 없습니다",IF(AND($I377&gt;0,$J377&gt;0),"수입·지출 둘 다 적혔습니다",IF($C377="","결제수단을 고르십시오",IF(ISNA(MATCH($C377,'교육원 ③ 통장·카드'!$A$5:$A$11,0)),"③ 통장·카드에 없는 결제수단입니다",IF($D377="","계정과목을 고르십시오",IF($E377="※없는 과목","④ 설정에 없는 과목입니다",IF(AND($E377="수입",$J377&gt;0),"수입 과목인데 지출에 적혔습니다",IF(AND(LEFT($E377,2)&lt;&gt;"수입",$E377&lt;&gt;"대체",$I377&gt;0),"지출 과목인데 수입에 적혔습니다",IF($K377="","증빙을 고르십시오",IF($H377="","적요를 적으십시오","")))))))))))</f>
        <v/>
      </c>
      <c r="M377" s="39"/>
      <c r="O377" s="11" t="str">
        <f aca="false">IF($B377="","",YEAR($B377)*100+MONTH($B377))</f>
        <v/>
      </c>
      <c r="P377" s="11" t="str">
        <f aca="false">IF($B377="","",IF($E377="대체",0,1))</f>
        <v/>
      </c>
    </row>
    <row r="378" customFormat="false" ht="15" hidden="false" customHeight="false" outlineLevel="0" collapsed="false">
      <c r="A378" s="36" t="str">
        <f aca="false">IF($B378="","",COUNT($B$15:$B378))</f>
        <v/>
      </c>
      <c r="B378" s="37"/>
      <c r="C378" s="38"/>
      <c r="D378" s="20"/>
      <c r="E378" s="36" t="str">
        <f aca="false">IF($D378="","",IFERROR(INDEX('교육원 ④ 설정'!$A$6:$A$40,MATCH($D378,'교육원 ④ 설정'!$B$6:$B$40,0)),"※없는 과목"))</f>
        <v/>
      </c>
      <c r="F378" s="36" t="str">
        <f aca="false">IF($D378="","",IFERROR(INDEX('교육원 ④ 설정'!$C$6:$C$40,MATCH($D378,'교육원 ④ 설정'!$B$6:$B$40,0)),""))</f>
        <v/>
      </c>
      <c r="G378" s="39"/>
      <c r="H378" s="39"/>
      <c r="I378" s="40"/>
      <c r="J378" s="41"/>
      <c r="K378" s="38"/>
      <c r="L378" s="42" t="str">
        <f aca="false">IF($B378="","",IF(AND(N($I378)=0,N($J378)=0),"금액이 없습니다",IF(AND($I378&gt;0,$J378&gt;0),"수입·지출 둘 다 적혔습니다",IF($C378="","결제수단을 고르십시오",IF(ISNA(MATCH($C378,'교육원 ③ 통장·카드'!$A$5:$A$11,0)),"③ 통장·카드에 없는 결제수단입니다",IF($D378="","계정과목을 고르십시오",IF($E378="※없는 과목","④ 설정에 없는 과목입니다",IF(AND($E378="수입",$J378&gt;0),"수입 과목인데 지출에 적혔습니다",IF(AND(LEFT($E378,2)&lt;&gt;"수입",$E378&lt;&gt;"대체",$I378&gt;0),"지출 과목인데 수입에 적혔습니다",IF($K378="","증빙을 고르십시오",IF($H378="","적요를 적으십시오","")))))))))))</f>
        <v/>
      </c>
      <c r="M378" s="39"/>
      <c r="O378" s="11" t="str">
        <f aca="false">IF($B378="","",YEAR($B378)*100+MONTH($B378))</f>
        <v/>
      </c>
      <c r="P378" s="11" t="str">
        <f aca="false">IF($B378="","",IF($E378="대체",0,1))</f>
        <v/>
      </c>
    </row>
    <row r="379" customFormat="false" ht="15" hidden="false" customHeight="false" outlineLevel="0" collapsed="false">
      <c r="A379" s="36" t="str">
        <f aca="false">IF($B379="","",COUNT($B$15:$B379))</f>
        <v/>
      </c>
      <c r="B379" s="37"/>
      <c r="C379" s="38"/>
      <c r="D379" s="20"/>
      <c r="E379" s="36" t="str">
        <f aca="false">IF($D379="","",IFERROR(INDEX('교육원 ④ 설정'!$A$6:$A$40,MATCH($D379,'교육원 ④ 설정'!$B$6:$B$40,0)),"※없는 과목"))</f>
        <v/>
      </c>
      <c r="F379" s="36" t="str">
        <f aca="false">IF($D379="","",IFERROR(INDEX('교육원 ④ 설정'!$C$6:$C$40,MATCH($D379,'교육원 ④ 설정'!$B$6:$B$40,0)),""))</f>
        <v/>
      </c>
      <c r="G379" s="39"/>
      <c r="H379" s="39"/>
      <c r="I379" s="40"/>
      <c r="J379" s="41"/>
      <c r="K379" s="38"/>
      <c r="L379" s="42" t="str">
        <f aca="false">IF($B379="","",IF(AND(N($I379)=0,N($J379)=0),"금액이 없습니다",IF(AND($I379&gt;0,$J379&gt;0),"수입·지출 둘 다 적혔습니다",IF($C379="","결제수단을 고르십시오",IF(ISNA(MATCH($C379,'교육원 ③ 통장·카드'!$A$5:$A$11,0)),"③ 통장·카드에 없는 결제수단입니다",IF($D379="","계정과목을 고르십시오",IF($E379="※없는 과목","④ 설정에 없는 과목입니다",IF(AND($E379="수입",$J379&gt;0),"수입 과목인데 지출에 적혔습니다",IF(AND(LEFT($E379,2)&lt;&gt;"수입",$E379&lt;&gt;"대체",$I379&gt;0),"지출 과목인데 수입에 적혔습니다",IF($K379="","증빙을 고르십시오",IF($H379="","적요를 적으십시오","")))))))))))</f>
        <v/>
      </c>
      <c r="M379" s="39"/>
      <c r="O379" s="11" t="str">
        <f aca="false">IF($B379="","",YEAR($B379)*100+MONTH($B379))</f>
        <v/>
      </c>
      <c r="P379" s="11" t="str">
        <f aca="false">IF($B379="","",IF($E379="대체",0,1))</f>
        <v/>
      </c>
    </row>
    <row r="380" customFormat="false" ht="15" hidden="false" customHeight="false" outlineLevel="0" collapsed="false">
      <c r="A380" s="36" t="str">
        <f aca="false">IF($B380="","",COUNT($B$15:$B380))</f>
        <v/>
      </c>
      <c r="B380" s="37"/>
      <c r="C380" s="38"/>
      <c r="D380" s="20"/>
      <c r="E380" s="36" t="str">
        <f aca="false">IF($D380="","",IFERROR(INDEX('교육원 ④ 설정'!$A$6:$A$40,MATCH($D380,'교육원 ④ 설정'!$B$6:$B$40,0)),"※없는 과목"))</f>
        <v/>
      </c>
      <c r="F380" s="36" t="str">
        <f aca="false">IF($D380="","",IFERROR(INDEX('교육원 ④ 설정'!$C$6:$C$40,MATCH($D380,'교육원 ④ 설정'!$B$6:$B$40,0)),""))</f>
        <v/>
      </c>
      <c r="G380" s="39"/>
      <c r="H380" s="39"/>
      <c r="I380" s="40"/>
      <c r="J380" s="41"/>
      <c r="K380" s="38"/>
      <c r="L380" s="42" t="str">
        <f aca="false">IF($B380="","",IF(AND(N($I380)=0,N($J380)=0),"금액이 없습니다",IF(AND($I380&gt;0,$J380&gt;0),"수입·지출 둘 다 적혔습니다",IF($C380="","결제수단을 고르십시오",IF(ISNA(MATCH($C380,'교육원 ③ 통장·카드'!$A$5:$A$11,0)),"③ 통장·카드에 없는 결제수단입니다",IF($D380="","계정과목을 고르십시오",IF($E380="※없는 과목","④ 설정에 없는 과목입니다",IF(AND($E380="수입",$J380&gt;0),"수입 과목인데 지출에 적혔습니다",IF(AND(LEFT($E380,2)&lt;&gt;"수입",$E380&lt;&gt;"대체",$I380&gt;0),"지출 과목인데 수입에 적혔습니다",IF($K380="","증빙을 고르십시오",IF($H380="","적요를 적으십시오","")))))))))))</f>
        <v/>
      </c>
      <c r="M380" s="39"/>
      <c r="O380" s="11" t="str">
        <f aca="false">IF($B380="","",YEAR($B380)*100+MONTH($B380))</f>
        <v/>
      </c>
      <c r="P380" s="11" t="str">
        <f aca="false">IF($B380="","",IF($E380="대체",0,1))</f>
        <v/>
      </c>
    </row>
    <row r="381" customFormat="false" ht="15" hidden="false" customHeight="false" outlineLevel="0" collapsed="false">
      <c r="A381" s="36" t="str">
        <f aca="false">IF($B381="","",COUNT($B$15:$B381))</f>
        <v/>
      </c>
      <c r="B381" s="37"/>
      <c r="C381" s="38"/>
      <c r="D381" s="20"/>
      <c r="E381" s="36" t="str">
        <f aca="false">IF($D381="","",IFERROR(INDEX('교육원 ④ 설정'!$A$6:$A$40,MATCH($D381,'교육원 ④ 설정'!$B$6:$B$40,0)),"※없는 과목"))</f>
        <v/>
      </c>
      <c r="F381" s="36" t="str">
        <f aca="false">IF($D381="","",IFERROR(INDEX('교육원 ④ 설정'!$C$6:$C$40,MATCH($D381,'교육원 ④ 설정'!$B$6:$B$40,0)),""))</f>
        <v/>
      </c>
      <c r="G381" s="39"/>
      <c r="H381" s="39"/>
      <c r="I381" s="40"/>
      <c r="J381" s="41"/>
      <c r="K381" s="38"/>
      <c r="L381" s="42" t="str">
        <f aca="false">IF($B381="","",IF(AND(N($I381)=0,N($J381)=0),"금액이 없습니다",IF(AND($I381&gt;0,$J381&gt;0),"수입·지출 둘 다 적혔습니다",IF($C381="","결제수단을 고르십시오",IF(ISNA(MATCH($C381,'교육원 ③ 통장·카드'!$A$5:$A$11,0)),"③ 통장·카드에 없는 결제수단입니다",IF($D381="","계정과목을 고르십시오",IF($E381="※없는 과목","④ 설정에 없는 과목입니다",IF(AND($E381="수입",$J381&gt;0),"수입 과목인데 지출에 적혔습니다",IF(AND(LEFT($E381,2)&lt;&gt;"수입",$E381&lt;&gt;"대체",$I381&gt;0),"지출 과목인데 수입에 적혔습니다",IF($K381="","증빙을 고르십시오",IF($H381="","적요를 적으십시오","")))))))))))</f>
        <v/>
      </c>
      <c r="M381" s="39"/>
      <c r="O381" s="11" t="str">
        <f aca="false">IF($B381="","",YEAR($B381)*100+MONTH($B381))</f>
        <v/>
      </c>
      <c r="P381" s="11" t="str">
        <f aca="false">IF($B381="","",IF($E381="대체",0,1))</f>
        <v/>
      </c>
    </row>
    <row r="382" customFormat="false" ht="15" hidden="false" customHeight="false" outlineLevel="0" collapsed="false">
      <c r="A382" s="36" t="str">
        <f aca="false">IF($B382="","",COUNT($B$15:$B382))</f>
        <v/>
      </c>
      <c r="B382" s="37"/>
      <c r="C382" s="38"/>
      <c r="D382" s="20"/>
      <c r="E382" s="36" t="str">
        <f aca="false">IF($D382="","",IFERROR(INDEX('교육원 ④ 설정'!$A$6:$A$40,MATCH($D382,'교육원 ④ 설정'!$B$6:$B$40,0)),"※없는 과목"))</f>
        <v/>
      </c>
      <c r="F382" s="36" t="str">
        <f aca="false">IF($D382="","",IFERROR(INDEX('교육원 ④ 설정'!$C$6:$C$40,MATCH($D382,'교육원 ④ 설정'!$B$6:$B$40,0)),""))</f>
        <v/>
      </c>
      <c r="G382" s="39"/>
      <c r="H382" s="39"/>
      <c r="I382" s="40"/>
      <c r="J382" s="41"/>
      <c r="K382" s="38"/>
      <c r="L382" s="42" t="str">
        <f aca="false">IF($B382="","",IF(AND(N($I382)=0,N($J382)=0),"금액이 없습니다",IF(AND($I382&gt;0,$J382&gt;0),"수입·지출 둘 다 적혔습니다",IF($C382="","결제수단을 고르십시오",IF(ISNA(MATCH($C382,'교육원 ③ 통장·카드'!$A$5:$A$11,0)),"③ 통장·카드에 없는 결제수단입니다",IF($D382="","계정과목을 고르십시오",IF($E382="※없는 과목","④ 설정에 없는 과목입니다",IF(AND($E382="수입",$J382&gt;0),"수입 과목인데 지출에 적혔습니다",IF(AND(LEFT($E382,2)&lt;&gt;"수입",$E382&lt;&gt;"대체",$I382&gt;0),"지출 과목인데 수입에 적혔습니다",IF($K382="","증빙을 고르십시오",IF($H382="","적요를 적으십시오","")))))))))))</f>
        <v/>
      </c>
      <c r="M382" s="39"/>
      <c r="O382" s="11" t="str">
        <f aca="false">IF($B382="","",YEAR($B382)*100+MONTH($B382))</f>
        <v/>
      </c>
      <c r="P382" s="11" t="str">
        <f aca="false">IF($B382="","",IF($E382="대체",0,1))</f>
        <v/>
      </c>
    </row>
    <row r="383" customFormat="false" ht="15" hidden="false" customHeight="false" outlineLevel="0" collapsed="false">
      <c r="A383" s="36" t="str">
        <f aca="false">IF($B383="","",COUNT($B$15:$B383))</f>
        <v/>
      </c>
      <c r="B383" s="37"/>
      <c r="C383" s="38"/>
      <c r="D383" s="20"/>
      <c r="E383" s="36" t="str">
        <f aca="false">IF($D383="","",IFERROR(INDEX('교육원 ④ 설정'!$A$6:$A$40,MATCH($D383,'교육원 ④ 설정'!$B$6:$B$40,0)),"※없는 과목"))</f>
        <v/>
      </c>
      <c r="F383" s="36" t="str">
        <f aca="false">IF($D383="","",IFERROR(INDEX('교육원 ④ 설정'!$C$6:$C$40,MATCH($D383,'교육원 ④ 설정'!$B$6:$B$40,0)),""))</f>
        <v/>
      </c>
      <c r="G383" s="39"/>
      <c r="H383" s="39"/>
      <c r="I383" s="40"/>
      <c r="J383" s="41"/>
      <c r="K383" s="38"/>
      <c r="L383" s="42" t="str">
        <f aca="false">IF($B383="","",IF(AND(N($I383)=0,N($J383)=0),"금액이 없습니다",IF(AND($I383&gt;0,$J383&gt;0),"수입·지출 둘 다 적혔습니다",IF($C383="","결제수단을 고르십시오",IF(ISNA(MATCH($C383,'교육원 ③ 통장·카드'!$A$5:$A$11,0)),"③ 통장·카드에 없는 결제수단입니다",IF($D383="","계정과목을 고르십시오",IF($E383="※없는 과목","④ 설정에 없는 과목입니다",IF(AND($E383="수입",$J383&gt;0),"수입 과목인데 지출에 적혔습니다",IF(AND(LEFT($E383,2)&lt;&gt;"수입",$E383&lt;&gt;"대체",$I383&gt;0),"지출 과목인데 수입에 적혔습니다",IF($K383="","증빙을 고르십시오",IF($H383="","적요를 적으십시오","")))))))))))</f>
        <v/>
      </c>
      <c r="M383" s="39"/>
      <c r="O383" s="11" t="str">
        <f aca="false">IF($B383="","",YEAR($B383)*100+MONTH($B383))</f>
        <v/>
      </c>
      <c r="P383" s="11" t="str">
        <f aca="false">IF($B383="","",IF($E383="대체",0,1))</f>
        <v/>
      </c>
    </row>
    <row r="384" customFormat="false" ht="15" hidden="false" customHeight="false" outlineLevel="0" collapsed="false">
      <c r="A384" s="36" t="str">
        <f aca="false">IF($B384="","",COUNT($B$15:$B384))</f>
        <v/>
      </c>
      <c r="B384" s="37"/>
      <c r="C384" s="38"/>
      <c r="D384" s="20"/>
      <c r="E384" s="36" t="str">
        <f aca="false">IF($D384="","",IFERROR(INDEX('교육원 ④ 설정'!$A$6:$A$40,MATCH($D384,'교육원 ④ 설정'!$B$6:$B$40,0)),"※없는 과목"))</f>
        <v/>
      </c>
      <c r="F384" s="36" t="str">
        <f aca="false">IF($D384="","",IFERROR(INDEX('교육원 ④ 설정'!$C$6:$C$40,MATCH($D384,'교육원 ④ 설정'!$B$6:$B$40,0)),""))</f>
        <v/>
      </c>
      <c r="G384" s="39"/>
      <c r="H384" s="39"/>
      <c r="I384" s="40"/>
      <c r="J384" s="41"/>
      <c r="K384" s="38"/>
      <c r="L384" s="42" t="str">
        <f aca="false">IF($B384="","",IF(AND(N($I384)=0,N($J384)=0),"금액이 없습니다",IF(AND($I384&gt;0,$J384&gt;0),"수입·지출 둘 다 적혔습니다",IF($C384="","결제수단을 고르십시오",IF(ISNA(MATCH($C384,'교육원 ③ 통장·카드'!$A$5:$A$11,0)),"③ 통장·카드에 없는 결제수단입니다",IF($D384="","계정과목을 고르십시오",IF($E384="※없는 과목","④ 설정에 없는 과목입니다",IF(AND($E384="수입",$J384&gt;0),"수입 과목인데 지출에 적혔습니다",IF(AND(LEFT($E384,2)&lt;&gt;"수입",$E384&lt;&gt;"대체",$I384&gt;0),"지출 과목인데 수입에 적혔습니다",IF($K384="","증빙을 고르십시오",IF($H384="","적요를 적으십시오","")))))))))))</f>
        <v/>
      </c>
      <c r="M384" s="39"/>
      <c r="O384" s="11" t="str">
        <f aca="false">IF($B384="","",YEAR($B384)*100+MONTH($B384))</f>
        <v/>
      </c>
      <c r="P384" s="11" t="str">
        <f aca="false">IF($B384="","",IF($E384="대체",0,1))</f>
        <v/>
      </c>
    </row>
    <row r="385" customFormat="false" ht="15" hidden="false" customHeight="false" outlineLevel="0" collapsed="false">
      <c r="A385" s="36" t="str">
        <f aca="false">IF($B385="","",COUNT($B$15:$B385))</f>
        <v/>
      </c>
      <c r="B385" s="37"/>
      <c r="C385" s="38"/>
      <c r="D385" s="20"/>
      <c r="E385" s="36" t="str">
        <f aca="false">IF($D385="","",IFERROR(INDEX('교육원 ④ 설정'!$A$6:$A$40,MATCH($D385,'교육원 ④ 설정'!$B$6:$B$40,0)),"※없는 과목"))</f>
        <v/>
      </c>
      <c r="F385" s="36" t="str">
        <f aca="false">IF($D385="","",IFERROR(INDEX('교육원 ④ 설정'!$C$6:$C$40,MATCH($D385,'교육원 ④ 설정'!$B$6:$B$40,0)),""))</f>
        <v/>
      </c>
      <c r="G385" s="39"/>
      <c r="H385" s="39"/>
      <c r="I385" s="40"/>
      <c r="J385" s="41"/>
      <c r="K385" s="38"/>
      <c r="L385" s="42" t="str">
        <f aca="false">IF($B385="","",IF(AND(N($I385)=0,N($J385)=0),"금액이 없습니다",IF(AND($I385&gt;0,$J385&gt;0),"수입·지출 둘 다 적혔습니다",IF($C385="","결제수단을 고르십시오",IF(ISNA(MATCH($C385,'교육원 ③ 통장·카드'!$A$5:$A$11,0)),"③ 통장·카드에 없는 결제수단입니다",IF($D385="","계정과목을 고르십시오",IF($E385="※없는 과목","④ 설정에 없는 과목입니다",IF(AND($E385="수입",$J385&gt;0),"수입 과목인데 지출에 적혔습니다",IF(AND(LEFT($E385,2)&lt;&gt;"수입",$E385&lt;&gt;"대체",$I385&gt;0),"지출 과목인데 수입에 적혔습니다",IF($K385="","증빙을 고르십시오",IF($H385="","적요를 적으십시오","")))))))))))</f>
        <v/>
      </c>
      <c r="M385" s="39"/>
      <c r="O385" s="11" t="str">
        <f aca="false">IF($B385="","",YEAR($B385)*100+MONTH($B385))</f>
        <v/>
      </c>
      <c r="P385" s="11" t="str">
        <f aca="false">IF($B385="","",IF($E385="대체",0,1))</f>
        <v/>
      </c>
    </row>
    <row r="386" customFormat="false" ht="15" hidden="false" customHeight="false" outlineLevel="0" collapsed="false">
      <c r="A386" s="36" t="str">
        <f aca="false">IF($B386="","",COUNT($B$15:$B386))</f>
        <v/>
      </c>
      <c r="B386" s="37"/>
      <c r="C386" s="38"/>
      <c r="D386" s="20"/>
      <c r="E386" s="36" t="str">
        <f aca="false">IF($D386="","",IFERROR(INDEX('교육원 ④ 설정'!$A$6:$A$40,MATCH($D386,'교육원 ④ 설정'!$B$6:$B$40,0)),"※없는 과목"))</f>
        <v/>
      </c>
      <c r="F386" s="36" t="str">
        <f aca="false">IF($D386="","",IFERROR(INDEX('교육원 ④ 설정'!$C$6:$C$40,MATCH($D386,'교육원 ④ 설정'!$B$6:$B$40,0)),""))</f>
        <v/>
      </c>
      <c r="G386" s="39"/>
      <c r="H386" s="39"/>
      <c r="I386" s="40"/>
      <c r="J386" s="41"/>
      <c r="K386" s="38"/>
      <c r="L386" s="42" t="str">
        <f aca="false">IF($B386="","",IF(AND(N($I386)=0,N($J386)=0),"금액이 없습니다",IF(AND($I386&gt;0,$J386&gt;0),"수입·지출 둘 다 적혔습니다",IF($C386="","결제수단을 고르십시오",IF(ISNA(MATCH($C386,'교육원 ③ 통장·카드'!$A$5:$A$11,0)),"③ 통장·카드에 없는 결제수단입니다",IF($D386="","계정과목을 고르십시오",IF($E386="※없는 과목","④ 설정에 없는 과목입니다",IF(AND($E386="수입",$J386&gt;0),"수입 과목인데 지출에 적혔습니다",IF(AND(LEFT($E386,2)&lt;&gt;"수입",$E386&lt;&gt;"대체",$I386&gt;0),"지출 과목인데 수입에 적혔습니다",IF($K386="","증빙을 고르십시오",IF($H386="","적요를 적으십시오","")))))))))))</f>
        <v/>
      </c>
      <c r="M386" s="39"/>
      <c r="O386" s="11" t="str">
        <f aca="false">IF($B386="","",YEAR($B386)*100+MONTH($B386))</f>
        <v/>
      </c>
      <c r="P386" s="11" t="str">
        <f aca="false">IF($B386="","",IF($E386="대체",0,1))</f>
        <v/>
      </c>
    </row>
    <row r="387" customFormat="false" ht="15" hidden="false" customHeight="false" outlineLevel="0" collapsed="false">
      <c r="A387" s="36" t="str">
        <f aca="false">IF($B387="","",COUNT($B$15:$B387))</f>
        <v/>
      </c>
      <c r="B387" s="37"/>
      <c r="C387" s="38"/>
      <c r="D387" s="20"/>
      <c r="E387" s="36" t="str">
        <f aca="false">IF($D387="","",IFERROR(INDEX('교육원 ④ 설정'!$A$6:$A$40,MATCH($D387,'교육원 ④ 설정'!$B$6:$B$40,0)),"※없는 과목"))</f>
        <v/>
      </c>
      <c r="F387" s="36" t="str">
        <f aca="false">IF($D387="","",IFERROR(INDEX('교육원 ④ 설정'!$C$6:$C$40,MATCH($D387,'교육원 ④ 설정'!$B$6:$B$40,0)),""))</f>
        <v/>
      </c>
      <c r="G387" s="39"/>
      <c r="H387" s="39"/>
      <c r="I387" s="40"/>
      <c r="J387" s="41"/>
      <c r="K387" s="38"/>
      <c r="L387" s="42" t="str">
        <f aca="false">IF($B387="","",IF(AND(N($I387)=0,N($J387)=0),"금액이 없습니다",IF(AND($I387&gt;0,$J387&gt;0),"수입·지출 둘 다 적혔습니다",IF($C387="","결제수단을 고르십시오",IF(ISNA(MATCH($C387,'교육원 ③ 통장·카드'!$A$5:$A$11,0)),"③ 통장·카드에 없는 결제수단입니다",IF($D387="","계정과목을 고르십시오",IF($E387="※없는 과목","④ 설정에 없는 과목입니다",IF(AND($E387="수입",$J387&gt;0),"수입 과목인데 지출에 적혔습니다",IF(AND(LEFT($E387,2)&lt;&gt;"수입",$E387&lt;&gt;"대체",$I387&gt;0),"지출 과목인데 수입에 적혔습니다",IF($K387="","증빙을 고르십시오",IF($H387="","적요를 적으십시오","")))))))))))</f>
        <v/>
      </c>
      <c r="M387" s="39"/>
      <c r="O387" s="11" t="str">
        <f aca="false">IF($B387="","",YEAR($B387)*100+MONTH($B387))</f>
        <v/>
      </c>
      <c r="P387" s="11" t="str">
        <f aca="false">IF($B387="","",IF($E387="대체",0,1))</f>
        <v/>
      </c>
    </row>
    <row r="388" customFormat="false" ht="15" hidden="false" customHeight="false" outlineLevel="0" collapsed="false">
      <c r="A388" s="36" t="str">
        <f aca="false">IF($B388="","",COUNT($B$15:$B388))</f>
        <v/>
      </c>
      <c r="B388" s="37"/>
      <c r="C388" s="38"/>
      <c r="D388" s="20"/>
      <c r="E388" s="36" t="str">
        <f aca="false">IF($D388="","",IFERROR(INDEX('교육원 ④ 설정'!$A$6:$A$40,MATCH($D388,'교육원 ④ 설정'!$B$6:$B$40,0)),"※없는 과목"))</f>
        <v/>
      </c>
      <c r="F388" s="36" t="str">
        <f aca="false">IF($D388="","",IFERROR(INDEX('교육원 ④ 설정'!$C$6:$C$40,MATCH($D388,'교육원 ④ 설정'!$B$6:$B$40,0)),""))</f>
        <v/>
      </c>
      <c r="G388" s="39"/>
      <c r="H388" s="39"/>
      <c r="I388" s="40"/>
      <c r="J388" s="41"/>
      <c r="K388" s="38"/>
      <c r="L388" s="42" t="str">
        <f aca="false">IF($B388="","",IF(AND(N($I388)=0,N($J388)=0),"금액이 없습니다",IF(AND($I388&gt;0,$J388&gt;0),"수입·지출 둘 다 적혔습니다",IF($C388="","결제수단을 고르십시오",IF(ISNA(MATCH($C388,'교육원 ③ 통장·카드'!$A$5:$A$11,0)),"③ 통장·카드에 없는 결제수단입니다",IF($D388="","계정과목을 고르십시오",IF($E388="※없는 과목","④ 설정에 없는 과목입니다",IF(AND($E388="수입",$J388&gt;0),"수입 과목인데 지출에 적혔습니다",IF(AND(LEFT($E388,2)&lt;&gt;"수입",$E388&lt;&gt;"대체",$I388&gt;0),"지출 과목인데 수입에 적혔습니다",IF($K388="","증빙을 고르십시오",IF($H388="","적요를 적으십시오","")))))))))))</f>
        <v/>
      </c>
      <c r="M388" s="39"/>
      <c r="O388" s="11" t="str">
        <f aca="false">IF($B388="","",YEAR($B388)*100+MONTH($B388))</f>
        <v/>
      </c>
      <c r="P388" s="11" t="str">
        <f aca="false">IF($B388="","",IF($E388="대체",0,1))</f>
        <v/>
      </c>
    </row>
    <row r="389" customFormat="false" ht="15" hidden="false" customHeight="false" outlineLevel="0" collapsed="false">
      <c r="A389" s="36" t="str">
        <f aca="false">IF($B389="","",COUNT($B$15:$B389))</f>
        <v/>
      </c>
      <c r="B389" s="37"/>
      <c r="C389" s="38"/>
      <c r="D389" s="20"/>
      <c r="E389" s="36" t="str">
        <f aca="false">IF($D389="","",IFERROR(INDEX('교육원 ④ 설정'!$A$6:$A$40,MATCH($D389,'교육원 ④ 설정'!$B$6:$B$40,0)),"※없는 과목"))</f>
        <v/>
      </c>
      <c r="F389" s="36" t="str">
        <f aca="false">IF($D389="","",IFERROR(INDEX('교육원 ④ 설정'!$C$6:$C$40,MATCH($D389,'교육원 ④ 설정'!$B$6:$B$40,0)),""))</f>
        <v/>
      </c>
      <c r="G389" s="39"/>
      <c r="H389" s="39"/>
      <c r="I389" s="40"/>
      <c r="J389" s="41"/>
      <c r="K389" s="38"/>
      <c r="L389" s="42" t="str">
        <f aca="false">IF($B389="","",IF(AND(N($I389)=0,N($J389)=0),"금액이 없습니다",IF(AND($I389&gt;0,$J389&gt;0),"수입·지출 둘 다 적혔습니다",IF($C389="","결제수단을 고르십시오",IF(ISNA(MATCH($C389,'교육원 ③ 통장·카드'!$A$5:$A$11,0)),"③ 통장·카드에 없는 결제수단입니다",IF($D389="","계정과목을 고르십시오",IF($E389="※없는 과목","④ 설정에 없는 과목입니다",IF(AND($E389="수입",$J389&gt;0),"수입 과목인데 지출에 적혔습니다",IF(AND(LEFT($E389,2)&lt;&gt;"수입",$E389&lt;&gt;"대체",$I389&gt;0),"지출 과목인데 수입에 적혔습니다",IF($K389="","증빙을 고르십시오",IF($H389="","적요를 적으십시오","")))))))))))</f>
        <v/>
      </c>
      <c r="M389" s="39"/>
      <c r="O389" s="11" t="str">
        <f aca="false">IF($B389="","",YEAR($B389)*100+MONTH($B389))</f>
        <v/>
      </c>
      <c r="P389" s="11" t="str">
        <f aca="false">IF($B389="","",IF($E389="대체",0,1))</f>
        <v/>
      </c>
    </row>
    <row r="390" customFormat="false" ht="15" hidden="false" customHeight="false" outlineLevel="0" collapsed="false">
      <c r="A390" s="36" t="str">
        <f aca="false">IF($B390="","",COUNT($B$15:$B390))</f>
        <v/>
      </c>
      <c r="B390" s="37"/>
      <c r="C390" s="38"/>
      <c r="D390" s="20"/>
      <c r="E390" s="36" t="str">
        <f aca="false">IF($D390="","",IFERROR(INDEX('교육원 ④ 설정'!$A$6:$A$40,MATCH($D390,'교육원 ④ 설정'!$B$6:$B$40,0)),"※없는 과목"))</f>
        <v/>
      </c>
      <c r="F390" s="36" t="str">
        <f aca="false">IF($D390="","",IFERROR(INDEX('교육원 ④ 설정'!$C$6:$C$40,MATCH($D390,'교육원 ④ 설정'!$B$6:$B$40,0)),""))</f>
        <v/>
      </c>
      <c r="G390" s="39"/>
      <c r="H390" s="39"/>
      <c r="I390" s="40"/>
      <c r="J390" s="41"/>
      <c r="K390" s="38"/>
      <c r="L390" s="42" t="str">
        <f aca="false">IF($B390="","",IF(AND(N($I390)=0,N($J390)=0),"금액이 없습니다",IF(AND($I390&gt;0,$J390&gt;0),"수입·지출 둘 다 적혔습니다",IF($C390="","결제수단을 고르십시오",IF(ISNA(MATCH($C390,'교육원 ③ 통장·카드'!$A$5:$A$11,0)),"③ 통장·카드에 없는 결제수단입니다",IF($D390="","계정과목을 고르십시오",IF($E390="※없는 과목","④ 설정에 없는 과목입니다",IF(AND($E390="수입",$J390&gt;0),"수입 과목인데 지출에 적혔습니다",IF(AND(LEFT($E390,2)&lt;&gt;"수입",$E390&lt;&gt;"대체",$I390&gt;0),"지출 과목인데 수입에 적혔습니다",IF($K390="","증빙을 고르십시오",IF($H390="","적요를 적으십시오","")))))))))))</f>
        <v/>
      </c>
      <c r="M390" s="39"/>
      <c r="O390" s="11" t="str">
        <f aca="false">IF($B390="","",YEAR($B390)*100+MONTH($B390))</f>
        <v/>
      </c>
      <c r="P390" s="11" t="str">
        <f aca="false">IF($B390="","",IF($E390="대체",0,1))</f>
        <v/>
      </c>
    </row>
    <row r="391" customFormat="false" ht="15" hidden="false" customHeight="false" outlineLevel="0" collapsed="false">
      <c r="A391" s="36" t="str">
        <f aca="false">IF($B391="","",COUNT($B$15:$B391))</f>
        <v/>
      </c>
      <c r="B391" s="37"/>
      <c r="C391" s="38"/>
      <c r="D391" s="20"/>
      <c r="E391" s="36" t="str">
        <f aca="false">IF($D391="","",IFERROR(INDEX('교육원 ④ 설정'!$A$6:$A$40,MATCH($D391,'교육원 ④ 설정'!$B$6:$B$40,0)),"※없는 과목"))</f>
        <v/>
      </c>
      <c r="F391" s="36" t="str">
        <f aca="false">IF($D391="","",IFERROR(INDEX('교육원 ④ 설정'!$C$6:$C$40,MATCH($D391,'교육원 ④ 설정'!$B$6:$B$40,0)),""))</f>
        <v/>
      </c>
      <c r="G391" s="39"/>
      <c r="H391" s="39"/>
      <c r="I391" s="40"/>
      <c r="J391" s="41"/>
      <c r="K391" s="38"/>
      <c r="L391" s="42" t="str">
        <f aca="false">IF($B391="","",IF(AND(N($I391)=0,N($J391)=0),"금액이 없습니다",IF(AND($I391&gt;0,$J391&gt;0),"수입·지출 둘 다 적혔습니다",IF($C391="","결제수단을 고르십시오",IF(ISNA(MATCH($C391,'교육원 ③ 통장·카드'!$A$5:$A$11,0)),"③ 통장·카드에 없는 결제수단입니다",IF($D391="","계정과목을 고르십시오",IF($E391="※없는 과목","④ 설정에 없는 과목입니다",IF(AND($E391="수입",$J391&gt;0),"수입 과목인데 지출에 적혔습니다",IF(AND(LEFT($E391,2)&lt;&gt;"수입",$E391&lt;&gt;"대체",$I391&gt;0),"지출 과목인데 수입에 적혔습니다",IF($K391="","증빙을 고르십시오",IF($H391="","적요를 적으십시오","")))))))))))</f>
        <v/>
      </c>
      <c r="M391" s="39"/>
      <c r="O391" s="11" t="str">
        <f aca="false">IF($B391="","",YEAR($B391)*100+MONTH($B391))</f>
        <v/>
      </c>
      <c r="P391" s="11" t="str">
        <f aca="false">IF($B391="","",IF($E391="대체",0,1))</f>
        <v/>
      </c>
    </row>
    <row r="392" customFormat="false" ht="15" hidden="false" customHeight="false" outlineLevel="0" collapsed="false">
      <c r="A392" s="36" t="str">
        <f aca="false">IF($B392="","",COUNT($B$15:$B392))</f>
        <v/>
      </c>
      <c r="B392" s="37"/>
      <c r="C392" s="38"/>
      <c r="D392" s="20"/>
      <c r="E392" s="36" t="str">
        <f aca="false">IF($D392="","",IFERROR(INDEX('교육원 ④ 설정'!$A$6:$A$40,MATCH($D392,'교육원 ④ 설정'!$B$6:$B$40,0)),"※없는 과목"))</f>
        <v/>
      </c>
      <c r="F392" s="36" t="str">
        <f aca="false">IF($D392="","",IFERROR(INDEX('교육원 ④ 설정'!$C$6:$C$40,MATCH($D392,'교육원 ④ 설정'!$B$6:$B$40,0)),""))</f>
        <v/>
      </c>
      <c r="G392" s="39"/>
      <c r="H392" s="39"/>
      <c r="I392" s="40"/>
      <c r="J392" s="41"/>
      <c r="K392" s="38"/>
      <c r="L392" s="42" t="str">
        <f aca="false">IF($B392="","",IF(AND(N($I392)=0,N($J392)=0),"금액이 없습니다",IF(AND($I392&gt;0,$J392&gt;0),"수입·지출 둘 다 적혔습니다",IF($C392="","결제수단을 고르십시오",IF(ISNA(MATCH($C392,'교육원 ③ 통장·카드'!$A$5:$A$11,0)),"③ 통장·카드에 없는 결제수단입니다",IF($D392="","계정과목을 고르십시오",IF($E392="※없는 과목","④ 설정에 없는 과목입니다",IF(AND($E392="수입",$J392&gt;0),"수입 과목인데 지출에 적혔습니다",IF(AND(LEFT($E392,2)&lt;&gt;"수입",$E392&lt;&gt;"대체",$I392&gt;0),"지출 과목인데 수입에 적혔습니다",IF($K392="","증빙을 고르십시오",IF($H392="","적요를 적으십시오","")))))))))))</f>
        <v/>
      </c>
      <c r="M392" s="39"/>
      <c r="O392" s="11" t="str">
        <f aca="false">IF($B392="","",YEAR($B392)*100+MONTH($B392))</f>
        <v/>
      </c>
      <c r="P392" s="11" t="str">
        <f aca="false">IF($B392="","",IF($E392="대체",0,1))</f>
        <v/>
      </c>
    </row>
    <row r="393" customFormat="false" ht="15" hidden="false" customHeight="false" outlineLevel="0" collapsed="false">
      <c r="A393" s="36" t="str">
        <f aca="false">IF($B393="","",COUNT($B$15:$B393))</f>
        <v/>
      </c>
      <c r="B393" s="37"/>
      <c r="C393" s="38"/>
      <c r="D393" s="20"/>
      <c r="E393" s="36" t="str">
        <f aca="false">IF($D393="","",IFERROR(INDEX('교육원 ④ 설정'!$A$6:$A$40,MATCH($D393,'교육원 ④ 설정'!$B$6:$B$40,0)),"※없는 과목"))</f>
        <v/>
      </c>
      <c r="F393" s="36" t="str">
        <f aca="false">IF($D393="","",IFERROR(INDEX('교육원 ④ 설정'!$C$6:$C$40,MATCH($D393,'교육원 ④ 설정'!$B$6:$B$40,0)),""))</f>
        <v/>
      </c>
      <c r="G393" s="39"/>
      <c r="H393" s="39"/>
      <c r="I393" s="40"/>
      <c r="J393" s="41"/>
      <c r="K393" s="38"/>
      <c r="L393" s="42" t="str">
        <f aca="false">IF($B393="","",IF(AND(N($I393)=0,N($J393)=0),"금액이 없습니다",IF(AND($I393&gt;0,$J393&gt;0),"수입·지출 둘 다 적혔습니다",IF($C393="","결제수단을 고르십시오",IF(ISNA(MATCH($C393,'교육원 ③ 통장·카드'!$A$5:$A$11,0)),"③ 통장·카드에 없는 결제수단입니다",IF($D393="","계정과목을 고르십시오",IF($E393="※없는 과목","④ 설정에 없는 과목입니다",IF(AND($E393="수입",$J393&gt;0),"수입 과목인데 지출에 적혔습니다",IF(AND(LEFT($E393,2)&lt;&gt;"수입",$E393&lt;&gt;"대체",$I393&gt;0),"지출 과목인데 수입에 적혔습니다",IF($K393="","증빙을 고르십시오",IF($H393="","적요를 적으십시오","")))))))))))</f>
        <v/>
      </c>
      <c r="M393" s="39"/>
      <c r="O393" s="11" t="str">
        <f aca="false">IF($B393="","",YEAR($B393)*100+MONTH($B393))</f>
        <v/>
      </c>
      <c r="P393" s="11" t="str">
        <f aca="false">IF($B393="","",IF($E393="대체",0,1))</f>
        <v/>
      </c>
    </row>
    <row r="394" customFormat="false" ht="15" hidden="false" customHeight="false" outlineLevel="0" collapsed="false">
      <c r="A394" s="36" t="str">
        <f aca="false">IF($B394="","",COUNT($B$15:$B394))</f>
        <v/>
      </c>
      <c r="B394" s="37"/>
      <c r="C394" s="38"/>
      <c r="D394" s="20"/>
      <c r="E394" s="36" t="str">
        <f aca="false">IF($D394="","",IFERROR(INDEX('교육원 ④ 설정'!$A$6:$A$40,MATCH($D394,'교육원 ④ 설정'!$B$6:$B$40,0)),"※없는 과목"))</f>
        <v/>
      </c>
      <c r="F394" s="36" t="str">
        <f aca="false">IF($D394="","",IFERROR(INDEX('교육원 ④ 설정'!$C$6:$C$40,MATCH($D394,'교육원 ④ 설정'!$B$6:$B$40,0)),""))</f>
        <v/>
      </c>
      <c r="G394" s="39"/>
      <c r="H394" s="39"/>
      <c r="I394" s="40"/>
      <c r="J394" s="41"/>
      <c r="K394" s="38"/>
      <c r="L394" s="42" t="str">
        <f aca="false">IF($B394="","",IF(AND(N($I394)=0,N($J394)=0),"금액이 없습니다",IF(AND($I394&gt;0,$J394&gt;0),"수입·지출 둘 다 적혔습니다",IF($C394="","결제수단을 고르십시오",IF(ISNA(MATCH($C394,'교육원 ③ 통장·카드'!$A$5:$A$11,0)),"③ 통장·카드에 없는 결제수단입니다",IF($D394="","계정과목을 고르십시오",IF($E394="※없는 과목","④ 설정에 없는 과목입니다",IF(AND($E394="수입",$J394&gt;0),"수입 과목인데 지출에 적혔습니다",IF(AND(LEFT($E394,2)&lt;&gt;"수입",$E394&lt;&gt;"대체",$I394&gt;0),"지출 과목인데 수입에 적혔습니다",IF($K394="","증빙을 고르십시오",IF($H394="","적요를 적으십시오","")))))))))))</f>
        <v/>
      </c>
      <c r="M394" s="39"/>
      <c r="O394" s="11" t="str">
        <f aca="false">IF($B394="","",YEAR($B394)*100+MONTH($B394))</f>
        <v/>
      </c>
      <c r="P394" s="11" t="str">
        <f aca="false">IF($B394="","",IF($E394="대체",0,1))</f>
        <v/>
      </c>
    </row>
    <row r="395" customFormat="false" ht="15" hidden="false" customHeight="false" outlineLevel="0" collapsed="false">
      <c r="A395" s="36" t="str">
        <f aca="false">IF($B395="","",COUNT($B$15:$B395))</f>
        <v/>
      </c>
      <c r="B395" s="37"/>
      <c r="C395" s="38"/>
      <c r="D395" s="20"/>
      <c r="E395" s="36" t="str">
        <f aca="false">IF($D395="","",IFERROR(INDEX('교육원 ④ 설정'!$A$6:$A$40,MATCH($D395,'교육원 ④ 설정'!$B$6:$B$40,0)),"※없는 과목"))</f>
        <v/>
      </c>
      <c r="F395" s="36" t="str">
        <f aca="false">IF($D395="","",IFERROR(INDEX('교육원 ④ 설정'!$C$6:$C$40,MATCH($D395,'교육원 ④ 설정'!$B$6:$B$40,0)),""))</f>
        <v/>
      </c>
      <c r="G395" s="39"/>
      <c r="H395" s="39"/>
      <c r="I395" s="40"/>
      <c r="J395" s="41"/>
      <c r="K395" s="38"/>
      <c r="L395" s="42" t="str">
        <f aca="false">IF($B395="","",IF(AND(N($I395)=0,N($J395)=0),"금액이 없습니다",IF(AND($I395&gt;0,$J395&gt;0),"수입·지출 둘 다 적혔습니다",IF($C395="","결제수단을 고르십시오",IF(ISNA(MATCH($C395,'교육원 ③ 통장·카드'!$A$5:$A$11,0)),"③ 통장·카드에 없는 결제수단입니다",IF($D395="","계정과목을 고르십시오",IF($E395="※없는 과목","④ 설정에 없는 과목입니다",IF(AND($E395="수입",$J395&gt;0),"수입 과목인데 지출에 적혔습니다",IF(AND(LEFT($E395,2)&lt;&gt;"수입",$E395&lt;&gt;"대체",$I395&gt;0),"지출 과목인데 수입에 적혔습니다",IF($K395="","증빙을 고르십시오",IF($H395="","적요를 적으십시오","")))))))))))</f>
        <v/>
      </c>
      <c r="M395" s="39"/>
      <c r="O395" s="11" t="str">
        <f aca="false">IF($B395="","",YEAR($B395)*100+MONTH($B395))</f>
        <v/>
      </c>
      <c r="P395" s="11" t="str">
        <f aca="false">IF($B395="","",IF($E395="대체",0,1))</f>
        <v/>
      </c>
    </row>
    <row r="396" customFormat="false" ht="15" hidden="false" customHeight="false" outlineLevel="0" collapsed="false">
      <c r="A396" s="36" t="str">
        <f aca="false">IF($B396="","",COUNT($B$15:$B396))</f>
        <v/>
      </c>
      <c r="B396" s="37"/>
      <c r="C396" s="38"/>
      <c r="D396" s="20"/>
      <c r="E396" s="36" t="str">
        <f aca="false">IF($D396="","",IFERROR(INDEX('교육원 ④ 설정'!$A$6:$A$40,MATCH($D396,'교육원 ④ 설정'!$B$6:$B$40,0)),"※없는 과목"))</f>
        <v/>
      </c>
      <c r="F396" s="36" t="str">
        <f aca="false">IF($D396="","",IFERROR(INDEX('교육원 ④ 설정'!$C$6:$C$40,MATCH($D396,'교육원 ④ 설정'!$B$6:$B$40,0)),""))</f>
        <v/>
      </c>
      <c r="G396" s="39"/>
      <c r="H396" s="39"/>
      <c r="I396" s="40"/>
      <c r="J396" s="41"/>
      <c r="K396" s="38"/>
      <c r="L396" s="42" t="str">
        <f aca="false">IF($B396="","",IF(AND(N($I396)=0,N($J396)=0),"금액이 없습니다",IF(AND($I396&gt;0,$J396&gt;0),"수입·지출 둘 다 적혔습니다",IF($C396="","결제수단을 고르십시오",IF(ISNA(MATCH($C396,'교육원 ③ 통장·카드'!$A$5:$A$11,0)),"③ 통장·카드에 없는 결제수단입니다",IF($D396="","계정과목을 고르십시오",IF($E396="※없는 과목","④ 설정에 없는 과목입니다",IF(AND($E396="수입",$J396&gt;0),"수입 과목인데 지출에 적혔습니다",IF(AND(LEFT($E396,2)&lt;&gt;"수입",$E396&lt;&gt;"대체",$I396&gt;0),"지출 과목인데 수입에 적혔습니다",IF($K396="","증빙을 고르십시오",IF($H396="","적요를 적으십시오","")))))))))))</f>
        <v/>
      </c>
      <c r="M396" s="39"/>
      <c r="O396" s="11" t="str">
        <f aca="false">IF($B396="","",YEAR($B396)*100+MONTH($B396))</f>
        <v/>
      </c>
      <c r="P396" s="11" t="str">
        <f aca="false">IF($B396="","",IF($E396="대체",0,1))</f>
        <v/>
      </c>
    </row>
    <row r="397" customFormat="false" ht="15" hidden="false" customHeight="false" outlineLevel="0" collapsed="false">
      <c r="A397" s="36" t="str">
        <f aca="false">IF($B397="","",COUNT($B$15:$B397))</f>
        <v/>
      </c>
      <c r="B397" s="37"/>
      <c r="C397" s="38"/>
      <c r="D397" s="20"/>
      <c r="E397" s="36" t="str">
        <f aca="false">IF($D397="","",IFERROR(INDEX('교육원 ④ 설정'!$A$6:$A$40,MATCH($D397,'교육원 ④ 설정'!$B$6:$B$40,0)),"※없는 과목"))</f>
        <v/>
      </c>
      <c r="F397" s="36" t="str">
        <f aca="false">IF($D397="","",IFERROR(INDEX('교육원 ④ 설정'!$C$6:$C$40,MATCH($D397,'교육원 ④ 설정'!$B$6:$B$40,0)),""))</f>
        <v/>
      </c>
      <c r="G397" s="39"/>
      <c r="H397" s="39"/>
      <c r="I397" s="40"/>
      <c r="J397" s="41"/>
      <c r="K397" s="38"/>
      <c r="L397" s="42" t="str">
        <f aca="false">IF($B397="","",IF(AND(N($I397)=0,N($J397)=0),"금액이 없습니다",IF(AND($I397&gt;0,$J397&gt;0),"수입·지출 둘 다 적혔습니다",IF($C397="","결제수단을 고르십시오",IF(ISNA(MATCH($C397,'교육원 ③ 통장·카드'!$A$5:$A$11,0)),"③ 통장·카드에 없는 결제수단입니다",IF($D397="","계정과목을 고르십시오",IF($E397="※없는 과목","④ 설정에 없는 과목입니다",IF(AND($E397="수입",$J397&gt;0),"수입 과목인데 지출에 적혔습니다",IF(AND(LEFT($E397,2)&lt;&gt;"수입",$E397&lt;&gt;"대체",$I397&gt;0),"지출 과목인데 수입에 적혔습니다",IF($K397="","증빙을 고르십시오",IF($H397="","적요를 적으십시오","")))))))))))</f>
        <v/>
      </c>
      <c r="M397" s="39"/>
      <c r="O397" s="11" t="str">
        <f aca="false">IF($B397="","",YEAR($B397)*100+MONTH($B397))</f>
        <v/>
      </c>
      <c r="P397" s="11" t="str">
        <f aca="false">IF($B397="","",IF($E397="대체",0,1))</f>
        <v/>
      </c>
    </row>
    <row r="398" customFormat="false" ht="15" hidden="false" customHeight="false" outlineLevel="0" collapsed="false">
      <c r="A398" s="36" t="str">
        <f aca="false">IF($B398="","",COUNT($B$15:$B398))</f>
        <v/>
      </c>
      <c r="B398" s="37"/>
      <c r="C398" s="38"/>
      <c r="D398" s="20"/>
      <c r="E398" s="36" t="str">
        <f aca="false">IF($D398="","",IFERROR(INDEX('교육원 ④ 설정'!$A$6:$A$40,MATCH($D398,'교육원 ④ 설정'!$B$6:$B$40,0)),"※없는 과목"))</f>
        <v/>
      </c>
      <c r="F398" s="36" t="str">
        <f aca="false">IF($D398="","",IFERROR(INDEX('교육원 ④ 설정'!$C$6:$C$40,MATCH($D398,'교육원 ④ 설정'!$B$6:$B$40,0)),""))</f>
        <v/>
      </c>
      <c r="G398" s="39"/>
      <c r="H398" s="39"/>
      <c r="I398" s="40"/>
      <c r="J398" s="41"/>
      <c r="K398" s="38"/>
      <c r="L398" s="42" t="str">
        <f aca="false">IF($B398="","",IF(AND(N($I398)=0,N($J398)=0),"금액이 없습니다",IF(AND($I398&gt;0,$J398&gt;0),"수입·지출 둘 다 적혔습니다",IF($C398="","결제수단을 고르십시오",IF(ISNA(MATCH($C398,'교육원 ③ 통장·카드'!$A$5:$A$11,0)),"③ 통장·카드에 없는 결제수단입니다",IF($D398="","계정과목을 고르십시오",IF($E398="※없는 과목","④ 설정에 없는 과목입니다",IF(AND($E398="수입",$J398&gt;0),"수입 과목인데 지출에 적혔습니다",IF(AND(LEFT($E398,2)&lt;&gt;"수입",$E398&lt;&gt;"대체",$I398&gt;0),"지출 과목인데 수입에 적혔습니다",IF($K398="","증빙을 고르십시오",IF($H398="","적요를 적으십시오","")))))))))))</f>
        <v/>
      </c>
      <c r="M398" s="39"/>
      <c r="O398" s="11" t="str">
        <f aca="false">IF($B398="","",YEAR($B398)*100+MONTH($B398))</f>
        <v/>
      </c>
      <c r="P398" s="11" t="str">
        <f aca="false">IF($B398="","",IF($E398="대체",0,1))</f>
        <v/>
      </c>
    </row>
    <row r="399" customFormat="false" ht="15" hidden="false" customHeight="false" outlineLevel="0" collapsed="false">
      <c r="A399" s="36" t="str">
        <f aca="false">IF($B399="","",COUNT($B$15:$B399))</f>
        <v/>
      </c>
      <c r="B399" s="37"/>
      <c r="C399" s="38"/>
      <c r="D399" s="20"/>
      <c r="E399" s="36" t="str">
        <f aca="false">IF($D399="","",IFERROR(INDEX('교육원 ④ 설정'!$A$6:$A$40,MATCH($D399,'교육원 ④ 설정'!$B$6:$B$40,0)),"※없는 과목"))</f>
        <v/>
      </c>
      <c r="F399" s="36" t="str">
        <f aca="false">IF($D399="","",IFERROR(INDEX('교육원 ④ 설정'!$C$6:$C$40,MATCH($D399,'교육원 ④ 설정'!$B$6:$B$40,0)),""))</f>
        <v/>
      </c>
      <c r="G399" s="39"/>
      <c r="H399" s="39"/>
      <c r="I399" s="40"/>
      <c r="J399" s="41"/>
      <c r="K399" s="38"/>
      <c r="L399" s="42" t="str">
        <f aca="false">IF($B399="","",IF(AND(N($I399)=0,N($J399)=0),"금액이 없습니다",IF(AND($I399&gt;0,$J399&gt;0),"수입·지출 둘 다 적혔습니다",IF($C399="","결제수단을 고르십시오",IF(ISNA(MATCH($C399,'교육원 ③ 통장·카드'!$A$5:$A$11,0)),"③ 통장·카드에 없는 결제수단입니다",IF($D399="","계정과목을 고르십시오",IF($E399="※없는 과목","④ 설정에 없는 과목입니다",IF(AND($E399="수입",$J399&gt;0),"수입 과목인데 지출에 적혔습니다",IF(AND(LEFT($E399,2)&lt;&gt;"수입",$E399&lt;&gt;"대체",$I399&gt;0),"지출 과목인데 수입에 적혔습니다",IF($K399="","증빙을 고르십시오",IF($H399="","적요를 적으십시오","")))))))))))</f>
        <v/>
      </c>
      <c r="M399" s="39"/>
      <c r="O399" s="11" t="str">
        <f aca="false">IF($B399="","",YEAR($B399)*100+MONTH($B399))</f>
        <v/>
      </c>
      <c r="P399" s="11" t="str">
        <f aca="false">IF($B399="","",IF($E399="대체",0,1))</f>
        <v/>
      </c>
    </row>
    <row r="400" customFormat="false" ht="15" hidden="false" customHeight="false" outlineLevel="0" collapsed="false">
      <c r="A400" s="36" t="str">
        <f aca="false">IF($B400="","",COUNT($B$15:$B400))</f>
        <v/>
      </c>
      <c r="B400" s="37"/>
      <c r="C400" s="38"/>
      <c r="D400" s="20"/>
      <c r="E400" s="36" t="str">
        <f aca="false">IF($D400="","",IFERROR(INDEX('교육원 ④ 설정'!$A$6:$A$40,MATCH($D400,'교육원 ④ 설정'!$B$6:$B$40,0)),"※없는 과목"))</f>
        <v/>
      </c>
      <c r="F400" s="36" t="str">
        <f aca="false">IF($D400="","",IFERROR(INDEX('교육원 ④ 설정'!$C$6:$C$40,MATCH($D400,'교육원 ④ 설정'!$B$6:$B$40,0)),""))</f>
        <v/>
      </c>
      <c r="G400" s="39"/>
      <c r="H400" s="39"/>
      <c r="I400" s="40"/>
      <c r="J400" s="41"/>
      <c r="K400" s="38"/>
      <c r="L400" s="42" t="str">
        <f aca="false">IF($B400="","",IF(AND(N($I400)=0,N($J400)=0),"금액이 없습니다",IF(AND($I400&gt;0,$J400&gt;0),"수입·지출 둘 다 적혔습니다",IF($C400="","결제수단을 고르십시오",IF(ISNA(MATCH($C400,'교육원 ③ 통장·카드'!$A$5:$A$11,0)),"③ 통장·카드에 없는 결제수단입니다",IF($D400="","계정과목을 고르십시오",IF($E400="※없는 과목","④ 설정에 없는 과목입니다",IF(AND($E400="수입",$J400&gt;0),"수입 과목인데 지출에 적혔습니다",IF(AND(LEFT($E400,2)&lt;&gt;"수입",$E400&lt;&gt;"대체",$I400&gt;0),"지출 과목인데 수입에 적혔습니다",IF($K400="","증빙을 고르십시오",IF($H400="","적요를 적으십시오","")))))))))))</f>
        <v/>
      </c>
      <c r="M400" s="39"/>
      <c r="O400" s="11" t="str">
        <f aca="false">IF($B400="","",YEAR($B400)*100+MONTH($B400))</f>
        <v/>
      </c>
      <c r="P400" s="11" t="str">
        <f aca="false">IF($B400="","",IF($E400="대체",0,1))</f>
        <v/>
      </c>
    </row>
    <row r="401" customFormat="false" ht="15" hidden="false" customHeight="false" outlineLevel="0" collapsed="false">
      <c r="A401" s="36" t="str">
        <f aca="false">IF($B401="","",COUNT($B$15:$B401))</f>
        <v/>
      </c>
      <c r="B401" s="37"/>
      <c r="C401" s="38"/>
      <c r="D401" s="20"/>
      <c r="E401" s="36" t="str">
        <f aca="false">IF($D401="","",IFERROR(INDEX('교육원 ④ 설정'!$A$6:$A$40,MATCH($D401,'교육원 ④ 설정'!$B$6:$B$40,0)),"※없는 과목"))</f>
        <v/>
      </c>
      <c r="F401" s="36" t="str">
        <f aca="false">IF($D401="","",IFERROR(INDEX('교육원 ④ 설정'!$C$6:$C$40,MATCH($D401,'교육원 ④ 설정'!$B$6:$B$40,0)),""))</f>
        <v/>
      </c>
      <c r="G401" s="39"/>
      <c r="H401" s="39"/>
      <c r="I401" s="40"/>
      <c r="J401" s="41"/>
      <c r="K401" s="38"/>
      <c r="L401" s="42" t="str">
        <f aca="false">IF($B401="","",IF(AND(N($I401)=0,N($J401)=0),"금액이 없습니다",IF(AND($I401&gt;0,$J401&gt;0),"수입·지출 둘 다 적혔습니다",IF($C401="","결제수단을 고르십시오",IF(ISNA(MATCH($C401,'교육원 ③ 통장·카드'!$A$5:$A$11,0)),"③ 통장·카드에 없는 결제수단입니다",IF($D401="","계정과목을 고르십시오",IF($E401="※없는 과목","④ 설정에 없는 과목입니다",IF(AND($E401="수입",$J401&gt;0),"수입 과목인데 지출에 적혔습니다",IF(AND(LEFT($E401,2)&lt;&gt;"수입",$E401&lt;&gt;"대체",$I401&gt;0),"지출 과목인데 수입에 적혔습니다",IF($K401="","증빙을 고르십시오",IF($H401="","적요를 적으십시오","")))))))))))</f>
        <v/>
      </c>
      <c r="M401" s="39"/>
      <c r="O401" s="11" t="str">
        <f aca="false">IF($B401="","",YEAR($B401)*100+MONTH($B401))</f>
        <v/>
      </c>
      <c r="P401" s="11" t="str">
        <f aca="false">IF($B401="","",IF($E401="대체",0,1))</f>
        <v/>
      </c>
    </row>
    <row r="402" customFormat="false" ht="15" hidden="false" customHeight="false" outlineLevel="0" collapsed="false">
      <c r="A402" s="36" t="str">
        <f aca="false">IF($B402="","",COUNT($B$15:$B402))</f>
        <v/>
      </c>
      <c r="B402" s="37"/>
      <c r="C402" s="38"/>
      <c r="D402" s="20"/>
      <c r="E402" s="36" t="str">
        <f aca="false">IF($D402="","",IFERROR(INDEX('교육원 ④ 설정'!$A$6:$A$40,MATCH($D402,'교육원 ④ 설정'!$B$6:$B$40,0)),"※없는 과목"))</f>
        <v/>
      </c>
      <c r="F402" s="36" t="str">
        <f aca="false">IF($D402="","",IFERROR(INDEX('교육원 ④ 설정'!$C$6:$C$40,MATCH($D402,'교육원 ④ 설정'!$B$6:$B$40,0)),""))</f>
        <v/>
      </c>
      <c r="G402" s="39"/>
      <c r="H402" s="39"/>
      <c r="I402" s="40"/>
      <c r="J402" s="41"/>
      <c r="K402" s="38"/>
      <c r="L402" s="42" t="str">
        <f aca="false">IF($B402="","",IF(AND(N($I402)=0,N($J402)=0),"금액이 없습니다",IF(AND($I402&gt;0,$J402&gt;0),"수입·지출 둘 다 적혔습니다",IF($C402="","결제수단을 고르십시오",IF(ISNA(MATCH($C402,'교육원 ③ 통장·카드'!$A$5:$A$11,0)),"③ 통장·카드에 없는 결제수단입니다",IF($D402="","계정과목을 고르십시오",IF($E402="※없는 과목","④ 설정에 없는 과목입니다",IF(AND($E402="수입",$J402&gt;0),"수입 과목인데 지출에 적혔습니다",IF(AND(LEFT($E402,2)&lt;&gt;"수입",$E402&lt;&gt;"대체",$I402&gt;0),"지출 과목인데 수입에 적혔습니다",IF($K402="","증빙을 고르십시오",IF($H402="","적요를 적으십시오","")))))))))))</f>
        <v/>
      </c>
      <c r="M402" s="39"/>
      <c r="O402" s="11" t="str">
        <f aca="false">IF($B402="","",YEAR($B402)*100+MONTH($B402))</f>
        <v/>
      </c>
      <c r="P402" s="11" t="str">
        <f aca="false">IF($B402="","",IF($E402="대체",0,1))</f>
        <v/>
      </c>
    </row>
    <row r="403" customFormat="false" ht="15" hidden="false" customHeight="false" outlineLevel="0" collapsed="false">
      <c r="A403" s="36" t="str">
        <f aca="false">IF($B403="","",COUNT($B$15:$B403))</f>
        <v/>
      </c>
      <c r="B403" s="37"/>
      <c r="C403" s="38"/>
      <c r="D403" s="20"/>
      <c r="E403" s="36" t="str">
        <f aca="false">IF($D403="","",IFERROR(INDEX('교육원 ④ 설정'!$A$6:$A$40,MATCH($D403,'교육원 ④ 설정'!$B$6:$B$40,0)),"※없는 과목"))</f>
        <v/>
      </c>
      <c r="F403" s="36" t="str">
        <f aca="false">IF($D403="","",IFERROR(INDEX('교육원 ④ 설정'!$C$6:$C$40,MATCH($D403,'교육원 ④ 설정'!$B$6:$B$40,0)),""))</f>
        <v/>
      </c>
      <c r="G403" s="39"/>
      <c r="H403" s="39"/>
      <c r="I403" s="40"/>
      <c r="J403" s="41"/>
      <c r="K403" s="38"/>
      <c r="L403" s="42" t="str">
        <f aca="false">IF($B403="","",IF(AND(N($I403)=0,N($J403)=0),"금액이 없습니다",IF(AND($I403&gt;0,$J403&gt;0),"수입·지출 둘 다 적혔습니다",IF($C403="","결제수단을 고르십시오",IF(ISNA(MATCH($C403,'교육원 ③ 통장·카드'!$A$5:$A$11,0)),"③ 통장·카드에 없는 결제수단입니다",IF($D403="","계정과목을 고르십시오",IF($E403="※없는 과목","④ 설정에 없는 과목입니다",IF(AND($E403="수입",$J403&gt;0),"수입 과목인데 지출에 적혔습니다",IF(AND(LEFT($E403,2)&lt;&gt;"수입",$E403&lt;&gt;"대체",$I403&gt;0),"지출 과목인데 수입에 적혔습니다",IF($K403="","증빙을 고르십시오",IF($H403="","적요를 적으십시오","")))))))))))</f>
        <v/>
      </c>
      <c r="M403" s="39"/>
      <c r="O403" s="11" t="str">
        <f aca="false">IF($B403="","",YEAR($B403)*100+MONTH($B403))</f>
        <v/>
      </c>
      <c r="P403" s="11" t="str">
        <f aca="false">IF($B403="","",IF($E403="대체",0,1))</f>
        <v/>
      </c>
    </row>
    <row r="404" customFormat="false" ht="15" hidden="false" customHeight="false" outlineLevel="0" collapsed="false">
      <c r="A404" s="36" t="str">
        <f aca="false">IF($B404="","",COUNT($B$15:$B404))</f>
        <v/>
      </c>
      <c r="B404" s="37"/>
      <c r="C404" s="38"/>
      <c r="D404" s="20"/>
      <c r="E404" s="36" t="str">
        <f aca="false">IF($D404="","",IFERROR(INDEX('교육원 ④ 설정'!$A$6:$A$40,MATCH($D404,'교육원 ④ 설정'!$B$6:$B$40,0)),"※없는 과목"))</f>
        <v/>
      </c>
      <c r="F404" s="36" t="str">
        <f aca="false">IF($D404="","",IFERROR(INDEX('교육원 ④ 설정'!$C$6:$C$40,MATCH($D404,'교육원 ④ 설정'!$B$6:$B$40,0)),""))</f>
        <v/>
      </c>
      <c r="G404" s="39"/>
      <c r="H404" s="39"/>
      <c r="I404" s="40"/>
      <c r="J404" s="41"/>
      <c r="K404" s="38"/>
      <c r="L404" s="42" t="str">
        <f aca="false">IF($B404="","",IF(AND(N($I404)=0,N($J404)=0),"금액이 없습니다",IF(AND($I404&gt;0,$J404&gt;0),"수입·지출 둘 다 적혔습니다",IF($C404="","결제수단을 고르십시오",IF(ISNA(MATCH($C404,'교육원 ③ 통장·카드'!$A$5:$A$11,0)),"③ 통장·카드에 없는 결제수단입니다",IF($D404="","계정과목을 고르십시오",IF($E404="※없는 과목","④ 설정에 없는 과목입니다",IF(AND($E404="수입",$J404&gt;0),"수입 과목인데 지출에 적혔습니다",IF(AND(LEFT($E404,2)&lt;&gt;"수입",$E404&lt;&gt;"대체",$I404&gt;0),"지출 과목인데 수입에 적혔습니다",IF($K404="","증빙을 고르십시오",IF($H404="","적요를 적으십시오","")))))))))))</f>
        <v/>
      </c>
      <c r="M404" s="39"/>
      <c r="O404" s="11" t="str">
        <f aca="false">IF($B404="","",YEAR($B404)*100+MONTH($B404))</f>
        <v/>
      </c>
      <c r="P404" s="11" t="str">
        <f aca="false">IF($B404="","",IF($E404="대체",0,1))</f>
        <v/>
      </c>
    </row>
    <row r="405" customFormat="false" ht="15" hidden="false" customHeight="false" outlineLevel="0" collapsed="false">
      <c r="A405" s="36" t="str">
        <f aca="false">IF($B405="","",COUNT($B$15:$B405))</f>
        <v/>
      </c>
      <c r="B405" s="37"/>
      <c r="C405" s="38"/>
      <c r="D405" s="20"/>
      <c r="E405" s="36" t="str">
        <f aca="false">IF($D405="","",IFERROR(INDEX('교육원 ④ 설정'!$A$6:$A$40,MATCH($D405,'교육원 ④ 설정'!$B$6:$B$40,0)),"※없는 과목"))</f>
        <v/>
      </c>
      <c r="F405" s="36" t="str">
        <f aca="false">IF($D405="","",IFERROR(INDEX('교육원 ④ 설정'!$C$6:$C$40,MATCH($D405,'교육원 ④ 설정'!$B$6:$B$40,0)),""))</f>
        <v/>
      </c>
      <c r="G405" s="39"/>
      <c r="H405" s="39"/>
      <c r="I405" s="40"/>
      <c r="J405" s="41"/>
      <c r="K405" s="38"/>
      <c r="L405" s="42" t="str">
        <f aca="false">IF($B405="","",IF(AND(N($I405)=0,N($J405)=0),"금액이 없습니다",IF(AND($I405&gt;0,$J405&gt;0),"수입·지출 둘 다 적혔습니다",IF($C405="","결제수단을 고르십시오",IF(ISNA(MATCH($C405,'교육원 ③ 통장·카드'!$A$5:$A$11,0)),"③ 통장·카드에 없는 결제수단입니다",IF($D405="","계정과목을 고르십시오",IF($E405="※없는 과목","④ 설정에 없는 과목입니다",IF(AND($E405="수입",$J405&gt;0),"수입 과목인데 지출에 적혔습니다",IF(AND(LEFT($E405,2)&lt;&gt;"수입",$E405&lt;&gt;"대체",$I405&gt;0),"지출 과목인데 수입에 적혔습니다",IF($K405="","증빙을 고르십시오",IF($H405="","적요를 적으십시오","")))))))))))</f>
        <v/>
      </c>
      <c r="M405" s="39"/>
      <c r="O405" s="11" t="str">
        <f aca="false">IF($B405="","",YEAR($B405)*100+MONTH($B405))</f>
        <v/>
      </c>
      <c r="P405" s="11" t="str">
        <f aca="false">IF($B405="","",IF($E405="대체",0,1))</f>
        <v/>
      </c>
    </row>
    <row r="406" customFormat="false" ht="15" hidden="false" customHeight="false" outlineLevel="0" collapsed="false">
      <c r="A406" s="36" t="str">
        <f aca="false">IF($B406="","",COUNT($B$15:$B406))</f>
        <v/>
      </c>
      <c r="B406" s="37"/>
      <c r="C406" s="38"/>
      <c r="D406" s="20"/>
      <c r="E406" s="36" t="str">
        <f aca="false">IF($D406="","",IFERROR(INDEX('교육원 ④ 설정'!$A$6:$A$40,MATCH($D406,'교육원 ④ 설정'!$B$6:$B$40,0)),"※없는 과목"))</f>
        <v/>
      </c>
      <c r="F406" s="36" t="str">
        <f aca="false">IF($D406="","",IFERROR(INDEX('교육원 ④ 설정'!$C$6:$C$40,MATCH($D406,'교육원 ④ 설정'!$B$6:$B$40,0)),""))</f>
        <v/>
      </c>
      <c r="G406" s="39"/>
      <c r="H406" s="39"/>
      <c r="I406" s="40"/>
      <c r="J406" s="41"/>
      <c r="K406" s="38"/>
      <c r="L406" s="42" t="str">
        <f aca="false">IF($B406="","",IF(AND(N($I406)=0,N($J406)=0),"금액이 없습니다",IF(AND($I406&gt;0,$J406&gt;0),"수입·지출 둘 다 적혔습니다",IF($C406="","결제수단을 고르십시오",IF(ISNA(MATCH($C406,'교육원 ③ 통장·카드'!$A$5:$A$11,0)),"③ 통장·카드에 없는 결제수단입니다",IF($D406="","계정과목을 고르십시오",IF($E406="※없는 과목","④ 설정에 없는 과목입니다",IF(AND($E406="수입",$J406&gt;0),"수입 과목인데 지출에 적혔습니다",IF(AND(LEFT($E406,2)&lt;&gt;"수입",$E406&lt;&gt;"대체",$I406&gt;0),"지출 과목인데 수입에 적혔습니다",IF($K406="","증빙을 고르십시오",IF($H406="","적요를 적으십시오","")))))))))))</f>
        <v/>
      </c>
      <c r="M406" s="39"/>
      <c r="O406" s="11" t="str">
        <f aca="false">IF($B406="","",YEAR($B406)*100+MONTH($B406))</f>
        <v/>
      </c>
      <c r="P406" s="11" t="str">
        <f aca="false">IF($B406="","",IF($E406="대체",0,1))</f>
        <v/>
      </c>
    </row>
    <row r="407" customFormat="false" ht="15" hidden="false" customHeight="false" outlineLevel="0" collapsed="false">
      <c r="A407" s="36" t="str">
        <f aca="false">IF($B407="","",COUNT($B$15:$B407))</f>
        <v/>
      </c>
      <c r="B407" s="37"/>
      <c r="C407" s="38"/>
      <c r="D407" s="20"/>
      <c r="E407" s="36" t="str">
        <f aca="false">IF($D407="","",IFERROR(INDEX('교육원 ④ 설정'!$A$6:$A$40,MATCH($D407,'교육원 ④ 설정'!$B$6:$B$40,0)),"※없는 과목"))</f>
        <v/>
      </c>
      <c r="F407" s="36" t="str">
        <f aca="false">IF($D407="","",IFERROR(INDEX('교육원 ④ 설정'!$C$6:$C$40,MATCH($D407,'교육원 ④ 설정'!$B$6:$B$40,0)),""))</f>
        <v/>
      </c>
      <c r="G407" s="39"/>
      <c r="H407" s="39"/>
      <c r="I407" s="40"/>
      <c r="J407" s="41"/>
      <c r="K407" s="38"/>
      <c r="L407" s="42" t="str">
        <f aca="false">IF($B407="","",IF(AND(N($I407)=0,N($J407)=0),"금액이 없습니다",IF(AND($I407&gt;0,$J407&gt;0),"수입·지출 둘 다 적혔습니다",IF($C407="","결제수단을 고르십시오",IF(ISNA(MATCH($C407,'교육원 ③ 통장·카드'!$A$5:$A$11,0)),"③ 통장·카드에 없는 결제수단입니다",IF($D407="","계정과목을 고르십시오",IF($E407="※없는 과목","④ 설정에 없는 과목입니다",IF(AND($E407="수입",$J407&gt;0),"수입 과목인데 지출에 적혔습니다",IF(AND(LEFT($E407,2)&lt;&gt;"수입",$E407&lt;&gt;"대체",$I407&gt;0),"지출 과목인데 수입에 적혔습니다",IF($K407="","증빙을 고르십시오",IF($H407="","적요를 적으십시오","")))))))))))</f>
        <v/>
      </c>
      <c r="M407" s="39"/>
      <c r="O407" s="11" t="str">
        <f aca="false">IF($B407="","",YEAR($B407)*100+MONTH($B407))</f>
        <v/>
      </c>
      <c r="P407" s="11" t="str">
        <f aca="false">IF($B407="","",IF($E407="대체",0,1))</f>
        <v/>
      </c>
    </row>
    <row r="408" customFormat="false" ht="15" hidden="false" customHeight="false" outlineLevel="0" collapsed="false">
      <c r="A408" s="36" t="str">
        <f aca="false">IF($B408="","",COUNT($B$15:$B408))</f>
        <v/>
      </c>
      <c r="B408" s="37"/>
      <c r="C408" s="38"/>
      <c r="D408" s="20"/>
      <c r="E408" s="36" t="str">
        <f aca="false">IF($D408="","",IFERROR(INDEX('교육원 ④ 설정'!$A$6:$A$40,MATCH($D408,'교육원 ④ 설정'!$B$6:$B$40,0)),"※없는 과목"))</f>
        <v/>
      </c>
      <c r="F408" s="36" t="str">
        <f aca="false">IF($D408="","",IFERROR(INDEX('교육원 ④ 설정'!$C$6:$C$40,MATCH($D408,'교육원 ④ 설정'!$B$6:$B$40,0)),""))</f>
        <v/>
      </c>
      <c r="G408" s="39"/>
      <c r="H408" s="39"/>
      <c r="I408" s="40"/>
      <c r="J408" s="41"/>
      <c r="K408" s="38"/>
      <c r="L408" s="42" t="str">
        <f aca="false">IF($B408="","",IF(AND(N($I408)=0,N($J408)=0),"금액이 없습니다",IF(AND($I408&gt;0,$J408&gt;0),"수입·지출 둘 다 적혔습니다",IF($C408="","결제수단을 고르십시오",IF(ISNA(MATCH($C408,'교육원 ③ 통장·카드'!$A$5:$A$11,0)),"③ 통장·카드에 없는 결제수단입니다",IF($D408="","계정과목을 고르십시오",IF($E408="※없는 과목","④ 설정에 없는 과목입니다",IF(AND($E408="수입",$J408&gt;0),"수입 과목인데 지출에 적혔습니다",IF(AND(LEFT($E408,2)&lt;&gt;"수입",$E408&lt;&gt;"대체",$I408&gt;0),"지출 과목인데 수입에 적혔습니다",IF($K408="","증빙을 고르십시오",IF($H408="","적요를 적으십시오","")))))))))))</f>
        <v/>
      </c>
      <c r="M408" s="39"/>
      <c r="O408" s="11" t="str">
        <f aca="false">IF($B408="","",YEAR($B408)*100+MONTH($B408))</f>
        <v/>
      </c>
      <c r="P408" s="11" t="str">
        <f aca="false">IF($B408="","",IF($E408="대체",0,1))</f>
        <v/>
      </c>
    </row>
    <row r="409" customFormat="false" ht="15" hidden="false" customHeight="false" outlineLevel="0" collapsed="false">
      <c r="A409" s="36" t="str">
        <f aca="false">IF($B409="","",COUNT($B$15:$B409))</f>
        <v/>
      </c>
      <c r="B409" s="37"/>
      <c r="C409" s="38"/>
      <c r="D409" s="20"/>
      <c r="E409" s="36" t="str">
        <f aca="false">IF($D409="","",IFERROR(INDEX('교육원 ④ 설정'!$A$6:$A$40,MATCH($D409,'교육원 ④ 설정'!$B$6:$B$40,0)),"※없는 과목"))</f>
        <v/>
      </c>
      <c r="F409" s="36" t="str">
        <f aca="false">IF($D409="","",IFERROR(INDEX('교육원 ④ 설정'!$C$6:$C$40,MATCH($D409,'교육원 ④ 설정'!$B$6:$B$40,0)),""))</f>
        <v/>
      </c>
      <c r="G409" s="39"/>
      <c r="H409" s="39"/>
      <c r="I409" s="40"/>
      <c r="J409" s="41"/>
      <c r="K409" s="38"/>
      <c r="L409" s="42" t="str">
        <f aca="false">IF($B409="","",IF(AND(N($I409)=0,N($J409)=0),"금액이 없습니다",IF(AND($I409&gt;0,$J409&gt;0),"수입·지출 둘 다 적혔습니다",IF($C409="","결제수단을 고르십시오",IF(ISNA(MATCH($C409,'교육원 ③ 통장·카드'!$A$5:$A$11,0)),"③ 통장·카드에 없는 결제수단입니다",IF($D409="","계정과목을 고르십시오",IF($E409="※없는 과목","④ 설정에 없는 과목입니다",IF(AND($E409="수입",$J409&gt;0),"수입 과목인데 지출에 적혔습니다",IF(AND(LEFT($E409,2)&lt;&gt;"수입",$E409&lt;&gt;"대체",$I409&gt;0),"지출 과목인데 수입에 적혔습니다",IF($K409="","증빙을 고르십시오",IF($H409="","적요를 적으십시오","")))))))))))</f>
        <v/>
      </c>
      <c r="M409" s="39"/>
      <c r="O409" s="11" t="str">
        <f aca="false">IF($B409="","",YEAR($B409)*100+MONTH($B409))</f>
        <v/>
      </c>
      <c r="P409" s="11" t="str">
        <f aca="false">IF($B409="","",IF($E409="대체",0,1))</f>
        <v/>
      </c>
    </row>
    <row r="410" customFormat="false" ht="15" hidden="false" customHeight="false" outlineLevel="0" collapsed="false">
      <c r="A410" s="36" t="str">
        <f aca="false">IF($B410="","",COUNT($B$15:$B410))</f>
        <v/>
      </c>
      <c r="B410" s="37"/>
      <c r="C410" s="38"/>
      <c r="D410" s="20"/>
      <c r="E410" s="36" t="str">
        <f aca="false">IF($D410="","",IFERROR(INDEX('교육원 ④ 설정'!$A$6:$A$40,MATCH($D410,'교육원 ④ 설정'!$B$6:$B$40,0)),"※없는 과목"))</f>
        <v/>
      </c>
      <c r="F410" s="36" t="str">
        <f aca="false">IF($D410="","",IFERROR(INDEX('교육원 ④ 설정'!$C$6:$C$40,MATCH($D410,'교육원 ④ 설정'!$B$6:$B$40,0)),""))</f>
        <v/>
      </c>
      <c r="G410" s="39"/>
      <c r="H410" s="39"/>
      <c r="I410" s="40"/>
      <c r="J410" s="41"/>
      <c r="K410" s="38"/>
      <c r="L410" s="42" t="str">
        <f aca="false">IF($B410="","",IF(AND(N($I410)=0,N($J410)=0),"금액이 없습니다",IF(AND($I410&gt;0,$J410&gt;0),"수입·지출 둘 다 적혔습니다",IF($C410="","결제수단을 고르십시오",IF(ISNA(MATCH($C410,'교육원 ③ 통장·카드'!$A$5:$A$11,0)),"③ 통장·카드에 없는 결제수단입니다",IF($D410="","계정과목을 고르십시오",IF($E410="※없는 과목","④ 설정에 없는 과목입니다",IF(AND($E410="수입",$J410&gt;0),"수입 과목인데 지출에 적혔습니다",IF(AND(LEFT($E410,2)&lt;&gt;"수입",$E410&lt;&gt;"대체",$I410&gt;0),"지출 과목인데 수입에 적혔습니다",IF($K410="","증빙을 고르십시오",IF($H410="","적요를 적으십시오","")))))))))))</f>
        <v/>
      </c>
      <c r="M410" s="39"/>
      <c r="O410" s="11" t="str">
        <f aca="false">IF($B410="","",YEAR($B410)*100+MONTH($B410))</f>
        <v/>
      </c>
      <c r="P410" s="11" t="str">
        <f aca="false">IF($B410="","",IF($E410="대체",0,1))</f>
        <v/>
      </c>
    </row>
    <row r="411" customFormat="false" ht="15" hidden="false" customHeight="false" outlineLevel="0" collapsed="false">
      <c r="A411" s="36" t="str">
        <f aca="false">IF($B411="","",COUNT($B$15:$B411))</f>
        <v/>
      </c>
      <c r="B411" s="37"/>
      <c r="C411" s="38"/>
      <c r="D411" s="20"/>
      <c r="E411" s="36" t="str">
        <f aca="false">IF($D411="","",IFERROR(INDEX('교육원 ④ 설정'!$A$6:$A$40,MATCH($D411,'교육원 ④ 설정'!$B$6:$B$40,0)),"※없는 과목"))</f>
        <v/>
      </c>
      <c r="F411" s="36" t="str">
        <f aca="false">IF($D411="","",IFERROR(INDEX('교육원 ④ 설정'!$C$6:$C$40,MATCH($D411,'교육원 ④ 설정'!$B$6:$B$40,0)),""))</f>
        <v/>
      </c>
      <c r="G411" s="39"/>
      <c r="H411" s="39"/>
      <c r="I411" s="40"/>
      <c r="J411" s="41"/>
      <c r="K411" s="38"/>
      <c r="L411" s="42" t="str">
        <f aca="false">IF($B411="","",IF(AND(N($I411)=0,N($J411)=0),"금액이 없습니다",IF(AND($I411&gt;0,$J411&gt;0),"수입·지출 둘 다 적혔습니다",IF($C411="","결제수단을 고르십시오",IF(ISNA(MATCH($C411,'교육원 ③ 통장·카드'!$A$5:$A$11,0)),"③ 통장·카드에 없는 결제수단입니다",IF($D411="","계정과목을 고르십시오",IF($E411="※없는 과목","④ 설정에 없는 과목입니다",IF(AND($E411="수입",$J411&gt;0),"수입 과목인데 지출에 적혔습니다",IF(AND(LEFT($E411,2)&lt;&gt;"수입",$E411&lt;&gt;"대체",$I411&gt;0),"지출 과목인데 수입에 적혔습니다",IF($K411="","증빙을 고르십시오",IF($H411="","적요를 적으십시오","")))))))))))</f>
        <v/>
      </c>
      <c r="M411" s="39"/>
      <c r="O411" s="11" t="str">
        <f aca="false">IF($B411="","",YEAR($B411)*100+MONTH($B411))</f>
        <v/>
      </c>
      <c r="P411" s="11" t="str">
        <f aca="false">IF($B411="","",IF($E411="대체",0,1))</f>
        <v/>
      </c>
    </row>
    <row r="412" customFormat="false" ht="15" hidden="false" customHeight="false" outlineLevel="0" collapsed="false">
      <c r="A412" s="36" t="str">
        <f aca="false">IF($B412="","",COUNT($B$15:$B412))</f>
        <v/>
      </c>
      <c r="B412" s="37"/>
      <c r="C412" s="38"/>
      <c r="D412" s="20"/>
      <c r="E412" s="36" t="str">
        <f aca="false">IF($D412="","",IFERROR(INDEX('교육원 ④ 설정'!$A$6:$A$40,MATCH($D412,'교육원 ④ 설정'!$B$6:$B$40,0)),"※없는 과목"))</f>
        <v/>
      </c>
      <c r="F412" s="36" t="str">
        <f aca="false">IF($D412="","",IFERROR(INDEX('교육원 ④ 설정'!$C$6:$C$40,MATCH($D412,'교육원 ④ 설정'!$B$6:$B$40,0)),""))</f>
        <v/>
      </c>
      <c r="G412" s="39"/>
      <c r="H412" s="39"/>
      <c r="I412" s="40"/>
      <c r="J412" s="41"/>
      <c r="K412" s="38"/>
      <c r="L412" s="42" t="str">
        <f aca="false">IF($B412="","",IF(AND(N($I412)=0,N($J412)=0),"금액이 없습니다",IF(AND($I412&gt;0,$J412&gt;0),"수입·지출 둘 다 적혔습니다",IF($C412="","결제수단을 고르십시오",IF(ISNA(MATCH($C412,'교육원 ③ 통장·카드'!$A$5:$A$11,0)),"③ 통장·카드에 없는 결제수단입니다",IF($D412="","계정과목을 고르십시오",IF($E412="※없는 과목","④ 설정에 없는 과목입니다",IF(AND($E412="수입",$J412&gt;0),"수입 과목인데 지출에 적혔습니다",IF(AND(LEFT($E412,2)&lt;&gt;"수입",$E412&lt;&gt;"대체",$I412&gt;0),"지출 과목인데 수입에 적혔습니다",IF($K412="","증빙을 고르십시오",IF($H412="","적요를 적으십시오","")))))))))))</f>
        <v/>
      </c>
      <c r="M412" s="39"/>
      <c r="O412" s="11" t="str">
        <f aca="false">IF($B412="","",YEAR($B412)*100+MONTH($B412))</f>
        <v/>
      </c>
      <c r="P412" s="11" t="str">
        <f aca="false">IF($B412="","",IF($E412="대체",0,1))</f>
        <v/>
      </c>
    </row>
    <row r="413" customFormat="false" ht="15" hidden="false" customHeight="false" outlineLevel="0" collapsed="false">
      <c r="A413" s="36" t="str">
        <f aca="false">IF($B413="","",COUNT($B$15:$B413))</f>
        <v/>
      </c>
      <c r="B413" s="37"/>
      <c r="C413" s="38"/>
      <c r="D413" s="20"/>
      <c r="E413" s="36" t="str">
        <f aca="false">IF($D413="","",IFERROR(INDEX('교육원 ④ 설정'!$A$6:$A$40,MATCH($D413,'교육원 ④ 설정'!$B$6:$B$40,0)),"※없는 과목"))</f>
        <v/>
      </c>
      <c r="F413" s="36" t="str">
        <f aca="false">IF($D413="","",IFERROR(INDEX('교육원 ④ 설정'!$C$6:$C$40,MATCH($D413,'교육원 ④ 설정'!$B$6:$B$40,0)),""))</f>
        <v/>
      </c>
      <c r="G413" s="39"/>
      <c r="H413" s="39"/>
      <c r="I413" s="40"/>
      <c r="J413" s="41"/>
      <c r="K413" s="38"/>
      <c r="L413" s="42" t="str">
        <f aca="false">IF($B413="","",IF(AND(N($I413)=0,N($J413)=0),"금액이 없습니다",IF(AND($I413&gt;0,$J413&gt;0),"수입·지출 둘 다 적혔습니다",IF($C413="","결제수단을 고르십시오",IF(ISNA(MATCH($C413,'교육원 ③ 통장·카드'!$A$5:$A$11,0)),"③ 통장·카드에 없는 결제수단입니다",IF($D413="","계정과목을 고르십시오",IF($E413="※없는 과목","④ 설정에 없는 과목입니다",IF(AND($E413="수입",$J413&gt;0),"수입 과목인데 지출에 적혔습니다",IF(AND(LEFT($E413,2)&lt;&gt;"수입",$E413&lt;&gt;"대체",$I413&gt;0),"지출 과목인데 수입에 적혔습니다",IF($K413="","증빙을 고르십시오",IF($H413="","적요를 적으십시오","")))))))))))</f>
        <v/>
      </c>
      <c r="M413" s="39"/>
      <c r="O413" s="11" t="str">
        <f aca="false">IF($B413="","",YEAR($B413)*100+MONTH($B413))</f>
        <v/>
      </c>
      <c r="P413" s="11" t="str">
        <f aca="false">IF($B413="","",IF($E413="대체",0,1))</f>
        <v/>
      </c>
    </row>
    <row r="414" customFormat="false" ht="15" hidden="false" customHeight="false" outlineLevel="0" collapsed="false">
      <c r="A414" s="36" t="str">
        <f aca="false">IF($B414="","",COUNT($B$15:$B414))</f>
        <v/>
      </c>
      <c r="B414" s="37"/>
      <c r="C414" s="38"/>
      <c r="D414" s="20"/>
      <c r="E414" s="36" t="str">
        <f aca="false">IF($D414="","",IFERROR(INDEX('교육원 ④ 설정'!$A$6:$A$40,MATCH($D414,'교육원 ④ 설정'!$B$6:$B$40,0)),"※없는 과목"))</f>
        <v/>
      </c>
      <c r="F414" s="36" t="str">
        <f aca="false">IF($D414="","",IFERROR(INDEX('교육원 ④ 설정'!$C$6:$C$40,MATCH($D414,'교육원 ④ 설정'!$B$6:$B$40,0)),""))</f>
        <v/>
      </c>
      <c r="G414" s="39"/>
      <c r="H414" s="39"/>
      <c r="I414" s="40"/>
      <c r="J414" s="41"/>
      <c r="K414" s="38"/>
      <c r="L414" s="42" t="str">
        <f aca="false">IF($B414="","",IF(AND(N($I414)=0,N($J414)=0),"금액이 없습니다",IF(AND($I414&gt;0,$J414&gt;0),"수입·지출 둘 다 적혔습니다",IF($C414="","결제수단을 고르십시오",IF(ISNA(MATCH($C414,'교육원 ③ 통장·카드'!$A$5:$A$11,0)),"③ 통장·카드에 없는 결제수단입니다",IF($D414="","계정과목을 고르십시오",IF($E414="※없는 과목","④ 설정에 없는 과목입니다",IF(AND($E414="수입",$J414&gt;0),"수입 과목인데 지출에 적혔습니다",IF(AND(LEFT($E414,2)&lt;&gt;"수입",$E414&lt;&gt;"대체",$I414&gt;0),"지출 과목인데 수입에 적혔습니다",IF($K414="","증빙을 고르십시오",IF($H414="","적요를 적으십시오","")))))))))))</f>
        <v/>
      </c>
      <c r="M414" s="39"/>
      <c r="O414" s="11" t="str">
        <f aca="false">IF($B414="","",YEAR($B414)*100+MONTH($B414))</f>
        <v/>
      </c>
      <c r="P414" s="11" t="str">
        <f aca="false">IF($B414="","",IF($E414="대체",0,1))</f>
        <v/>
      </c>
    </row>
    <row r="415" customFormat="false" ht="15" hidden="false" customHeight="false" outlineLevel="0" collapsed="false">
      <c r="A415" s="36" t="str">
        <f aca="false">IF($B415="","",COUNT($B$15:$B415))</f>
        <v/>
      </c>
      <c r="B415" s="37"/>
      <c r="C415" s="38"/>
      <c r="D415" s="20"/>
      <c r="E415" s="36" t="str">
        <f aca="false">IF($D415="","",IFERROR(INDEX('교육원 ④ 설정'!$A$6:$A$40,MATCH($D415,'교육원 ④ 설정'!$B$6:$B$40,0)),"※없는 과목"))</f>
        <v/>
      </c>
      <c r="F415" s="36" t="str">
        <f aca="false">IF($D415="","",IFERROR(INDEX('교육원 ④ 설정'!$C$6:$C$40,MATCH($D415,'교육원 ④ 설정'!$B$6:$B$40,0)),""))</f>
        <v/>
      </c>
      <c r="G415" s="39"/>
      <c r="H415" s="39"/>
      <c r="I415" s="40"/>
      <c r="J415" s="41"/>
      <c r="K415" s="38"/>
      <c r="L415" s="42" t="str">
        <f aca="false">IF($B415="","",IF(AND(N($I415)=0,N($J415)=0),"금액이 없습니다",IF(AND($I415&gt;0,$J415&gt;0),"수입·지출 둘 다 적혔습니다",IF($C415="","결제수단을 고르십시오",IF(ISNA(MATCH($C415,'교육원 ③ 통장·카드'!$A$5:$A$11,0)),"③ 통장·카드에 없는 결제수단입니다",IF($D415="","계정과목을 고르십시오",IF($E415="※없는 과목","④ 설정에 없는 과목입니다",IF(AND($E415="수입",$J415&gt;0),"수입 과목인데 지출에 적혔습니다",IF(AND(LEFT($E415,2)&lt;&gt;"수입",$E415&lt;&gt;"대체",$I415&gt;0),"지출 과목인데 수입에 적혔습니다",IF($K415="","증빙을 고르십시오",IF($H415="","적요를 적으십시오","")))))))))))</f>
        <v/>
      </c>
      <c r="M415" s="39"/>
      <c r="O415" s="11" t="str">
        <f aca="false">IF($B415="","",YEAR($B415)*100+MONTH($B415))</f>
        <v/>
      </c>
      <c r="P415" s="11" t="str">
        <f aca="false">IF($B415="","",IF($E415="대체",0,1))</f>
        <v/>
      </c>
    </row>
    <row r="416" customFormat="false" ht="15" hidden="false" customHeight="false" outlineLevel="0" collapsed="false">
      <c r="A416" s="36" t="str">
        <f aca="false">IF($B416="","",COUNT($B$15:$B416))</f>
        <v/>
      </c>
      <c r="B416" s="37"/>
      <c r="C416" s="38"/>
      <c r="D416" s="20"/>
      <c r="E416" s="36" t="str">
        <f aca="false">IF($D416="","",IFERROR(INDEX('교육원 ④ 설정'!$A$6:$A$40,MATCH($D416,'교육원 ④ 설정'!$B$6:$B$40,0)),"※없는 과목"))</f>
        <v/>
      </c>
      <c r="F416" s="36" t="str">
        <f aca="false">IF($D416="","",IFERROR(INDEX('교육원 ④ 설정'!$C$6:$C$40,MATCH($D416,'교육원 ④ 설정'!$B$6:$B$40,0)),""))</f>
        <v/>
      </c>
      <c r="G416" s="39"/>
      <c r="H416" s="39"/>
      <c r="I416" s="40"/>
      <c r="J416" s="41"/>
      <c r="K416" s="38"/>
      <c r="L416" s="42" t="str">
        <f aca="false">IF($B416="","",IF(AND(N($I416)=0,N($J416)=0),"금액이 없습니다",IF(AND($I416&gt;0,$J416&gt;0),"수입·지출 둘 다 적혔습니다",IF($C416="","결제수단을 고르십시오",IF(ISNA(MATCH($C416,'교육원 ③ 통장·카드'!$A$5:$A$11,0)),"③ 통장·카드에 없는 결제수단입니다",IF($D416="","계정과목을 고르십시오",IF($E416="※없는 과목","④ 설정에 없는 과목입니다",IF(AND($E416="수입",$J416&gt;0),"수입 과목인데 지출에 적혔습니다",IF(AND(LEFT($E416,2)&lt;&gt;"수입",$E416&lt;&gt;"대체",$I416&gt;0),"지출 과목인데 수입에 적혔습니다",IF($K416="","증빙을 고르십시오",IF($H416="","적요를 적으십시오","")))))))))))</f>
        <v/>
      </c>
      <c r="M416" s="39"/>
      <c r="O416" s="11" t="str">
        <f aca="false">IF($B416="","",YEAR($B416)*100+MONTH($B416))</f>
        <v/>
      </c>
      <c r="P416" s="11" t="str">
        <f aca="false">IF($B416="","",IF($E416="대체",0,1))</f>
        <v/>
      </c>
    </row>
    <row r="417" customFormat="false" ht="15" hidden="false" customHeight="false" outlineLevel="0" collapsed="false">
      <c r="A417" s="36" t="str">
        <f aca="false">IF($B417="","",COUNT($B$15:$B417))</f>
        <v/>
      </c>
      <c r="B417" s="37"/>
      <c r="C417" s="38"/>
      <c r="D417" s="20"/>
      <c r="E417" s="36" t="str">
        <f aca="false">IF($D417="","",IFERROR(INDEX('교육원 ④ 설정'!$A$6:$A$40,MATCH($D417,'교육원 ④ 설정'!$B$6:$B$40,0)),"※없는 과목"))</f>
        <v/>
      </c>
      <c r="F417" s="36" t="str">
        <f aca="false">IF($D417="","",IFERROR(INDEX('교육원 ④ 설정'!$C$6:$C$40,MATCH($D417,'교육원 ④ 설정'!$B$6:$B$40,0)),""))</f>
        <v/>
      </c>
      <c r="G417" s="39"/>
      <c r="H417" s="39"/>
      <c r="I417" s="40"/>
      <c r="J417" s="41"/>
      <c r="K417" s="38"/>
      <c r="L417" s="42" t="str">
        <f aca="false">IF($B417="","",IF(AND(N($I417)=0,N($J417)=0),"금액이 없습니다",IF(AND($I417&gt;0,$J417&gt;0),"수입·지출 둘 다 적혔습니다",IF($C417="","결제수단을 고르십시오",IF(ISNA(MATCH($C417,'교육원 ③ 통장·카드'!$A$5:$A$11,0)),"③ 통장·카드에 없는 결제수단입니다",IF($D417="","계정과목을 고르십시오",IF($E417="※없는 과목","④ 설정에 없는 과목입니다",IF(AND($E417="수입",$J417&gt;0),"수입 과목인데 지출에 적혔습니다",IF(AND(LEFT($E417,2)&lt;&gt;"수입",$E417&lt;&gt;"대체",$I417&gt;0),"지출 과목인데 수입에 적혔습니다",IF($K417="","증빙을 고르십시오",IF($H417="","적요를 적으십시오","")))))))))))</f>
        <v/>
      </c>
      <c r="M417" s="39"/>
      <c r="O417" s="11" t="str">
        <f aca="false">IF($B417="","",YEAR($B417)*100+MONTH($B417))</f>
        <v/>
      </c>
      <c r="P417" s="11" t="str">
        <f aca="false">IF($B417="","",IF($E417="대체",0,1))</f>
        <v/>
      </c>
    </row>
    <row r="418" customFormat="false" ht="15" hidden="false" customHeight="false" outlineLevel="0" collapsed="false">
      <c r="A418" s="36" t="str">
        <f aca="false">IF($B418="","",COUNT($B$15:$B418))</f>
        <v/>
      </c>
      <c r="B418" s="37"/>
      <c r="C418" s="38"/>
      <c r="D418" s="20"/>
      <c r="E418" s="36" t="str">
        <f aca="false">IF($D418="","",IFERROR(INDEX('교육원 ④ 설정'!$A$6:$A$40,MATCH($D418,'교육원 ④ 설정'!$B$6:$B$40,0)),"※없는 과목"))</f>
        <v/>
      </c>
      <c r="F418" s="36" t="str">
        <f aca="false">IF($D418="","",IFERROR(INDEX('교육원 ④ 설정'!$C$6:$C$40,MATCH($D418,'교육원 ④ 설정'!$B$6:$B$40,0)),""))</f>
        <v/>
      </c>
      <c r="G418" s="39"/>
      <c r="H418" s="39"/>
      <c r="I418" s="40"/>
      <c r="J418" s="41"/>
      <c r="K418" s="38"/>
      <c r="L418" s="42" t="str">
        <f aca="false">IF($B418="","",IF(AND(N($I418)=0,N($J418)=0),"금액이 없습니다",IF(AND($I418&gt;0,$J418&gt;0),"수입·지출 둘 다 적혔습니다",IF($C418="","결제수단을 고르십시오",IF(ISNA(MATCH($C418,'교육원 ③ 통장·카드'!$A$5:$A$11,0)),"③ 통장·카드에 없는 결제수단입니다",IF($D418="","계정과목을 고르십시오",IF($E418="※없는 과목","④ 설정에 없는 과목입니다",IF(AND($E418="수입",$J418&gt;0),"수입 과목인데 지출에 적혔습니다",IF(AND(LEFT($E418,2)&lt;&gt;"수입",$E418&lt;&gt;"대체",$I418&gt;0),"지출 과목인데 수입에 적혔습니다",IF($K418="","증빙을 고르십시오",IF($H418="","적요를 적으십시오","")))))))))))</f>
        <v/>
      </c>
      <c r="M418" s="39"/>
      <c r="O418" s="11" t="str">
        <f aca="false">IF($B418="","",YEAR($B418)*100+MONTH($B418))</f>
        <v/>
      </c>
      <c r="P418" s="11" t="str">
        <f aca="false">IF($B418="","",IF($E418="대체",0,1))</f>
        <v/>
      </c>
    </row>
    <row r="419" customFormat="false" ht="15" hidden="false" customHeight="false" outlineLevel="0" collapsed="false">
      <c r="A419" s="36" t="str">
        <f aca="false">IF($B419="","",COUNT($B$15:$B419))</f>
        <v/>
      </c>
      <c r="B419" s="37"/>
      <c r="C419" s="38"/>
      <c r="D419" s="20"/>
      <c r="E419" s="36" t="str">
        <f aca="false">IF($D419="","",IFERROR(INDEX('교육원 ④ 설정'!$A$6:$A$40,MATCH($D419,'교육원 ④ 설정'!$B$6:$B$40,0)),"※없는 과목"))</f>
        <v/>
      </c>
      <c r="F419" s="36" t="str">
        <f aca="false">IF($D419="","",IFERROR(INDEX('교육원 ④ 설정'!$C$6:$C$40,MATCH($D419,'교육원 ④ 설정'!$B$6:$B$40,0)),""))</f>
        <v/>
      </c>
      <c r="G419" s="39"/>
      <c r="H419" s="39"/>
      <c r="I419" s="40"/>
      <c r="J419" s="41"/>
      <c r="K419" s="38"/>
      <c r="L419" s="42" t="str">
        <f aca="false">IF($B419="","",IF(AND(N($I419)=0,N($J419)=0),"금액이 없습니다",IF(AND($I419&gt;0,$J419&gt;0),"수입·지출 둘 다 적혔습니다",IF($C419="","결제수단을 고르십시오",IF(ISNA(MATCH($C419,'교육원 ③ 통장·카드'!$A$5:$A$11,0)),"③ 통장·카드에 없는 결제수단입니다",IF($D419="","계정과목을 고르십시오",IF($E419="※없는 과목","④ 설정에 없는 과목입니다",IF(AND($E419="수입",$J419&gt;0),"수입 과목인데 지출에 적혔습니다",IF(AND(LEFT($E419,2)&lt;&gt;"수입",$E419&lt;&gt;"대체",$I419&gt;0),"지출 과목인데 수입에 적혔습니다",IF($K419="","증빙을 고르십시오",IF($H419="","적요를 적으십시오","")))))))))))</f>
        <v/>
      </c>
      <c r="M419" s="39"/>
      <c r="O419" s="11" t="str">
        <f aca="false">IF($B419="","",YEAR($B419)*100+MONTH($B419))</f>
        <v/>
      </c>
      <c r="P419" s="11" t="str">
        <f aca="false">IF($B419="","",IF($E419="대체",0,1))</f>
        <v/>
      </c>
    </row>
    <row r="420" customFormat="false" ht="15" hidden="false" customHeight="false" outlineLevel="0" collapsed="false">
      <c r="A420" s="36" t="str">
        <f aca="false">IF($B420="","",COUNT($B$15:$B420))</f>
        <v/>
      </c>
      <c r="B420" s="37"/>
      <c r="C420" s="38"/>
      <c r="D420" s="20"/>
      <c r="E420" s="36" t="str">
        <f aca="false">IF($D420="","",IFERROR(INDEX('교육원 ④ 설정'!$A$6:$A$40,MATCH($D420,'교육원 ④ 설정'!$B$6:$B$40,0)),"※없는 과목"))</f>
        <v/>
      </c>
      <c r="F420" s="36" t="str">
        <f aca="false">IF($D420="","",IFERROR(INDEX('교육원 ④ 설정'!$C$6:$C$40,MATCH($D420,'교육원 ④ 설정'!$B$6:$B$40,0)),""))</f>
        <v/>
      </c>
      <c r="G420" s="39"/>
      <c r="H420" s="39"/>
      <c r="I420" s="40"/>
      <c r="J420" s="41"/>
      <c r="K420" s="38"/>
      <c r="L420" s="42" t="str">
        <f aca="false">IF($B420="","",IF(AND(N($I420)=0,N($J420)=0),"금액이 없습니다",IF(AND($I420&gt;0,$J420&gt;0),"수입·지출 둘 다 적혔습니다",IF($C420="","결제수단을 고르십시오",IF(ISNA(MATCH($C420,'교육원 ③ 통장·카드'!$A$5:$A$11,0)),"③ 통장·카드에 없는 결제수단입니다",IF($D420="","계정과목을 고르십시오",IF($E420="※없는 과목","④ 설정에 없는 과목입니다",IF(AND($E420="수입",$J420&gt;0),"수입 과목인데 지출에 적혔습니다",IF(AND(LEFT($E420,2)&lt;&gt;"수입",$E420&lt;&gt;"대체",$I420&gt;0),"지출 과목인데 수입에 적혔습니다",IF($K420="","증빙을 고르십시오",IF($H420="","적요를 적으십시오","")))))))))))</f>
        <v/>
      </c>
      <c r="M420" s="39"/>
      <c r="O420" s="11" t="str">
        <f aca="false">IF($B420="","",YEAR($B420)*100+MONTH($B420))</f>
        <v/>
      </c>
      <c r="P420" s="11" t="str">
        <f aca="false">IF($B420="","",IF($E420="대체",0,1))</f>
        <v/>
      </c>
    </row>
    <row r="421" customFormat="false" ht="15" hidden="false" customHeight="false" outlineLevel="0" collapsed="false">
      <c r="A421" s="36" t="str">
        <f aca="false">IF($B421="","",COUNT($B$15:$B421))</f>
        <v/>
      </c>
      <c r="B421" s="37"/>
      <c r="C421" s="38"/>
      <c r="D421" s="20"/>
      <c r="E421" s="36" t="str">
        <f aca="false">IF($D421="","",IFERROR(INDEX('교육원 ④ 설정'!$A$6:$A$40,MATCH($D421,'교육원 ④ 설정'!$B$6:$B$40,0)),"※없는 과목"))</f>
        <v/>
      </c>
      <c r="F421" s="36" t="str">
        <f aca="false">IF($D421="","",IFERROR(INDEX('교육원 ④ 설정'!$C$6:$C$40,MATCH($D421,'교육원 ④ 설정'!$B$6:$B$40,0)),""))</f>
        <v/>
      </c>
      <c r="G421" s="39"/>
      <c r="H421" s="39"/>
      <c r="I421" s="40"/>
      <c r="J421" s="41"/>
      <c r="K421" s="38"/>
      <c r="L421" s="42" t="str">
        <f aca="false">IF($B421="","",IF(AND(N($I421)=0,N($J421)=0),"금액이 없습니다",IF(AND($I421&gt;0,$J421&gt;0),"수입·지출 둘 다 적혔습니다",IF($C421="","결제수단을 고르십시오",IF(ISNA(MATCH($C421,'교육원 ③ 통장·카드'!$A$5:$A$11,0)),"③ 통장·카드에 없는 결제수단입니다",IF($D421="","계정과목을 고르십시오",IF($E421="※없는 과목","④ 설정에 없는 과목입니다",IF(AND($E421="수입",$J421&gt;0),"수입 과목인데 지출에 적혔습니다",IF(AND(LEFT($E421,2)&lt;&gt;"수입",$E421&lt;&gt;"대체",$I421&gt;0),"지출 과목인데 수입에 적혔습니다",IF($K421="","증빙을 고르십시오",IF($H421="","적요를 적으십시오","")))))))))))</f>
        <v/>
      </c>
      <c r="M421" s="39"/>
      <c r="O421" s="11" t="str">
        <f aca="false">IF($B421="","",YEAR($B421)*100+MONTH($B421))</f>
        <v/>
      </c>
      <c r="P421" s="11" t="str">
        <f aca="false">IF($B421="","",IF($E421="대체",0,1))</f>
        <v/>
      </c>
    </row>
    <row r="422" customFormat="false" ht="15" hidden="false" customHeight="false" outlineLevel="0" collapsed="false">
      <c r="A422" s="36" t="str">
        <f aca="false">IF($B422="","",COUNT($B$15:$B422))</f>
        <v/>
      </c>
      <c r="B422" s="37"/>
      <c r="C422" s="38"/>
      <c r="D422" s="20"/>
      <c r="E422" s="36" t="str">
        <f aca="false">IF($D422="","",IFERROR(INDEX('교육원 ④ 설정'!$A$6:$A$40,MATCH($D422,'교육원 ④ 설정'!$B$6:$B$40,0)),"※없는 과목"))</f>
        <v/>
      </c>
      <c r="F422" s="36" t="str">
        <f aca="false">IF($D422="","",IFERROR(INDEX('교육원 ④ 설정'!$C$6:$C$40,MATCH($D422,'교육원 ④ 설정'!$B$6:$B$40,0)),""))</f>
        <v/>
      </c>
      <c r="G422" s="39"/>
      <c r="H422" s="39"/>
      <c r="I422" s="40"/>
      <c r="J422" s="41"/>
      <c r="K422" s="38"/>
      <c r="L422" s="42" t="str">
        <f aca="false">IF($B422="","",IF(AND(N($I422)=0,N($J422)=0),"금액이 없습니다",IF(AND($I422&gt;0,$J422&gt;0),"수입·지출 둘 다 적혔습니다",IF($C422="","결제수단을 고르십시오",IF(ISNA(MATCH($C422,'교육원 ③ 통장·카드'!$A$5:$A$11,0)),"③ 통장·카드에 없는 결제수단입니다",IF($D422="","계정과목을 고르십시오",IF($E422="※없는 과목","④ 설정에 없는 과목입니다",IF(AND($E422="수입",$J422&gt;0),"수입 과목인데 지출에 적혔습니다",IF(AND(LEFT($E422,2)&lt;&gt;"수입",$E422&lt;&gt;"대체",$I422&gt;0),"지출 과목인데 수입에 적혔습니다",IF($K422="","증빙을 고르십시오",IF($H422="","적요를 적으십시오","")))))))))))</f>
        <v/>
      </c>
      <c r="M422" s="39"/>
      <c r="O422" s="11" t="str">
        <f aca="false">IF($B422="","",YEAR($B422)*100+MONTH($B422))</f>
        <v/>
      </c>
      <c r="P422" s="11" t="str">
        <f aca="false">IF($B422="","",IF($E422="대체",0,1))</f>
        <v/>
      </c>
    </row>
    <row r="423" customFormat="false" ht="15" hidden="false" customHeight="false" outlineLevel="0" collapsed="false">
      <c r="A423" s="36" t="str">
        <f aca="false">IF($B423="","",COUNT($B$15:$B423))</f>
        <v/>
      </c>
      <c r="B423" s="37"/>
      <c r="C423" s="38"/>
      <c r="D423" s="20"/>
      <c r="E423" s="36" t="str">
        <f aca="false">IF($D423="","",IFERROR(INDEX('교육원 ④ 설정'!$A$6:$A$40,MATCH($D423,'교육원 ④ 설정'!$B$6:$B$40,0)),"※없는 과목"))</f>
        <v/>
      </c>
      <c r="F423" s="36" t="str">
        <f aca="false">IF($D423="","",IFERROR(INDEX('교육원 ④ 설정'!$C$6:$C$40,MATCH($D423,'교육원 ④ 설정'!$B$6:$B$40,0)),""))</f>
        <v/>
      </c>
      <c r="G423" s="39"/>
      <c r="H423" s="39"/>
      <c r="I423" s="40"/>
      <c r="J423" s="41"/>
      <c r="K423" s="38"/>
      <c r="L423" s="42" t="str">
        <f aca="false">IF($B423="","",IF(AND(N($I423)=0,N($J423)=0),"금액이 없습니다",IF(AND($I423&gt;0,$J423&gt;0),"수입·지출 둘 다 적혔습니다",IF($C423="","결제수단을 고르십시오",IF(ISNA(MATCH($C423,'교육원 ③ 통장·카드'!$A$5:$A$11,0)),"③ 통장·카드에 없는 결제수단입니다",IF($D423="","계정과목을 고르십시오",IF($E423="※없는 과목","④ 설정에 없는 과목입니다",IF(AND($E423="수입",$J423&gt;0),"수입 과목인데 지출에 적혔습니다",IF(AND(LEFT($E423,2)&lt;&gt;"수입",$E423&lt;&gt;"대체",$I423&gt;0),"지출 과목인데 수입에 적혔습니다",IF($K423="","증빙을 고르십시오",IF($H423="","적요를 적으십시오","")))))))))))</f>
        <v/>
      </c>
      <c r="M423" s="39"/>
      <c r="O423" s="11" t="str">
        <f aca="false">IF($B423="","",YEAR($B423)*100+MONTH($B423))</f>
        <v/>
      </c>
      <c r="P423" s="11" t="str">
        <f aca="false">IF($B423="","",IF($E423="대체",0,1))</f>
        <v/>
      </c>
    </row>
    <row r="424" customFormat="false" ht="15" hidden="false" customHeight="false" outlineLevel="0" collapsed="false">
      <c r="A424" s="36" t="str">
        <f aca="false">IF($B424="","",COUNT($B$15:$B424))</f>
        <v/>
      </c>
      <c r="B424" s="37"/>
      <c r="C424" s="38"/>
      <c r="D424" s="20"/>
      <c r="E424" s="36" t="str">
        <f aca="false">IF($D424="","",IFERROR(INDEX('교육원 ④ 설정'!$A$6:$A$40,MATCH($D424,'교육원 ④ 설정'!$B$6:$B$40,0)),"※없는 과목"))</f>
        <v/>
      </c>
      <c r="F424" s="36" t="str">
        <f aca="false">IF($D424="","",IFERROR(INDEX('교육원 ④ 설정'!$C$6:$C$40,MATCH($D424,'교육원 ④ 설정'!$B$6:$B$40,0)),""))</f>
        <v/>
      </c>
      <c r="G424" s="39"/>
      <c r="H424" s="39"/>
      <c r="I424" s="40"/>
      <c r="J424" s="41"/>
      <c r="K424" s="38"/>
      <c r="L424" s="42" t="str">
        <f aca="false">IF($B424="","",IF(AND(N($I424)=0,N($J424)=0),"금액이 없습니다",IF(AND($I424&gt;0,$J424&gt;0),"수입·지출 둘 다 적혔습니다",IF($C424="","결제수단을 고르십시오",IF(ISNA(MATCH($C424,'교육원 ③ 통장·카드'!$A$5:$A$11,0)),"③ 통장·카드에 없는 결제수단입니다",IF($D424="","계정과목을 고르십시오",IF($E424="※없는 과목","④ 설정에 없는 과목입니다",IF(AND($E424="수입",$J424&gt;0),"수입 과목인데 지출에 적혔습니다",IF(AND(LEFT($E424,2)&lt;&gt;"수입",$E424&lt;&gt;"대체",$I424&gt;0),"지출 과목인데 수입에 적혔습니다",IF($K424="","증빙을 고르십시오",IF($H424="","적요를 적으십시오","")))))))))))</f>
        <v/>
      </c>
      <c r="M424" s="39"/>
      <c r="O424" s="11" t="str">
        <f aca="false">IF($B424="","",YEAR($B424)*100+MONTH($B424))</f>
        <v/>
      </c>
      <c r="P424" s="11" t="str">
        <f aca="false">IF($B424="","",IF($E424="대체",0,1))</f>
        <v/>
      </c>
    </row>
    <row r="425" customFormat="false" ht="15" hidden="false" customHeight="false" outlineLevel="0" collapsed="false">
      <c r="A425" s="36" t="str">
        <f aca="false">IF($B425="","",COUNT($B$15:$B425))</f>
        <v/>
      </c>
      <c r="B425" s="37"/>
      <c r="C425" s="38"/>
      <c r="D425" s="20"/>
      <c r="E425" s="36" t="str">
        <f aca="false">IF($D425="","",IFERROR(INDEX('교육원 ④ 설정'!$A$6:$A$40,MATCH($D425,'교육원 ④ 설정'!$B$6:$B$40,0)),"※없는 과목"))</f>
        <v/>
      </c>
      <c r="F425" s="36" t="str">
        <f aca="false">IF($D425="","",IFERROR(INDEX('교육원 ④ 설정'!$C$6:$C$40,MATCH($D425,'교육원 ④ 설정'!$B$6:$B$40,0)),""))</f>
        <v/>
      </c>
      <c r="G425" s="39"/>
      <c r="H425" s="39"/>
      <c r="I425" s="40"/>
      <c r="J425" s="41"/>
      <c r="K425" s="38"/>
      <c r="L425" s="42" t="str">
        <f aca="false">IF($B425="","",IF(AND(N($I425)=0,N($J425)=0),"금액이 없습니다",IF(AND($I425&gt;0,$J425&gt;0),"수입·지출 둘 다 적혔습니다",IF($C425="","결제수단을 고르십시오",IF(ISNA(MATCH($C425,'교육원 ③ 통장·카드'!$A$5:$A$11,0)),"③ 통장·카드에 없는 결제수단입니다",IF($D425="","계정과목을 고르십시오",IF($E425="※없는 과목","④ 설정에 없는 과목입니다",IF(AND($E425="수입",$J425&gt;0),"수입 과목인데 지출에 적혔습니다",IF(AND(LEFT($E425,2)&lt;&gt;"수입",$E425&lt;&gt;"대체",$I425&gt;0),"지출 과목인데 수입에 적혔습니다",IF($K425="","증빙을 고르십시오",IF($H425="","적요를 적으십시오","")))))))))))</f>
        <v/>
      </c>
      <c r="M425" s="39"/>
      <c r="O425" s="11" t="str">
        <f aca="false">IF($B425="","",YEAR($B425)*100+MONTH($B425))</f>
        <v/>
      </c>
      <c r="P425" s="11" t="str">
        <f aca="false">IF($B425="","",IF($E425="대체",0,1))</f>
        <v/>
      </c>
    </row>
    <row r="426" customFormat="false" ht="15" hidden="false" customHeight="false" outlineLevel="0" collapsed="false">
      <c r="A426" s="36" t="str">
        <f aca="false">IF($B426="","",COUNT($B$15:$B426))</f>
        <v/>
      </c>
      <c r="B426" s="37"/>
      <c r="C426" s="38"/>
      <c r="D426" s="20"/>
      <c r="E426" s="36" t="str">
        <f aca="false">IF($D426="","",IFERROR(INDEX('교육원 ④ 설정'!$A$6:$A$40,MATCH($D426,'교육원 ④ 설정'!$B$6:$B$40,0)),"※없는 과목"))</f>
        <v/>
      </c>
      <c r="F426" s="36" t="str">
        <f aca="false">IF($D426="","",IFERROR(INDEX('교육원 ④ 설정'!$C$6:$C$40,MATCH($D426,'교육원 ④ 설정'!$B$6:$B$40,0)),""))</f>
        <v/>
      </c>
      <c r="G426" s="39"/>
      <c r="H426" s="39"/>
      <c r="I426" s="40"/>
      <c r="J426" s="41"/>
      <c r="K426" s="38"/>
      <c r="L426" s="42" t="str">
        <f aca="false">IF($B426="","",IF(AND(N($I426)=0,N($J426)=0),"금액이 없습니다",IF(AND($I426&gt;0,$J426&gt;0),"수입·지출 둘 다 적혔습니다",IF($C426="","결제수단을 고르십시오",IF(ISNA(MATCH($C426,'교육원 ③ 통장·카드'!$A$5:$A$11,0)),"③ 통장·카드에 없는 결제수단입니다",IF($D426="","계정과목을 고르십시오",IF($E426="※없는 과목","④ 설정에 없는 과목입니다",IF(AND($E426="수입",$J426&gt;0),"수입 과목인데 지출에 적혔습니다",IF(AND(LEFT($E426,2)&lt;&gt;"수입",$E426&lt;&gt;"대체",$I426&gt;0),"지출 과목인데 수입에 적혔습니다",IF($K426="","증빙을 고르십시오",IF($H426="","적요를 적으십시오","")))))))))))</f>
        <v/>
      </c>
      <c r="M426" s="39"/>
      <c r="O426" s="11" t="str">
        <f aca="false">IF($B426="","",YEAR($B426)*100+MONTH($B426))</f>
        <v/>
      </c>
      <c r="P426" s="11" t="str">
        <f aca="false">IF($B426="","",IF($E426="대체",0,1))</f>
        <v/>
      </c>
    </row>
    <row r="427" customFormat="false" ht="15" hidden="false" customHeight="false" outlineLevel="0" collapsed="false">
      <c r="A427" s="36" t="str">
        <f aca="false">IF($B427="","",COUNT($B$15:$B427))</f>
        <v/>
      </c>
      <c r="B427" s="37"/>
      <c r="C427" s="38"/>
      <c r="D427" s="20"/>
      <c r="E427" s="36" t="str">
        <f aca="false">IF($D427="","",IFERROR(INDEX('교육원 ④ 설정'!$A$6:$A$40,MATCH($D427,'교육원 ④ 설정'!$B$6:$B$40,0)),"※없는 과목"))</f>
        <v/>
      </c>
      <c r="F427" s="36" t="str">
        <f aca="false">IF($D427="","",IFERROR(INDEX('교육원 ④ 설정'!$C$6:$C$40,MATCH($D427,'교육원 ④ 설정'!$B$6:$B$40,0)),""))</f>
        <v/>
      </c>
      <c r="G427" s="39"/>
      <c r="H427" s="39"/>
      <c r="I427" s="40"/>
      <c r="J427" s="41"/>
      <c r="K427" s="38"/>
      <c r="L427" s="42" t="str">
        <f aca="false">IF($B427="","",IF(AND(N($I427)=0,N($J427)=0),"금액이 없습니다",IF(AND($I427&gt;0,$J427&gt;0),"수입·지출 둘 다 적혔습니다",IF($C427="","결제수단을 고르십시오",IF(ISNA(MATCH($C427,'교육원 ③ 통장·카드'!$A$5:$A$11,0)),"③ 통장·카드에 없는 결제수단입니다",IF($D427="","계정과목을 고르십시오",IF($E427="※없는 과목","④ 설정에 없는 과목입니다",IF(AND($E427="수입",$J427&gt;0),"수입 과목인데 지출에 적혔습니다",IF(AND(LEFT($E427,2)&lt;&gt;"수입",$E427&lt;&gt;"대체",$I427&gt;0),"지출 과목인데 수입에 적혔습니다",IF($K427="","증빙을 고르십시오",IF($H427="","적요를 적으십시오","")))))))))))</f>
        <v/>
      </c>
      <c r="M427" s="39"/>
      <c r="O427" s="11" t="str">
        <f aca="false">IF($B427="","",YEAR($B427)*100+MONTH($B427))</f>
        <v/>
      </c>
      <c r="P427" s="11" t="str">
        <f aca="false">IF($B427="","",IF($E427="대체",0,1))</f>
        <v/>
      </c>
    </row>
    <row r="428" customFormat="false" ht="15" hidden="false" customHeight="false" outlineLevel="0" collapsed="false">
      <c r="A428" s="36" t="str">
        <f aca="false">IF($B428="","",COUNT($B$15:$B428))</f>
        <v/>
      </c>
      <c r="B428" s="37"/>
      <c r="C428" s="38"/>
      <c r="D428" s="20"/>
      <c r="E428" s="36" t="str">
        <f aca="false">IF($D428="","",IFERROR(INDEX('교육원 ④ 설정'!$A$6:$A$40,MATCH($D428,'교육원 ④ 설정'!$B$6:$B$40,0)),"※없는 과목"))</f>
        <v/>
      </c>
      <c r="F428" s="36" t="str">
        <f aca="false">IF($D428="","",IFERROR(INDEX('교육원 ④ 설정'!$C$6:$C$40,MATCH($D428,'교육원 ④ 설정'!$B$6:$B$40,0)),""))</f>
        <v/>
      </c>
      <c r="G428" s="39"/>
      <c r="H428" s="39"/>
      <c r="I428" s="40"/>
      <c r="J428" s="41"/>
      <c r="K428" s="38"/>
      <c r="L428" s="42" t="str">
        <f aca="false">IF($B428="","",IF(AND(N($I428)=0,N($J428)=0),"금액이 없습니다",IF(AND($I428&gt;0,$J428&gt;0),"수입·지출 둘 다 적혔습니다",IF($C428="","결제수단을 고르십시오",IF(ISNA(MATCH($C428,'교육원 ③ 통장·카드'!$A$5:$A$11,0)),"③ 통장·카드에 없는 결제수단입니다",IF($D428="","계정과목을 고르십시오",IF($E428="※없는 과목","④ 설정에 없는 과목입니다",IF(AND($E428="수입",$J428&gt;0),"수입 과목인데 지출에 적혔습니다",IF(AND(LEFT($E428,2)&lt;&gt;"수입",$E428&lt;&gt;"대체",$I428&gt;0),"지출 과목인데 수입에 적혔습니다",IF($K428="","증빙을 고르십시오",IF($H428="","적요를 적으십시오","")))))))))))</f>
        <v/>
      </c>
      <c r="M428" s="39"/>
      <c r="O428" s="11" t="str">
        <f aca="false">IF($B428="","",YEAR($B428)*100+MONTH($B428))</f>
        <v/>
      </c>
      <c r="P428" s="11" t="str">
        <f aca="false">IF($B428="","",IF($E428="대체",0,1))</f>
        <v/>
      </c>
    </row>
    <row r="429" customFormat="false" ht="15" hidden="false" customHeight="false" outlineLevel="0" collapsed="false">
      <c r="A429" s="36" t="str">
        <f aca="false">IF($B429="","",COUNT($B$15:$B429))</f>
        <v/>
      </c>
      <c r="B429" s="37"/>
      <c r="C429" s="38"/>
      <c r="D429" s="20"/>
      <c r="E429" s="36" t="str">
        <f aca="false">IF($D429="","",IFERROR(INDEX('교육원 ④ 설정'!$A$6:$A$40,MATCH($D429,'교육원 ④ 설정'!$B$6:$B$40,0)),"※없는 과목"))</f>
        <v/>
      </c>
      <c r="F429" s="36" t="str">
        <f aca="false">IF($D429="","",IFERROR(INDEX('교육원 ④ 설정'!$C$6:$C$40,MATCH($D429,'교육원 ④ 설정'!$B$6:$B$40,0)),""))</f>
        <v/>
      </c>
      <c r="G429" s="39"/>
      <c r="H429" s="39"/>
      <c r="I429" s="40"/>
      <c r="J429" s="41"/>
      <c r="K429" s="38"/>
      <c r="L429" s="42" t="str">
        <f aca="false">IF($B429="","",IF(AND(N($I429)=0,N($J429)=0),"금액이 없습니다",IF(AND($I429&gt;0,$J429&gt;0),"수입·지출 둘 다 적혔습니다",IF($C429="","결제수단을 고르십시오",IF(ISNA(MATCH($C429,'교육원 ③ 통장·카드'!$A$5:$A$11,0)),"③ 통장·카드에 없는 결제수단입니다",IF($D429="","계정과목을 고르십시오",IF($E429="※없는 과목","④ 설정에 없는 과목입니다",IF(AND($E429="수입",$J429&gt;0),"수입 과목인데 지출에 적혔습니다",IF(AND(LEFT($E429,2)&lt;&gt;"수입",$E429&lt;&gt;"대체",$I429&gt;0),"지출 과목인데 수입에 적혔습니다",IF($K429="","증빙을 고르십시오",IF($H429="","적요를 적으십시오","")))))))))))</f>
        <v/>
      </c>
      <c r="M429" s="39"/>
      <c r="O429" s="11" t="str">
        <f aca="false">IF($B429="","",YEAR($B429)*100+MONTH($B429))</f>
        <v/>
      </c>
      <c r="P429" s="11" t="str">
        <f aca="false">IF($B429="","",IF($E429="대체",0,1))</f>
        <v/>
      </c>
    </row>
    <row r="430" customFormat="false" ht="15" hidden="false" customHeight="false" outlineLevel="0" collapsed="false">
      <c r="A430" s="36" t="str">
        <f aca="false">IF($B430="","",COUNT($B$15:$B430))</f>
        <v/>
      </c>
      <c r="B430" s="37"/>
      <c r="C430" s="38"/>
      <c r="D430" s="20"/>
      <c r="E430" s="36" t="str">
        <f aca="false">IF($D430="","",IFERROR(INDEX('교육원 ④ 설정'!$A$6:$A$40,MATCH($D430,'교육원 ④ 설정'!$B$6:$B$40,0)),"※없는 과목"))</f>
        <v/>
      </c>
      <c r="F430" s="36" t="str">
        <f aca="false">IF($D430="","",IFERROR(INDEX('교육원 ④ 설정'!$C$6:$C$40,MATCH($D430,'교육원 ④ 설정'!$B$6:$B$40,0)),""))</f>
        <v/>
      </c>
      <c r="G430" s="39"/>
      <c r="H430" s="39"/>
      <c r="I430" s="40"/>
      <c r="J430" s="41"/>
      <c r="K430" s="38"/>
      <c r="L430" s="42" t="str">
        <f aca="false">IF($B430="","",IF(AND(N($I430)=0,N($J430)=0),"금액이 없습니다",IF(AND($I430&gt;0,$J430&gt;0),"수입·지출 둘 다 적혔습니다",IF($C430="","결제수단을 고르십시오",IF(ISNA(MATCH($C430,'교육원 ③ 통장·카드'!$A$5:$A$11,0)),"③ 통장·카드에 없는 결제수단입니다",IF($D430="","계정과목을 고르십시오",IF($E430="※없는 과목","④ 설정에 없는 과목입니다",IF(AND($E430="수입",$J430&gt;0),"수입 과목인데 지출에 적혔습니다",IF(AND(LEFT($E430,2)&lt;&gt;"수입",$E430&lt;&gt;"대체",$I430&gt;0),"지출 과목인데 수입에 적혔습니다",IF($K430="","증빙을 고르십시오",IF($H430="","적요를 적으십시오","")))))))))))</f>
        <v/>
      </c>
      <c r="M430" s="39"/>
      <c r="O430" s="11" t="str">
        <f aca="false">IF($B430="","",YEAR($B430)*100+MONTH($B430))</f>
        <v/>
      </c>
      <c r="P430" s="11" t="str">
        <f aca="false">IF($B430="","",IF($E430="대체",0,1))</f>
        <v/>
      </c>
    </row>
    <row r="431" customFormat="false" ht="15" hidden="false" customHeight="false" outlineLevel="0" collapsed="false">
      <c r="A431" s="36" t="str">
        <f aca="false">IF($B431="","",COUNT($B$15:$B431))</f>
        <v/>
      </c>
      <c r="B431" s="37"/>
      <c r="C431" s="38"/>
      <c r="D431" s="20"/>
      <c r="E431" s="36" t="str">
        <f aca="false">IF($D431="","",IFERROR(INDEX('교육원 ④ 설정'!$A$6:$A$40,MATCH($D431,'교육원 ④ 설정'!$B$6:$B$40,0)),"※없는 과목"))</f>
        <v/>
      </c>
      <c r="F431" s="36" t="str">
        <f aca="false">IF($D431="","",IFERROR(INDEX('교육원 ④ 설정'!$C$6:$C$40,MATCH($D431,'교육원 ④ 설정'!$B$6:$B$40,0)),""))</f>
        <v/>
      </c>
      <c r="G431" s="39"/>
      <c r="H431" s="39"/>
      <c r="I431" s="40"/>
      <c r="J431" s="41"/>
      <c r="K431" s="38"/>
      <c r="L431" s="42" t="str">
        <f aca="false">IF($B431="","",IF(AND(N($I431)=0,N($J431)=0),"금액이 없습니다",IF(AND($I431&gt;0,$J431&gt;0),"수입·지출 둘 다 적혔습니다",IF($C431="","결제수단을 고르십시오",IF(ISNA(MATCH($C431,'교육원 ③ 통장·카드'!$A$5:$A$11,0)),"③ 통장·카드에 없는 결제수단입니다",IF($D431="","계정과목을 고르십시오",IF($E431="※없는 과목","④ 설정에 없는 과목입니다",IF(AND($E431="수입",$J431&gt;0),"수입 과목인데 지출에 적혔습니다",IF(AND(LEFT($E431,2)&lt;&gt;"수입",$E431&lt;&gt;"대체",$I431&gt;0),"지출 과목인데 수입에 적혔습니다",IF($K431="","증빙을 고르십시오",IF($H431="","적요를 적으십시오","")))))))))))</f>
        <v/>
      </c>
      <c r="M431" s="39"/>
      <c r="O431" s="11" t="str">
        <f aca="false">IF($B431="","",YEAR($B431)*100+MONTH($B431))</f>
        <v/>
      </c>
      <c r="P431" s="11" t="str">
        <f aca="false">IF($B431="","",IF($E431="대체",0,1))</f>
        <v/>
      </c>
    </row>
    <row r="432" customFormat="false" ht="15" hidden="false" customHeight="false" outlineLevel="0" collapsed="false">
      <c r="A432" s="36" t="str">
        <f aca="false">IF($B432="","",COUNT($B$15:$B432))</f>
        <v/>
      </c>
      <c r="B432" s="37"/>
      <c r="C432" s="38"/>
      <c r="D432" s="20"/>
      <c r="E432" s="36" t="str">
        <f aca="false">IF($D432="","",IFERROR(INDEX('교육원 ④ 설정'!$A$6:$A$40,MATCH($D432,'교육원 ④ 설정'!$B$6:$B$40,0)),"※없는 과목"))</f>
        <v/>
      </c>
      <c r="F432" s="36" t="str">
        <f aca="false">IF($D432="","",IFERROR(INDEX('교육원 ④ 설정'!$C$6:$C$40,MATCH($D432,'교육원 ④ 설정'!$B$6:$B$40,0)),""))</f>
        <v/>
      </c>
      <c r="G432" s="39"/>
      <c r="H432" s="39"/>
      <c r="I432" s="40"/>
      <c r="J432" s="41"/>
      <c r="K432" s="38"/>
      <c r="L432" s="42" t="str">
        <f aca="false">IF($B432="","",IF(AND(N($I432)=0,N($J432)=0),"금액이 없습니다",IF(AND($I432&gt;0,$J432&gt;0),"수입·지출 둘 다 적혔습니다",IF($C432="","결제수단을 고르십시오",IF(ISNA(MATCH($C432,'교육원 ③ 통장·카드'!$A$5:$A$11,0)),"③ 통장·카드에 없는 결제수단입니다",IF($D432="","계정과목을 고르십시오",IF($E432="※없는 과목","④ 설정에 없는 과목입니다",IF(AND($E432="수입",$J432&gt;0),"수입 과목인데 지출에 적혔습니다",IF(AND(LEFT($E432,2)&lt;&gt;"수입",$E432&lt;&gt;"대체",$I432&gt;0),"지출 과목인데 수입에 적혔습니다",IF($K432="","증빙을 고르십시오",IF($H432="","적요를 적으십시오","")))))))))))</f>
        <v/>
      </c>
      <c r="M432" s="39"/>
      <c r="O432" s="11" t="str">
        <f aca="false">IF($B432="","",YEAR($B432)*100+MONTH($B432))</f>
        <v/>
      </c>
      <c r="P432" s="11" t="str">
        <f aca="false">IF($B432="","",IF($E432="대체",0,1))</f>
        <v/>
      </c>
    </row>
    <row r="433" customFormat="false" ht="15" hidden="false" customHeight="false" outlineLevel="0" collapsed="false">
      <c r="A433" s="36" t="str">
        <f aca="false">IF($B433="","",COUNT($B$15:$B433))</f>
        <v/>
      </c>
      <c r="B433" s="37"/>
      <c r="C433" s="38"/>
      <c r="D433" s="20"/>
      <c r="E433" s="36" t="str">
        <f aca="false">IF($D433="","",IFERROR(INDEX('교육원 ④ 설정'!$A$6:$A$40,MATCH($D433,'교육원 ④ 설정'!$B$6:$B$40,0)),"※없는 과목"))</f>
        <v/>
      </c>
      <c r="F433" s="36" t="str">
        <f aca="false">IF($D433="","",IFERROR(INDEX('교육원 ④ 설정'!$C$6:$C$40,MATCH($D433,'교육원 ④ 설정'!$B$6:$B$40,0)),""))</f>
        <v/>
      </c>
      <c r="G433" s="39"/>
      <c r="H433" s="39"/>
      <c r="I433" s="40"/>
      <c r="J433" s="41"/>
      <c r="K433" s="38"/>
      <c r="L433" s="42" t="str">
        <f aca="false">IF($B433="","",IF(AND(N($I433)=0,N($J433)=0),"금액이 없습니다",IF(AND($I433&gt;0,$J433&gt;0),"수입·지출 둘 다 적혔습니다",IF($C433="","결제수단을 고르십시오",IF(ISNA(MATCH($C433,'교육원 ③ 통장·카드'!$A$5:$A$11,0)),"③ 통장·카드에 없는 결제수단입니다",IF($D433="","계정과목을 고르십시오",IF($E433="※없는 과목","④ 설정에 없는 과목입니다",IF(AND($E433="수입",$J433&gt;0),"수입 과목인데 지출에 적혔습니다",IF(AND(LEFT($E433,2)&lt;&gt;"수입",$E433&lt;&gt;"대체",$I433&gt;0),"지출 과목인데 수입에 적혔습니다",IF($K433="","증빙을 고르십시오",IF($H433="","적요를 적으십시오","")))))))))))</f>
        <v/>
      </c>
      <c r="M433" s="39"/>
      <c r="O433" s="11" t="str">
        <f aca="false">IF($B433="","",YEAR($B433)*100+MONTH($B433))</f>
        <v/>
      </c>
      <c r="P433" s="11" t="str">
        <f aca="false">IF($B433="","",IF($E433="대체",0,1))</f>
        <v/>
      </c>
    </row>
    <row r="434" customFormat="false" ht="15" hidden="false" customHeight="false" outlineLevel="0" collapsed="false">
      <c r="A434" s="36" t="str">
        <f aca="false">IF($B434="","",COUNT($B$15:$B434))</f>
        <v/>
      </c>
      <c r="B434" s="37"/>
      <c r="C434" s="38"/>
      <c r="D434" s="20"/>
      <c r="E434" s="36" t="str">
        <f aca="false">IF($D434="","",IFERROR(INDEX('교육원 ④ 설정'!$A$6:$A$40,MATCH($D434,'교육원 ④ 설정'!$B$6:$B$40,0)),"※없는 과목"))</f>
        <v/>
      </c>
      <c r="F434" s="36" t="str">
        <f aca="false">IF($D434="","",IFERROR(INDEX('교육원 ④ 설정'!$C$6:$C$40,MATCH($D434,'교육원 ④ 설정'!$B$6:$B$40,0)),""))</f>
        <v/>
      </c>
      <c r="G434" s="39"/>
      <c r="H434" s="39"/>
      <c r="I434" s="40"/>
      <c r="J434" s="41"/>
      <c r="K434" s="38"/>
      <c r="L434" s="42" t="str">
        <f aca="false">IF($B434="","",IF(AND(N($I434)=0,N($J434)=0),"금액이 없습니다",IF(AND($I434&gt;0,$J434&gt;0),"수입·지출 둘 다 적혔습니다",IF($C434="","결제수단을 고르십시오",IF(ISNA(MATCH($C434,'교육원 ③ 통장·카드'!$A$5:$A$11,0)),"③ 통장·카드에 없는 결제수단입니다",IF($D434="","계정과목을 고르십시오",IF($E434="※없는 과목","④ 설정에 없는 과목입니다",IF(AND($E434="수입",$J434&gt;0),"수입 과목인데 지출에 적혔습니다",IF(AND(LEFT($E434,2)&lt;&gt;"수입",$E434&lt;&gt;"대체",$I434&gt;0),"지출 과목인데 수입에 적혔습니다",IF($K434="","증빙을 고르십시오",IF($H434="","적요를 적으십시오","")))))))))))</f>
        <v/>
      </c>
      <c r="M434" s="39"/>
      <c r="O434" s="11" t="str">
        <f aca="false">IF($B434="","",YEAR($B434)*100+MONTH($B434))</f>
        <v/>
      </c>
      <c r="P434" s="11" t="str">
        <f aca="false">IF($B434="","",IF($E434="대체",0,1))</f>
        <v/>
      </c>
    </row>
    <row r="435" customFormat="false" ht="15" hidden="false" customHeight="false" outlineLevel="0" collapsed="false">
      <c r="A435" s="36" t="str">
        <f aca="false">IF($B435="","",COUNT($B$15:$B435))</f>
        <v/>
      </c>
      <c r="B435" s="37"/>
      <c r="C435" s="38"/>
      <c r="D435" s="20"/>
      <c r="E435" s="36" t="str">
        <f aca="false">IF($D435="","",IFERROR(INDEX('교육원 ④ 설정'!$A$6:$A$40,MATCH($D435,'교육원 ④ 설정'!$B$6:$B$40,0)),"※없는 과목"))</f>
        <v/>
      </c>
      <c r="F435" s="36" t="str">
        <f aca="false">IF($D435="","",IFERROR(INDEX('교육원 ④ 설정'!$C$6:$C$40,MATCH($D435,'교육원 ④ 설정'!$B$6:$B$40,0)),""))</f>
        <v/>
      </c>
      <c r="G435" s="39"/>
      <c r="H435" s="39"/>
      <c r="I435" s="40"/>
      <c r="J435" s="41"/>
      <c r="K435" s="38"/>
      <c r="L435" s="42" t="str">
        <f aca="false">IF($B435="","",IF(AND(N($I435)=0,N($J435)=0),"금액이 없습니다",IF(AND($I435&gt;0,$J435&gt;0),"수입·지출 둘 다 적혔습니다",IF($C435="","결제수단을 고르십시오",IF(ISNA(MATCH($C435,'교육원 ③ 통장·카드'!$A$5:$A$11,0)),"③ 통장·카드에 없는 결제수단입니다",IF($D435="","계정과목을 고르십시오",IF($E435="※없는 과목","④ 설정에 없는 과목입니다",IF(AND($E435="수입",$J435&gt;0),"수입 과목인데 지출에 적혔습니다",IF(AND(LEFT($E435,2)&lt;&gt;"수입",$E435&lt;&gt;"대체",$I435&gt;0),"지출 과목인데 수입에 적혔습니다",IF($K435="","증빙을 고르십시오",IF($H435="","적요를 적으십시오","")))))))))))</f>
        <v/>
      </c>
      <c r="M435" s="39"/>
      <c r="O435" s="11" t="str">
        <f aca="false">IF($B435="","",YEAR($B435)*100+MONTH($B435))</f>
        <v/>
      </c>
      <c r="P435" s="11" t="str">
        <f aca="false">IF($B435="","",IF($E435="대체",0,1))</f>
        <v/>
      </c>
    </row>
    <row r="436" customFormat="false" ht="15" hidden="false" customHeight="false" outlineLevel="0" collapsed="false">
      <c r="A436" s="36" t="str">
        <f aca="false">IF($B436="","",COUNT($B$15:$B436))</f>
        <v/>
      </c>
      <c r="B436" s="37"/>
      <c r="C436" s="38"/>
      <c r="D436" s="20"/>
      <c r="E436" s="36" t="str">
        <f aca="false">IF($D436="","",IFERROR(INDEX('교육원 ④ 설정'!$A$6:$A$40,MATCH($D436,'교육원 ④ 설정'!$B$6:$B$40,0)),"※없는 과목"))</f>
        <v/>
      </c>
      <c r="F436" s="36" t="str">
        <f aca="false">IF($D436="","",IFERROR(INDEX('교육원 ④ 설정'!$C$6:$C$40,MATCH($D436,'교육원 ④ 설정'!$B$6:$B$40,0)),""))</f>
        <v/>
      </c>
      <c r="G436" s="39"/>
      <c r="H436" s="39"/>
      <c r="I436" s="40"/>
      <c r="J436" s="41"/>
      <c r="K436" s="38"/>
      <c r="L436" s="42" t="str">
        <f aca="false">IF($B436="","",IF(AND(N($I436)=0,N($J436)=0),"금액이 없습니다",IF(AND($I436&gt;0,$J436&gt;0),"수입·지출 둘 다 적혔습니다",IF($C436="","결제수단을 고르십시오",IF(ISNA(MATCH($C436,'교육원 ③ 통장·카드'!$A$5:$A$11,0)),"③ 통장·카드에 없는 결제수단입니다",IF($D436="","계정과목을 고르십시오",IF($E436="※없는 과목","④ 설정에 없는 과목입니다",IF(AND($E436="수입",$J436&gt;0),"수입 과목인데 지출에 적혔습니다",IF(AND(LEFT($E436,2)&lt;&gt;"수입",$E436&lt;&gt;"대체",$I436&gt;0),"지출 과목인데 수입에 적혔습니다",IF($K436="","증빙을 고르십시오",IF($H436="","적요를 적으십시오","")))))))))))</f>
        <v/>
      </c>
      <c r="M436" s="39"/>
      <c r="O436" s="11" t="str">
        <f aca="false">IF($B436="","",YEAR($B436)*100+MONTH($B436))</f>
        <v/>
      </c>
      <c r="P436" s="11" t="str">
        <f aca="false">IF($B436="","",IF($E436="대체",0,1))</f>
        <v/>
      </c>
    </row>
    <row r="437" customFormat="false" ht="15" hidden="false" customHeight="false" outlineLevel="0" collapsed="false">
      <c r="A437" s="36" t="str">
        <f aca="false">IF($B437="","",COUNT($B$15:$B437))</f>
        <v/>
      </c>
      <c r="B437" s="37"/>
      <c r="C437" s="38"/>
      <c r="D437" s="20"/>
      <c r="E437" s="36" t="str">
        <f aca="false">IF($D437="","",IFERROR(INDEX('교육원 ④ 설정'!$A$6:$A$40,MATCH($D437,'교육원 ④ 설정'!$B$6:$B$40,0)),"※없는 과목"))</f>
        <v/>
      </c>
      <c r="F437" s="36" t="str">
        <f aca="false">IF($D437="","",IFERROR(INDEX('교육원 ④ 설정'!$C$6:$C$40,MATCH($D437,'교육원 ④ 설정'!$B$6:$B$40,0)),""))</f>
        <v/>
      </c>
      <c r="G437" s="39"/>
      <c r="H437" s="39"/>
      <c r="I437" s="40"/>
      <c r="J437" s="41"/>
      <c r="K437" s="38"/>
      <c r="L437" s="42" t="str">
        <f aca="false">IF($B437="","",IF(AND(N($I437)=0,N($J437)=0),"금액이 없습니다",IF(AND($I437&gt;0,$J437&gt;0),"수입·지출 둘 다 적혔습니다",IF($C437="","결제수단을 고르십시오",IF(ISNA(MATCH($C437,'교육원 ③ 통장·카드'!$A$5:$A$11,0)),"③ 통장·카드에 없는 결제수단입니다",IF($D437="","계정과목을 고르십시오",IF($E437="※없는 과목","④ 설정에 없는 과목입니다",IF(AND($E437="수입",$J437&gt;0),"수입 과목인데 지출에 적혔습니다",IF(AND(LEFT($E437,2)&lt;&gt;"수입",$E437&lt;&gt;"대체",$I437&gt;0),"지출 과목인데 수입에 적혔습니다",IF($K437="","증빙을 고르십시오",IF($H437="","적요를 적으십시오","")))))))))))</f>
        <v/>
      </c>
      <c r="M437" s="39"/>
      <c r="O437" s="11" t="str">
        <f aca="false">IF($B437="","",YEAR($B437)*100+MONTH($B437))</f>
        <v/>
      </c>
      <c r="P437" s="11" t="str">
        <f aca="false">IF($B437="","",IF($E437="대체",0,1))</f>
        <v/>
      </c>
    </row>
    <row r="438" customFormat="false" ht="15" hidden="false" customHeight="false" outlineLevel="0" collapsed="false">
      <c r="A438" s="36" t="str">
        <f aca="false">IF($B438="","",COUNT($B$15:$B438))</f>
        <v/>
      </c>
      <c r="B438" s="37"/>
      <c r="C438" s="38"/>
      <c r="D438" s="20"/>
      <c r="E438" s="36" t="str">
        <f aca="false">IF($D438="","",IFERROR(INDEX('교육원 ④ 설정'!$A$6:$A$40,MATCH($D438,'교육원 ④ 설정'!$B$6:$B$40,0)),"※없는 과목"))</f>
        <v/>
      </c>
      <c r="F438" s="36" t="str">
        <f aca="false">IF($D438="","",IFERROR(INDEX('교육원 ④ 설정'!$C$6:$C$40,MATCH($D438,'교육원 ④ 설정'!$B$6:$B$40,0)),""))</f>
        <v/>
      </c>
      <c r="G438" s="39"/>
      <c r="H438" s="39"/>
      <c r="I438" s="40"/>
      <c r="J438" s="41"/>
      <c r="K438" s="38"/>
      <c r="L438" s="42" t="str">
        <f aca="false">IF($B438="","",IF(AND(N($I438)=0,N($J438)=0),"금액이 없습니다",IF(AND($I438&gt;0,$J438&gt;0),"수입·지출 둘 다 적혔습니다",IF($C438="","결제수단을 고르십시오",IF(ISNA(MATCH($C438,'교육원 ③ 통장·카드'!$A$5:$A$11,0)),"③ 통장·카드에 없는 결제수단입니다",IF($D438="","계정과목을 고르십시오",IF($E438="※없는 과목","④ 설정에 없는 과목입니다",IF(AND($E438="수입",$J438&gt;0),"수입 과목인데 지출에 적혔습니다",IF(AND(LEFT($E438,2)&lt;&gt;"수입",$E438&lt;&gt;"대체",$I438&gt;0),"지출 과목인데 수입에 적혔습니다",IF($K438="","증빙을 고르십시오",IF($H438="","적요를 적으십시오","")))))))))))</f>
        <v/>
      </c>
      <c r="M438" s="39"/>
      <c r="O438" s="11" t="str">
        <f aca="false">IF($B438="","",YEAR($B438)*100+MONTH($B438))</f>
        <v/>
      </c>
      <c r="P438" s="11" t="str">
        <f aca="false">IF($B438="","",IF($E438="대체",0,1))</f>
        <v/>
      </c>
    </row>
    <row r="439" customFormat="false" ht="15" hidden="false" customHeight="false" outlineLevel="0" collapsed="false">
      <c r="A439" s="36" t="str">
        <f aca="false">IF($B439="","",COUNT($B$15:$B439))</f>
        <v/>
      </c>
      <c r="B439" s="37"/>
      <c r="C439" s="38"/>
      <c r="D439" s="20"/>
      <c r="E439" s="36" t="str">
        <f aca="false">IF($D439="","",IFERROR(INDEX('교육원 ④ 설정'!$A$6:$A$40,MATCH($D439,'교육원 ④ 설정'!$B$6:$B$40,0)),"※없는 과목"))</f>
        <v/>
      </c>
      <c r="F439" s="36" t="str">
        <f aca="false">IF($D439="","",IFERROR(INDEX('교육원 ④ 설정'!$C$6:$C$40,MATCH($D439,'교육원 ④ 설정'!$B$6:$B$40,0)),""))</f>
        <v/>
      </c>
      <c r="G439" s="39"/>
      <c r="H439" s="39"/>
      <c r="I439" s="40"/>
      <c r="J439" s="41"/>
      <c r="K439" s="38"/>
      <c r="L439" s="42" t="str">
        <f aca="false">IF($B439="","",IF(AND(N($I439)=0,N($J439)=0),"금액이 없습니다",IF(AND($I439&gt;0,$J439&gt;0),"수입·지출 둘 다 적혔습니다",IF($C439="","결제수단을 고르십시오",IF(ISNA(MATCH($C439,'교육원 ③ 통장·카드'!$A$5:$A$11,0)),"③ 통장·카드에 없는 결제수단입니다",IF($D439="","계정과목을 고르십시오",IF($E439="※없는 과목","④ 설정에 없는 과목입니다",IF(AND($E439="수입",$J439&gt;0),"수입 과목인데 지출에 적혔습니다",IF(AND(LEFT($E439,2)&lt;&gt;"수입",$E439&lt;&gt;"대체",$I439&gt;0),"지출 과목인데 수입에 적혔습니다",IF($K439="","증빙을 고르십시오",IF($H439="","적요를 적으십시오","")))))))))))</f>
        <v/>
      </c>
      <c r="M439" s="39"/>
      <c r="O439" s="11" t="str">
        <f aca="false">IF($B439="","",YEAR($B439)*100+MONTH($B439))</f>
        <v/>
      </c>
      <c r="P439" s="11" t="str">
        <f aca="false">IF($B439="","",IF($E439="대체",0,1))</f>
        <v/>
      </c>
    </row>
    <row r="440" customFormat="false" ht="15" hidden="false" customHeight="false" outlineLevel="0" collapsed="false">
      <c r="A440" s="36" t="str">
        <f aca="false">IF($B440="","",COUNT($B$15:$B440))</f>
        <v/>
      </c>
      <c r="B440" s="37"/>
      <c r="C440" s="38"/>
      <c r="D440" s="20"/>
      <c r="E440" s="36" t="str">
        <f aca="false">IF($D440="","",IFERROR(INDEX('교육원 ④ 설정'!$A$6:$A$40,MATCH($D440,'교육원 ④ 설정'!$B$6:$B$40,0)),"※없는 과목"))</f>
        <v/>
      </c>
      <c r="F440" s="36" t="str">
        <f aca="false">IF($D440="","",IFERROR(INDEX('교육원 ④ 설정'!$C$6:$C$40,MATCH($D440,'교육원 ④ 설정'!$B$6:$B$40,0)),""))</f>
        <v/>
      </c>
      <c r="G440" s="39"/>
      <c r="H440" s="39"/>
      <c r="I440" s="40"/>
      <c r="J440" s="41"/>
      <c r="K440" s="38"/>
      <c r="L440" s="42" t="str">
        <f aca="false">IF($B440="","",IF(AND(N($I440)=0,N($J440)=0),"금액이 없습니다",IF(AND($I440&gt;0,$J440&gt;0),"수입·지출 둘 다 적혔습니다",IF($C440="","결제수단을 고르십시오",IF(ISNA(MATCH($C440,'교육원 ③ 통장·카드'!$A$5:$A$11,0)),"③ 통장·카드에 없는 결제수단입니다",IF($D440="","계정과목을 고르십시오",IF($E440="※없는 과목","④ 설정에 없는 과목입니다",IF(AND($E440="수입",$J440&gt;0),"수입 과목인데 지출에 적혔습니다",IF(AND(LEFT($E440,2)&lt;&gt;"수입",$E440&lt;&gt;"대체",$I440&gt;0),"지출 과목인데 수입에 적혔습니다",IF($K440="","증빙을 고르십시오",IF($H440="","적요를 적으십시오","")))))))))))</f>
        <v/>
      </c>
      <c r="M440" s="39"/>
      <c r="O440" s="11" t="str">
        <f aca="false">IF($B440="","",YEAR($B440)*100+MONTH($B440))</f>
        <v/>
      </c>
      <c r="P440" s="11" t="str">
        <f aca="false">IF($B440="","",IF($E440="대체",0,1))</f>
        <v/>
      </c>
    </row>
    <row r="441" customFormat="false" ht="15" hidden="false" customHeight="false" outlineLevel="0" collapsed="false">
      <c r="A441" s="36" t="str">
        <f aca="false">IF($B441="","",COUNT($B$15:$B441))</f>
        <v/>
      </c>
      <c r="B441" s="37"/>
      <c r="C441" s="38"/>
      <c r="D441" s="20"/>
      <c r="E441" s="36" t="str">
        <f aca="false">IF($D441="","",IFERROR(INDEX('교육원 ④ 설정'!$A$6:$A$40,MATCH($D441,'교육원 ④ 설정'!$B$6:$B$40,0)),"※없는 과목"))</f>
        <v/>
      </c>
      <c r="F441" s="36" t="str">
        <f aca="false">IF($D441="","",IFERROR(INDEX('교육원 ④ 설정'!$C$6:$C$40,MATCH($D441,'교육원 ④ 설정'!$B$6:$B$40,0)),""))</f>
        <v/>
      </c>
      <c r="G441" s="39"/>
      <c r="H441" s="39"/>
      <c r="I441" s="40"/>
      <c r="J441" s="41"/>
      <c r="K441" s="38"/>
      <c r="L441" s="42" t="str">
        <f aca="false">IF($B441="","",IF(AND(N($I441)=0,N($J441)=0),"금액이 없습니다",IF(AND($I441&gt;0,$J441&gt;0),"수입·지출 둘 다 적혔습니다",IF($C441="","결제수단을 고르십시오",IF(ISNA(MATCH($C441,'교육원 ③ 통장·카드'!$A$5:$A$11,0)),"③ 통장·카드에 없는 결제수단입니다",IF($D441="","계정과목을 고르십시오",IF($E441="※없는 과목","④ 설정에 없는 과목입니다",IF(AND($E441="수입",$J441&gt;0),"수입 과목인데 지출에 적혔습니다",IF(AND(LEFT($E441,2)&lt;&gt;"수입",$E441&lt;&gt;"대체",$I441&gt;0),"지출 과목인데 수입에 적혔습니다",IF($K441="","증빙을 고르십시오",IF($H441="","적요를 적으십시오","")))))))))))</f>
        <v/>
      </c>
      <c r="M441" s="39"/>
      <c r="O441" s="11" t="str">
        <f aca="false">IF($B441="","",YEAR($B441)*100+MONTH($B441))</f>
        <v/>
      </c>
      <c r="P441" s="11" t="str">
        <f aca="false">IF($B441="","",IF($E441="대체",0,1))</f>
        <v/>
      </c>
    </row>
    <row r="442" customFormat="false" ht="15" hidden="false" customHeight="false" outlineLevel="0" collapsed="false">
      <c r="A442" s="36" t="str">
        <f aca="false">IF($B442="","",COUNT($B$15:$B442))</f>
        <v/>
      </c>
      <c r="B442" s="37"/>
      <c r="C442" s="38"/>
      <c r="D442" s="20"/>
      <c r="E442" s="36" t="str">
        <f aca="false">IF($D442="","",IFERROR(INDEX('교육원 ④ 설정'!$A$6:$A$40,MATCH($D442,'교육원 ④ 설정'!$B$6:$B$40,0)),"※없는 과목"))</f>
        <v/>
      </c>
      <c r="F442" s="36" t="str">
        <f aca="false">IF($D442="","",IFERROR(INDEX('교육원 ④ 설정'!$C$6:$C$40,MATCH($D442,'교육원 ④ 설정'!$B$6:$B$40,0)),""))</f>
        <v/>
      </c>
      <c r="G442" s="39"/>
      <c r="H442" s="39"/>
      <c r="I442" s="40"/>
      <c r="J442" s="41"/>
      <c r="K442" s="38"/>
      <c r="L442" s="42" t="str">
        <f aca="false">IF($B442="","",IF(AND(N($I442)=0,N($J442)=0),"금액이 없습니다",IF(AND($I442&gt;0,$J442&gt;0),"수입·지출 둘 다 적혔습니다",IF($C442="","결제수단을 고르십시오",IF(ISNA(MATCH($C442,'교육원 ③ 통장·카드'!$A$5:$A$11,0)),"③ 통장·카드에 없는 결제수단입니다",IF($D442="","계정과목을 고르십시오",IF($E442="※없는 과목","④ 설정에 없는 과목입니다",IF(AND($E442="수입",$J442&gt;0),"수입 과목인데 지출에 적혔습니다",IF(AND(LEFT($E442,2)&lt;&gt;"수입",$E442&lt;&gt;"대체",$I442&gt;0),"지출 과목인데 수입에 적혔습니다",IF($K442="","증빙을 고르십시오",IF($H442="","적요를 적으십시오","")))))))))))</f>
        <v/>
      </c>
      <c r="M442" s="39"/>
      <c r="O442" s="11" t="str">
        <f aca="false">IF($B442="","",YEAR($B442)*100+MONTH($B442))</f>
        <v/>
      </c>
      <c r="P442" s="11" t="str">
        <f aca="false">IF($B442="","",IF($E442="대체",0,1))</f>
        <v/>
      </c>
    </row>
    <row r="443" customFormat="false" ht="15" hidden="false" customHeight="false" outlineLevel="0" collapsed="false">
      <c r="A443" s="36" t="str">
        <f aca="false">IF($B443="","",COUNT($B$15:$B443))</f>
        <v/>
      </c>
      <c r="B443" s="37"/>
      <c r="C443" s="38"/>
      <c r="D443" s="20"/>
      <c r="E443" s="36" t="str">
        <f aca="false">IF($D443="","",IFERROR(INDEX('교육원 ④ 설정'!$A$6:$A$40,MATCH($D443,'교육원 ④ 설정'!$B$6:$B$40,0)),"※없는 과목"))</f>
        <v/>
      </c>
      <c r="F443" s="36" t="str">
        <f aca="false">IF($D443="","",IFERROR(INDEX('교육원 ④ 설정'!$C$6:$C$40,MATCH($D443,'교육원 ④ 설정'!$B$6:$B$40,0)),""))</f>
        <v/>
      </c>
      <c r="G443" s="39"/>
      <c r="H443" s="39"/>
      <c r="I443" s="40"/>
      <c r="J443" s="41"/>
      <c r="K443" s="38"/>
      <c r="L443" s="42" t="str">
        <f aca="false">IF($B443="","",IF(AND(N($I443)=0,N($J443)=0),"금액이 없습니다",IF(AND($I443&gt;0,$J443&gt;0),"수입·지출 둘 다 적혔습니다",IF($C443="","결제수단을 고르십시오",IF(ISNA(MATCH($C443,'교육원 ③ 통장·카드'!$A$5:$A$11,0)),"③ 통장·카드에 없는 결제수단입니다",IF($D443="","계정과목을 고르십시오",IF($E443="※없는 과목","④ 설정에 없는 과목입니다",IF(AND($E443="수입",$J443&gt;0),"수입 과목인데 지출에 적혔습니다",IF(AND(LEFT($E443,2)&lt;&gt;"수입",$E443&lt;&gt;"대체",$I443&gt;0),"지출 과목인데 수입에 적혔습니다",IF($K443="","증빙을 고르십시오",IF($H443="","적요를 적으십시오","")))))))))))</f>
        <v/>
      </c>
      <c r="M443" s="39"/>
      <c r="O443" s="11" t="str">
        <f aca="false">IF($B443="","",YEAR($B443)*100+MONTH($B443))</f>
        <v/>
      </c>
      <c r="P443" s="11" t="str">
        <f aca="false">IF($B443="","",IF($E443="대체",0,1))</f>
        <v/>
      </c>
    </row>
    <row r="444" customFormat="false" ht="15" hidden="false" customHeight="false" outlineLevel="0" collapsed="false">
      <c r="A444" s="36" t="str">
        <f aca="false">IF($B444="","",COUNT($B$15:$B444))</f>
        <v/>
      </c>
      <c r="B444" s="37"/>
      <c r="C444" s="38"/>
      <c r="D444" s="20"/>
      <c r="E444" s="36" t="str">
        <f aca="false">IF($D444="","",IFERROR(INDEX('교육원 ④ 설정'!$A$6:$A$40,MATCH($D444,'교육원 ④ 설정'!$B$6:$B$40,0)),"※없는 과목"))</f>
        <v/>
      </c>
      <c r="F444" s="36" t="str">
        <f aca="false">IF($D444="","",IFERROR(INDEX('교육원 ④ 설정'!$C$6:$C$40,MATCH($D444,'교육원 ④ 설정'!$B$6:$B$40,0)),""))</f>
        <v/>
      </c>
      <c r="G444" s="39"/>
      <c r="H444" s="39"/>
      <c r="I444" s="40"/>
      <c r="J444" s="41"/>
      <c r="K444" s="38"/>
      <c r="L444" s="42" t="str">
        <f aca="false">IF($B444="","",IF(AND(N($I444)=0,N($J444)=0),"금액이 없습니다",IF(AND($I444&gt;0,$J444&gt;0),"수입·지출 둘 다 적혔습니다",IF($C444="","결제수단을 고르십시오",IF(ISNA(MATCH($C444,'교육원 ③ 통장·카드'!$A$5:$A$11,0)),"③ 통장·카드에 없는 결제수단입니다",IF($D444="","계정과목을 고르십시오",IF($E444="※없는 과목","④ 설정에 없는 과목입니다",IF(AND($E444="수입",$J444&gt;0),"수입 과목인데 지출에 적혔습니다",IF(AND(LEFT($E444,2)&lt;&gt;"수입",$E444&lt;&gt;"대체",$I444&gt;0),"지출 과목인데 수입에 적혔습니다",IF($K444="","증빙을 고르십시오",IF($H444="","적요를 적으십시오","")))))))))))</f>
        <v/>
      </c>
      <c r="M444" s="39"/>
      <c r="O444" s="11" t="str">
        <f aca="false">IF($B444="","",YEAR($B444)*100+MONTH($B444))</f>
        <v/>
      </c>
      <c r="P444" s="11" t="str">
        <f aca="false">IF($B444="","",IF($E444="대체",0,1))</f>
        <v/>
      </c>
    </row>
    <row r="445" customFormat="false" ht="15" hidden="false" customHeight="false" outlineLevel="0" collapsed="false">
      <c r="A445" s="36" t="str">
        <f aca="false">IF($B445="","",COUNT($B$15:$B445))</f>
        <v/>
      </c>
      <c r="B445" s="37"/>
      <c r="C445" s="38"/>
      <c r="D445" s="20"/>
      <c r="E445" s="36" t="str">
        <f aca="false">IF($D445="","",IFERROR(INDEX('교육원 ④ 설정'!$A$6:$A$40,MATCH($D445,'교육원 ④ 설정'!$B$6:$B$40,0)),"※없는 과목"))</f>
        <v/>
      </c>
      <c r="F445" s="36" t="str">
        <f aca="false">IF($D445="","",IFERROR(INDEX('교육원 ④ 설정'!$C$6:$C$40,MATCH($D445,'교육원 ④ 설정'!$B$6:$B$40,0)),""))</f>
        <v/>
      </c>
      <c r="G445" s="39"/>
      <c r="H445" s="39"/>
      <c r="I445" s="40"/>
      <c r="J445" s="41"/>
      <c r="K445" s="38"/>
      <c r="L445" s="42" t="str">
        <f aca="false">IF($B445="","",IF(AND(N($I445)=0,N($J445)=0),"금액이 없습니다",IF(AND($I445&gt;0,$J445&gt;0),"수입·지출 둘 다 적혔습니다",IF($C445="","결제수단을 고르십시오",IF(ISNA(MATCH($C445,'교육원 ③ 통장·카드'!$A$5:$A$11,0)),"③ 통장·카드에 없는 결제수단입니다",IF($D445="","계정과목을 고르십시오",IF($E445="※없는 과목","④ 설정에 없는 과목입니다",IF(AND($E445="수입",$J445&gt;0),"수입 과목인데 지출에 적혔습니다",IF(AND(LEFT($E445,2)&lt;&gt;"수입",$E445&lt;&gt;"대체",$I445&gt;0),"지출 과목인데 수입에 적혔습니다",IF($K445="","증빙을 고르십시오",IF($H445="","적요를 적으십시오","")))))))))))</f>
        <v/>
      </c>
      <c r="M445" s="39"/>
      <c r="O445" s="11" t="str">
        <f aca="false">IF($B445="","",YEAR($B445)*100+MONTH($B445))</f>
        <v/>
      </c>
      <c r="P445" s="11" t="str">
        <f aca="false">IF($B445="","",IF($E445="대체",0,1))</f>
        <v/>
      </c>
    </row>
    <row r="446" customFormat="false" ht="15" hidden="false" customHeight="false" outlineLevel="0" collapsed="false">
      <c r="A446" s="36" t="str">
        <f aca="false">IF($B446="","",COUNT($B$15:$B446))</f>
        <v/>
      </c>
      <c r="B446" s="37"/>
      <c r="C446" s="38"/>
      <c r="D446" s="20"/>
      <c r="E446" s="36" t="str">
        <f aca="false">IF($D446="","",IFERROR(INDEX('교육원 ④ 설정'!$A$6:$A$40,MATCH($D446,'교육원 ④ 설정'!$B$6:$B$40,0)),"※없는 과목"))</f>
        <v/>
      </c>
      <c r="F446" s="36" t="str">
        <f aca="false">IF($D446="","",IFERROR(INDEX('교육원 ④ 설정'!$C$6:$C$40,MATCH($D446,'교육원 ④ 설정'!$B$6:$B$40,0)),""))</f>
        <v/>
      </c>
      <c r="G446" s="39"/>
      <c r="H446" s="39"/>
      <c r="I446" s="40"/>
      <c r="J446" s="41"/>
      <c r="K446" s="38"/>
      <c r="L446" s="42" t="str">
        <f aca="false">IF($B446="","",IF(AND(N($I446)=0,N($J446)=0),"금액이 없습니다",IF(AND($I446&gt;0,$J446&gt;0),"수입·지출 둘 다 적혔습니다",IF($C446="","결제수단을 고르십시오",IF(ISNA(MATCH($C446,'교육원 ③ 통장·카드'!$A$5:$A$11,0)),"③ 통장·카드에 없는 결제수단입니다",IF($D446="","계정과목을 고르십시오",IF($E446="※없는 과목","④ 설정에 없는 과목입니다",IF(AND($E446="수입",$J446&gt;0),"수입 과목인데 지출에 적혔습니다",IF(AND(LEFT($E446,2)&lt;&gt;"수입",$E446&lt;&gt;"대체",$I446&gt;0),"지출 과목인데 수입에 적혔습니다",IF($K446="","증빙을 고르십시오",IF($H446="","적요를 적으십시오","")))))))))))</f>
        <v/>
      </c>
      <c r="M446" s="39"/>
      <c r="O446" s="11" t="str">
        <f aca="false">IF($B446="","",YEAR($B446)*100+MONTH($B446))</f>
        <v/>
      </c>
      <c r="P446" s="11" t="str">
        <f aca="false">IF($B446="","",IF($E446="대체",0,1))</f>
        <v/>
      </c>
    </row>
    <row r="447" customFormat="false" ht="15" hidden="false" customHeight="false" outlineLevel="0" collapsed="false">
      <c r="A447" s="36" t="str">
        <f aca="false">IF($B447="","",COUNT($B$15:$B447))</f>
        <v/>
      </c>
      <c r="B447" s="37"/>
      <c r="C447" s="38"/>
      <c r="D447" s="20"/>
      <c r="E447" s="36" t="str">
        <f aca="false">IF($D447="","",IFERROR(INDEX('교육원 ④ 설정'!$A$6:$A$40,MATCH($D447,'교육원 ④ 설정'!$B$6:$B$40,0)),"※없는 과목"))</f>
        <v/>
      </c>
      <c r="F447" s="36" t="str">
        <f aca="false">IF($D447="","",IFERROR(INDEX('교육원 ④ 설정'!$C$6:$C$40,MATCH($D447,'교육원 ④ 설정'!$B$6:$B$40,0)),""))</f>
        <v/>
      </c>
      <c r="G447" s="39"/>
      <c r="H447" s="39"/>
      <c r="I447" s="40"/>
      <c r="J447" s="41"/>
      <c r="K447" s="38"/>
      <c r="L447" s="42" t="str">
        <f aca="false">IF($B447="","",IF(AND(N($I447)=0,N($J447)=0),"금액이 없습니다",IF(AND($I447&gt;0,$J447&gt;0),"수입·지출 둘 다 적혔습니다",IF($C447="","결제수단을 고르십시오",IF(ISNA(MATCH($C447,'교육원 ③ 통장·카드'!$A$5:$A$11,0)),"③ 통장·카드에 없는 결제수단입니다",IF($D447="","계정과목을 고르십시오",IF($E447="※없는 과목","④ 설정에 없는 과목입니다",IF(AND($E447="수입",$J447&gt;0),"수입 과목인데 지출에 적혔습니다",IF(AND(LEFT($E447,2)&lt;&gt;"수입",$E447&lt;&gt;"대체",$I447&gt;0),"지출 과목인데 수입에 적혔습니다",IF($K447="","증빙을 고르십시오",IF($H447="","적요를 적으십시오","")))))))))))</f>
        <v/>
      </c>
      <c r="M447" s="39"/>
      <c r="O447" s="11" t="str">
        <f aca="false">IF($B447="","",YEAR($B447)*100+MONTH($B447))</f>
        <v/>
      </c>
      <c r="P447" s="11" t="str">
        <f aca="false">IF($B447="","",IF($E447="대체",0,1))</f>
        <v/>
      </c>
    </row>
    <row r="448" customFormat="false" ht="15" hidden="false" customHeight="false" outlineLevel="0" collapsed="false">
      <c r="A448" s="36" t="str">
        <f aca="false">IF($B448="","",COUNT($B$15:$B448))</f>
        <v/>
      </c>
      <c r="B448" s="37"/>
      <c r="C448" s="38"/>
      <c r="D448" s="20"/>
      <c r="E448" s="36" t="str">
        <f aca="false">IF($D448="","",IFERROR(INDEX('교육원 ④ 설정'!$A$6:$A$40,MATCH($D448,'교육원 ④ 설정'!$B$6:$B$40,0)),"※없는 과목"))</f>
        <v/>
      </c>
      <c r="F448" s="36" t="str">
        <f aca="false">IF($D448="","",IFERROR(INDEX('교육원 ④ 설정'!$C$6:$C$40,MATCH($D448,'교육원 ④ 설정'!$B$6:$B$40,0)),""))</f>
        <v/>
      </c>
      <c r="G448" s="39"/>
      <c r="H448" s="39"/>
      <c r="I448" s="40"/>
      <c r="J448" s="41"/>
      <c r="K448" s="38"/>
      <c r="L448" s="42" t="str">
        <f aca="false">IF($B448="","",IF(AND(N($I448)=0,N($J448)=0),"금액이 없습니다",IF(AND($I448&gt;0,$J448&gt;0),"수입·지출 둘 다 적혔습니다",IF($C448="","결제수단을 고르십시오",IF(ISNA(MATCH($C448,'교육원 ③ 통장·카드'!$A$5:$A$11,0)),"③ 통장·카드에 없는 결제수단입니다",IF($D448="","계정과목을 고르십시오",IF($E448="※없는 과목","④ 설정에 없는 과목입니다",IF(AND($E448="수입",$J448&gt;0),"수입 과목인데 지출에 적혔습니다",IF(AND(LEFT($E448,2)&lt;&gt;"수입",$E448&lt;&gt;"대체",$I448&gt;0),"지출 과목인데 수입에 적혔습니다",IF($K448="","증빙을 고르십시오",IF($H448="","적요를 적으십시오","")))))))))))</f>
        <v/>
      </c>
      <c r="M448" s="39"/>
      <c r="O448" s="11" t="str">
        <f aca="false">IF($B448="","",YEAR($B448)*100+MONTH($B448))</f>
        <v/>
      </c>
      <c r="P448" s="11" t="str">
        <f aca="false">IF($B448="","",IF($E448="대체",0,1))</f>
        <v/>
      </c>
    </row>
    <row r="449" customFormat="false" ht="15" hidden="false" customHeight="false" outlineLevel="0" collapsed="false">
      <c r="A449" s="36" t="str">
        <f aca="false">IF($B449="","",COUNT($B$15:$B449))</f>
        <v/>
      </c>
      <c r="B449" s="37"/>
      <c r="C449" s="38"/>
      <c r="D449" s="20"/>
      <c r="E449" s="36" t="str">
        <f aca="false">IF($D449="","",IFERROR(INDEX('교육원 ④ 설정'!$A$6:$A$40,MATCH($D449,'교육원 ④ 설정'!$B$6:$B$40,0)),"※없는 과목"))</f>
        <v/>
      </c>
      <c r="F449" s="36" t="str">
        <f aca="false">IF($D449="","",IFERROR(INDEX('교육원 ④ 설정'!$C$6:$C$40,MATCH($D449,'교육원 ④ 설정'!$B$6:$B$40,0)),""))</f>
        <v/>
      </c>
      <c r="G449" s="39"/>
      <c r="H449" s="39"/>
      <c r="I449" s="40"/>
      <c r="J449" s="41"/>
      <c r="K449" s="38"/>
      <c r="L449" s="42" t="str">
        <f aca="false">IF($B449="","",IF(AND(N($I449)=0,N($J449)=0),"금액이 없습니다",IF(AND($I449&gt;0,$J449&gt;0),"수입·지출 둘 다 적혔습니다",IF($C449="","결제수단을 고르십시오",IF(ISNA(MATCH($C449,'교육원 ③ 통장·카드'!$A$5:$A$11,0)),"③ 통장·카드에 없는 결제수단입니다",IF($D449="","계정과목을 고르십시오",IF($E449="※없는 과목","④ 설정에 없는 과목입니다",IF(AND($E449="수입",$J449&gt;0),"수입 과목인데 지출에 적혔습니다",IF(AND(LEFT($E449,2)&lt;&gt;"수입",$E449&lt;&gt;"대체",$I449&gt;0),"지출 과목인데 수입에 적혔습니다",IF($K449="","증빙을 고르십시오",IF($H449="","적요를 적으십시오","")))))))))))</f>
        <v/>
      </c>
      <c r="M449" s="39"/>
      <c r="O449" s="11" t="str">
        <f aca="false">IF($B449="","",YEAR($B449)*100+MONTH($B449))</f>
        <v/>
      </c>
      <c r="P449" s="11" t="str">
        <f aca="false">IF($B449="","",IF($E449="대체",0,1))</f>
        <v/>
      </c>
    </row>
    <row r="450" customFormat="false" ht="15" hidden="false" customHeight="false" outlineLevel="0" collapsed="false">
      <c r="A450" s="36" t="str">
        <f aca="false">IF($B450="","",COUNT($B$15:$B450))</f>
        <v/>
      </c>
      <c r="B450" s="37"/>
      <c r="C450" s="38"/>
      <c r="D450" s="20"/>
      <c r="E450" s="36" t="str">
        <f aca="false">IF($D450="","",IFERROR(INDEX('교육원 ④ 설정'!$A$6:$A$40,MATCH($D450,'교육원 ④ 설정'!$B$6:$B$40,0)),"※없는 과목"))</f>
        <v/>
      </c>
      <c r="F450" s="36" t="str">
        <f aca="false">IF($D450="","",IFERROR(INDEX('교육원 ④ 설정'!$C$6:$C$40,MATCH($D450,'교육원 ④ 설정'!$B$6:$B$40,0)),""))</f>
        <v/>
      </c>
      <c r="G450" s="39"/>
      <c r="H450" s="39"/>
      <c r="I450" s="40"/>
      <c r="J450" s="41"/>
      <c r="K450" s="38"/>
      <c r="L450" s="42" t="str">
        <f aca="false">IF($B450="","",IF(AND(N($I450)=0,N($J450)=0),"금액이 없습니다",IF(AND($I450&gt;0,$J450&gt;0),"수입·지출 둘 다 적혔습니다",IF($C450="","결제수단을 고르십시오",IF(ISNA(MATCH($C450,'교육원 ③ 통장·카드'!$A$5:$A$11,0)),"③ 통장·카드에 없는 결제수단입니다",IF($D450="","계정과목을 고르십시오",IF($E450="※없는 과목","④ 설정에 없는 과목입니다",IF(AND($E450="수입",$J450&gt;0),"수입 과목인데 지출에 적혔습니다",IF(AND(LEFT($E450,2)&lt;&gt;"수입",$E450&lt;&gt;"대체",$I450&gt;0),"지출 과목인데 수입에 적혔습니다",IF($K450="","증빙을 고르십시오",IF($H450="","적요를 적으십시오","")))))))))))</f>
        <v/>
      </c>
      <c r="M450" s="39"/>
      <c r="O450" s="11" t="str">
        <f aca="false">IF($B450="","",YEAR($B450)*100+MONTH($B450))</f>
        <v/>
      </c>
      <c r="P450" s="11" t="str">
        <f aca="false">IF($B450="","",IF($E450="대체",0,1))</f>
        <v/>
      </c>
    </row>
    <row r="451" customFormat="false" ht="15" hidden="false" customHeight="false" outlineLevel="0" collapsed="false">
      <c r="A451" s="36" t="str">
        <f aca="false">IF($B451="","",COUNT($B$15:$B451))</f>
        <v/>
      </c>
      <c r="B451" s="37"/>
      <c r="C451" s="38"/>
      <c r="D451" s="20"/>
      <c r="E451" s="36" t="str">
        <f aca="false">IF($D451="","",IFERROR(INDEX('교육원 ④ 설정'!$A$6:$A$40,MATCH($D451,'교육원 ④ 설정'!$B$6:$B$40,0)),"※없는 과목"))</f>
        <v/>
      </c>
      <c r="F451" s="36" t="str">
        <f aca="false">IF($D451="","",IFERROR(INDEX('교육원 ④ 설정'!$C$6:$C$40,MATCH($D451,'교육원 ④ 설정'!$B$6:$B$40,0)),""))</f>
        <v/>
      </c>
      <c r="G451" s="39"/>
      <c r="H451" s="39"/>
      <c r="I451" s="40"/>
      <c r="J451" s="41"/>
      <c r="K451" s="38"/>
      <c r="L451" s="42" t="str">
        <f aca="false">IF($B451="","",IF(AND(N($I451)=0,N($J451)=0),"금액이 없습니다",IF(AND($I451&gt;0,$J451&gt;0),"수입·지출 둘 다 적혔습니다",IF($C451="","결제수단을 고르십시오",IF(ISNA(MATCH($C451,'교육원 ③ 통장·카드'!$A$5:$A$11,0)),"③ 통장·카드에 없는 결제수단입니다",IF($D451="","계정과목을 고르십시오",IF($E451="※없는 과목","④ 설정에 없는 과목입니다",IF(AND($E451="수입",$J451&gt;0),"수입 과목인데 지출에 적혔습니다",IF(AND(LEFT($E451,2)&lt;&gt;"수입",$E451&lt;&gt;"대체",$I451&gt;0),"지출 과목인데 수입에 적혔습니다",IF($K451="","증빙을 고르십시오",IF($H451="","적요를 적으십시오","")))))))))))</f>
        <v/>
      </c>
      <c r="M451" s="39"/>
      <c r="O451" s="11" t="str">
        <f aca="false">IF($B451="","",YEAR($B451)*100+MONTH($B451))</f>
        <v/>
      </c>
      <c r="P451" s="11" t="str">
        <f aca="false">IF($B451="","",IF($E451="대체",0,1))</f>
        <v/>
      </c>
    </row>
    <row r="452" customFormat="false" ht="15" hidden="false" customHeight="false" outlineLevel="0" collapsed="false">
      <c r="A452" s="36" t="str">
        <f aca="false">IF($B452="","",COUNT($B$15:$B452))</f>
        <v/>
      </c>
      <c r="B452" s="37"/>
      <c r="C452" s="38"/>
      <c r="D452" s="20"/>
      <c r="E452" s="36" t="str">
        <f aca="false">IF($D452="","",IFERROR(INDEX('교육원 ④ 설정'!$A$6:$A$40,MATCH($D452,'교육원 ④ 설정'!$B$6:$B$40,0)),"※없는 과목"))</f>
        <v/>
      </c>
      <c r="F452" s="36" t="str">
        <f aca="false">IF($D452="","",IFERROR(INDEX('교육원 ④ 설정'!$C$6:$C$40,MATCH($D452,'교육원 ④ 설정'!$B$6:$B$40,0)),""))</f>
        <v/>
      </c>
      <c r="G452" s="39"/>
      <c r="H452" s="39"/>
      <c r="I452" s="40"/>
      <c r="J452" s="41"/>
      <c r="K452" s="38"/>
      <c r="L452" s="42" t="str">
        <f aca="false">IF($B452="","",IF(AND(N($I452)=0,N($J452)=0),"금액이 없습니다",IF(AND($I452&gt;0,$J452&gt;0),"수입·지출 둘 다 적혔습니다",IF($C452="","결제수단을 고르십시오",IF(ISNA(MATCH($C452,'교육원 ③ 통장·카드'!$A$5:$A$11,0)),"③ 통장·카드에 없는 결제수단입니다",IF($D452="","계정과목을 고르십시오",IF($E452="※없는 과목","④ 설정에 없는 과목입니다",IF(AND($E452="수입",$J452&gt;0),"수입 과목인데 지출에 적혔습니다",IF(AND(LEFT($E452,2)&lt;&gt;"수입",$E452&lt;&gt;"대체",$I452&gt;0),"지출 과목인데 수입에 적혔습니다",IF($K452="","증빙을 고르십시오",IF($H452="","적요를 적으십시오","")))))))))))</f>
        <v/>
      </c>
      <c r="M452" s="39"/>
      <c r="O452" s="11" t="str">
        <f aca="false">IF($B452="","",YEAR($B452)*100+MONTH($B452))</f>
        <v/>
      </c>
      <c r="P452" s="11" t="str">
        <f aca="false">IF($B452="","",IF($E452="대체",0,1))</f>
        <v/>
      </c>
    </row>
    <row r="453" customFormat="false" ht="15" hidden="false" customHeight="false" outlineLevel="0" collapsed="false">
      <c r="A453" s="36" t="str">
        <f aca="false">IF($B453="","",COUNT($B$15:$B453))</f>
        <v/>
      </c>
      <c r="B453" s="37"/>
      <c r="C453" s="38"/>
      <c r="D453" s="20"/>
      <c r="E453" s="36" t="str">
        <f aca="false">IF($D453="","",IFERROR(INDEX('교육원 ④ 설정'!$A$6:$A$40,MATCH($D453,'교육원 ④ 설정'!$B$6:$B$40,0)),"※없는 과목"))</f>
        <v/>
      </c>
      <c r="F453" s="36" t="str">
        <f aca="false">IF($D453="","",IFERROR(INDEX('교육원 ④ 설정'!$C$6:$C$40,MATCH($D453,'교육원 ④ 설정'!$B$6:$B$40,0)),""))</f>
        <v/>
      </c>
      <c r="G453" s="39"/>
      <c r="H453" s="39"/>
      <c r="I453" s="40"/>
      <c r="J453" s="41"/>
      <c r="K453" s="38"/>
      <c r="L453" s="42" t="str">
        <f aca="false">IF($B453="","",IF(AND(N($I453)=0,N($J453)=0),"금액이 없습니다",IF(AND($I453&gt;0,$J453&gt;0),"수입·지출 둘 다 적혔습니다",IF($C453="","결제수단을 고르십시오",IF(ISNA(MATCH($C453,'교육원 ③ 통장·카드'!$A$5:$A$11,0)),"③ 통장·카드에 없는 결제수단입니다",IF($D453="","계정과목을 고르십시오",IF($E453="※없는 과목","④ 설정에 없는 과목입니다",IF(AND($E453="수입",$J453&gt;0),"수입 과목인데 지출에 적혔습니다",IF(AND(LEFT($E453,2)&lt;&gt;"수입",$E453&lt;&gt;"대체",$I453&gt;0),"지출 과목인데 수입에 적혔습니다",IF($K453="","증빙을 고르십시오",IF($H453="","적요를 적으십시오","")))))))))))</f>
        <v/>
      </c>
      <c r="M453" s="39"/>
      <c r="O453" s="11" t="str">
        <f aca="false">IF($B453="","",YEAR($B453)*100+MONTH($B453))</f>
        <v/>
      </c>
      <c r="P453" s="11" t="str">
        <f aca="false">IF($B453="","",IF($E453="대체",0,1))</f>
        <v/>
      </c>
    </row>
    <row r="454" customFormat="false" ht="15" hidden="false" customHeight="false" outlineLevel="0" collapsed="false">
      <c r="A454" s="36" t="str">
        <f aca="false">IF($B454="","",COUNT($B$15:$B454))</f>
        <v/>
      </c>
      <c r="B454" s="37"/>
      <c r="C454" s="38"/>
      <c r="D454" s="20"/>
      <c r="E454" s="36" t="str">
        <f aca="false">IF($D454="","",IFERROR(INDEX('교육원 ④ 설정'!$A$6:$A$40,MATCH($D454,'교육원 ④ 설정'!$B$6:$B$40,0)),"※없는 과목"))</f>
        <v/>
      </c>
      <c r="F454" s="36" t="str">
        <f aca="false">IF($D454="","",IFERROR(INDEX('교육원 ④ 설정'!$C$6:$C$40,MATCH($D454,'교육원 ④ 설정'!$B$6:$B$40,0)),""))</f>
        <v/>
      </c>
      <c r="G454" s="39"/>
      <c r="H454" s="39"/>
      <c r="I454" s="40"/>
      <c r="J454" s="41"/>
      <c r="K454" s="38"/>
      <c r="L454" s="42" t="str">
        <f aca="false">IF($B454="","",IF(AND(N($I454)=0,N($J454)=0),"금액이 없습니다",IF(AND($I454&gt;0,$J454&gt;0),"수입·지출 둘 다 적혔습니다",IF($C454="","결제수단을 고르십시오",IF(ISNA(MATCH($C454,'교육원 ③ 통장·카드'!$A$5:$A$11,0)),"③ 통장·카드에 없는 결제수단입니다",IF($D454="","계정과목을 고르십시오",IF($E454="※없는 과목","④ 설정에 없는 과목입니다",IF(AND($E454="수입",$J454&gt;0),"수입 과목인데 지출에 적혔습니다",IF(AND(LEFT($E454,2)&lt;&gt;"수입",$E454&lt;&gt;"대체",$I454&gt;0),"지출 과목인데 수입에 적혔습니다",IF($K454="","증빙을 고르십시오",IF($H454="","적요를 적으십시오","")))))))))))</f>
        <v/>
      </c>
      <c r="M454" s="39"/>
      <c r="O454" s="11" t="str">
        <f aca="false">IF($B454="","",YEAR($B454)*100+MONTH($B454))</f>
        <v/>
      </c>
      <c r="P454" s="11" t="str">
        <f aca="false">IF($B454="","",IF($E454="대체",0,1))</f>
        <v/>
      </c>
    </row>
    <row r="455" customFormat="false" ht="15" hidden="false" customHeight="false" outlineLevel="0" collapsed="false">
      <c r="A455" s="36" t="str">
        <f aca="false">IF($B455="","",COUNT($B$15:$B455))</f>
        <v/>
      </c>
      <c r="B455" s="37"/>
      <c r="C455" s="38"/>
      <c r="D455" s="20"/>
      <c r="E455" s="36" t="str">
        <f aca="false">IF($D455="","",IFERROR(INDEX('교육원 ④ 설정'!$A$6:$A$40,MATCH($D455,'교육원 ④ 설정'!$B$6:$B$40,0)),"※없는 과목"))</f>
        <v/>
      </c>
      <c r="F455" s="36" t="str">
        <f aca="false">IF($D455="","",IFERROR(INDEX('교육원 ④ 설정'!$C$6:$C$40,MATCH($D455,'교육원 ④ 설정'!$B$6:$B$40,0)),""))</f>
        <v/>
      </c>
      <c r="G455" s="39"/>
      <c r="H455" s="39"/>
      <c r="I455" s="40"/>
      <c r="J455" s="41"/>
      <c r="K455" s="38"/>
      <c r="L455" s="42" t="str">
        <f aca="false">IF($B455="","",IF(AND(N($I455)=0,N($J455)=0),"금액이 없습니다",IF(AND($I455&gt;0,$J455&gt;0),"수입·지출 둘 다 적혔습니다",IF($C455="","결제수단을 고르십시오",IF(ISNA(MATCH($C455,'교육원 ③ 통장·카드'!$A$5:$A$11,0)),"③ 통장·카드에 없는 결제수단입니다",IF($D455="","계정과목을 고르십시오",IF($E455="※없는 과목","④ 설정에 없는 과목입니다",IF(AND($E455="수입",$J455&gt;0),"수입 과목인데 지출에 적혔습니다",IF(AND(LEFT($E455,2)&lt;&gt;"수입",$E455&lt;&gt;"대체",$I455&gt;0),"지출 과목인데 수입에 적혔습니다",IF($K455="","증빙을 고르십시오",IF($H455="","적요를 적으십시오","")))))))))))</f>
        <v/>
      </c>
      <c r="M455" s="39"/>
      <c r="O455" s="11" t="str">
        <f aca="false">IF($B455="","",YEAR($B455)*100+MONTH($B455))</f>
        <v/>
      </c>
      <c r="P455" s="11" t="str">
        <f aca="false">IF($B455="","",IF($E455="대체",0,1))</f>
        <v/>
      </c>
    </row>
    <row r="456" customFormat="false" ht="15" hidden="false" customHeight="false" outlineLevel="0" collapsed="false">
      <c r="A456" s="36" t="str">
        <f aca="false">IF($B456="","",COUNT($B$15:$B456))</f>
        <v/>
      </c>
      <c r="B456" s="37"/>
      <c r="C456" s="38"/>
      <c r="D456" s="20"/>
      <c r="E456" s="36" t="str">
        <f aca="false">IF($D456="","",IFERROR(INDEX('교육원 ④ 설정'!$A$6:$A$40,MATCH($D456,'교육원 ④ 설정'!$B$6:$B$40,0)),"※없는 과목"))</f>
        <v/>
      </c>
      <c r="F456" s="36" t="str">
        <f aca="false">IF($D456="","",IFERROR(INDEX('교육원 ④ 설정'!$C$6:$C$40,MATCH($D456,'교육원 ④ 설정'!$B$6:$B$40,0)),""))</f>
        <v/>
      </c>
      <c r="G456" s="39"/>
      <c r="H456" s="39"/>
      <c r="I456" s="40"/>
      <c r="J456" s="41"/>
      <c r="K456" s="38"/>
      <c r="L456" s="42" t="str">
        <f aca="false">IF($B456="","",IF(AND(N($I456)=0,N($J456)=0),"금액이 없습니다",IF(AND($I456&gt;0,$J456&gt;0),"수입·지출 둘 다 적혔습니다",IF($C456="","결제수단을 고르십시오",IF(ISNA(MATCH($C456,'교육원 ③ 통장·카드'!$A$5:$A$11,0)),"③ 통장·카드에 없는 결제수단입니다",IF($D456="","계정과목을 고르십시오",IF($E456="※없는 과목","④ 설정에 없는 과목입니다",IF(AND($E456="수입",$J456&gt;0),"수입 과목인데 지출에 적혔습니다",IF(AND(LEFT($E456,2)&lt;&gt;"수입",$E456&lt;&gt;"대체",$I456&gt;0),"지출 과목인데 수입에 적혔습니다",IF($K456="","증빙을 고르십시오",IF($H456="","적요를 적으십시오","")))))))))))</f>
        <v/>
      </c>
      <c r="M456" s="39"/>
      <c r="O456" s="11" t="str">
        <f aca="false">IF($B456="","",YEAR($B456)*100+MONTH($B456))</f>
        <v/>
      </c>
      <c r="P456" s="11" t="str">
        <f aca="false">IF($B456="","",IF($E456="대체",0,1))</f>
        <v/>
      </c>
    </row>
    <row r="457" customFormat="false" ht="15" hidden="false" customHeight="false" outlineLevel="0" collapsed="false">
      <c r="A457" s="36" t="str">
        <f aca="false">IF($B457="","",COUNT($B$15:$B457))</f>
        <v/>
      </c>
      <c r="B457" s="37"/>
      <c r="C457" s="38"/>
      <c r="D457" s="20"/>
      <c r="E457" s="36" t="str">
        <f aca="false">IF($D457="","",IFERROR(INDEX('교육원 ④ 설정'!$A$6:$A$40,MATCH($D457,'교육원 ④ 설정'!$B$6:$B$40,0)),"※없는 과목"))</f>
        <v/>
      </c>
      <c r="F457" s="36" t="str">
        <f aca="false">IF($D457="","",IFERROR(INDEX('교육원 ④ 설정'!$C$6:$C$40,MATCH($D457,'교육원 ④ 설정'!$B$6:$B$40,0)),""))</f>
        <v/>
      </c>
      <c r="G457" s="39"/>
      <c r="H457" s="39"/>
      <c r="I457" s="40"/>
      <c r="J457" s="41"/>
      <c r="K457" s="38"/>
      <c r="L457" s="42" t="str">
        <f aca="false">IF($B457="","",IF(AND(N($I457)=0,N($J457)=0),"금액이 없습니다",IF(AND($I457&gt;0,$J457&gt;0),"수입·지출 둘 다 적혔습니다",IF($C457="","결제수단을 고르십시오",IF(ISNA(MATCH($C457,'교육원 ③ 통장·카드'!$A$5:$A$11,0)),"③ 통장·카드에 없는 결제수단입니다",IF($D457="","계정과목을 고르십시오",IF($E457="※없는 과목","④ 설정에 없는 과목입니다",IF(AND($E457="수입",$J457&gt;0),"수입 과목인데 지출에 적혔습니다",IF(AND(LEFT($E457,2)&lt;&gt;"수입",$E457&lt;&gt;"대체",$I457&gt;0),"지출 과목인데 수입에 적혔습니다",IF($K457="","증빙을 고르십시오",IF($H457="","적요를 적으십시오","")))))))))))</f>
        <v/>
      </c>
      <c r="M457" s="39"/>
      <c r="O457" s="11" t="str">
        <f aca="false">IF($B457="","",YEAR($B457)*100+MONTH($B457))</f>
        <v/>
      </c>
      <c r="P457" s="11" t="str">
        <f aca="false">IF($B457="","",IF($E457="대체",0,1))</f>
        <v/>
      </c>
    </row>
    <row r="458" customFormat="false" ht="15" hidden="false" customHeight="false" outlineLevel="0" collapsed="false">
      <c r="A458" s="36" t="str">
        <f aca="false">IF($B458="","",COUNT($B$15:$B458))</f>
        <v/>
      </c>
      <c r="B458" s="37"/>
      <c r="C458" s="38"/>
      <c r="D458" s="20"/>
      <c r="E458" s="36" t="str">
        <f aca="false">IF($D458="","",IFERROR(INDEX('교육원 ④ 설정'!$A$6:$A$40,MATCH($D458,'교육원 ④ 설정'!$B$6:$B$40,0)),"※없는 과목"))</f>
        <v/>
      </c>
      <c r="F458" s="36" t="str">
        <f aca="false">IF($D458="","",IFERROR(INDEX('교육원 ④ 설정'!$C$6:$C$40,MATCH($D458,'교육원 ④ 설정'!$B$6:$B$40,0)),""))</f>
        <v/>
      </c>
      <c r="G458" s="39"/>
      <c r="H458" s="39"/>
      <c r="I458" s="40"/>
      <c r="J458" s="41"/>
      <c r="K458" s="38"/>
      <c r="L458" s="42" t="str">
        <f aca="false">IF($B458="","",IF(AND(N($I458)=0,N($J458)=0),"금액이 없습니다",IF(AND($I458&gt;0,$J458&gt;0),"수입·지출 둘 다 적혔습니다",IF($C458="","결제수단을 고르십시오",IF(ISNA(MATCH($C458,'교육원 ③ 통장·카드'!$A$5:$A$11,0)),"③ 통장·카드에 없는 결제수단입니다",IF($D458="","계정과목을 고르십시오",IF($E458="※없는 과목","④ 설정에 없는 과목입니다",IF(AND($E458="수입",$J458&gt;0),"수입 과목인데 지출에 적혔습니다",IF(AND(LEFT($E458,2)&lt;&gt;"수입",$E458&lt;&gt;"대체",$I458&gt;0),"지출 과목인데 수입에 적혔습니다",IF($K458="","증빙을 고르십시오",IF($H458="","적요를 적으십시오","")))))))))))</f>
        <v/>
      </c>
      <c r="M458" s="39"/>
      <c r="O458" s="11" t="str">
        <f aca="false">IF($B458="","",YEAR($B458)*100+MONTH($B458))</f>
        <v/>
      </c>
      <c r="P458" s="11" t="str">
        <f aca="false">IF($B458="","",IF($E458="대체",0,1))</f>
        <v/>
      </c>
    </row>
    <row r="459" customFormat="false" ht="15" hidden="false" customHeight="false" outlineLevel="0" collapsed="false">
      <c r="A459" s="36" t="str">
        <f aca="false">IF($B459="","",COUNT($B$15:$B459))</f>
        <v/>
      </c>
      <c r="B459" s="37"/>
      <c r="C459" s="38"/>
      <c r="D459" s="20"/>
      <c r="E459" s="36" t="str">
        <f aca="false">IF($D459="","",IFERROR(INDEX('교육원 ④ 설정'!$A$6:$A$40,MATCH($D459,'교육원 ④ 설정'!$B$6:$B$40,0)),"※없는 과목"))</f>
        <v/>
      </c>
      <c r="F459" s="36" t="str">
        <f aca="false">IF($D459="","",IFERROR(INDEX('교육원 ④ 설정'!$C$6:$C$40,MATCH($D459,'교육원 ④ 설정'!$B$6:$B$40,0)),""))</f>
        <v/>
      </c>
      <c r="G459" s="39"/>
      <c r="H459" s="39"/>
      <c r="I459" s="40"/>
      <c r="J459" s="41"/>
      <c r="K459" s="38"/>
      <c r="L459" s="42" t="str">
        <f aca="false">IF($B459="","",IF(AND(N($I459)=0,N($J459)=0),"금액이 없습니다",IF(AND($I459&gt;0,$J459&gt;0),"수입·지출 둘 다 적혔습니다",IF($C459="","결제수단을 고르십시오",IF(ISNA(MATCH($C459,'교육원 ③ 통장·카드'!$A$5:$A$11,0)),"③ 통장·카드에 없는 결제수단입니다",IF($D459="","계정과목을 고르십시오",IF($E459="※없는 과목","④ 설정에 없는 과목입니다",IF(AND($E459="수입",$J459&gt;0),"수입 과목인데 지출에 적혔습니다",IF(AND(LEFT($E459,2)&lt;&gt;"수입",$E459&lt;&gt;"대체",$I459&gt;0),"지출 과목인데 수입에 적혔습니다",IF($K459="","증빙을 고르십시오",IF($H459="","적요를 적으십시오","")))))))))))</f>
        <v/>
      </c>
      <c r="M459" s="39"/>
      <c r="O459" s="11" t="str">
        <f aca="false">IF($B459="","",YEAR($B459)*100+MONTH($B459))</f>
        <v/>
      </c>
      <c r="P459" s="11" t="str">
        <f aca="false">IF($B459="","",IF($E459="대체",0,1))</f>
        <v/>
      </c>
    </row>
    <row r="460" customFormat="false" ht="15" hidden="false" customHeight="false" outlineLevel="0" collapsed="false">
      <c r="A460" s="36" t="str">
        <f aca="false">IF($B460="","",COUNT($B$15:$B460))</f>
        <v/>
      </c>
      <c r="B460" s="37"/>
      <c r="C460" s="38"/>
      <c r="D460" s="20"/>
      <c r="E460" s="36" t="str">
        <f aca="false">IF($D460="","",IFERROR(INDEX('교육원 ④ 설정'!$A$6:$A$40,MATCH($D460,'교육원 ④ 설정'!$B$6:$B$40,0)),"※없는 과목"))</f>
        <v/>
      </c>
      <c r="F460" s="36" t="str">
        <f aca="false">IF($D460="","",IFERROR(INDEX('교육원 ④ 설정'!$C$6:$C$40,MATCH($D460,'교육원 ④ 설정'!$B$6:$B$40,0)),""))</f>
        <v/>
      </c>
      <c r="G460" s="39"/>
      <c r="H460" s="39"/>
      <c r="I460" s="40"/>
      <c r="J460" s="41"/>
      <c r="K460" s="38"/>
      <c r="L460" s="42" t="str">
        <f aca="false">IF($B460="","",IF(AND(N($I460)=0,N($J460)=0),"금액이 없습니다",IF(AND($I460&gt;0,$J460&gt;0),"수입·지출 둘 다 적혔습니다",IF($C460="","결제수단을 고르십시오",IF(ISNA(MATCH($C460,'교육원 ③ 통장·카드'!$A$5:$A$11,0)),"③ 통장·카드에 없는 결제수단입니다",IF($D460="","계정과목을 고르십시오",IF($E460="※없는 과목","④ 설정에 없는 과목입니다",IF(AND($E460="수입",$J460&gt;0),"수입 과목인데 지출에 적혔습니다",IF(AND(LEFT($E460,2)&lt;&gt;"수입",$E460&lt;&gt;"대체",$I460&gt;0),"지출 과목인데 수입에 적혔습니다",IF($K460="","증빙을 고르십시오",IF($H460="","적요를 적으십시오","")))))))))))</f>
        <v/>
      </c>
      <c r="M460" s="39"/>
      <c r="O460" s="11" t="str">
        <f aca="false">IF($B460="","",YEAR($B460)*100+MONTH($B460))</f>
        <v/>
      </c>
      <c r="P460" s="11" t="str">
        <f aca="false">IF($B460="","",IF($E460="대체",0,1))</f>
        <v/>
      </c>
    </row>
    <row r="461" customFormat="false" ht="15" hidden="false" customHeight="false" outlineLevel="0" collapsed="false">
      <c r="A461" s="36" t="str">
        <f aca="false">IF($B461="","",COUNT($B$15:$B461))</f>
        <v/>
      </c>
      <c r="B461" s="37"/>
      <c r="C461" s="38"/>
      <c r="D461" s="20"/>
      <c r="E461" s="36" t="str">
        <f aca="false">IF($D461="","",IFERROR(INDEX('교육원 ④ 설정'!$A$6:$A$40,MATCH($D461,'교육원 ④ 설정'!$B$6:$B$40,0)),"※없는 과목"))</f>
        <v/>
      </c>
      <c r="F461" s="36" t="str">
        <f aca="false">IF($D461="","",IFERROR(INDEX('교육원 ④ 설정'!$C$6:$C$40,MATCH($D461,'교육원 ④ 설정'!$B$6:$B$40,0)),""))</f>
        <v/>
      </c>
      <c r="G461" s="39"/>
      <c r="H461" s="39"/>
      <c r="I461" s="40"/>
      <c r="J461" s="41"/>
      <c r="K461" s="38"/>
      <c r="L461" s="42" t="str">
        <f aca="false">IF($B461="","",IF(AND(N($I461)=0,N($J461)=0),"금액이 없습니다",IF(AND($I461&gt;0,$J461&gt;0),"수입·지출 둘 다 적혔습니다",IF($C461="","결제수단을 고르십시오",IF(ISNA(MATCH($C461,'교육원 ③ 통장·카드'!$A$5:$A$11,0)),"③ 통장·카드에 없는 결제수단입니다",IF($D461="","계정과목을 고르십시오",IF($E461="※없는 과목","④ 설정에 없는 과목입니다",IF(AND($E461="수입",$J461&gt;0),"수입 과목인데 지출에 적혔습니다",IF(AND(LEFT($E461,2)&lt;&gt;"수입",$E461&lt;&gt;"대체",$I461&gt;0),"지출 과목인데 수입에 적혔습니다",IF($K461="","증빙을 고르십시오",IF($H461="","적요를 적으십시오","")))))))))))</f>
        <v/>
      </c>
      <c r="M461" s="39"/>
      <c r="O461" s="11" t="str">
        <f aca="false">IF($B461="","",YEAR($B461)*100+MONTH($B461))</f>
        <v/>
      </c>
      <c r="P461" s="11" t="str">
        <f aca="false">IF($B461="","",IF($E461="대체",0,1))</f>
        <v/>
      </c>
    </row>
    <row r="462" customFormat="false" ht="15" hidden="false" customHeight="false" outlineLevel="0" collapsed="false">
      <c r="A462" s="36" t="str">
        <f aca="false">IF($B462="","",COUNT($B$15:$B462))</f>
        <v/>
      </c>
      <c r="B462" s="37"/>
      <c r="C462" s="38"/>
      <c r="D462" s="20"/>
      <c r="E462" s="36" t="str">
        <f aca="false">IF($D462="","",IFERROR(INDEX('교육원 ④ 설정'!$A$6:$A$40,MATCH($D462,'교육원 ④ 설정'!$B$6:$B$40,0)),"※없는 과목"))</f>
        <v/>
      </c>
      <c r="F462" s="36" t="str">
        <f aca="false">IF($D462="","",IFERROR(INDEX('교육원 ④ 설정'!$C$6:$C$40,MATCH($D462,'교육원 ④ 설정'!$B$6:$B$40,0)),""))</f>
        <v/>
      </c>
      <c r="G462" s="39"/>
      <c r="H462" s="39"/>
      <c r="I462" s="40"/>
      <c r="J462" s="41"/>
      <c r="K462" s="38"/>
      <c r="L462" s="42" t="str">
        <f aca="false">IF($B462="","",IF(AND(N($I462)=0,N($J462)=0),"금액이 없습니다",IF(AND($I462&gt;0,$J462&gt;0),"수입·지출 둘 다 적혔습니다",IF($C462="","결제수단을 고르십시오",IF(ISNA(MATCH($C462,'교육원 ③ 통장·카드'!$A$5:$A$11,0)),"③ 통장·카드에 없는 결제수단입니다",IF($D462="","계정과목을 고르십시오",IF($E462="※없는 과목","④ 설정에 없는 과목입니다",IF(AND($E462="수입",$J462&gt;0),"수입 과목인데 지출에 적혔습니다",IF(AND(LEFT($E462,2)&lt;&gt;"수입",$E462&lt;&gt;"대체",$I462&gt;0),"지출 과목인데 수입에 적혔습니다",IF($K462="","증빙을 고르십시오",IF($H462="","적요를 적으십시오","")))))))))))</f>
        <v/>
      </c>
      <c r="M462" s="39"/>
      <c r="O462" s="11" t="str">
        <f aca="false">IF($B462="","",YEAR($B462)*100+MONTH($B462))</f>
        <v/>
      </c>
      <c r="P462" s="11" t="str">
        <f aca="false">IF($B462="","",IF($E462="대체",0,1))</f>
        <v/>
      </c>
    </row>
    <row r="463" customFormat="false" ht="15" hidden="false" customHeight="false" outlineLevel="0" collapsed="false">
      <c r="A463" s="36" t="str">
        <f aca="false">IF($B463="","",COUNT($B$15:$B463))</f>
        <v/>
      </c>
      <c r="B463" s="37"/>
      <c r="C463" s="38"/>
      <c r="D463" s="20"/>
      <c r="E463" s="36" t="str">
        <f aca="false">IF($D463="","",IFERROR(INDEX('교육원 ④ 설정'!$A$6:$A$40,MATCH($D463,'교육원 ④ 설정'!$B$6:$B$40,0)),"※없는 과목"))</f>
        <v/>
      </c>
      <c r="F463" s="36" t="str">
        <f aca="false">IF($D463="","",IFERROR(INDEX('교육원 ④ 설정'!$C$6:$C$40,MATCH($D463,'교육원 ④ 설정'!$B$6:$B$40,0)),""))</f>
        <v/>
      </c>
      <c r="G463" s="39"/>
      <c r="H463" s="39"/>
      <c r="I463" s="40"/>
      <c r="J463" s="41"/>
      <c r="K463" s="38"/>
      <c r="L463" s="42" t="str">
        <f aca="false">IF($B463="","",IF(AND(N($I463)=0,N($J463)=0),"금액이 없습니다",IF(AND($I463&gt;0,$J463&gt;0),"수입·지출 둘 다 적혔습니다",IF($C463="","결제수단을 고르십시오",IF(ISNA(MATCH($C463,'교육원 ③ 통장·카드'!$A$5:$A$11,0)),"③ 통장·카드에 없는 결제수단입니다",IF($D463="","계정과목을 고르십시오",IF($E463="※없는 과목","④ 설정에 없는 과목입니다",IF(AND($E463="수입",$J463&gt;0),"수입 과목인데 지출에 적혔습니다",IF(AND(LEFT($E463,2)&lt;&gt;"수입",$E463&lt;&gt;"대체",$I463&gt;0),"지출 과목인데 수입에 적혔습니다",IF($K463="","증빙을 고르십시오",IF($H463="","적요를 적으십시오","")))))))))))</f>
        <v/>
      </c>
      <c r="M463" s="39"/>
      <c r="O463" s="11" t="str">
        <f aca="false">IF($B463="","",YEAR($B463)*100+MONTH($B463))</f>
        <v/>
      </c>
      <c r="P463" s="11" t="str">
        <f aca="false">IF($B463="","",IF($E463="대체",0,1))</f>
        <v/>
      </c>
    </row>
    <row r="464" customFormat="false" ht="15" hidden="false" customHeight="false" outlineLevel="0" collapsed="false">
      <c r="A464" s="36" t="str">
        <f aca="false">IF($B464="","",COUNT($B$15:$B464))</f>
        <v/>
      </c>
      <c r="B464" s="37"/>
      <c r="C464" s="38"/>
      <c r="D464" s="20"/>
      <c r="E464" s="36" t="str">
        <f aca="false">IF($D464="","",IFERROR(INDEX('교육원 ④ 설정'!$A$6:$A$40,MATCH($D464,'교육원 ④ 설정'!$B$6:$B$40,0)),"※없는 과목"))</f>
        <v/>
      </c>
      <c r="F464" s="36" t="str">
        <f aca="false">IF($D464="","",IFERROR(INDEX('교육원 ④ 설정'!$C$6:$C$40,MATCH($D464,'교육원 ④ 설정'!$B$6:$B$40,0)),""))</f>
        <v/>
      </c>
      <c r="G464" s="39"/>
      <c r="H464" s="39"/>
      <c r="I464" s="40"/>
      <c r="J464" s="41"/>
      <c r="K464" s="38"/>
      <c r="L464" s="42" t="str">
        <f aca="false">IF($B464="","",IF(AND(N($I464)=0,N($J464)=0),"금액이 없습니다",IF(AND($I464&gt;0,$J464&gt;0),"수입·지출 둘 다 적혔습니다",IF($C464="","결제수단을 고르십시오",IF(ISNA(MATCH($C464,'교육원 ③ 통장·카드'!$A$5:$A$11,0)),"③ 통장·카드에 없는 결제수단입니다",IF($D464="","계정과목을 고르십시오",IF($E464="※없는 과목","④ 설정에 없는 과목입니다",IF(AND($E464="수입",$J464&gt;0),"수입 과목인데 지출에 적혔습니다",IF(AND(LEFT($E464,2)&lt;&gt;"수입",$E464&lt;&gt;"대체",$I464&gt;0),"지출 과목인데 수입에 적혔습니다",IF($K464="","증빙을 고르십시오",IF($H464="","적요를 적으십시오","")))))))))))</f>
        <v/>
      </c>
      <c r="M464" s="39"/>
      <c r="O464" s="11" t="str">
        <f aca="false">IF($B464="","",YEAR($B464)*100+MONTH($B464))</f>
        <v/>
      </c>
      <c r="P464" s="11" t="str">
        <f aca="false">IF($B464="","",IF($E464="대체",0,1))</f>
        <v/>
      </c>
    </row>
    <row r="465" customFormat="false" ht="15" hidden="false" customHeight="false" outlineLevel="0" collapsed="false">
      <c r="A465" s="36" t="str">
        <f aca="false">IF($B465="","",COUNT($B$15:$B465))</f>
        <v/>
      </c>
      <c r="B465" s="37"/>
      <c r="C465" s="38"/>
      <c r="D465" s="20"/>
      <c r="E465" s="36" t="str">
        <f aca="false">IF($D465="","",IFERROR(INDEX('교육원 ④ 설정'!$A$6:$A$40,MATCH($D465,'교육원 ④ 설정'!$B$6:$B$40,0)),"※없는 과목"))</f>
        <v/>
      </c>
      <c r="F465" s="36" t="str">
        <f aca="false">IF($D465="","",IFERROR(INDEX('교육원 ④ 설정'!$C$6:$C$40,MATCH($D465,'교육원 ④ 설정'!$B$6:$B$40,0)),""))</f>
        <v/>
      </c>
      <c r="G465" s="39"/>
      <c r="H465" s="39"/>
      <c r="I465" s="40"/>
      <c r="J465" s="41"/>
      <c r="K465" s="38"/>
      <c r="L465" s="42" t="str">
        <f aca="false">IF($B465="","",IF(AND(N($I465)=0,N($J465)=0),"금액이 없습니다",IF(AND($I465&gt;0,$J465&gt;0),"수입·지출 둘 다 적혔습니다",IF($C465="","결제수단을 고르십시오",IF(ISNA(MATCH($C465,'교육원 ③ 통장·카드'!$A$5:$A$11,0)),"③ 통장·카드에 없는 결제수단입니다",IF($D465="","계정과목을 고르십시오",IF($E465="※없는 과목","④ 설정에 없는 과목입니다",IF(AND($E465="수입",$J465&gt;0),"수입 과목인데 지출에 적혔습니다",IF(AND(LEFT($E465,2)&lt;&gt;"수입",$E465&lt;&gt;"대체",$I465&gt;0),"지출 과목인데 수입에 적혔습니다",IF($K465="","증빙을 고르십시오",IF($H465="","적요를 적으십시오","")))))))))))</f>
        <v/>
      </c>
      <c r="M465" s="39"/>
      <c r="O465" s="11" t="str">
        <f aca="false">IF($B465="","",YEAR($B465)*100+MONTH($B465))</f>
        <v/>
      </c>
      <c r="P465" s="11" t="str">
        <f aca="false">IF($B465="","",IF($E465="대체",0,1))</f>
        <v/>
      </c>
    </row>
    <row r="466" customFormat="false" ht="15" hidden="false" customHeight="false" outlineLevel="0" collapsed="false">
      <c r="A466" s="36" t="str">
        <f aca="false">IF($B466="","",COUNT($B$15:$B466))</f>
        <v/>
      </c>
      <c r="B466" s="37"/>
      <c r="C466" s="38"/>
      <c r="D466" s="20"/>
      <c r="E466" s="36" t="str">
        <f aca="false">IF($D466="","",IFERROR(INDEX('교육원 ④ 설정'!$A$6:$A$40,MATCH($D466,'교육원 ④ 설정'!$B$6:$B$40,0)),"※없는 과목"))</f>
        <v/>
      </c>
      <c r="F466" s="36" t="str">
        <f aca="false">IF($D466="","",IFERROR(INDEX('교육원 ④ 설정'!$C$6:$C$40,MATCH($D466,'교육원 ④ 설정'!$B$6:$B$40,0)),""))</f>
        <v/>
      </c>
      <c r="G466" s="39"/>
      <c r="H466" s="39"/>
      <c r="I466" s="40"/>
      <c r="J466" s="41"/>
      <c r="K466" s="38"/>
      <c r="L466" s="42" t="str">
        <f aca="false">IF($B466="","",IF(AND(N($I466)=0,N($J466)=0),"금액이 없습니다",IF(AND($I466&gt;0,$J466&gt;0),"수입·지출 둘 다 적혔습니다",IF($C466="","결제수단을 고르십시오",IF(ISNA(MATCH($C466,'교육원 ③ 통장·카드'!$A$5:$A$11,0)),"③ 통장·카드에 없는 결제수단입니다",IF($D466="","계정과목을 고르십시오",IF($E466="※없는 과목","④ 설정에 없는 과목입니다",IF(AND($E466="수입",$J466&gt;0),"수입 과목인데 지출에 적혔습니다",IF(AND(LEFT($E466,2)&lt;&gt;"수입",$E466&lt;&gt;"대체",$I466&gt;0),"지출 과목인데 수입에 적혔습니다",IF($K466="","증빙을 고르십시오",IF($H466="","적요를 적으십시오","")))))))))))</f>
        <v/>
      </c>
      <c r="M466" s="39"/>
      <c r="O466" s="11" t="str">
        <f aca="false">IF($B466="","",YEAR($B466)*100+MONTH($B466))</f>
        <v/>
      </c>
      <c r="P466" s="11" t="str">
        <f aca="false">IF($B466="","",IF($E466="대체",0,1))</f>
        <v/>
      </c>
    </row>
    <row r="467" customFormat="false" ht="15" hidden="false" customHeight="false" outlineLevel="0" collapsed="false">
      <c r="A467" s="36" t="str">
        <f aca="false">IF($B467="","",COUNT($B$15:$B467))</f>
        <v/>
      </c>
      <c r="B467" s="37"/>
      <c r="C467" s="38"/>
      <c r="D467" s="20"/>
      <c r="E467" s="36" t="str">
        <f aca="false">IF($D467="","",IFERROR(INDEX('교육원 ④ 설정'!$A$6:$A$40,MATCH($D467,'교육원 ④ 설정'!$B$6:$B$40,0)),"※없는 과목"))</f>
        <v/>
      </c>
      <c r="F467" s="36" t="str">
        <f aca="false">IF($D467="","",IFERROR(INDEX('교육원 ④ 설정'!$C$6:$C$40,MATCH($D467,'교육원 ④ 설정'!$B$6:$B$40,0)),""))</f>
        <v/>
      </c>
      <c r="G467" s="39"/>
      <c r="H467" s="39"/>
      <c r="I467" s="40"/>
      <c r="J467" s="41"/>
      <c r="K467" s="38"/>
      <c r="L467" s="42" t="str">
        <f aca="false">IF($B467="","",IF(AND(N($I467)=0,N($J467)=0),"금액이 없습니다",IF(AND($I467&gt;0,$J467&gt;0),"수입·지출 둘 다 적혔습니다",IF($C467="","결제수단을 고르십시오",IF(ISNA(MATCH($C467,'교육원 ③ 통장·카드'!$A$5:$A$11,0)),"③ 통장·카드에 없는 결제수단입니다",IF($D467="","계정과목을 고르십시오",IF($E467="※없는 과목","④ 설정에 없는 과목입니다",IF(AND($E467="수입",$J467&gt;0),"수입 과목인데 지출에 적혔습니다",IF(AND(LEFT($E467,2)&lt;&gt;"수입",$E467&lt;&gt;"대체",$I467&gt;0),"지출 과목인데 수입에 적혔습니다",IF($K467="","증빙을 고르십시오",IF($H467="","적요를 적으십시오","")))))))))))</f>
        <v/>
      </c>
      <c r="M467" s="39"/>
      <c r="O467" s="11" t="str">
        <f aca="false">IF($B467="","",YEAR($B467)*100+MONTH($B467))</f>
        <v/>
      </c>
      <c r="P467" s="11" t="str">
        <f aca="false">IF($B467="","",IF($E467="대체",0,1))</f>
        <v/>
      </c>
    </row>
    <row r="468" customFormat="false" ht="15" hidden="false" customHeight="false" outlineLevel="0" collapsed="false">
      <c r="A468" s="36" t="str">
        <f aca="false">IF($B468="","",COUNT($B$15:$B468))</f>
        <v/>
      </c>
      <c r="B468" s="37"/>
      <c r="C468" s="38"/>
      <c r="D468" s="20"/>
      <c r="E468" s="36" t="str">
        <f aca="false">IF($D468="","",IFERROR(INDEX('교육원 ④ 설정'!$A$6:$A$40,MATCH($D468,'교육원 ④ 설정'!$B$6:$B$40,0)),"※없는 과목"))</f>
        <v/>
      </c>
      <c r="F468" s="36" t="str">
        <f aca="false">IF($D468="","",IFERROR(INDEX('교육원 ④ 설정'!$C$6:$C$40,MATCH($D468,'교육원 ④ 설정'!$B$6:$B$40,0)),""))</f>
        <v/>
      </c>
      <c r="G468" s="39"/>
      <c r="H468" s="39"/>
      <c r="I468" s="40"/>
      <c r="J468" s="41"/>
      <c r="K468" s="38"/>
      <c r="L468" s="42" t="str">
        <f aca="false">IF($B468="","",IF(AND(N($I468)=0,N($J468)=0),"금액이 없습니다",IF(AND($I468&gt;0,$J468&gt;0),"수입·지출 둘 다 적혔습니다",IF($C468="","결제수단을 고르십시오",IF(ISNA(MATCH($C468,'교육원 ③ 통장·카드'!$A$5:$A$11,0)),"③ 통장·카드에 없는 결제수단입니다",IF($D468="","계정과목을 고르십시오",IF($E468="※없는 과목","④ 설정에 없는 과목입니다",IF(AND($E468="수입",$J468&gt;0),"수입 과목인데 지출에 적혔습니다",IF(AND(LEFT($E468,2)&lt;&gt;"수입",$E468&lt;&gt;"대체",$I468&gt;0),"지출 과목인데 수입에 적혔습니다",IF($K468="","증빙을 고르십시오",IF($H468="","적요를 적으십시오","")))))))))))</f>
        <v/>
      </c>
      <c r="M468" s="39"/>
      <c r="O468" s="11" t="str">
        <f aca="false">IF($B468="","",YEAR($B468)*100+MONTH($B468))</f>
        <v/>
      </c>
      <c r="P468" s="11" t="str">
        <f aca="false">IF($B468="","",IF($E468="대체",0,1))</f>
        <v/>
      </c>
    </row>
    <row r="469" customFormat="false" ht="15" hidden="false" customHeight="false" outlineLevel="0" collapsed="false">
      <c r="A469" s="36" t="str">
        <f aca="false">IF($B469="","",COUNT($B$15:$B469))</f>
        <v/>
      </c>
      <c r="B469" s="37"/>
      <c r="C469" s="38"/>
      <c r="D469" s="20"/>
      <c r="E469" s="36" t="str">
        <f aca="false">IF($D469="","",IFERROR(INDEX('교육원 ④ 설정'!$A$6:$A$40,MATCH($D469,'교육원 ④ 설정'!$B$6:$B$40,0)),"※없는 과목"))</f>
        <v/>
      </c>
      <c r="F469" s="36" t="str">
        <f aca="false">IF($D469="","",IFERROR(INDEX('교육원 ④ 설정'!$C$6:$C$40,MATCH($D469,'교육원 ④ 설정'!$B$6:$B$40,0)),""))</f>
        <v/>
      </c>
      <c r="G469" s="39"/>
      <c r="H469" s="39"/>
      <c r="I469" s="40"/>
      <c r="J469" s="41"/>
      <c r="K469" s="38"/>
      <c r="L469" s="42" t="str">
        <f aca="false">IF($B469="","",IF(AND(N($I469)=0,N($J469)=0),"금액이 없습니다",IF(AND($I469&gt;0,$J469&gt;0),"수입·지출 둘 다 적혔습니다",IF($C469="","결제수단을 고르십시오",IF(ISNA(MATCH($C469,'교육원 ③ 통장·카드'!$A$5:$A$11,0)),"③ 통장·카드에 없는 결제수단입니다",IF($D469="","계정과목을 고르십시오",IF($E469="※없는 과목","④ 설정에 없는 과목입니다",IF(AND($E469="수입",$J469&gt;0),"수입 과목인데 지출에 적혔습니다",IF(AND(LEFT($E469,2)&lt;&gt;"수입",$E469&lt;&gt;"대체",$I469&gt;0),"지출 과목인데 수입에 적혔습니다",IF($K469="","증빙을 고르십시오",IF($H469="","적요를 적으십시오","")))))))))))</f>
        <v/>
      </c>
      <c r="M469" s="39"/>
      <c r="O469" s="11" t="str">
        <f aca="false">IF($B469="","",YEAR($B469)*100+MONTH($B469))</f>
        <v/>
      </c>
      <c r="P469" s="11" t="str">
        <f aca="false">IF($B469="","",IF($E469="대체",0,1))</f>
        <v/>
      </c>
    </row>
    <row r="470" customFormat="false" ht="15" hidden="false" customHeight="false" outlineLevel="0" collapsed="false">
      <c r="A470" s="36" t="str">
        <f aca="false">IF($B470="","",COUNT($B$15:$B470))</f>
        <v/>
      </c>
      <c r="B470" s="37"/>
      <c r="C470" s="38"/>
      <c r="D470" s="20"/>
      <c r="E470" s="36" t="str">
        <f aca="false">IF($D470="","",IFERROR(INDEX('교육원 ④ 설정'!$A$6:$A$40,MATCH($D470,'교육원 ④ 설정'!$B$6:$B$40,0)),"※없는 과목"))</f>
        <v/>
      </c>
      <c r="F470" s="36" t="str">
        <f aca="false">IF($D470="","",IFERROR(INDEX('교육원 ④ 설정'!$C$6:$C$40,MATCH($D470,'교육원 ④ 설정'!$B$6:$B$40,0)),""))</f>
        <v/>
      </c>
      <c r="G470" s="39"/>
      <c r="H470" s="39"/>
      <c r="I470" s="40"/>
      <c r="J470" s="41"/>
      <c r="K470" s="38"/>
      <c r="L470" s="42" t="str">
        <f aca="false">IF($B470="","",IF(AND(N($I470)=0,N($J470)=0),"금액이 없습니다",IF(AND($I470&gt;0,$J470&gt;0),"수입·지출 둘 다 적혔습니다",IF($C470="","결제수단을 고르십시오",IF(ISNA(MATCH($C470,'교육원 ③ 통장·카드'!$A$5:$A$11,0)),"③ 통장·카드에 없는 결제수단입니다",IF($D470="","계정과목을 고르십시오",IF($E470="※없는 과목","④ 설정에 없는 과목입니다",IF(AND($E470="수입",$J470&gt;0),"수입 과목인데 지출에 적혔습니다",IF(AND(LEFT($E470,2)&lt;&gt;"수입",$E470&lt;&gt;"대체",$I470&gt;0),"지출 과목인데 수입에 적혔습니다",IF($K470="","증빙을 고르십시오",IF($H470="","적요를 적으십시오","")))))))))))</f>
        <v/>
      </c>
      <c r="M470" s="39"/>
      <c r="O470" s="11" t="str">
        <f aca="false">IF($B470="","",YEAR($B470)*100+MONTH($B470))</f>
        <v/>
      </c>
      <c r="P470" s="11" t="str">
        <f aca="false">IF($B470="","",IF($E470="대체",0,1))</f>
        <v/>
      </c>
    </row>
    <row r="471" customFormat="false" ht="15" hidden="false" customHeight="false" outlineLevel="0" collapsed="false">
      <c r="A471" s="36" t="str">
        <f aca="false">IF($B471="","",COUNT($B$15:$B471))</f>
        <v/>
      </c>
      <c r="B471" s="37"/>
      <c r="C471" s="38"/>
      <c r="D471" s="20"/>
      <c r="E471" s="36" t="str">
        <f aca="false">IF($D471="","",IFERROR(INDEX('교육원 ④ 설정'!$A$6:$A$40,MATCH($D471,'교육원 ④ 설정'!$B$6:$B$40,0)),"※없는 과목"))</f>
        <v/>
      </c>
      <c r="F471" s="36" t="str">
        <f aca="false">IF($D471="","",IFERROR(INDEX('교육원 ④ 설정'!$C$6:$C$40,MATCH($D471,'교육원 ④ 설정'!$B$6:$B$40,0)),""))</f>
        <v/>
      </c>
      <c r="G471" s="39"/>
      <c r="H471" s="39"/>
      <c r="I471" s="40"/>
      <c r="J471" s="41"/>
      <c r="K471" s="38"/>
      <c r="L471" s="42" t="str">
        <f aca="false">IF($B471="","",IF(AND(N($I471)=0,N($J471)=0),"금액이 없습니다",IF(AND($I471&gt;0,$J471&gt;0),"수입·지출 둘 다 적혔습니다",IF($C471="","결제수단을 고르십시오",IF(ISNA(MATCH($C471,'교육원 ③ 통장·카드'!$A$5:$A$11,0)),"③ 통장·카드에 없는 결제수단입니다",IF($D471="","계정과목을 고르십시오",IF($E471="※없는 과목","④ 설정에 없는 과목입니다",IF(AND($E471="수입",$J471&gt;0),"수입 과목인데 지출에 적혔습니다",IF(AND(LEFT($E471,2)&lt;&gt;"수입",$E471&lt;&gt;"대체",$I471&gt;0),"지출 과목인데 수입에 적혔습니다",IF($K471="","증빙을 고르십시오",IF($H471="","적요를 적으십시오","")))))))))))</f>
        <v/>
      </c>
      <c r="M471" s="39"/>
      <c r="O471" s="11" t="str">
        <f aca="false">IF($B471="","",YEAR($B471)*100+MONTH($B471))</f>
        <v/>
      </c>
      <c r="P471" s="11" t="str">
        <f aca="false">IF($B471="","",IF($E471="대체",0,1))</f>
        <v/>
      </c>
    </row>
    <row r="472" customFormat="false" ht="15" hidden="false" customHeight="false" outlineLevel="0" collapsed="false">
      <c r="A472" s="36" t="str">
        <f aca="false">IF($B472="","",COUNT($B$15:$B472))</f>
        <v/>
      </c>
      <c r="B472" s="37"/>
      <c r="C472" s="38"/>
      <c r="D472" s="20"/>
      <c r="E472" s="36" t="str">
        <f aca="false">IF($D472="","",IFERROR(INDEX('교육원 ④ 설정'!$A$6:$A$40,MATCH($D472,'교육원 ④ 설정'!$B$6:$B$40,0)),"※없는 과목"))</f>
        <v/>
      </c>
      <c r="F472" s="36" t="str">
        <f aca="false">IF($D472="","",IFERROR(INDEX('교육원 ④ 설정'!$C$6:$C$40,MATCH($D472,'교육원 ④ 설정'!$B$6:$B$40,0)),""))</f>
        <v/>
      </c>
      <c r="G472" s="39"/>
      <c r="H472" s="39"/>
      <c r="I472" s="40"/>
      <c r="J472" s="41"/>
      <c r="K472" s="38"/>
      <c r="L472" s="42" t="str">
        <f aca="false">IF($B472="","",IF(AND(N($I472)=0,N($J472)=0),"금액이 없습니다",IF(AND($I472&gt;0,$J472&gt;0),"수입·지출 둘 다 적혔습니다",IF($C472="","결제수단을 고르십시오",IF(ISNA(MATCH($C472,'교육원 ③ 통장·카드'!$A$5:$A$11,0)),"③ 통장·카드에 없는 결제수단입니다",IF($D472="","계정과목을 고르십시오",IF($E472="※없는 과목","④ 설정에 없는 과목입니다",IF(AND($E472="수입",$J472&gt;0),"수입 과목인데 지출에 적혔습니다",IF(AND(LEFT($E472,2)&lt;&gt;"수입",$E472&lt;&gt;"대체",$I472&gt;0),"지출 과목인데 수입에 적혔습니다",IF($K472="","증빙을 고르십시오",IF($H472="","적요를 적으십시오","")))))))))))</f>
        <v/>
      </c>
      <c r="M472" s="39"/>
      <c r="O472" s="11" t="str">
        <f aca="false">IF($B472="","",YEAR($B472)*100+MONTH($B472))</f>
        <v/>
      </c>
      <c r="P472" s="11" t="str">
        <f aca="false">IF($B472="","",IF($E472="대체",0,1))</f>
        <v/>
      </c>
    </row>
    <row r="473" customFormat="false" ht="15" hidden="false" customHeight="false" outlineLevel="0" collapsed="false">
      <c r="A473" s="36" t="str">
        <f aca="false">IF($B473="","",COUNT($B$15:$B473))</f>
        <v/>
      </c>
      <c r="B473" s="37"/>
      <c r="C473" s="38"/>
      <c r="D473" s="20"/>
      <c r="E473" s="36" t="str">
        <f aca="false">IF($D473="","",IFERROR(INDEX('교육원 ④ 설정'!$A$6:$A$40,MATCH($D473,'교육원 ④ 설정'!$B$6:$B$40,0)),"※없는 과목"))</f>
        <v/>
      </c>
      <c r="F473" s="36" t="str">
        <f aca="false">IF($D473="","",IFERROR(INDEX('교육원 ④ 설정'!$C$6:$C$40,MATCH($D473,'교육원 ④ 설정'!$B$6:$B$40,0)),""))</f>
        <v/>
      </c>
      <c r="G473" s="39"/>
      <c r="H473" s="39"/>
      <c r="I473" s="40"/>
      <c r="J473" s="41"/>
      <c r="K473" s="38"/>
      <c r="L473" s="42" t="str">
        <f aca="false">IF($B473="","",IF(AND(N($I473)=0,N($J473)=0),"금액이 없습니다",IF(AND($I473&gt;0,$J473&gt;0),"수입·지출 둘 다 적혔습니다",IF($C473="","결제수단을 고르십시오",IF(ISNA(MATCH($C473,'교육원 ③ 통장·카드'!$A$5:$A$11,0)),"③ 통장·카드에 없는 결제수단입니다",IF($D473="","계정과목을 고르십시오",IF($E473="※없는 과목","④ 설정에 없는 과목입니다",IF(AND($E473="수입",$J473&gt;0),"수입 과목인데 지출에 적혔습니다",IF(AND(LEFT($E473,2)&lt;&gt;"수입",$E473&lt;&gt;"대체",$I473&gt;0),"지출 과목인데 수입에 적혔습니다",IF($K473="","증빙을 고르십시오",IF($H473="","적요를 적으십시오","")))))))))))</f>
        <v/>
      </c>
      <c r="M473" s="39"/>
      <c r="O473" s="11" t="str">
        <f aca="false">IF($B473="","",YEAR($B473)*100+MONTH($B473))</f>
        <v/>
      </c>
      <c r="P473" s="11" t="str">
        <f aca="false">IF($B473="","",IF($E473="대체",0,1))</f>
        <v/>
      </c>
    </row>
    <row r="474" customFormat="false" ht="15" hidden="false" customHeight="false" outlineLevel="0" collapsed="false">
      <c r="A474" s="36" t="str">
        <f aca="false">IF($B474="","",COUNT($B$15:$B474))</f>
        <v/>
      </c>
      <c r="B474" s="37"/>
      <c r="C474" s="38"/>
      <c r="D474" s="20"/>
      <c r="E474" s="36" t="str">
        <f aca="false">IF($D474="","",IFERROR(INDEX('교육원 ④ 설정'!$A$6:$A$40,MATCH($D474,'교육원 ④ 설정'!$B$6:$B$40,0)),"※없는 과목"))</f>
        <v/>
      </c>
      <c r="F474" s="36" t="str">
        <f aca="false">IF($D474="","",IFERROR(INDEX('교육원 ④ 설정'!$C$6:$C$40,MATCH($D474,'교육원 ④ 설정'!$B$6:$B$40,0)),""))</f>
        <v/>
      </c>
      <c r="G474" s="39"/>
      <c r="H474" s="39"/>
      <c r="I474" s="40"/>
      <c r="J474" s="41"/>
      <c r="K474" s="38"/>
      <c r="L474" s="42" t="str">
        <f aca="false">IF($B474="","",IF(AND(N($I474)=0,N($J474)=0),"금액이 없습니다",IF(AND($I474&gt;0,$J474&gt;0),"수입·지출 둘 다 적혔습니다",IF($C474="","결제수단을 고르십시오",IF(ISNA(MATCH($C474,'교육원 ③ 통장·카드'!$A$5:$A$11,0)),"③ 통장·카드에 없는 결제수단입니다",IF($D474="","계정과목을 고르십시오",IF($E474="※없는 과목","④ 설정에 없는 과목입니다",IF(AND($E474="수입",$J474&gt;0),"수입 과목인데 지출에 적혔습니다",IF(AND(LEFT($E474,2)&lt;&gt;"수입",$E474&lt;&gt;"대체",$I474&gt;0),"지출 과목인데 수입에 적혔습니다",IF($K474="","증빙을 고르십시오",IF($H474="","적요를 적으십시오","")))))))))))</f>
        <v/>
      </c>
      <c r="M474" s="39"/>
      <c r="O474" s="11" t="str">
        <f aca="false">IF($B474="","",YEAR($B474)*100+MONTH($B474))</f>
        <v/>
      </c>
      <c r="P474" s="11" t="str">
        <f aca="false">IF($B474="","",IF($E474="대체",0,1))</f>
        <v/>
      </c>
    </row>
    <row r="475" customFormat="false" ht="15" hidden="false" customHeight="false" outlineLevel="0" collapsed="false">
      <c r="A475" s="36" t="str">
        <f aca="false">IF($B475="","",COUNT($B$15:$B475))</f>
        <v/>
      </c>
      <c r="B475" s="37"/>
      <c r="C475" s="38"/>
      <c r="D475" s="20"/>
      <c r="E475" s="36" t="str">
        <f aca="false">IF($D475="","",IFERROR(INDEX('교육원 ④ 설정'!$A$6:$A$40,MATCH($D475,'교육원 ④ 설정'!$B$6:$B$40,0)),"※없는 과목"))</f>
        <v/>
      </c>
      <c r="F475" s="36" t="str">
        <f aca="false">IF($D475="","",IFERROR(INDEX('교육원 ④ 설정'!$C$6:$C$40,MATCH($D475,'교육원 ④ 설정'!$B$6:$B$40,0)),""))</f>
        <v/>
      </c>
      <c r="G475" s="39"/>
      <c r="H475" s="39"/>
      <c r="I475" s="40"/>
      <c r="J475" s="41"/>
      <c r="K475" s="38"/>
      <c r="L475" s="42" t="str">
        <f aca="false">IF($B475="","",IF(AND(N($I475)=0,N($J475)=0),"금액이 없습니다",IF(AND($I475&gt;0,$J475&gt;0),"수입·지출 둘 다 적혔습니다",IF($C475="","결제수단을 고르십시오",IF(ISNA(MATCH($C475,'교육원 ③ 통장·카드'!$A$5:$A$11,0)),"③ 통장·카드에 없는 결제수단입니다",IF($D475="","계정과목을 고르십시오",IF($E475="※없는 과목","④ 설정에 없는 과목입니다",IF(AND($E475="수입",$J475&gt;0),"수입 과목인데 지출에 적혔습니다",IF(AND(LEFT($E475,2)&lt;&gt;"수입",$E475&lt;&gt;"대체",$I475&gt;0),"지출 과목인데 수입에 적혔습니다",IF($K475="","증빙을 고르십시오",IF($H475="","적요를 적으십시오","")))))))))))</f>
        <v/>
      </c>
      <c r="M475" s="39"/>
      <c r="O475" s="11" t="str">
        <f aca="false">IF($B475="","",YEAR($B475)*100+MONTH($B475))</f>
        <v/>
      </c>
      <c r="P475" s="11" t="str">
        <f aca="false">IF($B475="","",IF($E475="대체",0,1))</f>
        <v/>
      </c>
    </row>
    <row r="476" customFormat="false" ht="15" hidden="false" customHeight="false" outlineLevel="0" collapsed="false">
      <c r="A476" s="36" t="str">
        <f aca="false">IF($B476="","",COUNT($B$15:$B476))</f>
        <v/>
      </c>
      <c r="B476" s="37"/>
      <c r="C476" s="38"/>
      <c r="D476" s="20"/>
      <c r="E476" s="36" t="str">
        <f aca="false">IF($D476="","",IFERROR(INDEX('교육원 ④ 설정'!$A$6:$A$40,MATCH($D476,'교육원 ④ 설정'!$B$6:$B$40,0)),"※없는 과목"))</f>
        <v/>
      </c>
      <c r="F476" s="36" t="str">
        <f aca="false">IF($D476="","",IFERROR(INDEX('교육원 ④ 설정'!$C$6:$C$40,MATCH($D476,'교육원 ④ 설정'!$B$6:$B$40,0)),""))</f>
        <v/>
      </c>
      <c r="G476" s="39"/>
      <c r="H476" s="39"/>
      <c r="I476" s="40"/>
      <c r="J476" s="41"/>
      <c r="K476" s="38"/>
      <c r="L476" s="42" t="str">
        <f aca="false">IF($B476="","",IF(AND(N($I476)=0,N($J476)=0),"금액이 없습니다",IF(AND($I476&gt;0,$J476&gt;0),"수입·지출 둘 다 적혔습니다",IF($C476="","결제수단을 고르십시오",IF(ISNA(MATCH($C476,'교육원 ③ 통장·카드'!$A$5:$A$11,0)),"③ 통장·카드에 없는 결제수단입니다",IF($D476="","계정과목을 고르십시오",IF($E476="※없는 과목","④ 설정에 없는 과목입니다",IF(AND($E476="수입",$J476&gt;0),"수입 과목인데 지출에 적혔습니다",IF(AND(LEFT($E476,2)&lt;&gt;"수입",$E476&lt;&gt;"대체",$I476&gt;0),"지출 과목인데 수입에 적혔습니다",IF($K476="","증빙을 고르십시오",IF($H476="","적요를 적으십시오","")))))))))))</f>
        <v/>
      </c>
      <c r="M476" s="39"/>
      <c r="O476" s="11" t="str">
        <f aca="false">IF($B476="","",YEAR($B476)*100+MONTH($B476))</f>
        <v/>
      </c>
      <c r="P476" s="11" t="str">
        <f aca="false">IF($B476="","",IF($E476="대체",0,1))</f>
        <v/>
      </c>
    </row>
    <row r="477" customFormat="false" ht="15" hidden="false" customHeight="false" outlineLevel="0" collapsed="false">
      <c r="A477" s="36" t="str">
        <f aca="false">IF($B477="","",COUNT($B$15:$B477))</f>
        <v/>
      </c>
      <c r="B477" s="37"/>
      <c r="C477" s="38"/>
      <c r="D477" s="20"/>
      <c r="E477" s="36" t="str">
        <f aca="false">IF($D477="","",IFERROR(INDEX('교육원 ④ 설정'!$A$6:$A$40,MATCH($D477,'교육원 ④ 설정'!$B$6:$B$40,0)),"※없는 과목"))</f>
        <v/>
      </c>
      <c r="F477" s="36" t="str">
        <f aca="false">IF($D477="","",IFERROR(INDEX('교육원 ④ 설정'!$C$6:$C$40,MATCH($D477,'교육원 ④ 설정'!$B$6:$B$40,0)),""))</f>
        <v/>
      </c>
      <c r="G477" s="39"/>
      <c r="H477" s="39"/>
      <c r="I477" s="40"/>
      <c r="J477" s="41"/>
      <c r="K477" s="38"/>
      <c r="L477" s="42" t="str">
        <f aca="false">IF($B477="","",IF(AND(N($I477)=0,N($J477)=0),"금액이 없습니다",IF(AND($I477&gt;0,$J477&gt;0),"수입·지출 둘 다 적혔습니다",IF($C477="","결제수단을 고르십시오",IF(ISNA(MATCH($C477,'교육원 ③ 통장·카드'!$A$5:$A$11,0)),"③ 통장·카드에 없는 결제수단입니다",IF($D477="","계정과목을 고르십시오",IF($E477="※없는 과목","④ 설정에 없는 과목입니다",IF(AND($E477="수입",$J477&gt;0),"수입 과목인데 지출에 적혔습니다",IF(AND(LEFT($E477,2)&lt;&gt;"수입",$E477&lt;&gt;"대체",$I477&gt;0),"지출 과목인데 수입에 적혔습니다",IF($K477="","증빙을 고르십시오",IF($H477="","적요를 적으십시오","")))))))))))</f>
        <v/>
      </c>
      <c r="M477" s="39"/>
      <c r="O477" s="11" t="str">
        <f aca="false">IF($B477="","",YEAR($B477)*100+MONTH($B477))</f>
        <v/>
      </c>
      <c r="P477" s="11" t="str">
        <f aca="false">IF($B477="","",IF($E477="대체",0,1))</f>
        <v/>
      </c>
    </row>
    <row r="478" customFormat="false" ht="15" hidden="false" customHeight="false" outlineLevel="0" collapsed="false">
      <c r="A478" s="36" t="str">
        <f aca="false">IF($B478="","",COUNT($B$15:$B478))</f>
        <v/>
      </c>
      <c r="B478" s="37"/>
      <c r="C478" s="38"/>
      <c r="D478" s="20"/>
      <c r="E478" s="36" t="str">
        <f aca="false">IF($D478="","",IFERROR(INDEX('교육원 ④ 설정'!$A$6:$A$40,MATCH($D478,'교육원 ④ 설정'!$B$6:$B$40,0)),"※없는 과목"))</f>
        <v/>
      </c>
      <c r="F478" s="36" t="str">
        <f aca="false">IF($D478="","",IFERROR(INDEX('교육원 ④ 설정'!$C$6:$C$40,MATCH($D478,'교육원 ④ 설정'!$B$6:$B$40,0)),""))</f>
        <v/>
      </c>
      <c r="G478" s="39"/>
      <c r="H478" s="39"/>
      <c r="I478" s="40"/>
      <c r="J478" s="41"/>
      <c r="K478" s="38"/>
      <c r="L478" s="42" t="str">
        <f aca="false">IF($B478="","",IF(AND(N($I478)=0,N($J478)=0),"금액이 없습니다",IF(AND($I478&gt;0,$J478&gt;0),"수입·지출 둘 다 적혔습니다",IF($C478="","결제수단을 고르십시오",IF(ISNA(MATCH($C478,'교육원 ③ 통장·카드'!$A$5:$A$11,0)),"③ 통장·카드에 없는 결제수단입니다",IF($D478="","계정과목을 고르십시오",IF($E478="※없는 과목","④ 설정에 없는 과목입니다",IF(AND($E478="수입",$J478&gt;0),"수입 과목인데 지출에 적혔습니다",IF(AND(LEFT($E478,2)&lt;&gt;"수입",$E478&lt;&gt;"대체",$I478&gt;0),"지출 과목인데 수입에 적혔습니다",IF($K478="","증빙을 고르십시오",IF($H478="","적요를 적으십시오","")))))))))))</f>
        <v/>
      </c>
      <c r="M478" s="39"/>
      <c r="O478" s="11" t="str">
        <f aca="false">IF($B478="","",YEAR($B478)*100+MONTH($B478))</f>
        <v/>
      </c>
      <c r="P478" s="11" t="str">
        <f aca="false">IF($B478="","",IF($E478="대체",0,1))</f>
        <v/>
      </c>
    </row>
    <row r="479" customFormat="false" ht="15" hidden="false" customHeight="false" outlineLevel="0" collapsed="false">
      <c r="A479" s="36" t="str">
        <f aca="false">IF($B479="","",COUNT($B$15:$B479))</f>
        <v/>
      </c>
      <c r="B479" s="37"/>
      <c r="C479" s="38"/>
      <c r="D479" s="20"/>
      <c r="E479" s="36" t="str">
        <f aca="false">IF($D479="","",IFERROR(INDEX('교육원 ④ 설정'!$A$6:$A$40,MATCH($D479,'교육원 ④ 설정'!$B$6:$B$40,0)),"※없는 과목"))</f>
        <v/>
      </c>
      <c r="F479" s="36" t="str">
        <f aca="false">IF($D479="","",IFERROR(INDEX('교육원 ④ 설정'!$C$6:$C$40,MATCH($D479,'교육원 ④ 설정'!$B$6:$B$40,0)),""))</f>
        <v/>
      </c>
      <c r="G479" s="39"/>
      <c r="H479" s="39"/>
      <c r="I479" s="40"/>
      <c r="J479" s="41"/>
      <c r="K479" s="38"/>
      <c r="L479" s="42" t="str">
        <f aca="false">IF($B479="","",IF(AND(N($I479)=0,N($J479)=0),"금액이 없습니다",IF(AND($I479&gt;0,$J479&gt;0),"수입·지출 둘 다 적혔습니다",IF($C479="","결제수단을 고르십시오",IF(ISNA(MATCH($C479,'교육원 ③ 통장·카드'!$A$5:$A$11,0)),"③ 통장·카드에 없는 결제수단입니다",IF($D479="","계정과목을 고르십시오",IF($E479="※없는 과목","④ 설정에 없는 과목입니다",IF(AND($E479="수입",$J479&gt;0),"수입 과목인데 지출에 적혔습니다",IF(AND(LEFT($E479,2)&lt;&gt;"수입",$E479&lt;&gt;"대체",$I479&gt;0),"지출 과목인데 수입에 적혔습니다",IF($K479="","증빙을 고르십시오",IF($H479="","적요를 적으십시오","")))))))))))</f>
        <v/>
      </c>
      <c r="M479" s="39"/>
      <c r="O479" s="11" t="str">
        <f aca="false">IF($B479="","",YEAR($B479)*100+MONTH($B479))</f>
        <v/>
      </c>
      <c r="P479" s="11" t="str">
        <f aca="false">IF($B479="","",IF($E479="대체",0,1))</f>
        <v/>
      </c>
    </row>
    <row r="480" customFormat="false" ht="15" hidden="false" customHeight="false" outlineLevel="0" collapsed="false">
      <c r="A480" s="36" t="str">
        <f aca="false">IF($B480="","",COUNT($B$15:$B480))</f>
        <v/>
      </c>
      <c r="B480" s="37"/>
      <c r="C480" s="38"/>
      <c r="D480" s="20"/>
      <c r="E480" s="36" t="str">
        <f aca="false">IF($D480="","",IFERROR(INDEX('교육원 ④ 설정'!$A$6:$A$40,MATCH($D480,'교육원 ④ 설정'!$B$6:$B$40,0)),"※없는 과목"))</f>
        <v/>
      </c>
      <c r="F480" s="36" t="str">
        <f aca="false">IF($D480="","",IFERROR(INDEX('교육원 ④ 설정'!$C$6:$C$40,MATCH($D480,'교육원 ④ 설정'!$B$6:$B$40,0)),""))</f>
        <v/>
      </c>
      <c r="G480" s="39"/>
      <c r="H480" s="39"/>
      <c r="I480" s="40"/>
      <c r="J480" s="41"/>
      <c r="K480" s="38"/>
      <c r="L480" s="42" t="str">
        <f aca="false">IF($B480="","",IF(AND(N($I480)=0,N($J480)=0),"금액이 없습니다",IF(AND($I480&gt;0,$J480&gt;0),"수입·지출 둘 다 적혔습니다",IF($C480="","결제수단을 고르십시오",IF(ISNA(MATCH($C480,'교육원 ③ 통장·카드'!$A$5:$A$11,0)),"③ 통장·카드에 없는 결제수단입니다",IF($D480="","계정과목을 고르십시오",IF($E480="※없는 과목","④ 설정에 없는 과목입니다",IF(AND($E480="수입",$J480&gt;0),"수입 과목인데 지출에 적혔습니다",IF(AND(LEFT($E480,2)&lt;&gt;"수입",$E480&lt;&gt;"대체",$I480&gt;0),"지출 과목인데 수입에 적혔습니다",IF($K480="","증빙을 고르십시오",IF($H480="","적요를 적으십시오","")))))))))))</f>
        <v/>
      </c>
      <c r="M480" s="39"/>
      <c r="O480" s="11" t="str">
        <f aca="false">IF($B480="","",YEAR($B480)*100+MONTH($B480))</f>
        <v/>
      </c>
      <c r="P480" s="11" t="str">
        <f aca="false">IF($B480="","",IF($E480="대체",0,1))</f>
        <v/>
      </c>
    </row>
    <row r="481" customFormat="false" ht="15" hidden="false" customHeight="false" outlineLevel="0" collapsed="false">
      <c r="A481" s="36" t="str">
        <f aca="false">IF($B481="","",COUNT($B$15:$B481))</f>
        <v/>
      </c>
      <c r="B481" s="37"/>
      <c r="C481" s="38"/>
      <c r="D481" s="20"/>
      <c r="E481" s="36" t="str">
        <f aca="false">IF($D481="","",IFERROR(INDEX('교육원 ④ 설정'!$A$6:$A$40,MATCH($D481,'교육원 ④ 설정'!$B$6:$B$40,0)),"※없는 과목"))</f>
        <v/>
      </c>
      <c r="F481" s="36" t="str">
        <f aca="false">IF($D481="","",IFERROR(INDEX('교육원 ④ 설정'!$C$6:$C$40,MATCH($D481,'교육원 ④ 설정'!$B$6:$B$40,0)),""))</f>
        <v/>
      </c>
      <c r="G481" s="39"/>
      <c r="H481" s="39"/>
      <c r="I481" s="40"/>
      <c r="J481" s="41"/>
      <c r="K481" s="38"/>
      <c r="L481" s="42" t="str">
        <f aca="false">IF($B481="","",IF(AND(N($I481)=0,N($J481)=0),"금액이 없습니다",IF(AND($I481&gt;0,$J481&gt;0),"수입·지출 둘 다 적혔습니다",IF($C481="","결제수단을 고르십시오",IF(ISNA(MATCH($C481,'교육원 ③ 통장·카드'!$A$5:$A$11,0)),"③ 통장·카드에 없는 결제수단입니다",IF($D481="","계정과목을 고르십시오",IF($E481="※없는 과목","④ 설정에 없는 과목입니다",IF(AND($E481="수입",$J481&gt;0),"수입 과목인데 지출에 적혔습니다",IF(AND(LEFT($E481,2)&lt;&gt;"수입",$E481&lt;&gt;"대체",$I481&gt;0),"지출 과목인데 수입에 적혔습니다",IF($K481="","증빙을 고르십시오",IF($H481="","적요를 적으십시오","")))))))))))</f>
        <v/>
      </c>
      <c r="M481" s="39"/>
      <c r="O481" s="11" t="str">
        <f aca="false">IF($B481="","",YEAR($B481)*100+MONTH($B481))</f>
        <v/>
      </c>
      <c r="P481" s="11" t="str">
        <f aca="false">IF($B481="","",IF($E481="대체",0,1))</f>
        <v/>
      </c>
    </row>
    <row r="482" customFormat="false" ht="15" hidden="false" customHeight="false" outlineLevel="0" collapsed="false">
      <c r="A482" s="36" t="str">
        <f aca="false">IF($B482="","",COUNT($B$15:$B482))</f>
        <v/>
      </c>
      <c r="B482" s="37"/>
      <c r="C482" s="38"/>
      <c r="D482" s="20"/>
      <c r="E482" s="36" t="str">
        <f aca="false">IF($D482="","",IFERROR(INDEX('교육원 ④ 설정'!$A$6:$A$40,MATCH($D482,'교육원 ④ 설정'!$B$6:$B$40,0)),"※없는 과목"))</f>
        <v/>
      </c>
      <c r="F482" s="36" t="str">
        <f aca="false">IF($D482="","",IFERROR(INDEX('교육원 ④ 설정'!$C$6:$C$40,MATCH($D482,'교육원 ④ 설정'!$B$6:$B$40,0)),""))</f>
        <v/>
      </c>
      <c r="G482" s="39"/>
      <c r="H482" s="39"/>
      <c r="I482" s="40"/>
      <c r="J482" s="41"/>
      <c r="K482" s="38"/>
      <c r="L482" s="42" t="str">
        <f aca="false">IF($B482="","",IF(AND(N($I482)=0,N($J482)=0),"금액이 없습니다",IF(AND($I482&gt;0,$J482&gt;0),"수입·지출 둘 다 적혔습니다",IF($C482="","결제수단을 고르십시오",IF(ISNA(MATCH($C482,'교육원 ③ 통장·카드'!$A$5:$A$11,0)),"③ 통장·카드에 없는 결제수단입니다",IF($D482="","계정과목을 고르십시오",IF($E482="※없는 과목","④ 설정에 없는 과목입니다",IF(AND($E482="수입",$J482&gt;0),"수입 과목인데 지출에 적혔습니다",IF(AND(LEFT($E482,2)&lt;&gt;"수입",$E482&lt;&gt;"대체",$I482&gt;0),"지출 과목인데 수입에 적혔습니다",IF($K482="","증빙을 고르십시오",IF($H482="","적요를 적으십시오","")))))))))))</f>
        <v/>
      </c>
      <c r="M482" s="39"/>
      <c r="O482" s="11" t="str">
        <f aca="false">IF($B482="","",YEAR($B482)*100+MONTH($B482))</f>
        <v/>
      </c>
      <c r="P482" s="11" t="str">
        <f aca="false">IF($B482="","",IF($E482="대체",0,1))</f>
        <v/>
      </c>
    </row>
    <row r="483" customFormat="false" ht="15" hidden="false" customHeight="false" outlineLevel="0" collapsed="false">
      <c r="A483" s="36" t="str">
        <f aca="false">IF($B483="","",COUNT($B$15:$B483))</f>
        <v/>
      </c>
      <c r="B483" s="37"/>
      <c r="C483" s="38"/>
      <c r="D483" s="20"/>
      <c r="E483" s="36" t="str">
        <f aca="false">IF($D483="","",IFERROR(INDEX('교육원 ④ 설정'!$A$6:$A$40,MATCH($D483,'교육원 ④ 설정'!$B$6:$B$40,0)),"※없는 과목"))</f>
        <v/>
      </c>
      <c r="F483" s="36" t="str">
        <f aca="false">IF($D483="","",IFERROR(INDEX('교육원 ④ 설정'!$C$6:$C$40,MATCH($D483,'교육원 ④ 설정'!$B$6:$B$40,0)),""))</f>
        <v/>
      </c>
      <c r="G483" s="39"/>
      <c r="H483" s="39"/>
      <c r="I483" s="40"/>
      <c r="J483" s="41"/>
      <c r="K483" s="38"/>
      <c r="L483" s="42" t="str">
        <f aca="false">IF($B483="","",IF(AND(N($I483)=0,N($J483)=0),"금액이 없습니다",IF(AND($I483&gt;0,$J483&gt;0),"수입·지출 둘 다 적혔습니다",IF($C483="","결제수단을 고르십시오",IF(ISNA(MATCH($C483,'교육원 ③ 통장·카드'!$A$5:$A$11,0)),"③ 통장·카드에 없는 결제수단입니다",IF($D483="","계정과목을 고르십시오",IF($E483="※없는 과목","④ 설정에 없는 과목입니다",IF(AND($E483="수입",$J483&gt;0),"수입 과목인데 지출에 적혔습니다",IF(AND(LEFT($E483,2)&lt;&gt;"수입",$E483&lt;&gt;"대체",$I483&gt;0),"지출 과목인데 수입에 적혔습니다",IF($K483="","증빙을 고르십시오",IF($H483="","적요를 적으십시오","")))))))))))</f>
        <v/>
      </c>
      <c r="M483" s="39"/>
      <c r="O483" s="11" t="str">
        <f aca="false">IF($B483="","",YEAR($B483)*100+MONTH($B483))</f>
        <v/>
      </c>
      <c r="P483" s="11" t="str">
        <f aca="false">IF($B483="","",IF($E483="대체",0,1))</f>
        <v/>
      </c>
    </row>
    <row r="484" customFormat="false" ht="15" hidden="false" customHeight="false" outlineLevel="0" collapsed="false">
      <c r="A484" s="36" t="str">
        <f aca="false">IF($B484="","",COUNT($B$15:$B484))</f>
        <v/>
      </c>
      <c r="B484" s="37"/>
      <c r="C484" s="38"/>
      <c r="D484" s="20"/>
      <c r="E484" s="36" t="str">
        <f aca="false">IF($D484="","",IFERROR(INDEX('교육원 ④ 설정'!$A$6:$A$40,MATCH($D484,'교육원 ④ 설정'!$B$6:$B$40,0)),"※없는 과목"))</f>
        <v/>
      </c>
      <c r="F484" s="36" t="str">
        <f aca="false">IF($D484="","",IFERROR(INDEX('교육원 ④ 설정'!$C$6:$C$40,MATCH($D484,'교육원 ④ 설정'!$B$6:$B$40,0)),""))</f>
        <v/>
      </c>
      <c r="G484" s="39"/>
      <c r="H484" s="39"/>
      <c r="I484" s="40"/>
      <c r="J484" s="41"/>
      <c r="K484" s="38"/>
      <c r="L484" s="42" t="str">
        <f aca="false">IF($B484="","",IF(AND(N($I484)=0,N($J484)=0),"금액이 없습니다",IF(AND($I484&gt;0,$J484&gt;0),"수입·지출 둘 다 적혔습니다",IF($C484="","결제수단을 고르십시오",IF(ISNA(MATCH($C484,'교육원 ③ 통장·카드'!$A$5:$A$11,0)),"③ 통장·카드에 없는 결제수단입니다",IF($D484="","계정과목을 고르십시오",IF($E484="※없는 과목","④ 설정에 없는 과목입니다",IF(AND($E484="수입",$J484&gt;0),"수입 과목인데 지출에 적혔습니다",IF(AND(LEFT($E484,2)&lt;&gt;"수입",$E484&lt;&gt;"대체",$I484&gt;0),"지출 과목인데 수입에 적혔습니다",IF($K484="","증빙을 고르십시오",IF($H484="","적요를 적으십시오","")))))))))))</f>
        <v/>
      </c>
      <c r="M484" s="39"/>
      <c r="O484" s="11" t="str">
        <f aca="false">IF($B484="","",YEAR($B484)*100+MONTH($B484))</f>
        <v/>
      </c>
      <c r="P484" s="11" t="str">
        <f aca="false">IF($B484="","",IF($E484="대체",0,1))</f>
        <v/>
      </c>
    </row>
    <row r="485" customFormat="false" ht="15" hidden="false" customHeight="false" outlineLevel="0" collapsed="false">
      <c r="A485" s="36" t="str">
        <f aca="false">IF($B485="","",COUNT($B$15:$B485))</f>
        <v/>
      </c>
      <c r="B485" s="37"/>
      <c r="C485" s="38"/>
      <c r="D485" s="20"/>
      <c r="E485" s="36" t="str">
        <f aca="false">IF($D485="","",IFERROR(INDEX('교육원 ④ 설정'!$A$6:$A$40,MATCH($D485,'교육원 ④ 설정'!$B$6:$B$40,0)),"※없는 과목"))</f>
        <v/>
      </c>
      <c r="F485" s="36" t="str">
        <f aca="false">IF($D485="","",IFERROR(INDEX('교육원 ④ 설정'!$C$6:$C$40,MATCH($D485,'교육원 ④ 설정'!$B$6:$B$40,0)),""))</f>
        <v/>
      </c>
      <c r="G485" s="39"/>
      <c r="H485" s="39"/>
      <c r="I485" s="40"/>
      <c r="J485" s="41"/>
      <c r="K485" s="38"/>
      <c r="L485" s="42" t="str">
        <f aca="false">IF($B485="","",IF(AND(N($I485)=0,N($J485)=0),"금액이 없습니다",IF(AND($I485&gt;0,$J485&gt;0),"수입·지출 둘 다 적혔습니다",IF($C485="","결제수단을 고르십시오",IF(ISNA(MATCH($C485,'교육원 ③ 통장·카드'!$A$5:$A$11,0)),"③ 통장·카드에 없는 결제수단입니다",IF($D485="","계정과목을 고르십시오",IF($E485="※없는 과목","④ 설정에 없는 과목입니다",IF(AND($E485="수입",$J485&gt;0),"수입 과목인데 지출에 적혔습니다",IF(AND(LEFT($E485,2)&lt;&gt;"수입",$E485&lt;&gt;"대체",$I485&gt;0),"지출 과목인데 수입에 적혔습니다",IF($K485="","증빙을 고르십시오",IF($H485="","적요를 적으십시오","")))))))))))</f>
        <v/>
      </c>
      <c r="M485" s="39"/>
      <c r="O485" s="11" t="str">
        <f aca="false">IF($B485="","",YEAR($B485)*100+MONTH($B485))</f>
        <v/>
      </c>
      <c r="P485" s="11" t="str">
        <f aca="false">IF($B485="","",IF($E485="대체",0,1))</f>
        <v/>
      </c>
    </row>
    <row r="486" customFormat="false" ht="15" hidden="false" customHeight="false" outlineLevel="0" collapsed="false">
      <c r="A486" s="36" t="str">
        <f aca="false">IF($B486="","",COUNT($B$15:$B486))</f>
        <v/>
      </c>
      <c r="B486" s="37"/>
      <c r="C486" s="38"/>
      <c r="D486" s="20"/>
      <c r="E486" s="36" t="str">
        <f aca="false">IF($D486="","",IFERROR(INDEX('교육원 ④ 설정'!$A$6:$A$40,MATCH($D486,'교육원 ④ 설정'!$B$6:$B$40,0)),"※없는 과목"))</f>
        <v/>
      </c>
      <c r="F486" s="36" t="str">
        <f aca="false">IF($D486="","",IFERROR(INDEX('교육원 ④ 설정'!$C$6:$C$40,MATCH($D486,'교육원 ④ 설정'!$B$6:$B$40,0)),""))</f>
        <v/>
      </c>
      <c r="G486" s="39"/>
      <c r="H486" s="39"/>
      <c r="I486" s="40"/>
      <c r="J486" s="41"/>
      <c r="K486" s="38"/>
      <c r="L486" s="42" t="str">
        <f aca="false">IF($B486="","",IF(AND(N($I486)=0,N($J486)=0),"금액이 없습니다",IF(AND($I486&gt;0,$J486&gt;0),"수입·지출 둘 다 적혔습니다",IF($C486="","결제수단을 고르십시오",IF(ISNA(MATCH($C486,'교육원 ③ 통장·카드'!$A$5:$A$11,0)),"③ 통장·카드에 없는 결제수단입니다",IF($D486="","계정과목을 고르십시오",IF($E486="※없는 과목","④ 설정에 없는 과목입니다",IF(AND($E486="수입",$J486&gt;0),"수입 과목인데 지출에 적혔습니다",IF(AND(LEFT($E486,2)&lt;&gt;"수입",$E486&lt;&gt;"대체",$I486&gt;0),"지출 과목인데 수입에 적혔습니다",IF($K486="","증빙을 고르십시오",IF($H486="","적요를 적으십시오","")))))))))))</f>
        <v/>
      </c>
      <c r="M486" s="39"/>
      <c r="O486" s="11" t="str">
        <f aca="false">IF($B486="","",YEAR($B486)*100+MONTH($B486))</f>
        <v/>
      </c>
      <c r="P486" s="11" t="str">
        <f aca="false">IF($B486="","",IF($E486="대체",0,1))</f>
        <v/>
      </c>
    </row>
    <row r="487" customFormat="false" ht="15" hidden="false" customHeight="false" outlineLevel="0" collapsed="false">
      <c r="A487" s="36" t="str">
        <f aca="false">IF($B487="","",COUNT($B$15:$B487))</f>
        <v/>
      </c>
      <c r="B487" s="37"/>
      <c r="C487" s="38"/>
      <c r="D487" s="20"/>
      <c r="E487" s="36" t="str">
        <f aca="false">IF($D487="","",IFERROR(INDEX('교육원 ④ 설정'!$A$6:$A$40,MATCH($D487,'교육원 ④ 설정'!$B$6:$B$40,0)),"※없는 과목"))</f>
        <v/>
      </c>
      <c r="F487" s="36" t="str">
        <f aca="false">IF($D487="","",IFERROR(INDEX('교육원 ④ 설정'!$C$6:$C$40,MATCH($D487,'교육원 ④ 설정'!$B$6:$B$40,0)),""))</f>
        <v/>
      </c>
      <c r="G487" s="39"/>
      <c r="H487" s="39"/>
      <c r="I487" s="40"/>
      <c r="J487" s="41"/>
      <c r="K487" s="38"/>
      <c r="L487" s="42" t="str">
        <f aca="false">IF($B487="","",IF(AND(N($I487)=0,N($J487)=0),"금액이 없습니다",IF(AND($I487&gt;0,$J487&gt;0),"수입·지출 둘 다 적혔습니다",IF($C487="","결제수단을 고르십시오",IF(ISNA(MATCH($C487,'교육원 ③ 통장·카드'!$A$5:$A$11,0)),"③ 통장·카드에 없는 결제수단입니다",IF($D487="","계정과목을 고르십시오",IF($E487="※없는 과목","④ 설정에 없는 과목입니다",IF(AND($E487="수입",$J487&gt;0),"수입 과목인데 지출에 적혔습니다",IF(AND(LEFT($E487,2)&lt;&gt;"수입",$E487&lt;&gt;"대체",$I487&gt;0),"지출 과목인데 수입에 적혔습니다",IF($K487="","증빙을 고르십시오",IF($H487="","적요를 적으십시오","")))))))))))</f>
        <v/>
      </c>
      <c r="M487" s="39"/>
      <c r="O487" s="11" t="str">
        <f aca="false">IF($B487="","",YEAR($B487)*100+MONTH($B487))</f>
        <v/>
      </c>
      <c r="P487" s="11" t="str">
        <f aca="false">IF($B487="","",IF($E487="대체",0,1))</f>
        <v/>
      </c>
    </row>
    <row r="488" customFormat="false" ht="15" hidden="false" customHeight="false" outlineLevel="0" collapsed="false">
      <c r="A488" s="36" t="str">
        <f aca="false">IF($B488="","",COUNT($B$15:$B488))</f>
        <v/>
      </c>
      <c r="B488" s="37"/>
      <c r="C488" s="38"/>
      <c r="D488" s="20"/>
      <c r="E488" s="36" t="str">
        <f aca="false">IF($D488="","",IFERROR(INDEX('교육원 ④ 설정'!$A$6:$A$40,MATCH($D488,'교육원 ④ 설정'!$B$6:$B$40,0)),"※없는 과목"))</f>
        <v/>
      </c>
      <c r="F488" s="36" t="str">
        <f aca="false">IF($D488="","",IFERROR(INDEX('교육원 ④ 설정'!$C$6:$C$40,MATCH($D488,'교육원 ④ 설정'!$B$6:$B$40,0)),""))</f>
        <v/>
      </c>
      <c r="G488" s="39"/>
      <c r="H488" s="39"/>
      <c r="I488" s="40"/>
      <c r="J488" s="41"/>
      <c r="K488" s="38"/>
      <c r="L488" s="42" t="str">
        <f aca="false">IF($B488="","",IF(AND(N($I488)=0,N($J488)=0),"금액이 없습니다",IF(AND($I488&gt;0,$J488&gt;0),"수입·지출 둘 다 적혔습니다",IF($C488="","결제수단을 고르십시오",IF(ISNA(MATCH($C488,'교육원 ③ 통장·카드'!$A$5:$A$11,0)),"③ 통장·카드에 없는 결제수단입니다",IF($D488="","계정과목을 고르십시오",IF($E488="※없는 과목","④ 설정에 없는 과목입니다",IF(AND($E488="수입",$J488&gt;0),"수입 과목인데 지출에 적혔습니다",IF(AND(LEFT($E488,2)&lt;&gt;"수입",$E488&lt;&gt;"대체",$I488&gt;0),"지출 과목인데 수입에 적혔습니다",IF($K488="","증빙을 고르십시오",IF($H488="","적요를 적으십시오","")))))))))))</f>
        <v/>
      </c>
      <c r="M488" s="39"/>
      <c r="O488" s="11" t="str">
        <f aca="false">IF($B488="","",YEAR($B488)*100+MONTH($B488))</f>
        <v/>
      </c>
      <c r="P488" s="11" t="str">
        <f aca="false">IF($B488="","",IF($E488="대체",0,1))</f>
        <v/>
      </c>
    </row>
    <row r="489" customFormat="false" ht="15" hidden="false" customHeight="false" outlineLevel="0" collapsed="false">
      <c r="A489" s="36" t="str">
        <f aca="false">IF($B489="","",COUNT($B$15:$B489))</f>
        <v/>
      </c>
      <c r="B489" s="37"/>
      <c r="C489" s="38"/>
      <c r="D489" s="20"/>
      <c r="E489" s="36" t="str">
        <f aca="false">IF($D489="","",IFERROR(INDEX('교육원 ④ 설정'!$A$6:$A$40,MATCH($D489,'교육원 ④ 설정'!$B$6:$B$40,0)),"※없는 과목"))</f>
        <v/>
      </c>
      <c r="F489" s="36" t="str">
        <f aca="false">IF($D489="","",IFERROR(INDEX('교육원 ④ 설정'!$C$6:$C$40,MATCH($D489,'교육원 ④ 설정'!$B$6:$B$40,0)),""))</f>
        <v/>
      </c>
      <c r="G489" s="39"/>
      <c r="H489" s="39"/>
      <c r="I489" s="40"/>
      <c r="J489" s="41"/>
      <c r="K489" s="38"/>
      <c r="L489" s="42" t="str">
        <f aca="false">IF($B489="","",IF(AND(N($I489)=0,N($J489)=0),"금액이 없습니다",IF(AND($I489&gt;0,$J489&gt;0),"수입·지출 둘 다 적혔습니다",IF($C489="","결제수단을 고르십시오",IF(ISNA(MATCH($C489,'교육원 ③ 통장·카드'!$A$5:$A$11,0)),"③ 통장·카드에 없는 결제수단입니다",IF($D489="","계정과목을 고르십시오",IF($E489="※없는 과목","④ 설정에 없는 과목입니다",IF(AND($E489="수입",$J489&gt;0),"수입 과목인데 지출에 적혔습니다",IF(AND(LEFT($E489,2)&lt;&gt;"수입",$E489&lt;&gt;"대체",$I489&gt;0),"지출 과목인데 수입에 적혔습니다",IF($K489="","증빙을 고르십시오",IF($H489="","적요를 적으십시오","")))))))))))</f>
        <v/>
      </c>
      <c r="M489" s="39"/>
      <c r="O489" s="11" t="str">
        <f aca="false">IF($B489="","",YEAR($B489)*100+MONTH($B489))</f>
        <v/>
      </c>
      <c r="P489" s="11" t="str">
        <f aca="false">IF($B489="","",IF($E489="대체",0,1))</f>
        <v/>
      </c>
    </row>
    <row r="490" customFormat="false" ht="15" hidden="false" customHeight="false" outlineLevel="0" collapsed="false">
      <c r="A490" s="36" t="str">
        <f aca="false">IF($B490="","",COUNT($B$15:$B490))</f>
        <v/>
      </c>
      <c r="B490" s="37"/>
      <c r="C490" s="38"/>
      <c r="D490" s="20"/>
      <c r="E490" s="36" t="str">
        <f aca="false">IF($D490="","",IFERROR(INDEX('교육원 ④ 설정'!$A$6:$A$40,MATCH($D490,'교육원 ④ 설정'!$B$6:$B$40,0)),"※없는 과목"))</f>
        <v/>
      </c>
      <c r="F490" s="36" t="str">
        <f aca="false">IF($D490="","",IFERROR(INDEX('교육원 ④ 설정'!$C$6:$C$40,MATCH($D490,'교육원 ④ 설정'!$B$6:$B$40,0)),""))</f>
        <v/>
      </c>
      <c r="G490" s="39"/>
      <c r="H490" s="39"/>
      <c r="I490" s="40"/>
      <c r="J490" s="41"/>
      <c r="K490" s="38"/>
      <c r="L490" s="42" t="str">
        <f aca="false">IF($B490="","",IF(AND(N($I490)=0,N($J490)=0),"금액이 없습니다",IF(AND($I490&gt;0,$J490&gt;0),"수입·지출 둘 다 적혔습니다",IF($C490="","결제수단을 고르십시오",IF(ISNA(MATCH($C490,'교육원 ③ 통장·카드'!$A$5:$A$11,0)),"③ 통장·카드에 없는 결제수단입니다",IF($D490="","계정과목을 고르십시오",IF($E490="※없는 과목","④ 설정에 없는 과목입니다",IF(AND($E490="수입",$J490&gt;0),"수입 과목인데 지출에 적혔습니다",IF(AND(LEFT($E490,2)&lt;&gt;"수입",$E490&lt;&gt;"대체",$I490&gt;0),"지출 과목인데 수입에 적혔습니다",IF($K490="","증빙을 고르십시오",IF($H490="","적요를 적으십시오","")))))))))))</f>
        <v/>
      </c>
      <c r="M490" s="39"/>
      <c r="O490" s="11" t="str">
        <f aca="false">IF($B490="","",YEAR($B490)*100+MONTH($B490))</f>
        <v/>
      </c>
      <c r="P490" s="11" t="str">
        <f aca="false">IF($B490="","",IF($E490="대체",0,1))</f>
        <v/>
      </c>
    </row>
    <row r="491" customFormat="false" ht="15" hidden="false" customHeight="false" outlineLevel="0" collapsed="false">
      <c r="A491" s="36" t="str">
        <f aca="false">IF($B491="","",COUNT($B$15:$B491))</f>
        <v/>
      </c>
      <c r="B491" s="37"/>
      <c r="C491" s="38"/>
      <c r="D491" s="20"/>
      <c r="E491" s="36" t="str">
        <f aca="false">IF($D491="","",IFERROR(INDEX('교육원 ④ 설정'!$A$6:$A$40,MATCH($D491,'교육원 ④ 설정'!$B$6:$B$40,0)),"※없는 과목"))</f>
        <v/>
      </c>
      <c r="F491" s="36" t="str">
        <f aca="false">IF($D491="","",IFERROR(INDEX('교육원 ④ 설정'!$C$6:$C$40,MATCH($D491,'교육원 ④ 설정'!$B$6:$B$40,0)),""))</f>
        <v/>
      </c>
      <c r="G491" s="39"/>
      <c r="H491" s="39"/>
      <c r="I491" s="40"/>
      <c r="J491" s="41"/>
      <c r="K491" s="38"/>
      <c r="L491" s="42" t="str">
        <f aca="false">IF($B491="","",IF(AND(N($I491)=0,N($J491)=0),"금액이 없습니다",IF(AND($I491&gt;0,$J491&gt;0),"수입·지출 둘 다 적혔습니다",IF($C491="","결제수단을 고르십시오",IF(ISNA(MATCH($C491,'교육원 ③ 통장·카드'!$A$5:$A$11,0)),"③ 통장·카드에 없는 결제수단입니다",IF($D491="","계정과목을 고르십시오",IF($E491="※없는 과목","④ 설정에 없는 과목입니다",IF(AND($E491="수입",$J491&gt;0),"수입 과목인데 지출에 적혔습니다",IF(AND(LEFT($E491,2)&lt;&gt;"수입",$E491&lt;&gt;"대체",$I491&gt;0),"지출 과목인데 수입에 적혔습니다",IF($K491="","증빙을 고르십시오",IF($H491="","적요를 적으십시오","")))))))))))</f>
        <v/>
      </c>
      <c r="M491" s="39"/>
      <c r="O491" s="11" t="str">
        <f aca="false">IF($B491="","",YEAR($B491)*100+MONTH($B491))</f>
        <v/>
      </c>
      <c r="P491" s="11" t="str">
        <f aca="false">IF($B491="","",IF($E491="대체",0,1))</f>
        <v/>
      </c>
    </row>
    <row r="492" customFormat="false" ht="15" hidden="false" customHeight="false" outlineLevel="0" collapsed="false">
      <c r="A492" s="36" t="str">
        <f aca="false">IF($B492="","",COUNT($B$15:$B492))</f>
        <v/>
      </c>
      <c r="B492" s="37"/>
      <c r="C492" s="38"/>
      <c r="D492" s="20"/>
      <c r="E492" s="36" t="str">
        <f aca="false">IF($D492="","",IFERROR(INDEX('교육원 ④ 설정'!$A$6:$A$40,MATCH($D492,'교육원 ④ 설정'!$B$6:$B$40,0)),"※없는 과목"))</f>
        <v/>
      </c>
      <c r="F492" s="36" t="str">
        <f aca="false">IF($D492="","",IFERROR(INDEX('교육원 ④ 설정'!$C$6:$C$40,MATCH($D492,'교육원 ④ 설정'!$B$6:$B$40,0)),""))</f>
        <v/>
      </c>
      <c r="G492" s="39"/>
      <c r="H492" s="39"/>
      <c r="I492" s="40"/>
      <c r="J492" s="41"/>
      <c r="K492" s="38"/>
      <c r="L492" s="42" t="str">
        <f aca="false">IF($B492="","",IF(AND(N($I492)=0,N($J492)=0),"금액이 없습니다",IF(AND($I492&gt;0,$J492&gt;0),"수입·지출 둘 다 적혔습니다",IF($C492="","결제수단을 고르십시오",IF(ISNA(MATCH($C492,'교육원 ③ 통장·카드'!$A$5:$A$11,0)),"③ 통장·카드에 없는 결제수단입니다",IF($D492="","계정과목을 고르십시오",IF($E492="※없는 과목","④ 설정에 없는 과목입니다",IF(AND($E492="수입",$J492&gt;0),"수입 과목인데 지출에 적혔습니다",IF(AND(LEFT($E492,2)&lt;&gt;"수입",$E492&lt;&gt;"대체",$I492&gt;0),"지출 과목인데 수입에 적혔습니다",IF($K492="","증빙을 고르십시오",IF($H492="","적요를 적으십시오","")))))))))))</f>
        <v/>
      </c>
      <c r="M492" s="39"/>
      <c r="O492" s="11" t="str">
        <f aca="false">IF($B492="","",YEAR($B492)*100+MONTH($B492))</f>
        <v/>
      </c>
      <c r="P492" s="11" t="str">
        <f aca="false">IF($B492="","",IF($E492="대체",0,1))</f>
        <v/>
      </c>
    </row>
    <row r="493" customFormat="false" ht="15" hidden="false" customHeight="false" outlineLevel="0" collapsed="false">
      <c r="A493" s="36" t="str">
        <f aca="false">IF($B493="","",COUNT($B$15:$B493))</f>
        <v/>
      </c>
      <c r="B493" s="37"/>
      <c r="C493" s="38"/>
      <c r="D493" s="20"/>
      <c r="E493" s="36" t="str">
        <f aca="false">IF($D493="","",IFERROR(INDEX('교육원 ④ 설정'!$A$6:$A$40,MATCH($D493,'교육원 ④ 설정'!$B$6:$B$40,0)),"※없는 과목"))</f>
        <v/>
      </c>
      <c r="F493" s="36" t="str">
        <f aca="false">IF($D493="","",IFERROR(INDEX('교육원 ④ 설정'!$C$6:$C$40,MATCH($D493,'교육원 ④ 설정'!$B$6:$B$40,0)),""))</f>
        <v/>
      </c>
      <c r="G493" s="39"/>
      <c r="H493" s="39"/>
      <c r="I493" s="40"/>
      <c r="J493" s="41"/>
      <c r="K493" s="38"/>
      <c r="L493" s="42" t="str">
        <f aca="false">IF($B493="","",IF(AND(N($I493)=0,N($J493)=0),"금액이 없습니다",IF(AND($I493&gt;0,$J493&gt;0),"수입·지출 둘 다 적혔습니다",IF($C493="","결제수단을 고르십시오",IF(ISNA(MATCH($C493,'교육원 ③ 통장·카드'!$A$5:$A$11,0)),"③ 통장·카드에 없는 결제수단입니다",IF($D493="","계정과목을 고르십시오",IF($E493="※없는 과목","④ 설정에 없는 과목입니다",IF(AND($E493="수입",$J493&gt;0),"수입 과목인데 지출에 적혔습니다",IF(AND(LEFT($E493,2)&lt;&gt;"수입",$E493&lt;&gt;"대체",$I493&gt;0),"지출 과목인데 수입에 적혔습니다",IF($K493="","증빙을 고르십시오",IF($H493="","적요를 적으십시오","")))))))))))</f>
        <v/>
      </c>
      <c r="M493" s="39"/>
      <c r="O493" s="11" t="str">
        <f aca="false">IF($B493="","",YEAR($B493)*100+MONTH($B493))</f>
        <v/>
      </c>
      <c r="P493" s="11" t="str">
        <f aca="false">IF($B493="","",IF($E493="대체",0,1))</f>
        <v/>
      </c>
    </row>
    <row r="494" customFormat="false" ht="15" hidden="false" customHeight="false" outlineLevel="0" collapsed="false">
      <c r="A494" s="36" t="str">
        <f aca="false">IF($B494="","",COUNT($B$15:$B494))</f>
        <v/>
      </c>
      <c r="B494" s="37"/>
      <c r="C494" s="38"/>
      <c r="D494" s="20"/>
      <c r="E494" s="36" t="str">
        <f aca="false">IF($D494="","",IFERROR(INDEX('교육원 ④ 설정'!$A$6:$A$40,MATCH($D494,'교육원 ④ 설정'!$B$6:$B$40,0)),"※없는 과목"))</f>
        <v/>
      </c>
      <c r="F494" s="36" t="str">
        <f aca="false">IF($D494="","",IFERROR(INDEX('교육원 ④ 설정'!$C$6:$C$40,MATCH($D494,'교육원 ④ 설정'!$B$6:$B$40,0)),""))</f>
        <v/>
      </c>
      <c r="G494" s="39"/>
      <c r="H494" s="39"/>
      <c r="I494" s="40"/>
      <c r="J494" s="41"/>
      <c r="K494" s="38"/>
      <c r="L494" s="42" t="str">
        <f aca="false">IF($B494="","",IF(AND(N($I494)=0,N($J494)=0),"금액이 없습니다",IF(AND($I494&gt;0,$J494&gt;0),"수입·지출 둘 다 적혔습니다",IF($C494="","결제수단을 고르십시오",IF(ISNA(MATCH($C494,'교육원 ③ 통장·카드'!$A$5:$A$11,0)),"③ 통장·카드에 없는 결제수단입니다",IF($D494="","계정과목을 고르십시오",IF($E494="※없는 과목","④ 설정에 없는 과목입니다",IF(AND($E494="수입",$J494&gt;0),"수입 과목인데 지출에 적혔습니다",IF(AND(LEFT($E494,2)&lt;&gt;"수입",$E494&lt;&gt;"대체",$I494&gt;0),"지출 과목인데 수입에 적혔습니다",IF($K494="","증빙을 고르십시오",IF($H494="","적요를 적으십시오","")))))))))))</f>
        <v/>
      </c>
      <c r="M494" s="39"/>
      <c r="O494" s="11" t="str">
        <f aca="false">IF($B494="","",YEAR($B494)*100+MONTH($B494))</f>
        <v/>
      </c>
      <c r="P494" s="11" t="str">
        <f aca="false">IF($B494="","",IF($E494="대체",0,1))</f>
        <v/>
      </c>
    </row>
    <row r="495" customFormat="false" ht="15" hidden="false" customHeight="false" outlineLevel="0" collapsed="false">
      <c r="A495" s="36" t="str">
        <f aca="false">IF($B495="","",COUNT($B$15:$B495))</f>
        <v/>
      </c>
      <c r="B495" s="37"/>
      <c r="C495" s="38"/>
      <c r="D495" s="20"/>
      <c r="E495" s="36" t="str">
        <f aca="false">IF($D495="","",IFERROR(INDEX('교육원 ④ 설정'!$A$6:$A$40,MATCH($D495,'교육원 ④ 설정'!$B$6:$B$40,0)),"※없는 과목"))</f>
        <v/>
      </c>
      <c r="F495" s="36" t="str">
        <f aca="false">IF($D495="","",IFERROR(INDEX('교육원 ④ 설정'!$C$6:$C$40,MATCH($D495,'교육원 ④ 설정'!$B$6:$B$40,0)),""))</f>
        <v/>
      </c>
      <c r="G495" s="39"/>
      <c r="H495" s="39"/>
      <c r="I495" s="40"/>
      <c r="J495" s="41"/>
      <c r="K495" s="38"/>
      <c r="L495" s="42" t="str">
        <f aca="false">IF($B495="","",IF(AND(N($I495)=0,N($J495)=0),"금액이 없습니다",IF(AND($I495&gt;0,$J495&gt;0),"수입·지출 둘 다 적혔습니다",IF($C495="","결제수단을 고르십시오",IF(ISNA(MATCH($C495,'교육원 ③ 통장·카드'!$A$5:$A$11,0)),"③ 통장·카드에 없는 결제수단입니다",IF($D495="","계정과목을 고르십시오",IF($E495="※없는 과목","④ 설정에 없는 과목입니다",IF(AND($E495="수입",$J495&gt;0),"수입 과목인데 지출에 적혔습니다",IF(AND(LEFT($E495,2)&lt;&gt;"수입",$E495&lt;&gt;"대체",$I495&gt;0),"지출 과목인데 수입에 적혔습니다",IF($K495="","증빙을 고르십시오",IF($H495="","적요를 적으십시오","")))))))))))</f>
        <v/>
      </c>
      <c r="M495" s="39"/>
      <c r="O495" s="11" t="str">
        <f aca="false">IF($B495="","",YEAR($B495)*100+MONTH($B495))</f>
        <v/>
      </c>
      <c r="P495" s="11" t="str">
        <f aca="false">IF($B495="","",IF($E495="대체",0,1))</f>
        <v/>
      </c>
    </row>
    <row r="496" customFormat="false" ht="15" hidden="false" customHeight="false" outlineLevel="0" collapsed="false">
      <c r="A496" s="36" t="str">
        <f aca="false">IF($B496="","",COUNT($B$15:$B496))</f>
        <v/>
      </c>
      <c r="B496" s="37"/>
      <c r="C496" s="38"/>
      <c r="D496" s="20"/>
      <c r="E496" s="36" t="str">
        <f aca="false">IF($D496="","",IFERROR(INDEX('교육원 ④ 설정'!$A$6:$A$40,MATCH($D496,'교육원 ④ 설정'!$B$6:$B$40,0)),"※없는 과목"))</f>
        <v/>
      </c>
      <c r="F496" s="36" t="str">
        <f aca="false">IF($D496="","",IFERROR(INDEX('교육원 ④ 설정'!$C$6:$C$40,MATCH($D496,'교육원 ④ 설정'!$B$6:$B$40,0)),""))</f>
        <v/>
      </c>
      <c r="G496" s="39"/>
      <c r="H496" s="39"/>
      <c r="I496" s="40"/>
      <c r="J496" s="41"/>
      <c r="K496" s="38"/>
      <c r="L496" s="42" t="str">
        <f aca="false">IF($B496="","",IF(AND(N($I496)=0,N($J496)=0),"금액이 없습니다",IF(AND($I496&gt;0,$J496&gt;0),"수입·지출 둘 다 적혔습니다",IF($C496="","결제수단을 고르십시오",IF(ISNA(MATCH($C496,'교육원 ③ 통장·카드'!$A$5:$A$11,0)),"③ 통장·카드에 없는 결제수단입니다",IF($D496="","계정과목을 고르십시오",IF($E496="※없는 과목","④ 설정에 없는 과목입니다",IF(AND($E496="수입",$J496&gt;0),"수입 과목인데 지출에 적혔습니다",IF(AND(LEFT($E496,2)&lt;&gt;"수입",$E496&lt;&gt;"대체",$I496&gt;0),"지출 과목인데 수입에 적혔습니다",IF($K496="","증빙을 고르십시오",IF($H496="","적요를 적으십시오","")))))))))))</f>
        <v/>
      </c>
      <c r="M496" s="39"/>
      <c r="O496" s="11" t="str">
        <f aca="false">IF($B496="","",YEAR($B496)*100+MONTH($B496))</f>
        <v/>
      </c>
      <c r="P496" s="11" t="str">
        <f aca="false">IF($B496="","",IF($E496="대체",0,1))</f>
        <v/>
      </c>
    </row>
    <row r="497" customFormat="false" ht="15" hidden="false" customHeight="false" outlineLevel="0" collapsed="false">
      <c r="A497" s="36" t="str">
        <f aca="false">IF($B497="","",COUNT($B$15:$B497))</f>
        <v/>
      </c>
      <c r="B497" s="37"/>
      <c r="C497" s="38"/>
      <c r="D497" s="20"/>
      <c r="E497" s="36" t="str">
        <f aca="false">IF($D497="","",IFERROR(INDEX('교육원 ④ 설정'!$A$6:$A$40,MATCH($D497,'교육원 ④ 설정'!$B$6:$B$40,0)),"※없는 과목"))</f>
        <v/>
      </c>
      <c r="F497" s="36" t="str">
        <f aca="false">IF($D497="","",IFERROR(INDEX('교육원 ④ 설정'!$C$6:$C$40,MATCH($D497,'교육원 ④ 설정'!$B$6:$B$40,0)),""))</f>
        <v/>
      </c>
      <c r="G497" s="39"/>
      <c r="H497" s="39"/>
      <c r="I497" s="40"/>
      <c r="J497" s="41"/>
      <c r="K497" s="38"/>
      <c r="L497" s="42" t="str">
        <f aca="false">IF($B497="","",IF(AND(N($I497)=0,N($J497)=0),"금액이 없습니다",IF(AND($I497&gt;0,$J497&gt;0),"수입·지출 둘 다 적혔습니다",IF($C497="","결제수단을 고르십시오",IF(ISNA(MATCH($C497,'교육원 ③ 통장·카드'!$A$5:$A$11,0)),"③ 통장·카드에 없는 결제수단입니다",IF($D497="","계정과목을 고르십시오",IF($E497="※없는 과목","④ 설정에 없는 과목입니다",IF(AND($E497="수입",$J497&gt;0),"수입 과목인데 지출에 적혔습니다",IF(AND(LEFT($E497,2)&lt;&gt;"수입",$E497&lt;&gt;"대체",$I497&gt;0),"지출 과목인데 수입에 적혔습니다",IF($K497="","증빙을 고르십시오",IF($H497="","적요를 적으십시오","")))))))))))</f>
        <v/>
      </c>
      <c r="M497" s="39"/>
      <c r="O497" s="11" t="str">
        <f aca="false">IF($B497="","",YEAR($B497)*100+MONTH($B497))</f>
        <v/>
      </c>
      <c r="P497" s="11" t="str">
        <f aca="false">IF($B497="","",IF($E497="대체",0,1))</f>
        <v/>
      </c>
    </row>
    <row r="498" customFormat="false" ht="15" hidden="false" customHeight="false" outlineLevel="0" collapsed="false">
      <c r="A498" s="36" t="str">
        <f aca="false">IF($B498="","",COUNT($B$15:$B498))</f>
        <v/>
      </c>
      <c r="B498" s="37"/>
      <c r="C498" s="38"/>
      <c r="D498" s="20"/>
      <c r="E498" s="36" t="str">
        <f aca="false">IF($D498="","",IFERROR(INDEX('교육원 ④ 설정'!$A$6:$A$40,MATCH($D498,'교육원 ④ 설정'!$B$6:$B$40,0)),"※없는 과목"))</f>
        <v/>
      </c>
      <c r="F498" s="36" t="str">
        <f aca="false">IF($D498="","",IFERROR(INDEX('교육원 ④ 설정'!$C$6:$C$40,MATCH($D498,'교육원 ④ 설정'!$B$6:$B$40,0)),""))</f>
        <v/>
      </c>
      <c r="G498" s="39"/>
      <c r="H498" s="39"/>
      <c r="I498" s="40"/>
      <c r="J498" s="41"/>
      <c r="K498" s="38"/>
      <c r="L498" s="42" t="str">
        <f aca="false">IF($B498="","",IF(AND(N($I498)=0,N($J498)=0),"금액이 없습니다",IF(AND($I498&gt;0,$J498&gt;0),"수입·지출 둘 다 적혔습니다",IF($C498="","결제수단을 고르십시오",IF(ISNA(MATCH($C498,'교육원 ③ 통장·카드'!$A$5:$A$11,0)),"③ 통장·카드에 없는 결제수단입니다",IF($D498="","계정과목을 고르십시오",IF($E498="※없는 과목","④ 설정에 없는 과목입니다",IF(AND($E498="수입",$J498&gt;0),"수입 과목인데 지출에 적혔습니다",IF(AND(LEFT($E498,2)&lt;&gt;"수입",$E498&lt;&gt;"대체",$I498&gt;0),"지출 과목인데 수입에 적혔습니다",IF($K498="","증빙을 고르십시오",IF($H498="","적요를 적으십시오","")))))))))))</f>
        <v/>
      </c>
      <c r="M498" s="39"/>
      <c r="O498" s="11" t="str">
        <f aca="false">IF($B498="","",YEAR($B498)*100+MONTH($B498))</f>
        <v/>
      </c>
      <c r="P498" s="11" t="str">
        <f aca="false">IF($B498="","",IF($E498="대체",0,1))</f>
        <v/>
      </c>
    </row>
    <row r="499" customFormat="false" ht="15" hidden="false" customHeight="false" outlineLevel="0" collapsed="false">
      <c r="A499" s="36" t="str">
        <f aca="false">IF($B499="","",COUNT($B$15:$B499))</f>
        <v/>
      </c>
      <c r="B499" s="37"/>
      <c r="C499" s="38"/>
      <c r="D499" s="20"/>
      <c r="E499" s="36" t="str">
        <f aca="false">IF($D499="","",IFERROR(INDEX('교육원 ④ 설정'!$A$6:$A$40,MATCH($D499,'교육원 ④ 설정'!$B$6:$B$40,0)),"※없는 과목"))</f>
        <v/>
      </c>
      <c r="F499" s="36" t="str">
        <f aca="false">IF($D499="","",IFERROR(INDEX('교육원 ④ 설정'!$C$6:$C$40,MATCH($D499,'교육원 ④ 설정'!$B$6:$B$40,0)),""))</f>
        <v/>
      </c>
      <c r="G499" s="39"/>
      <c r="H499" s="39"/>
      <c r="I499" s="40"/>
      <c r="J499" s="41"/>
      <c r="K499" s="38"/>
      <c r="L499" s="42" t="str">
        <f aca="false">IF($B499="","",IF(AND(N($I499)=0,N($J499)=0),"금액이 없습니다",IF(AND($I499&gt;0,$J499&gt;0),"수입·지출 둘 다 적혔습니다",IF($C499="","결제수단을 고르십시오",IF(ISNA(MATCH($C499,'교육원 ③ 통장·카드'!$A$5:$A$11,0)),"③ 통장·카드에 없는 결제수단입니다",IF($D499="","계정과목을 고르십시오",IF($E499="※없는 과목","④ 설정에 없는 과목입니다",IF(AND($E499="수입",$J499&gt;0),"수입 과목인데 지출에 적혔습니다",IF(AND(LEFT($E499,2)&lt;&gt;"수입",$E499&lt;&gt;"대체",$I499&gt;0),"지출 과목인데 수입에 적혔습니다",IF($K499="","증빙을 고르십시오",IF($H499="","적요를 적으십시오","")))))))))))</f>
        <v/>
      </c>
      <c r="M499" s="39"/>
      <c r="O499" s="11" t="str">
        <f aca="false">IF($B499="","",YEAR($B499)*100+MONTH($B499))</f>
        <v/>
      </c>
      <c r="P499" s="11" t="str">
        <f aca="false">IF($B499="","",IF($E499="대체",0,1))</f>
        <v/>
      </c>
    </row>
    <row r="500" customFormat="false" ht="15" hidden="false" customHeight="false" outlineLevel="0" collapsed="false">
      <c r="A500" s="36" t="str">
        <f aca="false">IF($B500="","",COUNT($B$15:$B500))</f>
        <v/>
      </c>
      <c r="B500" s="37"/>
      <c r="C500" s="38"/>
      <c r="D500" s="20"/>
      <c r="E500" s="36" t="str">
        <f aca="false">IF($D500="","",IFERROR(INDEX('교육원 ④ 설정'!$A$6:$A$40,MATCH($D500,'교육원 ④ 설정'!$B$6:$B$40,0)),"※없는 과목"))</f>
        <v/>
      </c>
      <c r="F500" s="36" t="str">
        <f aca="false">IF($D500="","",IFERROR(INDEX('교육원 ④ 설정'!$C$6:$C$40,MATCH($D500,'교육원 ④ 설정'!$B$6:$B$40,0)),""))</f>
        <v/>
      </c>
      <c r="G500" s="39"/>
      <c r="H500" s="39"/>
      <c r="I500" s="40"/>
      <c r="J500" s="41"/>
      <c r="K500" s="38"/>
      <c r="L500" s="42" t="str">
        <f aca="false">IF($B500="","",IF(AND(N($I500)=0,N($J500)=0),"금액이 없습니다",IF(AND($I500&gt;0,$J500&gt;0),"수입·지출 둘 다 적혔습니다",IF($C500="","결제수단을 고르십시오",IF(ISNA(MATCH($C500,'교육원 ③ 통장·카드'!$A$5:$A$11,0)),"③ 통장·카드에 없는 결제수단입니다",IF($D500="","계정과목을 고르십시오",IF($E500="※없는 과목","④ 설정에 없는 과목입니다",IF(AND($E500="수입",$J500&gt;0),"수입 과목인데 지출에 적혔습니다",IF(AND(LEFT($E500,2)&lt;&gt;"수입",$E500&lt;&gt;"대체",$I500&gt;0),"지출 과목인데 수입에 적혔습니다",IF($K500="","증빙을 고르십시오",IF($H500="","적요를 적으십시오","")))))))))))</f>
        <v/>
      </c>
      <c r="M500" s="39"/>
      <c r="O500" s="11" t="str">
        <f aca="false">IF($B500="","",YEAR($B500)*100+MONTH($B500))</f>
        <v/>
      </c>
      <c r="P500" s="11" t="str">
        <f aca="false">IF($B500="","",IF($E500="대체",0,1))</f>
        <v/>
      </c>
    </row>
    <row r="501" customFormat="false" ht="15" hidden="false" customHeight="false" outlineLevel="0" collapsed="false">
      <c r="A501" s="36" t="str">
        <f aca="false">IF($B501="","",COUNT($B$15:$B501))</f>
        <v/>
      </c>
      <c r="B501" s="37"/>
      <c r="C501" s="38"/>
      <c r="D501" s="20"/>
      <c r="E501" s="36" t="str">
        <f aca="false">IF($D501="","",IFERROR(INDEX('교육원 ④ 설정'!$A$6:$A$40,MATCH($D501,'교육원 ④ 설정'!$B$6:$B$40,0)),"※없는 과목"))</f>
        <v/>
      </c>
      <c r="F501" s="36" t="str">
        <f aca="false">IF($D501="","",IFERROR(INDEX('교육원 ④ 설정'!$C$6:$C$40,MATCH($D501,'교육원 ④ 설정'!$B$6:$B$40,0)),""))</f>
        <v/>
      </c>
      <c r="G501" s="39"/>
      <c r="H501" s="39"/>
      <c r="I501" s="40"/>
      <c r="J501" s="41"/>
      <c r="K501" s="38"/>
      <c r="L501" s="42" t="str">
        <f aca="false">IF($B501="","",IF(AND(N($I501)=0,N($J501)=0),"금액이 없습니다",IF(AND($I501&gt;0,$J501&gt;0),"수입·지출 둘 다 적혔습니다",IF($C501="","결제수단을 고르십시오",IF(ISNA(MATCH($C501,'교육원 ③ 통장·카드'!$A$5:$A$11,0)),"③ 통장·카드에 없는 결제수단입니다",IF($D501="","계정과목을 고르십시오",IF($E501="※없는 과목","④ 설정에 없는 과목입니다",IF(AND($E501="수입",$J501&gt;0),"수입 과목인데 지출에 적혔습니다",IF(AND(LEFT($E501,2)&lt;&gt;"수입",$E501&lt;&gt;"대체",$I501&gt;0),"지출 과목인데 수입에 적혔습니다",IF($K501="","증빙을 고르십시오",IF($H501="","적요를 적으십시오","")))))))))))</f>
        <v/>
      </c>
      <c r="M501" s="39"/>
      <c r="O501" s="11" t="str">
        <f aca="false">IF($B501="","",YEAR($B501)*100+MONTH($B501))</f>
        <v/>
      </c>
      <c r="P501" s="11" t="str">
        <f aca="false">IF($B501="","",IF($E501="대체",0,1))</f>
        <v/>
      </c>
    </row>
    <row r="502" customFormat="false" ht="15" hidden="false" customHeight="false" outlineLevel="0" collapsed="false">
      <c r="A502" s="36" t="str">
        <f aca="false">IF($B502="","",COUNT($B$15:$B502))</f>
        <v/>
      </c>
      <c r="B502" s="37"/>
      <c r="C502" s="38"/>
      <c r="D502" s="20"/>
      <c r="E502" s="36" t="str">
        <f aca="false">IF($D502="","",IFERROR(INDEX('교육원 ④ 설정'!$A$6:$A$40,MATCH($D502,'교육원 ④ 설정'!$B$6:$B$40,0)),"※없는 과목"))</f>
        <v/>
      </c>
      <c r="F502" s="36" t="str">
        <f aca="false">IF($D502="","",IFERROR(INDEX('교육원 ④ 설정'!$C$6:$C$40,MATCH($D502,'교육원 ④ 설정'!$B$6:$B$40,0)),""))</f>
        <v/>
      </c>
      <c r="G502" s="39"/>
      <c r="H502" s="39"/>
      <c r="I502" s="40"/>
      <c r="J502" s="41"/>
      <c r="K502" s="38"/>
      <c r="L502" s="42" t="str">
        <f aca="false">IF($B502="","",IF(AND(N($I502)=0,N($J502)=0),"금액이 없습니다",IF(AND($I502&gt;0,$J502&gt;0),"수입·지출 둘 다 적혔습니다",IF($C502="","결제수단을 고르십시오",IF(ISNA(MATCH($C502,'교육원 ③ 통장·카드'!$A$5:$A$11,0)),"③ 통장·카드에 없는 결제수단입니다",IF($D502="","계정과목을 고르십시오",IF($E502="※없는 과목","④ 설정에 없는 과목입니다",IF(AND($E502="수입",$J502&gt;0),"수입 과목인데 지출에 적혔습니다",IF(AND(LEFT($E502,2)&lt;&gt;"수입",$E502&lt;&gt;"대체",$I502&gt;0),"지출 과목인데 수입에 적혔습니다",IF($K502="","증빙을 고르십시오",IF($H502="","적요를 적으십시오","")))))))))))</f>
        <v/>
      </c>
      <c r="M502" s="39"/>
      <c r="O502" s="11" t="str">
        <f aca="false">IF($B502="","",YEAR($B502)*100+MONTH($B502))</f>
        <v/>
      </c>
      <c r="P502" s="11" t="str">
        <f aca="false">IF($B502="","",IF($E502="대체",0,1))</f>
        <v/>
      </c>
    </row>
    <row r="503" customFormat="false" ht="15" hidden="false" customHeight="false" outlineLevel="0" collapsed="false">
      <c r="A503" s="36" t="str">
        <f aca="false">IF($B503="","",COUNT($B$15:$B503))</f>
        <v/>
      </c>
      <c r="B503" s="37"/>
      <c r="C503" s="38"/>
      <c r="D503" s="20"/>
      <c r="E503" s="36" t="str">
        <f aca="false">IF($D503="","",IFERROR(INDEX('교육원 ④ 설정'!$A$6:$A$40,MATCH($D503,'교육원 ④ 설정'!$B$6:$B$40,0)),"※없는 과목"))</f>
        <v/>
      </c>
      <c r="F503" s="36" t="str">
        <f aca="false">IF($D503="","",IFERROR(INDEX('교육원 ④ 설정'!$C$6:$C$40,MATCH($D503,'교육원 ④ 설정'!$B$6:$B$40,0)),""))</f>
        <v/>
      </c>
      <c r="G503" s="39"/>
      <c r="H503" s="39"/>
      <c r="I503" s="40"/>
      <c r="J503" s="41"/>
      <c r="K503" s="38"/>
      <c r="L503" s="42" t="str">
        <f aca="false">IF($B503="","",IF(AND(N($I503)=0,N($J503)=0),"금액이 없습니다",IF(AND($I503&gt;0,$J503&gt;0),"수입·지출 둘 다 적혔습니다",IF($C503="","결제수단을 고르십시오",IF(ISNA(MATCH($C503,'교육원 ③ 통장·카드'!$A$5:$A$11,0)),"③ 통장·카드에 없는 결제수단입니다",IF($D503="","계정과목을 고르십시오",IF($E503="※없는 과목","④ 설정에 없는 과목입니다",IF(AND($E503="수입",$J503&gt;0),"수입 과목인데 지출에 적혔습니다",IF(AND(LEFT($E503,2)&lt;&gt;"수입",$E503&lt;&gt;"대체",$I503&gt;0),"지출 과목인데 수입에 적혔습니다",IF($K503="","증빙을 고르십시오",IF($H503="","적요를 적으십시오","")))))))))))</f>
        <v/>
      </c>
      <c r="M503" s="39"/>
      <c r="O503" s="11" t="str">
        <f aca="false">IF($B503="","",YEAR($B503)*100+MONTH($B503))</f>
        <v/>
      </c>
      <c r="P503" s="11" t="str">
        <f aca="false">IF($B503="","",IF($E503="대체",0,1))</f>
        <v/>
      </c>
    </row>
    <row r="504" customFormat="false" ht="15" hidden="false" customHeight="false" outlineLevel="0" collapsed="false">
      <c r="A504" s="36" t="str">
        <f aca="false">IF($B504="","",COUNT($B$15:$B504))</f>
        <v/>
      </c>
      <c r="B504" s="37"/>
      <c r="C504" s="38"/>
      <c r="D504" s="20"/>
      <c r="E504" s="36" t="str">
        <f aca="false">IF($D504="","",IFERROR(INDEX('교육원 ④ 설정'!$A$6:$A$40,MATCH($D504,'교육원 ④ 설정'!$B$6:$B$40,0)),"※없는 과목"))</f>
        <v/>
      </c>
      <c r="F504" s="36" t="str">
        <f aca="false">IF($D504="","",IFERROR(INDEX('교육원 ④ 설정'!$C$6:$C$40,MATCH($D504,'교육원 ④ 설정'!$B$6:$B$40,0)),""))</f>
        <v/>
      </c>
      <c r="G504" s="39"/>
      <c r="H504" s="39"/>
      <c r="I504" s="40"/>
      <c r="J504" s="41"/>
      <c r="K504" s="38"/>
      <c r="L504" s="42" t="str">
        <f aca="false">IF($B504="","",IF(AND(N($I504)=0,N($J504)=0),"금액이 없습니다",IF(AND($I504&gt;0,$J504&gt;0),"수입·지출 둘 다 적혔습니다",IF($C504="","결제수단을 고르십시오",IF(ISNA(MATCH($C504,'교육원 ③ 통장·카드'!$A$5:$A$11,0)),"③ 통장·카드에 없는 결제수단입니다",IF($D504="","계정과목을 고르십시오",IF($E504="※없는 과목","④ 설정에 없는 과목입니다",IF(AND($E504="수입",$J504&gt;0),"수입 과목인데 지출에 적혔습니다",IF(AND(LEFT($E504,2)&lt;&gt;"수입",$E504&lt;&gt;"대체",$I504&gt;0),"지출 과목인데 수입에 적혔습니다",IF($K504="","증빙을 고르십시오",IF($H504="","적요를 적으십시오","")))))))))))</f>
        <v/>
      </c>
      <c r="M504" s="39"/>
      <c r="O504" s="11" t="str">
        <f aca="false">IF($B504="","",YEAR($B504)*100+MONTH($B504))</f>
        <v/>
      </c>
      <c r="P504" s="11" t="str">
        <f aca="false">IF($B504="","",IF($E504="대체",0,1))</f>
        <v/>
      </c>
    </row>
    <row r="505" customFormat="false" ht="15" hidden="false" customHeight="false" outlineLevel="0" collapsed="false">
      <c r="A505" s="36" t="str">
        <f aca="false">IF($B505="","",COUNT($B$15:$B505))</f>
        <v/>
      </c>
      <c r="B505" s="37"/>
      <c r="C505" s="38"/>
      <c r="D505" s="20"/>
      <c r="E505" s="36" t="str">
        <f aca="false">IF($D505="","",IFERROR(INDEX('교육원 ④ 설정'!$A$6:$A$40,MATCH($D505,'교육원 ④ 설정'!$B$6:$B$40,0)),"※없는 과목"))</f>
        <v/>
      </c>
      <c r="F505" s="36" t="str">
        <f aca="false">IF($D505="","",IFERROR(INDEX('교육원 ④ 설정'!$C$6:$C$40,MATCH($D505,'교육원 ④ 설정'!$B$6:$B$40,0)),""))</f>
        <v/>
      </c>
      <c r="G505" s="39"/>
      <c r="H505" s="39"/>
      <c r="I505" s="40"/>
      <c r="J505" s="41"/>
      <c r="K505" s="38"/>
      <c r="L505" s="42" t="str">
        <f aca="false">IF($B505="","",IF(AND(N($I505)=0,N($J505)=0),"금액이 없습니다",IF(AND($I505&gt;0,$J505&gt;0),"수입·지출 둘 다 적혔습니다",IF($C505="","결제수단을 고르십시오",IF(ISNA(MATCH($C505,'교육원 ③ 통장·카드'!$A$5:$A$11,0)),"③ 통장·카드에 없는 결제수단입니다",IF($D505="","계정과목을 고르십시오",IF($E505="※없는 과목","④ 설정에 없는 과목입니다",IF(AND($E505="수입",$J505&gt;0),"수입 과목인데 지출에 적혔습니다",IF(AND(LEFT($E505,2)&lt;&gt;"수입",$E505&lt;&gt;"대체",$I505&gt;0),"지출 과목인데 수입에 적혔습니다",IF($K505="","증빙을 고르십시오",IF($H505="","적요를 적으십시오","")))))))))))</f>
        <v/>
      </c>
      <c r="M505" s="39"/>
      <c r="O505" s="11" t="str">
        <f aca="false">IF($B505="","",YEAR($B505)*100+MONTH($B505))</f>
        <v/>
      </c>
      <c r="P505" s="11" t="str">
        <f aca="false">IF($B505="","",IF($E505="대체",0,1))</f>
        <v/>
      </c>
    </row>
    <row r="506" customFormat="false" ht="15" hidden="false" customHeight="false" outlineLevel="0" collapsed="false">
      <c r="A506" s="36" t="str">
        <f aca="false">IF($B506="","",COUNT($B$15:$B506))</f>
        <v/>
      </c>
      <c r="B506" s="37"/>
      <c r="C506" s="38"/>
      <c r="D506" s="20"/>
      <c r="E506" s="36" t="str">
        <f aca="false">IF($D506="","",IFERROR(INDEX('교육원 ④ 설정'!$A$6:$A$40,MATCH($D506,'교육원 ④ 설정'!$B$6:$B$40,0)),"※없는 과목"))</f>
        <v/>
      </c>
      <c r="F506" s="36" t="str">
        <f aca="false">IF($D506="","",IFERROR(INDEX('교육원 ④ 설정'!$C$6:$C$40,MATCH($D506,'교육원 ④ 설정'!$B$6:$B$40,0)),""))</f>
        <v/>
      </c>
      <c r="G506" s="39"/>
      <c r="H506" s="39"/>
      <c r="I506" s="40"/>
      <c r="J506" s="41"/>
      <c r="K506" s="38"/>
      <c r="L506" s="42" t="str">
        <f aca="false">IF($B506="","",IF(AND(N($I506)=0,N($J506)=0),"금액이 없습니다",IF(AND($I506&gt;0,$J506&gt;0),"수입·지출 둘 다 적혔습니다",IF($C506="","결제수단을 고르십시오",IF(ISNA(MATCH($C506,'교육원 ③ 통장·카드'!$A$5:$A$11,0)),"③ 통장·카드에 없는 결제수단입니다",IF($D506="","계정과목을 고르십시오",IF($E506="※없는 과목","④ 설정에 없는 과목입니다",IF(AND($E506="수입",$J506&gt;0),"수입 과목인데 지출에 적혔습니다",IF(AND(LEFT($E506,2)&lt;&gt;"수입",$E506&lt;&gt;"대체",$I506&gt;0),"지출 과목인데 수입에 적혔습니다",IF($K506="","증빙을 고르십시오",IF($H506="","적요를 적으십시오","")))))))))))</f>
        <v/>
      </c>
      <c r="M506" s="39"/>
      <c r="O506" s="11" t="str">
        <f aca="false">IF($B506="","",YEAR($B506)*100+MONTH($B506))</f>
        <v/>
      </c>
      <c r="P506" s="11" t="str">
        <f aca="false">IF($B506="","",IF($E506="대체",0,1))</f>
        <v/>
      </c>
    </row>
    <row r="507" customFormat="false" ht="15" hidden="false" customHeight="false" outlineLevel="0" collapsed="false">
      <c r="A507" s="36" t="str">
        <f aca="false">IF($B507="","",COUNT($B$15:$B507))</f>
        <v/>
      </c>
      <c r="B507" s="37"/>
      <c r="C507" s="38"/>
      <c r="D507" s="20"/>
      <c r="E507" s="36" t="str">
        <f aca="false">IF($D507="","",IFERROR(INDEX('교육원 ④ 설정'!$A$6:$A$40,MATCH($D507,'교육원 ④ 설정'!$B$6:$B$40,0)),"※없는 과목"))</f>
        <v/>
      </c>
      <c r="F507" s="36" t="str">
        <f aca="false">IF($D507="","",IFERROR(INDEX('교육원 ④ 설정'!$C$6:$C$40,MATCH($D507,'교육원 ④ 설정'!$B$6:$B$40,0)),""))</f>
        <v/>
      </c>
      <c r="G507" s="39"/>
      <c r="H507" s="39"/>
      <c r="I507" s="40"/>
      <c r="J507" s="41"/>
      <c r="K507" s="38"/>
      <c r="L507" s="42" t="str">
        <f aca="false">IF($B507="","",IF(AND(N($I507)=0,N($J507)=0),"금액이 없습니다",IF(AND($I507&gt;0,$J507&gt;0),"수입·지출 둘 다 적혔습니다",IF($C507="","결제수단을 고르십시오",IF(ISNA(MATCH($C507,'교육원 ③ 통장·카드'!$A$5:$A$11,0)),"③ 통장·카드에 없는 결제수단입니다",IF($D507="","계정과목을 고르십시오",IF($E507="※없는 과목","④ 설정에 없는 과목입니다",IF(AND($E507="수입",$J507&gt;0),"수입 과목인데 지출에 적혔습니다",IF(AND(LEFT($E507,2)&lt;&gt;"수입",$E507&lt;&gt;"대체",$I507&gt;0),"지출 과목인데 수입에 적혔습니다",IF($K507="","증빙을 고르십시오",IF($H507="","적요를 적으십시오","")))))))))))</f>
        <v/>
      </c>
      <c r="M507" s="39"/>
      <c r="O507" s="11" t="str">
        <f aca="false">IF($B507="","",YEAR($B507)*100+MONTH($B507))</f>
        <v/>
      </c>
      <c r="P507" s="11" t="str">
        <f aca="false">IF($B507="","",IF($E507="대체",0,1))</f>
        <v/>
      </c>
    </row>
    <row r="508" customFormat="false" ht="15" hidden="false" customHeight="false" outlineLevel="0" collapsed="false">
      <c r="A508" s="36" t="str">
        <f aca="false">IF($B508="","",COUNT($B$15:$B508))</f>
        <v/>
      </c>
      <c r="B508" s="37"/>
      <c r="C508" s="38"/>
      <c r="D508" s="20"/>
      <c r="E508" s="36" t="str">
        <f aca="false">IF($D508="","",IFERROR(INDEX('교육원 ④ 설정'!$A$6:$A$40,MATCH($D508,'교육원 ④ 설정'!$B$6:$B$40,0)),"※없는 과목"))</f>
        <v/>
      </c>
      <c r="F508" s="36" t="str">
        <f aca="false">IF($D508="","",IFERROR(INDEX('교육원 ④ 설정'!$C$6:$C$40,MATCH($D508,'교육원 ④ 설정'!$B$6:$B$40,0)),""))</f>
        <v/>
      </c>
      <c r="G508" s="39"/>
      <c r="H508" s="39"/>
      <c r="I508" s="40"/>
      <c r="J508" s="41"/>
      <c r="K508" s="38"/>
      <c r="L508" s="42" t="str">
        <f aca="false">IF($B508="","",IF(AND(N($I508)=0,N($J508)=0),"금액이 없습니다",IF(AND($I508&gt;0,$J508&gt;0),"수입·지출 둘 다 적혔습니다",IF($C508="","결제수단을 고르십시오",IF(ISNA(MATCH($C508,'교육원 ③ 통장·카드'!$A$5:$A$11,0)),"③ 통장·카드에 없는 결제수단입니다",IF($D508="","계정과목을 고르십시오",IF($E508="※없는 과목","④ 설정에 없는 과목입니다",IF(AND($E508="수입",$J508&gt;0),"수입 과목인데 지출에 적혔습니다",IF(AND(LEFT($E508,2)&lt;&gt;"수입",$E508&lt;&gt;"대체",$I508&gt;0),"지출 과목인데 수입에 적혔습니다",IF($K508="","증빙을 고르십시오",IF($H508="","적요를 적으십시오","")))))))))))</f>
        <v/>
      </c>
      <c r="M508" s="39"/>
      <c r="O508" s="11" t="str">
        <f aca="false">IF($B508="","",YEAR($B508)*100+MONTH($B508))</f>
        <v/>
      </c>
      <c r="P508" s="11" t="str">
        <f aca="false">IF($B508="","",IF($E508="대체",0,1))</f>
        <v/>
      </c>
    </row>
    <row r="509" customFormat="false" ht="15" hidden="false" customHeight="false" outlineLevel="0" collapsed="false">
      <c r="A509" s="36" t="str">
        <f aca="false">IF($B509="","",COUNT($B$15:$B509))</f>
        <v/>
      </c>
      <c r="B509" s="37"/>
      <c r="C509" s="38"/>
      <c r="D509" s="20"/>
      <c r="E509" s="36" t="str">
        <f aca="false">IF($D509="","",IFERROR(INDEX('교육원 ④ 설정'!$A$6:$A$40,MATCH($D509,'교육원 ④ 설정'!$B$6:$B$40,0)),"※없는 과목"))</f>
        <v/>
      </c>
      <c r="F509" s="36" t="str">
        <f aca="false">IF($D509="","",IFERROR(INDEX('교육원 ④ 설정'!$C$6:$C$40,MATCH($D509,'교육원 ④ 설정'!$B$6:$B$40,0)),""))</f>
        <v/>
      </c>
      <c r="G509" s="39"/>
      <c r="H509" s="39"/>
      <c r="I509" s="40"/>
      <c r="J509" s="41"/>
      <c r="K509" s="38"/>
      <c r="L509" s="42" t="str">
        <f aca="false">IF($B509="","",IF(AND(N($I509)=0,N($J509)=0),"금액이 없습니다",IF(AND($I509&gt;0,$J509&gt;0),"수입·지출 둘 다 적혔습니다",IF($C509="","결제수단을 고르십시오",IF(ISNA(MATCH($C509,'교육원 ③ 통장·카드'!$A$5:$A$11,0)),"③ 통장·카드에 없는 결제수단입니다",IF($D509="","계정과목을 고르십시오",IF($E509="※없는 과목","④ 설정에 없는 과목입니다",IF(AND($E509="수입",$J509&gt;0),"수입 과목인데 지출에 적혔습니다",IF(AND(LEFT($E509,2)&lt;&gt;"수입",$E509&lt;&gt;"대체",$I509&gt;0),"지출 과목인데 수입에 적혔습니다",IF($K509="","증빙을 고르십시오",IF($H509="","적요를 적으십시오","")))))))))))</f>
        <v/>
      </c>
      <c r="M509" s="39"/>
      <c r="O509" s="11" t="str">
        <f aca="false">IF($B509="","",YEAR($B509)*100+MONTH($B509))</f>
        <v/>
      </c>
      <c r="P509" s="11" t="str">
        <f aca="false">IF($B509="","",IF($E509="대체",0,1))</f>
        <v/>
      </c>
    </row>
    <row r="510" customFormat="false" ht="15" hidden="false" customHeight="false" outlineLevel="0" collapsed="false">
      <c r="A510" s="36" t="str">
        <f aca="false">IF($B510="","",COUNT($B$15:$B510))</f>
        <v/>
      </c>
      <c r="B510" s="37"/>
      <c r="C510" s="38"/>
      <c r="D510" s="20"/>
      <c r="E510" s="36" t="str">
        <f aca="false">IF($D510="","",IFERROR(INDEX('교육원 ④ 설정'!$A$6:$A$40,MATCH($D510,'교육원 ④ 설정'!$B$6:$B$40,0)),"※없는 과목"))</f>
        <v/>
      </c>
      <c r="F510" s="36" t="str">
        <f aca="false">IF($D510="","",IFERROR(INDEX('교육원 ④ 설정'!$C$6:$C$40,MATCH($D510,'교육원 ④ 설정'!$B$6:$B$40,0)),""))</f>
        <v/>
      </c>
      <c r="G510" s="39"/>
      <c r="H510" s="39"/>
      <c r="I510" s="40"/>
      <c r="J510" s="41"/>
      <c r="K510" s="38"/>
      <c r="L510" s="42" t="str">
        <f aca="false">IF($B510="","",IF(AND(N($I510)=0,N($J510)=0),"금액이 없습니다",IF(AND($I510&gt;0,$J510&gt;0),"수입·지출 둘 다 적혔습니다",IF($C510="","결제수단을 고르십시오",IF(ISNA(MATCH($C510,'교육원 ③ 통장·카드'!$A$5:$A$11,0)),"③ 통장·카드에 없는 결제수단입니다",IF($D510="","계정과목을 고르십시오",IF($E510="※없는 과목","④ 설정에 없는 과목입니다",IF(AND($E510="수입",$J510&gt;0),"수입 과목인데 지출에 적혔습니다",IF(AND(LEFT($E510,2)&lt;&gt;"수입",$E510&lt;&gt;"대체",$I510&gt;0),"지출 과목인데 수입에 적혔습니다",IF($K510="","증빙을 고르십시오",IF($H510="","적요를 적으십시오","")))))))))))</f>
        <v/>
      </c>
      <c r="M510" s="39"/>
      <c r="O510" s="11" t="str">
        <f aca="false">IF($B510="","",YEAR($B510)*100+MONTH($B510))</f>
        <v/>
      </c>
      <c r="P510" s="11" t="str">
        <f aca="false">IF($B510="","",IF($E510="대체",0,1))</f>
        <v/>
      </c>
    </row>
    <row r="511" customFormat="false" ht="15" hidden="false" customHeight="false" outlineLevel="0" collapsed="false">
      <c r="A511" s="36" t="str">
        <f aca="false">IF($B511="","",COUNT($B$15:$B511))</f>
        <v/>
      </c>
      <c r="B511" s="37"/>
      <c r="C511" s="38"/>
      <c r="D511" s="20"/>
      <c r="E511" s="36" t="str">
        <f aca="false">IF($D511="","",IFERROR(INDEX('교육원 ④ 설정'!$A$6:$A$40,MATCH($D511,'교육원 ④ 설정'!$B$6:$B$40,0)),"※없는 과목"))</f>
        <v/>
      </c>
      <c r="F511" s="36" t="str">
        <f aca="false">IF($D511="","",IFERROR(INDEX('교육원 ④ 설정'!$C$6:$C$40,MATCH($D511,'교육원 ④ 설정'!$B$6:$B$40,0)),""))</f>
        <v/>
      </c>
      <c r="G511" s="39"/>
      <c r="H511" s="39"/>
      <c r="I511" s="40"/>
      <c r="J511" s="41"/>
      <c r="K511" s="38"/>
      <c r="L511" s="42" t="str">
        <f aca="false">IF($B511="","",IF(AND(N($I511)=0,N($J511)=0),"금액이 없습니다",IF(AND($I511&gt;0,$J511&gt;0),"수입·지출 둘 다 적혔습니다",IF($C511="","결제수단을 고르십시오",IF(ISNA(MATCH($C511,'교육원 ③ 통장·카드'!$A$5:$A$11,0)),"③ 통장·카드에 없는 결제수단입니다",IF($D511="","계정과목을 고르십시오",IF($E511="※없는 과목","④ 설정에 없는 과목입니다",IF(AND($E511="수입",$J511&gt;0),"수입 과목인데 지출에 적혔습니다",IF(AND(LEFT($E511,2)&lt;&gt;"수입",$E511&lt;&gt;"대체",$I511&gt;0),"지출 과목인데 수입에 적혔습니다",IF($K511="","증빙을 고르십시오",IF($H511="","적요를 적으십시오","")))))))))))</f>
        <v/>
      </c>
      <c r="M511" s="39"/>
      <c r="O511" s="11" t="str">
        <f aca="false">IF($B511="","",YEAR($B511)*100+MONTH($B511))</f>
        <v/>
      </c>
      <c r="P511" s="11" t="str">
        <f aca="false">IF($B511="","",IF($E511="대체",0,1))</f>
        <v/>
      </c>
    </row>
    <row r="512" customFormat="false" ht="15" hidden="false" customHeight="false" outlineLevel="0" collapsed="false">
      <c r="A512" s="36" t="str">
        <f aca="false">IF($B512="","",COUNT($B$15:$B512))</f>
        <v/>
      </c>
      <c r="B512" s="37"/>
      <c r="C512" s="38"/>
      <c r="D512" s="20"/>
      <c r="E512" s="36" t="str">
        <f aca="false">IF($D512="","",IFERROR(INDEX('교육원 ④ 설정'!$A$6:$A$40,MATCH($D512,'교육원 ④ 설정'!$B$6:$B$40,0)),"※없는 과목"))</f>
        <v/>
      </c>
      <c r="F512" s="36" t="str">
        <f aca="false">IF($D512="","",IFERROR(INDEX('교육원 ④ 설정'!$C$6:$C$40,MATCH($D512,'교육원 ④ 설정'!$B$6:$B$40,0)),""))</f>
        <v/>
      </c>
      <c r="G512" s="39"/>
      <c r="H512" s="39"/>
      <c r="I512" s="40"/>
      <c r="J512" s="41"/>
      <c r="K512" s="38"/>
      <c r="L512" s="42" t="str">
        <f aca="false">IF($B512="","",IF(AND(N($I512)=0,N($J512)=0),"금액이 없습니다",IF(AND($I512&gt;0,$J512&gt;0),"수입·지출 둘 다 적혔습니다",IF($C512="","결제수단을 고르십시오",IF(ISNA(MATCH($C512,'교육원 ③ 통장·카드'!$A$5:$A$11,0)),"③ 통장·카드에 없는 결제수단입니다",IF($D512="","계정과목을 고르십시오",IF($E512="※없는 과목","④ 설정에 없는 과목입니다",IF(AND($E512="수입",$J512&gt;0),"수입 과목인데 지출에 적혔습니다",IF(AND(LEFT($E512,2)&lt;&gt;"수입",$E512&lt;&gt;"대체",$I512&gt;0),"지출 과목인데 수입에 적혔습니다",IF($K512="","증빙을 고르십시오",IF($H512="","적요를 적으십시오","")))))))))))</f>
        <v/>
      </c>
      <c r="M512" s="39"/>
      <c r="O512" s="11" t="str">
        <f aca="false">IF($B512="","",YEAR($B512)*100+MONTH($B512))</f>
        <v/>
      </c>
      <c r="P512" s="11" t="str">
        <f aca="false">IF($B512="","",IF($E512="대체",0,1))</f>
        <v/>
      </c>
    </row>
    <row r="513" customFormat="false" ht="15" hidden="false" customHeight="false" outlineLevel="0" collapsed="false">
      <c r="A513" s="36" t="str">
        <f aca="false">IF($B513="","",COUNT($B$15:$B513))</f>
        <v/>
      </c>
      <c r="B513" s="37"/>
      <c r="C513" s="38"/>
      <c r="D513" s="20"/>
      <c r="E513" s="36" t="str">
        <f aca="false">IF($D513="","",IFERROR(INDEX('교육원 ④ 설정'!$A$6:$A$40,MATCH($D513,'교육원 ④ 설정'!$B$6:$B$40,0)),"※없는 과목"))</f>
        <v/>
      </c>
      <c r="F513" s="36" t="str">
        <f aca="false">IF($D513="","",IFERROR(INDEX('교육원 ④ 설정'!$C$6:$C$40,MATCH($D513,'교육원 ④ 설정'!$B$6:$B$40,0)),""))</f>
        <v/>
      </c>
      <c r="G513" s="39"/>
      <c r="H513" s="39"/>
      <c r="I513" s="40"/>
      <c r="J513" s="41"/>
      <c r="K513" s="38"/>
      <c r="L513" s="42" t="str">
        <f aca="false">IF($B513="","",IF(AND(N($I513)=0,N($J513)=0),"금액이 없습니다",IF(AND($I513&gt;0,$J513&gt;0),"수입·지출 둘 다 적혔습니다",IF($C513="","결제수단을 고르십시오",IF(ISNA(MATCH($C513,'교육원 ③ 통장·카드'!$A$5:$A$11,0)),"③ 통장·카드에 없는 결제수단입니다",IF($D513="","계정과목을 고르십시오",IF($E513="※없는 과목","④ 설정에 없는 과목입니다",IF(AND($E513="수입",$J513&gt;0),"수입 과목인데 지출에 적혔습니다",IF(AND(LEFT($E513,2)&lt;&gt;"수입",$E513&lt;&gt;"대체",$I513&gt;0),"지출 과목인데 수입에 적혔습니다",IF($K513="","증빙을 고르십시오",IF($H513="","적요를 적으십시오","")))))))))))</f>
        <v/>
      </c>
      <c r="M513" s="39"/>
      <c r="O513" s="11" t="str">
        <f aca="false">IF($B513="","",YEAR($B513)*100+MONTH($B513))</f>
        <v/>
      </c>
      <c r="P513" s="11" t="str">
        <f aca="false">IF($B513="","",IF($E513="대체",0,1))</f>
        <v/>
      </c>
    </row>
    <row r="514" customFormat="false" ht="15" hidden="false" customHeight="false" outlineLevel="0" collapsed="false">
      <c r="A514" s="36" t="str">
        <f aca="false">IF($B514="","",COUNT($B$15:$B514))</f>
        <v/>
      </c>
      <c r="B514" s="37"/>
      <c r="C514" s="38"/>
      <c r="D514" s="20"/>
      <c r="E514" s="36" t="str">
        <f aca="false">IF($D514="","",IFERROR(INDEX('교육원 ④ 설정'!$A$6:$A$40,MATCH($D514,'교육원 ④ 설정'!$B$6:$B$40,0)),"※없는 과목"))</f>
        <v/>
      </c>
      <c r="F514" s="36" t="str">
        <f aca="false">IF($D514="","",IFERROR(INDEX('교육원 ④ 설정'!$C$6:$C$40,MATCH($D514,'교육원 ④ 설정'!$B$6:$B$40,0)),""))</f>
        <v/>
      </c>
      <c r="G514" s="39"/>
      <c r="H514" s="39"/>
      <c r="I514" s="40"/>
      <c r="J514" s="41"/>
      <c r="K514" s="38"/>
      <c r="L514" s="42" t="str">
        <f aca="false">IF($B514="","",IF(AND(N($I514)=0,N($J514)=0),"금액이 없습니다",IF(AND($I514&gt;0,$J514&gt;0),"수입·지출 둘 다 적혔습니다",IF($C514="","결제수단을 고르십시오",IF(ISNA(MATCH($C514,'교육원 ③ 통장·카드'!$A$5:$A$11,0)),"③ 통장·카드에 없는 결제수단입니다",IF($D514="","계정과목을 고르십시오",IF($E514="※없는 과목","④ 설정에 없는 과목입니다",IF(AND($E514="수입",$J514&gt;0),"수입 과목인데 지출에 적혔습니다",IF(AND(LEFT($E514,2)&lt;&gt;"수입",$E514&lt;&gt;"대체",$I514&gt;0),"지출 과목인데 수입에 적혔습니다",IF($K514="","증빙을 고르십시오",IF($H514="","적요를 적으십시오","")))))))))))</f>
        <v/>
      </c>
      <c r="M514" s="39"/>
      <c r="O514" s="11" t="str">
        <f aca="false">IF($B514="","",YEAR($B514)*100+MONTH($B514))</f>
        <v/>
      </c>
      <c r="P514" s="11" t="str">
        <f aca="false">IF($B514="","",IF($E514="대체",0,1))</f>
        <v/>
      </c>
    </row>
    <row r="515" customFormat="false" ht="15" hidden="false" customHeight="false" outlineLevel="0" collapsed="false">
      <c r="A515" s="36" t="str">
        <f aca="false">IF($B515="","",COUNT($B$15:$B515))</f>
        <v/>
      </c>
      <c r="B515" s="37"/>
      <c r="C515" s="38"/>
      <c r="D515" s="20"/>
      <c r="E515" s="36" t="str">
        <f aca="false">IF($D515="","",IFERROR(INDEX('교육원 ④ 설정'!$A$6:$A$40,MATCH($D515,'교육원 ④ 설정'!$B$6:$B$40,0)),"※없는 과목"))</f>
        <v/>
      </c>
      <c r="F515" s="36" t="str">
        <f aca="false">IF($D515="","",IFERROR(INDEX('교육원 ④ 설정'!$C$6:$C$40,MATCH($D515,'교육원 ④ 설정'!$B$6:$B$40,0)),""))</f>
        <v/>
      </c>
      <c r="G515" s="39"/>
      <c r="H515" s="39"/>
      <c r="I515" s="40"/>
      <c r="J515" s="41"/>
      <c r="K515" s="38"/>
      <c r="L515" s="42" t="str">
        <f aca="false">IF($B515="","",IF(AND(N($I515)=0,N($J515)=0),"금액이 없습니다",IF(AND($I515&gt;0,$J515&gt;0),"수입·지출 둘 다 적혔습니다",IF($C515="","결제수단을 고르십시오",IF(ISNA(MATCH($C515,'교육원 ③ 통장·카드'!$A$5:$A$11,0)),"③ 통장·카드에 없는 결제수단입니다",IF($D515="","계정과목을 고르십시오",IF($E515="※없는 과목","④ 설정에 없는 과목입니다",IF(AND($E515="수입",$J515&gt;0),"수입 과목인데 지출에 적혔습니다",IF(AND(LEFT($E515,2)&lt;&gt;"수입",$E515&lt;&gt;"대체",$I515&gt;0),"지출 과목인데 수입에 적혔습니다",IF($K515="","증빙을 고르십시오",IF($H515="","적요를 적으십시오","")))))))))))</f>
        <v/>
      </c>
      <c r="M515" s="39"/>
      <c r="O515" s="11" t="str">
        <f aca="false">IF($B515="","",YEAR($B515)*100+MONTH($B515))</f>
        <v/>
      </c>
      <c r="P515" s="11" t="str">
        <f aca="false">IF($B515="","",IF($E515="대체",0,1))</f>
        <v/>
      </c>
    </row>
    <row r="516" customFormat="false" ht="15" hidden="false" customHeight="false" outlineLevel="0" collapsed="false">
      <c r="A516" s="36" t="str">
        <f aca="false">IF($B516="","",COUNT($B$15:$B516))</f>
        <v/>
      </c>
      <c r="B516" s="37"/>
      <c r="C516" s="38"/>
      <c r="D516" s="20"/>
      <c r="E516" s="36" t="str">
        <f aca="false">IF($D516="","",IFERROR(INDEX('교육원 ④ 설정'!$A$6:$A$40,MATCH($D516,'교육원 ④ 설정'!$B$6:$B$40,0)),"※없는 과목"))</f>
        <v/>
      </c>
      <c r="F516" s="36" t="str">
        <f aca="false">IF($D516="","",IFERROR(INDEX('교육원 ④ 설정'!$C$6:$C$40,MATCH($D516,'교육원 ④ 설정'!$B$6:$B$40,0)),""))</f>
        <v/>
      </c>
      <c r="G516" s="39"/>
      <c r="H516" s="39"/>
      <c r="I516" s="40"/>
      <c r="J516" s="41"/>
      <c r="K516" s="38"/>
      <c r="L516" s="42" t="str">
        <f aca="false">IF($B516="","",IF(AND(N($I516)=0,N($J516)=0),"금액이 없습니다",IF(AND($I516&gt;0,$J516&gt;0),"수입·지출 둘 다 적혔습니다",IF($C516="","결제수단을 고르십시오",IF(ISNA(MATCH($C516,'교육원 ③ 통장·카드'!$A$5:$A$11,0)),"③ 통장·카드에 없는 결제수단입니다",IF($D516="","계정과목을 고르십시오",IF($E516="※없는 과목","④ 설정에 없는 과목입니다",IF(AND($E516="수입",$J516&gt;0),"수입 과목인데 지출에 적혔습니다",IF(AND(LEFT($E516,2)&lt;&gt;"수입",$E516&lt;&gt;"대체",$I516&gt;0),"지출 과목인데 수입에 적혔습니다",IF($K516="","증빙을 고르십시오",IF($H516="","적요를 적으십시오","")))))))))))</f>
        <v/>
      </c>
      <c r="M516" s="39"/>
      <c r="O516" s="11" t="str">
        <f aca="false">IF($B516="","",YEAR($B516)*100+MONTH($B516))</f>
        <v/>
      </c>
      <c r="P516" s="11" t="str">
        <f aca="false">IF($B516="","",IF($E516="대체",0,1))</f>
        <v/>
      </c>
    </row>
    <row r="517" customFormat="false" ht="15" hidden="false" customHeight="false" outlineLevel="0" collapsed="false">
      <c r="A517" s="36" t="str">
        <f aca="false">IF($B517="","",COUNT($B$15:$B517))</f>
        <v/>
      </c>
      <c r="B517" s="37"/>
      <c r="C517" s="38"/>
      <c r="D517" s="20"/>
      <c r="E517" s="36" t="str">
        <f aca="false">IF($D517="","",IFERROR(INDEX('교육원 ④ 설정'!$A$6:$A$40,MATCH($D517,'교육원 ④ 설정'!$B$6:$B$40,0)),"※없는 과목"))</f>
        <v/>
      </c>
      <c r="F517" s="36" t="str">
        <f aca="false">IF($D517="","",IFERROR(INDEX('교육원 ④ 설정'!$C$6:$C$40,MATCH($D517,'교육원 ④ 설정'!$B$6:$B$40,0)),""))</f>
        <v/>
      </c>
      <c r="G517" s="39"/>
      <c r="H517" s="39"/>
      <c r="I517" s="40"/>
      <c r="J517" s="41"/>
      <c r="K517" s="38"/>
      <c r="L517" s="42" t="str">
        <f aca="false">IF($B517="","",IF(AND(N($I517)=0,N($J517)=0),"금액이 없습니다",IF(AND($I517&gt;0,$J517&gt;0),"수입·지출 둘 다 적혔습니다",IF($C517="","결제수단을 고르십시오",IF(ISNA(MATCH($C517,'교육원 ③ 통장·카드'!$A$5:$A$11,0)),"③ 통장·카드에 없는 결제수단입니다",IF($D517="","계정과목을 고르십시오",IF($E517="※없는 과목","④ 설정에 없는 과목입니다",IF(AND($E517="수입",$J517&gt;0),"수입 과목인데 지출에 적혔습니다",IF(AND(LEFT($E517,2)&lt;&gt;"수입",$E517&lt;&gt;"대체",$I517&gt;0),"지출 과목인데 수입에 적혔습니다",IF($K517="","증빙을 고르십시오",IF($H517="","적요를 적으십시오","")))))))))))</f>
        <v/>
      </c>
      <c r="M517" s="39"/>
      <c r="O517" s="11" t="str">
        <f aca="false">IF($B517="","",YEAR($B517)*100+MONTH($B517))</f>
        <v/>
      </c>
      <c r="P517" s="11" t="str">
        <f aca="false">IF($B517="","",IF($E517="대체",0,1))</f>
        <v/>
      </c>
    </row>
    <row r="518" customFormat="false" ht="15" hidden="false" customHeight="false" outlineLevel="0" collapsed="false">
      <c r="A518" s="36" t="str">
        <f aca="false">IF($B518="","",COUNT($B$15:$B518))</f>
        <v/>
      </c>
      <c r="B518" s="37"/>
      <c r="C518" s="38"/>
      <c r="D518" s="20"/>
      <c r="E518" s="36" t="str">
        <f aca="false">IF($D518="","",IFERROR(INDEX('교육원 ④ 설정'!$A$6:$A$40,MATCH($D518,'교육원 ④ 설정'!$B$6:$B$40,0)),"※없는 과목"))</f>
        <v/>
      </c>
      <c r="F518" s="36" t="str">
        <f aca="false">IF($D518="","",IFERROR(INDEX('교육원 ④ 설정'!$C$6:$C$40,MATCH($D518,'교육원 ④ 설정'!$B$6:$B$40,0)),""))</f>
        <v/>
      </c>
      <c r="G518" s="39"/>
      <c r="H518" s="39"/>
      <c r="I518" s="40"/>
      <c r="J518" s="41"/>
      <c r="K518" s="38"/>
      <c r="L518" s="42" t="str">
        <f aca="false">IF($B518="","",IF(AND(N($I518)=0,N($J518)=0),"금액이 없습니다",IF(AND($I518&gt;0,$J518&gt;0),"수입·지출 둘 다 적혔습니다",IF($C518="","결제수단을 고르십시오",IF(ISNA(MATCH($C518,'교육원 ③ 통장·카드'!$A$5:$A$11,0)),"③ 통장·카드에 없는 결제수단입니다",IF($D518="","계정과목을 고르십시오",IF($E518="※없는 과목","④ 설정에 없는 과목입니다",IF(AND($E518="수입",$J518&gt;0),"수입 과목인데 지출에 적혔습니다",IF(AND(LEFT($E518,2)&lt;&gt;"수입",$E518&lt;&gt;"대체",$I518&gt;0),"지출 과목인데 수입에 적혔습니다",IF($K518="","증빙을 고르십시오",IF($H518="","적요를 적으십시오","")))))))))))</f>
        <v/>
      </c>
      <c r="M518" s="39"/>
      <c r="O518" s="11" t="str">
        <f aca="false">IF($B518="","",YEAR($B518)*100+MONTH($B518))</f>
        <v/>
      </c>
      <c r="P518" s="11" t="str">
        <f aca="false">IF($B518="","",IF($E518="대체",0,1))</f>
        <v/>
      </c>
    </row>
    <row r="519" customFormat="false" ht="15" hidden="false" customHeight="false" outlineLevel="0" collapsed="false">
      <c r="A519" s="36" t="str">
        <f aca="false">IF($B519="","",COUNT($B$15:$B519))</f>
        <v/>
      </c>
      <c r="B519" s="37"/>
      <c r="C519" s="38"/>
      <c r="D519" s="20"/>
      <c r="E519" s="36" t="str">
        <f aca="false">IF($D519="","",IFERROR(INDEX('교육원 ④ 설정'!$A$6:$A$40,MATCH($D519,'교육원 ④ 설정'!$B$6:$B$40,0)),"※없는 과목"))</f>
        <v/>
      </c>
      <c r="F519" s="36" t="str">
        <f aca="false">IF($D519="","",IFERROR(INDEX('교육원 ④ 설정'!$C$6:$C$40,MATCH($D519,'교육원 ④ 설정'!$B$6:$B$40,0)),""))</f>
        <v/>
      </c>
      <c r="G519" s="39"/>
      <c r="H519" s="39"/>
      <c r="I519" s="40"/>
      <c r="J519" s="41"/>
      <c r="K519" s="38"/>
      <c r="L519" s="42" t="str">
        <f aca="false">IF($B519="","",IF(AND(N($I519)=0,N($J519)=0),"금액이 없습니다",IF(AND($I519&gt;0,$J519&gt;0),"수입·지출 둘 다 적혔습니다",IF($C519="","결제수단을 고르십시오",IF(ISNA(MATCH($C519,'교육원 ③ 통장·카드'!$A$5:$A$11,0)),"③ 통장·카드에 없는 결제수단입니다",IF($D519="","계정과목을 고르십시오",IF($E519="※없는 과목","④ 설정에 없는 과목입니다",IF(AND($E519="수입",$J519&gt;0),"수입 과목인데 지출에 적혔습니다",IF(AND(LEFT($E519,2)&lt;&gt;"수입",$E519&lt;&gt;"대체",$I519&gt;0),"지출 과목인데 수입에 적혔습니다",IF($K519="","증빙을 고르십시오",IF($H519="","적요를 적으십시오","")))))))))))</f>
        <v/>
      </c>
      <c r="M519" s="39"/>
      <c r="O519" s="11" t="str">
        <f aca="false">IF($B519="","",YEAR($B519)*100+MONTH($B519))</f>
        <v/>
      </c>
      <c r="P519" s="11" t="str">
        <f aca="false">IF($B519="","",IF($E519="대체",0,1))</f>
        <v/>
      </c>
    </row>
    <row r="520" customFormat="false" ht="15" hidden="false" customHeight="false" outlineLevel="0" collapsed="false">
      <c r="A520" s="36" t="str">
        <f aca="false">IF($B520="","",COUNT($B$15:$B520))</f>
        <v/>
      </c>
      <c r="B520" s="37"/>
      <c r="C520" s="38"/>
      <c r="D520" s="20"/>
      <c r="E520" s="36" t="str">
        <f aca="false">IF($D520="","",IFERROR(INDEX('교육원 ④ 설정'!$A$6:$A$40,MATCH($D520,'교육원 ④ 설정'!$B$6:$B$40,0)),"※없는 과목"))</f>
        <v/>
      </c>
      <c r="F520" s="36" t="str">
        <f aca="false">IF($D520="","",IFERROR(INDEX('교육원 ④ 설정'!$C$6:$C$40,MATCH($D520,'교육원 ④ 설정'!$B$6:$B$40,0)),""))</f>
        <v/>
      </c>
      <c r="G520" s="39"/>
      <c r="H520" s="39"/>
      <c r="I520" s="40"/>
      <c r="J520" s="41"/>
      <c r="K520" s="38"/>
      <c r="L520" s="42" t="str">
        <f aca="false">IF($B520="","",IF(AND(N($I520)=0,N($J520)=0),"금액이 없습니다",IF(AND($I520&gt;0,$J520&gt;0),"수입·지출 둘 다 적혔습니다",IF($C520="","결제수단을 고르십시오",IF(ISNA(MATCH($C520,'교육원 ③ 통장·카드'!$A$5:$A$11,0)),"③ 통장·카드에 없는 결제수단입니다",IF($D520="","계정과목을 고르십시오",IF($E520="※없는 과목","④ 설정에 없는 과목입니다",IF(AND($E520="수입",$J520&gt;0),"수입 과목인데 지출에 적혔습니다",IF(AND(LEFT($E520,2)&lt;&gt;"수입",$E520&lt;&gt;"대체",$I520&gt;0),"지출 과목인데 수입에 적혔습니다",IF($K520="","증빙을 고르십시오",IF($H520="","적요를 적으십시오","")))))))))))</f>
        <v/>
      </c>
      <c r="M520" s="39"/>
      <c r="O520" s="11" t="str">
        <f aca="false">IF($B520="","",YEAR($B520)*100+MONTH($B520))</f>
        <v/>
      </c>
      <c r="P520" s="11" t="str">
        <f aca="false">IF($B520="","",IF($E520="대체",0,1))</f>
        <v/>
      </c>
    </row>
    <row r="521" customFormat="false" ht="15" hidden="false" customHeight="false" outlineLevel="0" collapsed="false">
      <c r="A521" s="36" t="str">
        <f aca="false">IF($B521="","",COUNT($B$15:$B521))</f>
        <v/>
      </c>
      <c r="B521" s="37"/>
      <c r="C521" s="38"/>
      <c r="D521" s="20"/>
      <c r="E521" s="36" t="str">
        <f aca="false">IF($D521="","",IFERROR(INDEX('교육원 ④ 설정'!$A$6:$A$40,MATCH($D521,'교육원 ④ 설정'!$B$6:$B$40,0)),"※없는 과목"))</f>
        <v/>
      </c>
      <c r="F521" s="36" t="str">
        <f aca="false">IF($D521="","",IFERROR(INDEX('교육원 ④ 설정'!$C$6:$C$40,MATCH($D521,'교육원 ④ 설정'!$B$6:$B$40,0)),""))</f>
        <v/>
      </c>
      <c r="G521" s="39"/>
      <c r="H521" s="39"/>
      <c r="I521" s="40"/>
      <c r="J521" s="41"/>
      <c r="K521" s="38"/>
      <c r="L521" s="42" t="str">
        <f aca="false">IF($B521="","",IF(AND(N($I521)=0,N($J521)=0),"금액이 없습니다",IF(AND($I521&gt;0,$J521&gt;0),"수입·지출 둘 다 적혔습니다",IF($C521="","결제수단을 고르십시오",IF(ISNA(MATCH($C521,'교육원 ③ 통장·카드'!$A$5:$A$11,0)),"③ 통장·카드에 없는 결제수단입니다",IF($D521="","계정과목을 고르십시오",IF($E521="※없는 과목","④ 설정에 없는 과목입니다",IF(AND($E521="수입",$J521&gt;0),"수입 과목인데 지출에 적혔습니다",IF(AND(LEFT($E521,2)&lt;&gt;"수입",$E521&lt;&gt;"대체",$I521&gt;0),"지출 과목인데 수입에 적혔습니다",IF($K521="","증빙을 고르십시오",IF($H521="","적요를 적으십시오","")))))))))))</f>
        <v/>
      </c>
      <c r="M521" s="39"/>
      <c r="O521" s="11" t="str">
        <f aca="false">IF($B521="","",YEAR($B521)*100+MONTH($B521))</f>
        <v/>
      </c>
      <c r="P521" s="11" t="str">
        <f aca="false">IF($B521="","",IF($E521="대체",0,1))</f>
        <v/>
      </c>
    </row>
    <row r="522" customFormat="false" ht="15" hidden="false" customHeight="false" outlineLevel="0" collapsed="false">
      <c r="A522" s="36" t="str">
        <f aca="false">IF($B522="","",COUNT($B$15:$B522))</f>
        <v/>
      </c>
      <c r="B522" s="37"/>
      <c r="C522" s="38"/>
      <c r="D522" s="20"/>
      <c r="E522" s="36" t="str">
        <f aca="false">IF($D522="","",IFERROR(INDEX('교육원 ④ 설정'!$A$6:$A$40,MATCH($D522,'교육원 ④ 설정'!$B$6:$B$40,0)),"※없는 과목"))</f>
        <v/>
      </c>
      <c r="F522" s="36" t="str">
        <f aca="false">IF($D522="","",IFERROR(INDEX('교육원 ④ 설정'!$C$6:$C$40,MATCH($D522,'교육원 ④ 설정'!$B$6:$B$40,0)),""))</f>
        <v/>
      </c>
      <c r="G522" s="39"/>
      <c r="H522" s="39"/>
      <c r="I522" s="40"/>
      <c r="J522" s="41"/>
      <c r="K522" s="38"/>
      <c r="L522" s="42" t="str">
        <f aca="false">IF($B522="","",IF(AND(N($I522)=0,N($J522)=0),"금액이 없습니다",IF(AND($I522&gt;0,$J522&gt;0),"수입·지출 둘 다 적혔습니다",IF($C522="","결제수단을 고르십시오",IF(ISNA(MATCH($C522,'교육원 ③ 통장·카드'!$A$5:$A$11,0)),"③ 통장·카드에 없는 결제수단입니다",IF($D522="","계정과목을 고르십시오",IF($E522="※없는 과목","④ 설정에 없는 과목입니다",IF(AND($E522="수입",$J522&gt;0),"수입 과목인데 지출에 적혔습니다",IF(AND(LEFT($E522,2)&lt;&gt;"수입",$E522&lt;&gt;"대체",$I522&gt;0),"지출 과목인데 수입에 적혔습니다",IF($K522="","증빙을 고르십시오",IF($H522="","적요를 적으십시오","")))))))))))</f>
        <v/>
      </c>
      <c r="M522" s="39"/>
      <c r="O522" s="11" t="str">
        <f aca="false">IF($B522="","",YEAR($B522)*100+MONTH($B522))</f>
        <v/>
      </c>
      <c r="P522" s="11" t="str">
        <f aca="false">IF($B522="","",IF($E522="대체",0,1))</f>
        <v/>
      </c>
    </row>
    <row r="523" customFormat="false" ht="15" hidden="false" customHeight="false" outlineLevel="0" collapsed="false">
      <c r="A523" s="36" t="str">
        <f aca="false">IF($B523="","",COUNT($B$15:$B523))</f>
        <v/>
      </c>
      <c r="B523" s="37"/>
      <c r="C523" s="38"/>
      <c r="D523" s="20"/>
      <c r="E523" s="36" t="str">
        <f aca="false">IF($D523="","",IFERROR(INDEX('교육원 ④ 설정'!$A$6:$A$40,MATCH($D523,'교육원 ④ 설정'!$B$6:$B$40,0)),"※없는 과목"))</f>
        <v/>
      </c>
      <c r="F523" s="36" t="str">
        <f aca="false">IF($D523="","",IFERROR(INDEX('교육원 ④ 설정'!$C$6:$C$40,MATCH($D523,'교육원 ④ 설정'!$B$6:$B$40,0)),""))</f>
        <v/>
      </c>
      <c r="G523" s="39"/>
      <c r="H523" s="39"/>
      <c r="I523" s="40"/>
      <c r="J523" s="41"/>
      <c r="K523" s="38"/>
      <c r="L523" s="42" t="str">
        <f aca="false">IF($B523="","",IF(AND(N($I523)=0,N($J523)=0),"금액이 없습니다",IF(AND($I523&gt;0,$J523&gt;0),"수입·지출 둘 다 적혔습니다",IF($C523="","결제수단을 고르십시오",IF(ISNA(MATCH($C523,'교육원 ③ 통장·카드'!$A$5:$A$11,0)),"③ 통장·카드에 없는 결제수단입니다",IF($D523="","계정과목을 고르십시오",IF($E523="※없는 과목","④ 설정에 없는 과목입니다",IF(AND($E523="수입",$J523&gt;0),"수입 과목인데 지출에 적혔습니다",IF(AND(LEFT($E523,2)&lt;&gt;"수입",$E523&lt;&gt;"대체",$I523&gt;0),"지출 과목인데 수입에 적혔습니다",IF($K523="","증빙을 고르십시오",IF($H523="","적요를 적으십시오","")))))))))))</f>
        <v/>
      </c>
      <c r="M523" s="39"/>
      <c r="O523" s="11" t="str">
        <f aca="false">IF($B523="","",YEAR($B523)*100+MONTH($B523))</f>
        <v/>
      </c>
      <c r="P523" s="11" t="str">
        <f aca="false">IF($B523="","",IF($E523="대체",0,1))</f>
        <v/>
      </c>
    </row>
    <row r="524" customFormat="false" ht="15" hidden="false" customHeight="false" outlineLevel="0" collapsed="false">
      <c r="A524" s="36" t="str">
        <f aca="false">IF($B524="","",COUNT($B$15:$B524))</f>
        <v/>
      </c>
      <c r="B524" s="37"/>
      <c r="C524" s="38"/>
      <c r="D524" s="20"/>
      <c r="E524" s="36" t="str">
        <f aca="false">IF($D524="","",IFERROR(INDEX('교육원 ④ 설정'!$A$6:$A$40,MATCH($D524,'교육원 ④ 설정'!$B$6:$B$40,0)),"※없는 과목"))</f>
        <v/>
      </c>
      <c r="F524" s="36" t="str">
        <f aca="false">IF($D524="","",IFERROR(INDEX('교육원 ④ 설정'!$C$6:$C$40,MATCH($D524,'교육원 ④ 설정'!$B$6:$B$40,0)),""))</f>
        <v/>
      </c>
      <c r="G524" s="39"/>
      <c r="H524" s="39"/>
      <c r="I524" s="40"/>
      <c r="J524" s="41"/>
      <c r="K524" s="38"/>
      <c r="L524" s="42" t="str">
        <f aca="false">IF($B524="","",IF(AND(N($I524)=0,N($J524)=0),"금액이 없습니다",IF(AND($I524&gt;0,$J524&gt;0),"수입·지출 둘 다 적혔습니다",IF($C524="","결제수단을 고르십시오",IF(ISNA(MATCH($C524,'교육원 ③ 통장·카드'!$A$5:$A$11,0)),"③ 통장·카드에 없는 결제수단입니다",IF($D524="","계정과목을 고르십시오",IF($E524="※없는 과목","④ 설정에 없는 과목입니다",IF(AND($E524="수입",$J524&gt;0),"수입 과목인데 지출에 적혔습니다",IF(AND(LEFT($E524,2)&lt;&gt;"수입",$E524&lt;&gt;"대체",$I524&gt;0),"지출 과목인데 수입에 적혔습니다",IF($K524="","증빙을 고르십시오",IF($H524="","적요를 적으십시오","")))))))))))</f>
        <v/>
      </c>
      <c r="M524" s="39"/>
      <c r="O524" s="11" t="str">
        <f aca="false">IF($B524="","",YEAR($B524)*100+MONTH($B524))</f>
        <v/>
      </c>
      <c r="P524" s="11" t="str">
        <f aca="false">IF($B524="","",IF($E524="대체",0,1))</f>
        <v/>
      </c>
    </row>
    <row r="525" customFormat="false" ht="15" hidden="false" customHeight="false" outlineLevel="0" collapsed="false">
      <c r="A525" s="36" t="str">
        <f aca="false">IF($B525="","",COUNT($B$15:$B525))</f>
        <v/>
      </c>
      <c r="B525" s="37"/>
      <c r="C525" s="38"/>
      <c r="D525" s="20"/>
      <c r="E525" s="36" t="str">
        <f aca="false">IF($D525="","",IFERROR(INDEX('교육원 ④ 설정'!$A$6:$A$40,MATCH($D525,'교육원 ④ 설정'!$B$6:$B$40,0)),"※없는 과목"))</f>
        <v/>
      </c>
      <c r="F525" s="36" t="str">
        <f aca="false">IF($D525="","",IFERROR(INDEX('교육원 ④ 설정'!$C$6:$C$40,MATCH($D525,'교육원 ④ 설정'!$B$6:$B$40,0)),""))</f>
        <v/>
      </c>
      <c r="G525" s="39"/>
      <c r="H525" s="39"/>
      <c r="I525" s="40"/>
      <c r="J525" s="41"/>
      <c r="K525" s="38"/>
      <c r="L525" s="42" t="str">
        <f aca="false">IF($B525="","",IF(AND(N($I525)=0,N($J525)=0),"금액이 없습니다",IF(AND($I525&gt;0,$J525&gt;0),"수입·지출 둘 다 적혔습니다",IF($C525="","결제수단을 고르십시오",IF(ISNA(MATCH($C525,'교육원 ③ 통장·카드'!$A$5:$A$11,0)),"③ 통장·카드에 없는 결제수단입니다",IF($D525="","계정과목을 고르십시오",IF($E525="※없는 과목","④ 설정에 없는 과목입니다",IF(AND($E525="수입",$J525&gt;0),"수입 과목인데 지출에 적혔습니다",IF(AND(LEFT($E525,2)&lt;&gt;"수입",$E525&lt;&gt;"대체",$I525&gt;0),"지출 과목인데 수입에 적혔습니다",IF($K525="","증빙을 고르십시오",IF($H525="","적요를 적으십시오","")))))))))))</f>
        <v/>
      </c>
      <c r="M525" s="39"/>
      <c r="O525" s="11" t="str">
        <f aca="false">IF($B525="","",YEAR($B525)*100+MONTH($B525))</f>
        <v/>
      </c>
      <c r="P525" s="11" t="str">
        <f aca="false">IF($B525="","",IF($E525="대체",0,1))</f>
        <v/>
      </c>
    </row>
    <row r="526" customFormat="false" ht="15" hidden="false" customHeight="false" outlineLevel="0" collapsed="false">
      <c r="A526" s="36" t="str">
        <f aca="false">IF($B526="","",COUNT($B$15:$B526))</f>
        <v/>
      </c>
      <c r="B526" s="37"/>
      <c r="C526" s="38"/>
      <c r="D526" s="20"/>
      <c r="E526" s="36" t="str">
        <f aca="false">IF($D526="","",IFERROR(INDEX('교육원 ④ 설정'!$A$6:$A$40,MATCH($D526,'교육원 ④ 설정'!$B$6:$B$40,0)),"※없는 과목"))</f>
        <v/>
      </c>
      <c r="F526" s="36" t="str">
        <f aca="false">IF($D526="","",IFERROR(INDEX('교육원 ④ 설정'!$C$6:$C$40,MATCH($D526,'교육원 ④ 설정'!$B$6:$B$40,0)),""))</f>
        <v/>
      </c>
      <c r="G526" s="39"/>
      <c r="H526" s="39"/>
      <c r="I526" s="40"/>
      <c r="J526" s="41"/>
      <c r="K526" s="38"/>
      <c r="L526" s="42" t="str">
        <f aca="false">IF($B526="","",IF(AND(N($I526)=0,N($J526)=0),"금액이 없습니다",IF(AND($I526&gt;0,$J526&gt;0),"수입·지출 둘 다 적혔습니다",IF($C526="","결제수단을 고르십시오",IF(ISNA(MATCH($C526,'교육원 ③ 통장·카드'!$A$5:$A$11,0)),"③ 통장·카드에 없는 결제수단입니다",IF($D526="","계정과목을 고르십시오",IF($E526="※없는 과목","④ 설정에 없는 과목입니다",IF(AND($E526="수입",$J526&gt;0),"수입 과목인데 지출에 적혔습니다",IF(AND(LEFT($E526,2)&lt;&gt;"수입",$E526&lt;&gt;"대체",$I526&gt;0),"지출 과목인데 수입에 적혔습니다",IF($K526="","증빙을 고르십시오",IF($H526="","적요를 적으십시오","")))))))))))</f>
        <v/>
      </c>
      <c r="M526" s="39"/>
      <c r="O526" s="11" t="str">
        <f aca="false">IF($B526="","",YEAR($B526)*100+MONTH($B526))</f>
        <v/>
      </c>
      <c r="P526" s="11" t="str">
        <f aca="false">IF($B526="","",IF($E526="대체",0,1))</f>
        <v/>
      </c>
    </row>
    <row r="527" customFormat="false" ht="15" hidden="false" customHeight="false" outlineLevel="0" collapsed="false">
      <c r="A527" s="36" t="str">
        <f aca="false">IF($B527="","",COUNT($B$15:$B527))</f>
        <v/>
      </c>
      <c r="B527" s="37"/>
      <c r="C527" s="38"/>
      <c r="D527" s="20"/>
      <c r="E527" s="36" t="str">
        <f aca="false">IF($D527="","",IFERROR(INDEX('교육원 ④ 설정'!$A$6:$A$40,MATCH($D527,'교육원 ④ 설정'!$B$6:$B$40,0)),"※없는 과목"))</f>
        <v/>
      </c>
      <c r="F527" s="36" t="str">
        <f aca="false">IF($D527="","",IFERROR(INDEX('교육원 ④ 설정'!$C$6:$C$40,MATCH($D527,'교육원 ④ 설정'!$B$6:$B$40,0)),""))</f>
        <v/>
      </c>
      <c r="G527" s="39"/>
      <c r="H527" s="39"/>
      <c r="I527" s="40"/>
      <c r="J527" s="41"/>
      <c r="K527" s="38"/>
      <c r="L527" s="42" t="str">
        <f aca="false">IF($B527="","",IF(AND(N($I527)=0,N($J527)=0),"금액이 없습니다",IF(AND($I527&gt;0,$J527&gt;0),"수입·지출 둘 다 적혔습니다",IF($C527="","결제수단을 고르십시오",IF(ISNA(MATCH($C527,'교육원 ③ 통장·카드'!$A$5:$A$11,0)),"③ 통장·카드에 없는 결제수단입니다",IF($D527="","계정과목을 고르십시오",IF($E527="※없는 과목","④ 설정에 없는 과목입니다",IF(AND($E527="수입",$J527&gt;0),"수입 과목인데 지출에 적혔습니다",IF(AND(LEFT($E527,2)&lt;&gt;"수입",$E527&lt;&gt;"대체",$I527&gt;0),"지출 과목인데 수입에 적혔습니다",IF($K527="","증빙을 고르십시오",IF($H527="","적요를 적으십시오","")))))))))))</f>
        <v/>
      </c>
      <c r="M527" s="39"/>
      <c r="O527" s="11" t="str">
        <f aca="false">IF($B527="","",YEAR($B527)*100+MONTH($B527))</f>
        <v/>
      </c>
      <c r="P527" s="11" t="str">
        <f aca="false">IF($B527="","",IF($E527="대체",0,1))</f>
        <v/>
      </c>
    </row>
    <row r="528" customFormat="false" ht="15" hidden="false" customHeight="false" outlineLevel="0" collapsed="false">
      <c r="A528" s="36" t="str">
        <f aca="false">IF($B528="","",COUNT($B$15:$B528))</f>
        <v/>
      </c>
      <c r="B528" s="37"/>
      <c r="C528" s="38"/>
      <c r="D528" s="20"/>
      <c r="E528" s="36" t="str">
        <f aca="false">IF($D528="","",IFERROR(INDEX('교육원 ④ 설정'!$A$6:$A$40,MATCH($D528,'교육원 ④ 설정'!$B$6:$B$40,0)),"※없는 과목"))</f>
        <v/>
      </c>
      <c r="F528" s="36" t="str">
        <f aca="false">IF($D528="","",IFERROR(INDEX('교육원 ④ 설정'!$C$6:$C$40,MATCH($D528,'교육원 ④ 설정'!$B$6:$B$40,0)),""))</f>
        <v/>
      </c>
      <c r="G528" s="39"/>
      <c r="H528" s="39"/>
      <c r="I528" s="40"/>
      <c r="J528" s="41"/>
      <c r="K528" s="38"/>
      <c r="L528" s="42" t="str">
        <f aca="false">IF($B528="","",IF(AND(N($I528)=0,N($J528)=0),"금액이 없습니다",IF(AND($I528&gt;0,$J528&gt;0),"수입·지출 둘 다 적혔습니다",IF($C528="","결제수단을 고르십시오",IF(ISNA(MATCH($C528,'교육원 ③ 통장·카드'!$A$5:$A$11,0)),"③ 통장·카드에 없는 결제수단입니다",IF($D528="","계정과목을 고르십시오",IF($E528="※없는 과목","④ 설정에 없는 과목입니다",IF(AND($E528="수입",$J528&gt;0),"수입 과목인데 지출에 적혔습니다",IF(AND(LEFT($E528,2)&lt;&gt;"수입",$E528&lt;&gt;"대체",$I528&gt;0),"지출 과목인데 수입에 적혔습니다",IF($K528="","증빙을 고르십시오",IF($H528="","적요를 적으십시오","")))))))))))</f>
        <v/>
      </c>
      <c r="M528" s="39"/>
      <c r="O528" s="11" t="str">
        <f aca="false">IF($B528="","",YEAR($B528)*100+MONTH($B528))</f>
        <v/>
      </c>
      <c r="P528" s="11" t="str">
        <f aca="false">IF($B528="","",IF($E528="대체",0,1))</f>
        <v/>
      </c>
    </row>
    <row r="529" customFormat="false" ht="15" hidden="false" customHeight="false" outlineLevel="0" collapsed="false">
      <c r="A529" s="36" t="str">
        <f aca="false">IF($B529="","",COUNT($B$15:$B529))</f>
        <v/>
      </c>
      <c r="B529" s="37"/>
      <c r="C529" s="38"/>
      <c r="D529" s="20"/>
      <c r="E529" s="36" t="str">
        <f aca="false">IF($D529="","",IFERROR(INDEX('교육원 ④ 설정'!$A$6:$A$40,MATCH($D529,'교육원 ④ 설정'!$B$6:$B$40,0)),"※없는 과목"))</f>
        <v/>
      </c>
      <c r="F529" s="36" t="str">
        <f aca="false">IF($D529="","",IFERROR(INDEX('교육원 ④ 설정'!$C$6:$C$40,MATCH($D529,'교육원 ④ 설정'!$B$6:$B$40,0)),""))</f>
        <v/>
      </c>
      <c r="G529" s="39"/>
      <c r="H529" s="39"/>
      <c r="I529" s="40"/>
      <c r="J529" s="41"/>
      <c r="K529" s="38"/>
      <c r="L529" s="42" t="str">
        <f aca="false">IF($B529="","",IF(AND(N($I529)=0,N($J529)=0),"금액이 없습니다",IF(AND($I529&gt;0,$J529&gt;0),"수입·지출 둘 다 적혔습니다",IF($C529="","결제수단을 고르십시오",IF(ISNA(MATCH($C529,'교육원 ③ 통장·카드'!$A$5:$A$11,0)),"③ 통장·카드에 없는 결제수단입니다",IF($D529="","계정과목을 고르십시오",IF($E529="※없는 과목","④ 설정에 없는 과목입니다",IF(AND($E529="수입",$J529&gt;0),"수입 과목인데 지출에 적혔습니다",IF(AND(LEFT($E529,2)&lt;&gt;"수입",$E529&lt;&gt;"대체",$I529&gt;0),"지출 과목인데 수입에 적혔습니다",IF($K529="","증빙을 고르십시오",IF($H529="","적요를 적으십시오","")))))))))))</f>
        <v/>
      </c>
      <c r="M529" s="39"/>
      <c r="O529" s="11" t="str">
        <f aca="false">IF($B529="","",YEAR($B529)*100+MONTH($B529))</f>
        <v/>
      </c>
      <c r="P529" s="11" t="str">
        <f aca="false">IF($B529="","",IF($E529="대체",0,1))</f>
        <v/>
      </c>
    </row>
    <row r="530" customFormat="false" ht="15" hidden="false" customHeight="false" outlineLevel="0" collapsed="false">
      <c r="A530" s="36" t="str">
        <f aca="false">IF($B530="","",COUNT($B$15:$B530))</f>
        <v/>
      </c>
      <c r="B530" s="37"/>
      <c r="C530" s="38"/>
      <c r="D530" s="20"/>
      <c r="E530" s="36" t="str">
        <f aca="false">IF($D530="","",IFERROR(INDEX('교육원 ④ 설정'!$A$6:$A$40,MATCH($D530,'교육원 ④ 설정'!$B$6:$B$40,0)),"※없는 과목"))</f>
        <v/>
      </c>
      <c r="F530" s="36" t="str">
        <f aca="false">IF($D530="","",IFERROR(INDEX('교육원 ④ 설정'!$C$6:$C$40,MATCH($D530,'교육원 ④ 설정'!$B$6:$B$40,0)),""))</f>
        <v/>
      </c>
      <c r="G530" s="39"/>
      <c r="H530" s="39"/>
      <c r="I530" s="40"/>
      <c r="J530" s="41"/>
      <c r="K530" s="38"/>
      <c r="L530" s="42" t="str">
        <f aca="false">IF($B530="","",IF(AND(N($I530)=0,N($J530)=0),"금액이 없습니다",IF(AND($I530&gt;0,$J530&gt;0),"수입·지출 둘 다 적혔습니다",IF($C530="","결제수단을 고르십시오",IF(ISNA(MATCH($C530,'교육원 ③ 통장·카드'!$A$5:$A$11,0)),"③ 통장·카드에 없는 결제수단입니다",IF($D530="","계정과목을 고르십시오",IF($E530="※없는 과목","④ 설정에 없는 과목입니다",IF(AND($E530="수입",$J530&gt;0),"수입 과목인데 지출에 적혔습니다",IF(AND(LEFT($E530,2)&lt;&gt;"수입",$E530&lt;&gt;"대체",$I530&gt;0),"지출 과목인데 수입에 적혔습니다",IF($K530="","증빙을 고르십시오",IF($H530="","적요를 적으십시오","")))))))))))</f>
        <v/>
      </c>
      <c r="M530" s="39"/>
      <c r="O530" s="11" t="str">
        <f aca="false">IF($B530="","",YEAR($B530)*100+MONTH($B530))</f>
        <v/>
      </c>
      <c r="P530" s="11" t="str">
        <f aca="false">IF($B530="","",IF($E530="대체",0,1))</f>
        <v/>
      </c>
    </row>
    <row r="531" customFormat="false" ht="15" hidden="false" customHeight="false" outlineLevel="0" collapsed="false">
      <c r="A531" s="36" t="str">
        <f aca="false">IF($B531="","",COUNT($B$15:$B531))</f>
        <v/>
      </c>
      <c r="B531" s="37"/>
      <c r="C531" s="38"/>
      <c r="D531" s="20"/>
      <c r="E531" s="36" t="str">
        <f aca="false">IF($D531="","",IFERROR(INDEX('교육원 ④ 설정'!$A$6:$A$40,MATCH($D531,'교육원 ④ 설정'!$B$6:$B$40,0)),"※없는 과목"))</f>
        <v/>
      </c>
      <c r="F531" s="36" t="str">
        <f aca="false">IF($D531="","",IFERROR(INDEX('교육원 ④ 설정'!$C$6:$C$40,MATCH($D531,'교육원 ④ 설정'!$B$6:$B$40,0)),""))</f>
        <v/>
      </c>
      <c r="G531" s="39"/>
      <c r="H531" s="39"/>
      <c r="I531" s="40"/>
      <c r="J531" s="41"/>
      <c r="K531" s="38"/>
      <c r="L531" s="42" t="str">
        <f aca="false">IF($B531="","",IF(AND(N($I531)=0,N($J531)=0),"금액이 없습니다",IF(AND($I531&gt;0,$J531&gt;0),"수입·지출 둘 다 적혔습니다",IF($C531="","결제수단을 고르십시오",IF(ISNA(MATCH($C531,'교육원 ③ 통장·카드'!$A$5:$A$11,0)),"③ 통장·카드에 없는 결제수단입니다",IF($D531="","계정과목을 고르십시오",IF($E531="※없는 과목","④ 설정에 없는 과목입니다",IF(AND($E531="수입",$J531&gt;0),"수입 과목인데 지출에 적혔습니다",IF(AND(LEFT($E531,2)&lt;&gt;"수입",$E531&lt;&gt;"대체",$I531&gt;0),"지출 과목인데 수입에 적혔습니다",IF($K531="","증빙을 고르십시오",IF($H531="","적요를 적으십시오","")))))))))))</f>
        <v/>
      </c>
      <c r="M531" s="39"/>
      <c r="O531" s="11" t="str">
        <f aca="false">IF($B531="","",YEAR($B531)*100+MONTH($B531))</f>
        <v/>
      </c>
      <c r="P531" s="11" t="str">
        <f aca="false">IF($B531="","",IF($E531="대체",0,1))</f>
        <v/>
      </c>
    </row>
    <row r="532" customFormat="false" ht="15" hidden="false" customHeight="false" outlineLevel="0" collapsed="false">
      <c r="A532" s="36" t="str">
        <f aca="false">IF($B532="","",COUNT($B$15:$B532))</f>
        <v/>
      </c>
      <c r="B532" s="37"/>
      <c r="C532" s="38"/>
      <c r="D532" s="20"/>
      <c r="E532" s="36" t="str">
        <f aca="false">IF($D532="","",IFERROR(INDEX('교육원 ④ 설정'!$A$6:$A$40,MATCH($D532,'교육원 ④ 설정'!$B$6:$B$40,0)),"※없는 과목"))</f>
        <v/>
      </c>
      <c r="F532" s="36" t="str">
        <f aca="false">IF($D532="","",IFERROR(INDEX('교육원 ④ 설정'!$C$6:$C$40,MATCH($D532,'교육원 ④ 설정'!$B$6:$B$40,0)),""))</f>
        <v/>
      </c>
      <c r="G532" s="39"/>
      <c r="H532" s="39"/>
      <c r="I532" s="40"/>
      <c r="J532" s="41"/>
      <c r="K532" s="38"/>
      <c r="L532" s="42" t="str">
        <f aca="false">IF($B532="","",IF(AND(N($I532)=0,N($J532)=0),"금액이 없습니다",IF(AND($I532&gt;0,$J532&gt;0),"수입·지출 둘 다 적혔습니다",IF($C532="","결제수단을 고르십시오",IF(ISNA(MATCH($C532,'교육원 ③ 통장·카드'!$A$5:$A$11,0)),"③ 통장·카드에 없는 결제수단입니다",IF($D532="","계정과목을 고르십시오",IF($E532="※없는 과목","④ 설정에 없는 과목입니다",IF(AND($E532="수입",$J532&gt;0),"수입 과목인데 지출에 적혔습니다",IF(AND(LEFT($E532,2)&lt;&gt;"수입",$E532&lt;&gt;"대체",$I532&gt;0),"지출 과목인데 수입에 적혔습니다",IF($K532="","증빙을 고르십시오",IF($H532="","적요를 적으십시오","")))))))))))</f>
        <v/>
      </c>
      <c r="M532" s="39"/>
      <c r="O532" s="11" t="str">
        <f aca="false">IF($B532="","",YEAR($B532)*100+MONTH($B532))</f>
        <v/>
      </c>
      <c r="P532" s="11" t="str">
        <f aca="false">IF($B532="","",IF($E532="대체",0,1))</f>
        <v/>
      </c>
    </row>
    <row r="533" customFormat="false" ht="15" hidden="false" customHeight="false" outlineLevel="0" collapsed="false">
      <c r="A533" s="36" t="str">
        <f aca="false">IF($B533="","",COUNT($B$15:$B533))</f>
        <v/>
      </c>
      <c r="B533" s="37"/>
      <c r="C533" s="38"/>
      <c r="D533" s="20"/>
      <c r="E533" s="36" t="str">
        <f aca="false">IF($D533="","",IFERROR(INDEX('교육원 ④ 설정'!$A$6:$A$40,MATCH($D533,'교육원 ④ 설정'!$B$6:$B$40,0)),"※없는 과목"))</f>
        <v/>
      </c>
      <c r="F533" s="36" t="str">
        <f aca="false">IF($D533="","",IFERROR(INDEX('교육원 ④ 설정'!$C$6:$C$40,MATCH($D533,'교육원 ④ 설정'!$B$6:$B$40,0)),""))</f>
        <v/>
      </c>
      <c r="G533" s="39"/>
      <c r="H533" s="39"/>
      <c r="I533" s="40"/>
      <c r="J533" s="41"/>
      <c r="K533" s="38"/>
      <c r="L533" s="42" t="str">
        <f aca="false">IF($B533="","",IF(AND(N($I533)=0,N($J533)=0),"금액이 없습니다",IF(AND($I533&gt;0,$J533&gt;0),"수입·지출 둘 다 적혔습니다",IF($C533="","결제수단을 고르십시오",IF(ISNA(MATCH($C533,'교육원 ③ 통장·카드'!$A$5:$A$11,0)),"③ 통장·카드에 없는 결제수단입니다",IF($D533="","계정과목을 고르십시오",IF($E533="※없는 과목","④ 설정에 없는 과목입니다",IF(AND($E533="수입",$J533&gt;0),"수입 과목인데 지출에 적혔습니다",IF(AND(LEFT($E533,2)&lt;&gt;"수입",$E533&lt;&gt;"대체",$I533&gt;0),"지출 과목인데 수입에 적혔습니다",IF($K533="","증빙을 고르십시오",IF($H533="","적요를 적으십시오","")))))))))))</f>
        <v/>
      </c>
      <c r="M533" s="39"/>
      <c r="O533" s="11" t="str">
        <f aca="false">IF($B533="","",YEAR($B533)*100+MONTH($B533))</f>
        <v/>
      </c>
      <c r="P533" s="11" t="str">
        <f aca="false">IF($B533="","",IF($E533="대체",0,1))</f>
        <v/>
      </c>
    </row>
    <row r="534" customFormat="false" ht="15" hidden="false" customHeight="false" outlineLevel="0" collapsed="false">
      <c r="A534" s="36" t="str">
        <f aca="false">IF($B534="","",COUNT($B$15:$B534))</f>
        <v/>
      </c>
      <c r="B534" s="37"/>
      <c r="C534" s="38"/>
      <c r="D534" s="20"/>
      <c r="E534" s="36" t="str">
        <f aca="false">IF($D534="","",IFERROR(INDEX('교육원 ④ 설정'!$A$6:$A$40,MATCH($D534,'교육원 ④ 설정'!$B$6:$B$40,0)),"※없는 과목"))</f>
        <v/>
      </c>
      <c r="F534" s="36" t="str">
        <f aca="false">IF($D534="","",IFERROR(INDEX('교육원 ④ 설정'!$C$6:$C$40,MATCH($D534,'교육원 ④ 설정'!$B$6:$B$40,0)),""))</f>
        <v/>
      </c>
      <c r="G534" s="39"/>
      <c r="H534" s="39"/>
      <c r="I534" s="40"/>
      <c r="J534" s="41"/>
      <c r="K534" s="38"/>
      <c r="L534" s="42" t="str">
        <f aca="false">IF($B534="","",IF(AND(N($I534)=0,N($J534)=0),"금액이 없습니다",IF(AND($I534&gt;0,$J534&gt;0),"수입·지출 둘 다 적혔습니다",IF($C534="","결제수단을 고르십시오",IF(ISNA(MATCH($C534,'교육원 ③ 통장·카드'!$A$5:$A$11,0)),"③ 통장·카드에 없는 결제수단입니다",IF($D534="","계정과목을 고르십시오",IF($E534="※없는 과목","④ 설정에 없는 과목입니다",IF(AND($E534="수입",$J534&gt;0),"수입 과목인데 지출에 적혔습니다",IF(AND(LEFT($E534,2)&lt;&gt;"수입",$E534&lt;&gt;"대체",$I534&gt;0),"지출 과목인데 수입에 적혔습니다",IF($K534="","증빙을 고르십시오",IF($H534="","적요를 적으십시오","")))))))))))</f>
        <v/>
      </c>
      <c r="M534" s="39"/>
      <c r="O534" s="11" t="str">
        <f aca="false">IF($B534="","",YEAR($B534)*100+MONTH($B534))</f>
        <v/>
      </c>
      <c r="P534" s="11" t="str">
        <f aca="false">IF($B534="","",IF($E534="대체",0,1))</f>
        <v/>
      </c>
    </row>
    <row r="535" customFormat="false" ht="15" hidden="false" customHeight="false" outlineLevel="0" collapsed="false">
      <c r="A535" s="36" t="str">
        <f aca="false">IF($B535="","",COUNT($B$15:$B535))</f>
        <v/>
      </c>
      <c r="B535" s="37"/>
      <c r="C535" s="38"/>
      <c r="D535" s="20"/>
      <c r="E535" s="36" t="str">
        <f aca="false">IF($D535="","",IFERROR(INDEX('교육원 ④ 설정'!$A$6:$A$40,MATCH($D535,'교육원 ④ 설정'!$B$6:$B$40,0)),"※없는 과목"))</f>
        <v/>
      </c>
      <c r="F535" s="36" t="str">
        <f aca="false">IF($D535="","",IFERROR(INDEX('교육원 ④ 설정'!$C$6:$C$40,MATCH($D535,'교육원 ④ 설정'!$B$6:$B$40,0)),""))</f>
        <v/>
      </c>
      <c r="G535" s="39"/>
      <c r="H535" s="39"/>
      <c r="I535" s="40"/>
      <c r="J535" s="41"/>
      <c r="K535" s="38"/>
      <c r="L535" s="42" t="str">
        <f aca="false">IF($B535="","",IF(AND(N($I535)=0,N($J535)=0),"금액이 없습니다",IF(AND($I535&gt;0,$J535&gt;0),"수입·지출 둘 다 적혔습니다",IF($C535="","결제수단을 고르십시오",IF(ISNA(MATCH($C535,'교육원 ③ 통장·카드'!$A$5:$A$11,0)),"③ 통장·카드에 없는 결제수단입니다",IF($D535="","계정과목을 고르십시오",IF($E535="※없는 과목","④ 설정에 없는 과목입니다",IF(AND($E535="수입",$J535&gt;0),"수입 과목인데 지출에 적혔습니다",IF(AND(LEFT($E535,2)&lt;&gt;"수입",$E535&lt;&gt;"대체",$I535&gt;0),"지출 과목인데 수입에 적혔습니다",IF($K535="","증빙을 고르십시오",IF($H535="","적요를 적으십시오","")))))))))))</f>
        <v/>
      </c>
      <c r="M535" s="39"/>
      <c r="O535" s="11" t="str">
        <f aca="false">IF($B535="","",YEAR($B535)*100+MONTH($B535))</f>
        <v/>
      </c>
      <c r="P535" s="11" t="str">
        <f aca="false">IF($B535="","",IF($E535="대체",0,1))</f>
        <v/>
      </c>
    </row>
    <row r="536" customFormat="false" ht="15" hidden="false" customHeight="false" outlineLevel="0" collapsed="false">
      <c r="A536" s="36" t="str">
        <f aca="false">IF($B536="","",COUNT($B$15:$B536))</f>
        <v/>
      </c>
      <c r="B536" s="37"/>
      <c r="C536" s="38"/>
      <c r="D536" s="20"/>
      <c r="E536" s="36" t="str">
        <f aca="false">IF($D536="","",IFERROR(INDEX('교육원 ④ 설정'!$A$6:$A$40,MATCH($D536,'교육원 ④ 설정'!$B$6:$B$40,0)),"※없는 과목"))</f>
        <v/>
      </c>
      <c r="F536" s="36" t="str">
        <f aca="false">IF($D536="","",IFERROR(INDEX('교육원 ④ 설정'!$C$6:$C$40,MATCH($D536,'교육원 ④ 설정'!$B$6:$B$40,0)),""))</f>
        <v/>
      </c>
      <c r="G536" s="39"/>
      <c r="H536" s="39"/>
      <c r="I536" s="40"/>
      <c r="J536" s="41"/>
      <c r="K536" s="38"/>
      <c r="L536" s="42" t="str">
        <f aca="false">IF($B536="","",IF(AND(N($I536)=0,N($J536)=0),"금액이 없습니다",IF(AND($I536&gt;0,$J536&gt;0),"수입·지출 둘 다 적혔습니다",IF($C536="","결제수단을 고르십시오",IF(ISNA(MATCH($C536,'교육원 ③ 통장·카드'!$A$5:$A$11,0)),"③ 통장·카드에 없는 결제수단입니다",IF($D536="","계정과목을 고르십시오",IF($E536="※없는 과목","④ 설정에 없는 과목입니다",IF(AND($E536="수입",$J536&gt;0),"수입 과목인데 지출에 적혔습니다",IF(AND(LEFT($E536,2)&lt;&gt;"수입",$E536&lt;&gt;"대체",$I536&gt;0),"지출 과목인데 수입에 적혔습니다",IF($K536="","증빙을 고르십시오",IF($H536="","적요를 적으십시오","")))))))))))</f>
        <v/>
      </c>
      <c r="M536" s="39"/>
      <c r="O536" s="11" t="str">
        <f aca="false">IF($B536="","",YEAR($B536)*100+MONTH($B536))</f>
        <v/>
      </c>
      <c r="P536" s="11" t="str">
        <f aca="false">IF($B536="","",IF($E536="대체",0,1))</f>
        <v/>
      </c>
    </row>
    <row r="537" customFormat="false" ht="15" hidden="false" customHeight="false" outlineLevel="0" collapsed="false">
      <c r="A537" s="36" t="str">
        <f aca="false">IF($B537="","",COUNT($B$15:$B537))</f>
        <v/>
      </c>
      <c r="B537" s="37"/>
      <c r="C537" s="38"/>
      <c r="D537" s="20"/>
      <c r="E537" s="36" t="str">
        <f aca="false">IF($D537="","",IFERROR(INDEX('교육원 ④ 설정'!$A$6:$A$40,MATCH($D537,'교육원 ④ 설정'!$B$6:$B$40,0)),"※없는 과목"))</f>
        <v/>
      </c>
      <c r="F537" s="36" t="str">
        <f aca="false">IF($D537="","",IFERROR(INDEX('교육원 ④ 설정'!$C$6:$C$40,MATCH($D537,'교육원 ④ 설정'!$B$6:$B$40,0)),""))</f>
        <v/>
      </c>
      <c r="G537" s="39"/>
      <c r="H537" s="39"/>
      <c r="I537" s="40"/>
      <c r="J537" s="41"/>
      <c r="K537" s="38"/>
      <c r="L537" s="42" t="str">
        <f aca="false">IF($B537="","",IF(AND(N($I537)=0,N($J537)=0),"금액이 없습니다",IF(AND($I537&gt;0,$J537&gt;0),"수입·지출 둘 다 적혔습니다",IF($C537="","결제수단을 고르십시오",IF(ISNA(MATCH($C537,'교육원 ③ 통장·카드'!$A$5:$A$11,0)),"③ 통장·카드에 없는 결제수단입니다",IF($D537="","계정과목을 고르십시오",IF($E537="※없는 과목","④ 설정에 없는 과목입니다",IF(AND($E537="수입",$J537&gt;0),"수입 과목인데 지출에 적혔습니다",IF(AND(LEFT($E537,2)&lt;&gt;"수입",$E537&lt;&gt;"대체",$I537&gt;0),"지출 과목인데 수입에 적혔습니다",IF($K537="","증빙을 고르십시오",IF($H537="","적요를 적으십시오","")))))))))))</f>
        <v/>
      </c>
      <c r="M537" s="39"/>
      <c r="O537" s="11" t="str">
        <f aca="false">IF($B537="","",YEAR($B537)*100+MONTH($B537))</f>
        <v/>
      </c>
      <c r="P537" s="11" t="str">
        <f aca="false">IF($B537="","",IF($E537="대체",0,1))</f>
        <v/>
      </c>
    </row>
    <row r="538" customFormat="false" ht="15" hidden="false" customHeight="false" outlineLevel="0" collapsed="false">
      <c r="A538" s="36" t="str">
        <f aca="false">IF($B538="","",COUNT($B$15:$B538))</f>
        <v/>
      </c>
      <c r="B538" s="37"/>
      <c r="C538" s="38"/>
      <c r="D538" s="20"/>
      <c r="E538" s="36" t="str">
        <f aca="false">IF($D538="","",IFERROR(INDEX('교육원 ④ 설정'!$A$6:$A$40,MATCH($D538,'교육원 ④ 설정'!$B$6:$B$40,0)),"※없는 과목"))</f>
        <v/>
      </c>
      <c r="F538" s="36" t="str">
        <f aca="false">IF($D538="","",IFERROR(INDEX('교육원 ④ 설정'!$C$6:$C$40,MATCH($D538,'교육원 ④ 설정'!$B$6:$B$40,0)),""))</f>
        <v/>
      </c>
      <c r="G538" s="39"/>
      <c r="H538" s="39"/>
      <c r="I538" s="40"/>
      <c r="J538" s="41"/>
      <c r="K538" s="38"/>
      <c r="L538" s="42" t="str">
        <f aca="false">IF($B538="","",IF(AND(N($I538)=0,N($J538)=0),"금액이 없습니다",IF(AND($I538&gt;0,$J538&gt;0),"수입·지출 둘 다 적혔습니다",IF($C538="","결제수단을 고르십시오",IF(ISNA(MATCH($C538,'교육원 ③ 통장·카드'!$A$5:$A$11,0)),"③ 통장·카드에 없는 결제수단입니다",IF($D538="","계정과목을 고르십시오",IF($E538="※없는 과목","④ 설정에 없는 과목입니다",IF(AND($E538="수입",$J538&gt;0),"수입 과목인데 지출에 적혔습니다",IF(AND(LEFT($E538,2)&lt;&gt;"수입",$E538&lt;&gt;"대체",$I538&gt;0),"지출 과목인데 수입에 적혔습니다",IF($K538="","증빙을 고르십시오",IF($H538="","적요를 적으십시오","")))))))))))</f>
        <v/>
      </c>
      <c r="M538" s="39"/>
      <c r="O538" s="11" t="str">
        <f aca="false">IF($B538="","",YEAR($B538)*100+MONTH($B538))</f>
        <v/>
      </c>
      <c r="P538" s="11" t="str">
        <f aca="false">IF($B538="","",IF($E538="대체",0,1))</f>
        <v/>
      </c>
    </row>
    <row r="539" customFormat="false" ht="15" hidden="false" customHeight="false" outlineLevel="0" collapsed="false">
      <c r="A539" s="36" t="str">
        <f aca="false">IF($B539="","",COUNT($B$15:$B539))</f>
        <v/>
      </c>
      <c r="B539" s="37"/>
      <c r="C539" s="38"/>
      <c r="D539" s="20"/>
      <c r="E539" s="36" t="str">
        <f aca="false">IF($D539="","",IFERROR(INDEX('교육원 ④ 설정'!$A$6:$A$40,MATCH($D539,'교육원 ④ 설정'!$B$6:$B$40,0)),"※없는 과목"))</f>
        <v/>
      </c>
      <c r="F539" s="36" t="str">
        <f aca="false">IF($D539="","",IFERROR(INDEX('교육원 ④ 설정'!$C$6:$C$40,MATCH($D539,'교육원 ④ 설정'!$B$6:$B$40,0)),""))</f>
        <v/>
      </c>
      <c r="G539" s="39"/>
      <c r="H539" s="39"/>
      <c r="I539" s="40"/>
      <c r="J539" s="41"/>
      <c r="K539" s="38"/>
      <c r="L539" s="42" t="str">
        <f aca="false">IF($B539="","",IF(AND(N($I539)=0,N($J539)=0),"금액이 없습니다",IF(AND($I539&gt;0,$J539&gt;0),"수입·지출 둘 다 적혔습니다",IF($C539="","결제수단을 고르십시오",IF(ISNA(MATCH($C539,'교육원 ③ 통장·카드'!$A$5:$A$11,0)),"③ 통장·카드에 없는 결제수단입니다",IF($D539="","계정과목을 고르십시오",IF($E539="※없는 과목","④ 설정에 없는 과목입니다",IF(AND($E539="수입",$J539&gt;0),"수입 과목인데 지출에 적혔습니다",IF(AND(LEFT($E539,2)&lt;&gt;"수입",$E539&lt;&gt;"대체",$I539&gt;0),"지출 과목인데 수입에 적혔습니다",IF($K539="","증빙을 고르십시오",IF($H539="","적요를 적으십시오","")))))))))))</f>
        <v/>
      </c>
      <c r="M539" s="39"/>
      <c r="O539" s="11" t="str">
        <f aca="false">IF($B539="","",YEAR($B539)*100+MONTH($B539))</f>
        <v/>
      </c>
      <c r="P539" s="11" t="str">
        <f aca="false">IF($B539="","",IF($E539="대체",0,1))</f>
        <v/>
      </c>
    </row>
    <row r="540" customFormat="false" ht="15" hidden="false" customHeight="false" outlineLevel="0" collapsed="false">
      <c r="A540" s="36" t="str">
        <f aca="false">IF($B540="","",COUNT($B$15:$B540))</f>
        <v/>
      </c>
      <c r="B540" s="37"/>
      <c r="C540" s="38"/>
      <c r="D540" s="20"/>
      <c r="E540" s="36" t="str">
        <f aca="false">IF($D540="","",IFERROR(INDEX('교육원 ④ 설정'!$A$6:$A$40,MATCH($D540,'교육원 ④ 설정'!$B$6:$B$40,0)),"※없는 과목"))</f>
        <v/>
      </c>
      <c r="F540" s="36" t="str">
        <f aca="false">IF($D540="","",IFERROR(INDEX('교육원 ④ 설정'!$C$6:$C$40,MATCH($D540,'교육원 ④ 설정'!$B$6:$B$40,0)),""))</f>
        <v/>
      </c>
      <c r="G540" s="39"/>
      <c r="H540" s="39"/>
      <c r="I540" s="40"/>
      <c r="J540" s="41"/>
      <c r="K540" s="38"/>
      <c r="L540" s="42" t="str">
        <f aca="false">IF($B540="","",IF(AND(N($I540)=0,N($J540)=0),"금액이 없습니다",IF(AND($I540&gt;0,$J540&gt;0),"수입·지출 둘 다 적혔습니다",IF($C540="","결제수단을 고르십시오",IF(ISNA(MATCH($C540,'교육원 ③ 통장·카드'!$A$5:$A$11,0)),"③ 통장·카드에 없는 결제수단입니다",IF($D540="","계정과목을 고르십시오",IF($E540="※없는 과목","④ 설정에 없는 과목입니다",IF(AND($E540="수입",$J540&gt;0),"수입 과목인데 지출에 적혔습니다",IF(AND(LEFT($E540,2)&lt;&gt;"수입",$E540&lt;&gt;"대체",$I540&gt;0),"지출 과목인데 수입에 적혔습니다",IF($K540="","증빙을 고르십시오",IF($H540="","적요를 적으십시오","")))))))))))</f>
        <v/>
      </c>
      <c r="M540" s="39"/>
      <c r="O540" s="11" t="str">
        <f aca="false">IF($B540="","",YEAR($B540)*100+MONTH($B540))</f>
        <v/>
      </c>
      <c r="P540" s="11" t="str">
        <f aca="false">IF($B540="","",IF($E540="대체",0,1))</f>
        <v/>
      </c>
    </row>
    <row r="541" customFormat="false" ht="15" hidden="false" customHeight="false" outlineLevel="0" collapsed="false">
      <c r="A541" s="36" t="str">
        <f aca="false">IF($B541="","",COUNT($B$15:$B541))</f>
        <v/>
      </c>
      <c r="B541" s="37"/>
      <c r="C541" s="38"/>
      <c r="D541" s="20"/>
      <c r="E541" s="36" t="str">
        <f aca="false">IF($D541="","",IFERROR(INDEX('교육원 ④ 설정'!$A$6:$A$40,MATCH($D541,'교육원 ④ 설정'!$B$6:$B$40,0)),"※없는 과목"))</f>
        <v/>
      </c>
      <c r="F541" s="36" t="str">
        <f aca="false">IF($D541="","",IFERROR(INDEX('교육원 ④ 설정'!$C$6:$C$40,MATCH($D541,'교육원 ④ 설정'!$B$6:$B$40,0)),""))</f>
        <v/>
      </c>
      <c r="G541" s="39"/>
      <c r="H541" s="39"/>
      <c r="I541" s="40"/>
      <c r="J541" s="41"/>
      <c r="K541" s="38"/>
      <c r="L541" s="42" t="str">
        <f aca="false">IF($B541="","",IF(AND(N($I541)=0,N($J541)=0),"금액이 없습니다",IF(AND($I541&gt;0,$J541&gt;0),"수입·지출 둘 다 적혔습니다",IF($C541="","결제수단을 고르십시오",IF(ISNA(MATCH($C541,'교육원 ③ 통장·카드'!$A$5:$A$11,0)),"③ 통장·카드에 없는 결제수단입니다",IF($D541="","계정과목을 고르십시오",IF($E541="※없는 과목","④ 설정에 없는 과목입니다",IF(AND($E541="수입",$J541&gt;0),"수입 과목인데 지출에 적혔습니다",IF(AND(LEFT($E541,2)&lt;&gt;"수입",$E541&lt;&gt;"대체",$I541&gt;0),"지출 과목인데 수입에 적혔습니다",IF($K541="","증빙을 고르십시오",IF($H541="","적요를 적으십시오","")))))))))))</f>
        <v/>
      </c>
      <c r="M541" s="39"/>
      <c r="O541" s="11" t="str">
        <f aca="false">IF($B541="","",YEAR($B541)*100+MONTH($B541))</f>
        <v/>
      </c>
      <c r="P541" s="11" t="str">
        <f aca="false">IF($B541="","",IF($E541="대체",0,1))</f>
        <v/>
      </c>
    </row>
    <row r="542" customFormat="false" ht="15" hidden="false" customHeight="false" outlineLevel="0" collapsed="false">
      <c r="A542" s="36" t="str">
        <f aca="false">IF($B542="","",COUNT($B$15:$B542))</f>
        <v/>
      </c>
      <c r="B542" s="37"/>
      <c r="C542" s="38"/>
      <c r="D542" s="20"/>
      <c r="E542" s="36" t="str">
        <f aca="false">IF($D542="","",IFERROR(INDEX('교육원 ④ 설정'!$A$6:$A$40,MATCH($D542,'교육원 ④ 설정'!$B$6:$B$40,0)),"※없는 과목"))</f>
        <v/>
      </c>
      <c r="F542" s="36" t="str">
        <f aca="false">IF($D542="","",IFERROR(INDEX('교육원 ④ 설정'!$C$6:$C$40,MATCH($D542,'교육원 ④ 설정'!$B$6:$B$40,0)),""))</f>
        <v/>
      </c>
      <c r="G542" s="39"/>
      <c r="H542" s="39"/>
      <c r="I542" s="40"/>
      <c r="J542" s="41"/>
      <c r="K542" s="38"/>
      <c r="L542" s="42" t="str">
        <f aca="false">IF($B542="","",IF(AND(N($I542)=0,N($J542)=0),"금액이 없습니다",IF(AND($I542&gt;0,$J542&gt;0),"수입·지출 둘 다 적혔습니다",IF($C542="","결제수단을 고르십시오",IF(ISNA(MATCH($C542,'교육원 ③ 통장·카드'!$A$5:$A$11,0)),"③ 통장·카드에 없는 결제수단입니다",IF($D542="","계정과목을 고르십시오",IF($E542="※없는 과목","④ 설정에 없는 과목입니다",IF(AND($E542="수입",$J542&gt;0),"수입 과목인데 지출에 적혔습니다",IF(AND(LEFT($E542,2)&lt;&gt;"수입",$E542&lt;&gt;"대체",$I542&gt;0),"지출 과목인데 수입에 적혔습니다",IF($K542="","증빙을 고르십시오",IF($H542="","적요를 적으십시오","")))))))))))</f>
        <v/>
      </c>
      <c r="M542" s="39"/>
      <c r="O542" s="11" t="str">
        <f aca="false">IF($B542="","",YEAR($B542)*100+MONTH($B542))</f>
        <v/>
      </c>
      <c r="P542" s="11" t="str">
        <f aca="false">IF($B542="","",IF($E542="대체",0,1))</f>
        <v/>
      </c>
    </row>
    <row r="543" customFormat="false" ht="15" hidden="false" customHeight="false" outlineLevel="0" collapsed="false">
      <c r="A543" s="36" t="str">
        <f aca="false">IF($B543="","",COUNT($B$15:$B543))</f>
        <v/>
      </c>
      <c r="B543" s="37"/>
      <c r="C543" s="38"/>
      <c r="D543" s="20"/>
      <c r="E543" s="36" t="str">
        <f aca="false">IF($D543="","",IFERROR(INDEX('교육원 ④ 설정'!$A$6:$A$40,MATCH($D543,'교육원 ④ 설정'!$B$6:$B$40,0)),"※없는 과목"))</f>
        <v/>
      </c>
      <c r="F543" s="36" t="str">
        <f aca="false">IF($D543="","",IFERROR(INDEX('교육원 ④ 설정'!$C$6:$C$40,MATCH($D543,'교육원 ④ 설정'!$B$6:$B$40,0)),""))</f>
        <v/>
      </c>
      <c r="G543" s="39"/>
      <c r="H543" s="39"/>
      <c r="I543" s="40"/>
      <c r="J543" s="41"/>
      <c r="K543" s="38"/>
      <c r="L543" s="42" t="str">
        <f aca="false">IF($B543="","",IF(AND(N($I543)=0,N($J543)=0),"금액이 없습니다",IF(AND($I543&gt;0,$J543&gt;0),"수입·지출 둘 다 적혔습니다",IF($C543="","결제수단을 고르십시오",IF(ISNA(MATCH($C543,'교육원 ③ 통장·카드'!$A$5:$A$11,0)),"③ 통장·카드에 없는 결제수단입니다",IF($D543="","계정과목을 고르십시오",IF($E543="※없는 과목","④ 설정에 없는 과목입니다",IF(AND($E543="수입",$J543&gt;0),"수입 과목인데 지출에 적혔습니다",IF(AND(LEFT($E543,2)&lt;&gt;"수입",$E543&lt;&gt;"대체",$I543&gt;0),"지출 과목인데 수입에 적혔습니다",IF($K543="","증빙을 고르십시오",IF($H543="","적요를 적으십시오","")))))))))))</f>
        <v/>
      </c>
      <c r="M543" s="39"/>
      <c r="O543" s="11" t="str">
        <f aca="false">IF($B543="","",YEAR($B543)*100+MONTH($B543))</f>
        <v/>
      </c>
      <c r="P543" s="11" t="str">
        <f aca="false">IF($B543="","",IF($E543="대체",0,1))</f>
        <v/>
      </c>
    </row>
    <row r="544" customFormat="false" ht="15" hidden="false" customHeight="false" outlineLevel="0" collapsed="false">
      <c r="A544" s="36" t="str">
        <f aca="false">IF($B544="","",COUNT($B$15:$B544))</f>
        <v/>
      </c>
      <c r="B544" s="37"/>
      <c r="C544" s="38"/>
      <c r="D544" s="20"/>
      <c r="E544" s="36" t="str">
        <f aca="false">IF($D544="","",IFERROR(INDEX('교육원 ④ 설정'!$A$6:$A$40,MATCH($D544,'교육원 ④ 설정'!$B$6:$B$40,0)),"※없는 과목"))</f>
        <v/>
      </c>
      <c r="F544" s="36" t="str">
        <f aca="false">IF($D544="","",IFERROR(INDEX('교육원 ④ 설정'!$C$6:$C$40,MATCH($D544,'교육원 ④ 설정'!$B$6:$B$40,0)),""))</f>
        <v/>
      </c>
      <c r="G544" s="39"/>
      <c r="H544" s="39"/>
      <c r="I544" s="40"/>
      <c r="J544" s="41"/>
      <c r="K544" s="38"/>
      <c r="L544" s="42" t="str">
        <f aca="false">IF($B544="","",IF(AND(N($I544)=0,N($J544)=0),"금액이 없습니다",IF(AND($I544&gt;0,$J544&gt;0),"수입·지출 둘 다 적혔습니다",IF($C544="","결제수단을 고르십시오",IF(ISNA(MATCH($C544,'교육원 ③ 통장·카드'!$A$5:$A$11,0)),"③ 통장·카드에 없는 결제수단입니다",IF($D544="","계정과목을 고르십시오",IF($E544="※없는 과목","④ 설정에 없는 과목입니다",IF(AND($E544="수입",$J544&gt;0),"수입 과목인데 지출에 적혔습니다",IF(AND(LEFT($E544,2)&lt;&gt;"수입",$E544&lt;&gt;"대체",$I544&gt;0),"지출 과목인데 수입에 적혔습니다",IF($K544="","증빙을 고르십시오",IF($H544="","적요를 적으십시오","")))))))))))</f>
        <v/>
      </c>
      <c r="M544" s="39"/>
      <c r="O544" s="11" t="str">
        <f aca="false">IF($B544="","",YEAR($B544)*100+MONTH($B544))</f>
        <v/>
      </c>
      <c r="P544" s="11" t="str">
        <f aca="false">IF($B544="","",IF($E544="대체",0,1))</f>
        <v/>
      </c>
    </row>
    <row r="545" customFormat="false" ht="15" hidden="false" customHeight="false" outlineLevel="0" collapsed="false">
      <c r="A545" s="36" t="str">
        <f aca="false">IF($B545="","",COUNT($B$15:$B545))</f>
        <v/>
      </c>
      <c r="B545" s="37"/>
      <c r="C545" s="38"/>
      <c r="D545" s="20"/>
      <c r="E545" s="36" t="str">
        <f aca="false">IF($D545="","",IFERROR(INDEX('교육원 ④ 설정'!$A$6:$A$40,MATCH($D545,'교육원 ④ 설정'!$B$6:$B$40,0)),"※없는 과목"))</f>
        <v/>
      </c>
      <c r="F545" s="36" t="str">
        <f aca="false">IF($D545="","",IFERROR(INDEX('교육원 ④ 설정'!$C$6:$C$40,MATCH($D545,'교육원 ④ 설정'!$B$6:$B$40,0)),""))</f>
        <v/>
      </c>
      <c r="G545" s="39"/>
      <c r="H545" s="39"/>
      <c r="I545" s="40"/>
      <c r="J545" s="41"/>
      <c r="K545" s="38"/>
      <c r="L545" s="42" t="str">
        <f aca="false">IF($B545="","",IF(AND(N($I545)=0,N($J545)=0),"금액이 없습니다",IF(AND($I545&gt;0,$J545&gt;0),"수입·지출 둘 다 적혔습니다",IF($C545="","결제수단을 고르십시오",IF(ISNA(MATCH($C545,'교육원 ③ 통장·카드'!$A$5:$A$11,0)),"③ 통장·카드에 없는 결제수단입니다",IF($D545="","계정과목을 고르십시오",IF($E545="※없는 과목","④ 설정에 없는 과목입니다",IF(AND($E545="수입",$J545&gt;0),"수입 과목인데 지출에 적혔습니다",IF(AND(LEFT($E545,2)&lt;&gt;"수입",$E545&lt;&gt;"대체",$I545&gt;0),"지출 과목인데 수입에 적혔습니다",IF($K545="","증빙을 고르십시오",IF($H545="","적요를 적으십시오","")))))))))))</f>
        <v/>
      </c>
      <c r="M545" s="39"/>
      <c r="O545" s="11" t="str">
        <f aca="false">IF($B545="","",YEAR($B545)*100+MONTH($B545))</f>
        <v/>
      </c>
      <c r="P545" s="11" t="str">
        <f aca="false">IF($B545="","",IF($E545="대체",0,1))</f>
        <v/>
      </c>
    </row>
    <row r="546" customFormat="false" ht="15" hidden="false" customHeight="false" outlineLevel="0" collapsed="false">
      <c r="A546" s="36" t="str">
        <f aca="false">IF($B546="","",COUNT($B$15:$B546))</f>
        <v/>
      </c>
      <c r="B546" s="37"/>
      <c r="C546" s="38"/>
      <c r="D546" s="20"/>
      <c r="E546" s="36" t="str">
        <f aca="false">IF($D546="","",IFERROR(INDEX('교육원 ④ 설정'!$A$6:$A$40,MATCH($D546,'교육원 ④ 설정'!$B$6:$B$40,0)),"※없는 과목"))</f>
        <v/>
      </c>
      <c r="F546" s="36" t="str">
        <f aca="false">IF($D546="","",IFERROR(INDEX('교육원 ④ 설정'!$C$6:$C$40,MATCH($D546,'교육원 ④ 설정'!$B$6:$B$40,0)),""))</f>
        <v/>
      </c>
      <c r="G546" s="39"/>
      <c r="H546" s="39"/>
      <c r="I546" s="40"/>
      <c r="J546" s="41"/>
      <c r="K546" s="38"/>
      <c r="L546" s="42" t="str">
        <f aca="false">IF($B546="","",IF(AND(N($I546)=0,N($J546)=0),"금액이 없습니다",IF(AND($I546&gt;0,$J546&gt;0),"수입·지출 둘 다 적혔습니다",IF($C546="","결제수단을 고르십시오",IF(ISNA(MATCH($C546,'교육원 ③ 통장·카드'!$A$5:$A$11,0)),"③ 통장·카드에 없는 결제수단입니다",IF($D546="","계정과목을 고르십시오",IF($E546="※없는 과목","④ 설정에 없는 과목입니다",IF(AND($E546="수입",$J546&gt;0),"수입 과목인데 지출에 적혔습니다",IF(AND(LEFT($E546,2)&lt;&gt;"수입",$E546&lt;&gt;"대체",$I546&gt;0),"지출 과목인데 수입에 적혔습니다",IF($K546="","증빙을 고르십시오",IF($H546="","적요를 적으십시오","")))))))))))</f>
        <v/>
      </c>
      <c r="M546" s="39"/>
      <c r="O546" s="11" t="str">
        <f aca="false">IF($B546="","",YEAR($B546)*100+MONTH($B546))</f>
        <v/>
      </c>
      <c r="P546" s="11" t="str">
        <f aca="false">IF($B546="","",IF($E546="대체",0,1))</f>
        <v/>
      </c>
    </row>
    <row r="547" customFormat="false" ht="15" hidden="false" customHeight="false" outlineLevel="0" collapsed="false">
      <c r="A547" s="36" t="str">
        <f aca="false">IF($B547="","",COUNT($B$15:$B547))</f>
        <v/>
      </c>
      <c r="B547" s="37"/>
      <c r="C547" s="38"/>
      <c r="D547" s="20"/>
      <c r="E547" s="36" t="str">
        <f aca="false">IF($D547="","",IFERROR(INDEX('교육원 ④ 설정'!$A$6:$A$40,MATCH($D547,'교육원 ④ 설정'!$B$6:$B$40,0)),"※없는 과목"))</f>
        <v/>
      </c>
      <c r="F547" s="36" t="str">
        <f aca="false">IF($D547="","",IFERROR(INDEX('교육원 ④ 설정'!$C$6:$C$40,MATCH($D547,'교육원 ④ 설정'!$B$6:$B$40,0)),""))</f>
        <v/>
      </c>
      <c r="G547" s="39"/>
      <c r="H547" s="39"/>
      <c r="I547" s="40"/>
      <c r="J547" s="41"/>
      <c r="K547" s="38"/>
      <c r="L547" s="42" t="str">
        <f aca="false">IF($B547="","",IF(AND(N($I547)=0,N($J547)=0),"금액이 없습니다",IF(AND($I547&gt;0,$J547&gt;0),"수입·지출 둘 다 적혔습니다",IF($C547="","결제수단을 고르십시오",IF(ISNA(MATCH($C547,'교육원 ③ 통장·카드'!$A$5:$A$11,0)),"③ 통장·카드에 없는 결제수단입니다",IF($D547="","계정과목을 고르십시오",IF($E547="※없는 과목","④ 설정에 없는 과목입니다",IF(AND($E547="수입",$J547&gt;0),"수입 과목인데 지출에 적혔습니다",IF(AND(LEFT($E547,2)&lt;&gt;"수입",$E547&lt;&gt;"대체",$I547&gt;0),"지출 과목인데 수입에 적혔습니다",IF($K547="","증빙을 고르십시오",IF($H547="","적요를 적으십시오","")))))))))))</f>
        <v/>
      </c>
      <c r="M547" s="39"/>
      <c r="O547" s="11" t="str">
        <f aca="false">IF($B547="","",YEAR($B547)*100+MONTH($B547))</f>
        <v/>
      </c>
      <c r="P547" s="11" t="str">
        <f aca="false">IF($B547="","",IF($E547="대체",0,1))</f>
        <v/>
      </c>
    </row>
    <row r="548" customFormat="false" ht="15" hidden="false" customHeight="false" outlineLevel="0" collapsed="false">
      <c r="A548" s="36" t="str">
        <f aca="false">IF($B548="","",COUNT($B$15:$B548))</f>
        <v/>
      </c>
      <c r="B548" s="37"/>
      <c r="C548" s="38"/>
      <c r="D548" s="20"/>
      <c r="E548" s="36" t="str">
        <f aca="false">IF($D548="","",IFERROR(INDEX('교육원 ④ 설정'!$A$6:$A$40,MATCH($D548,'교육원 ④ 설정'!$B$6:$B$40,0)),"※없는 과목"))</f>
        <v/>
      </c>
      <c r="F548" s="36" t="str">
        <f aca="false">IF($D548="","",IFERROR(INDEX('교육원 ④ 설정'!$C$6:$C$40,MATCH($D548,'교육원 ④ 설정'!$B$6:$B$40,0)),""))</f>
        <v/>
      </c>
      <c r="G548" s="39"/>
      <c r="H548" s="39"/>
      <c r="I548" s="40"/>
      <c r="J548" s="41"/>
      <c r="K548" s="38"/>
      <c r="L548" s="42" t="str">
        <f aca="false">IF($B548="","",IF(AND(N($I548)=0,N($J548)=0),"금액이 없습니다",IF(AND($I548&gt;0,$J548&gt;0),"수입·지출 둘 다 적혔습니다",IF($C548="","결제수단을 고르십시오",IF(ISNA(MATCH($C548,'교육원 ③ 통장·카드'!$A$5:$A$11,0)),"③ 통장·카드에 없는 결제수단입니다",IF($D548="","계정과목을 고르십시오",IF($E548="※없는 과목","④ 설정에 없는 과목입니다",IF(AND($E548="수입",$J548&gt;0),"수입 과목인데 지출에 적혔습니다",IF(AND(LEFT($E548,2)&lt;&gt;"수입",$E548&lt;&gt;"대체",$I548&gt;0),"지출 과목인데 수입에 적혔습니다",IF($K548="","증빙을 고르십시오",IF($H548="","적요를 적으십시오","")))))))))))</f>
        <v/>
      </c>
      <c r="M548" s="39"/>
      <c r="O548" s="11" t="str">
        <f aca="false">IF($B548="","",YEAR($B548)*100+MONTH($B548))</f>
        <v/>
      </c>
      <c r="P548" s="11" t="str">
        <f aca="false">IF($B548="","",IF($E548="대체",0,1))</f>
        <v/>
      </c>
    </row>
    <row r="549" customFormat="false" ht="15" hidden="false" customHeight="false" outlineLevel="0" collapsed="false">
      <c r="A549" s="36" t="str">
        <f aca="false">IF($B549="","",COUNT($B$15:$B549))</f>
        <v/>
      </c>
      <c r="B549" s="37"/>
      <c r="C549" s="38"/>
      <c r="D549" s="20"/>
      <c r="E549" s="36" t="str">
        <f aca="false">IF($D549="","",IFERROR(INDEX('교육원 ④ 설정'!$A$6:$A$40,MATCH($D549,'교육원 ④ 설정'!$B$6:$B$40,0)),"※없는 과목"))</f>
        <v/>
      </c>
      <c r="F549" s="36" t="str">
        <f aca="false">IF($D549="","",IFERROR(INDEX('교육원 ④ 설정'!$C$6:$C$40,MATCH($D549,'교육원 ④ 설정'!$B$6:$B$40,0)),""))</f>
        <v/>
      </c>
      <c r="G549" s="39"/>
      <c r="H549" s="39"/>
      <c r="I549" s="40"/>
      <c r="J549" s="41"/>
      <c r="K549" s="38"/>
      <c r="L549" s="42" t="str">
        <f aca="false">IF($B549="","",IF(AND(N($I549)=0,N($J549)=0),"금액이 없습니다",IF(AND($I549&gt;0,$J549&gt;0),"수입·지출 둘 다 적혔습니다",IF($C549="","결제수단을 고르십시오",IF(ISNA(MATCH($C549,'교육원 ③ 통장·카드'!$A$5:$A$11,0)),"③ 통장·카드에 없는 결제수단입니다",IF($D549="","계정과목을 고르십시오",IF($E549="※없는 과목","④ 설정에 없는 과목입니다",IF(AND($E549="수입",$J549&gt;0),"수입 과목인데 지출에 적혔습니다",IF(AND(LEFT($E549,2)&lt;&gt;"수입",$E549&lt;&gt;"대체",$I549&gt;0),"지출 과목인데 수입에 적혔습니다",IF($K549="","증빙을 고르십시오",IF($H549="","적요를 적으십시오","")))))))))))</f>
        <v/>
      </c>
      <c r="M549" s="39"/>
      <c r="O549" s="11" t="str">
        <f aca="false">IF($B549="","",YEAR($B549)*100+MONTH($B549))</f>
        <v/>
      </c>
      <c r="P549" s="11" t="str">
        <f aca="false">IF($B549="","",IF($E549="대체",0,1))</f>
        <v/>
      </c>
    </row>
    <row r="550" customFormat="false" ht="15" hidden="false" customHeight="false" outlineLevel="0" collapsed="false">
      <c r="A550" s="36" t="str">
        <f aca="false">IF($B550="","",COUNT($B$15:$B550))</f>
        <v/>
      </c>
      <c r="B550" s="37"/>
      <c r="C550" s="38"/>
      <c r="D550" s="20"/>
      <c r="E550" s="36" t="str">
        <f aca="false">IF($D550="","",IFERROR(INDEX('교육원 ④ 설정'!$A$6:$A$40,MATCH($D550,'교육원 ④ 설정'!$B$6:$B$40,0)),"※없는 과목"))</f>
        <v/>
      </c>
      <c r="F550" s="36" t="str">
        <f aca="false">IF($D550="","",IFERROR(INDEX('교육원 ④ 설정'!$C$6:$C$40,MATCH($D550,'교육원 ④ 설정'!$B$6:$B$40,0)),""))</f>
        <v/>
      </c>
      <c r="G550" s="39"/>
      <c r="H550" s="39"/>
      <c r="I550" s="40"/>
      <c r="J550" s="41"/>
      <c r="K550" s="38"/>
      <c r="L550" s="42" t="str">
        <f aca="false">IF($B550="","",IF(AND(N($I550)=0,N($J550)=0),"금액이 없습니다",IF(AND($I550&gt;0,$J550&gt;0),"수입·지출 둘 다 적혔습니다",IF($C550="","결제수단을 고르십시오",IF(ISNA(MATCH($C550,'교육원 ③ 통장·카드'!$A$5:$A$11,0)),"③ 통장·카드에 없는 결제수단입니다",IF($D550="","계정과목을 고르십시오",IF($E550="※없는 과목","④ 설정에 없는 과목입니다",IF(AND($E550="수입",$J550&gt;0),"수입 과목인데 지출에 적혔습니다",IF(AND(LEFT($E550,2)&lt;&gt;"수입",$E550&lt;&gt;"대체",$I550&gt;0),"지출 과목인데 수입에 적혔습니다",IF($K550="","증빙을 고르십시오",IF($H550="","적요를 적으십시오","")))))))))))</f>
        <v/>
      </c>
      <c r="M550" s="39"/>
      <c r="O550" s="11" t="str">
        <f aca="false">IF($B550="","",YEAR($B550)*100+MONTH($B550))</f>
        <v/>
      </c>
      <c r="P550" s="11" t="str">
        <f aca="false">IF($B550="","",IF($E550="대체",0,1))</f>
        <v/>
      </c>
    </row>
    <row r="551" customFormat="false" ht="15" hidden="false" customHeight="false" outlineLevel="0" collapsed="false">
      <c r="A551" s="36" t="str">
        <f aca="false">IF($B551="","",COUNT($B$15:$B551))</f>
        <v/>
      </c>
      <c r="B551" s="37"/>
      <c r="C551" s="38"/>
      <c r="D551" s="20"/>
      <c r="E551" s="36" t="str">
        <f aca="false">IF($D551="","",IFERROR(INDEX('교육원 ④ 설정'!$A$6:$A$40,MATCH($D551,'교육원 ④ 설정'!$B$6:$B$40,0)),"※없는 과목"))</f>
        <v/>
      </c>
      <c r="F551" s="36" t="str">
        <f aca="false">IF($D551="","",IFERROR(INDEX('교육원 ④ 설정'!$C$6:$C$40,MATCH($D551,'교육원 ④ 설정'!$B$6:$B$40,0)),""))</f>
        <v/>
      </c>
      <c r="G551" s="39"/>
      <c r="H551" s="39"/>
      <c r="I551" s="40"/>
      <c r="J551" s="41"/>
      <c r="K551" s="38"/>
      <c r="L551" s="42" t="str">
        <f aca="false">IF($B551="","",IF(AND(N($I551)=0,N($J551)=0),"금액이 없습니다",IF(AND($I551&gt;0,$J551&gt;0),"수입·지출 둘 다 적혔습니다",IF($C551="","결제수단을 고르십시오",IF(ISNA(MATCH($C551,'교육원 ③ 통장·카드'!$A$5:$A$11,0)),"③ 통장·카드에 없는 결제수단입니다",IF($D551="","계정과목을 고르십시오",IF($E551="※없는 과목","④ 설정에 없는 과목입니다",IF(AND($E551="수입",$J551&gt;0),"수입 과목인데 지출에 적혔습니다",IF(AND(LEFT($E551,2)&lt;&gt;"수입",$E551&lt;&gt;"대체",$I551&gt;0),"지출 과목인데 수입에 적혔습니다",IF($K551="","증빙을 고르십시오",IF($H551="","적요를 적으십시오","")))))))))))</f>
        <v/>
      </c>
      <c r="M551" s="39"/>
      <c r="O551" s="11" t="str">
        <f aca="false">IF($B551="","",YEAR($B551)*100+MONTH($B551))</f>
        <v/>
      </c>
      <c r="P551" s="11" t="str">
        <f aca="false">IF($B551="","",IF($E551="대체",0,1))</f>
        <v/>
      </c>
    </row>
    <row r="552" customFormat="false" ht="15" hidden="false" customHeight="false" outlineLevel="0" collapsed="false">
      <c r="A552" s="36" t="str">
        <f aca="false">IF($B552="","",COUNT($B$15:$B552))</f>
        <v/>
      </c>
      <c r="B552" s="37"/>
      <c r="C552" s="38"/>
      <c r="D552" s="20"/>
      <c r="E552" s="36" t="str">
        <f aca="false">IF($D552="","",IFERROR(INDEX('교육원 ④ 설정'!$A$6:$A$40,MATCH($D552,'교육원 ④ 설정'!$B$6:$B$40,0)),"※없는 과목"))</f>
        <v/>
      </c>
      <c r="F552" s="36" t="str">
        <f aca="false">IF($D552="","",IFERROR(INDEX('교육원 ④ 설정'!$C$6:$C$40,MATCH($D552,'교육원 ④ 설정'!$B$6:$B$40,0)),""))</f>
        <v/>
      </c>
      <c r="G552" s="39"/>
      <c r="H552" s="39"/>
      <c r="I552" s="40"/>
      <c r="J552" s="41"/>
      <c r="K552" s="38"/>
      <c r="L552" s="42" t="str">
        <f aca="false">IF($B552="","",IF(AND(N($I552)=0,N($J552)=0),"금액이 없습니다",IF(AND($I552&gt;0,$J552&gt;0),"수입·지출 둘 다 적혔습니다",IF($C552="","결제수단을 고르십시오",IF(ISNA(MATCH($C552,'교육원 ③ 통장·카드'!$A$5:$A$11,0)),"③ 통장·카드에 없는 결제수단입니다",IF($D552="","계정과목을 고르십시오",IF($E552="※없는 과목","④ 설정에 없는 과목입니다",IF(AND($E552="수입",$J552&gt;0),"수입 과목인데 지출에 적혔습니다",IF(AND(LEFT($E552,2)&lt;&gt;"수입",$E552&lt;&gt;"대체",$I552&gt;0),"지출 과목인데 수입에 적혔습니다",IF($K552="","증빙을 고르십시오",IF($H552="","적요를 적으십시오","")))))))))))</f>
        <v/>
      </c>
      <c r="M552" s="39"/>
      <c r="O552" s="11" t="str">
        <f aca="false">IF($B552="","",YEAR($B552)*100+MONTH($B552))</f>
        <v/>
      </c>
      <c r="P552" s="11" t="str">
        <f aca="false">IF($B552="","",IF($E552="대체",0,1))</f>
        <v/>
      </c>
    </row>
    <row r="553" customFormat="false" ht="15" hidden="false" customHeight="false" outlineLevel="0" collapsed="false">
      <c r="A553" s="36" t="str">
        <f aca="false">IF($B553="","",COUNT($B$15:$B553))</f>
        <v/>
      </c>
      <c r="B553" s="37"/>
      <c r="C553" s="38"/>
      <c r="D553" s="20"/>
      <c r="E553" s="36" t="str">
        <f aca="false">IF($D553="","",IFERROR(INDEX('교육원 ④ 설정'!$A$6:$A$40,MATCH($D553,'교육원 ④ 설정'!$B$6:$B$40,0)),"※없는 과목"))</f>
        <v/>
      </c>
      <c r="F553" s="36" t="str">
        <f aca="false">IF($D553="","",IFERROR(INDEX('교육원 ④ 설정'!$C$6:$C$40,MATCH($D553,'교육원 ④ 설정'!$B$6:$B$40,0)),""))</f>
        <v/>
      </c>
      <c r="G553" s="39"/>
      <c r="H553" s="39"/>
      <c r="I553" s="40"/>
      <c r="J553" s="41"/>
      <c r="K553" s="38"/>
      <c r="L553" s="42" t="str">
        <f aca="false">IF($B553="","",IF(AND(N($I553)=0,N($J553)=0),"금액이 없습니다",IF(AND($I553&gt;0,$J553&gt;0),"수입·지출 둘 다 적혔습니다",IF($C553="","결제수단을 고르십시오",IF(ISNA(MATCH($C553,'교육원 ③ 통장·카드'!$A$5:$A$11,0)),"③ 통장·카드에 없는 결제수단입니다",IF($D553="","계정과목을 고르십시오",IF($E553="※없는 과목","④ 설정에 없는 과목입니다",IF(AND($E553="수입",$J553&gt;0),"수입 과목인데 지출에 적혔습니다",IF(AND(LEFT($E553,2)&lt;&gt;"수입",$E553&lt;&gt;"대체",$I553&gt;0),"지출 과목인데 수입에 적혔습니다",IF($K553="","증빙을 고르십시오",IF($H553="","적요를 적으십시오","")))))))))))</f>
        <v/>
      </c>
      <c r="M553" s="39"/>
      <c r="O553" s="11" t="str">
        <f aca="false">IF($B553="","",YEAR($B553)*100+MONTH($B553))</f>
        <v/>
      </c>
      <c r="P553" s="11" t="str">
        <f aca="false">IF($B553="","",IF($E553="대체",0,1))</f>
        <v/>
      </c>
    </row>
    <row r="554" customFormat="false" ht="15" hidden="false" customHeight="false" outlineLevel="0" collapsed="false">
      <c r="A554" s="36" t="str">
        <f aca="false">IF($B554="","",COUNT($B$15:$B554))</f>
        <v/>
      </c>
      <c r="B554" s="37"/>
      <c r="C554" s="38"/>
      <c r="D554" s="20"/>
      <c r="E554" s="36" t="str">
        <f aca="false">IF($D554="","",IFERROR(INDEX('교육원 ④ 설정'!$A$6:$A$40,MATCH($D554,'교육원 ④ 설정'!$B$6:$B$40,0)),"※없는 과목"))</f>
        <v/>
      </c>
      <c r="F554" s="36" t="str">
        <f aca="false">IF($D554="","",IFERROR(INDEX('교육원 ④ 설정'!$C$6:$C$40,MATCH($D554,'교육원 ④ 설정'!$B$6:$B$40,0)),""))</f>
        <v/>
      </c>
      <c r="G554" s="39"/>
      <c r="H554" s="39"/>
      <c r="I554" s="40"/>
      <c r="J554" s="41"/>
      <c r="K554" s="38"/>
      <c r="L554" s="42" t="str">
        <f aca="false">IF($B554="","",IF(AND(N($I554)=0,N($J554)=0),"금액이 없습니다",IF(AND($I554&gt;0,$J554&gt;0),"수입·지출 둘 다 적혔습니다",IF($C554="","결제수단을 고르십시오",IF(ISNA(MATCH($C554,'교육원 ③ 통장·카드'!$A$5:$A$11,0)),"③ 통장·카드에 없는 결제수단입니다",IF($D554="","계정과목을 고르십시오",IF($E554="※없는 과목","④ 설정에 없는 과목입니다",IF(AND($E554="수입",$J554&gt;0),"수입 과목인데 지출에 적혔습니다",IF(AND(LEFT($E554,2)&lt;&gt;"수입",$E554&lt;&gt;"대체",$I554&gt;0),"지출 과목인데 수입에 적혔습니다",IF($K554="","증빙을 고르십시오",IF($H554="","적요를 적으십시오","")))))))))))</f>
        <v/>
      </c>
      <c r="M554" s="39"/>
      <c r="O554" s="11" t="str">
        <f aca="false">IF($B554="","",YEAR($B554)*100+MONTH($B554))</f>
        <v/>
      </c>
      <c r="P554" s="11" t="str">
        <f aca="false">IF($B554="","",IF($E554="대체",0,1))</f>
        <v/>
      </c>
    </row>
    <row r="555" customFormat="false" ht="15" hidden="false" customHeight="false" outlineLevel="0" collapsed="false">
      <c r="A555" s="36" t="str">
        <f aca="false">IF($B555="","",COUNT($B$15:$B555))</f>
        <v/>
      </c>
      <c r="B555" s="37"/>
      <c r="C555" s="38"/>
      <c r="D555" s="20"/>
      <c r="E555" s="36" t="str">
        <f aca="false">IF($D555="","",IFERROR(INDEX('교육원 ④ 설정'!$A$6:$A$40,MATCH($D555,'교육원 ④ 설정'!$B$6:$B$40,0)),"※없는 과목"))</f>
        <v/>
      </c>
      <c r="F555" s="36" t="str">
        <f aca="false">IF($D555="","",IFERROR(INDEX('교육원 ④ 설정'!$C$6:$C$40,MATCH($D555,'교육원 ④ 설정'!$B$6:$B$40,0)),""))</f>
        <v/>
      </c>
      <c r="G555" s="39"/>
      <c r="H555" s="39"/>
      <c r="I555" s="40"/>
      <c r="J555" s="41"/>
      <c r="K555" s="38"/>
      <c r="L555" s="42" t="str">
        <f aca="false">IF($B555="","",IF(AND(N($I555)=0,N($J555)=0),"금액이 없습니다",IF(AND($I555&gt;0,$J555&gt;0),"수입·지출 둘 다 적혔습니다",IF($C555="","결제수단을 고르십시오",IF(ISNA(MATCH($C555,'교육원 ③ 통장·카드'!$A$5:$A$11,0)),"③ 통장·카드에 없는 결제수단입니다",IF($D555="","계정과목을 고르십시오",IF($E555="※없는 과목","④ 설정에 없는 과목입니다",IF(AND($E555="수입",$J555&gt;0),"수입 과목인데 지출에 적혔습니다",IF(AND(LEFT($E555,2)&lt;&gt;"수입",$E555&lt;&gt;"대체",$I555&gt;0),"지출 과목인데 수입에 적혔습니다",IF($K555="","증빙을 고르십시오",IF($H555="","적요를 적으십시오","")))))))))))</f>
        <v/>
      </c>
      <c r="M555" s="39"/>
      <c r="O555" s="11" t="str">
        <f aca="false">IF($B555="","",YEAR($B555)*100+MONTH($B555))</f>
        <v/>
      </c>
      <c r="P555" s="11" t="str">
        <f aca="false">IF($B555="","",IF($E555="대체",0,1))</f>
        <v/>
      </c>
    </row>
    <row r="556" customFormat="false" ht="15" hidden="false" customHeight="false" outlineLevel="0" collapsed="false">
      <c r="A556" s="36" t="str">
        <f aca="false">IF($B556="","",COUNT($B$15:$B556))</f>
        <v/>
      </c>
      <c r="B556" s="37"/>
      <c r="C556" s="38"/>
      <c r="D556" s="20"/>
      <c r="E556" s="36" t="str">
        <f aca="false">IF($D556="","",IFERROR(INDEX('교육원 ④ 설정'!$A$6:$A$40,MATCH($D556,'교육원 ④ 설정'!$B$6:$B$40,0)),"※없는 과목"))</f>
        <v/>
      </c>
      <c r="F556" s="36" t="str">
        <f aca="false">IF($D556="","",IFERROR(INDEX('교육원 ④ 설정'!$C$6:$C$40,MATCH($D556,'교육원 ④ 설정'!$B$6:$B$40,0)),""))</f>
        <v/>
      </c>
      <c r="G556" s="39"/>
      <c r="H556" s="39"/>
      <c r="I556" s="40"/>
      <c r="J556" s="41"/>
      <c r="K556" s="38"/>
      <c r="L556" s="42" t="str">
        <f aca="false">IF($B556="","",IF(AND(N($I556)=0,N($J556)=0),"금액이 없습니다",IF(AND($I556&gt;0,$J556&gt;0),"수입·지출 둘 다 적혔습니다",IF($C556="","결제수단을 고르십시오",IF(ISNA(MATCH($C556,'교육원 ③ 통장·카드'!$A$5:$A$11,0)),"③ 통장·카드에 없는 결제수단입니다",IF($D556="","계정과목을 고르십시오",IF($E556="※없는 과목","④ 설정에 없는 과목입니다",IF(AND($E556="수입",$J556&gt;0),"수입 과목인데 지출에 적혔습니다",IF(AND(LEFT($E556,2)&lt;&gt;"수입",$E556&lt;&gt;"대체",$I556&gt;0),"지출 과목인데 수입에 적혔습니다",IF($K556="","증빙을 고르십시오",IF($H556="","적요를 적으십시오","")))))))))))</f>
        <v/>
      </c>
      <c r="M556" s="39"/>
      <c r="O556" s="11" t="str">
        <f aca="false">IF($B556="","",YEAR($B556)*100+MONTH($B556))</f>
        <v/>
      </c>
      <c r="P556" s="11" t="str">
        <f aca="false">IF($B556="","",IF($E556="대체",0,1))</f>
        <v/>
      </c>
    </row>
    <row r="557" customFormat="false" ht="15" hidden="false" customHeight="false" outlineLevel="0" collapsed="false">
      <c r="A557" s="36" t="str">
        <f aca="false">IF($B557="","",COUNT($B$15:$B557))</f>
        <v/>
      </c>
      <c r="B557" s="37"/>
      <c r="C557" s="38"/>
      <c r="D557" s="20"/>
      <c r="E557" s="36" t="str">
        <f aca="false">IF($D557="","",IFERROR(INDEX('교육원 ④ 설정'!$A$6:$A$40,MATCH($D557,'교육원 ④ 설정'!$B$6:$B$40,0)),"※없는 과목"))</f>
        <v/>
      </c>
      <c r="F557" s="36" t="str">
        <f aca="false">IF($D557="","",IFERROR(INDEX('교육원 ④ 설정'!$C$6:$C$40,MATCH($D557,'교육원 ④ 설정'!$B$6:$B$40,0)),""))</f>
        <v/>
      </c>
      <c r="G557" s="39"/>
      <c r="H557" s="39"/>
      <c r="I557" s="40"/>
      <c r="J557" s="41"/>
      <c r="K557" s="38"/>
      <c r="L557" s="42" t="str">
        <f aca="false">IF($B557="","",IF(AND(N($I557)=0,N($J557)=0),"금액이 없습니다",IF(AND($I557&gt;0,$J557&gt;0),"수입·지출 둘 다 적혔습니다",IF($C557="","결제수단을 고르십시오",IF(ISNA(MATCH($C557,'교육원 ③ 통장·카드'!$A$5:$A$11,0)),"③ 통장·카드에 없는 결제수단입니다",IF($D557="","계정과목을 고르십시오",IF($E557="※없는 과목","④ 설정에 없는 과목입니다",IF(AND($E557="수입",$J557&gt;0),"수입 과목인데 지출에 적혔습니다",IF(AND(LEFT($E557,2)&lt;&gt;"수입",$E557&lt;&gt;"대체",$I557&gt;0),"지출 과목인데 수입에 적혔습니다",IF($K557="","증빙을 고르십시오",IF($H557="","적요를 적으십시오","")))))))))))</f>
        <v/>
      </c>
      <c r="M557" s="39"/>
      <c r="O557" s="11" t="str">
        <f aca="false">IF($B557="","",YEAR($B557)*100+MONTH($B557))</f>
        <v/>
      </c>
      <c r="P557" s="11" t="str">
        <f aca="false">IF($B557="","",IF($E557="대체",0,1))</f>
        <v/>
      </c>
    </row>
    <row r="558" customFormat="false" ht="15" hidden="false" customHeight="false" outlineLevel="0" collapsed="false">
      <c r="A558" s="36" t="str">
        <f aca="false">IF($B558="","",COUNT($B$15:$B558))</f>
        <v/>
      </c>
      <c r="B558" s="37"/>
      <c r="C558" s="38"/>
      <c r="D558" s="20"/>
      <c r="E558" s="36" t="str">
        <f aca="false">IF($D558="","",IFERROR(INDEX('교육원 ④ 설정'!$A$6:$A$40,MATCH($D558,'교육원 ④ 설정'!$B$6:$B$40,0)),"※없는 과목"))</f>
        <v/>
      </c>
      <c r="F558" s="36" t="str">
        <f aca="false">IF($D558="","",IFERROR(INDEX('교육원 ④ 설정'!$C$6:$C$40,MATCH($D558,'교육원 ④ 설정'!$B$6:$B$40,0)),""))</f>
        <v/>
      </c>
      <c r="G558" s="39"/>
      <c r="H558" s="39"/>
      <c r="I558" s="40"/>
      <c r="J558" s="41"/>
      <c r="K558" s="38"/>
      <c r="L558" s="42" t="str">
        <f aca="false">IF($B558="","",IF(AND(N($I558)=0,N($J558)=0),"금액이 없습니다",IF(AND($I558&gt;0,$J558&gt;0),"수입·지출 둘 다 적혔습니다",IF($C558="","결제수단을 고르십시오",IF(ISNA(MATCH($C558,'교육원 ③ 통장·카드'!$A$5:$A$11,0)),"③ 통장·카드에 없는 결제수단입니다",IF($D558="","계정과목을 고르십시오",IF($E558="※없는 과목","④ 설정에 없는 과목입니다",IF(AND($E558="수입",$J558&gt;0),"수입 과목인데 지출에 적혔습니다",IF(AND(LEFT($E558,2)&lt;&gt;"수입",$E558&lt;&gt;"대체",$I558&gt;0),"지출 과목인데 수입에 적혔습니다",IF($K558="","증빙을 고르십시오",IF($H558="","적요를 적으십시오","")))))))))))</f>
        <v/>
      </c>
      <c r="M558" s="39"/>
      <c r="O558" s="11" t="str">
        <f aca="false">IF($B558="","",YEAR($B558)*100+MONTH($B558))</f>
        <v/>
      </c>
      <c r="P558" s="11" t="str">
        <f aca="false">IF($B558="","",IF($E558="대체",0,1))</f>
        <v/>
      </c>
    </row>
    <row r="559" customFormat="false" ht="15" hidden="false" customHeight="false" outlineLevel="0" collapsed="false">
      <c r="A559" s="36" t="str">
        <f aca="false">IF($B559="","",COUNT($B$15:$B559))</f>
        <v/>
      </c>
      <c r="B559" s="37"/>
      <c r="C559" s="38"/>
      <c r="D559" s="20"/>
      <c r="E559" s="36" t="str">
        <f aca="false">IF($D559="","",IFERROR(INDEX('교육원 ④ 설정'!$A$6:$A$40,MATCH($D559,'교육원 ④ 설정'!$B$6:$B$40,0)),"※없는 과목"))</f>
        <v/>
      </c>
      <c r="F559" s="36" t="str">
        <f aca="false">IF($D559="","",IFERROR(INDEX('교육원 ④ 설정'!$C$6:$C$40,MATCH($D559,'교육원 ④ 설정'!$B$6:$B$40,0)),""))</f>
        <v/>
      </c>
      <c r="G559" s="39"/>
      <c r="H559" s="39"/>
      <c r="I559" s="40"/>
      <c r="J559" s="41"/>
      <c r="K559" s="38"/>
      <c r="L559" s="42" t="str">
        <f aca="false">IF($B559="","",IF(AND(N($I559)=0,N($J559)=0),"금액이 없습니다",IF(AND($I559&gt;0,$J559&gt;0),"수입·지출 둘 다 적혔습니다",IF($C559="","결제수단을 고르십시오",IF(ISNA(MATCH($C559,'교육원 ③ 통장·카드'!$A$5:$A$11,0)),"③ 통장·카드에 없는 결제수단입니다",IF($D559="","계정과목을 고르십시오",IF($E559="※없는 과목","④ 설정에 없는 과목입니다",IF(AND($E559="수입",$J559&gt;0),"수입 과목인데 지출에 적혔습니다",IF(AND(LEFT($E559,2)&lt;&gt;"수입",$E559&lt;&gt;"대체",$I559&gt;0),"지출 과목인데 수입에 적혔습니다",IF($K559="","증빙을 고르십시오",IF($H559="","적요를 적으십시오","")))))))))))</f>
        <v/>
      </c>
      <c r="M559" s="39"/>
      <c r="O559" s="11" t="str">
        <f aca="false">IF($B559="","",YEAR($B559)*100+MONTH($B559))</f>
        <v/>
      </c>
      <c r="P559" s="11" t="str">
        <f aca="false">IF($B559="","",IF($E559="대체",0,1))</f>
        <v/>
      </c>
    </row>
    <row r="560" customFormat="false" ht="15" hidden="false" customHeight="false" outlineLevel="0" collapsed="false">
      <c r="A560" s="36" t="str">
        <f aca="false">IF($B560="","",COUNT($B$15:$B560))</f>
        <v/>
      </c>
      <c r="B560" s="37"/>
      <c r="C560" s="38"/>
      <c r="D560" s="20"/>
      <c r="E560" s="36" t="str">
        <f aca="false">IF($D560="","",IFERROR(INDEX('교육원 ④ 설정'!$A$6:$A$40,MATCH($D560,'교육원 ④ 설정'!$B$6:$B$40,0)),"※없는 과목"))</f>
        <v/>
      </c>
      <c r="F560" s="36" t="str">
        <f aca="false">IF($D560="","",IFERROR(INDEX('교육원 ④ 설정'!$C$6:$C$40,MATCH($D560,'교육원 ④ 설정'!$B$6:$B$40,0)),""))</f>
        <v/>
      </c>
      <c r="G560" s="39"/>
      <c r="H560" s="39"/>
      <c r="I560" s="40"/>
      <c r="J560" s="41"/>
      <c r="K560" s="38"/>
      <c r="L560" s="42" t="str">
        <f aca="false">IF($B560="","",IF(AND(N($I560)=0,N($J560)=0),"금액이 없습니다",IF(AND($I560&gt;0,$J560&gt;0),"수입·지출 둘 다 적혔습니다",IF($C560="","결제수단을 고르십시오",IF(ISNA(MATCH($C560,'교육원 ③ 통장·카드'!$A$5:$A$11,0)),"③ 통장·카드에 없는 결제수단입니다",IF($D560="","계정과목을 고르십시오",IF($E560="※없는 과목","④ 설정에 없는 과목입니다",IF(AND($E560="수입",$J560&gt;0),"수입 과목인데 지출에 적혔습니다",IF(AND(LEFT($E560,2)&lt;&gt;"수입",$E560&lt;&gt;"대체",$I560&gt;0),"지출 과목인데 수입에 적혔습니다",IF($K560="","증빙을 고르십시오",IF($H560="","적요를 적으십시오","")))))))))))</f>
        <v/>
      </c>
      <c r="M560" s="39"/>
      <c r="O560" s="11" t="str">
        <f aca="false">IF($B560="","",YEAR($B560)*100+MONTH($B560))</f>
        <v/>
      </c>
      <c r="P560" s="11" t="str">
        <f aca="false">IF($B560="","",IF($E560="대체",0,1))</f>
        <v/>
      </c>
    </row>
    <row r="561" customFormat="false" ht="15" hidden="false" customHeight="false" outlineLevel="0" collapsed="false">
      <c r="A561" s="36" t="str">
        <f aca="false">IF($B561="","",COUNT($B$15:$B561))</f>
        <v/>
      </c>
      <c r="B561" s="37"/>
      <c r="C561" s="38"/>
      <c r="D561" s="20"/>
      <c r="E561" s="36" t="str">
        <f aca="false">IF($D561="","",IFERROR(INDEX('교육원 ④ 설정'!$A$6:$A$40,MATCH($D561,'교육원 ④ 설정'!$B$6:$B$40,0)),"※없는 과목"))</f>
        <v/>
      </c>
      <c r="F561" s="36" t="str">
        <f aca="false">IF($D561="","",IFERROR(INDEX('교육원 ④ 설정'!$C$6:$C$40,MATCH($D561,'교육원 ④ 설정'!$B$6:$B$40,0)),""))</f>
        <v/>
      </c>
      <c r="G561" s="39"/>
      <c r="H561" s="39"/>
      <c r="I561" s="40"/>
      <c r="J561" s="41"/>
      <c r="K561" s="38"/>
      <c r="L561" s="42" t="str">
        <f aca="false">IF($B561="","",IF(AND(N($I561)=0,N($J561)=0),"금액이 없습니다",IF(AND($I561&gt;0,$J561&gt;0),"수입·지출 둘 다 적혔습니다",IF($C561="","결제수단을 고르십시오",IF(ISNA(MATCH($C561,'교육원 ③ 통장·카드'!$A$5:$A$11,0)),"③ 통장·카드에 없는 결제수단입니다",IF($D561="","계정과목을 고르십시오",IF($E561="※없는 과목","④ 설정에 없는 과목입니다",IF(AND($E561="수입",$J561&gt;0),"수입 과목인데 지출에 적혔습니다",IF(AND(LEFT($E561,2)&lt;&gt;"수입",$E561&lt;&gt;"대체",$I561&gt;0),"지출 과목인데 수입에 적혔습니다",IF($K561="","증빙을 고르십시오",IF($H561="","적요를 적으십시오","")))))))))))</f>
        <v/>
      </c>
      <c r="M561" s="39"/>
      <c r="O561" s="11" t="str">
        <f aca="false">IF($B561="","",YEAR($B561)*100+MONTH($B561))</f>
        <v/>
      </c>
      <c r="P561" s="11" t="str">
        <f aca="false">IF($B561="","",IF($E561="대체",0,1))</f>
        <v/>
      </c>
    </row>
    <row r="562" customFormat="false" ht="15" hidden="false" customHeight="false" outlineLevel="0" collapsed="false">
      <c r="A562" s="36" t="str">
        <f aca="false">IF($B562="","",COUNT($B$15:$B562))</f>
        <v/>
      </c>
      <c r="B562" s="37"/>
      <c r="C562" s="38"/>
      <c r="D562" s="20"/>
      <c r="E562" s="36" t="str">
        <f aca="false">IF($D562="","",IFERROR(INDEX('교육원 ④ 설정'!$A$6:$A$40,MATCH($D562,'교육원 ④ 설정'!$B$6:$B$40,0)),"※없는 과목"))</f>
        <v/>
      </c>
      <c r="F562" s="36" t="str">
        <f aca="false">IF($D562="","",IFERROR(INDEX('교육원 ④ 설정'!$C$6:$C$40,MATCH($D562,'교육원 ④ 설정'!$B$6:$B$40,0)),""))</f>
        <v/>
      </c>
      <c r="G562" s="39"/>
      <c r="H562" s="39"/>
      <c r="I562" s="40"/>
      <c r="J562" s="41"/>
      <c r="K562" s="38"/>
      <c r="L562" s="42" t="str">
        <f aca="false">IF($B562="","",IF(AND(N($I562)=0,N($J562)=0),"금액이 없습니다",IF(AND($I562&gt;0,$J562&gt;0),"수입·지출 둘 다 적혔습니다",IF($C562="","결제수단을 고르십시오",IF(ISNA(MATCH($C562,'교육원 ③ 통장·카드'!$A$5:$A$11,0)),"③ 통장·카드에 없는 결제수단입니다",IF($D562="","계정과목을 고르십시오",IF($E562="※없는 과목","④ 설정에 없는 과목입니다",IF(AND($E562="수입",$J562&gt;0),"수입 과목인데 지출에 적혔습니다",IF(AND(LEFT($E562,2)&lt;&gt;"수입",$E562&lt;&gt;"대체",$I562&gt;0),"지출 과목인데 수입에 적혔습니다",IF($K562="","증빙을 고르십시오",IF($H562="","적요를 적으십시오","")))))))))))</f>
        <v/>
      </c>
      <c r="M562" s="39"/>
      <c r="O562" s="11" t="str">
        <f aca="false">IF($B562="","",YEAR($B562)*100+MONTH($B562))</f>
        <v/>
      </c>
      <c r="P562" s="11" t="str">
        <f aca="false">IF($B562="","",IF($E562="대체",0,1))</f>
        <v/>
      </c>
    </row>
    <row r="563" customFormat="false" ht="15" hidden="false" customHeight="false" outlineLevel="0" collapsed="false">
      <c r="A563" s="36" t="str">
        <f aca="false">IF($B563="","",COUNT($B$15:$B563))</f>
        <v/>
      </c>
      <c r="B563" s="37"/>
      <c r="C563" s="38"/>
      <c r="D563" s="20"/>
      <c r="E563" s="36" t="str">
        <f aca="false">IF($D563="","",IFERROR(INDEX('교육원 ④ 설정'!$A$6:$A$40,MATCH($D563,'교육원 ④ 설정'!$B$6:$B$40,0)),"※없는 과목"))</f>
        <v/>
      </c>
      <c r="F563" s="36" t="str">
        <f aca="false">IF($D563="","",IFERROR(INDEX('교육원 ④ 설정'!$C$6:$C$40,MATCH($D563,'교육원 ④ 설정'!$B$6:$B$40,0)),""))</f>
        <v/>
      </c>
      <c r="G563" s="39"/>
      <c r="H563" s="39"/>
      <c r="I563" s="40"/>
      <c r="J563" s="41"/>
      <c r="K563" s="38"/>
      <c r="L563" s="42" t="str">
        <f aca="false">IF($B563="","",IF(AND(N($I563)=0,N($J563)=0),"금액이 없습니다",IF(AND($I563&gt;0,$J563&gt;0),"수입·지출 둘 다 적혔습니다",IF($C563="","결제수단을 고르십시오",IF(ISNA(MATCH($C563,'교육원 ③ 통장·카드'!$A$5:$A$11,0)),"③ 통장·카드에 없는 결제수단입니다",IF($D563="","계정과목을 고르십시오",IF($E563="※없는 과목","④ 설정에 없는 과목입니다",IF(AND($E563="수입",$J563&gt;0),"수입 과목인데 지출에 적혔습니다",IF(AND(LEFT($E563,2)&lt;&gt;"수입",$E563&lt;&gt;"대체",$I563&gt;0),"지출 과목인데 수입에 적혔습니다",IF($K563="","증빙을 고르십시오",IF($H563="","적요를 적으십시오","")))))))))))</f>
        <v/>
      </c>
      <c r="M563" s="39"/>
      <c r="O563" s="11" t="str">
        <f aca="false">IF($B563="","",YEAR($B563)*100+MONTH($B563))</f>
        <v/>
      </c>
      <c r="P563" s="11" t="str">
        <f aca="false">IF($B563="","",IF($E563="대체",0,1))</f>
        <v/>
      </c>
    </row>
    <row r="564" customFormat="false" ht="15" hidden="false" customHeight="false" outlineLevel="0" collapsed="false">
      <c r="A564" s="36" t="str">
        <f aca="false">IF($B564="","",COUNT($B$15:$B564))</f>
        <v/>
      </c>
      <c r="B564" s="37"/>
      <c r="C564" s="38"/>
      <c r="D564" s="20"/>
      <c r="E564" s="36" t="str">
        <f aca="false">IF($D564="","",IFERROR(INDEX('교육원 ④ 설정'!$A$6:$A$40,MATCH($D564,'교육원 ④ 설정'!$B$6:$B$40,0)),"※없는 과목"))</f>
        <v/>
      </c>
      <c r="F564" s="36" t="str">
        <f aca="false">IF($D564="","",IFERROR(INDEX('교육원 ④ 설정'!$C$6:$C$40,MATCH($D564,'교육원 ④ 설정'!$B$6:$B$40,0)),""))</f>
        <v/>
      </c>
      <c r="G564" s="39"/>
      <c r="H564" s="39"/>
      <c r="I564" s="40"/>
      <c r="J564" s="41"/>
      <c r="K564" s="38"/>
      <c r="L564" s="42" t="str">
        <f aca="false">IF($B564="","",IF(AND(N($I564)=0,N($J564)=0),"금액이 없습니다",IF(AND($I564&gt;0,$J564&gt;0),"수입·지출 둘 다 적혔습니다",IF($C564="","결제수단을 고르십시오",IF(ISNA(MATCH($C564,'교육원 ③ 통장·카드'!$A$5:$A$11,0)),"③ 통장·카드에 없는 결제수단입니다",IF($D564="","계정과목을 고르십시오",IF($E564="※없는 과목","④ 설정에 없는 과목입니다",IF(AND($E564="수입",$J564&gt;0),"수입 과목인데 지출에 적혔습니다",IF(AND(LEFT($E564,2)&lt;&gt;"수입",$E564&lt;&gt;"대체",$I564&gt;0),"지출 과목인데 수입에 적혔습니다",IF($K564="","증빙을 고르십시오",IF($H564="","적요를 적으십시오","")))))))))))</f>
        <v/>
      </c>
      <c r="M564" s="39"/>
      <c r="O564" s="11" t="str">
        <f aca="false">IF($B564="","",YEAR($B564)*100+MONTH($B564))</f>
        <v/>
      </c>
      <c r="P564" s="11" t="str">
        <f aca="false">IF($B564="","",IF($E564="대체",0,1))</f>
        <v/>
      </c>
    </row>
    <row r="565" customFormat="false" ht="15" hidden="false" customHeight="false" outlineLevel="0" collapsed="false">
      <c r="A565" s="36" t="str">
        <f aca="false">IF($B565="","",COUNT($B$15:$B565))</f>
        <v/>
      </c>
      <c r="B565" s="37"/>
      <c r="C565" s="38"/>
      <c r="D565" s="20"/>
      <c r="E565" s="36" t="str">
        <f aca="false">IF($D565="","",IFERROR(INDEX('교육원 ④ 설정'!$A$6:$A$40,MATCH($D565,'교육원 ④ 설정'!$B$6:$B$40,0)),"※없는 과목"))</f>
        <v/>
      </c>
      <c r="F565" s="36" t="str">
        <f aca="false">IF($D565="","",IFERROR(INDEX('교육원 ④ 설정'!$C$6:$C$40,MATCH($D565,'교육원 ④ 설정'!$B$6:$B$40,0)),""))</f>
        <v/>
      </c>
      <c r="G565" s="39"/>
      <c r="H565" s="39"/>
      <c r="I565" s="40"/>
      <c r="J565" s="41"/>
      <c r="K565" s="38"/>
      <c r="L565" s="42" t="str">
        <f aca="false">IF($B565="","",IF(AND(N($I565)=0,N($J565)=0),"금액이 없습니다",IF(AND($I565&gt;0,$J565&gt;0),"수입·지출 둘 다 적혔습니다",IF($C565="","결제수단을 고르십시오",IF(ISNA(MATCH($C565,'교육원 ③ 통장·카드'!$A$5:$A$11,0)),"③ 통장·카드에 없는 결제수단입니다",IF($D565="","계정과목을 고르십시오",IF($E565="※없는 과목","④ 설정에 없는 과목입니다",IF(AND($E565="수입",$J565&gt;0),"수입 과목인데 지출에 적혔습니다",IF(AND(LEFT($E565,2)&lt;&gt;"수입",$E565&lt;&gt;"대체",$I565&gt;0),"지출 과목인데 수입에 적혔습니다",IF($K565="","증빙을 고르십시오",IF($H565="","적요를 적으십시오","")))))))))))</f>
        <v/>
      </c>
      <c r="M565" s="39"/>
      <c r="O565" s="11" t="str">
        <f aca="false">IF($B565="","",YEAR($B565)*100+MONTH($B565))</f>
        <v/>
      </c>
      <c r="P565" s="11" t="str">
        <f aca="false">IF($B565="","",IF($E565="대체",0,1))</f>
        <v/>
      </c>
    </row>
    <row r="566" customFormat="false" ht="15" hidden="false" customHeight="false" outlineLevel="0" collapsed="false">
      <c r="A566" s="36" t="str">
        <f aca="false">IF($B566="","",COUNT($B$15:$B566))</f>
        <v/>
      </c>
      <c r="B566" s="37"/>
      <c r="C566" s="38"/>
      <c r="D566" s="20"/>
      <c r="E566" s="36" t="str">
        <f aca="false">IF($D566="","",IFERROR(INDEX('교육원 ④ 설정'!$A$6:$A$40,MATCH($D566,'교육원 ④ 설정'!$B$6:$B$40,0)),"※없는 과목"))</f>
        <v/>
      </c>
      <c r="F566" s="36" t="str">
        <f aca="false">IF($D566="","",IFERROR(INDEX('교육원 ④ 설정'!$C$6:$C$40,MATCH($D566,'교육원 ④ 설정'!$B$6:$B$40,0)),""))</f>
        <v/>
      </c>
      <c r="G566" s="39"/>
      <c r="H566" s="39"/>
      <c r="I566" s="40"/>
      <c r="J566" s="41"/>
      <c r="K566" s="38"/>
      <c r="L566" s="42" t="str">
        <f aca="false">IF($B566="","",IF(AND(N($I566)=0,N($J566)=0),"금액이 없습니다",IF(AND($I566&gt;0,$J566&gt;0),"수입·지출 둘 다 적혔습니다",IF($C566="","결제수단을 고르십시오",IF(ISNA(MATCH($C566,'교육원 ③ 통장·카드'!$A$5:$A$11,0)),"③ 통장·카드에 없는 결제수단입니다",IF($D566="","계정과목을 고르십시오",IF($E566="※없는 과목","④ 설정에 없는 과목입니다",IF(AND($E566="수입",$J566&gt;0),"수입 과목인데 지출에 적혔습니다",IF(AND(LEFT($E566,2)&lt;&gt;"수입",$E566&lt;&gt;"대체",$I566&gt;0),"지출 과목인데 수입에 적혔습니다",IF($K566="","증빙을 고르십시오",IF($H566="","적요를 적으십시오","")))))))))))</f>
        <v/>
      </c>
      <c r="M566" s="39"/>
      <c r="O566" s="11" t="str">
        <f aca="false">IF($B566="","",YEAR($B566)*100+MONTH($B566))</f>
        <v/>
      </c>
      <c r="P566" s="11" t="str">
        <f aca="false">IF($B566="","",IF($E566="대체",0,1))</f>
        <v/>
      </c>
    </row>
    <row r="567" customFormat="false" ht="15" hidden="false" customHeight="false" outlineLevel="0" collapsed="false">
      <c r="A567" s="36" t="str">
        <f aca="false">IF($B567="","",COUNT($B$15:$B567))</f>
        <v/>
      </c>
      <c r="B567" s="37"/>
      <c r="C567" s="38"/>
      <c r="D567" s="20"/>
      <c r="E567" s="36" t="str">
        <f aca="false">IF($D567="","",IFERROR(INDEX('교육원 ④ 설정'!$A$6:$A$40,MATCH($D567,'교육원 ④ 설정'!$B$6:$B$40,0)),"※없는 과목"))</f>
        <v/>
      </c>
      <c r="F567" s="36" t="str">
        <f aca="false">IF($D567="","",IFERROR(INDEX('교육원 ④ 설정'!$C$6:$C$40,MATCH($D567,'교육원 ④ 설정'!$B$6:$B$40,0)),""))</f>
        <v/>
      </c>
      <c r="G567" s="39"/>
      <c r="H567" s="39"/>
      <c r="I567" s="40"/>
      <c r="J567" s="41"/>
      <c r="K567" s="38"/>
      <c r="L567" s="42" t="str">
        <f aca="false">IF($B567="","",IF(AND(N($I567)=0,N($J567)=0),"금액이 없습니다",IF(AND($I567&gt;0,$J567&gt;0),"수입·지출 둘 다 적혔습니다",IF($C567="","결제수단을 고르십시오",IF(ISNA(MATCH($C567,'교육원 ③ 통장·카드'!$A$5:$A$11,0)),"③ 통장·카드에 없는 결제수단입니다",IF($D567="","계정과목을 고르십시오",IF($E567="※없는 과목","④ 설정에 없는 과목입니다",IF(AND($E567="수입",$J567&gt;0),"수입 과목인데 지출에 적혔습니다",IF(AND(LEFT($E567,2)&lt;&gt;"수입",$E567&lt;&gt;"대체",$I567&gt;0),"지출 과목인데 수입에 적혔습니다",IF($K567="","증빙을 고르십시오",IF($H567="","적요를 적으십시오","")))))))))))</f>
        <v/>
      </c>
      <c r="M567" s="39"/>
      <c r="O567" s="11" t="str">
        <f aca="false">IF($B567="","",YEAR($B567)*100+MONTH($B567))</f>
        <v/>
      </c>
      <c r="P567" s="11" t="str">
        <f aca="false">IF($B567="","",IF($E567="대체",0,1))</f>
        <v/>
      </c>
    </row>
    <row r="568" customFormat="false" ht="15" hidden="false" customHeight="false" outlineLevel="0" collapsed="false">
      <c r="A568" s="36" t="str">
        <f aca="false">IF($B568="","",COUNT($B$15:$B568))</f>
        <v/>
      </c>
      <c r="B568" s="37"/>
      <c r="C568" s="38"/>
      <c r="D568" s="20"/>
      <c r="E568" s="36" t="str">
        <f aca="false">IF($D568="","",IFERROR(INDEX('교육원 ④ 설정'!$A$6:$A$40,MATCH($D568,'교육원 ④ 설정'!$B$6:$B$40,0)),"※없는 과목"))</f>
        <v/>
      </c>
      <c r="F568" s="36" t="str">
        <f aca="false">IF($D568="","",IFERROR(INDEX('교육원 ④ 설정'!$C$6:$C$40,MATCH($D568,'교육원 ④ 설정'!$B$6:$B$40,0)),""))</f>
        <v/>
      </c>
      <c r="G568" s="39"/>
      <c r="H568" s="39"/>
      <c r="I568" s="40"/>
      <c r="J568" s="41"/>
      <c r="K568" s="38"/>
      <c r="L568" s="42" t="str">
        <f aca="false">IF($B568="","",IF(AND(N($I568)=0,N($J568)=0),"금액이 없습니다",IF(AND($I568&gt;0,$J568&gt;0),"수입·지출 둘 다 적혔습니다",IF($C568="","결제수단을 고르십시오",IF(ISNA(MATCH($C568,'교육원 ③ 통장·카드'!$A$5:$A$11,0)),"③ 통장·카드에 없는 결제수단입니다",IF($D568="","계정과목을 고르십시오",IF($E568="※없는 과목","④ 설정에 없는 과목입니다",IF(AND($E568="수입",$J568&gt;0),"수입 과목인데 지출에 적혔습니다",IF(AND(LEFT($E568,2)&lt;&gt;"수입",$E568&lt;&gt;"대체",$I568&gt;0),"지출 과목인데 수입에 적혔습니다",IF($K568="","증빙을 고르십시오",IF($H568="","적요를 적으십시오","")))))))))))</f>
        <v/>
      </c>
      <c r="M568" s="39"/>
      <c r="O568" s="11" t="str">
        <f aca="false">IF($B568="","",YEAR($B568)*100+MONTH($B568))</f>
        <v/>
      </c>
      <c r="P568" s="11" t="str">
        <f aca="false">IF($B568="","",IF($E568="대체",0,1))</f>
        <v/>
      </c>
    </row>
    <row r="569" customFormat="false" ht="15" hidden="false" customHeight="false" outlineLevel="0" collapsed="false">
      <c r="A569" s="36" t="str">
        <f aca="false">IF($B569="","",COUNT($B$15:$B569))</f>
        <v/>
      </c>
      <c r="B569" s="37"/>
      <c r="C569" s="38"/>
      <c r="D569" s="20"/>
      <c r="E569" s="36" t="str">
        <f aca="false">IF($D569="","",IFERROR(INDEX('교육원 ④ 설정'!$A$6:$A$40,MATCH($D569,'교육원 ④ 설정'!$B$6:$B$40,0)),"※없는 과목"))</f>
        <v/>
      </c>
      <c r="F569" s="36" t="str">
        <f aca="false">IF($D569="","",IFERROR(INDEX('교육원 ④ 설정'!$C$6:$C$40,MATCH($D569,'교육원 ④ 설정'!$B$6:$B$40,0)),""))</f>
        <v/>
      </c>
      <c r="G569" s="39"/>
      <c r="H569" s="39"/>
      <c r="I569" s="40"/>
      <c r="J569" s="41"/>
      <c r="K569" s="38"/>
      <c r="L569" s="42" t="str">
        <f aca="false">IF($B569="","",IF(AND(N($I569)=0,N($J569)=0),"금액이 없습니다",IF(AND($I569&gt;0,$J569&gt;0),"수입·지출 둘 다 적혔습니다",IF($C569="","결제수단을 고르십시오",IF(ISNA(MATCH($C569,'교육원 ③ 통장·카드'!$A$5:$A$11,0)),"③ 통장·카드에 없는 결제수단입니다",IF($D569="","계정과목을 고르십시오",IF($E569="※없는 과목","④ 설정에 없는 과목입니다",IF(AND($E569="수입",$J569&gt;0),"수입 과목인데 지출에 적혔습니다",IF(AND(LEFT($E569,2)&lt;&gt;"수입",$E569&lt;&gt;"대체",$I569&gt;0),"지출 과목인데 수입에 적혔습니다",IF($K569="","증빙을 고르십시오",IF($H569="","적요를 적으십시오","")))))))))))</f>
        <v/>
      </c>
      <c r="M569" s="39"/>
      <c r="O569" s="11" t="str">
        <f aca="false">IF($B569="","",YEAR($B569)*100+MONTH($B569))</f>
        <v/>
      </c>
      <c r="P569" s="11" t="str">
        <f aca="false">IF($B569="","",IF($E569="대체",0,1))</f>
        <v/>
      </c>
    </row>
    <row r="570" customFormat="false" ht="15" hidden="false" customHeight="false" outlineLevel="0" collapsed="false">
      <c r="A570" s="36" t="str">
        <f aca="false">IF($B570="","",COUNT($B$15:$B570))</f>
        <v/>
      </c>
      <c r="B570" s="37"/>
      <c r="C570" s="38"/>
      <c r="D570" s="20"/>
      <c r="E570" s="36" t="str">
        <f aca="false">IF($D570="","",IFERROR(INDEX('교육원 ④ 설정'!$A$6:$A$40,MATCH($D570,'교육원 ④ 설정'!$B$6:$B$40,0)),"※없는 과목"))</f>
        <v/>
      </c>
      <c r="F570" s="36" t="str">
        <f aca="false">IF($D570="","",IFERROR(INDEX('교육원 ④ 설정'!$C$6:$C$40,MATCH($D570,'교육원 ④ 설정'!$B$6:$B$40,0)),""))</f>
        <v/>
      </c>
      <c r="G570" s="39"/>
      <c r="H570" s="39"/>
      <c r="I570" s="40"/>
      <c r="J570" s="41"/>
      <c r="K570" s="38"/>
      <c r="L570" s="42" t="str">
        <f aca="false">IF($B570="","",IF(AND(N($I570)=0,N($J570)=0),"금액이 없습니다",IF(AND($I570&gt;0,$J570&gt;0),"수입·지출 둘 다 적혔습니다",IF($C570="","결제수단을 고르십시오",IF(ISNA(MATCH($C570,'교육원 ③ 통장·카드'!$A$5:$A$11,0)),"③ 통장·카드에 없는 결제수단입니다",IF($D570="","계정과목을 고르십시오",IF($E570="※없는 과목","④ 설정에 없는 과목입니다",IF(AND($E570="수입",$J570&gt;0),"수입 과목인데 지출에 적혔습니다",IF(AND(LEFT($E570,2)&lt;&gt;"수입",$E570&lt;&gt;"대체",$I570&gt;0),"지출 과목인데 수입에 적혔습니다",IF($K570="","증빙을 고르십시오",IF($H570="","적요를 적으십시오","")))))))))))</f>
        <v/>
      </c>
      <c r="M570" s="39"/>
      <c r="O570" s="11" t="str">
        <f aca="false">IF($B570="","",YEAR($B570)*100+MONTH($B570))</f>
        <v/>
      </c>
      <c r="P570" s="11" t="str">
        <f aca="false">IF($B570="","",IF($E570="대체",0,1))</f>
        <v/>
      </c>
    </row>
    <row r="571" customFormat="false" ht="15" hidden="false" customHeight="false" outlineLevel="0" collapsed="false">
      <c r="A571" s="36" t="str">
        <f aca="false">IF($B571="","",COUNT($B$15:$B571))</f>
        <v/>
      </c>
      <c r="B571" s="37"/>
      <c r="C571" s="38"/>
      <c r="D571" s="20"/>
      <c r="E571" s="36" t="str">
        <f aca="false">IF($D571="","",IFERROR(INDEX('교육원 ④ 설정'!$A$6:$A$40,MATCH($D571,'교육원 ④ 설정'!$B$6:$B$40,0)),"※없는 과목"))</f>
        <v/>
      </c>
      <c r="F571" s="36" t="str">
        <f aca="false">IF($D571="","",IFERROR(INDEX('교육원 ④ 설정'!$C$6:$C$40,MATCH($D571,'교육원 ④ 설정'!$B$6:$B$40,0)),""))</f>
        <v/>
      </c>
      <c r="G571" s="39"/>
      <c r="H571" s="39"/>
      <c r="I571" s="40"/>
      <c r="J571" s="41"/>
      <c r="K571" s="38"/>
      <c r="L571" s="42" t="str">
        <f aca="false">IF($B571="","",IF(AND(N($I571)=0,N($J571)=0),"금액이 없습니다",IF(AND($I571&gt;0,$J571&gt;0),"수입·지출 둘 다 적혔습니다",IF($C571="","결제수단을 고르십시오",IF(ISNA(MATCH($C571,'교육원 ③ 통장·카드'!$A$5:$A$11,0)),"③ 통장·카드에 없는 결제수단입니다",IF($D571="","계정과목을 고르십시오",IF($E571="※없는 과목","④ 설정에 없는 과목입니다",IF(AND($E571="수입",$J571&gt;0),"수입 과목인데 지출에 적혔습니다",IF(AND(LEFT($E571,2)&lt;&gt;"수입",$E571&lt;&gt;"대체",$I571&gt;0),"지출 과목인데 수입에 적혔습니다",IF($K571="","증빙을 고르십시오",IF($H571="","적요를 적으십시오","")))))))))))</f>
        <v/>
      </c>
      <c r="M571" s="39"/>
      <c r="O571" s="11" t="str">
        <f aca="false">IF($B571="","",YEAR($B571)*100+MONTH($B571))</f>
        <v/>
      </c>
      <c r="P571" s="11" t="str">
        <f aca="false">IF($B571="","",IF($E571="대체",0,1))</f>
        <v/>
      </c>
    </row>
    <row r="572" customFormat="false" ht="15" hidden="false" customHeight="false" outlineLevel="0" collapsed="false">
      <c r="A572" s="36" t="str">
        <f aca="false">IF($B572="","",COUNT($B$15:$B572))</f>
        <v/>
      </c>
      <c r="B572" s="37"/>
      <c r="C572" s="38"/>
      <c r="D572" s="20"/>
      <c r="E572" s="36" t="str">
        <f aca="false">IF($D572="","",IFERROR(INDEX('교육원 ④ 설정'!$A$6:$A$40,MATCH($D572,'교육원 ④ 설정'!$B$6:$B$40,0)),"※없는 과목"))</f>
        <v/>
      </c>
      <c r="F572" s="36" t="str">
        <f aca="false">IF($D572="","",IFERROR(INDEX('교육원 ④ 설정'!$C$6:$C$40,MATCH($D572,'교육원 ④ 설정'!$B$6:$B$40,0)),""))</f>
        <v/>
      </c>
      <c r="G572" s="39"/>
      <c r="H572" s="39"/>
      <c r="I572" s="40"/>
      <c r="J572" s="41"/>
      <c r="K572" s="38"/>
      <c r="L572" s="42" t="str">
        <f aca="false">IF($B572="","",IF(AND(N($I572)=0,N($J572)=0),"금액이 없습니다",IF(AND($I572&gt;0,$J572&gt;0),"수입·지출 둘 다 적혔습니다",IF($C572="","결제수단을 고르십시오",IF(ISNA(MATCH($C572,'교육원 ③ 통장·카드'!$A$5:$A$11,0)),"③ 통장·카드에 없는 결제수단입니다",IF($D572="","계정과목을 고르십시오",IF($E572="※없는 과목","④ 설정에 없는 과목입니다",IF(AND($E572="수입",$J572&gt;0),"수입 과목인데 지출에 적혔습니다",IF(AND(LEFT($E572,2)&lt;&gt;"수입",$E572&lt;&gt;"대체",$I572&gt;0),"지출 과목인데 수입에 적혔습니다",IF($K572="","증빙을 고르십시오",IF($H572="","적요를 적으십시오","")))))))))))</f>
        <v/>
      </c>
      <c r="M572" s="39"/>
      <c r="O572" s="11" t="str">
        <f aca="false">IF($B572="","",YEAR($B572)*100+MONTH($B572))</f>
        <v/>
      </c>
      <c r="P572" s="11" t="str">
        <f aca="false">IF($B572="","",IF($E572="대체",0,1))</f>
        <v/>
      </c>
    </row>
    <row r="573" customFormat="false" ht="15" hidden="false" customHeight="false" outlineLevel="0" collapsed="false">
      <c r="A573" s="36" t="str">
        <f aca="false">IF($B573="","",COUNT($B$15:$B573))</f>
        <v/>
      </c>
      <c r="B573" s="37"/>
      <c r="C573" s="38"/>
      <c r="D573" s="20"/>
      <c r="E573" s="36" t="str">
        <f aca="false">IF($D573="","",IFERROR(INDEX('교육원 ④ 설정'!$A$6:$A$40,MATCH($D573,'교육원 ④ 설정'!$B$6:$B$40,0)),"※없는 과목"))</f>
        <v/>
      </c>
      <c r="F573" s="36" t="str">
        <f aca="false">IF($D573="","",IFERROR(INDEX('교육원 ④ 설정'!$C$6:$C$40,MATCH($D573,'교육원 ④ 설정'!$B$6:$B$40,0)),""))</f>
        <v/>
      </c>
      <c r="G573" s="39"/>
      <c r="H573" s="39"/>
      <c r="I573" s="40"/>
      <c r="J573" s="41"/>
      <c r="K573" s="38"/>
      <c r="L573" s="42" t="str">
        <f aca="false">IF($B573="","",IF(AND(N($I573)=0,N($J573)=0),"금액이 없습니다",IF(AND($I573&gt;0,$J573&gt;0),"수입·지출 둘 다 적혔습니다",IF($C573="","결제수단을 고르십시오",IF(ISNA(MATCH($C573,'교육원 ③ 통장·카드'!$A$5:$A$11,0)),"③ 통장·카드에 없는 결제수단입니다",IF($D573="","계정과목을 고르십시오",IF($E573="※없는 과목","④ 설정에 없는 과목입니다",IF(AND($E573="수입",$J573&gt;0),"수입 과목인데 지출에 적혔습니다",IF(AND(LEFT($E573,2)&lt;&gt;"수입",$E573&lt;&gt;"대체",$I573&gt;0),"지출 과목인데 수입에 적혔습니다",IF($K573="","증빙을 고르십시오",IF($H573="","적요를 적으십시오","")))))))))))</f>
        <v/>
      </c>
      <c r="M573" s="39"/>
      <c r="O573" s="11" t="str">
        <f aca="false">IF($B573="","",YEAR($B573)*100+MONTH($B573))</f>
        <v/>
      </c>
      <c r="P573" s="11" t="str">
        <f aca="false">IF($B573="","",IF($E573="대체",0,1))</f>
        <v/>
      </c>
    </row>
    <row r="574" customFormat="false" ht="15" hidden="false" customHeight="false" outlineLevel="0" collapsed="false">
      <c r="A574" s="36" t="str">
        <f aca="false">IF($B574="","",COUNT($B$15:$B574))</f>
        <v/>
      </c>
      <c r="B574" s="37"/>
      <c r="C574" s="38"/>
      <c r="D574" s="20"/>
      <c r="E574" s="36" t="str">
        <f aca="false">IF($D574="","",IFERROR(INDEX('교육원 ④ 설정'!$A$6:$A$40,MATCH($D574,'교육원 ④ 설정'!$B$6:$B$40,0)),"※없는 과목"))</f>
        <v/>
      </c>
      <c r="F574" s="36" t="str">
        <f aca="false">IF($D574="","",IFERROR(INDEX('교육원 ④ 설정'!$C$6:$C$40,MATCH($D574,'교육원 ④ 설정'!$B$6:$B$40,0)),""))</f>
        <v/>
      </c>
      <c r="G574" s="39"/>
      <c r="H574" s="39"/>
      <c r="I574" s="40"/>
      <c r="J574" s="41"/>
      <c r="K574" s="38"/>
      <c r="L574" s="42" t="str">
        <f aca="false">IF($B574="","",IF(AND(N($I574)=0,N($J574)=0),"금액이 없습니다",IF(AND($I574&gt;0,$J574&gt;0),"수입·지출 둘 다 적혔습니다",IF($C574="","결제수단을 고르십시오",IF(ISNA(MATCH($C574,'교육원 ③ 통장·카드'!$A$5:$A$11,0)),"③ 통장·카드에 없는 결제수단입니다",IF($D574="","계정과목을 고르십시오",IF($E574="※없는 과목","④ 설정에 없는 과목입니다",IF(AND($E574="수입",$J574&gt;0),"수입 과목인데 지출에 적혔습니다",IF(AND(LEFT($E574,2)&lt;&gt;"수입",$E574&lt;&gt;"대체",$I574&gt;0),"지출 과목인데 수입에 적혔습니다",IF($K574="","증빙을 고르십시오",IF($H574="","적요를 적으십시오","")))))))))))</f>
        <v/>
      </c>
      <c r="M574" s="39"/>
      <c r="O574" s="11" t="str">
        <f aca="false">IF($B574="","",YEAR($B574)*100+MONTH($B574))</f>
        <v/>
      </c>
      <c r="P574" s="11" t="str">
        <f aca="false">IF($B574="","",IF($E574="대체",0,1))</f>
        <v/>
      </c>
    </row>
    <row r="575" customFormat="false" ht="15" hidden="false" customHeight="false" outlineLevel="0" collapsed="false">
      <c r="A575" s="36" t="str">
        <f aca="false">IF($B575="","",COUNT($B$15:$B575))</f>
        <v/>
      </c>
      <c r="B575" s="37"/>
      <c r="C575" s="38"/>
      <c r="D575" s="20"/>
      <c r="E575" s="36" t="str">
        <f aca="false">IF($D575="","",IFERROR(INDEX('교육원 ④ 설정'!$A$6:$A$40,MATCH($D575,'교육원 ④ 설정'!$B$6:$B$40,0)),"※없는 과목"))</f>
        <v/>
      </c>
      <c r="F575" s="36" t="str">
        <f aca="false">IF($D575="","",IFERROR(INDEX('교육원 ④ 설정'!$C$6:$C$40,MATCH($D575,'교육원 ④ 설정'!$B$6:$B$40,0)),""))</f>
        <v/>
      </c>
      <c r="G575" s="39"/>
      <c r="H575" s="39"/>
      <c r="I575" s="40"/>
      <c r="J575" s="41"/>
      <c r="K575" s="38"/>
      <c r="L575" s="42" t="str">
        <f aca="false">IF($B575="","",IF(AND(N($I575)=0,N($J575)=0),"금액이 없습니다",IF(AND($I575&gt;0,$J575&gt;0),"수입·지출 둘 다 적혔습니다",IF($C575="","결제수단을 고르십시오",IF(ISNA(MATCH($C575,'교육원 ③ 통장·카드'!$A$5:$A$11,0)),"③ 통장·카드에 없는 결제수단입니다",IF($D575="","계정과목을 고르십시오",IF($E575="※없는 과목","④ 설정에 없는 과목입니다",IF(AND($E575="수입",$J575&gt;0),"수입 과목인데 지출에 적혔습니다",IF(AND(LEFT($E575,2)&lt;&gt;"수입",$E575&lt;&gt;"대체",$I575&gt;0),"지출 과목인데 수입에 적혔습니다",IF($K575="","증빙을 고르십시오",IF($H575="","적요를 적으십시오","")))))))))))</f>
        <v/>
      </c>
      <c r="M575" s="39"/>
      <c r="O575" s="11" t="str">
        <f aca="false">IF($B575="","",YEAR($B575)*100+MONTH($B575))</f>
        <v/>
      </c>
      <c r="P575" s="11" t="str">
        <f aca="false">IF($B575="","",IF($E575="대체",0,1))</f>
        <v/>
      </c>
    </row>
    <row r="576" customFormat="false" ht="15" hidden="false" customHeight="false" outlineLevel="0" collapsed="false">
      <c r="A576" s="36" t="str">
        <f aca="false">IF($B576="","",COUNT($B$15:$B576))</f>
        <v/>
      </c>
      <c r="B576" s="37"/>
      <c r="C576" s="38"/>
      <c r="D576" s="20"/>
      <c r="E576" s="36" t="str">
        <f aca="false">IF($D576="","",IFERROR(INDEX('교육원 ④ 설정'!$A$6:$A$40,MATCH($D576,'교육원 ④ 설정'!$B$6:$B$40,0)),"※없는 과목"))</f>
        <v/>
      </c>
      <c r="F576" s="36" t="str">
        <f aca="false">IF($D576="","",IFERROR(INDEX('교육원 ④ 설정'!$C$6:$C$40,MATCH($D576,'교육원 ④ 설정'!$B$6:$B$40,0)),""))</f>
        <v/>
      </c>
      <c r="G576" s="39"/>
      <c r="H576" s="39"/>
      <c r="I576" s="40"/>
      <c r="J576" s="41"/>
      <c r="K576" s="38"/>
      <c r="L576" s="42" t="str">
        <f aca="false">IF($B576="","",IF(AND(N($I576)=0,N($J576)=0),"금액이 없습니다",IF(AND($I576&gt;0,$J576&gt;0),"수입·지출 둘 다 적혔습니다",IF($C576="","결제수단을 고르십시오",IF(ISNA(MATCH($C576,'교육원 ③ 통장·카드'!$A$5:$A$11,0)),"③ 통장·카드에 없는 결제수단입니다",IF($D576="","계정과목을 고르십시오",IF($E576="※없는 과목","④ 설정에 없는 과목입니다",IF(AND($E576="수입",$J576&gt;0),"수입 과목인데 지출에 적혔습니다",IF(AND(LEFT($E576,2)&lt;&gt;"수입",$E576&lt;&gt;"대체",$I576&gt;0),"지출 과목인데 수입에 적혔습니다",IF($K576="","증빙을 고르십시오",IF($H576="","적요를 적으십시오","")))))))))))</f>
        <v/>
      </c>
      <c r="M576" s="39"/>
      <c r="O576" s="11" t="str">
        <f aca="false">IF($B576="","",YEAR($B576)*100+MONTH($B576))</f>
        <v/>
      </c>
      <c r="P576" s="11" t="str">
        <f aca="false">IF($B576="","",IF($E576="대체",0,1))</f>
        <v/>
      </c>
    </row>
    <row r="577" customFormat="false" ht="15" hidden="false" customHeight="false" outlineLevel="0" collapsed="false">
      <c r="A577" s="36" t="str">
        <f aca="false">IF($B577="","",COUNT($B$15:$B577))</f>
        <v/>
      </c>
      <c r="B577" s="37"/>
      <c r="C577" s="38"/>
      <c r="D577" s="20"/>
      <c r="E577" s="36" t="str">
        <f aca="false">IF($D577="","",IFERROR(INDEX('교육원 ④ 설정'!$A$6:$A$40,MATCH($D577,'교육원 ④ 설정'!$B$6:$B$40,0)),"※없는 과목"))</f>
        <v/>
      </c>
      <c r="F577" s="36" t="str">
        <f aca="false">IF($D577="","",IFERROR(INDEX('교육원 ④ 설정'!$C$6:$C$40,MATCH($D577,'교육원 ④ 설정'!$B$6:$B$40,0)),""))</f>
        <v/>
      </c>
      <c r="G577" s="39"/>
      <c r="H577" s="39"/>
      <c r="I577" s="40"/>
      <c r="J577" s="41"/>
      <c r="K577" s="38"/>
      <c r="L577" s="42" t="str">
        <f aca="false">IF($B577="","",IF(AND(N($I577)=0,N($J577)=0),"금액이 없습니다",IF(AND($I577&gt;0,$J577&gt;0),"수입·지출 둘 다 적혔습니다",IF($C577="","결제수단을 고르십시오",IF(ISNA(MATCH($C577,'교육원 ③ 통장·카드'!$A$5:$A$11,0)),"③ 통장·카드에 없는 결제수단입니다",IF($D577="","계정과목을 고르십시오",IF($E577="※없는 과목","④ 설정에 없는 과목입니다",IF(AND($E577="수입",$J577&gt;0),"수입 과목인데 지출에 적혔습니다",IF(AND(LEFT($E577,2)&lt;&gt;"수입",$E577&lt;&gt;"대체",$I577&gt;0),"지출 과목인데 수입에 적혔습니다",IF($K577="","증빙을 고르십시오",IF($H577="","적요를 적으십시오","")))))))))))</f>
        <v/>
      </c>
      <c r="M577" s="39"/>
      <c r="O577" s="11" t="str">
        <f aca="false">IF($B577="","",YEAR($B577)*100+MONTH($B577))</f>
        <v/>
      </c>
      <c r="P577" s="11" t="str">
        <f aca="false">IF($B577="","",IF($E577="대체",0,1))</f>
        <v/>
      </c>
    </row>
    <row r="578" customFormat="false" ht="15" hidden="false" customHeight="false" outlineLevel="0" collapsed="false">
      <c r="A578" s="36" t="str">
        <f aca="false">IF($B578="","",COUNT($B$15:$B578))</f>
        <v/>
      </c>
      <c r="B578" s="37"/>
      <c r="C578" s="38"/>
      <c r="D578" s="20"/>
      <c r="E578" s="36" t="str">
        <f aca="false">IF($D578="","",IFERROR(INDEX('교육원 ④ 설정'!$A$6:$A$40,MATCH($D578,'교육원 ④ 설정'!$B$6:$B$40,0)),"※없는 과목"))</f>
        <v/>
      </c>
      <c r="F578" s="36" t="str">
        <f aca="false">IF($D578="","",IFERROR(INDEX('교육원 ④ 설정'!$C$6:$C$40,MATCH($D578,'교육원 ④ 설정'!$B$6:$B$40,0)),""))</f>
        <v/>
      </c>
      <c r="G578" s="39"/>
      <c r="H578" s="39"/>
      <c r="I578" s="40"/>
      <c r="J578" s="41"/>
      <c r="K578" s="38"/>
      <c r="L578" s="42" t="str">
        <f aca="false">IF($B578="","",IF(AND(N($I578)=0,N($J578)=0),"금액이 없습니다",IF(AND($I578&gt;0,$J578&gt;0),"수입·지출 둘 다 적혔습니다",IF($C578="","결제수단을 고르십시오",IF(ISNA(MATCH($C578,'교육원 ③ 통장·카드'!$A$5:$A$11,0)),"③ 통장·카드에 없는 결제수단입니다",IF($D578="","계정과목을 고르십시오",IF($E578="※없는 과목","④ 설정에 없는 과목입니다",IF(AND($E578="수입",$J578&gt;0),"수입 과목인데 지출에 적혔습니다",IF(AND(LEFT($E578,2)&lt;&gt;"수입",$E578&lt;&gt;"대체",$I578&gt;0),"지출 과목인데 수입에 적혔습니다",IF($K578="","증빙을 고르십시오",IF($H578="","적요를 적으십시오","")))))))))))</f>
        <v/>
      </c>
      <c r="M578" s="39"/>
      <c r="O578" s="11" t="str">
        <f aca="false">IF($B578="","",YEAR($B578)*100+MONTH($B578))</f>
        <v/>
      </c>
      <c r="P578" s="11" t="str">
        <f aca="false">IF($B578="","",IF($E578="대체",0,1))</f>
        <v/>
      </c>
    </row>
    <row r="579" customFormat="false" ht="15" hidden="false" customHeight="false" outlineLevel="0" collapsed="false">
      <c r="A579" s="36" t="str">
        <f aca="false">IF($B579="","",COUNT($B$15:$B579))</f>
        <v/>
      </c>
      <c r="B579" s="37"/>
      <c r="C579" s="38"/>
      <c r="D579" s="20"/>
      <c r="E579" s="36" t="str">
        <f aca="false">IF($D579="","",IFERROR(INDEX('교육원 ④ 설정'!$A$6:$A$40,MATCH($D579,'교육원 ④ 설정'!$B$6:$B$40,0)),"※없는 과목"))</f>
        <v/>
      </c>
      <c r="F579" s="36" t="str">
        <f aca="false">IF($D579="","",IFERROR(INDEX('교육원 ④ 설정'!$C$6:$C$40,MATCH($D579,'교육원 ④ 설정'!$B$6:$B$40,0)),""))</f>
        <v/>
      </c>
      <c r="G579" s="39"/>
      <c r="H579" s="39"/>
      <c r="I579" s="40"/>
      <c r="J579" s="41"/>
      <c r="K579" s="38"/>
      <c r="L579" s="42" t="str">
        <f aca="false">IF($B579="","",IF(AND(N($I579)=0,N($J579)=0),"금액이 없습니다",IF(AND($I579&gt;0,$J579&gt;0),"수입·지출 둘 다 적혔습니다",IF($C579="","결제수단을 고르십시오",IF(ISNA(MATCH($C579,'교육원 ③ 통장·카드'!$A$5:$A$11,0)),"③ 통장·카드에 없는 결제수단입니다",IF($D579="","계정과목을 고르십시오",IF($E579="※없는 과목","④ 설정에 없는 과목입니다",IF(AND($E579="수입",$J579&gt;0),"수입 과목인데 지출에 적혔습니다",IF(AND(LEFT($E579,2)&lt;&gt;"수입",$E579&lt;&gt;"대체",$I579&gt;0),"지출 과목인데 수입에 적혔습니다",IF($K579="","증빙을 고르십시오",IF($H579="","적요를 적으십시오","")))))))))))</f>
        <v/>
      </c>
      <c r="M579" s="39"/>
      <c r="O579" s="11" t="str">
        <f aca="false">IF($B579="","",YEAR($B579)*100+MONTH($B579))</f>
        <v/>
      </c>
      <c r="P579" s="11" t="str">
        <f aca="false">IF($B579="","",IF($E579="대체",0,1))</f>
        <v/>
      </c>
    </row>
    <row r="580" customFormat="false" ht="15" hidden="false" customHeight="false" outlineLevel="0" collapsed="false">
      <c r="A580" s="36" t="str">
        <f aca="false">IF($B580="","",COUNT($B$15:$B580))</f>
        <v/>
      </c>
      <c r="B580" s="37"/>
      <c r="C580" s="38"/>
      <c r="D580" s="20"/>
      <c r="E580" s="36" t="str">
        <f aca="false">IF($D580="","",IFERROR(INDEX('교육원 ④ 설정'!$A$6:$A$40,MATCH($D580,'교육원 ④ 설정'!$B$6:$B$40,0)),"※없는 과목"))</f>
        <v/>
      </c>
      <c r="F580" s="36" t="str">
        <f aca="false">IF($D580="","",IFERROR(INDEX('교육원 ④ 설정'!$C$6:$C$40,MATCH($D580,'교육원 ④ 설정'!$B$6:$B$40,0)),""))</f>
        <v/>
      </c>
      <c r="G580" s="39"/>
      <c r="H580" s="39"/>
      <c r="I580" s="40"/>
      <c r="J580" s="41"/>
      <c r="K580" s="38"/>
      <c r="L580" s="42" t="str">
        <f aca="false">IF($B580="","",IF(AND(N($I580)=0,N($J580)=0),"금액이 없습니다",IF(AND($I580&gt;0,$J580&gt;0),"수입·지출 둘 다 적혔습니다",IF($C580="","결제수단을 고르십시오",IF(ISNA(MATCH($C580,'교육원 ③ 통장·카드'!$A$5:$A$11,0)),"③ 통장·카드에 없는 결제수단입니다",IF($D580="","계정과목을 고르십시오",IF($E580="※없는 과목","④ 설정에 없는 과목입니다",IF(AND($E580="수입",$J580&gt;0),"수입 과목인데 지출에 적혔습니다",IF(AND(LEFT($E580,2)&lt;&gt;"수입",$E580&lt;&gt;"대체",$I580&gt;0),"지출 과목인데 수입에 적혔습니다",IF($K580="","증빙을 고르십시오",IF($H580="","적요를 적으십시오","")))))))))))</f>
        <v/>
      </c>
      <c r="M580" s="39"/>
      <c r="O580" s="11" t="str">
        <f aca="false">IF($B580="","",YEAR($B580)*100+MONTH($B580))</f>
        <v/>
      </c>
      <c r="P580" s="11" t="str">
        <f aca="false">IF($B580="","",IF($E580="대체",0,1))</f>
        <v/>
      </c>
    </row>
    <row r="581" customFormat="false" ht="15" hidden="false" customHeight="false" outlineLevel="0" collapsed="false">
      <c r="A581" s="36" t="str">
        <f aca="false">IF($B581="","",COUNT($B$15:$B581))</f>
        <v/>
      </c>
      <c r="B581" s="37"/>
      <c r="C581" s="38"/>
      <c r="D581" s="20"/>
      <c r="E581" s="36" t="str">
        <f aca="false">IF($D581="","",IFERROR(INDEX('교육원 ④ 설정'!$A$6:$A$40,MATCH($D581,'교육원 ④ 설정'!$B$6:$B$40,0)),"※없는 과목"))</f>
        <v/>
      </c>
      <c r="F581" s="36" t="str">
        <f aca="false">IF($D581="","",IFERROR(INDEX('교육원 ④ 설정'!$C$6:$C$40,MATCH($D581,'교육원 ④ 설정'!$B$6:$B$40,0)),""))</f>
        <v/>
      </c>
      <c r="G581" s="39"/>
      <c r="H581" s="39"/>
      <c r="I581" s="40"/>
      <c r="J581" s="41"/>
      <c r="K581" s="38"/>
      <c r="L581" s="42" t="str">
        <f aca="false">IF($B581="","",IF(AND(N($I581)=0,N($J581)=0),"금액이 없습니다",IF(AND($I581&gt;0,$J581&gt;0),"수입·지출 둘 다 적혔습니다",IF($C581="","결제수단을 고르십시오",IF(ISNA(MATCH($C581,'교육원 ③ 통장·카드'!$A$5:$A$11,0)),"③ 통장·카드에 없는 결제수단입니다",IF($D581="","계정과목을 고르십시오",IF($E581="※없는 과목","④ 설정에 없는 과목입니다",IF(AND($E581="수입",$J581&gt;0),"수입 과목인데 지출에 적혔습니다",IF(AND(LEFT($E581,2)&lt;&gt;"수입",$E581&lt;&gt;"대체",$I581&gt;0),"지출 과목인데 수입에 적혔습니다",IF($K581="","증빙을 고르십시오",IF($H581="","적요를 적으십시오","")))))))))))</f>
        <v/>
      </c>
      <c r="M581" s="39"/>
      <c r="O581" s="11" t="str">
        <f aca="false">IF($B581="","",YEAR($B581)*100+MONTH($B581))</f>
        <v/>
      </c>
      <c r="P581" s="11" t="str">
        <f aca="false">IF($B581="","",IF($E581="대체",0,1))</f>
        <v/>
      </c>
    </row>
    <row r="582" customFormat="false" ht="15" hidden="false" customHeight="false" outlineLevel="0" collapsed="false">
      <c r="A582" s="36" t="str">
        <f aca="false">IF($B582="","",COUNT($B$15:$B582))</f>
        <v/>
      </c>
      <c r="B582" s="37"/>
      <c r="C582" s="38"/>
      <c r="D582" s="20"/>
      <c r="E582" s="36" t="str">
        <f aca="false">IF($D582="","",IFERROR(INDEX('교육원 ④ 설정'!$A$6:$A$40,MATCH($D582,'교육원 ④ 설정'!$B$6:$B$40,0)),"※없는 과목"))</f>
        <v/>
      </c>
      <c r="F582" s="36" t="str">
        <f aca="false">IF($D582="","",IFERROR(INDEX('교육원 ④ 설정'!$C$6:$C$40,MATCH($D582,'교육원 ④ 설정'!$B$6:$B$40,0)),""))</f>
        <v/>
      </c>
      <c r="G582" s="39"/>
      <c r="H582" s="39"/>
      <c r="I582" s="40"/>
      <c r="J582" s="41"/>
      <c r="K582" s="38"/>
      <c r="L582" s="42" t="str">
        <f aca="false">IF($B582="","",IF(AND(N($I582)=0,N($J582)=0),"금액이 없습니다",IF(AND($I582&gt;0,$J582&gt;0),"수입·지출 둘 다 적혔습니다",IF($C582="","결제수단을 고르십시오",IF(ISNA(MATCH($C582,'교육원 ③ 통장·카드'!$A$5:$A$11,0)),"③ 통장·카드에 없는 결제수단입니다",IF($D582="","계정과목을 고르십시오",IF($E582="※없는 과목","④ 설정에 없는 과목입니다",IF(AND($E582="수입",$J582&gt;0),"수입 과목인데 지출에 적혔습니다",IF(AND(LEFT($E582,2)&lt;&gt;"수입",$E582&lt;&gt;"대체",$I582&gt;0),"지출 과목인데 수입에 적혔습니다",IF($K582="","증빙을 고르십시오",IF($H582="","적요를 적으십시오","")))))))))))</f>
        <v/>
      </c>
      <c r="M582" s="39"/>
      <c r="O582" s="11" t="str">
        <f aca="false">IF($B582="","",YEAR($B582)*100+MONTH($B582))</f>
        <v/>
      </c>
      <c r="P582" s="11" t="str">
        <f aca="false">IF($B582="","",IF($E582="대체",0,1))</f>
        <v/>
      </c>
    </row>
    <row r="583" customFormat="false" ht="15" hidden="false" customHeight="false" outlineLevel="0" collapsed="false">
      <c r="A583" s="36" t="str">
        <f aca="false">IF($B583="","",COUNT($B$15:$B583))</f>
        <v/>
      </c>
      <c r="B583" s="37"/>
      <c r="C583" s="38"/>
      <c r="D583" s="20"/>
      <c r="E583" s="36" t="str">
        <f aca="false">IF($D583="","",IFERROR(INDEX('교육원 ④ 설정'!$A$6:$A$40,MATCH($D583,'교육원 ④ 설정'!$B$6:$B$40,0)),"※없는 과목"))</f>
        <v/>
      </c>
      <c r="F583" s="36" t="str">
        <f aca="false">IF($D583="","",IFERROR(INDEX('교육원 ④ 설정'!$C$6:$C$40,MATCH($D583,'교육원 ④ 설정'!$B$6:$B$40,0)),""))</f>
        <v/>
      </c>
      <c r="G583" s="39"/>
      <c r="H583" s="39"/>
      <c r="I583" s="40"/>
      <c r="J583" s="41"/>
      <c r="K583" s="38"/>
      <c r="L583" s="42" t="str">
        <f aca="false">IF($B583="","",IF(AND(N($I583)=0,N($J583)=0),"금액이 없습니다",IF(AND($I583&gt;0,$J583&gt;0),"수입·지출 둘 다 적혔습니다",IF($C583="","결제수단을 고르십시오",IF(ISNA(MATCH($C583,'교육원 ③ 통장·카드'!$A$5:$A$11,0)),"③ 통장·카드에 없는 결제수단입니다",IF($D583="","계정과목을 고르십시오",IF($E583="※없는 과목","④ 설정에 없는 과목입니다",IF(AND($E583="수입",$J583&gt;0),"수입 과목인데 지출에 적혔습니다",IF(AND(LEFT($E583,2)&lt;&gt;"수입",$E583&lt;&gt;"대체",$I583&gt;0),"지출 과목인데 수입에 적혔습니다",IF($K583="","증빙을 고르십시오",IF($H583="","적요를 적으십시오","")))))))))))</f>
        <v/>
      </c>
      <c r="M583" s="39"/>
      <c r="O583" s="11" t="str">
        <f aca="false">IF($B583="","",YEAR($B583)*100+MONTH($B583))</f>
        <v/>
      </c>
      <c r="P583" s="11" t="str">
        <f aca="false">IF($B583="","",IF($E583="대체",0,1))</f>
        <v/>
      </c>
    </row>
    <row r="584" customFormat="false" ht="15" hidden="false" customHeight="false" outlineLevel="0" collapsed="false">
      <c r="A584" s="36" t="str">
        <f aca="false">IF($B584="","",COUNT($B$15:$B584))</f>
        <v/>
      </c>
      <c r="B584" s="37"/>
      <c r="C584" s="38"/>
      <c r="D584" s="20"/>
      <c r="E584" s="36" t="str">
        <f aca="false">IF($D584="","",IFERROR(INDEX('교육원 ④ 설정'!$A$6:$A$40,MATCH($D584,'교육원 ④ 설정'!$B$6:$B$40,0)),"※없는 과목"))</f>
        <v/>
      </c>
      <c r="F584" s="36" t="str">
        <f aca="false">IF($D584="","",IFERROR(INDEX('교육원 ④ 설정'!$C$6:$C$40,MATCH($D584,'교육원 ④ 설정'!$B$6:$B$40,0)),""))</f>
        <v/>
      </c>
      <c r="G584" s="39"/>
      <c r="H584" s="39"/>
      <c r="I584" s="40"/>
      <c r="J584" s="41"/>
      <c r="K584" s="38"/>
      <c r="L584" s="42" t="str">
        <f aca="false">IF($B584="","",IF(AND(N($I584)=0,N($J584)=0),"금액이 없습니다",IF(AND($I584&gt;0,$J584&gt;0),"수입·지출 둘 다 적혔습니다",IF($C584="","결제수단을 고르십시오",IF(ISNA(MATCH($C584,'교육원 ③ 통장·카드'!$A$5:$A$11,0)),"③ 통장·카드에 없는 결제수단입니다",IF($D584="","계정과목을 고르십시오",IF($E584="※없는 과목","④ 설정에 없는 과목입니다",IF(AND($E584="수입",$J584&gt;0),"수입 과목인데 지출에 적혔습니다",IF(AND(LEFT($E584,2)&lt;&gt;"수입",$E584&lt;&gt;"대체",$I584&gt;0),"지출 과목인데 수입에 적혔습니다",IF($K584="","증빙을 고르십시오",IF($H584="","적요를 적으십시오","")))))))))))</f>
        <v/>
      </c>
      <c r="M584" s="39"/>
      <c r="O584" s="11" t="str">
        <f aca="false">IF($B584="","",YEAR($B584)*100+MONTH($B584))</f>
        <v/>
      </c>
      <c r="P584" s="11" t="str">
        <f aca="false">IF($B584="","",IF($E584="대체",0,1))</f>
        <v/>
      </c>
    </row>
    <row r="585" customFormat="false" ht="15" hidden="false" customHeight="false" outlineLevel="0" collapsed="false">
      <c r="A585" s="36" t="str">
        <f aca="false">IF($B585="","",COUNT($B$15:$B585))</f>
        <v/>
      </c>
      <c r="B585" s="37"/>
      <c r="C585" s="38"/>
      <c r="D585" s="20"/>
      <c r="E585" s="36" t="str">
        <f aca="false">IF($D585="","",IFERROR(INDEX('교육원 ④ 설정'!$A$6:$A$40,MATCH($D585,'교육원 ④ 설정'!$B$6:$B$40,0)),"※없는 과목"))</f>
        <v/>
      </c>
      <c r="F585" s="36" t="str">
        <f aca="false">IF($D585="","",IFERROR(INDEX('교육원 ④ 설정'!$C$6:$C$40,MATCH($D585,'교육원 ④ 설정'!$B$6:$B$40,0)),""))</f>
        <v/>
      </c>
      <c r="G585" s="39"/>
      <c r="H585" s="39"/>
      <c r="I585" s="40"/>
      <c r="J585" s="41"/>
      <c r="K585" s="38"/>
      <c r="L585" s="42" t="str">
        <f aca="false">IF($B585="","",IF(AND(N($I585)=0,N($J585)=0),"금액이 없습니다",IF(AND($I585&gt;0,$J585&gt;0),"수입·지출 둘 다 적혔습니다",IF($C585="","결제수단을 고르십시오",IF(ISNA(MATCH($C585,'교육원 ③ 통장·카드'!$A$5:$A$11,0)),"③ 통장·카드에 없는 결제수단입니다",IF($D585="","계정과목을 고르십시오",IF($E585="※없는 과목","④ 설정에 없는 과목입니다",IF(AND($E585="수입",$J585&gt;0),"수입 과목인데 지출에 적혔습니다",IF(AND(LEFT($E585,2)&lt;&gt;"수입",$E585&lt;&gt;"대체",$I585&gt;0),"지출 과목인데 수입에 적혔습니다",IF($K585="","증빙을 고르십시오",IF($H585="","적요를 적으십시오","")))))))))))</f>
        <v/>
      </c>
      <c r="M585" s="39"/>
      <c r="O585" s="11" t="str">
        <f aca="false">IF($B585="","",YEAR($B585)*100+MONTH($B585))</f>
        <v/>
      </c>
      <c r="P585" s="11" t="str">
        <f aca="false">IF($B585="","",IF($E585="대체",0,1))</f>
        <v/>
      </c>
    </row>
    <row r="586" customFormat="false" ht="15" hidden="false" customHeight="false" outlineLevel="0" collapsed="false">
      <c r="A586" s="36" t="str">
        <f aca="false">IF($B586="","",COUNT($B$15:$B586))</f>
        <v/>
      </c>
      <c r="B586" s="37"/>
      <c r="C586" s="38"/>
      <c r="D586" s="20"/>
      <c r="E586" s="36" t="str">
        <f aca="false">IF($D586="","",IFERROR(INDEX('교육원 ④ 설정'!$A$6:$A$40,MATCH($D586,'교육원 ④ 설정'!$B$6:$B$40,0)),"※없는 과목"))</f>
        <v/>
      </c>
      <c r="F586" s="36" t="str">
        <f aca="false">IF($D586="","",IFERROR(INDEX('교육원 ④ 설정'!$C$6:$C$40,MATCH($D586,'교육원 ④ 설정'!$B$6:$B$40,0)),""))</f>
        <v/>
      </c>
      <c r="G586" s="39"/>
      <c r="H586" s="39"/>
      <c r="I586" s="40"/>
      <c r="J586" s="41"/>
      <c r="K586" s="38"/>
      <c r="L586" s="42" t="str">
        <f aca="false">IF($B586="","",IF(AND(N($I586)=0,N($J586)=0),"금액이 없습니다",IF(AND($I586&gt;0,$J586&gt;0),"수입·지출 둘 다 적혔습니다",IF($C586="","결제수단을 고르십시오",IF(ISNA(MATCH($C586,'교육원 ③ 통장·카드'!$A$5:$A$11,0)),"③ 통장·카드에 없는 결제수단입니다",IF($D586="","계정과목을 고르십시오",IF($E586="※없는 과목","④ 설정에 없는 과목입니다",IF(AND($E586="수입",$J586&gt;0),"수입 과목인데 지출에 적혔습니다",IF(AND(LEFT($E586,2)&lt;&gt;"수입",$E586&lt;&gt;"대체",$I586&gt;0),"지출 과목인데 수입에 적혔습니다",IF($K586="","증빙을 고르십시오",IF($H586="","적요를 적으십시오","")))))))))))</f>
        <v/>
      </c>
      <c r="M586" s="39"/>
      <c r="O586" s="11" t="str">
        <f aca="false">IF($B586="","",YEAR($B586)*100+MONTH($B586))</f>
        <v/>
      </c>
      <c r="P586" s="11" t="str">
        <f aca="false">IF($B586="","",IF($E586="대체",0,1))</f>
        <v/>
      </c>
    </row>
    <row r="587" customFormat="false" ht="15" hidden="false" customHeight="false" outlineLevel="0" collapsed="false">
      <c r="A587" s="36" t="str">
        <f aca="false">IF($B587="","",COUNT($B$15:$B587))</f>
        <v/>
      </c>
      <c r="B587" s="37"/>
      <c r="C587" s="38"/>
      <c r="D587" s="20"/>
      <c r="E587" s="36" t="str">
        <f aca="false">IF($D587="","",IFERROR(INDEX('교육원 ④ 설정'!$A$6:$A$40,MATCH($D587,'교육원 ④ 설정'!$B$6:$B$40,0)),"※없는 과목"))</f>
        <v/>
      </c>
      <c r="F587" s="36" t="str">
        <f aca="false">IF($D587="","",IFERROR(INDEX('교육원 ④ 설정'!$C$6:$C$40,MATCH($D587,'교육원 ④ 설정'!$B$6:$B$40,0)),""))</f>
        <v/>
      </c>
      <c r="G587" s="39"/>
      <c r="H587" s="39"/>
      <c r="I587" s="40"/>
      <c r="J587" s="41"/>
      <c r="K587" s="38"/>
      <c r="L587" s="42" t="str">
        <f aca="false">IF($B587="","",IF(AND(N($I587)=0,N($J587)=0),"금액이 없습니다",IF(AND($I587&gt;0,$J587&gt;0),"수입·지출 둘 다 적혔습니다",IF($C587="","결제수단을 고르십시오",IF(ISNA(MATCH($C587,'교육원 ③ 통장·카드'!$A$5:$A$11,0)),"③ 통장·카드에 없는 결제수단입니다",IF($D587="","계정과목을 고르십시오",IF($E587="※없는 과목","④ 설정에 없는 과목입니다",IF(AND($E587="수입",$J587&gt;0),"수입 과목인데 지출에 적혔습니다",IF(AND(LEFT($E587,2)&lt;&gt;"수입",$E587&lt;&gt;"대체",$I587&gt;0),"지출 과목인데 수입에 적혔습니다",IF($K587="","증빙을 고르십시오",IF($H587="","적요를 적으십시오","")))))))))))</f>
        <v/>
      </c>
      <c r="M587" s="39"/>
      <c r="O587" s="11" t="str">
        <f aca="false">IF($B587="","",YEAR($B587)*100+MONTH($B587))</f>
        <v/>
      </c>
      <c r="P587" s="11" t="str">
        <f aca="false">IF($B587="","",IF($E587="대체",0,1))</f>
        <v/>
      </c>
    </row>
    <row r="588" customFormat="false" ht="15" hidden="false" customHeight="false" outlineLevel="0" collapsed="false">
      <c r="A588" s="36" t="str">
        <f aca="false">IF($B588="","",COUNT($B$15:$B588))</f>
        <v/>
      </c>
      <c r="B588" s="37"/>
      <c r="C588" s="38"/>
      <c r="D588" s="20"/>
      <c r="E588" s="36" t="str">
        <f aca="false">IF($D588="","",IFERROR(INDEX('교육원 ④ 설정'!$A$6:$A$40,MATCH($D588,'교육원 ④ 설정'!$B$6:$B$40,0)),"※없는 과목"))</f>
        <v/>
      </c>
      <c r="F588" s="36" t="str">
        <f aca="false">IF($D588="","",IFERROR(INDEX('교육원 ④ 설정'!$C$6:$C$40,MATCH($D588,'교육원 ④ 설정'!$B$6:$B$40,0)),""))</f>
        <v/>
      </c>
      <c r="G588" s="39"/>
      <c r="H588" s="39"/>
      <c r="I588" s="40"/>
      <c r="J588" s="41"/>
      <c r="K588" s="38"/>
      <c r="L588" s="42" t="str">
        <f aca="false">IF($B588="","",IF(AND(N($I588)=0,N($J588)=0),"금액이 없습니다",IF(AND($I588&gt;0,$J588&gt;0),"수입·지출 둘 다 적혔습니다",IF($C588="","결제수단을 고르십시오",IF(ISNA(MATCH($C588,'교육원 ③ 통장·카드'!$A$5:$A$11,0)),"③ 통장·카드에 없는 결제수단입니다",IF($D588="","계정과목을 고르십시오",IF($E588="※없는 과목","④ 설정에 없는 과목입니다",IF(AND($E588="수입",$J588&gt;0),"수입 과목인데 지출에 적혔습니다",IF(AND(LEFT($E588,2)&lt;&gt;"수입",$E588&lt;&gt;"대체",$I588&gt;0),"지출 과목인데 수입에 적혔습니다",IF($K588="","증빙을 고르십시오",IF($H588="","적요를 적으십시오","")))))))))))</f>
        <v/>
      </c>
      <c r="M588" s="39"/>
      <c r="O588" s="11" t="str">
        <f aca="false">IF($B588="","",YEAR($B588)*100+MONTH($B588))</f>
        <v/>
      </c>
      <c r="P588" s="11" t="str">
        <f aca="false">IF($B588="","",IF($E588="대체",0,1))</f>
        <v/>
      </c>
    </row>
    <row r="589" customFormat="false" ht="15" hidden="false" customHeight="false" outlineLevel="0" collapsed="false">
      <c r="A589" s="36" t="str">
        <f aca="false">IF($B589="","",COUNT($B$15:$B589))</f>
        <v/>
      </c>
      <c r="B589" s="37"/>
      <c r="C589" s="38"/>
      <c r="D589" s="20"/>
      <c r="E589" s="36" t="str">
        <f aca="false">IF($D589="","",IFERROR(INDEX('교육원 ④ 설정'!$A$6:$A$40,MATCH($D589,'교육원 ④ 설정'!$B$6:$B$40,0)),"※없는 과목"))</f>
        <v/>
      </c>
      <c r="F589" s="36" t="str">
        <f aca="false">IF($D589="","",IFERROR(INDEX('교육원 ④ 설정'!$C$6:$C$40,MATCH($D589,'교육원 ④ 설정'!$B$6:$B$40,0)),""))</f>
        <v/>
      </c>
      <c r="G589" s="39"/>
      <c r="H589" s="39"/>
      <c r="I589" s="40"/>
      <c r="J589" s="41"/>
      <c r="K589" s="38"/>
      <c r="L589" s="42" t="str">
        <f aca="false">IF($B589="","",IF(AND(N($I589)=0,N($J589)=0),"금액이 없습니다",IF(AND($I589&gt;0,$J589&gt;0),"수입·지출 둘 다 적혔습니다",IF($C589="","결제수단을 고르십시오",IF(ISNA(MATCH($C589,'교육원 ③ 통장·카드'!$A$5:$A$11,0)),"③ 통장·카드에 없는 결제수단입니다",IF($D589="","계정과목을 고르십시오",IF($E589="※없는 과목","④ 설정에 없는 과목입니다",IF(AND($E589="수입",$J589&gt;0),"수입 과목인데 지출에 적혔습니다",IF(AND(LEFT($E589,2)&lt;&gt;"수입",$E589&lt;&gt;"대체",$I589&gt;0),"지출 과목인데 수입에 적혔습니다",IF($K589="","증빙을 고르십시오",IF($H589="","적요를 적으십시오","")))))))))))</f>
        <v/>
      </c>
      <c r="M589" s="39"/>
      <c r="O589" s="11" t="str">
        <f aca="false">IF($B589="","",YEAR($B589)*100+MONTH($B589))</f>
        <v/>
      </c>
      <c r="P589" s="11" t="str">
        <f aca="false">IF($B589="","",IF($E589="대체",0,1))</f>
        <v/>
      </c>
    </row>
    <row r="590" customFormat="false" ht="15" hidden="false" customHeight="false" outlineLevel="0" collapsed="false">
      <c r="A590" s="36" t="str">
        <f aca="false">IF($B590="","",COUNT($B$15:$B590))</f>
        <v/>
      </c>
      <c r="B590" s="37"/>
      <c r="C590" s="38"/>
      <c r="D590" s="20"/>
      <c r="E590" s="36" t="str">
        <f aca="false">IF($D590="","",IFERROR(INDEX('교육원 ④ 설정'!$A$6:$A$40,MATCH($D590,'교육원 ④ 설정'!$B$6:$B$40,0)),"※없는 과목"))</f>
        <v/>
      </c>
      <c r="F590" s="36" t="str">
        <f aca="false">IF($D590="","",IFERROR(INDEX('교육원 ④ 설정'!$C$6:$C$40,MATCH($D590,'교육원 ④ 설정'!$B$6:$B$40,0)),""))</f>
        <v/>
      </c>
      <c r="G590" s="39"/>
      <c r="H590" s="39"/>
      <c r="I590" s="40"/>
      <c r="J590" s="41"/>
      <c r="K590" s="38"/>
      <c r="L590" s="42" t="str">
        <f aca="false">IF($B590="","",IF(AND(N($I590)=0,N($J590)=0),"금액이 없습니다",IF(AND($I590&gt;0,$J590&gt;0),"수입·지출 둘 다 적혔습니다",IF($C590="","결제수단을 고르십시오",IF(ISNA(MATCH($C590,'교육원 ③ 통장·카드'!$A$5:$A$11,0)),"③ 통장·카드에 없는 결제수단입니다",IF($D590="","계정과목을 고르십시오",IF($E590="※없는 과목","④ 설정에 없는 과목입니다",IF(AND($E590="수입",$J590&gt;0),"수입 과목인데 지출에 적혔습니다",IF(AND(LEFT($E590,2)&lt;&gt;"수입",$E590&lt;&gt;"대체",$I590&gt;0),"지출 과목인데 수입에 적혔습니다",IF($K590="","증빙을 고르십시오",IF($H590="","적요를 적으십시오","")))))))))))</f>
        <v/>
      </c>
      <c r="M590" s="39"/>
      <c r="O590" s="11" t="str">
        <f aca="false">IF($B590="","",YEAR($B590)*100+MONTH($B590))</f>
        <v/>
      </c>
      <c r="P590" s="11" t="str">
        <f aca="false">IF($B590="","",IF($E590="대체",0,1))</f>
        <v/>
      </c>
    </row>
    <row r="591" customFormat="false" ht="15" hidden="false" customHeight="false" outlineLevel="0" collapsed="false">
      <c r="A591" s="36" t="str">
        <f aca="false">IF($B591="","",COUNT($B$15:$B591))</f>
        <v/>
      </c>
      <c r="B591" s="37"/>
      <c r="C591" s="38"/>
      <c r="D591" s="20"/>
      <c r="E591" s="36" t="str">
        <f aca="false">IF($D591="","",IFERROR(INDEX('교육원 ④ 설정'!$A$6:$A$40,MATCH($D591,'교육원 ④ 설정'!$B$6:$B$40,0)),"※없는 과목"))</f>
        <v/>
      </c>
      <c r="F591" s="36" t="str">
        <f aca="false">IF($D591="","",IFERROR(INDEX('교육원 ④ 설정'!$C$6:$C$40,MATCH($D591,'교육원 ④ 설정'!$B$6:$B$40,0)),""))</f>
        <v/>
      </c>
      <c r="G591" s="39"/>
      <c r="H591" s="39"/>
      <c r="I591" s="40"/>
      <c r="J591" s="41"/>
      <c r="K591" s="38"/>
      <c r="L591" s="42" t="str">
        <f aca="false">IF($B591="","",IF(AND(N($I591)=0,N($J591)=0),"금액이 없습니다",IF(AND($I591&gt;0,$J591&gt;0),"수입·지출 둘 다 적혔습니다",IF($C591="","결제수단을 고르십시오",IF(ISNA(MATCH($C591,'교육원 ③ 통장·카드'!$A$5:$A$11,0)),"③ 통장·카드에 없는 결제수단입니다",IF($D591="","계정과목을 고르십시오",IF($E591="※없는 과목","④ 설정에 없는 과목입니다",IF(AND($E591="수입",$J591&gt;0),"수입 과목인데 지출에 적혔습니다",IF(AND(LEFT($E591,2)&lt;&gt;"수입",$E591&lt;&gt;"대체",$I591&gt;0),"지출 과목인데 수입에 적혔습니다",IF($K591="","증빙을 고르십시오",IF($H591="","적요를 적으십시오","")))))))))))</f>
        <v/>
      </c>
      <c r="M591" s="39"/>
      <c r="O591" s="11" t="str">
        <f aca="false">IF($B591="","",YEAR($B591)*100+MONTH($B591))</f>
        <v/>
      </c>
      <c r="P591" s="11" t="str">
        <f aca="false">IF($B591="","",IF($E591="대체",0,1))</f>
        <v/>
      </c>
    </row>
    <row r="592" customFormat="false" ht="15" hidden="false" customHeight="false" outlineLevel="0" collapsed="false">
      <c r="A592" s="36" t="str">
        <f aca="false">IF($B592="","",COUNT($B$15:$B592))</f>
        <v/>
      </c>
      <c r="B592" s="37"/>
      <c r="C592" s="38"/>
      <c r="D592" s="20"/>
      <c r="E592" s="36" t="str">
        <f aca="false">IF($D592="","",IFERROR(INDEX('교육원 ④ 설정'!$A$6:$A$40,MATCH($D592,'교육원 ④ 설정'!$B$6:$B$40,0)),"※없는 과목"))</f>
        <v/>
      </c>
      <c r="F592" s="36" t="str">
        <f aca="false">IF($D592="","",IFERROR(INDEX('교육원 ④ 설정'!$C$6:$C$40,MATCH($D592,'교육원 ④ 설정'!$B$6:$B$40,0)),""))</f>
        <v/>
      </c>
      <c r="G592" s="39"/>
      <c r="H592" s="39"/>
      <c r="I592" s="40"/>
      <c r="J592" s="41"/>
      <c r="K592" s="38"/>
      <c r="L592" s="42" t="str">
        <f aca="false">IF($B592="","",IF(AND(N($I592)=0,N($J592)=0),"금액이 없습니다",IF(AND($I592&gt;0,$J592&gt;0),"수입·지출 둘 다 적혔습니다",IF($C592="","결제수단을 고르십시오",IF(ISNA(MATCH($C592,'교육원 ③ 통장·카드'!$A$5:$A$11,0)),"③ 통장·카드에 없는 결제수단입니다",IF($D592="","계정과목을 고르십시오",IF($E592="※없는 과목","④ 설정에 없는 과목입니다",IF(AND($E592="수입",$J592&gt;0),"수입 과목인데 지출에 적혔습니다",IF(AND(LEFT($E592,2)&lt;&gt;"수입",$E592&lt;&gt;"대체",$I592&gt;0),"지출 과목인데 수입에 적혔습니다",IF($K592="","증빙을 고르십시오",IF($H592="","적요를 적으십시오","")))))))))))</f>
        <v/>
      </c>
      <c r="M592" s="39"/>
      <c r="O592" s="11" t="str">
        <f aca="false">IF($B592="","",YEAR($B592)*100+MONTH($B592))</f>
        <v/>
      </c>
      <c r="P592" s="11" t="str">
        <f aca="false">IF($B592="","",IF($E592="대체",0,1))</f>
        <v/>
      </c>
    </row>
    <row r="593" customFormat="false" ht="15" hidden="false" customHeight="false" outlineLevel="0" collapsed="false">
      <c r="A593" s="36" t="str">
        <f aca="false">IF($B593="","",COUNT($B$15:$B593))</f>
        <v/>
      </c>
      <c r="B593" s="37"/>
      <c r="C593" s="38"/>
      <c r="D593" s="20"/>
      <c r="E593" s="36" t="str">
        <f aca="false">IF($D593="","",IFERROR(INDEX('교육원 ④ 설정'!$A$6:$A$40,MATCH($D593,'교육원 ④ 설정'!$B$6:$B$40,0)),"※없는 과목"))</f>
        <v/>
      </c>
      <c r="F593" s="36" t="str">
        <f aca="false">IF($D593="","",IFERROR(INDEX('교육원 ④ 설정'!$C$6:$C$40,MATCH($D593,'교육원 ④ 설정'!$B$6:$B$40,0)),""))</f>
        <v/>
      </c>
      <c r="G593" s="39"/>
      <c r="H593" s="39"/>
      <c r="I593" s="40"/>
      <c r="J593" s="41"/>
      <c r="K593" s="38"/>
      <c r="L593" s="42" t="str">
        <f aca="false">IF($B593="","",IF(AND(N($I593)=0,N($J593)=0),"금액이 없습니다",IF(AND($I593&gt;0,$J593&gt;0),"수입·지출 둘 다 적혔습니다",IF($C593="","결제수단을 고르십시오",IF(ISNA(MATCH($C593,'교육원 ③ 통장·카드'!$A$5:$A$11,0)),"③ 통장·카드에 없는 결제수단입니다",IF($D593="","계정과목을 고르십시오",IF($E593="※없는 과목","④ 설정에 없는 과목입니다",IF(AND($E593="수입",$J593&gt;0),"수입 과목인데 지출에 적혔습니다",IF(AND(LEFT($E593,2)&lt;&gt;"수입",$E593&lt;&gt;"대체",$I593&gt;0),"지출 과목인데 수입에 적혔습니다",IF($K593="","증빙을 고르십시오",IF($H593="","적요를 적으십시오","")))))))))))</f>
        <v/>
      </c>
      <c r="M593" s="39"/>
      <c r="O593" s="11" t="str">
        <f aca="false">IF($B593="","",YEAR($B593)*100+MONTH($B593))</f>
        <v/>
      </c>
      <c r="P593" s="11" t="str">
        <f aca="false">IF($B593="","",IF($E593="대체",0,1))</f>
        <v/>
      </c>
    </row>
    <row r="594" customFormat="false" ht="15" hidden="false" customHeight="false" outlineLevel="0" collapsed="false">
      <c r="A594" s="36" t="str">
        <f aca="false">IF($B594="","",COUNT($B$15:$B594))</f>
        <v/>
      </c>
      <c r="B594" s="37"/>
      <c r="C594" s="38"/>
      <c r="D594" s="20"/>
      <c r="E594" s="36" t="str">
        <f aca="false">IF($D594="","",IFERROR(INDEX('교육원 ④ 설정'!$A$6:$A$40,MATCH($D594,'교육원 ④ 설정'!$B$6:$B$40,0)),"※없는 과목"))</f>
        <v/>
      </c>
      <c r="F594" s="36" t="str">
        <f aca="false">IF($D594="","",IFERROR(INDEX('교육원 ④ 설정'!$C$6:$C$40,MATCH($D594,'교육원 ④ 설정'!$B$6:$B$40,0)),""))</f>
        <v/>
      </c>
      <c r="G594" s="39"/>
      <c r="H594" s="39"/>
      <c r="I594" s="40"/>
      <c r="J594" s="41"/>
      <c r="K594" s="38"/>
      <c r="L594" s="42" t="str">
        <f aca="false">IF($B594="","",IF(AND(N($I594)=0,N($J594)=0),"금액이 없습니다",IF(AND($I594&gt;0,$J594&gt;0),"수입·지출 둘 다 적혔습니다",IF($C594="","결제수단을 고르십시오",IF(ISNA(MATCH($C594,'교육원 ③ 통장·카드'!$A$5:$A$11,0)),"③ 통장·카드에 없는 결제수단입니다",IF($D594="","계정과목을 고르십시오",IF($E594="※없는 과목","④ 설정에 없는 과목입니다",IF(AND($E594="수입",$J594&gt;0),"수입 과목인데 지출에 적혔습니다",IF(AND(LEFT($E594,2)&lt;&gt;"수입",$E594&lt;&gt;"대체",$I594&gt;0),"지출 과목인데 수입에 적혔습니다",IF($K594="","증빙을 고르십시오",IF($H594="","적요를 적으십시오","")))))))))))</f>
        <v/>
      </c>
      <c r="M594" s="39"/>
      <c r="O594" s="11" t="str">
        <f aca="false">IF($B594="","",YEAR($B594)*100+MONTH($B594))</f>
        <v/>
      </c>
      <c r="P594" s="11" t="str">
        <f aca="false">IF($B594="","",IF($E594="대체",0,1))</f>
        <v/>
      </c>
    </row>
    <row r="595" customFormat="false" ht="15" hidden="false" customHeight="false" outlineLevel="0" collapsed="false">
      <c r="A595" s="36" t="str">
        <f aca="false">IF($B595="","",COUNT($B$15:$B595))</f>
        <v/>
      </c>
      <c r="B595" s="37"/>
      <c r="C595" s="38"/>
      <c r="D595" s="20"/>
      <c r="E595" s="36" t="str">
        <f aca="false">IF($D595="","",IFERROR(INDEX('교육원 ④ 설정'!$A$6:$A$40,MATCH($D595,'교육원 ④ 설정'!$B$6:$B$40,0)),"※없는 과목"))</f>
        <v/>
      </c>
      <c r="F595" s="36" t="str">
        <f aca="false">IF($D595="","",IFERROR(INDEX('교육원 ④ 설정'!$C$6:$C$40,MATCH($D595,'교육원 ④ 설정'!$B$6:$B$40,0)),""))</f>
        <v/>
      </c>
      <c r="G595" s="39"/>
      <c r="H595" s="39"/>
      <c r="I595" s="40"/>
      <c r="J595" s="41"/>
      <c r="K595" s="38"/>
      <c r="L595" s="42" t="str">
        <f aca="false">IF($B595="","",IF(AND(N($I595)=0,N($J595)=0),"금액이 없습니다",IF(AND($I595&gt;0,$J595&gt;0),"수입·지출 둘 다 적혔습니다",IF($C595="","결제수단을 고르십시오",IF(ISNA(MATCH($C595,'교육원 ③ 통장·카드'!$A$5:$A$11,0)),"③ 통장·카드에 없는 결제수단입니다",IF($D595="","계정과목을 고르십시오",IF($E595="※없는 과목","④ 설정에 없는 과목입니다",IF(AND($E595="수입",$J595&gt;0),"수입 과목인데 지출에 적혔습니다",IF(AND(LEFT($E595,2)&lt;&gt;"수입",$E595&lt;&gt;"대체",$I595&gt;0),"지출 과목인데 수입에 적혔습니다",IF($K595="","증빙을 고르십시오",IF($H595="","적요를 적으십시오","")))))))))))</f>
        <v/>
      </c>
      <c r="M595" s="39"/>
      <c r="O595" s="11" t="str">
        <f aca="false">IF($B595="","",YEAR($B595)*100+MONTH($B595))</f>
        <v/>
      </c>
      <c r="P595" s="11" t="str">
        <f aca="false">IF($B595="","",IF($E595="대체",0,1))</f>
        <v/>
      </c>
    </row>
    <row r="596" customFormat="false" ht="15" hidden="false" customHeight="false" outlineLevel="0" collapsed="false">
      <c r="A596" s="36" t="str">
        <f aca="false">IF($B596="","",COUNT($B$15:$B596))</f>
        <v/>
      </c>
      <c r="B596" s="37"/>
      <c r="C596" s="38"/>
      <c r="D596" s="20"/>
      <c r="E596" s="36" t="str">
        <f aca="false">IF($D596="","",IFERROR(INDEX('교육원 ④ 설정'!$A$6:$A$40,MATCH($D596,'교육원 ④ 설정'!$B$6:$B$40,0)),"※없는 과목"))</f>
        <v/>
      </c>
      <c r="F596" s="36" t="str">
        <f aca="false">IF($D596="","",IFERROR(INDEX('교육원 ④ 설정'!$C$6:$C$40,MATCH($D596,'교육원 ④ 설정'!$B$6:$B$40,0)),""))</f>
        <v/>
      </c>
      <c r="G596" s="39"/>
      <c r="H596" s="39"/>
      <c r="I596" s="40"/>
      <c r="J596" s="41"/>
      <c r="K596" s="38"/>
      <c r="L596" s="42" t="str">
        <f aca="false">IF($B596="","",IF(AND(N($I596)=0,N($J596)=0),"금액이 없습니다",IF(AND($I596&gt;0,$J596&gt;0),"수입·지출 둘 다 적혔습니다",IF($C596="","결제수단을 고르십시오",IF(ISNA(MATCH($C596,'교육원 ③ 통장·카드'!$A$5:$A$11,0)),"③ 통장·카드에 없는 결제수단입니다",IF($D596="","계정과목을 고르십시오",IF($E596="※없는 과목","④ 설정에 없는 과목입니다",IF(AND($E596="수입",$J596&gt;0),"수입 과목인데 지출에 적혔습니다",IF(AND(LEFT($E596,2)&lt;&gt;"수입",$E596&lt;&gt;"대체",$I596&gt;0),"지출 과목인데 수입에 적혔습니다",IF($K596="","증빙을 고르십시오",IF($H596="","적요를 적으십시오","")))))))))))</f>
        <v/>
      </c>
      <c r="M596" s="39"/>
      <c r="O596" s="11" t="str">
        <f aca="false">IF($B596="","",YEAR($B596)*100+MONTH($B596))</f>
        <v/>
      </c>
      <c r="P596" s="11" t="str">
        <f aca="false">IF($B596="","",IF($E596="대체",0,1))</f>
        <v/>
      </c>
    </row>
    <row r="597" customFormat="false" ht="15" hidden="false" customHeight="false" outlineLevel="0" collapsed="false">
      <c r="A597" s="36" t="str">
        <f aca="false">IF($B597="","",COUNT($B$15:$B597))</f>
        <v/>
      </c>
      <c r="B597" s="37"/>
      <c r="C597" s="38"/>
      <c r="D597" s="20"/>
      <c r="E597" s="36" t="str">
        <f aca="false">IF($D597="","",IFERROR(INDEX('교육원 ④ 설정'!$A$6:$A$40,MATCH($D597,'교육원 ④ 설정'!$B$6:$B$40,0)),"※없는 과목"))</f>
        <v/>
      </c>
      <c r="F597" s="36" t="str">
        <f aca="false">IF($D597="","",IFERROR(INDEX('교육원 ④ 설정'!$C$6:$C$40,MATCH($D597,'교육원 ④ 설정'!$B$6:$B$40,0)),""))</f>
        <v/>
      </c>
      <c r="G597" s="39"/>
      <c r="H597" s="39"/>
      <c r="I597" s="40"/>
      <c r="J597" s="41"/>
      <c r="K597" s="38"/>
      <c r="L597" s="42" t="str">
        <f aca="false">IF($B597="","",IF(AND(N($I597)=0,N($J597)=0),"금액이 없습니다",IF(AND($I597&gt;0,$J597&gt;0),"수입·지출 둘 다 적혔습니다",IF($C597="","결제수단을 고르십시오",IF(ISNA(MATCH($C597,'교육원 ③ 통장·카드'!$A$5:$A$11,0)),"③ 통장·카드에 없는 결제수단입니다",IF($D597="","계정과목을 고르십시오",IF($E597="※없는 과목","④ 설정에 없는 과목입니다",IF(AND($E597="수입",$J597&gt;0),"수입 과목인데 지출에 적혔습니다",IF(AND(LEFT($E597,2)&lt;&gt;"수입",$E597&lt;&gt;"대체",$I597&gt;0),"지출 과목인데 수입에 적혔습니다",IF($K597="","증빙을 고르십시오",IF($H597="","적요를 적으십시오","")))))))))))</f>
        <v/>
      </c>
      <c r="M597" s="39"/>
      <c r="O597" s="11" t="str">
        <f aca="false">IF($B597="","",YEAR($B597)*100+MONTH($B597))</f>
        <v/>
      </c>
      <c r="P597" s="11" t="str">
        <f aca="false">IF($B597="","",IF($E597="대체",0,1))</f>
        <v/>
      </c>
    </row>
    <row r="598" customFormat="false" ht="15" hidden="false" customHeight="false" outlineLevel="0" collapsed="false">
      <c r="A598" s="36" t="str">
        <f aca="false">IF($B598="","",COUNT($B$15:$B598))</f>
        <v/>
      </c>
      <c r="B598" s="37"/>
      <c r="C598" s="38"/>
      <c r="D598" s="20"/>
      <c r="E598" s="36" t="str">
        <f aca="false">IF($D598="","",IFERROR(INDEX('교육원 ④ 설정'!$A$6:$A$40,MATCH($D598,'교육원 ④ 설정'!$B$6:$B$40,0)),"※없는 과목"))</f>
        <v/>
      </c>
      <c r="F598" s="36" t="str">
        <f aca="false">IF($D598="","",IFERROR(INDEX('교육원 ④ 설정'!$C$6:$C$40,MATCH($D598,'교육원 ④ 설정'!$B$6:$B$40,0)),""))</f>
        <v/>
      </c>
      <c r="G598" s="39"/>
      <c r="H598" s="39"/>
      <c r="I598" s="40"/>
      <c r="J598" s="41"/>
      <c r="K598" s="38"/>
      <c r="L598" s="42" t="str">
        <f aca="false">IF($B598="","",IF(AND(N($I598)=0,N($J598)=0),"금액이 없습니다",IF(AND($I598&gt;0,$J598&gt;0),"수입·지출 둘 다 적혔습니다",IF($C598="","결제수단을 고르십시오",IF(ISNA(MATCH($C598,'교육원 ③ 통장·카드'!$A$5:$A$11,0)),"③ 통장·카드에 없는 결제수단입니다",IF($D598="","계정과목을 고르십시오",IF($E598="※없는 과목","④ 설정에 없는 과목입니다",IF(AND($E598="수입",$J598&gt;0),"수입 과목인데 지출에 적혔습니다",IF(AND(LEFT($E598,2)&lt;&gt;"수입",$E598&lt;&gt;"대체",$I598&gt;0),"지출 과목인데 수입에 적혔습니다",IF($K598="","증빙을 고르십시오",IF($H598="","적요를 적으십시오","")))))))))))</f>
        <v/>
      </c>
      <c r="M598" s="39"/>
      <c r="O598" s="11" t="str">
        <f aca="false">IF($B598="","",YEAR($B598)*100+MONTH($B598))</f>
        <v/>
      </c>
      <c r="P598" s="11" t="str">
        <f aca="false">IF($B598="","",IF($E598="대체",0,1))</f>
        <v/>
      </c>
    </row>
    <row r="599" customFormat="false" ht="15" hidden="false" customHeight="false" outlineLevel="0" collapsed="false">
      <c r="A599" s="36" t="str">
        <f aca="false">IF($B599="","",COUNT($B$15:$B599))</f>
        <v/>
      </c>
      <c r="B599" s="37"/>
      <c r="C599" s="38"/>
      <c r="D599" s="20"/>
      <c r="E599" s="36" t="str">
        <f aca="false">IF($D599="","",IFERROR(INDEX('교육원 ④ 설정'!$A$6:$A$40,MATCH($D599,'교육원 ④ 설정'!$B$6:$B$40,0)),"※없는 과목"))</f>
        <v/>
      </c>
      <c r="F599" s="36" t="str">
        <f aca="false">IF($D599="","",IFERROR(INDEX('교육원 ④ 설정'!$C$6:$C$40,MATCH($D599,'교육원 ④ 설정'!$B$6:$B$40,0)),""))</f>
        <v/>
      </c>
      <c r="G599" s="39"/>
      <c r="H599" s="39"/>
      <c r="I599" s="40"/>
      <c r="J599" s="41"/>
      <c r="K599" s="38"/>
      <c r="L599" s="42" t="str">
        <f aca="false">IF($B599="","",IF(AND(N($I599)=0,N($J599)=0),"금액이 없습니다",IF(AND($I599&gt;0,$J599&gt;0),"수입·지출 둘 다 적혔습니다",IF($C599="","결제수단을 고르십시오",IF(ISNA(MATCH($C599,'교육원 ③ 통장·카드'!$A$5:$A$11,0)),"③ 통장·카드에 없는 결제수단입니다",IF($D599="","계정과목을 고르십시오",IF($E599="※없는 과목","④ 설정에 없는 과목입니다",IF(AND($E599="수입",$J599&gt;0),"수입 과목인데 지출에 적혔습니다",IF(AND(LEFT($E599,2)&lt;&gt;"수입",$E599&lt;&gt;"대체",$I599&gt;0),"지출 과목인데 수입에 적혔습니다",IF($K599="","증빙을 고르십시오",IF($H599="","적요를 적으십시오","")))))))))))</f>
        <v/>
      </c>
      <c r="M599" s="39"/>
      <c r="O599" s="11" t="str">
        <f aca="false">IF($B599="","",YEAR($B599)*100+MONTH($B599))</f>
        <v/>
      </c>
      <c r="P599" s="11" t="str">
        <f aca="false">IF($B599="","",IF($E599="대체",0,1))</f>
        <v/>
      </c>
    </row>
    <row r="600" customFormat="false" ht="15" hidden="false" customHeight="false" outlineLevel="0" collapsed="false">
      <c r="A600" s="36" t="str">
        <f aca="false">IF($B600="","",COUNT($B$15:$B600))</f>
        <v/>
      </c>
      <c r="B600" s="37"/>
      <c r="C600" s="38"/>
      <c r="D600" s="20"/>
      <c r="E600" s="36" t="str">
        <f aca="false">IF($D600="","",IFERROR(INDEX('교육원 ④ 설정'!$A$6:$A$40,MATCH($D600,'교육원 ④ 설정'!$B$6:$B$40,0)),"※없는 과목"))</f>
        <v/>
      </c>
      <c r="F600" s="36" t="str">
        <f aca="false">IF($D600="","",IFERROR(INDEX('교육원 ④ 설정'!$C$6:$C$40,MATCH($D600,'교육원 ④ 설정'!$B$6:$B$40,0)),""))</f>
        <v/>
      </c>
      <c r="G600" s="39"/>
      <c r="H600" s="39"/>
      <c r="I600" s="40"/>
      <c r="J600" s="41"/>
      <c r="K600" s="38"/>
      <c r="L600" s="42" t="str">
        <f aca="false">IF($B600="","",IF(AND(N($I600)=0,N($J600)=0),"금액이 없습니다",IF(AND($I600&gt;0,$J600&gt;0),"수입·지출 둘 다 적혔습니다",IF($C600="","결제수단을 고르십시오",IF(ISNA(MATCH($C600,'교육원 ③ 통장·카드'!$A$5:$A$11,0)),"③ 통장·카드에 없는 결제수단입니다",IF($D600="","계정과목을 고르십시오",IF($E600="※없는 과목","④ 설정에 없는 과목입니다",IF(AND($E600="수입",$J600&gt;0),"수입 과목인데 지출에 적혔습니다",IF(AND(LEFT($E600,2)&lt;&gt;"수입",$E600&lt;&gt;"대체",$I600&gt;0),"지출 과목인데 수입에 적혔습니다",IF($K600="","증빙을 고르십시오",IF($H600="","적요를 적으십시오","")))))))))))</f>
        <v/>
      </c>
      <c r="M600" s="39"/>
      <c r="O600" s="11" t="str">
        <f aca="false">IF($B600="","",YEAR($B600)*100+MONTH($B600))</f>
        <v/>
      </c>
      <c r="P600" s="11" t="str">
        <f aca="false">IF($B600="","",IF($E600="대체",0,1))</f>
        <v/>
      </c>
    </row>
    <row r="601" customFormat="false" ht="15" hidden="false" customHeight="false" outlineLevel="0" collapsed="false">
      <c r="A601" s="36" t="str">
        <f aca="false">IF($B601="","",COUNT($B$15:$B601))</f>
        <v/>
      </c>
      <c r="B601" s="37"/>
      <c r="C601" s="38"/>
      <c r="D601" s="20"/>
      <c r="E601" s="36" t="str">
        <f aca="false">IF($D601="","",IFERROR(INDEX('교육원 ④ 설정'!$A$6:$A$40,MATCH($D601,'교육원 ④ 설정'!$B$6:$B$40,0)),"※없는 과목"))</f>
        <v/>
      </c>
      <c r="F601" s="36" t="str">
        <f aca="false">IF($D601="","",IFERROR(INDEX('교육원 ④ 설정'!$C$6:$C$40,MATCH($D601,'교육원 ④ 설정'!$B$6:$B$40,0)),""))</f>
        <v/>
      </c>
      <c r="G601" s="39"/>
      <c r="H601" s="39"/>
      <c r="I601" s="40"/>
      <c r="J601" s="41"/>
      <c r="K601" s="38"/>
      <c r="L601" s="42" t="str">
        <f aca="false">IF($B601="","",IF(AND(N($I601)=0,N($J601)=0),"금액이 없습니다",IF(AND($I601&gt;0,$J601&gt;0),"수입·지출 둘 다 적혔습니다",IF($C601="","결제수단을 고르십시오",IF(ISNA(MATCH($C601,'교육원 ③ 통장·카드'!$A$5:$A$11,0)),"③ 통장·카드에 없는 결제수단입니다",IF($D601="","계정과목을 고르십시오",IF($E601="※없는 과목","④ 설정에 없는 과목입니다",IF(AND($E601="수입",$J601&gt;0),"수입 과목인데 지출에 적혔습니다",IF(AND(LEFT($E601,2)&lt;&gt;"수입",$E601&lt;&gt;"대체",$I601&gt;0),"지출 과목인데 수입에 적혔습니다",IF($K601="","증빙을 고르십시오",IF($H601="","적요를 적으십시오","")))))))))))</f>
        <v/>
      </c>
      <c r="M601" s="39"/>
      <c r="O601" s="11" t="str">
        <f aca="false">IF($B601="","",YEAR($B601)*100+MONTH($B601))</f>
        <v/>
      </c>
      <c r="P601" s="11" t="str">
        <f aca="false">IF($B601="","",IF($E601="대체",0,1))</f>
        <v/>
      </c>
    </row>
    <row r="602" customFormat="false" ht="15" hidden="false" customHeight="false" outlineLevel="0" collapsed="false">
      <c r="A602" s="36" t="str">
        <f aca="false">IF($B602="","",COUNT($B$15:$B602))</f>
        <v/>
      </c>
      <c r="B602" s="37"/>
      <c r="C602" s="38"/>
      <c r="D602" s="20"/>
      <c r="E602" s="36" t="str">
        <f aca="false">IF($D602="","",IFERROR(INDEX('교육원 ④ 설정'!$A$6:$A$40,MATCH($D602,'교육원 ④ 설정'!$B$6:$B$40,0)),"※없는 과목"))</f>
        <v/>
      </c>
      <c r="F602" s="36" t="str">
        <f aca="false">IF($D602="","",IFERROR(INDEX('교육원 ④ 설정'!$C$6:$C$40,MATCH($D602,'교육원 ④ 설정'!$B$6:$B$40,0)),""))</f>
        <v/>
      </c>
      <c r="G602" s="39"/>
      <c r="H602" s="39"/>
      <c r="I602" s="40"/>
      <c r="J602" s="41"/>
      <c r="K602" s="38"/>
      <c r="L602" s="42" t="str">
        <f aca="false">IF($B602="","",IF(AND(N($I602)=0,N($J602)=0),"금액이 없습니다",IF(AND($I602&gt;0,$J602&gt;0),"수입·지출 둘 다 적혔습니다",IF($C602="","결제수단을 고르십시오",IF(ISNA(MATCH($C602,'교육원 ③ 통장·카드'!$A$5:$A$11,0)),"③ 통장·카드에 없는 결제수단입니다",IF($D602="","계정과목을 고르십시오",IF($E602="※없는 과목","④ 설정에 없는 과목입니다",IF(AND($E602="수입",$J602&gt;0),"수입 과목인데 지출에 적혔습니다",IF(AND(LEFT($E602,2)&lt;&gt;"수입",$E602&lt;&gt;"대체",$I602&gt;0),"지출 과목인데 수입에 적혔습니다",IF($K602="","증빙을 고르십시오",IF($H602="","적요를 적으십시오","")))))))))))</f>
        <v/>
      </c>
      <c r="M602" s="39"/>
      <c r="O602" s="11" t="str">
        <f aca="false">IF($B602="","",YEAR($B602)*100+MONTH($B602))</f>
        <v/>
      </c>
      <c r="P602" s="11" t="str">
        <f aca="false">IF($B602="","",IF($E602="대체",0,1))</f>
        <v/>
      </c>
    </row>
    <row r="603" customFormat="false" ht="15" hidden="false" customHeight="false" outlineLevel="0" collapsed="false">
      <c r="A603" s="36" t="str">
        <f aca="false">IF($B603="","",COUNT($B$15:$B603))</f>
        <v/>
      </c>
      <c r="B603" s="37"/>
      <c r="C603" s="38"/>
      <c r="D603" s="20"/>
      <c r="E603" s="36" t="str">
        <f aca="false">IF($D603="","",IFERROR(INDEX('교육원 ④ 설정'!$A$6:$A$40,MATCH($D603,'교육원 ④ 설정'!$B$6:$B$40,0)),"※없는 과목"))</f>
        <v/>
      </c>
      <c r="F603" s="36" t="str">
        <f aca="false">IF($D603="","",IFERROR(INDEX('교육원 ④ 설정'!$C$6:$C$40,MATCH($D603,'교육원 ④ 설정'!$B$6:$B$40,0)),""))</f>
        <v/>
      </c>
      <c r="G603" s="39"/>
      <c r="H603" s="39"/>
      <c r="I603" s="40"/>
      <c r="J603" s="41"/>
      <c r="K603" s="38"/>
      <c r="L603" s="42" t="str">
        <f aca="false">IF($B603="","",IF(AND(N($I603)=0,N($J603)=0),"금액이 없습니다",IF(AND($I603&gt;0,$J603&gt;0),"수입·지출 둘 다 적혔습니다",IF($C603="","결제수단을 고르십시오",IF(ISNA(MATCH($C603,'교육원 ③ 통장·카드'!$A$5:$A$11,0)),"③ 통장·카드에 없는 결제수단입니다",IF($D603="","계정과목을 고르십시오",IF($E603="※없는 과목","④ 설정에 없는 과목입니다",IF(AND($E603="수입",$J603&gt;0),"수입 과목인데 지출에 적혔습니다",IF(AND(LEFT($E603,2)&lt;&gt;"수입",$E603&lt;&gt;"대체",$I603&gt;0),"지출 과목인데 수입에 적혔습니다",IF($K603="","증빙을 고르십시오",IF($H603="","적요를 적으십시오","")))))))))))</f>
        <v/>
      </c>
      <c r="M603" s="39"/>
      <c r="O603" s="11" t="str">
        <f aca="false">IF($B603="","",YEAR($B603)*100+MONTH($B603))</f>
        <v/>
      </c>
      <c r="P603" s="11" t="str">
        <f aca="false">IF($B603="","",IF($E603="대체",0,1))</f>
        <v/>
      </c>
    </row>
    <row r="604" customFormat="false" ht="15" hidden="false" customHeight="false" outlineLevel="0" collapsed="false">
      <c r="A604" s="36" t="str">
        <f aca="false">IF($B604="","",COUNT($B$15:$B604))</f>
        <v/>
      </c>
      <c r="B604" s="37"/>
      <c r="C604" s="38"/>
      <c r="D604" s="20"/>
      <c r="E604" s="36" t="str">
        <f aca="false">IF($D604="","",IFERROR(INDEX('교육원 ④ 설정'!$A$6:$A$40,MATCH($D604,'교육원 ④ 설정'!$B$6:$B$40,0)),"※없는 과목"))</f>
        <v/>
      </c>
      <c r="F604" s="36" t="str">
        <f aca="false">IF($D604="","",IFERROR(INDEX('교육원 ④ 설정'!$C$6:$C$40,MATCH($D604,'교육원 ④ 설정'!$B$6:$B$40,0)),""))</f>
        <v/>
      </c>
      <c r="G604" s="39"/>
      <c r="H604" s="39"/>
      <c r="I604" s="40"/>
      <c r="J604" s="41"/>
      <c r="K604" s="38"/>
      <c r="L604" s="42" t="str">
        <f aca="false">IF($B604="","",IF(AND(N($I604)=0,N($J604)=0),"금액이 없습니다",IF(AND($I604&gt;0,$J604&gt;0),"수입·지출 둘 다 적혔습니다",IF($C604="","결제수단을 고르십시오",IF(ISNA(MATCH($C604,'교육원 ③ 통장·카드'!$A$5:$A$11,0)),"③ 통장·카드에 없는 결제수단입니다",IF($D604="","계정과목을 고르십시오",IF($E604="※없는 과목","④ 설정에 없는 과목입니다",IF(AND($E604="수입",$J604&gt;0),"수입 과목인데 지출에 적혔습니다",IF(AND(LEFT($E604,2)&lt;&gt;"수입",$E604&lt;&gt;"대체",$I604&gt;0),"지출 과목인데 수입에 적혔습니다",IF($K604="","증빙을 고르십시오",IF($H604="","적요를 적으십시오","")))))))))))</f>
        <v/>
      </c>
      <c r="M604" s="39"/>
      <c r="O604" s="11" t="str">
        <f aca="false">IF($B604="","",YEAR($B604)*100+MONTH($B604))</f>
        <v/>
      </c>
      <c r="P604" s="11" t="str">
        <f aca="false">IF($B604="","",IF($E604="대체",0,1))</f>
        <v/>
      </c>
    </row>
    <row r="605" customFormat="false" ht="15" hidden="false" customHeight="false" outlineLevel="0" collapsed="false">
      <c r="A605" s="36" t="str">
        <f aca="false">IF($B605="","",COUNT($B$15:$B605))</f>
        <v/>
      </c>
      <c r="B605" s="37"/>
      <c r="C605" s="38"/>
      <c r="D605" s="20"/>
      <c r="E605" s="36" t="str">
        <f aca="false">IF($D605="","",IFERROR(INDEX('교육원 ④ 설정'!$A$6:$A$40,MATCH($D605,'교육원 ④ 설정'!$B$6:$B$40,0)),"※없는 과목"))</f>
        <v/>
      </c>
      <c r="F605" s="36" t="str">
        <f aca="false">IF($D605="","",IFERROR(INDEX('교육원 ④ 설정'!$C$6:$C$40,MATCH($D605,'교육원 ④ 설정'!$B$6:$B$40,0)),""))</f>
        <v/>
      </c>
      <c r="G605" s="39"/>
      <c r="H605" s="39"/>
      <c r="I605" s="40"/>
      <c r="J605" s="41"/>
      <c r="K605" s="38"/>
      <c r="L605" s="42" t="str">
        <f aca="false">IF($B605="","",IF(AND(N($I605)=0,N($J605)=0),"금액이 없습니다",IF(AND($I605&gt;0,$J605&gt;0),"수입·지출 둘 다 적혔습니다",IF($C605="","결제수단을 고르십시오",IF(ISNA(MATCH($C605,'교육원 ③ 통장·카드'!$A$5:$A$11,0)),"③ 통장·카드에 없는 결제수단입니다",IF($D605="","계정과목을 고르십시오",IF($E605="※없는 과목","④ 설정에 없는 과목입니다",IF(AND($E605="수입",$J605&gt;0),"수입 과목인데 지출에 적혔습니다",IF(AND(LEFT($E605,2)&lt;&gt;"수입",$E605&lt;&gt;"대체",$I605&gt;0),"지출 과목인데 수입에 적혔습니다",IF($K605="","증빙을 고르십시오",IF($H605="","적요를 적으십시오","")))))))))))</f>
        <v/>
      </c>
      <c r="M605" s="39"/>
      <c r="O605" s="11" t="str">
        <f aca="false">IF($B605="","",YEAR($B605)*100+MONTH($B605))</f>
        <v/>
      </c>
      <c r="P605" s="11" t="str">
        <f aca="false">IF($B605="","",IF($E605="대체",0,1))</f>
        <v/>
      </c>
    </row>
    <row r="606" customFormat="false" ht="15" hidden="false" customHeight="false" outlineLevel="0" collapsed="false">
      <c r="A606" s="36" t="str">
        <f aca="false">IF($B606="","",COUNT($B$15:$B606))</f>
        <v/>
      </c>
      <c r="B606" s="37"/>
      <c r="C606" s="38"/>
      <c r="D606" s="20"/>
      <c r="E606" s="36" t="str">
        <f aca="false">IF($D606="","",IFERROR(INDEX('교육원 ④ 설정'!$A$6:$A$40,MATCH($D606,'교육원 ④ 설정'!$B$6:$B$40,0)),"※없는 과목"))</f>
        <v/>
      </c>
      <c r="F606" s="36" t="str">
        <f aca="false">IF($D606="","",IFERROR(INDEX('교육원 ④ 설정'!$C$6:$C$40,MATCH($D606,'교육원 ④ 설정'!$B$6:$B$40,0)),""))</f>
        <v/>
      </c>
      <c r="G606" s="39"/>
      <c r="H606" s="39"/>
      <c r="I606" s="40"/>
      <c r="J606" s="41"/>
      <c r="K606" s="38"/>
      <c r="L606" s="42" t="str">
        <f aca="false">IF($B606="","",IF(AND(N($I606)=0,N($J606)=0),"금액이 없습니다",IF(AND($I606&gt;0,$J606&gt;0),"수입·지출 둘 다 적혔습니다",IF($C606="","결제수단을 고르십시오",IF(ISNA(MATCH($C606,'교육원 ③ 통장·카드'!$A$5:$A$11,0)),"③ 통장·카드에 없는 결제수단입니다",IF($D606="","계정과목을 고르십시오",IF($E606="※없는 과목","④ 설정에 없는 과목입니다",IF(AND($E606="수입",$J606&gt;0),"수입 과목인데 지출에 적혔습니다",IF(AND(LEFT($E606,2)&lt;&gt;"수입",$E606&lt;&gt;"대체",$I606&gt;0),"지출 과목인데 수입에 적혔습니다",IF($K606="","증빙을 고르십시오",IF($H606="","적요를 적으십시오","")))))))))))</f>
        <v/>
      </c>
      <c r="M606" s="39"/>
      <c r="O606" s="11" t="str">
        <f aca="false">IF($B606="","",YEAR($B606)*100+MONTH($B606))</f>
        <v/>
      </c>
      <c r="P606" s="11" t="str">
        <f aca="false">IF($B606="","",IF($E606="대체",0,1))</f>
        <v/>
      </c>
    </row>
    <row r="607" customFormat="false" ht="15" hidden="false" customHeight="false" outlineLevel="0" collapsed="false">
      <c r="A607" s="36" t="str">
        <f aca="false">IF($B607="","",COUNT($B$15:$B607))</f>
        <v/>
      </c>
      <c r="B607" s="37"/>
      <c r="C607" s="38"/>
      <c r="D607" s="20"/>
      <c r="E607" s="36" t="str">
        <f aca="false">IF($D607="","",IFERROR(INDEX('교육원 ④ 설정'!$A$6:$A$40,MATCH($D607,'교육원 ④ 설정'!$B$6:$B$40,0)),"※없는 과목"))</f>
        <v/>
      </c>
      <c r="F607" s="36" t="str">
        <f aca="false">IF($D607="","",IFERROR(INDEX('교육원 ④ 설정'!$C$6:$C$40,MATCH($D607,'교육원 ④ 설정'!$B$6:$B$40,0)),""))</f>
        <v/>
      </c>
      <c r="G607" s="39"/>
      <c r="H607" s="39"/>
      <c r="I607" s="40"/>
      <c r="J607" s="41"/>
      <c r="K607" s="38"/>
      <c r="L607" s="42" t="str">
        <f aca="false">IF($B607="","",IF(AND(N($I607)=0,N($J607)=0),"금액이 없습니다",IF(AND($I607&gt;0,$J607&gt;0),"수입·지출 둘 다 적혔습니다",IF($C607="","결제수단을 고르십시오",IF(ISNA(MATCH($C607,'교육원 ③ 통장·카드'!$A$5:$A$11,0)),"③ 통장·카드에 없는 결제수단입니다",IF($D607="","계정과목을 고르십시오",IF($E607="※없는 과목","④ 설정에 없는 과목입니다",IF(AND($E607="수입",$J607&gt;0),"수입 과목인데 지출에 적혔습니다",IF(AND(LEFT($E607,2)&lt;&gt;"수입",$E607&lt;&gt;"대체",$I607&gt;0),"지출 과목인데 수입에 적혔습니다",IF($K607="","증빙을 고르십시오",IF($H607="","적요를 적으십시오","")))))))))))</f>
        <v/>
      </c>
      <c r="M607" s="39"/>
      <c r="O607" s="11" t="str">
        <f aca="false">IF($B607="","",YEAR($B607)*100+MONTH($B607))</f>
        <v/>
      </c>
      <c r="P607" s="11" t="str">
        <f aca="false">IF($B607="","",IF($E607="대체",0,1))</f>
        <v/>
      </c>
    </row>
    <row r="608" customFormat="false" ht="15" hidden="false" customHeight="false" outlineLevel="0" collapsed="false">
      <c r="A608" s="36" t="str">
        <f aca="false">IF($B608="","",COUNT($B$15:$B608))</f>
        <v/>
      </c>
      <c r="B608" s="37"/>
      <c r="C608" s="38"/>
      <c r="D608" s="20"/>
      <c r="E608" s="36" t="str">
        <f aca="false">IF($D608="","",IFERROR(INDEX('교육원 ④ 설정'!$A$6:$A$40,MATCH($D608,'교육원 ④ 설정'!$B$6:$B$40,0)),"※없는 과목"))</f>
        <v/>
      </c>
      <c r="F608" s="36" t="str">
        <f aca="false">IF($D608="","",IFERROR(INDEX('교육원 ④ 설정'!$C$6:$C$40,MATCH($D608,'교육원 ④ 설정'!$B$6:$B$40,0)),""))</f>
        <v/>
      </c>
      <c r="G608" s="39"/>
      <c r="H608" s="39"/>
      <c r="I608" s="40"/>
      <c r="J608" s="41"/>
      <c r="K608" s="38"/>
      <c r="L608" s="42" t="str">
        <f aca="false">IF($B608="","",IF(AND(N($I608)=0,N($J608)=0),"금액이 없습니다",IF(AND($I608&gt;0,$J608&gt;0),"수입·지출 둘 다 적혔습니다",IF($C608="","결제수단을 고르십시오",IF(ISNA(MATCH($C608,'교육원 ③ 통장·카드'!$A$5:$A$11,0)),"③ 통장·카드에 없는 결제수단입니다",IF($D608="","계정과목을 고르십시오",IF($E608="※없는 과목","④ 설정에 없는 과목입니다",IF(AND($E608="수입",$J608&gt;0),"수입 과목인데 지출에 적혔습니다",IF(AND(LEFT($E608,2)&lt;&gt;"수입",$E608&lt;&gt;"대체",$I608&gt;0),"지출 과목인데 수입에 적혔습니다",IF($K608="","증빙을 고르십시오",IF($H608="","적요를 적으십시오","")))))))))))</f>
        <v/>
      </c>
      <c r="M608" s="39"/>
      <c r="O608" s="11" t="str">
        <f aca="false">IF($B608="","",YEAR($B608)*100+MONTH($B608))</f>
        <v/>
      </c>
      <c r="P608" s="11" t="str">
        <f aca="false">IF($B608="","",IF($E608="대체",0,1))</f>
        <v/>
      </c>
    </row>
    <row r="609" customFormat="false" ht="15" hidden="false" customHeight="false" outlineLevel="0" collapsed="false">
      <c r="A609" s="36" t="str">
        <f aca="false">IF($B609="","",COUNT($B$15:$B609))</f>
        <v/>
      </c>
      <c r="B609" s="37"/>
      <c r="C609" s="38"/>
      <c r="D609" s="20"/>
      <c r="E609" s="36" t="str">
        <f aca="false">IF($D609="","",IFERROR(INDEX('교육원 ④ 설정'!$A$6:$A$40,MATCH($D609,'교육원 ④ 설정'!$B$6:$B$40,0)),"※없는 과목"))</f>
        <v/>
      </c>
      <c r="F609" s="36" t="str">
        <f aca="false">IF($D609="","",IFERROR(INDEX('교육원 ④ 설정'!$C$6:$C$40,MATCH($D609,'교육원 ④ 설정'!$B$6:$B$40,0)),""))</f>
        <v/>
      </c>
      <c r="G609" s="39"/>
      <c r="H609" s="39"/>
      <c r="I609" s="40"/>
      <c r="J609" s="41"/>
      <c r="K609" s="38"/>
      <c r="L609" s="42" t="str">
        <f aca="false">IF($B609="","",IF(AND(N($I609)=0,N($J609)=0),"금액이 없습니다",IF(AND($I609&gt;0,$J609&gt;0),"수입·지출 둘 다 적혔습니다",IF($C609="","결제수단을 고르십시오",IF(ISNA(MATCH($C609,'교육원 ③ 통장·카드'!$A$5:$A$11,0)),"③ 통장·카드에 없는 결제수단입니다",IF($D609="","계정과목을 고르십시오",IF($E609="※없는 과목","④ 설정에 없는 과목입니다",IF(AND($E609="수입",$J609&gt;0),"수입 과목인데 지출에 적혔습니다",IF(AND(LEFT($E609,2)&lt;&gt;"수입",$E609&lt;&gt;"대체",$I609&gt;0),"지출 과목인데 수입에 적혔습니다",IF($K609="","증빙을 고르십시오",IF($H609="","적요를 적으십시오","")))))))))))</f>
        <v/>
      </c>
      <c r="M609" s="39"/>
      <c r="O609" s="11" t="str">
        <f aca="false">IF($B609="","",YEAR($B609)*100+MONTH($B609))</f>
        <v/>
      </c>
      <c r="P609" s="11" t="str">
        <f aca="false">IF($B609="","",IF($E609="대체",0,1))</f>
        <v/>
      </c>
    </row>
    <row r="610" customFormat="false" ht="15" hidden="false" customHeight="false" outlineLevel="0" collapsed="false">
      <c r="A610" s="36" t="str">
        <f aca="false">IF($B610="","",COUNT($B$15:$B610))</f>
        <v/>
      </c>
      <c r="B610" s="37"/>
      <c r="C610" s="38"/>
      <c r="D610" s="20"/>
      <c r="E610" s="36" t="str">
        <f aca="false">IF($D610="","",IFERROR(INDEX('교육원 ④ 설정'!$A$6:$A$40,MATCH($D610,'교육원 ④ 설정'!$B$6:$B$40,0)),"※없는 과목"))</f>
        <v/>
      </c>
      <c r="F610" s="36" t="str">
        <f aca="false">IF($D610="","",IFERROR(INDEX('교육원 ④ 설정'!$C$6:$C$40,MATCH($D610,'교육원 ④ 설정'!$B$6:$B$40,0)),""))</f>
        <v/>
      </c>
      <c r="G610" s="39"/>
      <c r="H610" s="39"/>
      <c r="I610" s="40"/>
      <c r="J610" s="41"/>
      <c r="K610" s="38"/>
      <c r="L610" s="42" t="str">
        <f aca="false">IF($B610="","",IF(AND(N($I610)=0,N($J610)=0),"금액이 없습니다",IF(AND($I610&gt;0,$J610&gt;0),"수입·지출 둘 다 적혔습니다",IF($C610="","결제수단을 고르십시오",IF(ISNA(MATCH($C610,'교육원 ③ 통장·카드'!$A$5:$A$11,0)),"③ 통장·카드에 없는 결제수단입니다",IF($D610="","계정과목을 고르십시오",IF($E610="※없는 과목","④ 설정에 없는 과목입니다",IF(AND($E610="수입",$J610&gt;0),"수입 과목인데 지출에 적혔습니다",IF(AND(LEFT($E610,2)&lt;&gt;"수입",$E610&lt;&gt;"대체",$I610&gt;0),"지출 과목인데 수입에 적혔습니다",IF($K610="","증빙을 고르십시오",IF($H610="","적요를 적으십시오","")))))))))))</f>
        <v/>
      </c>
      <c r="M610" s="39"/>
      <c r="O610" s="11" t="str">
        <f aca="false">IF($B610="","",YEAR($B610)*100+MONTH($B610))</f>
        <v/>
      </c>
      <c r="P610" s="11" t="str">
        <f aca="false">IF($B610="","",IF($E610="대체",0,1))</f>
        <v/>
      </c>
    </row>
    <row r="611" customFormat="false" ht="15" hidden="false" customHeight="false" outlineLevel="0" collapsed="false">
      <c r="A611" s="36" t="str">
        <f aca="false">IF($B611="","",COUNT($B$15:$B611))</f>
        <v/>
      </c>
      <c r="B611" s="37"/>
      <c r="C611" s="38"/>
      <c r="D611" s="20"/>
      <c r="E611" s="36" t="str">
        <f aca="false">IF($D611="","",IFERROR(INDEX('교육원 ④ 설정'!$A$6:$A$40,MATCH($D611,'교육원 ④ 설정'!$B$6:$B$40,0)),"※없는 과목"))</f>
        <v/>
      </c>
      <c r="F611" s="36" t="str">
        <f aca="false">IF($D611="","",IFERROR(INDEX('교육원 ④ 설정'!$C$6:$C$40,MATCH($D611,'교육원 ④ 설정'!$B$6:$B$40,0)),""))</f>
        <v/>
      </c>
      <c r="G611" s="39"/>
      <c r="H611" s="39"/>
      <c r="I611" s="40"/>
      <c r="J611" s="41"/>
      <c r="K611" s="38"/>
      <c r="L611" s="42" t="str">
        <f aca="false">IF($B611="","",IF(AND(N($I611)=0,N($J611)=0),"금액이 없습니다",IF(AND($I611&gt;0,$J611&gt;0),"수입·지출 둘 다 적혔습니다",IF($C611="","결제수단을 고르십시오",IF(ISNA(MATCH($C611,'교육원 ③ 통장·카드'!$A$5:$A$11,0)),"③ 통장·카드에 없는 결제수단입니다",IF($D611="","계정과목을 고르십시오",IF($E611="※없는 과목","④ 설정에 없는 과목입니다",IF(AND($E611="수입",$J611&gt;0),"수입 과목인데 지출에 적혔습니다",IF(AND(LEFT($E611,2)&lt;&gt;"수입",$E611&lt;&gt;"대체",$I611&gt;0),"지출 과목인데 수입에 적혔습니다",IF($K611="","증빙을 고르십시오",IF($H611="","적요를 적으십시오","")))))))))))</f>
        <v/>
      </c>
      <c r="M611" s="39"/>
      <c r="O611" s="11" t="str">
        <f aca="false">IF($B611="","",YEAR($B611)*100+MONTH($B611))</f>
        <v/>
      </c>
      <c r="P611" s="11" t="str">
        <f aca="false">IF($B611="","",IF($E611="대체",0,1))</f>
        <v/>
      </c>
    </row>
    <row r="612" customFormat="false" ht="15" hidden="false" customHeight="false" outlineLevel="0" collapsed="false">
      <c r="A612" s="36" t="str">
        <f aca="false">IF($B612="","",COUNT($B$15:$B612))</f>
        <v/>
      </c>
      <c r="B612" s="37"/>
      <c r="C612" s="38"/>
      <c r="D612" s="20"/>
      <c r="E612" s="36" t="str">
        <f aca="false">IF($D612="","",IFERROR(INDEX('교육원 ④ 설정'!$A$6:$A$40,MATCH($D612,'교육원 ④ 설정'!$B$6:$B$40,0)),"※없는 과목"))</f>
        <v/>
      </c>
      <c r="F612" s="36" t="str">
        <f aca="false">IF($D612="","",IFERROR(INDEX('교육원 ④ 설정'!$C$6:$C$40,MATCH($D612,'교육원 ④ 설정'!$B$6:$B$40,0)),""))</f>
        <v/>
      </c>
      <c r="G612" s="39"/>
      <c r="H612" s="39"/>
      <c r="I612" s="40"/>
      <c r="J612" s="41"/>
      <c r="K612" s="38"/>
      <c r="L612" s="42" t="str">
        <f aca="false">IF($B612="","",IF(AND(N($I612)=0,N($J612)=0),"금액이 없습니다",IF(AND($I612&gt;0,$J612&gt;0),"수입·지출 둘 다 적혔습니다",IF($C612="","결제수단을 고르십시오",IF(ISNA(MATCH($C612,'교육원 ③ 통장·카드'!$A$5:$A$11,0)),"③ 통장·카드에 없는 결제수단입니다",IF($D612="","계정과목을 고르십시오",IF($E612="※없는 과목","④ 설정에 없는 과목입니다",IF(AND($E612="수입",$J612&gt;0),"수입 과목인데 지출에 적혔습니다",IF(AND(LEFT($E612,2)&lt;&gt;"수입",$E612&lt;&gt;"대체",$I612&gt;0),"지출 과목인데 수입에 적혔습니다",IF($K612="","증빙을 고르십시오",IF($H612="","적요를 적으십시오","")))))))))))</f>
        <v/>
      </c>
      <c r="M612" s="39"/>
      <c r="O612" s="11" t="str">
        <f aca="false">IF($B612="","",YEAR($B612)*100+MONTH($B612))</f>
        <v/>
      </c>
      <c r="P612" s="11" t="str">
        <f aca="false">IF($B612="","",IF($E612="대체",0,1))</f>
        <v/>
      </c>
    </row>
    <row r="613" customFormat="false" ht="15" hidden="false" customHeight="false" outlineLevel="0" collapsed="false">
      <c r="A613" s="36" t="str">
        <f aca="false">IF($B613="","",COUNT($B$15:$B613))</f>
        <v/>
      </c>
      <c r="B613" s="37"/>
      <c r="C613" s="38"/>
      <c r="D613" s="20"/>
      <c r="E613" s="36" t="str">
        <f aca="false">IF($D613="","",IFERROR(INDEX('교육원 ④ 설정'!$A$6:$A$40,MATCH($D613,'교육원 ④ 설정'!$B$6:$B$40,0)),"※없는 과목"))</f>
        <v/>
      </c>
      <c r="F613" s="36" t="str">
        <f aca="false">IF($D613="","",IFERROR(INDEX('교육원 ④ 설정'!$C$6:$C$40,MATCH($D613,'교육원 ④ 설정'!$B$6:$B$40,0)),""))</f>
        <v/>
      </c>
      <c r="G613" s="39"/>
      <c r="H613" s="39"/>
      <c r="I613" s="40"/>
      <c r="J613" s="41"/>
      <c r="K613" s="38"/>
      <c r="L613" s="42" t="str">
        <f aca="false">IF($B613="","",IF(AND(N($I613)=0,N($J613)=0),"금액이 없습니다",IF(AND($I613&gt;0,$J613&gt;0),"수입·지출 둘 다 적혔습니다",IF($C613="","결제수단을 고르십시오",IF(ISNA(MATCH($C613,'교육원 ③ 통장·카드'!$A$5:$A$11,0)),"③ 통장·카드에 없는 결제수단입니다",IF($D613="","계정과목을 고르십시오",IF($E613="※없는 과목","④ 설정에 없는 과목입니다",IF(AND($E613="수입",$J613&gt;0),"수입 과목인데 지출에 적혔습니다",IF(AND(LEFT($E613,2)&lt;&gt;"수입",$E613&lt;&gt;"대체",$I613&gt;0),"지출 과목인데 수입에 적혔습니다",IF($K613="","증빙을 고르십시오",IF($H613="","적요를 적으십시오","")))))))))))</f>
        <v/>
      </c>
      <c r="M613" s="39"/>
      <c r="O613" s="11" t="str">
        <f aca="false">IF($B613="","",YEAR($B613)*100+MONTH($B613))</f>
        <v/>
      </c>
      <c r="P613" s="11" t="str">
        <f aca="false">IF($B613="","",IF($E613="대체",0,1))</f>
        <v/>
      </c>
    </row>
    <row r="614" customFormat="false" ht="15" hidden="false" customHeight="false" outlineLevel="0" collapsed="false">
      <c r="A614" s="36" t="str">
        <f aca="false">IF($B614="","",COUNT($B$15:$B614))</f>
        <v/>
      </c>
      <c r="B614" s="37"/>
      <c r="C614" s="38"/>
      <c r="D614" s="20"/>
      <c r="E614" s="36" t="str">
        <f aca="false">IF($D614="","",IFERROR(INDEX('교육원 ④ 설정'!$A$6:$A$40,MATCH($D614,'교육원 ④ 설정'!$B$6:$B$40,0)),"※없는 과목"))</f>
        <v/>
      </c>
      <c r="F614" s="36" t="str">
        <f aca="false">IF($D614="","",IFERROR(INDEX('교육원 ④ 설정'!$C$6:$C$40,MATCH($D614,'교육원 ④ 설정'!$B$6:$B$40,0)),""))</f>
        <v/>
      </c>
      <c r="G614" s="39"/>
      <c r="H614" s="39"/>
      <c r="I614" s="40"/>
      <c r="J614" s="41"/>
      <c r="K614" s="38"/>
      <c r="L614" s="42" t="str">
        <f aca="false">IF($B614="","",IF(AND(N($I614)=0,N($J614)=0),"금액이 없습니다",IF(AND($I614&gt;0,$J614&gt;0),"수입·지출 둘 다 적혔습니다",IF($C614="","결제수단을 고르십시오",IF(ISNA(MATCH($C614,'교육원 ③ 통장·카드'!$A$5:$A$11,0)),"③ 통장·카드에 없는 결제수단입니다",IF($D614="","계정과목을 고르십시오",IF($E614="※없는 과목","④ 설정에 없는 과목입니다",IF(AND($E614="수입",$J614&gt;0),"수입 과목인데 지출에 적혔습니다",IF(AND(LEFT($E614,2)&lt;&gt;"수입",$E614&lt;&gt;"대체",$I614&gt;0),"지출 과목인데 수입에 적혔습니다",IF($K614="","증빙을 고르십시오",IF($H614="","적요를 적으십시오","")))))))))))</f>
        <v/>
      </c>
      <c r="M614" s="39"/>
      <c r="O614" s="11" t="str">
        <f aca="false">IF($B614="","",YEAR($B614)*100+MONTH($B614))</f>
        <v/>
      </c>
      <c r="P614" s="11" t="str">
        <f aca="false">IF($B614="","",IF($E614="대체",0,1))</f>
        <v/>
      </c>
    </row>
    <row r="615" customFormat="false" ht="15" hidden="false" customHeight="false" outlineLevel="0" collapsed="false">
      <c r="A615" s="36" t="str">
        <f aca="false">IF($B615="","",COUNT($B$15:$B615))</f>
        <v/>
      </c>
      <c r="B615" s="37"/>
      <c r="C615" s="38"/>
      <c r="D615" s="20"/>
      <c r="E615" s="36" t="str">
        <f aca="false">IF($D615="","",IFERROR(INDEX('교육원 ④ 설정'!$A$6:$A$40,MATCH($D615,'교육원 ④ 설정'!$B$6:$B$40,0)),"※없는 과목"))</f>
        <v/>
      </c>
      <c r="F615" s="36" t="str">
        <f aca="false">IF($D615="","",IFERROR(INDEX('교육원 ④ 설정'!$C$6:$C$40,MATCH($D615,'교육원 ④ 설정'!$B$6:$B$40,0)),""))</f>
        <v/>
      </c>
      <c r="G615" s="39"/>
      <c r="H615" s="39"/>
      <c r="I615" s="40"/>
      <c r="J615" s="41"/>
      <c r="K615" s="38"/>
      <c r="L615" s="42" t="str">
        <f aca="false">IF($B615="","",IF(AND(N($I615)=0,N($J615)=0),"금액이 없습니다",IF(AND($I615&gt;0,$J615&gt;0),"수입·지출 둘 다 적혔습니다",IF($C615="","결제수단을 고르십시오",IF(ISNA(MATCH($C615,'교육원 ③ 통장·카드'!$A$5:$A$11,0)),"③ 통장·카드에 없는 결제수단입니다",IF($D615="","계정과목을 고르십시오",IF($E615="※없는 과목","④ 설정에 없는 과목입니다",IF(AND($E615="수입",$J615&gt;0),"수입 과목인데 지출에 적혔습니다",IF(AND(LEFT($E615,2)&lt;&gt;"수입",$E615&lt;&gt;"대체",$I615&gt;0),"지출 과목인데 수입에 적혔습니다",IF($K615="","증빙을 고르십시오",IF($H615="","적요를 적으십시오","")))))))))))</f>
        <v/>
      </c>
      <c r="M615" s="39"/>
      <c r="O615" s="11" t="str">
        <f aca="false">IF($B615="","",YEAR($B615)*100+MONTH($B615))</f>
        <v/>
      </c>
      <c r="P615" s="11" t="str">
        <f aca="false">IF($B615="","",IF($E615="대체",0,1))</f>
        <v/>
      </c>
    </row>
    <row r="616" customFormat="false" ht="15" hidden="false" customHeight="false" outlineLevel="0" collapsed="false">
      <c r="A616" s="36" t="str">
        <f aca="false">IF($B616="","",COUNT($B$15:$B616))</f>
        <v/>
      </c>
      <c r="B616" s="37"/>
      <c r="C616" s="38"/>
      <c r="D616" s="20"/>
      <c r="E616" s="36" t="str">
        <f aca="false">IF($D616="","",IFERROR(INDEX('교육원 ④ 설정'!$A$6:$A$40,MATCH($D616,'교육원 ④ 설정'!$B$6:$B$40,0)),"※없는 과목"))</f>
        <v/>
      </c>
      <c r="F616" s="36" t="str">
        <f aca="false">IF($D616="","",IFERROR(INDEX('교육원 ④ 설정'!$C$6:$C$40,MATCH($D616,'교육원 ④ 설정'!$B$6:$B$40,0)),""))</f>
        <v/>
      </c>
      <c r="G616" s="39"/>
      <c r="H616" s="39"/>
      <c r="I616" s="40"/>
      <c r="J616" s="41"/>
      <c r="K616" s="38"/>
      <c r="L616" s="42" t="str">
        <f aca="false">IF($B616="","",IF(AND(N($I616)=0,N($J616)=0),"금액이 없습니다",IF(AND($I616&gt;0,$J616&gt;0),"수입·지출 둘 다 적혔습니다",IF($C616="","결제수단을 고르십시오",IF(ISNA(MATCH($C616,'교육원 ③ 통장·카드'!$A$5:$A$11,0)),"③ 통장·카드에 없는 결제수단입니다",IF($D616="","계정과목을 고르십시오",IF($E616="※없는 과목","④ 설정에 없는 과목입니다",IF(AND($E616="수입",$J616&gt;0),"수입 과목인데 지출에 적혔습니다",IF(AND(LEFT($E616,2)&lt;&gt;"수입",$E616&lt;&gt;"대체",$I616&gt;0),"지출 과목인데 수입에 적혔습니다",IF($K616="","증빙을 고르십시오",IF($H616="","적요를 적으십시오","")))))))))))</f>
        <v/>
      </c>
      <c r="M616" s="39"/>
      <c r="O616" s="11" t="str">
        <f aca="false">IF($B616="","",YEAR($B616)*100+MONTH($B616))</f>
        <v/>
      </c>
      <c r="P616" s="11" t="str">
        <f aca="false">IF($B616="","",IF($E616="대체",0,1))</f>
        <v/>
      </c>
    </row>
    <row r="617" customFormat="false" ht="15" hidden="false" customHeight="false" outlineLevel="0" collapsed="false">
      <c r="A617" s="36" t="str">
        <f aca="false">IF($B617="","",COUNT($B$15:$B617))</f>
        <v/>
      </c>
      <c r="B617" s="37"/>
      <c r="C617" s="38"/>
      <c r="D617" s="20"/>
      <c r="E617" s="36" t="str">
        <f aca="false">IF($D617="","",IFERROR(INDEX('교육원 ④ 설정'!$A$6:$A$40,MATCH($D617,'교육원 ④ 설정'!$B$6:$B$40,0)),"※없는 과목"))</f>
        <v/>
      </c>
      <c r="F617" s="36" t="str">
        <f aca="false">IF($D617="","",IFERROR(INDEX('교육원 ④ 설정'!$C$6:$C$40,MATCH($D617,'교육원 ④ 설정'!$B$6:$B$40,0)),""))</f>
        <v/>
      </c>
      <c r="G617" s="39"/>
      <c r="H617" s="39"/>
      <c r="I617" s="40"/>
      <c r="J617" s="41"/>
      <c r="K617" s="38"/>
      <c r="L617" s="42" t="str">
        <f aca="false">IF($B617="","",IF(AND(N($I617)=0,N($J617)=0),"금액이 없습니다",IF(AND($I617&gt;0,$J617&gt;0),"수입·지출 둘 다 적혔습니다",IF($C617="","결제수단을 고르십시오",IF(ISNA(MATCH($C617,'교육원 ③ 통장·카드'!$A$5:$A$11,0)),"③ 통장·카드에 없는 결제수단입니다",IF($D617="","계정과목을 고르십시오",IF($E617="※없는 과목","④ 설정에 없는 과목입니다",IF(AND($E617="수입",$J617&gt;0),"수입 과목인데 지출에 적혔습니다",IF(AND(LEFT($E617,2)&lt;&gt;"수입",$E617&lt;&gt;"대체",$I617&gt;0),"지출 과목인데 수입에 적혔습니다",IF($K617="","증빙을 고르십시오",IF($H617="","적요를 적으십시오","")))))))))))</f>
        <v/>
      </c>
      <c r="M617" s="39"/>
      <c r="O617" s="11" t="str">
        <f aca="false">IF($B617="","",YEAR($B617)*100+MONTH($B617))</f>
        <v/>
      </c>
      <c r="P617" s="11" t="str">
        <f aca="false">IF($B617="","",IF($E617="대체",0,1))</f>
        <v/>
      </c>
    </row>
    <row r="618" customFormat="false" ht="15" hidden="false" customHeight="false" outlineLevel="0" collapsed="false">
      <c r="A618" s="36" t="str">
        <f aca="false">IF($B618="","",COUNT($B$15:$B618))</f>
        <v/>
      </c>
      <c r="B618" s="37"/>
      <c r="C618" s="38"/>
      <c r="D618" s="20"/>
      <c r="E618" s="36" t="str">
        <f aca="false">IF($D618="","",IFERROR(INDEX('교육원 ④ 설정'!$A$6:$A$40,MATCH($D618,'교육원 ④ 설정'!$B$6:$B$40,0)),"※없는 과목"))</f>
        <v/>
      </c>
      <c r="F618" s="36" t="str">
        <f aca="false">IF($D618="","",IFERROR(INDEX('교육원 ④ 설정'!$C$6:$C$40,MATCH($D618,'교육원 ④ 설정'!$B$6:$B$40,0)),""))</f>
        <v/>
      </c>
      <c r="G618" s="39"/>
      <c r="H618" s="39"/>
      <c r="I618" s="40"/>
      <c r="J618" s="41"/>
      <c r="K618" s="38"/>
      <c r="L618" s="42" t="str">
        <f aca="false">IF($B618="","",IF(AND(N($I618)=0,N($J618)=0),"금액이 없습니다",IF(AND($I618&gt;0,$J618&gt;0),"수입·지출 둘 다 적혔습니다",IF($C618="","결제수단을 고르십시오",IF(ISNA(MATCH($C618,'교육원 ③ 통장·카드'!$A$5:$A$11,0)),"③ 통장·카드에 없는 결제수단입니다",IF($D618="","계정과목을 고르십시오",IF($E618="※없는 과목","④ 설정에 없는 과목입니다",IF(AND($E618="수입",$J618&gt;0),"수입 과목인데 지출에 적혔습니다",IF(AND(LEFT($E618,2)&lt;&gt;"수입",$E618&lt;&gt;"대체",$I618&gt;0),"지출 과목인데 수입에 적혔습니다",IF($K618="","증빙을 고르십시오",IF($H618="","적요를 적으십시오","")))))))))))</f>
        <v/>
      </c>
      <c r="M618" s="39"/>
      <c r="O618" s="11" t="str">
        <f aca="false">IF($B618="","",YEAR($B618)*100+MONTH($B618))</f>
        <v/>
      </c>
      <c r="P618" s="11" t="str">
        <f aca="false">IF($B618="","",IF($E618="대체",0,1))</f>
        <v/>
      </c>
    </row>
    <row r="619" customFormat="false" ht="15" hidden="false" customHeight="false" outlineLevel="0" collapsed="false">
      <c r="A619" s="36" t="str">
        <f aca="false">IF($B619="","",COUNT($B$15:$B619))</f>
        <v/>
      </c>
      <c r="B619" s="37"/>
      <c r="C619" s="38"/>
      <c r="D619" s="20"/>
      <c r="E619" s="36" t="str">
        <f aca="false">IF($D619="","",IFERROR(INDEX('교육원 ④ 설정'!$A$6:$A$40,MATCH($D619,'교육원 ④ 설정'!$B$6:$B$40,0)),"※없는 과목"))</f>
        <v/>
      </c>
      <c r="F619" s="36" t="str">
        <f aca="false">IF($D619="","",IFERROR(INDEX('교육원 ④ 설정'!$C$6:$C$40,MATCH($D619,'교육원 ④ 설정'!$B$6:$B$40,0)),""))</f>
        <v/>
      </c>
      <c r="G619" s="39"/>
      <c r="H619" s="39"/>
      <c r="I619" s="40"/>
      <c r="J619" s="41"/>
      <c r="K619" s="38"/>
      <c r="L619" s="42" t="str">
        <f aca="false">IF($B619="","",IF(AND(N($I619)=0,N($J619)=0),"금액이 없습니다",IF(AND($I619&gt;0,$J619&gt;0),"수입·지출 둘 다 적혔습니다",IF($C619="","결제수단을 고르십시오",IF(ISNA(MATCH($C619,'교육원 ③ 통장·카드'!$A$5:$A$11,0)),"③ 통장·카드에 없는 결제수단입니다",IF($D619="","계정과목을 고르십시오",IF($E619="※없는 과목","④ 설정에 없는 과목입니다",IF(AND($E619="수입",$J619&gt;0),"수입 과목인데 지출에 적혔습니다",IF(AND(LEFT($E619,2)&lt;&gt;"수입",$E619&lt;&gt;"대체",$I619&gt;0),"지출 과목인데 수입에 적혔습니다",IF($K619="","증빙을 고르십시오",IF($H619="","적요를 적으십시오","")))))))))))</f>
        <v/>
      </c>
      <c r="M619" s="39"/>
      <c r="O619" s="11" t="str">
        <f aca="false">IF($B619="","",YEAR($B619)*100+MONTH($B619))</f>
        <v/>
      </c>
      <c r="P619" s="11" t="str">
        <f aca="false">IF($B619="","",IF($E619="대체",0,1))</f>
        <v/>
      </c>
    </row>
    <row r="620" customFormat="false" ht="15" hidden="false" customHeight="false" outlineLevel="0" collapsed="false">
      <c r="A620" s="36" t="str">
        <f aca="false">IF($B620="","",COUNT($B$15:$B620))</f>
        <v/>
      </c>
      <c r="B620" s="37"/>
      <c r="C620" s="38"/>
      <c r="D620" s="20"/>
      <c r="E620" s="36" t="str">
        <f aca="false">IF($D620="","",IFERROR(INDEX('교육원 ④ 설정'!$A$6:$A$40,MATCH($D620,'교육원 ④ 설정'!$B$6:$B$40,0)),"※없는 과목"))</f>
        <v/>
      </c>
      <c r="F620" s="36" t="str">
        <f aca="false">IF($D620="","",IFERROR(INDEX('교육원 ④ 설정'!$C$6:$C$40,MATCH($D620,'교육원 ④ 설정'!$B$6:$B$40,0)),""))</f>
        <v/>
      </c>
      <c r="G620" s="39"/>
      <c r="H620" s="39"/>
      <c r="I620" s="40"/>
      <c r="J620" s="41"/>
      <c r="K620" s="38"/>
      <c r="L620" s="42" t="str">
        <f aca="false">IF($B620="","",IF(AND(N($I620)=0,N($J620)=0),"금액이 없습니다",IF(AND($I620&gt;0,$J620&gt;0),"수입·지출 둘 다 적혔습니다",IF($C620="","결제수단을 고르십시오",IF(ISNA(MATCH($C620,'교육원 ③ 통장·카드'!$A$5:$A$11,0)),"③ 통장·카드에 없는 결제수단입니다",IF($D620="","계정과목을 고르십시오",IF($E620="※없는 과목","④ 설정에 없는 과목입니다",IF(AND($E620="수입",$J620&gt;0),"수입 과목인데 지출에 적혔습니다",IF(AND(LEFT($E620,2)&lt;&gt;"수입",$E620&lt;&gt;"대체",$I620&gt;0),"지출 과목인데 수입에 적혔습니다",IF($K620="","증빙을 고르십시오",IF($H620="","적요를 적으십시오","")))))))))))</f>
        <v/>
      </c>
      <c r="M620" s="39"/>
      <c r="O620" s="11" t="str">
        <f aca="false">IF($B620="","",YEAR($B620)*100+MONTH($B620))</f>
        <v/>
      </c>
      <c r="P620" s="11" t="str">
        <f aca="false">IF($B620="","",IF($E620="대체",0,1))</f>
        <v/>
      </c>
    </row>
    <row r="621" customFormat="false" ht="15" hidden="false" customHeight="false" outlineLevel="0" collapsed="false">
      <c r="A621" s="36" t="str">
        <f aca="false">IF($B621="","",COUNT($B$15:$B621))</f>
        <v/>
      </c>
      <c r="B621" s="37"/>
      <c r="C621" s="38"/>
      <c r="D621" s="20"/>
      <c r="E621" s="36" t="str">
        <f aca="false">IF($D621="","",IFERROR(INDEX('교육원 ④ 설정'!$A$6:$A$40,MATCH($D621,'교육원 ④ 설정'!$B$6:$B$40,0)),"※없는 과목"))</f>
        <v/>
      </c>
      <c r="F621" s="36" t="str">
        <f aca="false">IF($D621="","",IFERROR(INDEX('교육원 ④ 설정'!$C$6:$C$40,MATCH($D621,'교육원 ④ 설정'!$B$6:$B$40,0)),""))</f>
        <v/>
      </c>
      <c r="G621" s="39"/>
      <c r="H621" s="39"/>
      <c r="I621" s="40"/>
      <c r="J621" s="41"/>
      <c r="K621" s="38"/>
      <c r="L621" s="42" t="str">
        <f aca="false">IF($B621="","",IF(AND(N($I621)=0,N($J621)=0),"금액이 없습니다",IF(AND($I621&gt;0,$J621&gt;0),"수입·지출 둘 다 적혔습니다",IF($C621="","결제수단을 고르십시오",IF(ISNA(MATCH($C621,'교육원 ③ 통장·카드'!$A$5:$A$11,0)),"③ 통장·카드에 없는 결제수단입니다",IF($D621="","계정과목을 고르십시오",IF($E621="※없는 과목","④ 설정에 없는 과목입니다",IF(AND($E621="수입",$J621&gt;0),"수입 과목인데 지출에 적혔습니다",IF(AND(LEFT($E621,2)&lt;&gt;"수입",$E621&lt;&gt;"대체",$I621&gt;0),"지출 과목인데 수입에 적혔습니다",IF($K621="","증빙을 고르십시오",IF($H621="","적요를 적으십시오","")))))))))))</f>
        <v/>
      </c>
      <c r="M621" s="39"/>
      <c r="O621" s="11" t="str">
        <f aca="false">IF($B621="","",YEAR($B621)*100+MONTH($B621))</f>
        <v/>
      </c>
      <c r="P621" s="11" t="str">
        <f aca="false">IF($B621="","",IF($E621="대체",0,1))</f>
        <v/>
      </c>
    </row>
    <row r="622" customFormat="false" ht="15" hidden="false" customHeight="false" outlineLevel="0" collapsed="false">
      <c r="A622" s="36" t="str">
        <f aca="false">IF($B622="","",COUNT($B$15:$B622))</f>
        <v/>
      </c>
      <c r="B622" s="37"/>
      <c r="C622" s="38"/>
      <c r="D622" s="20"/>
      <c r="E622" s="36" t="str">
        <f aca="false">IF($D622="","",IFERROR(INDEX('교육원 ④ 설정'!$A$6:$A$40,MATCH($D622,'교육원 ④ 설정'!$B$6:$B$40,0)),"※없는 과목"))</f>
        <v/>
      </c>
      <c r="F622" s="36" t="str">
        <f aca="false">IF($D622="","",IFERROR(INDEX('교육원 ④ 설정'!$C$6:$C$40,MATCH($D622,'교육원 ④ 설정'!$B$6:$B$40,0)),""))</f>
        <v/>
      </c>
      <c r="G622" s="39"/>
      <c r="H622" s="39"/>
      <c r="I622" s="40"/>
      <c r="J622" s="41"/>
      <c r="K622" s="38"/>
      <c r="L622" s="42" t="str">
        <f aca="false">IF($B622="","",IF(AND(N($I622)=0,N($J622)=0),"금액이 없습니다",IF(AND($I622&gt;0,$J622&gt;0),"수입·지출 둘 다 적혔습니다",IF($C622="","결제수단을 고르십시오",IF(ISNA(MATCH($C622,'교육원 ③ 통장·카드'!$A$5:$A$11,0)),"③ 통장·카드에 없는 결제수단입니다",IF($D622="","계정과목을 고르십시오",IF($E622="※없는 과목","④ 설정에 없는 과목입니다",IF(AND($E622="수입",$J622&gt;0),"수입 과목인데 지출에 적혔습니다",IF(AND(LEFT($E622,2)&lt;&gt;"수입",$E622&lt;&gt;"대체",$I622&gt;0),"지출 과목인데 수입에 적혔습니다",IF($K622="","증빙을 고르십시오",IF($H622="","적요를 적으십시오","")))))))))))</f>
        <v/>
      </c>
      <c r="M622" s="39"/>
      <c r="O622" s="11" t="str">
        <f aca="false">IF($B622="","",YEAR($B622)*100+MONTH($B622))</f>
        <v/>
      </c>
      <c r="P622" s="11" t="str">
        <f aca="false">IF($B622="","",IF($E622="대체",0,1))</f>
        <v/>
      </c>
    </row>
    <row r="623" customFormat="false" ht="15" hidden="false" customHeight="false" outlineLevel="0" collapsed="false">
      <c r="A623" s="36" t="str">
        <f aca="false">IF($B623="","",COUNT($B$15:$B623))</f>
        <v/>
      </c>
      <c r="B623" s="37"/>
      <c r="C623" s="38"/>
      <c r="D623" s="20"/>
      <c r="E623" s="36" t="str">
        <f aca="false">IF($D623="","",IFERROR(INDEX('교육원 ④ 설정'!$A$6:$A$40,MATCH($D623,'교육원 ④ 설정'!$B$6:$B$40,0)),"※없는 과목"))</f>
        <v/>
      </c>
      <c r="F623" s="36" t="str">
        <f aca="false">IF($D623="","",IFERROR(INDEX('교육원 ④ 설정'!$C$6:$C$40,MATCH($D623,'교육원 ④ 설정'!$B$6:$B$40,0)),""))</f>
        <v/>
      </c>
      <c r="G623" s="39"/>
      <c r="H623" s="39"/>
      <c r="I623" s="40"/>
      <c r="J623" s="41"/>
      <c r="K623" s="38"/>
      <c r="L623" s="42" t="str">
        <f aca="false">IF($B623="","",IF(AND(N($I623)=0,N($J623)=0),"금액이 없습니다",IF(AND($I623&gt;0,$J623&gt;0),"수입·지출 둘 다 적혔습니다",IF($C623="","결제수단을 고르십시오",IF(ISNA(MATCH($C623,'교육원 ③ 통장·카드'!$A$5:$A$11,0)),"③ 통장·카드에 없는 결제수단입니다",IF($D623="","계정과목을 고르십시오",IF($E623="※없는 과목","④ 설정에 없는 과목입니다",IF(AND($E623="수입",$J623&gt;0),"수입 과목인데 지출에 적혔습니다",IF(AND(LEFT($E623,2)&lt;&gt;"수입",$E623&lt;&gt;"대체",$I623&gt;0),"지출 과목인데 수입에 적혔습니다",IF($K623="","증빙을 고르십시오",IF($H623="","적요를 적으십시오","")))))))))))</f>
        <v/>
      </c>
      <c r="M623" s="39"/>
      <c r="O623" s="11" t="str">
        <f aca="false">IF($B623="","",YEAR($B623)*100+MONTH($B623))</f>
        <v/>
      </c>
      <c r="P623" s="11" t="str">
        <f aca="false">IF($B623="","",IF($E623="대체",0,1))</f>
        <v/>
      </c>
    </row>
    <row r="624" customFormat="false" ht="15" hidden="false" customHeight="false" outlineLevel="0" collapsed="false">
      <c r="A624" s="36" t="str">
        <f aca="false">IF($B624="","",COUNT($B$15:$B624))</f>
        <v/>
      </c>
      <c r="B624" s="37"/>
      <c r="C624" s="38"/>
      <c r="D624" s="20"/>
      <c r="E624" s="36" t="str">
        <f aca="false">IF($D624="","",IFERROR(INDEX('교육원 ④ 설정'!$A$6:$A$40,MATCH($D624,'교육원 ④ 설정'!$B$6:$B$40,0)),"※없는 과목"))</f>
        <v/>
      </c>
      <c r="F624" s="36" t="str">
        <f aca="false">IF($D624="","",IFERROR(INDEX('교육원 ④ 설정'!$C$6:$C$40,MATCH($D624,'교육원 ④ 설정'!$B$6:$B$40,0)),""))</f>
        <v/>
      </c>
      <c r="G624" s="39"/>
      <c r="H624" s="39"/>
      <c r="I624" s="40"/>
      <c r="J624" s="41"/>
      <c r="K624" s="38"/>
      <c r="L624" s="42" t="str">
        <f aca="false">IF($B624="","",IF(AND(N($I624)=0,N($J624)=0),"금액이 없습니다",IF(AND($I624&gt;0,$J624&gt;0),"수입·지출 둘 다 적혔습니다",IF($C624="","결제수단을 고르십시오",IF(ISNA(MATCH($C624,'교육원 ③ 통장·카드'!$A$5:$A$11,0)),"③ 통장·카드에 없는 결제수단입니다",IF($D624="","계정과목을 고르십시오",IF($E624="※없는 과목","④ 설정에 없는 과목입니다",IF(AND($E624="수입",$J624&gt;0),"수입 과목인데 지출에 적혔습니다",IF(AND(LEFT($E624,2)&lt;&gt;"수입",$E624&lt;&gt;"대체",$I624&gt;0),"지출 과목인데 수입에 적혔습니다",IF($K624="","증빙을 고르십시오",IF($H624="","적요를 적으십시오","")))))))))))</f>
        <v/>
      </c>
      <c r="M624" s="39"/>
      <c r="O624" s="11" t="str">
        <f aca="false">IF($B624="","",YEAR($B624)*100+MONTH($B624))</f>
        <v/>
      </c>
      <c r="P624" s="11" t="str">
        <f aca="false">IF($B624="","",IF($E624="대체",0,1))</f>
        <v/>
      </c>
    </row>
    <row r="625" customFormat="false" ht="15" hidden="false" customHeight="false" outlineLevel="0" collapsed="false">
      <c r="A625" s="36" t="str">
        <f aca="false">IF($B625="","",COUNT($B$15:$B625))</f>
        <v/>
      </c>
      <c r="B625" s="37"/>
      <c r="C625" s="38"/>
      <c r="D625" s="20"/>
      <c r="E625" s="36" t="str">
        <f aca="false">IF($D625="","",IFERROR(INDEX('교육원 ④ 설정'!$A$6:$A$40,MATCH($D625,'교육원 ④ 설정'!$B$6:$B$40,0)),"※없는 과목"))</f>
        <v/>
      </c>
      <c r="F625" s="36" t="str">
        <f aca="false">IF($D625="","",IFERROR(INDEX('교육원 ④ 설정'!$C$6:$C$40,MATCH($D625,'교육원 ④ 설정'!$B$6:$B$40,0)),""))</f>
        <v/>
      </c>
      <c r="G625" s="39"/>
      <c r="H625" s="39"/>
      <c r="I625" s="40"/>
      <c r="J625" s="41"/>
      <c r="K625" s="38"/>
      <c r="L625" s="42" t="str">
        <f aca="false">IF($B625="","",IF(AND(N($I625)=0,N($J625)=0),"금액이 없습니다",IF(AND($I625&gt;0,$J625&gt;0),"수입·지출 둘 다 적혔습니다",IF($C625="","결제수단을 고르십시오",IF(ISNA(MATCH($C625,'교육원 ③ 통장·카드'!$A$5:$A$11,0)),"③ 통장·카드에 없는 결제수단입니다",IF($D625="","계정과목을 고르십시오",IF($E625="※없는 과목","④ 설정에 없는 과목입니다",IF(AND($E625="수입",$J625&gt;0),"수입 과목인데 지출에 적혔습니다",IF(AND(LEFT($E625,2)&lt;&gt;"수입",$E625&lt;&gt;"대체",$I625&gt;0),"지출 과목인데 수입에 적혔습니다",IF($K625="","증빙을 고르십시오",IF($H625="","적요를 적으십시오","")))))))))))</f>
        <v/>
      </c>
      <c r="M625" s="39"/>
      <c r="O625" s="11" t="str">
        <f aca="false">IF($B625="","",YEAR($B625)*100+MONTH($B625))</f>
        <v/>
      </c>
      <c r="P625" s="11" t="str">
        <f aca="false">IF($B625="","",IF($E625="대체",0,1))</f>
        <v/>
      </c>
    </row>
    <row r="626" customFormat="false" ht="15" hidden="false" customHeight="false" outlineLevel="0" collapsed="false">
      <c r="A626" s="36" t="str">
        <f aca="false">IF($B626="","",COUNT($B$15:$B626))</f>
        <v/>
      </c>
      <c r="B626" s="37"/>
      <c r="C626" s="38"/>
      <c r="D626" s="20"/>
      <c r="E626" s="36" t="str">
        <f aca="false">IF($D626="","",IFERROR(INDEX('교육원 ④ 설정'!$A$6:$A$40,MATCH($D626,'교육원 ④ 설정'!$B$6:$B$40,0)),"※없는 과목"))</f>
        <v/>
      </c>
      <c r="F626" s="36" t="str">
        <f aca="false">IF($D626="","",IFERROR(INDEX('교육원 ④ 설정'!$C$6:$C$40,MATCH($D626,'교육원 ④ 설정'!$B$6:$B$40,0)),""))</f>
        <v/>
      </c>
      <c r="G626" s="39"/>
      <c r="H626" s="39"/>
      <c r="I626" s="40"/>
      <c r="J626" s="41"/>
      <c r="K626" s="38"/>
      <c r="L626" s="42" t="str">
        <f aca="false">IF($B626="","",IF(AND(N($I626)=0,N($J626)=0),"금액이 없습니다",IF(AND($I626&gt;0,$J626&gt;0),"수입·지출 둘 다 적혔습니다",IF($C626="","결제수단을 고르십시오",IF(ISNA(MATCH($C626,'교육원 ③ 통장·카드'!$A$5:$A$11,0)),"③ 통장·카드에 없는 결제수단입니다",IF($D626="","계정과목을 고르십시오",IF($E626="※없는 과목","④ 설정에 없는 과목입니다",IF(AND($E626="수입",$J626&gt;0),"수입 과목인데 지출에 적혔습니다",IF(AND(LEFT($E626,2)&lt;&gt;"수입",$E626&lt;&gt;"대체",$I626&gt;0),"지출 과목인데 수입에 적혔습니다",IF($K626="","증빙을 고르십시오",IF($H626="","적요를 적으십시오","")))))))))))</f>
        <v/>
      </c>
      <c r="M626" s="39"/>
      <c r="O626" s="11" t="str">
        <f aca="false">IF($B626="","",YEAR($B626)*100+MONTH($B626))</f>
        <v/>
      </c>
      <c r="P626" s="11" t="str">
        <f aca="false">IF($B626="","",IF($E626="대체",0,1))</f>
        <v/>
      </c>
    </row>
    <row r="627" customFormat="false" ht="15" hidden="false" customHeight="false" outlineLevel="0" collapsed="false">
      <c r="A627" s="36" t="str">
        <f aca="false">IF($B627="","",COUNT($B$15:$B627))</f>
        <v/>
      </c>
      <c r="B627" s="37"/>
      <c r="C627" s="38"/>
      <c r="D627" s="20"/>
      <c r="E627" s="36" t="str">
        <f aca="false">IF($D627="","",IFERROR(INDEX('교육원 ④ 설정'!$A$6:$A$40,MATCH($D627,'교육원 ④ 설정'!$B$6:$B$40,0)),"※없는 과목"))</f>
        <v/>
      </c>
      <c r="F627" s="36" t="str">
        <f aca="false">IF($D627="","",IFERROR(INDEX('교육원 ④ 설정'!$C$6:$C$40,MATCH($D627,'교육원 ④ 설정'!$B$6:$B$40,0)),""))</f>
        <v/>
      </c>
      <c r="G627" s="39"/>
      <c r="H627" s="39"/>
      <c r="I627" s="40"/>
      <c r="J627" s="41"/>
      <c r="K627" s="38"/>
      <c r="L627" s="42" t="str">
        <f aca="false">IF($B627="","",IF(AND(N($I627)=0,N($J627)=0),"금액이 없습니다",IF(AND($I627&gt;0,$J627&gt;0),"수입·지출 둘 다 적혔습니다",IF($C627="","결제수단을 고르십시오",IF(ISNA(MATCH($C627,'교육원 ③ 통장·카드'!$A$5:$A$11,0)),"③ 통장·카드에 없는 결제수단입니다",IF($D627="","계정과목을 고르십시오",IF($E627="※없는 과목","④ 설정에 없는 과목입니다",IF(AND($E627="수입",$J627&gt;0),"수입 과목인데 지출에 적혔습니다",IF(AND(LEFT($E627,2)&lt;&gt;"수입",$E627&lt;&gt;"대체",$I627&gt;0),"지출 과목인데 수입에 적혔습니다",IF($K627="","증빙을 고르십시오",IF($H627="","적요를 적으십시오","")))))))))))</f>
        <v/>
      </c>
      <c r="M627" s="39"/>
      <c r="O627" s="11" t="str">
        <f aca="false">IF($B627="","",YEAR($B627)*100+MONTH($B627))</f>
        <v/>
      </c>
      <c r="P627" s="11" t="str">
        <f aca="false">IF($B627="","",IF($E627="대체",0,1))</f>
        <v/>
      </c>
    </row>
    <row r="628" customFormat="false" ht="15" hidden="false" customHeight="false" outlineLevel="0" collapsed="false">
      <c r="A628" s="36" t="str">
        <f aca="false">IF($B628="","",COUNT($B$15:$B628))</f>
        <v/>
      </c>
      <c r="B628" s="37"/>
      <c r="C628" s="38"/>
      <c r="D628" s="20"/>
      <c r="E628" s="36" t="str">
        <f aca="false">IF($D628="","",IFERROR(INDEX('교육원 ④ 설정'!$A$6:$A$40,MATCH($D628,'교육원 ④ 설정'!$B$6:$B$40,0)),"※없는 과목"))</f>
        <v/>
      </c>
      <c r="F628" s="36" t="str">
        <f aca="false">IF($D628="","",IFERROR(INDEX('교육원 ④ 설정'!$C$6:$C$40,MATCH($D628,'교육원 ④ 설정'!$B$6:$B$40,0)),""))</f>
        <v/>
      </c>
      <c r="G628" s="39"/>
      <c r="H628" s="39"/>
      <c r="I628" s="40"/>
      <c r="J628" s="41"/>
      <c r="K628" s="38"/>
      <c r="L628" s="42" t="str">
        <f aca="false">IF($B628="","",IF(AND(N($I628)=0,N($J628)=0),"금액이 없습니다",IF(AND($I628&gt;0,$J628&gt;0),"수입·지출 둘 다 적혔습니다",IF($C628="","결제수단을 고르십시오",IF(ISNA(MATCH($C628,'교육원 ③ 통장·카드'!$A$5:$A$11,0)),"③ 통장·카드에 없는 결제수단입니다",IF($D628="","계정과목을 고르십시오",IF($E628="※없는 과목","④ 설정에 없는 과목입니다",IF(AND($E628="수입",$J628&gt;0),"수입 과목인데 지출에 적혔습니다",IF(AND(LEFT($E628,2)&lt;&gt;"수입",$E628&lt;&gt;"대체",$I628&gt;0),"지출 과목인데 수입에 적혔습니다",IF($K628="","증빙을 고르십시오",IF($H628="","적요를 적으십시오","")))))))))))</f>
        <v/>
      </c>
      <c r="M628" s="39"/>
      <c r="O628" s="11" t="str">
        <f aca="false">IF($B628="","",YEAR($B628)*100+MONTH($B628))</f>
        <v/>
      </c>
      <c r="P628" s="11" t="str">
        <f aca="false">IF($B628="","",IF($E628="대체",0,1))</f>
        <v/>
      </c>
    </row>
    <row r="629" customFormat="false" ht="15" hidden="false" customHeight="false" outlineLevel="0" collapsed="false">
      <c r="A629" s="36" t="str">
        <f aca="false">IF($B629="","",COUNT($B$15:$B629))</f>
        <v/>
      </c>
      <c r="B629" s="37"/>
      <c r="C629" s="38"/>
      <c r="D629" s="20"/>
      <c r="E629" s="36" t="str">
        <f aca="false">IF($D629="","",IFERROR(INDEX('교육원 ④ 설정'!$A$6:$A$40,MATCH($D629,'교육원 ④ 설정'!$B$6:$B$40,0)),"※없는 과목"))</f>
        <v/>
      </c>
      <c r="F629" s="36" t="str">
        <f aca="false">IF($D629="","",IFERROR(INDEX('교육원 ④ 설정'!$C$6:$C$40,MATCH($D629,'교육원 ④ 설정'!$B$6:$B$40,0)),""))</f>
        <v/>
      </c>
      <c r="G629" s="39"/>
      <c r="H629" s="39"/>
      <c r="I629" s="40"/>
      <c r="J629" s="41"/>
      <c r="K629" s="38"/>
      <c r="L629" s="42" t="str">
        <f aca="false">IF($B629="","",IF(AND(N($I629)=0,N($J629)=0),"금액이 없습니다",IF(AND($I629&gt;0,$J629&gt;0),"수입·지출 둘 다 적혔습니다",IF($C629="","결제수단을 고르십시오",IF(ISNA(MATCH($C629,'교육원 ③ 통장·카드'!$A$5:$A$11,0)),"③ 통장·카드에 없는 결제수단입니다",IF($D629="","계정과목을 고르십시오",IF($E629="※없는 과목","④ 설정에 없는 과목입니다",IF(AND($E629="수입",$J629&gt;0),"수입 과목인데 지출에 적혔습니다",IF(AND(LEFT($E629,2)&lt;&gt;"수입",$E629&lt;&gt;"대체",$I629&gt;0),"지출 과목인데 수입에 적혔습니다",IF($K629="","증빙을 고르십시오",IF($H629="","적요를 적으십시오","")))))))))))</f>
        <v/>
      </c>
      <c r="M629" s="39"/>
      <c r="O629" s="11" t="str">
        <f aca="false">IF($B629="","",YEAR($B629)*100+MONTH($B629))</f>
        <v/>
      </c>
      <c r="P629" s="11" t="str">
        <f aca="false">IF($B629="","",IF($E629="대체",0,1))</f>
        <v/>
      </c>
    </row>
    <row r="630" customFormat="false" ht="15" hidden="false" customHeight="false" outlineLevel="0" collapsed="false">
      <c r="A630" s="36" t="str">
        <f aca="false">IF($B630="","",COUNT($B$15:$B630))</f>
        <v/>
      </c>
      <c r="B630" s="37"/>
      <c r="C630" s="38"/>
      <c r="D630" s="20"/>
      <c r="E630" s="36" t="str">
        <f aca="false">IF($D630="","",IFERROR(INDEX('교육원 ④ 설정'!$A$6:$A$40,MATCH($D630,'교육원 ④ 설정'!$B$6:$B$40,0)),"※없는 과목"))</f>
        <v/>
      </c>
      <c r="F630" s="36" t="str">
        <f aca="false">IF($D630="","",IFERROR(INDEX('교육원 ④ 설정'!$C$6:$C$40,MATCH($D630,'교육원 ④ 설정'!$B$6:$B$40,0)),""))</f>
        <v/>
      </c>
      <c r="G630" s="39"/>
      <c r="H630" s="39"/>
      <c r="I630" s="40"/>
      <c r="J630" s="41"/>
      <c r="K630" s="38"/>
      <c r="L630" s="42" t="str">
        <f aca="false">IF($B630="","",IF(AND(N($I630)=0,N($J630)=0),"금액이 없습니다",IF(AND($I630&gt;0,$J630&gt;0),"수입·지출 둘 다 적혔습니다",IF($C630="","결제수단을 고르십시오",IF(ISNA(MATCH($C630,'교육원 ③ 통장·카드'!$A$5:$A$11,0)),"③ 통장·카드에 없는 결제수단입니다",IF($D630="","계정과목을 고르십시오",IF($E630="※없는 과목","④ 설정에 없는 과목입니다",IF(AND($E630="수입",$J630&gt;0),"수입 과목인데 지출에 적혔습니다",IF(AND(LEFT($E630,2)&lt;&gt;"수입",$E630&lt;&gt;"대체",$I630&gt;0),"지출 과목인데 수입에 적혔습니다",IF($K630="","증빙을 고르십시오",IF($H630="","적요를 적으십시오","")))))))))))</f>
        <v/>
      </c>
      <c r="M630" s="39"/>
      <c r="O630" s="11" t="str">
        <f aca="false">IF($B630="","",YEAR($B630)*100+MONTH($B630))</f>
        <v/>
      </c>
      <c r="P630" s="11" t="str">
        <f aca="false">IF($B630="","",IF($E630="대체",0,1))</f>
        <v/>
      </c>
    </row>
    <row r="631" customFormat="false" ht="15" hidden="false" customHeight="false" outlineLevel="0" collapsed="false">
      <c r="A631" s="36" t="str">
        <f aca="false">IF($B631="","",COUNT($B$15:$B631))</f>
        <v/>
      </c>
      <c r="B631" s="37"/>
      <c r="C631" s="38"/>
      <c r="D631" s="20"/>
      <c r="E631" s="36" t="str">
        <f aca="false">IF($D631="","",IFERROR(INDEX('교육원 ④ 설정'!$A$6:$A$40,MATCH($D631,'교육원 ④ 설정'!$B$6:$B$40,0)),"※없는 과목"))</f>
        <v/>
      </c>
      <c r="F631" s="36" t="str">
        <f aca="false">IF($D631="","",IFERROR(INDEX('교육원 ④ 설정'!$C$6:$C$40,MATCH($D631,'교육원 ④ 설정'!$B$6:$B$40,0)),""))</f>
        <v/>
      </c>
      <c r="G631" s="39"/>
      <c r="H631" s="39"/>
      <c r="I631" s="40"/>
      <c r="J631" s="41"/>
      <c r="K631" s="38"/>
      <c r="L631" s="42" t="str">
        <f aca="false">IF($B631="","",IF(AND(N($I631)=0,N($J631)=0),"금액이 없습니다",IF(AND($I631&gt;0,$J631&gt;0),"수입·지출 둘 다 적혔습니다",IF($C631="","결제수단을 고르십시오",IF(ISNA(MATCH($C631,'교육원 ③ 통장·카드'!$A$5:$A$11,0)),"③ 통장·카드에 없는 결제수단입니다",IF($D631="","계정과목을 고르십시오",IF($E631="※없는 과목","④ 설정에 없는 과목입니다",IF(AND($E631="수입",$J631&gt;0),"수입 과목인데 지출에 적혔습니다",IF(AND(LEFT($E631,2)&lt;&gt;"수입",$E631&lt;&gt;"대체",$I631&gt;0),"지출 과목인데 수입에 적혔습니다",IF($K631="","증빙을 고르십시오",IF($H631="","적요를 적으십시오","")))))))))))</f>
        <v/>
      </c>
      <c r="M631" s="39"/>
      <c r="O631" s="11" t="str">
        <f aca="false">IF($B631="","",YEAR($B631)*100+MONTH($B631))</f>
        <v/>
      </c>
      <c r="P631" s="11" t="str">
        <f aca="false">IF($B631="","",IF($E631="대체",0,1))</f>
        <v/>
      </c>
    </row>
    <row r="632" customFormat="false" ht="15" hidden="false" customHeight="false" outlineLevel="0" collapsed="false">
      <c r="A632" s="36" t="str">
        <f aca="false">IF($B632="","",COUNT($B$15:$B632))</f>
        <v/>
      </c>
      <c r="B632" s="37"/>
      <c r="C632" s="38"/>
      <c r="D632" s="20"/>
      <c r="E632" s="36" t="str">
        <f aca="false">IF($D632="","",IFERROR(INDEX('교육원 ④ 설정'!$A$6:$A$40,MATCH($D632,'교육원 ④ 설정'!$B$6:$B$40,0)),"※없는 과목"))</f>
        <v/>
      </c>
      <c r="F632" s="36" t="str">
        <f aca="false">IF($D632="","",IFERROR(INDEX('교육원 ④ 설정'!$C$6:$C$40,MATCH($D632,'교육원 ④ 설정'!$B$6:$B$40,0)),""))</f>
        <v/>
      </c>
      <c r="G632" s="39"/>
      <c r="H632" s="39"/>
      <c r="I632" s="40"/>
      <c r="J632" s="41"/>
      <c r="K632" s="38"/>
      <c r="L632" s="42" t="str">
        <f aca="false">IF($B632="","",IF(AND(N($I632)=0,N($J632)=0),"금액이 없습니다",IF(AND($I632&gt;0,$J632&gt;0),"수입·지출 둘 다 적혔습니다",IF($C632="","결제수단을 고르십시오",IF(ISNA(MATCH($C632,'교육원 ③ 통장·카드'!$A$5:$A$11,0)),"③ 통장·카드에 없는 결제수단입니다",IF($D632="","계정과목을 고르십시오",IF($E632="※없는 과목","④ 설정에 없는 과목입니다",IF(AND($E632="수입",$J632&gt;0),"수입 과목인데 지출에 적혔습니다",IF(AND(LEFT($E632,2)&lt;&gt;"수입",$E632&lt;&gt;"대체",$I632&gt;0),"지출 과목인데 수입에 적혔습니다",IF($K632="","증빙을 고르십시오",IF($H632="","적요를 적으십시오","")))))))))))</f>
        <v/>
      </c>
      <c r="M632" s="39"/>
      <c r="O632" s="11" t="str">
        <f aca="false">IF($B632="","",YEAR($B632)*100+MONTH($B632))</f>
        <v/>
      </c>
      <c r="P632" s="11" t="str">
        <f aca="false">IF($B632="","",IF($E632="대체",0,1))</f>
        <v/>
      </c>
    </row>
    <row r="633" customFormat="false" ht="15" hidden="false" customHeight="false" outlineLevel="0" collapsed="false">
      <c r="A633" s="36" t="str">
        <f aca="false">IF($B633="","",COUNT($B$15:$B633))</f>
        <v/>
      </c>
      <c r="B633" s="37"/>
      <c r="C633" s="38"/>
      <c r="D633" s="20"/>
      <c r="E633" s="36" t="str">
        <f aca="false">IF($D633="","",IFERROR(INDEX('교육원 ④ 설정'!$A$6:$A$40,MATCH($D633,'교육원 ④ 설정'!$B$6:$B$40,0)),"※없는 과목"))</f>
        <v/>
      </c>
      <c r="F633" s="36" t="str">
        <f aca="false">IF($D633="","",IFERROR(INDEX('교육원 ④ 설정'!$C$6:$C$40,MATCH($D633,'교육원 ④ 설정'!$B$6:$B$40,0)),""))</f>
        <v/>
      </c>
      <c r="G633" s="39"/>
      <c r="H633" s="39"/>
      <c r="I633" s="40"/>
      <c r="J633" s="41"/>
      <c r="K633" s="38"/>
      <c r="L633" s="42" t="str">
        <f aca="false">IF($B633="","",IF(AND(N($I633)=0,N($J633)=0),"금액이 없습니다",IF(AND($I633&gt;0,$J633&gt;0),"수입·지출 둘 다 적혔습니다",IF($C633="","결제수단을 고르십시오",IF(ISNA(MATCH($C633,'교육원 ③ 통장·카드'!$A$5:$A$11,0)),"③ 통장·카드에 없는 결제수단입니다",IF($D633="","계정과목을 고르십시오",IF($E633="※없는 과목","④ 설정에 없는 과목입니다",IF(AND($E633="수입",$J633&gt;0),"수입 과목인데 지출에 적혔습니다",IF(AND(LEFT($E633,2)&lt;&gt;"수입",$E633&lt;&gt;"대체",$I633&gt;0),"지출 과목인데 수입에 적혔습니다",IF($K633="","증빙을 고르십시오",IF($H633="","적요를 적으십시오","")))))))))))</f>
        <v/>
      </c>
      <c r="M633" s="39"/>
      <c r="O633" s="11" t="str">
        <f aca="false">IF($B633="","",YEAR($B633)*100+MONTH($B633))</f>
        <v/>
      </c>
      <c r="P633" s="11" t="str">
        <f aca="false">IF($B633="","",IF($E633="대체",0,1))</f>
        <v/>
      </c>
    </row>
    <row r="634" customFormat="false" ht="15" hidden="false" customHeight="false" outlineLevel="0" collapsed="false">
      <c r="A634" s="36" t="str">
        <f aca="false">IF($B634="","",COUNT($B$15:$B634))</f>
        <v/>
      </c>
      <c r="B634" s="37"/>
      <c r="C634" s="38"/>
      <c r="D634" s="20"/>
      <c r="E634" s="36" t="str">
        <f aca="false">IF($D634="","",IFERROR(INDEX('교육원 ④ 설정'!$A$6:$A$40,MATCH($D634,'교육원 ④ 설정'!$B$6:$B$40,0)),"※없는 과목"))</f>
        <v/>
      </c>
      <c r="F634" s="36" t="str">
        <f aca="false">IF($D634="","",IFERROR(INDEX('교육원 ④ 설정'!$C$6:$C$40,MATCH($D634,'교육원 ④ 설정'!$B$6:$B$40,0)),""))</f>
        <v/>
      </c>
      <c r="G634" s="39"/>
      <c r="H634" s="39"/>
      <c r="I634" s="40"/>
      <c r="J634" s="41"/>
      <c r="K634" s="38"/>
      <c r="L634" s="42" t="str">
        <f aca="false">IF($B634="","",IF(AND(N($I634)=0,N($J634)=0),"금액이 없습니다",IF(AND($I634&gt;0,$J634&gt;0),"수입·지출 둘 다 적혔습니다",IF($C634="","결제수단을 고르십시오",IF(ISNA(MATCH($C634,'교육원 ③ 통장·카드'!$A$5:$A$11,0)),"③ 통장·카드에 없는 결제수단입니다",IF($D634="","계정과목을 고르십시오",IF($E634="※없는 과목","④ 설정에 없는 과목입니다",IF(AND($E634="수입",$J634&gt;0),"수입 과목인데 지출에 적혔습니다",IF(AND(LEFT($E634,2)&lt;&gt;"수입",$E634&lt;&gt;"대체",$I634&gt;0),"지출 과목인데 수입에 적혔습니다",IF($K634="","증빙을 고르십시오",IF($H634="","적요를 적으십시오","")))))))))))</f>
        <v/>
      </c>
      <c r="M634" s="39"/>
      <c r="O634" s="11" t="str">
        <f aca="false">IF($B634="","",YEAR($B634)*100+MONTH($B634))</f>
        <v/>
      </c>
      <c r="P634" s="11" t="str">
        <f aca="false">IF($B634="","",IF($E634="대체",0,1))</f>
        <v/>
      </c>
    </row>
    <row r="635" customFormat="false" ht="15" hidden="false" customHeight="false" outlineLevel="0" collapsed="false">
      <c r="A635" s="36" t="str">
        <f aca="false">IF($B635="","",COUNT($B$15:$B635))</f>
        <v/>
      </c>
      <c r="B635" s="37"/>
      <c r="C635" s="38"/>
      <c r="D635" s="20"/>
      <c r="E635" s="36" t="str">
        <f aca="false">IF($D635="","",IFERROR(INDEX('교육원 ④ 설정'!$A$6:$A$40,MATCH($D635,'교육원 ④ 설정'!$B$6:$B$40,0)),"※없는 과목"))</f>
        <v/>
      </c>
      <c r="F635" s="36" t="str">
        <f aca="false">IF($D635="","",IFERROR(INDEX('교육원 ④ 설정'!$C$6:$C$40,MATCH($D635,'교육원 ④ 설정'!$B$6:$B$40,0)),""))</f>
        <v/>
      </c>
      <c r="G635" s="39"/>
      <c r="H635" s="39"/>
      <c r="I635" s="40"/>
      <c r="J635" s="41"/>
      <c r="K635" s="38"/>
      <c r="L635" s="42" t="str">
        <f aca="false">IF($B635="","",IF(AND(N($I635)=0,N($J635)=0),"금액이 없습니다",IF(AND($I635&gt;0,$J635&gt;0),"수입·지출 둘 다 적혔습니다",IF($C635="","결제수단을 고르십시오",IF(ISNA(MATCH($C635,'교육원 ③ 통장·카드'!$A$5:$A$11,0)),"③ 통장·카드에 없는 결제수단입니다",IF($D635="","계정과목을 고르십시오",IF($E635="※없는 과목","④ 설정에 없는 과목입니다",IF(AND($E635="수입",$J635&gt;0),"수입 과목인데 지출에 적혔습니다",IF(AND(LEFT($E635,2)&lt;&gt;"수입",$E635&lt;&gt;"대체",$I635&gt;0),"지출 과목인데 수입에 적혔습니다",IF($K635="","증빙을 고르십시오",IF($H635="","적요를 적으십시오","")))))))))))</f>
        <v/>
      </c>
      <c r="M635" s="39"/>
      <c r="O635" s="11" t="str">
        <f aca="false">IF($B635="","",YEAR($B635)*100+MONTH($B635))</f>
        <v/>
      </c>
      <c r="P635" s="11" t="str">
        <f aca="false">IF($B635="","",IF($E635="대체",0,1))</f>
        <v/>
      </c>
    </row>
    <row r="636" customFormat="false" ht="15" hidden="false" customHeight="false" outlineLevel="0" collapsed="false">
      <c r="A636" s="36" t="str">
        <f aca="false">IF($B636="","",COUNT($B$15:$B636))</f>
        <v/>
      </c>
      <c r="B636" s="37"/>
      <c r="C636" s="38"/>
      <c r="D636" s="20"/>
      <c r="E636" s="36" t="str">
        <f aca="false">IF($D636="","",IFERROR(INDEX('교육원 ④ 설정'!$A$6:$A$40,MATCH($D636,'교육원 ④ 설정'!$B$6:$B$40,0)),"※없는 과목"))</f>
        <v/>
      </c>
      <c r="F636" s="36" t="str">
        <f aca="false">IF($D636="","",IFERROR(INDEX('교육원 ④ 설정'!$C$6:$C$40,MATCH($D636,'교육원 ④ 설정'!$B$6:$B$40,0)),""))</f>
        <v/>
      </c>
      <c r="G636" s="39"/>
      <c r="H636" s="39"/>
      <c r="I636" s="40"/>
      <c r="J636" s="41"/>
      <c r="K636" s="38"/>
      <c r="L636" s="42" t="str">
        <f aca="false">IF($B636="","",IF(AND(N($I636)=0,N($J636)=0),"금액이 없습니다",IF(AND($I636&gt;0,$J636&gt;0),"수입·지출 둘 다 적혔습니다",IF($C636="","결제수단을 고르십시오",IF(ISNA(MATCH($C636,'교육원 ③ 통장·카드'!$A$5:$A$11,0)),"③ 통장·카드에 없는 결제수단입니다",IF($D636="","계정과목을 고르십시오",IF($E636="※없는 과목","④ 설정에 없는 과목입니다",IF(AND($E636="수입",$J636&gt;0),"수입 과목인데 지출에 적혔습니다",IF(AND(LEFT($E636,2)&lt;&gt;"수입",$E636&lt;&gt;"대체",$I636&gt;0),"지출 과목인데 수입에 적혔습니다",IF($K636="","증빙을 고르십시오",IF($H636="","적요를 적으십시오","")))))))))))</f>
        <v/>
      </c>
      <c r="M636" s="39"/>
      <c r="O636" s="11" t="str">
        <f aca="false">IF($B636="","",YEAR($B636)*100+MONTH($B636))</f>
        <v/>
      </c>
      <c r="P636" s="11" t="str">
        <f aca="false">IF($B636="","",IF($E636="대체",0,1))</f>
        <v/>
      </c>
    </row>
    <row r="637" customFormat="false" ht="15" hidden="false" customHeight="false" outlineLevel="0" collapsed="false">
      <c r="A637" s="36" t="str">
        <f aca="false">IF($B637="","",COUNT($B$15:$B637))</f>
        <v/>
      </c>
      <c r="B637" s="37"/>
      <c r="C637" s="38"/>
      <c r="D637" s="20"/>
      <c r="E637" s="36" t="str">
        <f aca="false">IF($D637="","",IFERROR(INDEX('교육원 ④ 설정'!$A$6:$A$40,MATCH($D637,'교육원 ④ 설정'!$B$6:$B$40,0)),"※없는 과목"))</f>
        <v/>
      </c>
      <c r="F637" s="36" t="str">
        <f aca="false">IF($D637="","",IFERROR(INDEX('교육원 ④ 설정'!$C$6:$C$40,MATCH($D637,'교육원 ④ 설정'!$B$6:$B$40,0)),""))</f>
        <v/>
      </c>
      <c r="G637" s="39"/>
      <c r="H637" s="39"/>
      <c r="I637" s="40"/>
      <c r="J637" s="41"/>
      <c r="K637" s="38"/>
      <c r="L637" s="42" t="str">
        <f aca="false">IF($B637="","",IF(AND(N($I637)=0,N($J637)=0),"금액이 없습니다",IF(AND($I637&gt;0,$J637&gt;0),"수입·지출 둘 다 적혔습니다",IF($C637="","결제수단을 고르십시오",IF(ISNA(MATCH($C637,'교육원 ③ 통장·카드'!$A$5:$A$11,0)),"③ 통장·카드에 없는 결제수단입니다",IF($D637="","계정과목을 고르십시오",IF($E637="※없는 과목","④ 설정에 없는 과목입니다",IF(AND($E637="수입",$J637&gt;0),"수입 과목인데 지출에 적혔습니다",IF(AND(LEFT($E637,2)&lt;&gt;"수입",$E637&lt;&gt;"대체",$I637&gt;0),"지출 과목인데 수입에 적혔습니다",IF($K637="","증빙을 고르십시오",IF($H637="","적요를 적으십시오","")))))))))))</f>
        <v/>
      </c>
      <c r="M637" s="39"/>
      <c r="O637" s="11" t="str">
        <f aca="false">IF($B637="","",YEAR($B637)*100+MONTH($B637))</f>
        <v/>
      </c>
      <c r="P637" s="11" t="str">
        <f aca="false">IF($B637="","",IF($E637="대체",0,1))</f>
        <v/>
      </c>
    </row>
    <row r="638" customFormat="false" ht="15" hidden="false" customHeight="false" outlineLevel="0" collapsed="false">
      <c r="A638" s="36" t="str">
        <f aca="false">IF($B638="","",COUNT($B$15:$B638))</f>
        <v/>
      </c>
      <c r="B638" s="37"/>
      <c r="C638" s="38"/>
      <c r="D638" s="20"/>
      <c r="E638" s="36" t="str">
        <f aca="false">IF($D638="","",IFERROR(INDEX('교육원 ④ 설정'!$A$6:$A$40,MATCH($D638,'교육원 ④ 설정'!$B$6:$B$40,0)),"※없는 과목"))</f>
        <v/>
      </c>
      <c r="F638" s="36" t="str">
        <f aca="false">IF($D638="","",IFERROR(INDEX('교육원 ④ 설정'!$C$6:$C$40,MATCH($D638,'교육원 ④ 설정'!$B$6:$B$40,0)),""))</f>
        <v/>
      </c>
      <c r="G638" s="39"/>
      <c r="H638" s="39"/>
      <c r="I638" s="40"/>
      <c r="J638" s="41"/>
      <c r="K638" s="38"/>
      <c r="L638" s="42" t="str">
        <f aca="false">IF($B638="","",IF(AND(N($I638)=0,N($J638)=0),"금액이 없습니다",IF(AND($I638&gt;0,$J638&gt;0),"수입·지출 둘 다 적혔습니다",IF($C638="","결제수단을 고르십시오",IF(ISNA(MATCH($C638,'교육원 ③ 통장·카드'!$A$5:$A$11,0)),"③ 통장·카드에 없는 결제수단입니다",IF($D638="","계정과목을 고르십시오",IF($E638="※없는 과목","④ 설정에 없는 과목입니다",IF(AND($E638="수입",$J638&gt;0),"수입 과목인데 지출에 적혔습니다",IF(AND(LEFT($E638,2)&lt;&gt;"수입",$E638&lt;&gt;"대체",$I638&gt;0),"지출 과목인데 수입에 적혔습니다",IF($K638="","증빙을 고르십시오",IF($H638="","적요를 적으십시오","")))))))))))</f>
        <v/>
      </c>
      <c r="M638" s="39"/>
      <c r="O638" s="11" t="str">
        <f aca="false">IF($B638="","",YEAR($B638)*100+MONTH($B638))</f>
        <v/>
      </c>
      <c r="P638" s="11" t="str">
        <f aca="false">IF($B638="","",IF($E638="대체",0,1))</f>
        <v/>
      </c>
    </row>
    <row r="639" customFormat="false" ht="15" hidden="false" customHeight="false" outlineLevel="0" collapsed="false">
      <c r="A639" s="36" t="str">
        <f aca="false">IF($B639="","",COUNT($B$15:$B639))</f>
        <v/>
      </c>
      <c r="B639" s="37"/>
      <c r="C639" s="38"/>
      <c r="D639" s="20"/>
      <c r="E639" s="36" t="str">
        <f aca="false">IF($D639="","",IFERROR(INDEX('교육원 ④ 설정'!$A$6:$A$40,MATCH($D639,'교육원 ④ 설정'!$B$6:$B$40,0)),"※없는 과목"))</f>
        <v/>
      </c>
      <c r="F639" s="36" t="str">
        <f aca="false">IF($D639="","",IFERROR(INDEX('교육원 ④ 설정'!$C$6:$C$40,MATCH($D639,'교육원 ④ 설정'!$B$6:$B$40,0)),""))</f>
        <v/>
      </c>
      <c r="G639" s="39"/>
      <c r="H639" s="39"/>
      <c r="I639" s="40"/>
      <c r="J639" s="41"/>
      <c r="K639" s="38"/>
      <c r="L639" s="42" t="str">
        <f aca="false">IF($B639="","",IF(AND(N($I639)=0,N($J639)=0),"금액이 없습니다",IF(AND($I639&gt;0,$J639&gt;0),"수입·지출 둘 다 적혔습니다",IF($C639="","결제수단을 고르십시오",IF(ISNA(MATCH($C639,'교육원 ③ 통장·카드'!$A$5:$A$11,0)),"③ 통장·카드에 없는 결제수단입니다",IF($D639="","계정과목을 고르십시오",IF($E639="※없는 과목","④ 설정에 없는 과목입니다",IF(AND($E639="수입",$J639&gt;0),"수입 과목인데 지출에 적혔습니다",IF(AND(LEFT($E639,2)&lt;&gt;"수입",$E639&lt;&gt;"대체",$I639&gt;0),"지출 과목인데 수입에 적혔습니다",IF($K639="","증빙을 고르십시오",IF($H639="","적요를 적으십시오","")))))))))))</f>
        <v/>
      </c>
      <c r="M639" s="39"/>
      <c r="O639" s="11" t="str">
        <f aca="false">IF($B639="","",YEAR($B639)*100+MONTH($B639))</f>
        <v/>
      </c>
      <c r="P639" s="11" t="str">
        <f aca="false">IF($B639="","",IF($E639="대체",0,1))</f>
        <v/>
      </c>
    </row>
    <row r="640" customFormat="false" ht="15" hidden="false" customHeight="false" outlineLevel="0" collapsed="false">
      <c r="A640" s="36" t="str">
        <f aca="false">IF($B640="","",COUNT($B$15:$B640))</f>
        <v/>
      </c>
      <c r="B640" s="37"/>
      <c r="C640" s="38"/>
      <c r="D640" s="20"/>
      <c r="E640" s="36" t="str">
        <f aca="false">IF($D640="","",IFERROR(INDEX('교육원 ④ 설정'!$A$6:$A$40,MATCH($D640,'교육원 ④ 설정'!$B$6:$B$40,0)),"※없는 과목"))</f>
        <v/>
      </c>
      <c r="F640" s="36" t="str">
        <f aca="false">IF($D640="","",IFERROR(INDEX('교육원 ④ 설정'!$C$6:$C$40,MATCH($D640,'교육원 ④ 설정'!$B$6:$B$40,0)),""))</f>
        <v/>
      </c>
      <c r="G640" s="39"/>
      <c r="H640" s="39"/>
      <c r="I640" s="40"/>
      <c r="J640" s="41"/>
      <c r="K640" s="38"/>
      <c r="L640" s="42" t="str">
        <f aca="false">IF($B640="","",IF(AND(N($I640)=0,N($J640)=0),"금액이 없습니다",IF(AND($I640&gt;0,$J640&gt;0),"수입·지출 둘 다 적혔습니다",IF($C640="","결제수단을 고르십시오",IF(ISNA(MATCH($C640,'교육원 ③ 통장·카드'!$A$5:$A$11,0)),"③ 통장·카드에 없는 결제수단입니다",IF($D640="","계정과목을 고르십시오",IF($E640="※없는 과목","④ 설정에 없는 과목입니다",IF(AND($E640="수입",$J640&gt;0),"수입 과목인데 지출에 적혔습니다",IF(AND(LEFT($E640,2)&lt;&gt;"수입",$E640&lt;&gt;"대체",$I640&gt;0),"지출 과목인데 수입에 적혔습니다",IF($K640="","증빙을 고르십시오",IF($H640="","적요를 적으십시오","")))))))))))</f>
        <v/>
      </c>
      <c r="M640" s="39"/>
      <c r="O640" s="11" t="str">
        <f aca="false">IF($B640="","",YEAR($B640)*100+MONTH($B640))</f>
        <v/>
      </c>
      <c r="P640" s="11" t="str">
        <f aca="false">IF($B640="","",IF($E640="대체",0,1))</f>
        <v/>
      </c>
    </row>
    <row r="641" customFormat="false" ht="15" hidden="false" customHeight="false" outlineLevel="0" collapsed="false">
      <c r="A641" s="36" t="str">
        <f aca="false">IF($B641="","",COUNT($B$15:$B641))</f>
        <v/>
      </c>
      <c r="B641" s="37"/>
      <c r="C641" s="38"/>
      <c r="D641" s="20"/>
      <c r="E641" s="36" t="str">
        <f aca="false">IF($D641="","",IFERROR(INDEX('교육원 ④ 설정'!$A$6:$A$40,MATCH($D641,'교육원 ④ 설정'!$B$6:$B$40,0)),"※없는 과목"))</f>
        <v/>
      </c>
      <c r="F641" s="36" t="str">
        <f aca="false">IF($D641="","",IFERROR(INDEX('교육원 ④ 설정'!$C$6:$C$40,MATCH($D641,'교육원 ④ 설정'!$B$6:$B$40,0)),""))</f>
        <v/>
      </c>
      <c r="G641" s="39"/>
      <c r="H641" s="39"/>
      <c r="I641" s="40"/>
      <c r="J641" s="41"/>
      <c r="K641" s="38"/>
      <c r="L641" s="42" t="str">
        <f aca="false">IF($B641="","",IF(AND(N($I641)=0,N($J641)=0),"금액이 없습니다",IF(AND($I641&gt;0,$J641&gt;0),"수입·지출 둘 다 적혔습니다",IF($C641="","결제수단을 고르십시오",IF(ISNA(MATCH($C641,'교육원 ③ 통장·카드'!$A$5:$A$11,0)),"③ 통장·카드에 없는 결제수단입니다",IF($D641="","계정과목을 고르십시오",IF($E641="※없는 과목","④ 설정에 없는 과목입니다",IF(AND($E641="수입",$J641&gt;0),"수입 과목인데 지출에 적혔습니다",IF(AND(LEFT($E641,2)&lt;&gt;"수입",$E641&lt;&gt;"대체",$I641&gt;0),"지출 과목인데 수입에 적혔습니다",IF($K641="","증빙을 고르십시오",IF($H641="","적요를 적으십시오","")))))))))))</f>
        <v/>
      </c>
      <c r="M641" s="39"/>
      <c r="O641" s="11" t="str">
        <f aca="false">IF($B641="","",YEAR($B641)*100+MONTH($B641))</f>
        <v/>
      </c>
      <c r="P641" s="11" t="str">
        <f aca="false">IF($B641="","",IF($E641="대체",0,1))</f>
        <v/>
      </c>
    </row>
    <row r="642" customFormat="false" ht="15" hidden="false" customHeight="false" outlineLevel="0" collapsed="false">
      <c r="A642" s="36" t="str">
        <f aca="false">IF($B642="","",COUNT($B$15:$B642))</f>
        <v/>
      </c>
      <c r="B642" s="37"/>
      <c r="C642" s="38"/>
      <c r="D642" s="20"/>
      <c r="E642" s="36" t="str">
        <f aca="false">IF($D642="","",IFERROR(INDEX('교육원 ④ 설정'!$A$6:$A$40,MATCH($D642,'교육원 ④ 설정'!$B$6:$B$40,0)),"※없는 과목"))</f>
        <v/>
      </c>
      <c r="F642" s="36" t="str">
        <f aca="false">IF($D642="","",IFERROR(INDEX('교육원 ④ 설정'!$C$6:$C$40,MATCH($D642,'교육원 ④ 설정'!$B$6:$B$40,0)),""))</f>
        <v/>
      </c>
      <c r="G642" s="39"/>
      <c r="H642" s="39"/>
      <c r="I642" s="40"/>
      <c r="J642" s="41"/>
      <c r="K642" s="38"/>
      <c r="L642" s="42" t="str">
        <f aca="false">IF($B642="","",IF(AND(N($I642)=0,N($J642)=0),"금액이 없습니다",IF(AND($I642&gt;0,$J642&gt;0),"수입·지출 둘 다 적혔습니다",IF($C642="","결제수단을 고르십시오",IF(ISNA(MATCH($C642,'교육원 ③ 통장·카드'!$A$5:$A$11,0)),"③ 통장·카드에 없는 결제수단입니다",IF($D642="","계정과목을 고르십시오",IF($E642="※없는 과목","④ 설정에 없는 과목입니다",IF(AND($E642="수입",$J642&gt;0),"수입 과목인데 지출에 적혔습니다",IF(AND(LEFT($E642,2)&lt;&gt;"수입",$E642&lt;&gt;"대체",$I642&gt;0),"지출 과목인데 수입에 적혔습니다",IF($K642="","증빙을 고르십시오",IF($H642="","적요를 적으십시오","")))))))))))</f>
        <v/>
      </c>
      <c r="M642" s="39"/>
      <c r="O642" s="11" t="str">
        <f aca="false">IF($B642="","",YEAR($B642)*100+MONTH($B642))</f>
        <v/>
      </c>
      <c r="P642" s="11" t="str">
        <f aca="false">IF($B642="","",IF($E642="대체",0,1))</f>
        <v/>
      </c>
    </row>
    <row r="643" customFormat="false" ht="15" hidden="false" customHeight="false" outlineLevel="0" collapsed="false">
      <c r="A643" s="36" t="str">
        <f aca="false">IF($B643="","",COUNT($B$15:$B643))</f>
        <v/>
      </c>
      <c r="B643" s="37"/>
      <c r="C643" s="38"/>
      <c r="D643" s="20"/>
      <c r="E643" s="36" t="str">
        <f aca="false">IF($D643="","",IFERROR(INDEX('교육원 ④ 설정'!$A$6:$A$40,MATCH($D643,'교육원 ④ 설정'!$B$6:$B$40,0)),"※없는 과목"))</f>
        <v/>
      </c>
      <c r="F643" s="36" t="str">
        <f aca="false">IF($D643="","",IFERROR(INDEX('교육원 ④ 설정'!$C$6:$C$40,MATCH($D643,'교육원 ④ 설정'!$B$6:$B$40,0)),""))</f>
        <v/>
      </c>
      <c r="G643" s="39"/>
      <c r="H643" s="39"/>
      <c r="I643" s="40"/>
      <c r="J643" s="41"/>
      <c r="K643" s="38"/>
      <c r="L643" s="42" t="str">
        <f aca="false">IF($B643="","",IF(AND(N($I643)=0,N($J643)=0),"금액이 없습니다",IF(AND($I643&gt;0,$J643&gt;0),"수입·지출 둘 다 적혔습니다",IF($C643="","결제수단을 고르십시오",IF(ISNA(MATCH($C643,'교육원 ③ 통장·카드'!$A$5:$A$11,0)),"③ 통장·카드에 없는 결제수단입니다",IF($D643="","계정과목을 고르십시오",IF($E643="※없는 과목","④ 설정에 없는 과목입니다",IF(AND($E643="수입",$J643&gt;0),"수입 과목인데 지출에 적혔습니다",IF(AND(LEFT($E643,2)&lt;&gt;"수입",$E643&lt;&gt;"대체",$I643&gt;0),"지출 과목인데 수입에 적혔습니다",IF($K643="","증빙을 고르십시오",IF($H643="","적요를 적으십시오","")))))))))))</f>
        <v/>
      </c>
      <c r="M643" s="39"/>
      <c r="O643" s="11" t="str">
        <f aca="false">IF($B643="","",YEAR($B643)*100+MONTH($B643))</f>
        <v/>
      </c>
      <c r="P643" s="11" t="str">
        <f aca="false">IF($B643="","",IF($E643="대체",0,1))</f>
        <v/>
      </c>
    </row>
    <row r="644" customFormat="false" ht="15" hidden="false" customHeight="false" outlineLevel="0" collapsed="false">
      <c r="A644" s="36" t="str">
        <f aca="false">IF($B644="","",COUNT($B$15:$B644))</f>
        <v/>
      </c>
      <c r="B644" s="37"/>
      <c r="C644" s="38"/>
      <c r="D644" s="20"/>
      <c r="E644" s="36" t="str">
        <f aca="false">IF($D644="","",IFERROR(INDEX('교육원 ④ 설정'!$A$6:$A$40,MATCH($D644,'교육원 ④ 설정'!$B$6:$B$40,0)),"※없는 과목"))</f>
        <v/>
      </c>
      <c r="F644" s="36" t="str">
        <f aca="false">IF($D644="","",IFERROR(INDEX('교육원 ④ 설정'!$C$6:$C$40,MATCH($D644,'교육원 ④ 설정'!$B$6:$B$40,0)),""))</f>
        <v/>
      </c>
      <c r="G644" s="39"/>
      <c r="H644" s="39"/>
      <c r="I644" s="40"/>
      <c r="J644" s="41"/>
      <c r="K644" s="38"/>
      <c r="L644" s="42" t="str">
        <f aca="false">IF($B644="","",IF(AND(N($I644)=0,N($J644)=0),"금액이 없습니다",IF(AND($I644&gt;0,$J644&gt;0),"수입·지출 둘 다 적혔습니다",IF($C644="","결제수단을 고르십시오",IF(ISNA(MATCH($C644,'교육원 ③ 통장·카드'!$A$5:$A$11,0)),"③ 통장·카드에 없는 결제수단입니다",IF($D644="","계정과목을 고르십시오",IF($E644="※없는 과목","④ 설정에 없는 과목입니다",IF(AND($E644="수입",$J644&gt;0),"수입 과목인데 지출에 적혔습니다",IF(AND(LEFT($E644,2)&lt;&gt;"수입",$E644&lt;&gt;"대체",$I644&gt;0),"지출 과목인데 수입에 적혔습니다",IF($K644="","증빙을 고르십시오",IF($H644="","적요를 적으십시오","")))))))))))</f>
        <v/>
      </c>
      <c r="M644" s="39"/>
      <c r="O644" s="11" t="str">
        <f aca="false">IF($B644="","",YEAR($B644)*100+MONTH($B644))</f>
        <v/>
      </c>
      <c r="P644" s="11" t="str">
        <f aca="false">IF($B644="","",IF($E644="대체",0,1))</f>
        <v/>
      </c>
    </row>
    <row r="645" customFormat="false" ht="15" hidden="false" customHeight="false" outlineLevel="0" collapsed="false">
      <c r="A645" s="36" t="str">
        <f aca="false">IF($B645="","",COUNT($B$15:$B645))</f>
        <v/>
      </c>
      <c r="B645" s="37"/>
      <c r="C645" s="38"/>
      <c r="D645" s="20"/>
      <c r="E645" s="36" t="str">
        <f aca="false">IF($D645="","",IFERROR(INDEX('교육원 ④ 설정'!$A$6:$A$40,MATCH($D645,'교육원 ④ 설정'!$B$6:$B$40,0)),"※없는 과목"))</f>
        <v/>
      </c>
      <c r="F645" s="36" t="str">
        <f aca="false">IF($D645="","",IFERROR(INDEX('교육원 ④ 설정'!$C$6:$C$40,MATCH($D645,'교육원 ④ 설정'!$B$6:$B$40,0)),""))</f>
        <v/>
      </c>
      <c r="G645" s="39"/>
      <c r="H645" s="39"/>
      <c r="I645" s="40"/>
      <c r="J645" s="41"/>
      <c r="K645" s="38"/>
      <c r="L645" s="42" t="str">
        <f aca="false">IF($B645="","",IF(AND(N($I645)=0,N($J645)=0),"금액이 없습니다",IF(AND($I645&gt;0,$J645&gt;0),"수입·지출 둘 다 적혔습니다",IF($C645="","결제수단을 고르십시오",IF(ISNA(MATCH($C645,'교육원 ③ 통장·카드'!$A$5:$A$11,0)),"③ 통장·카드에 없는 결제수단입니다",IF($D645="","계정과목을 고르십시오",IF($E645="※없는 과목","④ 설정에 없는 과목입니다",IF(AND($E645="수입",$J645&gt;0),"수입 과목인데 지출에 적혔습니다",IF(AND(LEFT($E645,2)&lt;&gt;"수입",$E645&lt;&gt;"대체",$I645&gt;0),"지출 과목인데 수입에 적혔습니다",IF($K645="","증빙을 고르십시오",IF($H645="","적요를 적으십시오","")))))))))))</f>
        <v/>
      </c>
      <c r="M645" s="39"/>
      <c r="O645" s="11" t="str">
        <f aca="false">IF($B645="","",YEAR($B645)*100+MONTH($B645))</f>
        <v/>
      </c>
      <c r="P645" s="11" t="str">
        <f aca="false">IF($B645="","",IF($E645="대체",0,1))</f>
        <v/>
      </c>
    </row>
    <row r="646" customFormat="false" ht="15" hidden="false" customHeight="false" outlineLevel="0" collapsed="false">
      <c r="A646" s="36" t="str">
        <f aca="false">IF($B646="","",COUNT($B$15:$B646))</f>
        <v/>
      </c>
      <c r="B646" s="37"/>
      <c r="C646" s="38"/>
      <c r="D646" s="20"/>
      <c r="E646" s="36" t="str">
        <f aca="false">IF($D646="","",IFERROR(INDEX('교육원 ④ 설정'!$A$6:$A$40,MATCH($D646,'교육원 ④ 설정'!$B$6:$B$40,0)),"※없는 과목"))</f>
        <v/>
      </c>
      <c r="F646" s="36" t="str">
        <f aca="false">IF($D646="","",IFERROR(INDEX('교육원 ④ 설정'!$C$6:$C$40,MATCH($D646,'교육원 ④ 설정'!$B$6:$B$40,0)),""))</f>
        <v/>
      </c>
      <c r="G646" s="39"/>
      <c r="H646" s="39"/>
      <c r="I646" s="40"/>
      <c r="J646" s="41"/>
      <c r="K646" s="38"/>
      <c r="L646" s="42" t="str">
        <f aca="false">IF($B646="","",IF(AND(N($I646)=0,N($J646)=0),"금액이 없습니다",IF(AND($I646&gt;0,$J646&gt;0),"수입·지출 둘 다 적혔습니다",IF($C646="","결제수단을 고르십시오",IF(ISNA(MATCH($C646,'교육원 ③ 통장·카드'!$A$5:$A$11,0)),"③ 통장·카드에 없는 결제수단입니다",IF($D646="","계정과목을 고르십시오",IF($E646="※없는 과목","④ 설정에 없는 과목입니다",IF(AND($E646="수입",$J646&gt;0),"수입 과목인데 지출에 적혔습니다",IF(AND(LEFT($E646,2)&lt;&gt;"수입",$E646&lt;&gt;"대체",$I646&gt;0),"지출 과목인데 수입에 적혔습니다",IF($K646="","증빙을 고르십시오",IF($H646="","적요를 적으십시오","")))))))))))</f>
        <v/>
      </c>
      <c r="M646" s="39"/>
      <c r="O646" s="11" t="str">
        <f aca="false">IF($B646="","",YEAR($B646)*100+MONTH($B646))</f>
        <v/>
      </c>
      <c r="P646" s="11" t="str">
        <f aca="false">IF($B646="","",IF($E646="대체",0,1))</f>
        <v/>
      </c>
    </row>
    <row r="647" customFormat="false" ht="15" hidden="false" customHeight="false" outlineLevel="0" collapsed="false">
      <c r="A647" s="36" t="str">
        <f aca="false">IF($B647="","",COUNT($B$15:$B647))</f>
        <v/>
      </c>
      <c r="B647" s="37"/>
      <c r="C647" s="38"/>
      <c r="D647" s="20"/>
      <c r="E647" s="36" t="str">
        <f aca="false">IF($D647="","",IFERROR(INDEX('교육원 ④ 설정'!$A$6:$A$40,MATCH($D647,'교육원 ④ 설정'!$B$6:$B$40,0)),"※없는 과목"))</f>
        <v/>
      </c>
      <c r="F647" s="36" t="str">
        <f aca="false">IF($D647="","",IFERROR(INDEX('교육원 ④ 설정'!$C$6:$C$40,MATCH($D647,'교육원 ④ 설정'!$B$6:$B$40,0)),""))</f>
        <v/>
      </c>
      <c r="G647" s="39"/>
      <c r="H647" s="39"/>
      <c r="I647" s="40"/>
      <c r="J647" s="41"/>
      <c r="K647" s="38"/>
      <c r="L647" s="42" t="str">
        <f aca="false">IF($B647="","",IF(AND(N($I647)=0,N($J647)=0),"금액이 없습니다",IF(AND($I647&gt;0,$J647&gt;0),"수입·지출 둘 다 적혔습니다",IF($C647="","결제수단을 고르십시오",IF(ISNA(MATCH($C647,'교육원 ③ 통장·카드'!$A$5:$A$11,0)),"③ 통장·카드에 없는 결제수단입니다",IF($D647="","계정과목을 고르십시오",IF($E647="※없는 과목","④ 설정에 없는 과목입니다",IF(AND($E647="수입",$J647&gt;0),"수입 과목인데 지출에 적혔습니다",IF(AND(LEFT($E647,2)&lt;&gt;"수입",$E647&lt;&gt;"대체",$I647&gt;0),"지출 과목인데 수입에 적혔습니다",IF($K647="","증빙을 고르십시오",IF($H647="","적요를 적으십시오","")))))))))))</f>
        <v/>
      </c>
      <c r="M647" s="39"/>
      <c r="O647" s="11" t="str">
        <f aca="false">IF($B647="","",YEAR($B647)*100+MONTH($B647))</f>
        <v/>
      </c>
      <c r="P647" s="11" t="str">
        <f aca="false">IF($B647="","",IF($E647="대체",0,1))</f>
        <v/>
      </c>
    </row>
    <row r="648" customFormat="false" ht="15" hidden="false" customHeight="false" outlineLevel="0" collapsed="false">
      <c r="A648" s="36" t="str">
        <f aca="false">IF($B648="","",COUNT($B$15:$B648))</f>
        <v/>
      </c>
      <c r="B648" s="37"/>
      <c r="C648" s="38"/>
      <c r="D648" s="20"/>
      <c r="E648" s="36" t="str">
        <f aca="false">IF($D648="","",IFERROR(INDEX('교육원 ④ 설정'!$A$6:$A$40,MATCH($D648,'교육원 ④ 설정'!$B$6:$B$40,0)),"※없는 과목"))</f>
        <v/>
      </c>
      <c r="F648" s="36" t="str">
        <f aca="false">IF($D648="","",IFERROR(INDEX('교육원 ④ 설정'!$C$6:$C$40,MATCH($D648,'교육원 ④ 설정'!$B$6:$B$40,0)),""))</f>
        <v/>
      </c>
      <c r="G648" s="39"/>
      <c r="H648" s="39"/>
      <c r="I648" s="40"/>
      <c r="J648" s="41"/>
      <c r="K648" s="38"/>
      <c r="L648" s="42" t="str">
        <f aca="false">IF($B648="","",IF(AND(N($I648)=0,N($J648)=0),"금액이 없습니다",IF(AND($I648&gt;0,$J648&gt;0),"수입·지출 둘 다 적혔습니다",IF($C648="","결제수단을 고르십시오",IF(ISNA(MATCH($C648,'교육원 ③ 통장·카드'!$A$5:$A$11,0)),"③ 통장·카드에 없는 결제수단입니다",IF($D648="","계정과목을 고르십시오",IF($E648="※없는 과목","④ 설정에 없는 과목입니다",IF(AND($E648="수입",$J648&gt;0),"수입 과목인데 지출에 적혔습니다",IF(AND(LEFT($E648,2)&lt;&gt;"수입",$E648&lt;&gt;"대체",$I648&gt;0),"지출 과목인데 수입에 적혔습니다",IF($K648="","증빙을 고르십시오",IF($H648="","적요를 적으십시오","")))))))))))</f>
        <v/>
      </c>
      <c r="M648" s="39"/>
      <c r="O648" s="11" t="str">
        <f aca="false">IF($B648="","",YEAR($B648)*100+MONTH($B648))</f>
        <v/>
      </c>
      <c r="P648" s="11" t="str">
        <f aca="false">IF($B648="","",IF($E648="대체",0,1))</f>
        <v/>
      </c>
    </row>
    <row r="649" customFormat="false" ht="15" hidden="false" customHeight="false" outlineLevel="0" collapsed="false">
      <c r="A649" s="36" t="str">
        <f aca="false">IF($B649="","",COUNT($B$15:$B649))</f>
        <v/>
      </c>
      <c r="B649" s="37"/>
      <c r="C649" s="38"/>
      <c r="D649" s="20"/>
      <c r="E649" s="36" t="str">
        <f aca="false">IF($D649="","",IFERROR(INDEX('교육원 ④ 설정'!$A$6:$A$40,MATCH($D649,'교육원 ④ 설정'!$B$6:$B$40,0)),"※없는 과목"))</f>
        <v/>
      </c>
      <c r="F649" s="36" t="str">
        <f aca="false">IF($D649="","",IFERROR(INDEX('교육원 ④ 설정'!$C$6:$C$40,MATCH($D649,'교육원 ④ 설정'!$B$6:$B$40,0)),""))</f>
        <v/>
      </c>
      <c r="G649" s="39"/>
      <c r="H649" s="39"/>
      <c r="I649" s="40"/>
      <c r="J649" s="41"/>
      <c r="K649" s="38"/>
      <c r="L649" s="42" t="str">
        <f aca="false">IF($B649="","",IF(AND(N($I649)=0,N($J649)=0),"금액이 없습니다",IF(AND($I649&gt;0,$J649&gt;0),"수입·지출 둘 다 적혔습니다",IF($C649="","결제수단을 고르십시오",IF(ISNA(MATCH($C649,'교육원 ③ 통장·카드'!$A$5:$A$11,0)),"③ 통장·카드에 없는 결제수단입니다",IF($D649="","계정과목을 고르십시오",IF($E649="※없는 과목","④ 설정에 없는 과목입니다",IF(AND($E649="수입",$J649&gt;0),"수입 과목인데 지출에 적혔습니다",IF(AND(LEFT($E649,2)&lt;&gt;"수입",$E649&lt;&gt;"대체",$I649&gt;0),"지출 과목인데 수입에 적혔습니다",IF($K649="","증빙을 고르십시오",IF($H649="","적요를 적으십시오","")))))))))))</f>
        <v/>
      </c>
      <c r="M649" s="39"/>
      <c r="O649" s="11" t="str">
        <f aca="false">IF($B649="","",YEAR($B649)*100+MONTH($B649))</f>
        <v/>
      </c>
      <c r="P649" s="11" t="str">
        <f aca="false">IF($B649="","",IF($E649="대체",0,1))</f>
        <v/>
      </c>
    </row>
    <row r="650" customFormat="false" ht="15" hidden="false" customHeight="false" outlineLevel="0" collapsed="false">
      <c r="A650" s="36" t="str">
        <f aca="false">IF($B650="","",COUNT($B$15:$B650))</f>
        <v/>
      </c>
      <c r="B650" s="37"/>
      <c r="C650" s="38"/>
      <c r="D650" s="20"/>
      <c r="E650" s="36" t="str">
        <f aca="false">IF($D650="","",IFERROR(INDEX('교육원 ④ 설정'!$A$6:$A$40,MATCH($D650,'교육원 ④ 설정'!$B$6:$B$40,0)),"※없는 과목"))</f>
        <v/>
      </c>
      <c r="F650" s="36" t="str">
        <f aca="false">IF($D650="","",IFERROR(INDEX('교육원 ④ 설정'!$C$6:$C$40,MATCH($D650,'교육원 ④ 설정'!$B$6:$B$40,0)),""))</f>
        <v/>
      </c>
      <c r="G650" s="39"/>
      <c r="H650" s="39"/>
      <c r="I650" s="40"/>
      <c r="J650" s="41"/>
      <c r="K650" s="38"/>
      <c r="L650" s="42" t="str">
        <f aca="false">IF($B650="","",IF(AND(N($I650)=0,N($J650)=0),"금액이 없습니다",IF(AND($I650&gt;0,$J650&gt;0),"수입·지출 둘 다 적혔습니다",IF($C650="","결제수단을 고르십시오",IF(ISNA(MATCH($C650,'교육원 ③ 통장·카드'!$A$5:$A$11,0)),"③ 통장·카드에 없는 결제수단입니다",IF($D650="","계정과목을 고르십시오",IF($E650="※없는 과목","④ 설정에 없는 과목입니다",IF(AND($E650="수입",$J650&gt;0),"수입 과목인데 지출에 적혔습니다",IF(AND(LEFT($E650,2)&lt;&gt;"수입",$E650&lt;&gt;"대체",$I650&gt;0),"지출 과목인데 수입에 적혔습니다",IF($K650="","증빙을 고르십시오",IF($H650="","적요를 적으십시오","")))))))))))</f>
        <v/>
      </c>
      <c r="M650" s="39"/>
      <c r="O650" s="11" t="str">
        <f aca="false">IF($B650="","",YEAR($B650)*100+MONTH($B650))</f>
        <v/>
      </c>
      <c r="P650" s="11" t="str">
        <f aca="false">IF($B650="","",IF($E650="대체",0,1))</f>
        <v/>
      </c>
    </row>
    <row r="651" customFormat="false" ht="15" hidden="false" customHeight="false" outlineLevel="0" collapsed="false">
      <c r="A651" s="36" t="str">
        <f aca="false">IF($B651="","",COUNT($B$15:$B651))</f>
        <v/>
      </c>
      <c r="B651" s="37"/>
      <c r="C651" s="38"/>
      <c r="D651" s="20"/>
      <c r="E651" s="36" t="str">
        <f aca="false">IF($D651="","",IFERROR(INDEX('교육원 ④ 설정'!$A$6:$A$40,MATCH($D651,'교육원 ④ 설정'!$B$6:$B$40,0)),"※없는 과목"))</f>
        <v/>
      </c>
      <c r="F651" s="36" t="str">
        <f aca="false">IF($D651="","",IFERROR(INDEX('교육원 ④ 설정'!$C$6:$C$40,MATCH($D651,'교육원 ④ 설정'!$B$6:$B$40,0)),""))</f>
        <v/>
      </c>
      <c r="G651" s="39"/>
      <c r="H651" s="39"/>
      <c r="I651" s="40"/>
      <c r="J651" s="41"/>
      <c r="K651" s="38"/>
      <c r="L651" s="42" t="str">
        <f aca="false">IF($B651="","",IF(AND(N($I651)=0,N($J651)=0),"금액이 없습니다",IF(AND($I651&gt;0,$J651&gt;0),"수입·지출 둘 다 적혔습니다",IF($C651="","결제수단을 고르십시오",IF(ISNA(MATCH($C651,'교육원 ③ 통장·카드'!$A$5:$A$11,0)),"③ 통장·카드에 없는 결제수단입니다",IF($D651="","계정과목을 고르십시오",IF($E651="※없는 과목","④ 설정에 없는 과목입니다",IF(AND($E651="수입",$J651&gt;0),"수입 과목인데 지출에 적혔습니다",IF(AND(LEFT($E651,2)&lt;&gt;"수입",$E651&lt;&gt;"대체",$I651&gt;0),"지출 과목인데 수입에 적혔습니다",IF($K651="","증빙을 고르십시오",IF($H651="","적요를 적으십시오","")))))))))))</f>
        <v/>
      </c>
      <c r="M651" s="39"/>
      <c r="O651" s="11" t="str">
        <f aca="false">IF($B651="","",YEAR($B651)*100+MONTH($B651))</f>
        <v/>
      </c>
      <c r="P651" s="11" t="str">
        <f aca="false">IF($B651="","",IF($E651="대체",0,1))</f>
        <v/>
      </c>
    </row>
    <row r="652" customFormat="false" ht="15" hidden="false" customHeight="false" outlineLevel="0" collapsed="false">
      <c r="A652" s="36" t="str">
        <f aca="false">IF($B652="","",COUNT($B$15:$B652))</f>
        <v/>
      </c>
      <c r="B652" s="37"/>
      <c r="C652" s="38"/>
      <c r="D652" s="20"/>
      <c r="E652" s="36" t="str">
        <f aca="false">IF($D652="","",IFERROR(INDEX('교육원 ④ 설정'!$A$6:$A$40,MATCH($D652,'교육원 ④ 설정'!$B$6:$B$40,0)),"※없는 과목"))</f>
        <v/>
      </c>
      <c r="F652" s="36" t="str">
        <f aca="false">IF($D652="","",IFERROR(INDEX('교육원 ④ 설정'!$C$6:$C$40,MATCH($D652,'교육원 ④ 설정'!$B$6:$B$40,0)),""))</f>
        <v/>
      </c>
      <c r="G652" s="39"/>
      <c r="H652" s="39"/>
      <c r="I652" s="40"/>
      <c r="J652" s="41"/>
      <c r="K652" s="38"/>
      <c r="L652" s="42" t="str">
        <f aca="false">IF($B652="","",IF(AND(N($I652)=0,N($J652)=0),"금액이 없습니다",IF(AND($I652&gt;0,$J652&gt;0),"수입·지출 둘 다 적혔습니다",IF($C652="","결제수단을 고르십시오",IF(ISNA(MATCH($C652,'교육원 ③ 통장·카드'!$A$5:$A$11,0)),"③ 통장·카드에 없는 결제수단입니다",IF($D652="","계정과목을 고르십시오",IF($E652="※없는 과목","④ 설정에 없는 과목입니다",IF(AND($E652="수입",$J652&gt;0),"수입 과목인데 지출에 적혔습니다",IF(AND(LEFT($E652,2)&lt;&gt;"수입",$E652&lt;&gt;"대체",$I652&gt;0),"지출 과목인데 수입에 적혔습니다",IF($K652="","증빙을 고르십시오",IF($H652="","적요를 적으십시오","")))))))))))</f>
        <v/>
      </c>
      <c r="M652" s="39"/>
      <c r="O652" s="11" t="str">
        <f aca="false">IF($B652="","",YEAR($B652)*100+MONTH($B652))</f>
        <v/>
      </c>
      <c r="P652" s="11" t="str">
        <f aca="false">IF($B652="","",IF($E652="대체",0,1))</f>
        <v/>
      </c>
    </row>
    <row r="653" customFormat="false" ht="15" hidden="false" customHeight="false" outlineLevel="0" collapsed="false">
      <c r="A653" s="36" t="str">
        <f aca="false">IF($B653="","",COUNT($B$15:$B653))</f>
        <v/>
      </c>
      <c r="B653" s="37"/>
      <c r="C653" s="38"/>
      <c r="D653" s="20"/>
      <c r="E653" s="36" t="str">
        <f aca="false">IF($D653="","",IFERROR(INDEX('교육원 ④ 설정'!$A$6:$A$40,MATCH($D653,'교육원 ④ 설정'!$B$6:$B$40,0)),"※없는 과목"))</f>
        <v/>
      </c>
      <c r="F653" s="36" t="str">
        <f aca="false">IF($D653="","",IFERROR(INDEX('교육원 ④ 설정'!$C$6:$C$40,MATCH($D653,'교육원 ④ 설정'!$B$6:$B$40,0)),""))</f>
        <v/>
      </c>
      <c r="G653" s="39"/>
      <c r="H653" s="39"/>
      <c r="I653" s="40"/>
      <c r="J653" s="41"/>
      <c r="K653" s="38"/>
      <c r="L653" s="42" t="str">
        <f aca="false">IF($B653="","",IF(AND(N($I653)=0,N($J653)=0),"금액이 없습니다",IF(AND($I653&gt;0,$J653&gt;0),"수입·지출 둘 다 적혔습니다",IF($C653="","결제수단을 고르십시오",IF(ISNA(MATCH($C653,'교육원 ③ 통장·카드'!$A$5:$A$11,0)),"③ 통장·카드에 없는 결제수단입니다",IF($D653="","계정과목을 고르십시오",IF($E653="※없는 과목","④ 설정에 없는 과목입니다",IF(AND($E653="수입",$J653&gt;0),"수입 과목인데 지출에 적혔습니다",IF(AND(LEFT($E653,2)&lt;&gt;"수입",$E653&lt;&gt;"대체",$I653&gt;0),"지출 과목인데 수입에 적혔습니다",IF($K653="","증빙을 고르십시오",IF($H653="","적요를 적으십시오","")))))))))))</f>
        <v/>
      </c>
      <c r="M653" s="39"/>
      <c r="O653" s="11" t="str">
        <f aca="false">IF($B653="","",YEAR($B653)*100+MONTH($B653))</f>
        <v/>
      </c>
      <c r="P653" s="11" t="str">
        <f aca="false">IF($B653="","",IF($E653="대체",0,1))</f>
        <v/>
      </c>
    </row>
    <row r="654" customFormat="false" ht="15" hidden="false" customHeight="false" outlineLevel="0" collapsed="false">
      <c r="A654" s="36" t="str">
        <f aca="false">IF($B654="","",COUNT($B$15:$B654))</f>
        <v/>
      </c>
      <c r="B654" s="37"/>
      <c r="C654" s="38"/>
      <c r="D654" s="20"/>
      <c r="E654" s="36" t="str">
        <f aca="false">IF($D654="","",IFERROR(INDEX('교육원 ④ 설정'!$A$6:$A$40,MATCH($D654,'교육원 ④ 설정'!$B$6:$B$40,0)),"※없는 과목"))</f>
        <v/>
      </c>
      <c r="F654" s="36" t="str">
        <f aca="false">IF($D654="","",IFERROR(INDEX('교육원 ④ 설정'!$C$6:$C$40,MATCH($D654,'교육원 ④ 설정'!$B$6:$B$40,0)),""))</f>
        <v/>
      </c>
      <c r="G654" s="39"/>
      <c r="H654" s="39"/>
      <c r="I654" s="40"/>
      <c r="J654" s="41"/>
      <c r="K654" s="38"/>
      <c r="L654" s="42" t="str">
        <f aca="false">IF($B654="","",IF(AND(N($I654)=0,N($J654)=0),"금액이 없습니다",IF(AND($I654&gt;0,$J654&gt;0),"수입·지출 둘 다 적혔습니다",IF($C654="","결제수단을 고르십시오",IF(ISNA(MATCH($C654,'교육원 ③ 통장·카드'!$A$5:$A$11,0)),"③ 통장·카드에 없는 결제수단입니다",IF($D654="","계정과목을 고르십시오",IF($E654="※없는 과목","④ 설정에 없는 과목입니다",IF(AND($E654="수입",$J654&gt;0),"수입 과목인데 지출에 적혔습니다",IF(AND(LEFT($E654,2)&lt;&gt;"수입",$E654&lt;&gt;"대체",$I654&gt;0),"지출 과목인데 수입에 적혔습니다",IF($K654="","증빙을 고르십시오",IF($H654="","적요를 적으십시오","")))))))))))</f>
        <v/>
      </c>
      <c r="M654" s="39"/>
      <c r="O654" s="11" t="str">
        <f aca="false">IF($B654="","",YEAR($B654)*100+MONTH($B654))</f>
        <v/>
      </c>
      <c r="P654" s="11" t="str">
        <f aca="false">IF($B654="","",IF($E654="대체",0,1))</f>
        <v/>
      </c>
    </row>
    <row r="655" customFormat="false" ht="15" hidden="false" customHeight="false" outlineLevel="0" collapsed="false">
      <c r="A655" s="36" t="str">
        <f aca="false">IF($B655="","",COUNT($B$15:$B655))</f>
        <v/>
      </c>
      <c r="B655" s="37"/>
      <c r="C655" s="38"/>
      <c r="D655" s="20"/>
      <c r="E655" s="36" t="str">
        <f aca="false">IF($D655="","",IFERROR(INDEX('교육원 ④ 설정'!$A$6:$A$40,MATCH($D655,'교육원 ④ 설정'!$B$6:$B$40,0)),"※없는 과목"))</f>
        <v/>
      </c>
      <c r="F655" s="36" t="str">
        <f aca="false">IF($D655="","",IFERROR(INDEX('교육원 ④ 설정'!$C$6:$C$40,MATCH($D655,'교육원 ④ 설정'!$B$6:$B$40,0)),""))</f>
        <v/>
      </c>
      <c r="G655" s="39"/>
      <c r="H655" s="39"/>
      <c r="I655" s="40"/>
      <c r="J655" s="41"/>
      <c r="K655" s="38"/>
      <c r="L655" s="42" t="str">
        <f aca="false">IF($B655="","",IF(AND(N($I655)=0,N($J655)=0),"금액이 없습니다",IF(AND($I655&gt;0,$J655&gt;0),"수입·지출 둘 다 적혔습니다",IF($C655="","결제수단을 고르십시오",IF(ISNA(MATCH($C655,'교육원 ③ 통장·카드'!$A$5:$A$11,0)),"③ 통장·카드에 없는 결제수단입니다",IF($D655="","계정과목을 고르십시오",IF($E655="※없는 과목","④ 설정에 없는 과목입니다",IF(AND($E655="수입",$J655&gt;0),"수입 과목인데 지출에 적혔습니다",IF(AND(LEFT($E655,2)&lt;&gt;"수입",$E655&lt;&gt;"대체",$I655&gt;0),"지출 과목인데 수입에 적혔습니다",IF($K655="","증빙을 고르십시오",IF($H655="","적요를 적으십시오","")))))))))))</f>
        <v/>
      </c>
      <c r="M655" s="39"/>
      <c r="O655" s="11" t="str">
        <f aca="false">IF($B655="","",YEAR($B655)*100+MONTH($B655))</f>
        <v/>
      </c>
      <c r="P655" s="11" t="str">
        <f aca="false">IF($B655="","",IF($E655="대체",0,1))</f>
        <v/>
      </c>
    </row>
    <row r="656" customFormat="false" ht="15" hidden="false" customHeight="false" outlineLevel="0" collapsed="false">
      <c r="A656" s="36" t="str">
        <f aca="false">IF($B656="","",COUNT($B$15:$B656))</f>
        <v/>
      </c>
      <c r="B656" s="37"/>
      <c r="C656" s="38"/>
      <c r="D656" s="20"/>
      <c r="E656" s="36" t="str">
        <f aca="false">IF($D656="","",IFERROR(INDEX('교육원 ④ 설정'!$A$6:$A$40,MATCH($D656,'교육원 ④ 설정'!$B$6:$B$40,0)),"※없는 과목"))</f>
        <v/>
      </c>
      <c r="F656" s="36" t="str">
        <f aca="false">IF($D656="","",IFERROR(INDEX('교육원 ④ 설정'!$C$6:$C$40,MATCH($D656,'교육원 ④ 설정'!$B$6:$B$40,0)),""))</f>
        <v/>
      </c>
      <c r="G656" s="39"/>
      <c r="H656" s="39"/>
      <c r="I656" s="40"/>
      <c r="J656" s="41"/>
      <c r="K656" s="38"/>
      <c r="L656" s="42" t="str">
        <f aca="false">IF($B656="","",IF(AND(N($I656)=0,N($J656)=0),"금액이 없습니다",IF(AND($I656&gt;0,$J656&gt;0),"수입·지출 둘 다 적혔습니다",IF($C656="","결제수단을 고르십시오",IF(ISNA(MATCH($C656,'교육원 ③ 통장·카드'!$A$5:$A$11,0)),"③ 통장·카드에 없는 결제수단입니다",IF($D656="","계정과목을 고르십시오",IF($E656="※없는 과목","④ 설정에 없는 과목입니다",IF(AND($E656="수입",$J656&gt;0),"수입 과목인데 지출에 적혔습니다",IF(AND(LEFT($E656,2)&lt;&gt;"수입",$E656&lt;&gt;"대체",$I656&gt;0),"지출 과목인데 수입에 적혔습니다",IF($K656="","증빙을 고르십시오",IF($H656="","적요를 적으십시오","")))))))))))</f>
        <v/>
      </c>
      <c r="M656" s="39"/>
      <c r="O656" s="11" t="str">
        <f aca="false">IF($B656="","",YEAR($B656)*100+MONTH($B656))</f>
        <v/>
      </c>
      <c r="P656" s="11" t="str">
        <f aca="false">IF($B656="","",IF($E656="대체",0,1))</f>
        <v/>
      </c>
    </row>
    <row r="657" customFormat="false" ht="15" hidden="false" customHeight="false" outlineLevel="0" collapsed="false">
      <c r="A657" s="36" t="str">
        <f aca="false">IF($B657="","",COUNT($B$15:$B657))</f>
        <v/>
      </c>
      <c r="B657" s="37"/>
      <c r="C657" s="38"/>
      <c r="D657" s="20"/>
      <c r="E657" s="36" t="str">
        <f aca="false">IF($D657="","",IFERROR(INDEX('교육원 ④ 설정'!$A$6:$A$40,MATCH($D657,'교육원 ④ 설정'!$B$6:$B$40,0)),"※없는 과목"))</f>
        <v/>
      </c>
      <c r="F657" s="36" t="str">
        <f aca="false">IF($D657="","",IFERROR(INDEX('교육원 ④ 설정'!$C$6:$C$40,MATCH($D657,'교육원 ④ 설정'!$B$6:$B$40,0)),""))</f>
        <v/>
      </c>
      <c r="G657" s="39"/>
      <c r="H657" s="39"/>
      <c r="I657" s="40"/>
      <c r="J657" s="41"/>
      <c r="K657" s="38"/>
      <c r="L657" s="42" t="str">
        <f aca="false">IF($B657="","",IF(AND(N($I657)=0,N($J657)=0),"금액이 없습니다",IF(AND($I657&gt;0,$J657&gt;0),"수입·지출 둘 다 적혔습니다",IF($C657="","결제수단을 고르십시오",IF(ISNA(MATCH($C657,'교육원 ③ 통장·카드'!$A$5:$A$11,0)),"③ 통장·카드에 없는 결제수단입니다",IF($D657="","계정과목을 고르십시오",IF($E657="※없는 과목","④ 설정에 없는 과목입니다",IF(AND($E657="수입",$J657&gt;0),"수입 과목인데 지출에 적혔습니다",IF(AND(LEFT($E657,2)&lt;&gt;"수입",$E657&lt;&gt;"대체",$I657&gt;0),"지출 과목인데 수입에 적혔습니다",IF($K657="","증빙을 고르십시오",IF($H657="","적요를 적으십시오","")))))))))))</f>
        <v/>
      </c>
      <c r="M657" s="39"/>
      <c r="O657" s="11" t="str">
        <f aca="false">IF($B657="","",YEAR($B657)*100+MONTH($B657))</f>
        <v/>
      </c>
      <c r="P657" s="11" t="str">
        <f aca="false">IF($B657="","",IF($E657="대체",0,1))</f>
        <v/>
      </c>
    </row>
    <row r="658" customFormat="false" ht="15" hidden="false" customHeight="false" outlineLevel="0" collapsed="false">
      <c r="A658" s="36" t="str">
        <f aca="false">IF($B658="","",COUNT($B$15:$B658))</f>
        <v/>
      </c>
      <c r="B658" s="37"/>
      <c r="C658" s="38"/>
      <c r="D658" s="20"/>
      <c r="E658" s="36" t="str">
        <f aca="false">IF($D658="","",IFERROR(INDEX('교육원 ④ 설정'!$A$6:$A$40,MATCH($D658,'교육원 ④ 설정'!$B$6:$B$40,0)),"※없는 과목"))</f>
        <v/>
      </c>
      <c r="F658" s="36" t="str">
        <f aca="false">IF($D658="","",IFERROR(INDEX('교육원 ④ 설정'!$C$6:$C$40,MATCH($D658,'교육원 ④ 설정'!$B$6:$B$40,0)),""))</f>
        <v/>
      </c>
      <c r="G658" s="39"/>
      <c r="H658" s="39"/>
      <c r="I658" s="40"/>
      <c r="J658" s="41"/>
      <c r="K658" s="38"/>
      <c r="L658" s="42" t="str">
        <f aca="false">IF($B658="","",IF(AND(N($I658)=0,N($J658)=0),"금액이 없습니다",IF(AND($I658&gt;0,$J658&gt;0),"수입·지출 둘 다 적혔습니다",IF($C658="","결제수단을 고르십시오",IF(ISNA(MATCH($C658,'교육원 ③ 통장·카드'!$A$5:$A$11,0)),"③ 통장·카드에 없는 결제수단입니다",IF($D658="","계정과목을 고르십시오",IF($E658="※없는 과목","④ 설정에 없는 과목입니다",IF(AND($E658="수입",$J658&gt;0),"수입 과목인데 지출에 적혔습니다",IF(AND(LEFT($E658,2)&lt;&gt;"수입",$E658&lt;&gt;"대체",$I658&gt;0),"지출 과목인데 수입에 적혔습니다",IF($K658="","증빙을 고르십시오",IF($H658="","적요를 적으십시오","")))))))))))</f>
        <v/>
      </c>
      <c r="M658" s="39"/>
      <c r="O658" s="11" t="str">
        <f aca="false">IF($B658="","",YEAR($B658)*100+MONTH($B658))</f>
        <v/>
      </c>
      <c r="P658" s="11" t="str">
        <f aca="false">IF($B658="","",IF($E658="대체",0,1))</f>
        <v/>
      </c>
    </row>
    <row r="659" customFormat="false" ht="15" hidden="false" customHeight="false" outlineLevel="0" collapsed="false">
      <c r="A659" s="36" t="str">
        <f aca="false">IF($B659="","",COUNT($B$15:$B659))</f>
        <v/>
      </c>
      <c r="B659" s="37"/>
      <c r="C659" s="38"/>
      <c r="D659" s="20"/>
      <c r="E659" s="36" t="str">
        <f aca="false">IF($D659="","",IFERROR(INDEX('교육원 ④ 설정'!$A$6:$A$40,MATCH($D659,'교육원 ④ 설정'!$B$6:$B$40,0)),"※없는 과목"))</f>
        <v/>
      </c>
      <c r="F659" s="36" t="str">
        <f aca="false">IF($D659="","",IFERROR(INDEX('교육원 ④ 설정'!$C$6:$C$40,MATCH($D659,'교육원 ④ 설정'!$B$6:$B$40,0)),""))</f>
        <v/>
      </c>
      <c r="G659" s="39"/>
      <c r="H659" s="39"/>
      <c r="I659" s="40"/>
      <c r="J659" s="41"/>
      <c r="K659" s="38"/>
      <c r="L659" s="42" t="str">
        <f aca="false">IF($B659="","",IF(AND(N($I659)=0,N($J659)=0),"금액이 없습니다",IF(AND($I659&gt;0,$J659&gt;0),"수입·지출 둘 다 적혔습니다",IF($C659="","결제수단을 고르십시오",IF(ISNA(MATCH($C659,'교육원 ③ 통장·카드'!$A$5:$A$11,0)),"③ 통장·카드에 없는 결제수단입니다",IF($D659="","계정과목을 고르십시오",IF($E659="※없는 과목","④ 설정에 없는 과목입니다",IF(AND($E659="수입",$J659&gt;0),"수입 과목인데 지출에 적혔습니다",IF(AND(LEFT($E659,2)&lt;&gt;"수입",$E659&lt;&gt;"대체",$I659&gt;0),"지출 과목인데 수입에 적혔습니다",IF($K659="","증빙을 고르십시오",IF($H659="","적요를 적으십시오","")))))))))))</f>
        <v/>
      </c>
      <c r="M659" s="39"/>
      <c r="O659" s="11" t="str">
        <f aca="false">IF($B659="","",YEAR($B659)*100+MONTH($B659))</f>
        <v/>
      </c>
      <c r="P659" s="11" t="str">
        <f aca="false">IF($B659="","",IF($E659="대체",0,1))</f>
        <v/>
      </c>
    </row>
    <row r="660" customFormat="false" ht="15" hidden="false" customHeight="false" outlineLevel="0" collapsed="false">
      <c r="A660" s="36" t="str">
        <f aca="false">IF($B660="","",COUNT($B$15:$B660))</f>
        <v/>
      </c>
      <c r="B660" s="37"/>
      <c r="C660" s="38"/>
      <c r="D660" s="20"/>
      <c r="E660" s="36" t="str">
        <f aca="false">IF($D660="","",IFERROR(INDEX('교육원 ④ 설정'!$A$6:$A$40,MATCH($D660,'교육원 ④ 설정'!$B$6:$B$40,0)),"※없는 과목"))</f>
        <v/>
      </c>
      <c r="F660" s="36" t="str">
        <f aca="false">IF($D660="","",IFERROR(INDEX('교육원 ④ 설정'!$C$6:$C$40,MATCH($D660,'교육원 ④ 설정'!$B$6:$B$40,0)),""))</f>
        <v/>
      </c>
      <c r="G660" s="39"/>
      <c r="H660" s="39"/>
      <c r="I660" s="40"/>
      <c r="J660" s="41"/>
      <c r="K660" s="38"/>
      <c r="L660" s="42" t="str">
        <f aca="false">IF($B660="","",IF(AND(N($I660)=0,N($J660)=0),"금액이 없습니다",IF(AND($I660&gt;0,$J660&gt;0),"수입·지출 둘 다 적혔습니다",IF($C660="","결제수단을 고르십시오",IF(ISNA(MATCH($C660,'교육원 ③ 통장·카드'!$A$5:$A$11,0)),"③ 통장·카드에 없는 결제수단입니다",IF($D660="","계정과목을 고르십시오",IF($E660="※없는 과목","④ 설정에 없는 과목입니다",IF(AND($E660="수입",$J660&gt;0),"수입 과목인데 지출에 적혔습니다",IF(AND(LEFT($E660,2)&lt;&gt;"수입",$E660&lt;&gt;"대체",$I660&gt;0),"지출 과목인데 수입에 적혔습니다",IF($K660="","증빙을 고르십시오",IF($H660="","적요를 적으십시오","")))))))))))</f>
        <v/>
      </c>
      <c r="M660" s="39"/>
      <c r="O660" s="11" t="str">
        <f aca="false">IF($B660="","",YEAR($B660)*100+MONTH($B660))</f>
        <v/>
      </c>
      <c r="P660" s="11" t="str">
        <f aca="false">IF($B660="","",IF($E660="대체",0,1))</f>
        <v/>
      </c>
    </row>
    <row r="661" customFormat="false" ht="15" hidden="false" customHeight="false" outlineLevel="0" collapsed="false">
      <c r="A661" s="36" t="str">
        <f aca="false">IF($B661="","",COUNT($B$15:$B661))</f>
        <v/>
      </c>
      <c r="B661" s="37"/>
      <c r="C661" s="38"/>
      <c r="D661" s="20"/>
      <c r="E661" s="36" t="str">
        <f aca="false">IF($D661="","",IFERROR(INDEX('교육원 ④ 설정'!$A$6:$A$40,MATCH($D661,'교육원 ④ 설정'!$B$6:$B$40,0)),"※없는 과목"))</f>
        <v/>
      </c>
      <c r="F661" s="36" t="str">
        <f aca="false">IF($D661="","",IFERROR(INDEX('교육원 ④ 설정'!$C$6:$C$40,MATCH($D661,'교육원 ④ 설정'!$B$6:$B$40,0)),""))</f>
        <v/>
      </c>
      <c r="G661" s="39"/>
      <c r="H661" s="39"/>
      <c r="I661" s="40"/>
      <c r="J661" s="41"/>
      <c r="K661" s="38"/>
      <c r="L661" s="42" t="str">
        <f aca="false">IF($B661="","",IF(AND(N($I661)=0,N($J661)=0),"금액이 없습니다",IF(AND($I661&gt;0,$J661&gt;0),"수입·지출 둘 다 적혔습니다",IF($C661="","결제수단을 고르십시오",IF(ISNA(MATCH($C661,'교육원 ③ 통장·카드'!$A$5:$A$11,0)),"③ 통장·카드에 없는 결제수단입니다",IF($D661="","계정과목을 고르십시오",IF($E661="※없는 과목","④ 설정에 없는 과목입니다",IF(AND($E661="수입",$J661&gt;0),"수입 과목인데 지출에 적혔습니다",IF(AND(LEFT($E661,2)&lt;&gt;"수입",$E661&lt;&gt;"대체",$I661&gt;0),"지출 과목인데 수입에 적혔습니다",IF($K661="","증빙을 고르십시오",IF($H661="","적요를 적으십시오","")))))))))))</f>
        <v/>
      </c>
      <c r="M661" s="39"/>
      <c r="O661" s="11" t="str">
        <f aca="false">IF($B661="","",YEAR($B661)*100+MONTH($B661))</f>
        <v/>
      </c>
      <c r="P661" s="11" t="str">
        <f aca="false">IF($B661="","",IF($E661="대체",0,1))</f>
        <v/>
      </c>
    </row>
    <row r="662" customFormat="false" ht="15" hidden="false" customHeight="false" outlineLevel="0" collapsed="false">
      <c r="A662" s="36" t="str">
        <f aca="false">IF($B662="","",COUNT($B$15:$B662))</f>
        <v/>
      </c>
      <c r="B662" s="37"/>
      <c r="C662" s="38"/>
      <c r="D662" s="20"/>
      <c r="E662" s="36" t="str">
        <f aca="false">IF($D662="","",IFERROR(INDEX('교육원 ④ 설정'!$A$6:$A$40,MATCH($D662,'교육원 ④ 설정'!$B$6:$B$40,0)),"※없는 과목"))</f>
        <v/>
      </c>
      <c r="F662" s="36" t="str">
        <f aca="false">IF($D662="","",IFERROR(INDEX('교육원 ④ 설정'!$C$6:$C$40,MATCH($D662,'교육원 ④ 설정'!$B$6:$B$40,0)),""))</f>
        <v/>
      </c>
      <c r="G662" s="39"/>
      <c r="H662" s="39"/>
      <c r="I662" s="40"/>
      <c r="J662" s="41"/>
      <c r="K662" s="38"/>
      <c r="L662" s="42" t="str">
        <f aca="false">IF($B662="","",IF(AND(N($I662)=0,N($J662)=0),"금액이 없습니다",IF(AND($I662&gt;0,$J662&gt;0),"수입·지출 둘 다 적혔습니다",IF($C662="","결제수단을 고르십시오",IF(ISNA(MATCH($C662,'교육원 ③ 통장·카드'!$A$5:$A$11,0)),"③ 통장·카드에 없는 결제수단입니다",IF($D662="","계정과목을 고르십시오",IF($E662="※없는 과목","④ 설정에 없는 과목입니다",IF(AND($E662="수입",$J662&gt;0),"수입 과목인데 지출에 적혔습니다",IF(AND(LEFT($E662,2)&lt;&gt;"수입",$E662&lt;&gt;"대체",$I662&gt;0),"지출 과목인데 수입에 적혔습니다",IF($K662="","증빙을 고르십시오",IF($H662="","적요를 적으십시오","")))))))))))</f>
        <v/>
      </c>
      <c r="M662" s="39"/>
      <c r="O662" s="11" t="str">
        <f aca="false">IF($B662="","",YEAR($B662)*100+MONTH($B662))</f>
        <v/>
      </c>
      <c r="P662" s="11" t="str">
        <f aca="false">IF($B662="","",IF($E662="대체",0,1))</f>
        <v/>
      </c>
    </row>
    <row r="663" customFormat="false" ht="15" hidden="false" customHeight="false" outlineLevel="0" collapsed="false">
      <c r="A663" s="36" t="str">
        <f aca="false">IF($B663="","",COUNT($B$15:$B663))</f>
        <v/>
      </c>
      <c r="B663" s="37"/>
      <c r="C663" s="38"/>
      <c r="D663" s="20"/>
      <c r="E663" s="36" t="str">
        <f aca="false">IF($D663="","",IFERROR(INDEX('교육원 ④ 설정'!$A$6:$A$40,MATCH($D663,'교육원 ④ 설정'!$B$6:$B$40,0)),"※없는 과목"))</f>
        <v/>
      </c>
      <c r="F663" s="36" t="str">
        <f aca="false">IF($D663="","",IFERROR(INDEX('교육원 ④ 설정'!$C$6:$C$40,MATCH($D663,'교육원 ④ 설정'!$B$6:$B$40,0)),""))</f>
        <v/>
      </c>
      <c r="G663" s="39"/>
      <c r="H663" s="39"/>
      <c r="I663" s="40"/>
      <c r="J663" s="41"/>
      <c r="K663" s="38"/>
      <c r="L663" s="42" t="str">
        <f aca="false">IF($B663="","",IF(AND(N($I663)=0,N($J663)=0),"금액이 없습니다",IF(AND($I663&gt;0,$J663&gt;0),"수입·지출 둘 다 적혔습니다",IF($C663="","결제수단을 고르십시오",IF(ISNA(MATCH($C663,'교육원 ③ 통장·카드'!$A$5:$A$11,0)),"③ 통장·카드에 없는 결제수단입니다",IF($D663="","계정과목을 고르십시오",IF($E663="※없는 과목","④ 설정에 없는 과목입니다",IF(AND($E663="수입",$J663&gt;0),"수입 과목인데 지출에 적혔습니다",IF(AND(LEFT($E663,2)&lt;&gt;"수입",$E663&lt;&gt;"대체",$I663&gt;0),"지출 과목인데 수입에 적혔습니다",IF($K663="","증빙을 고르십시오",IF($H663="","적요를 적으십시오","")))))))))))</f>
        <v/>
      </c>
      <c r="M663" s="39"/>
      <c r="O663" s="11" t="str">
        <f aca="false">IF($B663="","",YEAR($B663)*100+MONTH($B663))</f>
        <v/>
      </c>
      <c r="P663" s="11" t="str">
        <f aca="false">IF($B663="","",IF($E663="대체",0,1))</f>
        <v/>
      </c>
    </row>
    <row r="664" customFormat="false" ht="15" hidden="false" customHeight="false" outlineLevel="0" collapsed="false">
      <c r="A664" s="36" t="str">
        <f aca="false">IF($B664="","",COUNT($B$15:$B664))</f>
        <v/>
      </c>
      <c r="B664" s="37"/>
      <c r="C664" s="38"/>
      <c r="D664" s="20"/>
      <c r="E664" s="36" t="str">
        <f aca="false">IF($D664="","",IFERROR(INDEX('교육원 ④ 설정'!$A$6:$A$40,MATCH($D664,'교육원 ④ 설정'!$B$6:$B$40,0)),"※없는 과목"))</f>
        <v/>
      </c>
      <c r="F664" s="36" t="str">
        <f aca="false">IF($D664="","",IFERROR(INDEX('교육원 ④ 설정'!$C$6:$C$40,MATCH($D664,'교육원 ④ 설정'!$B$6:$B$40,0)),""))</f>
        <v/>
      </c>
      <c r="G664" s="39"/>
      <c r="H664" s="39"/>
      <c r="I664" s="40"/>
      <c r="J664" s="41"/>
      <c r="K664" s="38"/>
      <c r="L664" s="42" t="str">
        <f aca="false">IF($B664="","",IF(AND(N($I664)=0,N($J664)=0),"금액이 없습니다",IF(AND($I664&gt;0,$J664&gt;0),"수입·지출 둘 다 적혔습니다",IF($C664="","결제수단을 고르십시오",IF(ISNA(MATCH($C664,'교육원 ③ 통장·카드'!$A$5:$A$11,0)),"③ 통장·카드에 없는 결제수단입니다",IF($D664="","계정과목을 고르십시오",IF($E664="※없는 과목","④ 설정에 없는 과목입니다",IF(AND($E664="수입",$J664&gt;0),"수입 과목인데 지출에 적혔습니다",IF(AND(LEFT($E664,2)&lt;&gt;"수입",$E664&lt;&gt;"대체",$I664&gt;0),"지출 과목인데 수입에 적혔습니다",IF($K664="","증빙을 고르십시오",IF($H664="","적요를 적으십시오","")))))))))))</f>
        <v/>
      </c>
      <c r="M664" s="39"/>
      <c r="O664" s="11" t="str">
        <f aca="false">IF($B664="","",YEAR($B664)*100+MONTH($B664))</f>
        <v/>
      </c>
      <c r="P664" s="11" t="str">
        <f aca="false">IF($B664="","",IF($E664="대체",0,1))</f>
        <v/>
      </c>
    </row>
    <row r="665" customFormat="false" ht="15" hidden="false" customHeight="false" outlineLevel="0" collapsed="false">
      <c r="A665" s="36" t="str">
        <f aca="false">IF($B665="","",COUNT($B$15:$B665))</f>
        <v/>
      </c>
      <c r="B665" s="37"/>
      <c r="C665" s="38"/>
      <c r="D665" s="20"/>
      <c r="E665" s="36" t="str">
        <f aca="false">IF($D665="","",IFERROR(INDEX('교육원 ④ 설정'!$A$6:$A$40,MATCH($D665,'교육원 ④ 설정'!$B$6:$B$40,0)),"※없는 과목"))</f>
        <v/>
      </c>
      <c r="F665" s="36" t="str">
        <f aca="false">IF($D665="","",IFERROR(INDEX('교육원 ④ 설정'!$C$6:$C$40,MATCH($D665,'교육원 ④ 설정'!$B$6:$B$40,0)),""))</f>
        <v/>
      </c>
      <c r="G665" s="39"/>
      <c r="H665" s="39"/>
      <c r="I665" s="40"/>
      <c r="J665" s="41"/>
      <c r="K665" s="38"/>
      <c r="L665" s="42" t="str">
        <f aca="false">IF($B665="","",IF(AND(N($I665)=0,N($J665)=0),"금액이 없습니다",IF(AND($I665&gt;0,$J665&gt;0),"수입·지출 둘 다 적혔습니다",IF($C665="","결제수단을 고르십시오",IF(ISNA(MATCH($C665,'교육원 ③ 통장·카드'!$A$5:$A$11,0)),"③ 통장·카드에 없는 결제수단입니다",IF($D665="","계정과목을 고르십시오",IF($E665="※없는 과목","④ 설정에 없는 과목입니다",IF(AND($E665="수입",$J665&gt;0),"수입 과목인데 지출에 적혔습니다",IF(AND(LEFT($E665,2)&lt;&gt;"수입",$E665&lt;&gt;"대체",$I665&gt;0),"지출 과목인데 수입에 적혔습니다",IF($K665="","증빙을 고르십시오",IF($H665="","적요를 적으십시오","")))))))))))</f>
        <v/>
      </c>
      <c r="M665" s="39"/>
      <c r="O665" s="11" t="str">
        <f aca="false">IF($B665="","",YEAR($B665)*100+MONTH($B665))</f>
        <v/>
      </c>
      <c r="P665" s="11" t="str">
        <f aca="false">IF($B665="","",IF($E665="대체",0,1))</f>
        <v/>
      </c>
    </row>
    <row r="666" customFormat="false" ht="15" hidden="false" customHeight="false" outlineLevel="0" collapsed="false">
      <c r="A666" s="36" t="str">
        <f aca="false">IF($B666="","",COUNT($B$15:$B666))</f>
        <v/>
      </c>
      <c r="B666" s="37"/>
      <c r="C666" s="38"/>
      <c r="D666" s="20"/>
      <c r="E666" s="36" t="str">
        <f aca="false">IF($D666="","",IFERROR(INDEX('교육원 ④ 설정'!$A$6:$A$40,MATCH($D666,'교육원 ④ 설정'!$B$6:$B$40,0)),"※없는 과목"))</f>
        <v/>
      </c>
      <c r="F666" s="36" t="str">
        <f aca="false">IF($D666="","",IFERROR(INDEX('교육원 ④ 설정'!$C$6:$C$40,MATCH($D666,'교육원 ④ 설정'!$B$6:$B$40,0)),""))</f>
        <v/>
      </c>
      <c r="G666" s="39"/>
      <c r="H666" s="39"/>
      <c r="I666" s="40"/>
      <c r="J666" s="41"/>
      <c r="K666" s="38"/>
      <c r="L666" s="42" t="str">
        <f aca="false">IF($B666="","",IF(AND(N($I666)=0,N($J666)=0),"금액이 없습니다",IF(AND($I666&gt;0,$J666&gt;0),"수입·지출 둘 다 적혔습니다",IF($C666="","결제수단을 고르십시오",IF(ISNA(MATCH($C666,'교육원 ③ 통장·카드'!$A$5:$A$11,0)),"③ 통장·카드에 없는 결제수단입니다",IF($D666="","계정과목을 고르십시오",IF($E666="※없는 과목","④ 설정에 없는 과목입니다",IF(AND($E666="수입",$J666&gt;0),"수입 과목인데 지출에 적혔습니다",IF(AND(LEFT($E666,2)&lt;&gt;"수입",$E666&lt;&gt;"대체",$I666&gt;0),"지출 과목인데 수입에 적혔습니다",IF($K666="","증빙을 고르십시오",IF($H666="","적요를 적으십시오","")))))))))))</f>
        <v/>
      </c>
      <c r="M666" s="39"/>
      <c r="O666" s="11" t="str">
        <f aca="false">IF($B666="","",YEAR($B666)*100+MONTH($B666))</f>
        <v/>
      </c>
      <c r="P666" s="11" t="str">
        <f aca="false">IF($B666="","",IF($E666="대체",0,1))</f>
        <v/>
      </c>
    </row>
    <row r="667" customFormat="false" ht="15" hidden="false" customHeight="false" outlineLevel="0" collapsed="false">
      <c r="A667" s="36" t="str">
        <f aca="false">IF($B667="","",COUNT($B$15:$B667))</f>
        <v/>
      </c>
      <c r="B667" s="37"/>
      <c r="C667" s="38"/>
      <c r="D667" s="20"/>
      <c r="E667" s="36" t="str">
        <f aca="false">IF($D667="","",IFERROR(INDEX('교육원 ④ 설정'!$A$6:$A$40,MATCH($D667,'교육원 ④ 설정'!$B$6:$B$40,0)),"※없는 과목"))</f>
        <v/>
      </c>
      <c r="F667" s="36" t="str">
        <f aca="false">IF($D667="","",IFERROR(INDEX('교육원 ④ 설정'!$C$6:$C$40,MATCH($D667,'교육원 ④ 설정'!$B$6:$B$40,0)),""))</f>
        <v/>
      </c>
      <c r="G667" s="39"/>
      <c r="H667" s="39"/>
      <c r="I667" s="40"/>
      <c r="J667" s="41"/>
      <c r="K667" s="38"/>
      <c r="L667" s="42" t="str">
        <f aca="false">IF($B667="","",IF(AND(N($I667)=0,N($J667)=0),"금액이 없습니다",IF(AND($I667&gt;0,$J667&gt;0),"수입·지출 둘 다 적혔습니다",IF($C667="","결제수단을 고르십시오",IF(ISNA(MATCH($C667,'교육원 ③ 통장·카드'!$A$5:$A$11,0)),"③ 통장·카드에 없는 결제수단입니다",IF($D667="","계정과목을 고르십시오",IF($E667="※없는 과목","④ 설정에 없는 과목입니다",IF(AND($E667="수입",$J667&gt;0),"수입 과목인데 지출에 적혔습니다",IF(AND(LEFT($E667,2)&lt;&gt;"수입",$E667&lt;&gt;"대체",$I667&gt;0),"지출 과목인데 수입에 적혔습니다",IF($K667="","증빙을 고르십시오",IF($H667="","적요를 적으십시오","")))))))))))</f>
        <v/>
      </c>
      <c r="M667" s="39"/>
      <c r="O667" s="11" t="str">
        <f aca="false">IF($B667="","",YEAR($B667)*100+MONTH($B667))</f>
        <v/>
      </c>
      <c r="P667" s="11" t="str">
        <f aca="false">IF($B667="","",IF($E667="대체",0,1))</f>
        <v/>
      </c>
    </row>
    <row r="668" customFormat="false" ht="15" hidden="false" customHeight="false" outlineLevel="0" collapsed="false">
      <c r="A668" s="36" t="str">
        <f aca="false">IF($B668="","",COUNT($B$15:$B668))</f>
        <v/>
      </c>
      <c r="B668" s="37"/>
      <c r="C668" s="38"/>
      <c r="D668" s="20"/>
      <c r="E668" s="36" t="str">
        <f aca="false">IF($D668="","",IFERROR(INDEX('교육원 ④ 설정'!$A$6:$A$40,MATCH($D668,'교육원 ④ 설정'!$B$6:$B$40,0)),"※없는 과목"))</f>
        <v/>
      </c>
      <c r="F668" s="36" t="str">
        <f aca="false">IF($D668="","",IFERROR(INDEX('교육원 ④ 설정'!$C$6:$C$40,MATCH($D668,'교육원 ④ 설정'!$B$6:$B$40,0)),""))</f>
        <v/>
      </c>
      <c r="G668" s="39"/>
      <c r="H668" s="39"/>
      <c r="I668" s="40"/>
      <c r="J668" s="41"/>
      <c r="K668" s="38"/>
      <c r="L668" s="42" t="str">
        <f aca="false">IF($B668="","",IF(AND(N($I668)=0,N($J668)=0),"금액이 없습니다",IF(AND($I668&gt;0,$J668&gt;0),"수입·지출 둘 다 적혔습니다",IF($C668="","결제수단을 고르십시오",IF(ISNA(MATCH($C668,'교육원 ③ 통장·카드'!$A$5:$A$11,0)),"③ 통장·카드에 없는 결제수단입니다",IF($D668="","계정과목을 고르십시오",IF($E668="※없는 과목","④ 설정에 없는 과목입니다",IF(AND($E668="수입",$J668&gt;0),"수입 과목인데 지출에 적혔습니다",IF(AND(LEFT($E668,2)&lt;&gt;"수입",$E668&lt;&gt;"대체",$I668&gt;0),"지출 과목인데 수입에 적혔습니다",IF($K668="","증빙을 고르십시오",IF($H668="","적요를 적으십시오","")))))))))))</f>
        <v/>
      </c>
      <c r="M668" s="39"/>
      <c r="O668" s="11" t="str">
        <f aca="false">IF($B668="","",YEAR($B668)*100+MONTH($B668))</f>
        <v/>
      </c>
      <c r="P668" s="11" t="str">
        <f aca="false">IF($B668="","",IF($E668="대체",0,1))</f>
        <v/>
      </c>
    </row>
    <row r="669" customFormat="false" ht="15" hidden="false" customHeight="false" outlineLevel="0" collapsed="false">
      <c r="A669" s="36" t="str">
        <f aca="false">IF($B669="","",COUNT($B$15:$B669))</f>
        <v/>
      </c>
      <c r="B669" s="37"/>
      <c r="C669" s="38"/>
      <c r="D669" s="20"/>
      <c r="E669" s="36" t="str">
        <f aca="false">IF($D669="","",IFERROR(INDEX('교육원 ④ 설정'!$A$6:$A$40,MATCH($D669,'교육원 ④ 설정'!$B$6:$B$40,0)),"※없는 과목"))</f>
        <v/>
      </c>
      <c r="F669" s="36" t="str">
        <f aca="false">IF($D669="","",IFERROR(INDEX('교육원 ④ 설정'!$C$6:$C$40,MATCH($D669,'교육원 ④ 설정'!$B$6:$B$40,0)),""))</f>
        <v/>
      </c>
      <c r="G669" s="39"/>
      <c r="H669" s="39"/>
      <c r="I669" s="40"/>
      <c r="J669" s="41"/>
      <c r="K669" s="38"/>
      <c r="L669" s="42" t="str">
        <f aca="false">IF($B669="","",IF(AND(N($I669)=0,N($J669)=0),"금액이 없습니다",IF(AND($I669&gt;0,$J669&gt;0),"수입·지출 둘 다 적혔습니다",IF($C669="","결제수단을 고르십시오",IF(ISNA(MATCH($C669,'교육원 ③ 통장·카드'!$A$5:$A$11,0)),"③ 통장·카드에 없는 결제수단입니다",IF($D669="","계정과목을 고르십시오",IF($E669="※없는 과목","④ 설정에 없는 과목입니다",IF(AND($E669="수입",$J669&gt;0),"수입 과목인데 지출에 적혔습니다",IF(AND(LEFT($E669,2)&lt;&gt;"수입",$E669&lt;&gt;"대체",$I669&gt;0),"지출 과목인데 수입에 적혔습니다",IF($K669="","증빙을 고르십시오",IF($H669="","적요를 적으십시오","")))))))))))</f>
        <v/>
      </c>
      <c r="M669" s="39"/>
      <c r="O669" s="11" t="str">
        <f aca="false">IF($B669="","",YEAR($B669)*100+MONTH($B669))</f>
        <v/>
      </c>
      <c r="P669" s="11" t="str">
        <f aca="false">IF($B669="","",IF($E669="대체",0,1))</f>
        <v/>
      </c>
    </row>
    <row r="670" customFormat="false" ht="15" hidden="false" customHeight="false" outlineLevel="0" collapsed="false">
      <c r="A670" s="36" t="str">
        <f aca="false">IF($B670="","",COUNT($B$15:$B670))</f>
        <v/>
      </c>
      <c r="B670" s="37"/>
      <c r="C670" s="38"/>
      <c r="D670" s="20"/>
      <c r="E670" s="36" t="str">
        <f aca="false">IF($D670="","",IFERROR(INDEX('교육원 ④ 설정'!$A$6:$A$40,MATCH($D670,'교육원 ④ 설정'!$B$6:$B$40,0)),"※없는 과목"))</f>
        <v/>
      </c>
      <c r="F670" s="36" t="str">
        <f aca="false">IF($D670="","",IFERROR(INDEX('교육원 ④ 설정'!$C$6:$C$40,MATCH($D670,'교육원 ④ 설정'!$B$6:$B$40,0)),""))</f>
        <v/>
      </c>
      <c r="G670" s="39"/>
      <c r="H670" s="39"/>
      <c r="I670" s="40"/>
      <c r="J670" s="41"/>
      <c r="K670" s="38"/>
      <c r="L670" s="42" t="str">
        <f aca="false">IF($B670="","",IF(AND(N($I670)=0,N($J670)=0),"금액이 없습니다",IF(AND($I670&gt;0,$J670&gt;0),"수입·지출 둘 다 적혔습니다",IF($C670="","결제수단을 고르십시오",IF(ISNA(MATCH($C670,'교육원 ③ 통장·카드'!$A$5:$A$11,0)),"③ 통장·카드에 없는 결제수단입니다",IF($D670="","계정과목을 고르십시오",IF($E670="※없는 과목","④ 설정에 없는 과목입니다",IF(AND($E670="수입",$J670&gt;0),"수입 과목인데 지출에 적혔습니다",IF(AND(LEFT($E670,2)&lt;&gt;"수입",$E670&lt;&gt;"대체",$I670&gt;0),"지출 과목인데 수입에 적혔습니다",IF($K670="","증빙을 고르십시오",IF($H670="","적요를 적으십시오","")))))))))))</f>
        <v/>
      </c>
      <c r="M670" s="39"/>
      <c r="O670" s="11" t="str">
        <f aca="false">IF($B670="","",YEAR($B670)*100+MONTH($B670))</f>
        <v/>
      </c>
      <c r="P670" s="11" t="str">
        <f aca="false">IF($B670="","",IF($E670="대체",0,1))</f>
        <v/>
      </c>
    </row>
    <row r="671" customFormat="false" ht="15" hidden="false" customHeight="false" outlineLevel="0" collapsed="false">
      <c r="A671" s="36" t="str">
        <f aca="false">IF($B671="","",COUNT($B$15:$B671))</f>
        <v/>
      </c>
      <c r="B671" s="37"/>
      <c r="C671" s="38"/>
      <c r="D671" s="20"/>
      <c r="E671" s="36" t="str">
        <f aca="false">IF($D671="","",IFERROR(INDEX('교육원 ④ 설정'!$A$6:$A$40,MATCH($D671,'교육원 ④ 설정'!$B$6:$B$40,0)),"※없는 과목"))</f>
        <v/>
      </c>
      <c r="F671" s="36" t="str">
        <f aca="false">IF($D671="","",IFERROR(INDEX('교육원 ④ 설정'!$C$6:$C$40,MATCH($D671,'교육원 ④ 설정'!$B$6:$B$40,0)),""))</f>
        <v/>
      </c>
      <c r="G671" s="39"/>
      <c r="H671" s="39"/>
      <c r="I671" s="40"/>
      <c r="J671" s="41"/>
      <c r="K671" s="38"/>
      <c r="L671" s="42" t="str">
        <f aca="false">IF($B671="","",IF(AND(N($I671)=0,N($J671)=0),"금액이 없습니다",IF(AND($I671&gt;0,$J671&gt;0),"수입·지출 둘 다 적혔습니다",IF($C671="","결제수단을 고르십시오",IF(ISNA(MATCH($C671,'교육원 ③ 통장·카드'!$A$5:$A$11,0)),"③ 통장·카드에 없는 결제수단입니다",IF($D671="","계정과목을 고르십시오",IF($E671="※없는 과목","④ 설정에 없는 과목입니다",IF(AND($E671="수입",$J671&gt;0),"수입 과목인데 지출에 적혔습니다",IF(AND(LEFT($E671,2)&lt;&gt;"수입",$E671&lt;&gt;"대체",$I671&gt;0),"지출 과목인데 수입에 적혔습니다",IF($K671="","증빙을 고르십시오",IF($H671="","적요를 적으십시오","")))))))))))</f>
        <v/>
      </c>
      <c r="M671" s="39"/>
      <c r="O671" s="11" t="str">
        <f aca="false">IF($B671="","",YEAR($B671)*100+MONTH($B671))</f>
        <v/>
      </c>
      <c r="P671" s="11" t="str">
        <f aca="false">IF($B671="","",IF($E671="대체",0,1))</f>
        <v/>
      </c>
    </row>
    <row r="672" customFormat="false" ht="15" hidden="false" customHeight="false" outlineLevel="0" collapsed="false">
      <c r="A672" s="36" t="str">
        <f aca="false">IF($B672="","",COUNT($B$15:$B672))</f>
        <v/>
      </c>
      <c r="B672" s="37"/>
      <c r="C672" s="38"/>
      <c r="D672" s="20"/>
      <c r="E672" s="36" t="str">
        <f aca="false">IF($D672="","",IFERROR(INDEX('교육원 ④ 설정'!$A$6:$A$40,MATCH($D672,'교육원 ④ 설정'!$B$6:$B$40,0)),"※없는 과목"))</f>
        <v/>
      </c>
      <c r="F672" s="36" t="str">
        <f aca="false">IF($D672="","",IFERROR(INDEX('교육원 ④ 설정'!$C$6:$C$40,MATCH($D672,'교육원 ④ 설정'!$B$6:$B$40,0)),""))</f>
        <v/>
      </c>
      <c r="G672" s="39"/>
      <c r="H672" s="39"/>
      <c r="I672" s="40"/>
      <c r="J672" s="41"/>
      <c r="K672" s="38"/>
      <c r="L672" s="42" t="str">
        <f aca="false">IF($B672="","",IF(AND(N($I672)=0,N($J672)=0),"금액이 없습니다",IF(AND($I672&gt;0,$J672&gt;0),"수입·지출 둘 다 적혔습니다",IF($C672="","결제수단을 고르십시오",IF(ISNA(MATCH($C672,'교육원 ③ 통장·카드'!$A$5:$A$11,0)),"③ 통장·카드에 없는 결제수단입니다",IF($D672="","계정과목을 고르십시오",IF($E672="※없는 과목","④ 설정에 없는 과목입니다",IF(AND($E672="수입",$J672&gt;0),"수입 과목인데 지출에 적혔습니다",IF(AND(LEFT($E672,2)&lt;&gt;"수입",$E672&lt;&gt;"대체",$I672&gt;0),"지출 과목인데 수입에 적혔습니다",IF($K672="","증빙을 고르십시오",IF($H672="","적요를 적으십시오","")))))))))))</f>
        <v/>
      </c>
      <c r="M672" s="39"/>
      <c r="O672" s="11" t="str">
        <f aca="false">IF($B672="","",YEAR($B672)*100+MONTH($B672))</f>
        <v/>
      </c>
      <c r="P672" s="11" t="str">
        <f aca="false">IF($B672="","",IF($E672="대체",0,1))</f>
        <v/>
      </c>
    </row>
    <row r="673" customFormat="false" ht="15" hidden="false" customHeight="false" outlineLevel="0" collapsed="false">
      <c r="A673" s="36" t="str">
        <f aca="false">IF($B673="","",COUNT($B$15:$B673))</f>
        <v/>
      </c>
      <c r="B673" s="37"/>
      <c r="C673" s="38"/>
      <c r="D673" s="20"/>
      <c r="E673" s="36" t="str">
        <f aca="false">IF($D673="","",IFERROR(INDEX('교육원 ④ 설정'!$A$6:$A$40,MATCH($D673,'교육원 ④ 설정'!$B$6:$B$40,0)),"※없는 과목"))</f>
        <v/>
      </c>
      <c r="F673" s="36" t="str">
        <f aca="false">IF($D673="","",IFERROR(INDEX('교육원 ④ 설정'!$C$6:$C$40,MATCH($D673,'교육원 ④ 설정'!$B$6:$B$40,0)),""))</f>
        <v/>
      </c>
      <c r="G673" s="39"/>
      <c r="H673" s="39"/>
      <c r="I673" s="40"/>
      <c r="J673" s="41"/>
      <c r="K673" s="38"/>
      <c r="L673" s="42" t="str">
        <f aca="false">IF($B673="","",IF(AND(N($I673)=0,N($J673)=0),"금액이 없습니다",IF(AND($I673&gt;0,$J673&gt;0),"수입·지출 둘 다 적혔습니다",IF($C673="","결제수단을 고르십시오",IF(ISNA(MATCH($C673,'교육원 ③ 통장·카드'!$A$5:$A$11,0)),"③ 통장·카드에 없는 결제수단입니다",IF($D673="","계정과목을 고르십시오",IF($E673="※없는 과목","④ 설정에 없는 과목입니다",IF(AND($E673="수입",$J673&gt;0),"수입 과목인데 지출에 적혔습니다",IF(AND(LEFT($E673,2)&lt;&gt;"수입",$E673&lt;&gt;"대체",$I673&gt;0),"지출 과목인데 수입에 적혔습니다",IF($K673="","증빙을 고르십시오",IF($H673="","적요를 적으십시오","")))))))))))</f>
        <v/>
      </c>
      <c r="M673" s="39"/>
      <c r="O673" s="11" t="str">
        <f aca="false">IF($B673="","",YEAR($B673)*100+MONTH($B673))</f>
        <v/>
      </c>
      <c r="P673" s="11" t="str">
        <f aca="false">IF($B673="","",IF($E673="대체",0,1))</f>
        <v/>
      </c>
    </row>
    <row r="674" customFormat="false" ht="15" hidden="false" customHeight="false" outlineLevel="0" collapsed="false">
      <c r="A674" s="36" t="str">
        <f aca="false">IF($B674="","",COUNT($B$15:$B674))</f>
        <v/>
      </c>
      <c r="B674" s="37"/>
      <c r="C674" s="38"/>
      <c r="D674" s="20"/>
      <c r="E674" s="36" t="str">
        <f aca="false">IF($D674="","",IFERROR(INDEX('교육원 ④ 설정'!$A$6:$A$40,MATCH($D674,'교육원 ④ 설정'!$B$6:$B$40,0)),"※없는 과목"))</f>
        <v/>
      </c>
      <c r="F674" s="36" t="str">
        <f aca="false">IF($D674="","",IFERROR(INDEX('교육원 ④ 설정'!$C$6:$C$40,MATCH($D674,'교육원 ④ 설정'!$B$6:$B$40,0)),""))</f>
        <v/>
      </c>
      <c r="G674" s="39"/>
      <c r="H674" s="39"/>
      <c r="I674" s="40"/>
      <c r="J674" s="41"/>
      <c r="K674" s="38"/>
      <c r="L674" s="42" t="str">
        <f aca="false">IF($B674="","",IF(AND(N($I674)=0,N($J674)=0),"금액이 없습니다",IF(AND($I674&gt;0,$J674&gt;0),"수입·지출 둘 다 적혔습니다",IF($C674="","결제수단을 고르십시오",IF(ISNA(MATCH($C674,'교육원 ③ 통장·카드'!$A$5:$A$11,0)),"③ 통장·카드에 없는 결제수단입니다",IF($D674="","계정과목을 고르십시오",IF($E674="※없는 과목","④ 설정에 없는 과목입니다",IF(AND($E674="수입",$J674&gt;0),"수입 과목인데 지출에 적혔습니다",IF(AND(LEFT($E674,2)&lt;&gt;"수입",$E674&lt;&gt;"대체",$I674&gt;0),"지출 과목인데 수입에 적혔습니다",IF($K674="","증빙을 고르십시오",IF($H674="","적요를 적으십시오","")))))))))))</f>
        <v/>
      </c>
      <c r="M674" s="39"/>
      <c r="O674" s="11" t="str">
        <f aca="false">IF($B674="","",YEAR($B674)*100+MONTH($B674))</f>
        <v/>
      </c>
      <c r="P674" s="11" t="str">
        <f aca="false">IF($B674="","",IF($E674="대체",0,1))</f>
        <v/>
      </c>
    </row>
    <row r="675" customFormat="false" ht="15" hidden="false" customHeight="false" outlineLevel="0" collapsed="false">
      <c r="A675" s="36" t="str">
        <f aca="false">IF($B675="","",COUNT($B$15:$B675))</f>
        <v/>
      </c>
      <c r="B675" s="37"/>
      <c r="C675" s="38"/>
      <c r="D675" s="20"/>
      <c r="E675" s="36" t="str">
        <f aca="false">IF($D675="","",IFERROR(INDEX('교육원 ④ 설정'!$A$6:$A$40,MATCH($D675,'교육원 ④ 설정'!$B$6:$B$40,0)),"※없는 과목"))</f>
        <v/>
      </c>
      <c r="F675" s="36" t="str">
        <f aca="false">IF($D675="","",IFERROR(INDEX('교육원 ④ 설정'!$C$6:$C$40,MATCH($D675,'교육원 ④ 설정'!$B$6:$B$40,0)),""))</f>
        <v/>
      </c>
      <c r="G675" s="39"/>
      <c r="H675" s="39"/>
      <c r="I675" s="40"/>
      <c r="J675" s="41"/>
      <c r="K675" s="38"/>
      <c r="L675" s="42" t="str">
        <f aca="false">IF($B675="","",IF(AND(N($I675)=0,N($J675)=0),"금액이 없습니다",IF(AND($I675&gt;0,$J675&gt;0),"수입·지출 둘 다 적혔습니다",IF($C675="","결제수단을 고르십시오",IF(ISNA(MATCH($C675,'교육원 ③ 통장·카드'!$A$5:$A$11,0)),"③ 통장·카드에 없는 결제수단입니다",IF($D675="","계정과목을 고르십시오",IF($E675="※없는 과목","④ 설정에 없는 과목입니다",IF(AND($E675="수입",$J675&gt;0),"수입 과목인데 지출에 적혔습니다",IF(AND(LEFT($E675,2)&lt;&gt;"수입",$E675&lt;&gt;"대체",$I675&gt;0),"지출 과목인데 수입에 적혔습니다",IF($K675="","증빙을 고르십시오",IF($H675="","적요를 적으십시오","")))))))))))</f>
        <v/>
      </c>
      <c r="M675" s="39"/>
      <c r="O675" s="11" t="str">
        <f aca="false">IF($B675="","",YEAR($B675)*100+MONTH($B675))</f>
        <v/>
      </c>
      <c r="P675" s="11" t="str">
        <f aca="false">IF($B675="","",IF($E675="대체",0,1))</f>
        <v/>
      </c>
    </row>
    <row r="676" customFormat="false" ht="15" hidden="false" customHeight="false" outlineLevel="0" collapsed="false">
      <c r="A676" s="36" t="str">
        <f aca="false">IF($B676="","",COUNT($B$15:$B676))</f>
        <v/>
      </c>
      <c r="B676" s="37"/>
      <c r="C676" s="38"/>
      <c r="D676" s="20"/>
      <c r="E676" s="36" t="str">
        <f aca="false">IF($D676="","",IFERROR(INDEX('교육원 ④ 설정'!$A$6:$A$40,MATCH($D676,'교육원 ④ 설정'!$B$6:$B$40,0)),"※없는 과목"))</f>
        <v/>
      </c>
      <c r="F676" s="36" t="str">
        <f aca="false">IF($D676="","",IFERROR(INDEX('교육원 ④ 설정'!$C$6:$C$40,MATCH($D676,'교육원 ④ 설정'!$B$6:$B$40,0)),""))</f>
        <v/>
      </c>
      <c r="G676" s="39"/>
      <c r="H676" s="39"/>
      <c r="I676" s="40"/>
      <c r="J676" s="41"/>
      <c r="K676" s="38"/>
      <c r="L676" s="42" t="str">
        <f aca="false">IF($B676="","",IF(AND(N($I676)=0,N($J676)=0),"금액이 없습니다",IF(AND($I676&gt;0,$J676&gt;0),"수입·지출 둘 다 적혔습니다",IF($C676="","결제수단을 고르십시오",IF(ISNA(MATCH($C676,'교육원 ③ 통장·카드'!$A$5:$A$11,0)),"③ 통장·카드에 없는 결제수단입니다",IF($D676="","계정과목을 고르십시오",IF($E676="※없는 과목","④ 설정에 없는 과목입니다",IF(AND($E676="수입",$J676&gt;0),"수입 과목인데 지출에 적혔습니다",IF(AND(LEFT($E676,2)&lt;&gt;"수입",$E676&lt;&gt;"대체",$I676&gt;0),"지출 과목인데 수입에 적혔습니다",IF($K676="","증빙을 고르십시오",IF($H676="","적요를 적으십시오","")))))))))))</f>
        <v/>
      </c>
      <c r="M676" s="39"/>
      <c r="O676" s="11" t="str">
        <f aca="false">IF($B676="","",YEAR($B676)*100+MONTH($B676))</f>
        <v/>
      </c>
      <c r="P676" s="11" t="str">
        <f aca="false">IF($B676="","",IF($E676="대체",0,1))</f>
        <v/>
      </c>
    </row>
    <row r="677" customFormat="false" ht="15" hidden="false" customHeight="false" outlineLevel="0" collapsed="false">
      <c r="A677" s="36" t="str">
        <f aca="false">IF($B677="","",COUNT($B$15:$B677))</f>
        <v/>
      </c>
      <c r="B677" s="37"/>
      <c r="C677" s="38"/>
      <c r="D677" s="20"/>
      <c r="E677" s="36" t="str">
        <f aca="false">IF($D677="","",IFERROR(INDEX('교육원 ④ 설정'!$A$6:$A$40,MATCH($D677,'교육원 ④ 설정'!$B$6:$B$40,0)),"※없는 과목"))</f>
        <v/>
      </c>
      <c r="F677" s="36" t="str">
        <f aca="false">IF($D677="","",IFERROR(INDEX('교육원 ④ 설정'!$C$6:$C$40,MATCH($D677,'교육원 ④ 설정'!$B$6:$B$40,0)),""))</f>
        <v/>
      </c>
      <c r="G677" s="39"/>
      <c r="H677" s="39"/>
      <c r="I677" s="40"/>
      <c r="J677" s="41"/>
      <c r="K677" s="38"/>
      <c r="L677" s="42" t="str">
        <f aca="false">IF($B677="","",IF(AND(N($I677)=0,N($J677)=0),"금액이 없습니다",IF(AND($I677&gt;0,$J677&gt;0),"수입·지출 둘 다 적혔습니다",IF($C677="","결제수단을 고르십시오",IF(ISNA(MATCH($C677,'교육원 ③ 통장·카드'!$A$5:$A$11,0)),"③ 통장·카드에 없는 결제수단입니다",IF($D677="","계정과목을 고르십시오",IF($E677="※없는 과목","④ 설정에 없는 과목입니다",IF(AND($E677="수입",$J677&gt;0),"수입 과목인데 지출에 적혔습니다",IF(AND(LEFT($E677,2)&lt;&gt;"수입",$E677&lt;&gt;"대체",$I677&gt;0),"지출 과목인데 수입에 적혔습니다",IF($K677="","증빙을 고르십시오",IF($H677="","적요를 적으십시오","")))))))))))</f>
        <v/>
      </c>
      <c r="M677" s="39"/>
      <c r="O677" s="11" t="str">
        <f aca="false">IF($B677="","",YEAR($B677)*100+MONTH($B677))</f>
        <v/>
      </c>
      <c r="P677" s="11" t="str">
        <f aca="false">IF($B677="","",IF($E677="대체",0,1))</f>
        <v/>
      </c>
    </row>
    <row r="678" customFormat="false" ht="15" hidden="false" customHeight="false" outlineLevel="0" collapsed="false">
      <c r="A678" s="36" t="str">
        <f aca="false">IF($B678="","",COUNT($B$15:$B678))</f>
        <v/>
      </c>
      <c r="B678" s="37"/>
      <c r="C678" s="38"/>
      <c r="D678" s="20"/>
      <c r="E678" s="36" t="str">
        <f aca="false">IF($D678="","",IFERROR(INDEX('교육원 ④ 설정'!$A$6:$A$40,MATCH($D678,'교육원 ④ 설정'!$B$6:$B$40,0)),"※없는 과목"))</f>
        <v/>
      </c>
      <c r="F678" s="36" t="str">
        <f aca="false">IF($D678="","",IFERROR(INDEX('교육원 ④ 설정'!$C$6:$C$40,MATCH($D678,'교육원 ④ 설정'!$B$6:$B$40,0)),""))</f>
        <v/>
      </c>
      <c r="G678" s="39"/>
      <c r="H678" s="39"/>
      <c r="I678" s="40"/>
      <c r="J678" s="41"/>
      <c r="K678" s="38"/>
      <c r="L678" s="42" t="str">
        <f aca="false">IF($B678="","",IF(AND(N($I678)=0,N($J678)=0),"금액이 없습니다",IF(AND($I678&gt;0,$J678&gt;0),"수입·지출 둘 다 적혔습니다",IF($C678="","결제수단을 고르십시오",IF(ISNA(MATCH($C678,'교육원 ③ 통장·카드'!$A$5:$A$11,0)),"③ 통장·카드에 없는 결제수단입니다",IF($D678="","계정과목을 고르십시오",IF($E678="※없는 과목","④ 설정에 없는 과목입니다",IF(AND($E678="수입",$J678&gt;0),"수입 과목인데 지출에 적혔습니다",IF(AND(LEFT($E678,2)&lt;&gt;"수입",$E678&lt;&gt;"대체",$I678&gt;0),"지출 과목인데 수입에 적혔습니다",IF($K678="","증빙을 고르십시오",IF($H678="","적요를 적으십시오","")))))))))))</f>
        <v/>
      </c>
      <c r="M678" s="39"/>
      <c r="O678" s="11" t="str">
        <f aca="false">IF($B678="","",YEAR($B678)*100+MONTH($B678))</f>
        <v/>
      </c>
      <c r="P678" s="11" t="str">
        <f aca="false">IF($B678="","",IF($E678="대체",0,1))</f>
        <v/>
      </c>
    </row>
    <row r="679" customFormat="false" ht="15" hidden="false" customHeight="false" outlineLevel="0" collapsed="false">
      <c r="A679" s="36" t="str">
        <f aca="false">IF($B679="","",COUNT($B$15:$B679))</f>
        <v/>
      </c>
      <c r="B679" s="37"/>
      <c r="C679" s="38"/>
      <c r="D679" s="20"/>
      <c r="E679" s="36" t="str">
        <f aca="false">IF($D679="","",IFERROR(INDEX('교육원 ④ 설정'!$A$6:$A$40,MATCH($D679,'교육원 ④ 설정'!$B$6:$B$40,0)),"※없는 과목"))</f>
        <v/>
      </c>
      <c r="F679" s="36" t="str">
        <f aca="false">IF($D679="","",IFERROR(INDEX('교육원 ④ 설정'!$C$6:$C$40,MATCH($D679,'교육원 ④ 설정'!$B$6:$B$40,0)),""))</f>
        <v/>
      </c>
      <c r="G679" s="39"/>
      <c r="H679" s="39"/>
      <c r="I679" s="40"/>
      <c r="J679" s="41"/>
      <c r="K679" s="38"/>
      <c r="L679" s="42" t="str">
        <f aca="false">IF($B679="","",IF(AND(N($I679)=0,N($J679)=0),"금액이 없습니다",IF(AND($I679&gt;0,$J679&gt;0),"수입·지출 둘 다 적혔습니다",IF($C679="","결제수단을 고르십시오",IF(ISNA(MATCH($C679,'교육원 ③ 통장·카드'!$A$5:$A$11,0)),"③ 통장·카드에 없는 결제수단입니다",IF($D679="","계정과목을 고르십시오",IF($E679="※없는 과목","④ 설정에 없는 과목입니다",IF(AND($E679="수입",$J679&gt;0),"수입 과목인데 지출에 적혔습니다",IF(AND(LEFT($E679,2)&lt;&gt;"수입",$E679&lt;&gt;"대체",$I679&gt;0),"지출 과목인데 수입에 적혔습니다",IF($K679="","증빙을 고르십시오",IF($H679="","적요를 적으십시오","")))))))))))</f>
        <v/>
      </c>
      <c r="M679" s="39"/>
      <c r="O679" s="11" t="str">
        <f aca="false">IF($B679="","",YEAR($B679)*100+MONTH($B679))</f>
        <v/>
      </c>
      <c r="P679" s="11" t="str">
        <f aca="false">IF($B679="","",IF($E679="대체",0,1))</f>
        <v/>
      </c>
    </row>
    <row r="680" customFormat="false" ht="15" hidden="false" customHeight="false" outlineLevel="0" collapsed="false">
      <c r="A680" s="36" t="str">
        <f aca="false">IF($B680="","",COUNT($B$15:$B680))</f>
        <v/>
      </c>
      <c r="B680" s="37"/>
      <c r="C680" s="38"/>
      <c r="D680" s="20"/>
      <c r="E680" s="36" t="str">
        <f aca="false">IF($D680="","",IFERROR(INDEX('교육원 ④ 설정'!$A$6:$A$40,MATCH($D680,'교육원 ④ 설정'!$B$6:$B$40,0)),"※없는 과목"))</f>
        <v/>
      </c>
      <c r="F680" s="36" t="str">
        <f aca="false">IF($D680="","",IFERROR(INDEX('교육원 ④ 설정'!$C$6:$C$40,MATCH($D680,'교육원 ④ 설정'!$B$6:$B$40,0)),""))</f>
        <v/>
      </c>
      <c r="G680" s="39"/>
      <c r="H680" s="39"/>
      <c r="I680" s="40"/>
      <c r="J680" s="41"/>
      <c r="K680" s="38"/>
      <c r="L680" s="42" t="str">
        <f aca="false">IF($B680="","",IF(AND(N($I680)=0,N($J680)=0),"금액이 없습니다",IF(AND($I680&gt;0,$J680&gt;0),"수입·지출 둘 다 적혔습니다",IF($C680="","결제수단을 고르십시오",IF(ISNA(MATCH($C680,'교육원 ③ 통장·카드'!$A$5:$A$11,0)),"③ 통장·카드에 없는 결제수단입니다",IF($D680="","계정과목을 고르십시오",IF($E680="※없는 과목","④ 설정에 없는 과목입니다",IF(AND($E680="수입",$J680&gt;0),"수입 과목인데 지출에 적혔습니다",IF(AND(LEFT($E680,2)&lt;&gt;"수입",$E680&lt;&gt;"대체",$I680&gt;0),"지출 과목인데 수입에 적혔습니다",IF($K680="","증빙을 고르십시오",IF($H680="","적요를 적으십시오","")))))))))))</f>
        <v/>
      </c>
      <c r="M680" s="39"/>
      <c r="O680" s="11" t="str">
        <f aca="false">IF($B680="","",YEAR($B680)*100+MONTH($B680))</f>
        <v/>
      </c>
      <c r="P680" s="11" t="str">
        <f aca="false">IF($B680="","",IF($E680="대체",0,1))</f>
        <v/>
      </c>
    </row>
    <row r="681" customFormat="false" ht="15" hidden="false" customHeight="false" outlineLevel="0" collapsed="false">
      <c r="A681" s="36" t="str">
        <f aca="false">IF($B681="","",COUNT($B$15:$B681))</f>
        <v/>
      </c>
      <c r="B681" s="37"/>
      <c r="C681" s="38"/>
      <c r="D681" s="20"/>
      <c r="E681" s="36" t="str">
        <f aca="false">IF($D681="","",IFERROR(INDEX('교육원 ④ 설정'!$A$6:$A$40,MATCH($D681,'교육원 ④ 설정'!$B$6:$B$40,0)),"※없는 과목"))</f>
        <v/>
      </c>
      <c r="F681" s="36" t="str">
        <f aca="false">IF($D681="","",IFERROR(INDEX('교육원 ④ 설정'!$C$6:$C$40,MATCH($D681,'교육원 ④ 설정'!$B$6:$B$40,0)),""))</f>
        <v/>
      </c>
      <c r="G681" s="39"/>
      <c r="H681" s="39"/>
      <c r="I681" s="40"/>
      <c r="J681" s="41"/>
      <c r="K681" s="38"/>
      <c r="L681" s="42" t="str">
        <f aca="false">IF($B681="","",IF(AND(N($I681)=0,N($J681)=0),"금액이 없습니다",IF(AND($I681&gt;0,$J681&gt;0),"수입·지출 둘 다 적혔습니다",IF($C681="","결제수단을 고르십시오",IF(ISNA(MATCH($C681,'교육원 ③ 통장·카드'!$A$5:$A$11,0)),"③ 통장·카드에 없는 결제수단입니다",IF($D681="","계정과목을 고르십시오",IF($E681="※없는 과목","④ 설정에 없는 과목입니다",IF(AND($E681="수입",$J681&gt;0),"수입 과목인데 지출에 적혔습니다",IF(AND(LEFT($E681,2)&lt;&gt;"수입",$E681&lt;&gt;"대체",$I681&gt;0),"지출 과목인데 수입에 적혔습니다",IF($K681="","증빙을 고르십시오",IF($H681="","적요를 적으십시오","")))))))))))</f>
        <v/>
      </c>
      <c r="M681" s="39"/>
      <c r="O681" s="11" t="str">
        <f aca="false">IF($B681="","",YEAR($B681)*100+MONTH($B681))</f>
        <v/>
      </c>
      <c r="P681" s="11" t="str">
        <f aca="false">IF($B681="","",IF($E681="대체",0,1))</f>
        <v/>
      </c>
    </row>
    <row r="682" customFormat="false" ht="15" hidden="false" customHeight="false" outlineLevel="0" collapsed="false">
      <c r="A682" s="36" t="str">
        <f aca="false">IF($B682="","",COUNT($B$15:$B682))</f>
        <v/>
      </c>
      <c r="B682" s="37"/>
      <c r="C682" s="38"/>
      <c r="D682" s="20"/>
      <c r="E682" s="36" t="str">
        <f aca="false">IF($D682="","",IFERROR(INDEX('교육원 ④ 설정'!$A$6:$A$40,MATCH($D682,'교육원 ④ 설정'!$B$6:$B$40,0)),"※없는 과목"))</f>
        <v/>
      </c>
      <c r="F682" s="36" t="str">
        <f aca="false">IF($D682="","",IFERROR(INDEX('교육원 ④ 설정'!$C$6:$C$40,MATCH($D682,'교육원 ④ 설정'!$B$6:$B$40,0)),""))</f>
        <v/>
      </c>
      <c r="G682" s="39"/>
      <c r="H682" s="39"/>
      <c r="I682" s="40"/>
      <c r="J682" s="41"/>
      <c r="K682" s="38"/>
      <c r="L682" s="42" t="str">
        <f aca="false">IF($B682="","",IF(AND(N($I682)=0,N($J682)=0),"금액이 없습니다",IF(AND($I682&gt;0,$J682&gt;0),"수입·지출 둘 다 적혔습니다",IF($C682="","결제수단을 고르십시오",IF(ISNA(MATCH($C682,'교육원 ③ 통장·카드'!$A$5:$A$11,0)),"③ 통장·카드에 없는 결제수단입니다",IF($D682="","계정과목을 고르십시오",IF($E682="※없는 과목","④ 설정에 없는 과목입니다",IF(AND($E682="수입",$J682&gt;0),"수입 과목인데 지출에 적혔습니다",IF(AND(LEFT($E682,2)&lt;&gt;"수입",$E682&lt;&gt;"대체",$I682&gt;0),"지출 과목인데 수입에 적혔습니다",IF($K682="","증빙을 고르십시오",IF($H682="","적요를 적으십시오","")))))))))))</f>
        <v/>
      </c>
      <c r="M682" s="39"/>
      <c r="O682" s="11" t="str">
        <f aca="false">IF($B682="","",YEAR($B682)*100+MONTH($B682))</f>
        <v/>
      </c>
      <c r="P682" s="11" t="str">
        <f aca="false">IF($B682="","",IF($E682="대체",0,1))</f>
        <v/>
      </c>
    </row>
    <row r="683" customFormat="false" ht="15" hidden="false" customHeight="false" outlineLevel="0" collapsed="false">
      <c r="A683" s="36" t="str">
        <f aca="false">IF($B683="","",COUNT($B$15:$B683))</f>
        <v/>
      </c>
      <c r="B683" s="37"/>
      <c r="C683" s="38"/>
      <c r="D683" s="20"/>
      <c r="E683" s="36" t="str">
        <f aca="false">IF($D683="","",IFERROR(INDEX('교육원 ④ 설정'!$A$6:$A$40,MATCH($D683,'교육원 ④ 설정'!$B$6:$B$40,0)),"※없는 과목"))</f>
        <v/>
      </c>
      <c r="F683" s="36" t="str">
        <f aca="false">IF($D683="","",IFERROR(INDEX('교육원 ④ 설정'!$C$6:$C$40,MATCH($D683,'교육원 ④ 설정'!$B$6:$B$40,0)),""))</f>
        <v/>
      </c>
      <c r="G683" s="39"/>
      <c r="H683" s="39"/>
      <c r="I683" s="40"/>
      <c r="J683" s="41"/>
      <c r="K683" s="38"/>
      <c r="L683" s="42" t="str">
        <f aca="false">IF($B683="","",IF(AND(N($I683)=0,N($J683)=0),"금액이 없습니다",IF(AND($I683&gt;0,$J683&gt;0),"수입·지출 둘 다 적혔습니다",IF($C683="","결제수단을 고르십시오",IF(ISNA(MATCH($C683,'교육원 ③ 통장·카드'!$A$5:$A$11,0)),"③ 통장·카드에 없는 결제수단입니다",IF($D683="","계정과목을 고르십시오",IF($E683="※없는 과목","④ 설정에 없는 과목입니다",IF(AND($E683="수입",$J683&gt;0),"수입 과목인데 지출에 적혔습니다",IF(AND(LEFT($E683,2)&lt;&gt;"수입",$E683&lt;&gt;"대체",$I683&gt;0),"지출 과목인데 수입에 적혔습니다",IF($K683="","증빙을 고르십시오",IF($H683="","적요를 적으십시오","")))))))))))</f>
        <v/>
      </c>
      <c r="M683" s="39"/>
      <c r="O683" s="11" t="str">
        <f aca="false">IF($B683="","",YEAR($B683)*100+MONTH($B683))</f>
        <v/>
      </c>
      <c r="P683" s="11" t="str">
        <f aca="false">IF($B683="","",IF($E683="대체",0,1))</f>
        <v/>
      </c>
    </row>
    <row r="684" customFormat="false" ht="15" hidden="false" customHeight="false" outlineLevel="0" collapsed="false">
      <c r="A684" s="36" t="str">
        <f aca="false">IF($B684="","",COUNT($B$15:$B684))</f>
        <v/>
      </c>
      <c r="B684" s="37"/>
      <c r="C684" s="38"/>
      <c r="D684" s="20"/>
      <c r="E684" s="36" t="str">
        <f aca="false">IF($D684="","",IFERROR(INDEX('교육원 ④ 설정'!$A$6:$A$40,MATCH($D684,'교육원 ④ 설정'!$B$6:$B$40,0)),"※없는 과목"))</f>
        <v/>
      </c>
      <c r="F684" s="36" t="str">
        <f aca="false">IF($D684="","",IFERROR(INDEX('교육원 ④ 설정'!$C$6:$C$40,MATCH($D684,'교육원 ④ 설정'!$B$6:$B$40,0)),""))</f>
        <v/>
      </c>
      <c r="G684" s="39"/>
      <c r="H684" s="39"/>
      <c r="I684" s="40"/>
      <c r="J684" s="41"/>
      <c r="K684" s="38"/>
      <c r="L684" s="42" t="str">
        <f aca="false">IF($B684="","",IF(AND(N($I684)=0,N($J684)=0),"금액이 없습니다",IF(AND($I684&gt;0,$J684&gt;0),"수입·지출 둘 다 적혔습니다",IF($C684="","결제수단을 고르십시오",IF(ISNA(MATCH($C684,'교육원 ③ 통장·카드'!$A$5:$A$11,0)),"③ 통장·카드에 없는 결제수단입니다",IF($D684="","계정과목을 고르십시오",IF($E684="※없는 과목","④ 설정에 없는 과목입니다",IF(AND($E684="수입",$J684&gt;0),"수입 과목인데 지출에 적혔습니다",IF(AND(LEFT($E684,2)&lt;&gt;"수입",$E684&lt;&gt;"대체",$I684&gt;0),"지출 과목인데 수입에 적혔습니다",IF($K684="","증빙을 고르십시오",IF($H684="","적요를 적으십시오","")))))))))))</f>
        <v/>
      </c>
      <c r="M684" s="39"/>
      <c r="O684" s="11" t="str">
        <f aca="false">IF($B684="","",YEAR($B684)*100+MONTH($B684))</f>
        <v/>
      </c>
      <c r="P684" s="11" t="str">
        <f aca="false">IF($B684="","",IF($E684="대체",0,1))</f>
        <v/>
      </c>
    </row>
    <row r="685" customFormat="false" ht="15" hidden="false" customHeight="false" outlineLevel="0" collapsed="false">
      <c r="A685" s="36" t="str">
        <f aca="false">IF($B685="","",COUNT($B$15:$B685))</f>
        <v/>
      </c>
      <c r="B685" s="37"/>
      <c r="C685" s="38"/>
      <c r="D685" s="20"/>
      <c r="E685" s="36" t="str">
        <f aca="false">IF($D685="","",IFERROR(INDEX('교육원 ④ 설정'!$A$6:$A$40,MATCH($D685,'교육원 ④ 설정'!$B$6:$B$40,0)),"※없는 과목"))</f>
        <v/>
      </c>
      <c r="F685" s="36" t="str">
        <f aca="false">IF($D685="","",IFERROR(INDEX('교육원 ④ 설정'!$C$6:$C$40,MATCH($D685,'교육원 ④ 설정'!$B$6:$B$40,0)),""))</f>
        <v/>
      </c>
      <c r="G685" s="39"/>
      <c r="H685" s="39"/>
      <c r="I685" s="40"/>
      <c r="J685" s="41"/>
      <c r="K685" s="38"/>
      <c r="L685" s="42" t="str">
        <f aca="false">IF($B685="","",IF(AND(N($I685)=0,N($J685)=0),"금액이 없습니다",IF(AND($I685&gt;0,$J685&gt;0),"수입·지출 둘 다 적혔습니다",IF($C685="","결제수단을 고르십시오",IF(ISNA(MATCH($C685,'교육원 ③ 통장·카드'!$A$5:$A$11,0)),"③ 통장·카드에 없는 결제수단입니다",IF($D685="","계정과목을 고르십시오",IF($E685="※없는 과목","④ 설정에 없는 과목입니다",IF(AND($E685="수입",$J685&gt;0),"수입 과목인데 지출에 적혔습니다",IF(AND(LEFT($E685,2)&lt;&gt;"수입",$E685&lt;&gt;"대체",$I685&gt;0),"지출 과목인데 수입에 적혔습니다",IF($K685="","증빙을 고르십시오",IF($H685="","적요를 적으십시오","")))))))))))</f>
        <v/>
      </c>
      <c r="M685" s="39"/>
      <c r="O685" s="11" t="str">
        <f aca="false">IF($B685="","",YEAR($B685)*100+MONTH($B685))</f>
        <v/>
      </c>
      <c r="P685" s="11" t="str">
        <f aca="false">IF($B685="","",IF($E685="대체",0,1))</f>
        <v/>
      </c>
    </row>
    <row r="686" customFormat="false" ht="15" hidden="false" customHeight="false" outlineLevel="0" collapsed="false">
      <c r="A686" s="36" t="str">
        <f aca="false">IF($B686="","",COUNT($B$15:$B686))</f>
        <v/>
      </c>
      <c r="B686" s="37"/>
      <c r="C686" s="38"/>
      <c r="D686" s="20"/>
      <c r="E686" s="36" t="str">
        <f aca="false">IF($D686="","",IFERROR(INDEX('교육원 ④ 설정'!$A$6:$A$40,MATCH($D686,'교육원 ④ 설정'!$B$6:$B$40,0)),"※없는 과목"))</f>
        <v/>
      </c>
      <c r="F686" s="36" t="str">
        <f aca="false">IF($D686="","",IFERROR(INDEX('교육원 ④ 설정'!$C$6:$C$40,MATCH($D686,'교육원 ④ 설정'!$B$6:$B$40,0)),""))</f>
        <v/>
      </c>
      <c r="G686" s="39"/>
      <c r="H686" s="39"/>
      <c r="I686" s="40"/>
      <c r="J686" s="41"/>
      <c r="K686" s="38"/>
      <c r="L686" s="42" t="str">
        <f aca="false">IF($B686="","",IF(AND(N($I686)=0,N($J686)=0),"금액이 없습니다",IF(AND($I686&gt;0,$J686&gt;0),"수입·지출 둘 다 적혔습니다",IF($C686="","결제수단을 고르십시오",IF(ISNA(MATCH($C686,'교육원 ③ 통장·카드'!$A$5:$A$11,0)),"③ 통장·카드에 없는 결제수단입니다",IF($D686="","계정과목을 고르십시오",IF($E686="※없는 과목","④ 설정에 없는 과목입니다",IF(AND($E686="수입",$J686&gt;0),"수입 과목인데 지출에 적혔습니다",IF(AND(LEFT($E686,2)&lt;&gt;"수입",$E686&lt;&gt;"대체",$I686&gt;0),"지출 과목인데 수입에 적혔습니다",IF($K686="","증빙을 고르십시오",IF($H686="","적요를 적으십시오","")))))))))))</f>
        <v/>
      </c>
      <c r="M686" s="39"/>
      <c r="O686" s="11" t="str">
        <f aca="false">IF($B686="","",YEAR($B686)*100+MONTH($B686))</f>
        <v/>
      </c>
      <c r="P686" s="11" t="str">
        <f aca="false">IF($B686="","",IF($E686="대체",0,1))</f>
        <v/>
      </c>
    </row>
    <row r="687" customFormat="false" ht="15" hidden="false" customHeight="false" outlineLevel="0" collapsed="false">
      <c r="A687" s="36" t="str">
        <f aca="false">IF($B687="","",COUNT($B$15:$B687))</f>
        <v/>
      </c>
      <c r="B687" s="37"/>
      <c r="C687" s="38"/>
      <c r="D687" s="20"/>
      <c r="E687" s="36" t="str">
        <f aca="false">IF($D687="","",IFERROR(INDEX('교육원 ④ 설정'!$A$6:$A$40,MATCH($D687,'교육원 ④ 설정'!$B$6:$B$40,0)),"※없는 과목"))</f>
        <v/>
      </c>
      <c r="F687" s="36" t="str">
        <f aca="false">IF($D687="","",IFERROR(INDEX('교육원 ④ 설정'!$C$6:$C$40,MATCH($D687,'교육원 ④ 설정'!$B$6:$B$40,0)),""))</f>
        <v/>
      </c>
      <c r="G687" s="39"/>
      <c r="H687" s="39"/>
      <c r="I687" s="40"/>
      <c r="J687" s="41"/>
      <c r="K687" s="38"/>
      <c r="L687" s="42" t="str">
        <f aca="false">IF($B687="","",IF(AND(N($I687)=0,N($J687)=0),"금액이 없습니다",IF(AND($I687&gt;0,$J687&gt;0),"수입·지출 둘 다 적혔습니다",IF($C687="","결제수단을 고르십시오",IF(ISNA(MATCH($C687,'교육원 ③ 통장·카드'!$A$5:$A$11,0)),"③ 통장·카드에 없는 결제수단입니다",IF($D687="","계정과목을 고르십시오",IF($E687="※없는 과목","④ 설정에 없는 과목입니다",IF(AND($E687="수입",$J687&gt;0),"수입 과목인데 지출에 적혔습니다",IF(AND(LEFT($E687,2)&lt;&gt;"수입",$E687&lt;&gt;"대체",$I687&gt;0),"지출 과목인데 수입에 적혔습니다",IF($K687="","증빙을 고르십시오",IF($H687="","적요를 적으십시오","")))))))))))</f>
        <v/>
      </c>
      <c r="M687" s="39"/>
      <c r="O687" s="11" t="str">
        <f aca="false">IF($B687="","",YEAR($B687)*100+MONTH($B687))</f>
        <v/>
      </c>
      <c r="P687" s="11" t="str">
        <f aca="false">IF($B687="","",IF($E687="대체",0,1))</f>
        <v/>
      </c>
    </row>
    <row r="688" customFormat="false" ht="15" hidden="false" customHeight="false" outlineLevel="0" collapsed="false">
      <c r="A688" s="36" t="str">
        <f aca="false">IF($B688="","",COUNT($B$15:$B688))</f>
        <v/>
      </c>
      <c r="B688" s="37"/>
      <c r="C688" s="38"/>
      <c r="D688" s="20"/>
      <c r="E688" s="36" t="str">
        <f aca="false">IF($D688="","",IFERROR(INDEX('교육원 ④ 설정'!$A$6:$A$40,MATCH($D688,'교육원 ④ 설정'!$B$6:$B$40,0)),"※없는 과목"))</f>
        <v/>
      </c>
      <c r="F688" s="36" t="str">
        <f aca="false">IF($D688="","",IFERROR(INDEX('교육원 ④ 설정'!$C$6:$C$40,MATCH($D688,'교육원 ④ 설정'!$B$6:$B$40,0)),""))</f>
        <v/>
      </c>
      <c r="G688" s="39"/>
      <c r="H688" s="39"/>
      <c r="I688" s="40"/>
      <c r="J688" s="41"/>
      <c r="K688" s="38"/>
      <c r="L688" s="42" t="str">
        <f aca="false">IF($B688="","",IF(AND(N($I688)=0,N($J688)=0),"금액이 없습니다",IF(AND($I688&gt;0,$J688&gt;0),"수입·지출 둘 다 적혔습니다",IF($C688="","결제수단을 고르십시오",IF(ISNA(MATCH($C688,'교육원 ③ 통장·카드'!$A$5:$A$11,0)),"③ 통장·카드에 없는 결제수단입니다",IF($D688="","계정과목을 고르십시오",IF($E688="※없는 과목","④ 설정에 없는 과목입니다",IF(AND($E688="수입",$J688&gt;0),"수입 과목인데 지출에 적혔습니다",IF(AND(LEFT($E688,2)&lt;&gt;"수입",$E688&lt;&gt;"대체",$I688&gt;0),"지출 과목인데 수입에 적혔습니다",IF($K688="","증빙을 고르십시오",IF($H688="","적요를 적으십시오","")))))))))))</f>
        <v/>
      </c>
      <c r="M688" s="39"/>
      <c r="O688" s="11" t="str">
        <f aca="false">IF($B688="","",YEAR($B688)*100+MONTH($B688))</f>
        <v/>
      </c>
      <c r="P688" s="11" t="str">
        <f aca="false">IF($B688="","",IF($E688="대체",0,1))</f>
        <v/>
      </c>
    </row>
    <row r="689" customFormat="false" ht="15" hidden="false" customHeight="false" outlineLevel="0" collapsed="false">
      <c r="A689" s="36" t="str">
        <f aca="false">IF($B689="","",COUNT($B$15:$B689))</f>
        <v/>
      </c>
      <c r="B689" s="37"/>
      <c r="C689" s="38"/>
      <c r="D689" s="20"/>
      <c r="E689" s="36" t="str">
        <f aca="false">IF($D689="","",IFERROR(INDEX('교육원 ④ 설정'!$A$6:$A$40,MATCH($D689,'교육원 ④ 설정'!$B$6:$B$40,0)),"※없는 과목"))</f>
        <v/>
      </c>
      <c r="F689" s="36" t="str">
        <f aca="false">IF($D689="","",IFERROR(INDEX('교육원 ④ 설정'!$C$6:$C$40,MATCH($D689,'교육원 ④ 설정'!$B$6:$B$40,0)),""))</f>
        <v/>
      </c>
      <c r="G689" s="39"/>
      <c r="H689" s="39"/>
      <c r="I689" s="40"/>
      <c r="J689" s="41"/>
      <c r="K689" s="38"/>
      <c r="L689" s="42" t="str">
        <f aca="false">IF($B689="","",IF(AND(N($I689)=0,N($J689)=0),"금액이 없습니다",IF(AND($I689&gt;0,$J689&gt;0),"수입·지출 둘 다 적혔습니다",IF($C689="","결제수단을 고르십시오",IF(ISNA(MATCH($C689,'교육원 ③ 통장·카드'!$A$5:$A$11,0)),"③ 통장·카드에 없는 결제수단입니다",IF($D689="","계정과목을 고르십시오",IF($E689="※없는 과목","④ 설정에 없는 과목입니다",IF(AND($E689="수입",$J689&gt;0),"수입 과목인데 지출에 적혔습니다",IF(AND(LEFT($E689,2)&lt;&gt;"수입",$E689&lt;&gt;"대체",$I689&gt;0),"지출 과목인데 수입에 적혔습니다",IF($K689="","증빙을 고르십시오",IF($H689="","적요를 적으십시오","")))))))))))</f>
        <v/>
      </c>
      <c r="M689" s="39"/>
      <c r="O689" s="11" t="str">
        <f aca="false">IF($B689="","",YEAR($B689)*100+MONTH($B689))</f>
        <v/>
      </c>
      <c r="P689" s="11" t="str">
        <f aca="false">IF($B689="","",IF($E689="대체",0,1))</f>
        <v/>
      </c>
    </row>
    <row r="690" customFormat="false" ht="15" hidden="false" customHeight="false" outlineLevel="0" collapsed="false">
      <c r="A690" s="36" t="str">
        <f aca="false">IF($B690="","",COUNT($B$15:$B690))</f>
        <v/>
      </c>
      <c r="B690" s="37"/>
      <c r="C690" s="38"/>
      <c r="D690" s="20"/>
      <c r="E690" s="36" t="str">
        <f aca="false">IF($D690="","",IFERROR(INDEX('교육원 ④ 설정'!$A$6:$A$40,MATCH($D690,'교육원 ④ 설정'!$B$6:$B$40,0)),"※없는 과목"))</f>
        <v/>
      </c>
      <c r="F690" s="36" t="str">
        <f aca="false">IF($D690="","",IFERROR(INDEX('교육원 ④ 설정'!$C$6:$C$40,MATCH($D690,'교육원 ④ 설정'!$B$6:$B$40,0)),""))</f>
        <v/>
      </c>
      <c r="G690" s="39"/>
      <c r="H690" s="39"/>
      <c r="I690" s="40"/>
      <c r="J690" s="41"/>
      <c r="K690" s="38"/>
      <c r="L690" s="42" t="str">
        <f aca="false">IF($B690="","",IF(AND(N($I690)=0,N($J690)=0),"금액이 없습니다",IF(AND($I690&gt;0,$J690&gt;0),"수입·지출 둘 다 적혔습니다",IF($C690="","결제수단을 고르십시오",IF(ISNA(MATCH($C690,'교육원 ③ 통장·카드'!$A$5:$A$11,0)),"③ 통장·카드에 없는 결제수단입니다",IF($D690="","계정과목을 고르십시오",IF($E690="※없는 과목","④ 설정에 없는 과목입니다",IF(AND($E690="수입",$J690&gt;0),"수입 과목인데 지출에 적혔습니다",IF(AND(LEFT($E690,2)&lt;&gt;"수입",$E690&lt;&gt;"대체",$I690&gt;0),"지출 과목인데 수입에 적혔습니다",IF($K690="","증빙을 고르십시오",IF($H690="","적요를 적으십시오","")))))))))))</f>
        <v/>
      </c>
      <c r="M690" s="39"/>
      <c r="O690" s="11" t="str">
        <f aca="false">IF($B690="","",YEAR($B690)*100+MONTH($B690))</f>
        <v/>
      </c>
      <c r="P690" s="11" t="str">
        <f aca="false">IF($B690="","",IF($E690="대체",0,1))</f>
        <v/>
      </c>
    </row>
    <row r="691" customFormat="false" ht="15" hidden="false" customHeight="false" outlineLevel="0" collapsed="false">
      <c r="A691" s="36" t="str">
        <f aca="false">IF($B691="","",COUNT($B$15:$B691))</f>
        <v/>
      </c>
      <c r="B691" s="37"/>
      <c r="C691" s="38"/>
      <c r="D691" s="20"/>
      <c r="E691" s="36" t="str">
        <f aca="false">IF($D691="","",IFERROR(INDEX('교육원 ④ 설정'!$A$6:$A$40,MATCH($D691,'교육원 ④ 설정'!$B$6:$B$40,0)),"※없는 과목"))</f>
        <v/>
      </c>
      <c r="F691" s="36" t="str">
        <f aca="false">IF($D691="","",IFERROR(INDEX('교육원 ④ 설정'!$C$6:$C$40,MATCH($D691,'교육원 ④ 설정'!$B$6:$B$40,0)),""))</f>
        <v/>
      </c>
      <c r="G691" s="39"/>
      <c r="H691" s="39"/>
      <c r="I691" s="40"/>
      <c r="J691" s="41"/>
      <c r="K691" s="38"/>
      <c r="L691" s="42" t="str">
        <f aca="false">IF($B691="","",IF(AND(N($I691)=0,N($J691)=0),"금액이 없습니다",IF(AND($I691&gt;0,$J691&gt;0),"수입·지출 둘 다 적혔습니다",IF($C691="","결제수단을 고르십시오",IF(ISNA(MATCH($C691,'교육원 ③ 통장·카드'!$A$5:$A$11,0)),"③ 통장·카드에 없는 결제수단입니다",IF($D691="","계정과목을 고르십시오",IF($E691="※없는 과목","④ 설정에 없는 과목입니다",IF(AND($E691="수입",$J691&gt;0),"수입 과목인데 지출에 적혔습니다",IF(AND(LEFT($E691,2)&lt;&gt;"수입",$E691&lt;&gt;"대체",$I691&gt;0),"지출 과목인데 수입에 적혔습니다",IF($K691="","증빙을 고르십시오",IF($H691="","적요를 적으십시오","")))))))))))</f>
        <v/>
      </c>
      <c r="M691" s="39"/>
      <c r="O691" s="11" t="str">
        <f aca="false">IF($B691="","",YEAR($B691)*100+MONTH($B691))</f>
        <v/>
      </c>
      <c r="P691" s="11" t="str">
        <f aca="false">IF($B691="","",IF($E691="대체",0,1))</f>
        <v/>
      </c>
    </row>
    <row r="692" customFormat="false" ht="15" hidden="false" customHeight="false" outlineLevel="0" collapsed="false">
      <c r="A692" s="36" t="str">
        <f aca="false">IF($B692="","",COUNT($B$15:$B692))</f>
        <v/>
      </c>
      <c r="B692" s="37"/>
      <c r="C692" s="38"/>
      <c r="D692" s="20"/>
      <c r="E692" s="36" t="str">
        <f aca="false">IF($D692="","",IFERROR(INDEX('교육원 ④ 설정'!$A$6:$A$40,MATCH($D692,'교육원 ④ 설정'!$B$6:$B$40,0)),"※없는 과목"))</f>
        <v/>
      </c>
      <c r="F692" s="36" t="str">
        <f aca="false">IF($D692="","",IFERROR(INDEX('교육원 ④ 설정'!$C$6:$C$40,MATCH($D692,'교육원 ④ 설정'!$B$6:$B$40,0)),""))</f>
        <v/>
      </c>
      <c r="G692" s="39"/>
      <c r="H692" s="39"/>
      <c r="I692" s="40"/>
      <c r="J692" s="41"/>
      <c r="K692" s="38"/>
      <c r="L692" s="42" t="str">
        <f aca="false">IF($B692="","",IF(AND(N($I692)=0,N($J692)=0),"금액이 없습니다",IF(AND($I692&gt;0,$J692&gt;0),"수입·지출 둘 다 적혔습니다",IF($C692="","결제수단을 고르십시오",IF(ISNA(MATCH($C692,'교육원 ③ 통장·카드'!$A$5:$A$11,0)),"③ 통장·카드에 없는 결제수단입니다",IF($D692="","계정과목을 고르십시오",IF($E692="※없는 과목","④ 설정에 없는 과목입니다",IF(AND($E692="수입",$J692&gt;0),"수입 과목인데 지출에 적혔습니다",IF(AND(LEFT($E692,2)&lt;&gt;"수입",$E692&lt;&gt;"대체",$I692&gt;0),"지출 과목인데 수입에 적혔습니다",IF($K692="","증빙을 고르십시오",IF($H692="","적요를 적으십시오","")))))))))))</f>
        <v/>
      </c>
      <c r="M692" s="39"/>
      <c r="O692" s="11" t="str">
        <f aca="false">IF($B692="","",YEAR($B692)*100+MONTH($B692))</f>
        <v/>
      </c>
      <c r="P692" s="11" t="str">
        <f aca="false">IF($B692="","",IF($E692="대체",0,1))</f>
        <v/>
      </c>
    </row>
    <row r="693" customFormat="false" ht="15" hidden="false" customHeight="false" outlineLevel="0" collapsed="false">
      <c r="A693" s="36" t="str">
        <f aca="false">IF($B693="","",COUNT($B$15:$B693))</f>
        <v/>
      </c>
      <c r="B693" s="37"/>
      <c r="C693" s="38"/>
      <c r="D693" s="20"/>
      <c r="E693" s="36" t="str">
        <f aca="false">IF($D693="","",IFERROR(INDEX('교육원 ④ 설정'!$A$6:$A$40,MATCH($D693,'교육원 ④ 설정'!$B$6:$B$40,0)),"※없는 과목"))</f>
        <v/>
      </c>
      <c r="F693" s="36" t="str">
        <f aca="false">IF($D693="","",IFERROR(INDEX('교육원 ④ 설정'!$C$6:$C$40,MATCH($D693,'교육원 ④ 설정'!$B$6:$B$40,0)),""))</f>
        <v/>
      </c>
      <c r="G693" s="39"/>
      <c r="H693" s="39"/>
      <c r="I693" s="40"/>
      <c r="J693" s="41"/>
      <c r="K693" s="38"/>
      <c r="L693" s="42" t="str">
        <f aca="false">IF($B693="","",IF(AND(N($I693)=0,N($J693)=0),"금액이 없습니다",IF(AND($I693&gt;0,$J693&gt;0),"수입·지출 둘 다 적혔습니다",IF($C693="","결제수단을 고르십시오",IF(ISNA(MATCH($C693,'교육원 ③ 통장·카드'!$A$5:$A$11,0)),"③ 통장·카드에 없는 결제수단입니다",IF($D693="","계정과목을 고르십시오",IF($E693="※없는 과목","④ 설정에 없는 과목입니다",IF(AND($E693="수입",$J693&gt;0),"수입 과목인데 지출에 적혔습니다",IF(AND(LEFT($E693,2)&lt;&gt;"수입",$E693&lt;&gt;"대체",$I693&gt;0),"지출 과목인데 수입에 적혔습니다",IF($K693="","증빙을 고르십시오",IF($H693="","적요를 적으십시오","")))))))))))</f>
        <v/>
      </c>
      <c r="M693" s="39"/>
      <c r="O693" s="11" t="str">
        <f aca="false">IF($B693="","",YEAR($B693)*100+MONTH($B693))</f>
        <v/>
      </c>
      <c r="P693" s="11" t="str">
        <f aca="false">IF($B693="","",IF($E693="대체",0,1))</f>
        <v/>
      </c>
    </row>
    <row r="694" customFormat="false" ht="15" hidden="false" customHeight="false" outlineLevel="0" collapsed="false">
      <c r="A694" s="36" t="str">
        <f aca="false">IF($B694="","",COUNT($B$15:$B694))</f>
        <v/>
      </c>
      <c r="B694" s="37"/>
      <c r="C694" s="38"/>
      <c r="D694" s="20"/>
      <c r="E694" s="36" t="str">
        <f aca="false">IF($D694="","",IFERROR(INDEX('교육원 ④ 설정'!$A$6:$A$40,MATCH($D694,'교육원 ④ 설정'!$B$6:$B$40,0)),"※없는 과목"))</f>
        <v/>
      </c>
      <c r="F694" s="36" t="str">
        <f aca="false">IF($D694="","",IFERROR(INDEX('교육원 ④ 설정'!$C$6:$C$40,MATCH($D694,'교육원 ④ 설정'!$B$6:$B$40,0)),""))</f>
        <v/>
      </c>
      <c r="G694" s="39"/>
      <c r="H694" s="39"/>
      <c r="I694" s="40"/>
      <c r="J694" s="41"/>
      <c r="K694" s="38"/>
      <c r="L694" s="42" t="str">
        <f aca="false">IF($B694="","",IF(AND(N($I694)=0,N($J694)=0),"금액이 없습니다",IF(AND($I694&gt;0,$J694&gt;0),"수입·지출 둘 다 적혔습니다",IF($C694="","결제수단을 고르십시오",IF(ISNA(MATCH($C694,'교육원 ③ 통장·카드'!$A$5:$A$11,0)),"③ 통장·카드에 없는 결제수단입니다",IF($D694="","계정과목을 고르십시오",IF($E694="※없는 과목","④ 설정에 없는 과목입니다",IF(AND($E694="수입",$J694&gt;0),"수입 과목인데 지출에 적혔습니다",IF(AND(LEFT($E694,2)&lt;&gt;"수입",$E694&lt;&gt;"대체",$I694&gt;0),"지출 과목인데 수입에 적혔습니다",IF($K694="","증빙을 고르십시오",IF($H694="","적요를 적으십시오","")))))))))))</f>
        <v/>
      </c>
      <c r="M694" s="39"/>
      <c r="O694" s="11" t="str">
        <f aca="false">IF($B694="","",YEAR($B694)*100+MONTH($B694))</f>
        <v/>
      </c>
      <c r="P694" s="11" t="str">
        <f aca="false">IF($B694="","",IF($E694="대체",0,1))</f>
        <v/>
      </c>
    </row>
    <row r="695" customFormat="false" ht="15" hidden="false" customHeight="false" outlineLevel="0" collapsed="false">
      <c r="A695" s="36" t="str">
        <f aca="false">IF($B695="","",COUNT($B$15:$B695))</f>
        <v/>
      </c>
      <c r="B695" s="37"/>
      <c r="C695" s="38"/>
      <c r="D695" s="20"/>
      <c r="E695" s="36" t="str">
        <f aca="false">IF($D695="","",IFERROR(INDEX('교육원 ④ 설정'!$A$6:$A$40,MATCH($D695,'교육원 ④ 설정'!$B$6:$B$40,0)),"※없는 과목"))</f>
        <v/>
      </c>
      <c r="F695" s="36" t="str">
        <f aca="false">IF($D695="","",IFERROR(INDEX('교육원 ④ 설정'!$C$6:$C$40,MATCH($D695,'교육원 ④ 설정'!$B$6:$B$40,0)),""))</f>
        <v/>
      </c>
      <c r="G695" s="39"/>
      <c r="H695" s="39"/>
      <c r="I695" s="40"/>
      <c r="J695" s="41"/>
      <c r="K695" s="38"/>
      <c r="L695" s="42" t="str">
        <f aca="false">IF($B695="","",IF(AND(N($I695)=0,N($J695)=0),"금액이 없습니다",IF(AND($I695&gt;0,$J695&gt;0),"수입·지출 둘 다 적혔습니다",IF($C695="","결제수단을 고르십시오",IF(ISNA(MATCH($C695,'교육원 ③ 통장·카드'!$A$5:$A$11,0)),"③ 통장·카드에 없는 결제수단입니다",IF($D695="","계정과목을 고르십시오",IF($E695="※없는 과목","④ 설정에 없는 과목입니다",IF(AND($E695="수입",$J695&gt;0),"수입 과목인데 지출에 적혔습니다",IF(AND(LEFT($E695,2)&lt;&gt;"수입",$E695&lt;&gt;"대체",$I695&gt;0),"지출 과목인데 수입에 적혔습니다",IF($K695="","증빙을 고르십시오",IF($H695="","적요를 적으십시오","")))))))))))</f>
        <v/>
      </c>
      <c r="M695" s="39"/>
      <c r="O695" s="11" t="str">
        <f aca="false">IF($B695="","",YEAR($B695)*100+MONTH($B695))</f>
        <v/>
      </c>
      <c r="P695" s="11" t="str">
        <f aca="false">IF($B695="","",IF($E695="대체",0,1))</f>
        <v/>
      </c>
    </row>
    <row r="696" customFormat="false" ht="15" hidden="false" customHeight="false" outlineLevel="0" collapsed="false">
      <c r="A696" s="36" t="str">
        <f aca="false">IF($B696="","",COUNT($B$15:$B696))</f>
        <v/>
      </c>
      <c r="B696" s="37"/>
      <c r="C696" s="38"/>
      <c r="D696" s="20"/>
      <c r="E696" s="36" t="str">
        <f aca="false">IF($D696="","",IFERROR(INDEX('교육원 ④ 설정'!$A$6:$A$40,MATCH($D696,'교육원 ④ 설정'!$B$6:$B$40,0)),"※없는 과목"))</f>
        <v/>
      </c>
      <c r="F696" s="36" t="str">
        <f aca="false">IF($D696="","",IFERROR(INDEX('교육원 ④ 설정'!$C$6:$C$40,MATCH($D696,'교육원 ④ 설정'!$B$6:$B$40,0)),""))</f>
        <v/>
      </c>
      <c r="G696" s="39"/>
      <c r="H696" s="39"/>
      <c r="I696" s="40"/>
      <c r="J696" s="41"/>
      <c r="K696" s="38"/>
      <c r="L696" s="42" t="str">
        <f aca="false">IF($B696="","",IF(AND(N($I696)=0,N($J696)=0),"금액이 없습니다",IF(AND($I696&gt;0,$J696&gt;0),"수입·지출 둘 다 적혔습니다",IF($C696="","결제수단을 고르십시오",IF(ISNA(MATCH($C696,'교육원 ③ 통장·카드'!$A$5:$A$11,0)),"③ 통장·카드에 없는 결제수단입니다",IF($D696="","계정과목을 고르십시오",IF($E696="※없는 과목","④ 설정에 없는 과목입니다",IF(AND($E696="수입",$J696&gt;0),"수입 과목인데 지출에 적혔습니다",IF(AND(LEFT($E696,2)&lt;&gt;"수입",$E696&lt;&gt;"대체",$I696&gt;0),"지출 과목인데 수입에 적혔습니다",IF($K696="","증빙을 고르십시오",IF($H696="","적요를 적으십시오","")))))))))))</f>
        <v/>
      </c>
      <c r="M696" s="39"/>
      <c r="O696" s="11" t="str">
        <f aca="false">IF($B696="","",YEAR($B696)*100+MONTH($B696))</f>
        <v/>
      </c>
      <c r="P696" s="11" t="str">
        <f aca="false">IF($B696="","",IF($E696="대체",0,1))</f>
        <v/>
      </c>
    </row>
    <row r="697" customFormat="false" ht="15" hidden="false" customHeight="false" outlineLevel="0" collapsed="false">
      <c r="A697" s="36" t="str">
        <f aca="false">IF($B697="","",COUNT($B$15:$B697))</f>
        <v/>
      </c>
      <c r="B697" s="37"/>
      <c r="C697" s="38"/>
      <c r="D697" s="20"/>
      <c r="E697" s="36" t="str">
        <f aca="false">IF($D697="","",IFERROR(INDEX('교육원 ④ 설정'!$A$6:$A$40,MATCH($D697,'교육원 ④ 설정'!$B$6:$B$40,0)),"※없는 과목"))</f>
        <v/>
      </c>
      <c r="F697" s="36" t="str">
        <f aca="false">IF($D697="","",IFERROR(INDEX('교육원 ④ 설정'!$C$6:$C$40,MATCH($D697,'교육원 ④ 설정'!$B$6:$B$40,0)),""))</f>
        <v/>
      </c>
      <c r="G697" s="39"/>
      <c r="H697" s="39"/>
      <c r="I697" s="40"/>
      <c r="J697" s="41"/>
      <c r="K697" s="38"/>
      <c r="L697" s="42" t="str">
        <f aca="false">IF($B697="","",IF(AND(N($I697)=0,N($J697)=0),"금액이 없습니다",IF(AND($I697&gt;0,$J697&gt;0),"수입·지출 둘 다 적혔습니다",IF($C697="","결제수단을 고르십시오",IF(ISNA(MATCH($C697,'교육원 ③ 통장·카드'!$A$5:$A$11,0)),"③ 통장·카드에 없는 결제수단입니다",IF($D697="","계정과목을 고르십시오",IF($E697="※없는 과목","④ 설정에 없는 과목입니다",IF(AND($E697="수입",$J697&gt;0),"수입 과목인데 지출에 적혔습니다",IF(AND(LEFT($E697,2)&lt;&gt;"수입",$E697&lt;&gt;"대체",$I697&gt;0),"지출 과목인데 수입에 적혔습니다",IF($K697="","증빙을 고르십시오",IF($H697="","적요를 적으십시오","")))))))))))</f>
        <v/>
      </c>
      <c r="M697" s="39"/>
      <c r="O697" s="11" t="str">
        <f aca="false">IF($B697="","",YEAR($B697)*100+MONTH($B697))</f>
        <v/>
      </c>
      <c r="P697" s="11" t="str">
        <f aca="false">IF($B697="","",IF($E697="대체",0,1))</f>
        <v/>
      </c>
    </row>
    <row r="698" customFormat="false" ht="15" hidden="false" customHeight="false" outlineLevel="0" collapsed="false">
      <c r="A698" s="36" t="str">
        <f aca="false">IF($B698="","",COUNT($B$15:$B698))</f>
        <v/>
      </c>
      <c r="B698" s="37"/>
      <c r="C698" s="38"/>
      <c r="D698" s="20"/>
      <c r="E698" s="36" t="str">
        <f aca="false">IF($D698="","",IFERROR(INDEX('교육원 ④ 설정'!$A$6:$A$40,MATCH($D698,'교육원 ④ 설정'!$B$6:$B$40,0)),"※없는 과목"))</f>
        <v/>
      </c>
      <c r="F698" s="36" t="str">
        <f aca="false">IF($D698="","",IFERROR(INDEX('교육원 ④ 설정'!$C$6:$C$40,MATCH($D698,'교육원 ④ 설정'!$B$6:$B$40,0)),""))</f>
        <v/>
      </c>
      <c r="G698" s="39"/>
      <c r="H698" s="39"/>
      <c r="I698" s="40"/>
      <c r="J698" s="41"/>
      <c r="K698" s="38"/>
      <c r="L698" s="42" t="str">
        <f aca="false">IF($B698="","",IF(AND(N($I698)=0,N($J698)=0),"금액이 없습니다",IF(AND($I698&gt;0,$J698&gt;0),"수입·지출 둘 다 적혔습니다",IF($C698="","결제수단을 고르십시오",IF(ISNA(MATCH($C698,'교육원 ③ 통장·카드'!$A$5:$A$11,0)),"③ 통장·카드에 없는 결제수단입니다",IF($D698="","계정과목을 고르십시오",IF($E698="※없는 과목","④ 설정에 없는 과목입니다",IF(AND($E698="수입",$J698&gt;0),"수입 과목인데 지출에 적혔습니다",IF(AND(LEFT($E698,2)&lt;&gt;"수입",$E698&lt;&gt;"대체",$I698&gt;0),"지출 과목인데 수입에 적혔습니다",IF($K698="","증빙을 고르십시오",IF($H698="","적요를 적으십시오","")))))))))))</f>
        <v/>
      </c>
      <c r="M698" s="39"/>
      <c r="O698" s="11" t="str">
        <f aca="false">IF($B698="","",YEAR($B698)*100+MONTH($B698))</f>
        <v/>
      </c>
      <c r="P698" s="11" t="str">
        <f aca="false">IF($B698="","",IF($E698="대체",0,1))</f>
        <v/>
      </c>
    </row>
    <row r="699" customFormat="false" ht="15" hidden="false" customHeight="false" outlineLevel="0" collapsed="false">
      <c r="A699" s="36" t="str">
        <f aca="false">IF($B699="","",COUNT($B$15:$B699))</f>
        <v/>
      </c>
      <c r="B699" s="37"/>
      <c r="C699" s="38"/>
      <c r="D699" s="20"/>
      <c r="E699" s="36" t="str">
        <f aca="false">IF($D699="","",IFERROR(INDEX('교육원 ④ 설정'!$A$6:$A$40,MATCH($D699,'교육원 ④ 설정'!$B$6:$B$40,0)),"※없는 과목"))</f>
        <v/>
      </c>
      <c r="F699" s="36" t="str">
        <f aca="false">IF($D699="","",IFERROR(INDEX('교육원 ④ 설정'!$C$6:$C$40,MATCH($D699,'교육원 ④ 설정'!$B$6:$B$40,0)),""))</f>
        <v/>
      </c>
      <c r="G699" s="39"/>
      <c r="H699" s="39"/>
      <c r="I699" s="40"/>
      <c r="J699" s="41"/>
      <c r="K699" s="38"/>
      <c r="L699" s="42" t="str">
        <f aca="false">IF($B699="","",IF(AND(N($I699)=0,N($J699)=0),"금액이 없습니다",IF(AND($I699&gt;0,$J699&gt;0),"수입·지출 둘 다 적혔습니다",IF($C699="","결제수단을 고르십시오",IF(ISNA(MATCH($C699,'교육원 ③ 통장·카드'!$A$5:$A$11,0)),"③ 통장·카드에 없는 결제수단입니다",IF($D699="","계정과목을 고르십시오",IF($E699="※없는 과목","④ 설정에 없는 과목입니다",IF(AND($E699="수입",$J699&gt;0),"수입 과목인데 지출에 적혔습니다",IF(AND(LEFT($E699,2)&lt;&gt;"수입",$E699&lt;&gt;"대체",$I699&gt;0),"지출 과목인데 수입에 적혔습니다",IF($K699="","증빙을 고르십시오",IF($H699="","적요를 적으십시오","")))))))))))</f>
        <v/>
      </c>
      <c r="M699" s="39"/>
      <c r="O699" s="11" t="str">
        <f aca="false">IF($B699="","",YEAR($B699)*100+MONTH($B699))</f>
        <v/>
      </c>
      <c r="P699" s="11" t="str">
        <f aca="false">IF($B699="","",IF($E699="대체",0,1))</f>
        <v/>
      </c>
    </row>
    <row r="700" customFormat="false" ht="15" hidden="false" customHeight="false" outlineLevel="0" collapsed="false">
      <c r="A700" s="36" t="str">
        <f aca="false">IF($B700="","",COUNT($B$15:$B700))</f>
        <v/>
      </c>
      <c r="B700" s="37"/>
      <c r="C700" s="38"/>
      <c r="D700" s="20"/>
      <c r="E700" s="36" t="str">
        <f aca="false">IF($D700="","",IFERROR(INDEX('교육원 ④ 설정'!$A$6:$A$40,MATCH($D700,'교육원 ④ 설정'!$B$6:$B$40,0)),"※없는 과목"))</f>
        <v/>
      </c>
      <c r="F700" s="36" t="str">
        <f aca="false">IF($D700="","",IFERROR(INDEX('교육원 ④ 설정'!$C$6:$C$40,MATCH($D700,'교육원 ④ 설정'!$B$6:$B$40,0)),""))</f>
        <v/>
      </c>
      <c r="G700" s="39"/>
      <c r="H700" s="39"/>
      <c r="I700" s="40"/>
      <c r="J700" s="41"/>
      <c r="K700" s="38"/>
      <c r="L700" s="42" t="str">
        <f aca="false">IF($B700="","",IF(AND(N($I700)=0,N($J700)=0),"금액이 없습니다",IF(AND($I700&gt;0,$J700&gt;0),"수입·지출 둘 다 적혔습니다",IF($C700="","결제수단을 고르십시오",IF(ISNA(MATCH($C700,'교육원 ③ 통장·카드'!$A$5:$A$11,0)),"③ 통장·카드에 없는 결제수단입니다",IF($D700="","계정과목을 고르십시오",IF($E700="※없는 과목","④ 설정에 없는 과목입니다",IF(AND($E700="수입",$J700&gt;0),"수입 과목인데 지출에 적혔습니다",IF(AND(LEFT($E700,2)&lt;&gt;"수입",$E700&lt;&gt;"대체",$I700&gt;0),"지출 과목인데 수입에 적혔습니다",IF($K700="","증빙을 고르십시오",IF($H700="","적요를 적으십시오","")))))))))))</f>
        <v/>
      </c>
      <c r="M700" s="39"/>
      <c r="O700" s="11" t="str">
        <f aca="false">IF($B700="","",YEAR($B700)*100+MONTH($B700))</f>
        <v/>
      </c>
      <c r="P700" s="11" t="str">
        <f aca="false">IF($B700="","",IF($E700="대체",0,1))</f>
        <v/>
      </c>
    </row>
    <row r="701" customFormat="false" ht="15" hidden="false" customHeight="false" outlineLevel="0" collapsed="false">
      <c r="A701" s="36" t="str">
        <f aca="false">IF($B701="","",COUNT($B$15:$B701))</f>
        <v/>
      </c>
      <c r="B701" s="37"/>
      <c r="C701" s="38"/>
      <c r="D701" s="20"/>
      <c r="E701" s="36" t="str">
        <f aca="false">IF($D701="","",IFERROR(INDEX('교육원 ④ 설정'!$A$6:$A$40,MATCH($D701,'교육원 ④ 설정'!$B$6:$B$40,0)),"※없는 과목"))</f>
        <v/>
      </c>
      <c r="F701" s="36" t="str">
        <f aca="false">IF($D701="","",IFERROR(INDEX('교육원 ④ 설정'!$C$6:$C$40,MATCH($D701,'교육원 ④ 설정'!$B$6:$B$40,0)),""))</f>
        <v/>
      </c>
      <c r="G701" s="39"/>
      <c r="H701" s="39"/>
      <c r="I701" s="40"/>
      <c r="J701" s="41"/>
      <c r="K701" s="38"/>
      <c r="L701" s="42" t="str">
        <f aca="false">IF($B701="","",IF(AND(N($I701)=0,N($J701)=0),"금액이 없습니다",IF(AND($I701&gt;0,$J701&gt;0),"수입·지출 둘 다 적혔습니다",IF($C701="","결제수단을 고르십시오",IF(ISNA(MATCH($C701,'교육원 ③ 통장·카드'!$A$5:$A$11,0)),"③ 통장·카드에 없는 결제수단입니다",IF($D701="","계정과목을 고르십시오",IF($E701="※없는 과목","④ 설정에 없는 과목입니다",IF(AND($E701="수입",$J701&gt;0),"수입 과목인데 지출에 적혔습니다",IF(AND(LEFT($E701,2)&lt;&gt;"수입",$E701&lt;&gt;"대체",$I701&gt;0),"지출 과목인데 수입에 적혔습니다",IF($K701="","증빙을 고르십시오",IF($H701="","적요를 적으십시오","")))))))))))</f>
        <v/>
      </c>
      <c r="M701" s="39"/>
      <c r="O701" s="11" t="str">
        <f aca="false">IF($B701="","",YEAR($B701)*100+MONTH($B701))</f>
        <v/>
      </c>
      <c r="P701" s="11" t="str">
        <f aca="false">IF($B701="","",IF($E701="대체",0,1))</f>
        <v/>
      </c>
    </row>
    <row r="702" customFormat="false" ht="15" hidden="false" customHeight="false" outlineLevel="0" collapsed="false">
      <c r="A702" s="36" t="str">
        <f aca="false">IF($B702="","",COUNT($B$15:$B702))</f>
        <v/>
      </c>
      <c r="B702" s="37"/>
      <c r="C702" s="38"/>
      <c r="D702" s="20"/>
      <c r="E702" s="36" t="str">
        <f aca="false">IF($D702="","",IFERROR(INDEX('교육원 ④ 설정'!$A$6:$A$40,MATCH($D702,'교육원 ④ 설정'!$B$6:$B$40,0)),"※없는 과목"))</f>
        <v/>
      </c>
      <c r="F702" s="36" t="str">
        <f aca="false">IF($D702="","",IFERROR(INDEX('교육원 ④ 설정'!$C$6:$C$40,MATCH($D702,'교육원 ④ 설정'!$B$6:$B$40,0)),""))</f>
        <v/>
      </c>
      <c r="G702" s="39"/>
      <c r="H702" s="39"/>
      <c r="I702" s="40"/>
      <c r="J702" s="41"/>
      <c r="K702" s="38"/>
      <c r="L702" s="42" t="str">
        <f aca="false">IF($B702="","",IF(AND(N($I702)=0,N($J702)=0),"금액이 없습니다",IF(AND($I702&gt;0,$J702&gt;0),"수입·지출 둘 다 적혔습니다",IF($C702="","결제수단을 고르십시오",IF(ISNA(MATCH($C702,'교육원 ③ 통장·카드'!$A$5:$A$11,0)),"③ 통장·카드에 없는 결제수단입니다",IF($D702="","계정과목을 고르십시오",IF($E702="※없는 과목","④ 설정에 없는 과목입니다",IF(AND($E702="수입",$J702&gt;0),"수입 과목인데 지출에 적혔습니다",IF(AND(LEFT($E702,2)&lt;&gt;"수입",$E702&lt;&gt;"대체",$I702&gt;0),"지출 과목인데 수입에 적혔습니다",IF($K702="","증빙을 고르십시오",IF($H702="","적요를 적으십시오","")))))))))))</f>
        <v/>
      </c>
      <c r="M702" s="39"/>
      <c r="O702" s="11" t="str">
        <f aca="false">IF($B702="","",YEAR($B702)*100+MONTH($B702))</f>
        <v/>
      </c>
      <c r="P702" s="11" t="str">
        <f aca="false">IF($B702="","",IF($E702="대체",0,1))</f>
        <v/>
      </c>
    </row>
    <row r="703" customFormat="false" ht="15" hidden="false" customHeight="false" outlineLevel="0" collapsed="false">
      <c r="A703" s="36" t="str">
        <f aca="false">IF($B703="","",COUNT($B$15:$B703))</f>
        <v/>
      </c>
      <c r="B703" s="37"/>
      <c r="C703" s="38"/>
      <c r="D703" s="20"/>
      <c r="E703" s="36" t="str">
        <f aca="false">IF($D703="","",IFERROR(INDEX('교육원 ④ 설정'!$A$6:$A$40,MATCH($D703,'교육원 ④ 설정'!$B$6:$B$40,0)),"※없는 과목"))</f>
        <v/>
      </c>
      <c r="F703" s="36" t="str">
        <f aca="false">IF($D703="","",IFERROR(INDEX('교육원 ④ 설정'!$C$6:$C$40,MATCH($D703,'교육원 ④ 설정'!$B$6:$B$40,0)),""))</f>
        <v/>
      </c>
      <c r="G703" s="39"/>
      <c r="H703" s="39"/>
      <c r="I703" s="40"/>
      <c r="J703" s="41"/>
      <c r="K703" s="38"/>
      <c r="L703" s="42" t="str">
        <f aca="false">IF($B703="","",IF(AND(N($I703)=0,N($J703)=0),"금액이 없습니다",IF(AND($I703&gt;0,$J703&gt;0),"수입·지출 둘 다 적혔습니다",IF($C703="","결제수단을 고르십시오",IF(ISNA(MATCH($C703,'교육원 ③ 통장·카드'!$A$5:$A$11,0)),"③ 통장·카드에 없는 결제수단입니다",IF($D703="","계정과목을 고르십시오",IF($E703="※없는 과목","④ 설정에 없는 과목입니다",IF(AND($E703="수입",$J703&gt;0),"수입 과목인데 지출에 적혔습니다",IF(AND(LEFT($E703,2)&lt;&gt;"수입",$E703&lt;&gt;"대체",$I703&gt;0),"지출 과목인데 수입에 적혔습니다",IF($K703="","증빙을 고르십시오",IF($H703="","적요를 적으십시오","")))))))))))</f>
        <v/>
      </c>
      <c r="M703" s="39"/>
      <c r="O703" s="11" t="str">
        <f aca="false">IF($B703="","",YEAR($B703)*100+MONTH($B703))</f>
        <v/>
      </c>
      <c r="P703" s="11" t="str">
        <f aca="false">IF($B703="","",IF($E703="대체",0,1))</f>
        <v/>
      </c>
    </row>
    <row r="704" customFormat="false" ht="15" hidden="false" customHeight="false" outlineLevel="0" collapsed="false">
      <c r="A704" s="36" t="str">
        <f aca="false">IF($B704="","",COUNT($B$15:$B704))</f>
        <v/>
      </c>
      <c r="B704" s="37"/>
      <c r="C704" s="38"/>
      <c r="D704" s="20"/>
      <c r="E704" s="36" t="str">
        <f aca="false">IF($D704="","",IFERROR(INDEX('교육원 ④ 설정'!$A$6:$A$40,MATCH($D704,'교육원 ④ 설정'!$B$6:$B$40,0)),"※없는 과목"))</f>
        <v/>
      </c>
      <c r="F704" s="36" t="str">
        <f aca="false">IF($D704="","",IFERROR(INDEX('교육원 ④ 설정'!$C$6:$C$40,MATCH($D704,'교육원 ④ 설정'!$B$6:$B$40,0)),""))</f>
        <v/>
      </c>
      <c r="G704" s="39"/>
      <c r="H704" s="39"/>
      <c r="I704" s="40"/>
      <c r="J704" s="41"/>
      <c r="K704" s="38"/>
      <c r="L704" s="42" t="str">
        <f aca="false">IF($B704="","",IF(AND(N($I704)=0,N($J704)=0),"금액이 없습니다",IF(AND($I704&gt;0,$J704&gt;0),"수입·지출 둘 다 적혔습니다",IF($C704="","결제수단을 고르십시오",IF(ISNA(MATCH($C704,'교육원 ③ 통장·카드'!$A$5:$A$11,0)),"③ 통장·카드에 없는 결제수단입니다",IF($D704="","계정과목을 고르십시오",IF($E704="※없는 과목","④ 설정에 없는 과목입니다",IF(AND($E704="수입",$J704&gt;0),"수입 과목인데 지출에 적혔습니다",IF(AND(LEFT($E704,2)&lt;&gt;"수입",$E704&lt;&gt;"대체",$I704&gt;0),"지출 과목인데 수입에 적혔습니다",IF($K704="","증빙을 고르십시오",IF($H704="","적요를 적으십시오","")))))))))))</f>
        <v/>
      </c>
      <c r="M704" s="39"/>
      <c r="O704" s="11" t="str">
        <f aca="false">IF($B704="","",YEAR($B704)*100+MONTH($B704))</f>
        <v/>
      </c>
      <c r="P704" s="11" t="str">
        <f aca="false">IF($B704="","",IF($E704="대체",0,1))</f>
        <v/>
      </c>
    </row>
    <row r="705" customFormat="false" ht="15" hidden="false" customHeight="false" outlineLevel="0" collapsed="false">
      <c r="A705" s="36" t="str">
        <f aca="false">IF($B705="","",COUNT($B$15:$B705))</f>
        <v/>
      </c>
      <c r="B705" s="37"/>
      <c r="C705" s="38"/>
      <c r="D705" s="20"/>
      <c r="E705" s="36" t="str">
        <f aca="false">IF($D705="","",IFERROR(INDEX('교육원 ④ 설정'!$A$6:$A$40,MATCH($D705,'교육원 ④ 설정'!$B$6:$B$40,0)),"※없는 과목"))</f>
        <v/>
      </c>
      <c r="F705" s="36" t="str">
        <f aca="false">IF($D705="","",IFERROR(INDEX('교육원 ④ 설정'!$C$6:$C$40,MATCH($D705,'교육원 ④ 설정'!$B$6:$B$40,0)),""))</f>
        <v/>
      </c>
      <c r="G705" s="39"/>
      <c r="H705" s="39"/>
      <c r="I705" s="40"/>
      <c r="J705" s="41"/>
      <c r="K705" s="38"/>
      <c r="L705" s="42" t="str">
        <f aca="false">IF($B705="","",IF(AND(N($I705)=0,N($J705)=0),"금액이 없습니다",IF(AND($I705&gt;0,$J705&gt;0),"수입·지출 둘 다 적혔습니다",IF($C705="","결제수단을 고르십시오",IF(ISNA(MATCH($C705,'교육원 ③ 통장·카드'!$A$5:$A$11,0)),"③ 통장·카드에 없는 결제수단입니다",IF($D705="","계정과목을 고르십시오",IF($E705="※없는 과목","④ 설정에 없는 과목입니다",IF(AND($E705="수입",$J705&gt;0),"수입 과목인데 지출에 적혔습니다",IF(AND(LEFT($E705,2)&lt;&gt;"수입",$E705&lt;&gt;"대체",$I705&gt;0),"지출 과목인데 수입에 적혔습니다",IF($K705="","증빙을 고르십시오",IF($H705="","적요를 적으십시오","")))))))))))</f>
        <v/>
      </c>
      <c r="M705" s="39"/>
      <c r="O705" s="11" t="str">
        <f aca="false">IF($B705="","",YEAR($B705)*100+MONTH($B705))</f>
        <v/>
      </c>
      <c r="P705" s="11" t="str">
        <f aca="false">IF($B705="","",IF($E705="대체",0,1))</f>
        <v/>
      </c>
    </row>
    <row r="706" customFormat="false" ht="15" hidden="false" customHeight="false" outlineLevel="0" collapsed="false">
      <c r="A706" s="36" t="str">
        <f aca="false">IF($B706="","",COUNT($B$15:$B706))</f>
        <v/>
      </c>
      <c r="B706" s="37"/>
      <c r="C706" s="38"/>
      <c r="D706" s="20"/>
      <c r="E706" s="36" t="str">
        <f aca="false">IF($D706="","",IFERROR(INDEX('교육원 ④ 설정'!$A$6:$A$40,MATCH($D706,'교육원 ④ 설정'!$B$6:$B$40,0)),"※없는 과목"))</f>
        <v/>
      </c>
      <c r="F706" s="36" t="str">
        <f aca="false">IF($D706="","",IFERROR(INDEX('교육원 ④ 설정'!$C$6:$C$40,MATCH($D706,'교육원 ④ 설정'!$B$6:$B$40,0)),""))</f>
        <v/>
      </c>
      <c r="G706" s="39"/>
      <c r="H706" s="39"/>
      <c r="I706" s="40"/>
      <c r="J706" s="41"/>
      <c r="K706" s="38"/>
      <c r="L706" s="42" t="str">
        <f aca="false">IF($B706="","",IF(AND(N($I706)=0,N($J706)=0),"금액이 없습니다",IF(AND($I706&gt;0,$J706&gt;0),"수입·지출 둘 다 적혔습니다",IF($C706="","결제수단을 고르십시오",IF(ISNA(MATCH($C706,'교육원 ③ 통장·카드'!$A$5:$A$11,0)),"③ 통장·카드에 없는 결제수단입니다",IF($D706="","계정과목을 고르십시오",IF($E706="※없는 과목","④ 설정에 없는 과목입니다",IF(AND($E706="수입",$J706&gt;0),"수입 과목인데 지출에 적혔습니다",IF(AND(LEFT($E706,2)&lt;&gt;"수입",$E706&lt;&gt;"대체",$I706&gt;0),"지출 과목인데 수입에 적혔습니다",IF($K706="","증빙을 고르십시오",IF($H706="","적요를 적으십시오","")))))))))))</f>
        <v/>
      </c>
      <c r="M706" s="39"/>
      <c r="O706" s="11" t="str">
        <f aca="false">IF($B706="","",YEAR($B706)*100+MONTH($B706))</f>
        <v/>
      </c>
      <c r="P706" s="11" t="str">
        <f aca="false">IF($B706="","",IF($E706="대체",0,1))</f>
        <v/>
      </c>
    </row>
    <row r="707" customFormat="false" ht="15" hidden="false" customHeight="false" outlineLevel="0" collapsed="false">
      <c r="A707" s="36" t="str">
        <f aca="false">IF($B707="","",COUNT($B$15:$B707))</f>
        <v/>
      </c>
      <c r="B707" s="37"/>
      <c r="C707" s="38"/>
      <c r="D707" s="20"/>
      <c r="E707" s="36" t="str">
        <f aca="false">IF($D707="","",IFERROR(INDEX('교육원 ④ 설정'!$A$6:$A$40,MATCH($D707,'교육원 ④ 설정'!$B$6:$B$40,0)),"※없는 과목"))</f>
        <v/>
      </c>
      <c r="F707" s="36" t="str">
        <f aca="false">IF($D707="","",IFERROR(INDEX('교육원 ④ 설정'!$C$6:$C$40,MATCH($D707,'교육원 ④ 설정'!$B$6:$B$40,0)),""))</f>
        <v/>
      </c>
      <c r="G707" s="39"/>
      <c r="H707" s="39"/>
      <c r="I707" s="40"/>
      <c r="J707" s="41"/>
      <c r="K707" s="38"/>
      <c r="L707" s="42" t="str">
        <f aca="false">IF($B707="","",IF(AND(N($I707)=0,N($J707)=0),"금액이 없습니다",IF(AND($I707&gt;0,$J707&gt;0),"수입·지출 둘 다 적혔습니다",IF($C707="","결제수단을 고르십시오",IF(ISNA(MATCH($C707,'교육원 ③ 통장·카드'!$A$5:$A$11,0)),"③ 통장·카드에 없는 결제수단입니다",IF($D707="","계정과목을 고르십시오",IF($E707="※없는 과목","④ 설정에 없는 과목입니다",IF(AND($E707="수입",$J707&gt;0),"수입 과목인데 지출에 적혔습니다",IF(AND(LEFT($E707,2)&lt;&gt;"수입",$E707&lt;&gt;"대체",$I707&gt;0),"지출 과목인데 수입에 적혔습니다",IF($K707="","증빙을 고르십시오",IF($H707="","적요를 적으십시오","")))))))))))</f>
        <v/>
      </c>
      <c r="M707" s="39"/>
      <c r="O707" s="11" t="str">
        <f aca="false">IF($B707="","",YEAR($B707)*100+MONTH($B707))</f>
        <v/>
      </c>
      <c r="P707" s="11" t="str">
        <f aca="false">IF($B707="","",IF($E707="대체",0,1))</f>
        <v/>
      </c>
    </row>
    <row r="708" customFormat="false" ht="15" hidden="false" customHeight="false" outlineLevel="0" collapsed="false">
      <c r="A708" s="36" t="str">
        <f aca="false">IF($B708="","",COUNT($B$15:$B708))</f>
        <v/>
      </c>
      <c r="B708" s="37"/>
      <c r="C708" s="38"/>
      <c r="D708" s="20"/>
      <c r="E708" s="36" t="str">
        <f aca="false">IF($D708="","",IFERROR(INDEX('교육원 ④ 설정'!$A$6:$A$40,MATCH($D708,'교육원 ④ 설정'!$B$6:$B$40,0)),"※없는 과목"))</f>
        <v/>
      </c>
      <c r="F708" s="36" t="str">
        <f aca="false">IF($D708="","",IFERROR(INDEX('교육원 ④ 설정'!$C$6:$C$40,MATCH($D708,'교육원 ④ 설정'!$B$6:$B$40,0)),""))</f>
        <v/>
      </c>
      <c r="G708" s="39"/>
      <c r="H708" s="39"/>
      <c r="I708" s="40"/>
      <c r="J708" s="41"/>
      <c r="K708" s="38"/>
      <c r="L708" s="42" t="str">
        <f aca="false">IF($B708="","",IF(AND(N($I708)=0,N($J708)=0),"금액이 없습니다",IF(AND($I708&gt;0,$J708&gt;0),"수입·지출 둘 다 적혔습니다",IF($C708="","결제수단을 고르십시오",IF(ISNA(MATCH($C708,'교육원 ③ 통장·카드'!$A$5:$A$11,0)),"③ 통장·카드에 없는 결제수단입니다",IF($D708="","계정과목을 고르십시오",IF($E708="※없는 과목","④ 설정에 없는 과목입니다",IF(AND($E708="수입",$J708&gt;0),"수입 과목인데 지출에 적혔습니다",IF(AND(LEFT($E708,2)&lt;&gt;"수입",$E708&lt;&gt;"대체",$I708&gt;0),"지출 과목인데 수입에 적혔습니다",IF($K708="","증빙을 고르십시오",IF($H708="","적요를 적으십시오","")))))))))))</f>
        <v/>
      </c>
      <c r="M708" s="39"/>
      <c r="O708" s="11" t="str">
        <f aca="false">IF($B708="","",YEAR($B708)*100+MONTH($B708))</f>
        <v/>
      </c>
      <c r="P708" s="11" t="str">
        <f aca="false">IF($B708="","",IF($E708="대체",0,1))</f>
        <v/>
      </c>
    </row>
    <row r="709" customFormat="false" ht="15" hidden="false" customHeight="false" outlineLevel="0" collapsed="false">
      <c r="A709" s="36" t="str">
        <f aca="false">IF($B709="","",COUNT($B$15:$B709))</f>
        <v/>
      </c>
      <c r="B709" s="37"/>
      <c r="C709" s="38"/>
      <c r="D709" s="20"/>
      <c r="E709" s="36" t="str">
        <f aca="false">IF($D709="","",IFERROR(INDEX('교육원 ④ 설정'!$A$6:$A$40,MATCH($D709,'교육원 ④ 설정'!$B$6:$B$40,0)),"※없는 과목"))</f>
        <v/>
      </c>
      <c r="F709" s="36" t="str">
        <f aca="false">IF($D709="","",IFERROR(INDEX('교육원 ④ 설정'!$C$6:$C$40,MATCH($D709,'교육원 ④ 설정'!$B$6:$B$40,0)),""))</f>
        <v/>
      </c>
      <c r="G709" s="39"/>
      <c r="H709" s="39"/>
      <c r="I709" s="40"/>
      <c r="J709" s="41"/>
      <c r="K709" s="38"/>
      <c r="L709" s="42" t="str">
        <f aca="false">IF($B709="","",IF(AND(N($I709)=0,N($J709)=0),"금액이 없습니다",IF(AND($I709&gt;0,$J709&gt;0),"수입·지출 둘 다 적혔습니다",IF($C709="","결제수단을 고르십시오",IF(ISNA(MATCH($C709,'교육원 ③ 통장·카드'!$A$5:$A$11,0)),"③ 통장·카드에 없는 결제수단입니다",IF($D709="","계정과목을 고르십시오",IF($E709="※없는 과목","④ 설정에 없는 과목입니다",IF(AND($E709="수입",$J709&gt;0),"수입 과목인데 지출에 적혔습니다",IF(AND(LEFT($E709,2)&lt;&gt;"수입",$E709&lt;&gt;"대체",$I709&gt;0),"지출 과목인데 수입에 적혔습니다",IF($K709="","증빙을 고르십시오",IF($H709="","적요를 적으십시오","")))))))))))</f>
        <v/>
      </c>
      <c r="M709" s="39"/>
      <c r="O709" s="11" t="str">
        <f aca="false">IF($B709="","",YEAR($B709)*100+MONTH($B709))</f>
        <v/>
      </c>
      <c r="P709" s="11" t="str">
        <f aca="false">IF($B709="","",IF($E709="대체",0,1))</f>
        <v/>
      </c>
    </row>
    <row r="710" customFormat="false" ht="15" hidden="false" customHeight="false" outlineLevel="0" collapsed="false">
      <c r="A710" s="36" t="str">
        <f aca="false">IF($B710="","",COUNT($B$15:$B710))</f>
        <v/>
      </c>
      <c r="B710" s="37"/>
      <c r="C710" s="38"/>
      <c r="D710" s="20"/>
      <c r="E710" s="36" t="str">
        <f aca="false">IF($D710="","",IFERROR(INDEX('교육원 ④ 설정'!$A$6:$A$40,MATCH($D710,'교육원 ④ 설정'!$B$6:$B$40,0)),"※없는 과목"))</f>
        <v/>
      </c>
      <c r="F710" s="36" t="str">
        <f aca="false">IF($D710="","",IFERROR(INDEX('교육원 ④ 설정'!$C$6:$C$40,MATCH($D710,'교육원 ④ 설정'!$B$6:$B$40,0)),""))</f>
        <v/>
      </c>
      <c r="G710" s="39"/>
      <c r="H710" s="39"/>
      <c r="I710" s="40"/>
      <c r="J710" s="41"/>
      <c r="K710" s="38"/>
      <c r="L710" s="42" t="str">
        <f aca="false">IF($B710="","",IF(AND(N($I710)=0,N($J710)=0),"금액이 없습니다",IF(AND($I710&gt;0,$J710&gt;0),"수입·지출 둘 다 적혔습니다",IF($C710="","결제수단을 고르십시오",IF(ISNA(MATCH($C710,'교육원 ③ 통장·카드'!$A$5:$A$11,0)),"③ 통장·카드에 없는 결제수단입니다",IF($D710="","계정과목을 고르십시오",IF($E710="※없는 과목","④ 설정에 없는 과목입니다",IF(AND($E710="수입",$J710&gt;0),"수입 과목인데 지출에 적혔습니다",IF(AND(LEFT($E710,2)&lt;&gt;"수입",$E710&lt;&gt;"대체",$I710&gt;0),"지출 과목인데 수입에 적혔습니다",IF($K710="","증빙을 고르십시오",IF($H710="","적요를 적으십시오","")))))))))))</f>
        <v/>
      </c>
      <c r="M710" s="39"/>
      <c r="O710" s="11" t="str">
        <f aca="false">IF($B710="","",YEAR($B710)*100+MONTH($B710))</f>
        <v/>
      </c>
      <c r="P710" s="11" t="str">
        <f aca="false">IF($B710="","",IF($E710="대체",0,1))</f>
        <v/>
      </c>
    </row>
    <row r="711" customFormat="false" ht="15" hidden="false" customHeight="false" outlineLevel="0" collapsed="false">
      <c r="A711" s="36" t="str">
        <f aca="false">IF($B711="","",COUNT($B$15:$B711))</f>
        <v/>
      </c>
      <c r="B711" s="37"/>
      <c r="C711" s="38"/>
      <c r="D711" s="20"/>
      <c r="E711" s="36" t="str">
        <f aca="false">IF($D711="","",IFERROR(INDEX('교육원 ④ 설정'!$A$6:$A$40,MATCH($D711,'교육원 ④ 설정'!$B$6:$B$40,0)),"※없는 과목"))</f>
        <v/>
      </c>
      <c r="F711" s="36" t="str">
        <f aca="false">IF($D711="","",IFERROR(INDEX('교육원 ④ 설정'!$C$6:$C$40,MATCH($D711,'교육원 ④ 설정'!$B$6:$B$40,0)),""))</f>
        <v/>
      </c>
      <c r="G711" s="39"/>
      <c r="H711" s="39"/>
      <c r="I711" s="40"/>
      <c r="J711" s="41"/>
      <c r="K711" s="38"/>
      <c r="L711" s="42" t="str">
        <f aca="false">IF($B711="","",IF(AND(N($I711)=0,N($J711)=0),"금액이 없습니다",IF(AND($I711&gt;0,$J711&gt;0),"수입·지출 둘 다 적혔습니다",IF($C711="","결제수단을 고르십시오",IF(ISNA(MATCH($C711,'교육원 ③ 통장·카드'!$A$5:$A$11,0)),"③ 통장·카드에 없는 결제수단입니다",IF($D711="","계정과목을 고르십시오",IF($E711="※없는 과목","④ 설정에 없는 과목입니다",IF(AND($E711="수입",$J711&gt;0),"수입 과목인데 지출에 적혔습니다",IF(AND(LEFT($E711,2)&lt;&gt;"수입",$E711&lt;&gt;"대체",$I711&gt;0),"지출 과목인데 수입에 적혔습니다",IF($K711="","증빙을 고르십시오",IF($H711="","적요를 적으십시오","")))))))))))</f>
        <v/>
      </c>
      <c r="M711" s="39"/>
      <c r="O711" s="11" t="str">
        <f aca="false">IF($B711="","",YEAR($B711)*100+MONTH($B711))</f>
        <v/>
      </c>
      <c r="P711" s="11" t="str">
        <f aca="false">IF($B711="","",IF($E711="대체",0,1))</f>
        <v/>
      </c>
    </row>
    <row r="712" customFormat="false" ht="15" hidden="false" customHeight="false" outlineLevel="0" collapsed="false">
      <c r="A712" s="36" t="str">
        <f aca="false">IF($B712="","",COUNT($B$15:$B712))</f>
        <v/>
      </c>
      <c r="B712" s="37"/>
      <c r="C712" s="38"/>
      <c r="D712" s="20"/>
      <c r="E712" s="36" t="str">
        <f aca="false">IF($D712="","",IFERROR(INDEX('교육원 ④ 설정'!$A$6:$A$40,MATCH($D712,'교육원 ④ 설정'!$B$6:$B$40,0)),"※없는 과목"))</f>
        <v/>
      </c>
      <c r="F712" s="36" t="str">
        <f aca="false">IF($D712="","",IFERROR(INDEX('교육원 ④ 설정'!$C$6:$C$40,MATCH($D712,'교육원 ④ 설정'!$B$6:$B$40,0)),""))</f>
        <v/>
      </c>
      <c r="G712" s="39"/>
      <c r="H712" s="39"/>
      <c r="I712" s="40"/>
      <c r="J712" s="41"/>
      <c r="K712" s="38"/>
      <c r="L712" s="42" t="str">
        <f aca="false">IF($B712="","",IF(AND(N($I712)=0,N($J712)=0),"금액이 없습니다",IF(AND($I712&gt;0,$J712&gt;0),"수입·지출 둘 다 적혔습니다",IF($C712="","결제수단을 고르십시오",IF(ISNA(MATCH($C712,'교육원 ③ 통장·카드'!$A$5:$A$11,0)),"③ 통장·카드에 없는 결제수단입니다",IF($D712="","계정과목을 고르십시오",IF($E712="※없는 과목","④ 설정에 없는 과목입니다",IF(AND($E712="수입",$J712&gt;0),"수입 과목인데 지출에 적혔습니다",IF(AND(LEFT($E712,2)&lt;&gt;"수입",$E712&lt;&gt;"대체",$I712&gt;0),"지출 과목인데 수입에 적혔습니다",IF($K712="","증빙을 고르십시오",IF($H712="","적요를 적으십시오","")))))))))))</f>
        <v/>
      </c>
      <c r="M712" s="39"/>
      <c r="O712" s="11" t="str">
        <f aca="false">IF($B712="","",YEAR($B712)*100+MONTH($B712))</f>
        <v/>
      </c>
      <c r="P712" s="11" t="str">
        <f aca="false">IF($B712="","",IF($E712="대체",0,1))</f>
        <v/>
      </c>
    </row>
    <row r="713" customFormat="false" ht="15" hidden="false" customHeight="false" outlineLevel="0" collapsed="false">
      <c r="A713" s="36" t="str">
        <f aca="false">IF($B713="","",COUNT($B$15:$B713))</f>
        <v/>
      </c>
      <c r="B713" s="37"/>
      <c r="C713" s="38"/>
      <c r="D713" s="20"/>
      <c r="E713" s="36" t="str">
        <f aca="false">IF($D713="","",IFERROR(INDEX('교육원 ④ 설정'!$A$6:$A$40,MATCH($D713,'교육원 ④ 설정'!$B$6:$B$40,0)),"※없는 과목"))</f>
        <v/>
      </c>
      <c r="F713" s="36" t="str">
        <f aca="false">IF($D713="","",IFERROR(INDEX('교육원 ④ 설정'!$C$6:$C$40,MATCH($D713,'교육원 ④ 설정'!$B$6:$B$40,0)),""))</f>
        <v/>
      </c>
      <c r="G713" s="39"/>
      <c r="H713" s="39"/>
      <c r="I713" s="40"/>
      <c r="J713" s="41"/>
      <c r="K713" s="38"/>
      <c r="L713" s="42" t="str">
        <f aca="false">IF($B713="","",IF(AND(N($I713)=0,N($J713)=0),"금액이 없습니다",IF(AND($I713&gt;0,$J713&gt;0),"수입·지출 둘 다 적혔습니다",IF($C713="","결제수단을 고르십시오",IF(ISNA(MATCH($C713,'교육원 ③ 통장·카드'!$A$5:$A$11,0)),"③ 통장·카드에 없는 결제수단입니다",IF($D713="","계정과목을 고르십시오",IF($E713="※없는 과목","④ 설정에 없는 과목입니다",IF(AND($E713="수입",$J713&gt;0),"수입 과목인데 지출에 적혔습니다",IF(AND(LEFT($E713,2)&lt;&gt;"수입",$E713&lt;&gt;"대체",$I713&gt;0),"지출 과목인데 수입에 적혔습니다",IF($K713="","증빙을 고르십시오",IF($H713="","적요를 적으십시오","")))))))))))</f>
        <v/>
      </c>
      <c r="M713" s="39"/>
      <c r="O713" s="11" t="str">
        <f aca="false">IF($B713="","",YEAR($B713)*100+MONTH($B713))</f>
        <v/>
      </c>
      <c r="P713" s="11" t="str">
        <f aca="false">IF($B713="","",IF($E713="대체",0,1))</f>
        <v/>
      </c>
    </row>
    <row r="714" customFormat="false" ht="15" hidden="false" customHeight="false" outlineLevel="0" collapsed="false">
      <c r="A714" s="36" t="str">
        <f aca="false">IF($B714="","",COUNT($B$15:$B714))</f>
        <v/>
      </c>
      <c r="B714" s="37"/>
      <c r="C714" s="38"/>
      <c r="D714" s="20"/>
      <c r="E714" s="36" t="str">
        <f aca="false">IF($D714="","",IFERROR(INDEX('교육원 ④ 설정'!$A$6:$A$40,MATCH($D714,'교육원 ④ 설정'!$B$6:$B$40,0)),"※없는 과목"))</f>
        <v/>
      </c>
      <c r="F714" s="36" t="str">
        <f aca="false">IF($D714="","",IFERROR(INDEX('교육원 ④ 설정'!$C$6:$C$40,MATCH($D714,'교육원 ④ 설정'!$B$6:$B$40,0)),""))</f>
        <v/>
      </c>
      <c r="G714" s="39"/>
      <c r="H714" s="39"/>
      <c r="I714" s="40"/>
      <c r="J714" s="41"/>
      <c r="K714" s="38"/>
      <c r="L714" s="42" t="str">
        <f aca="false">IF($B714="","",IF(AND(N($I714)=0,N($J714)=0),"금액이 없습니다",IF(AND($I714&gt;0,$J714&gt;0),"수입·지출 둘 다 적혔습니다",IF($C714="","결제수단을 고르십시오",IF(ISNA(MATCH($C714,'교육원 ③ 통장·카드'!$A$5:$A$11,0)),"③ 통장·카드에 없는 결제수단입니다",IF($D714="","계정과목을 고르십시오",IF($E714="※없는 과목","④ 설정에 없는 과목입니다",IF(AND($E714="수입",$J714&gt;0),"수입 과목인데 지출에 적혔습니다",IF(AND(LEFT($E714,2)&lt;&gt;"수입",$E714&lt;&gt;"대체",$I714&gt;0),"지출 과목인데 수입에 적혔습니다",IF($K714="","증빙을 고르십시오",IF($H714="","적요를 적으십시오","")))))))))))</f>
        <v/>
      </c>
      <c r="M714" s="39"/>
      <c r="O714" s="11" t="str">
        <f aca="false">IF($B714="","",YEAR($B714)*100+MONTH($B714))</f>
        <v/>
      </c>
      <c r="P714" s="11" t="str">
        <f aca="false">IF($B714="","",IF($E714="대체",0,1))</f>
        <v/>
      </c>
    </row>
    <row r="715" customFormat="false" ht="15" hidden="false" customHeight="false" outlineLevel="0" collapsed="false">
      <c r="A715" s="36" t="str">
        <f aca="false">IF($B715="","",COUNT($B$15:$B715))</f>
        <v/>
      </c>
      <c r="B715" s="37"/>
      <c r="C715" s="38"/>
      <c r="D715" s="20"/>
      <c r="E715" s="36" t="str">
        <f aca="false">IF($D715="","",IFERROR(INDEX('교육원 ④ 설정'!$A$6:$A$40,MATCH($D715,'교육원 ④ 설정'!$B$6:$B$40,0)),"※없는 과목"))</f>
        <v/>
      </c>
      <c r="F715" s="36" t="str">
        <f aca="false">IF($D715="","",IFERROR(INDEX('교육원 ④ 설정'!$C$6:$C$40,MATCH($D715,'교육원 ④ 설정'!$B$6:$B$40,0)),""))</f>
        <v/>
      </c>
      <c r="G715" s="39"/>
      <c r="H715" s="39"/>
      <c r="I715" s="40"/>
      <c r="J715" s="41"/>
      <c r="K715" s="38"/>
      <c r="L715" s="42" t="str">
        <f aca="false">IF($B715="","",IF(AND(N($I715)=0,N($J715)=0),"금액이 없습니다",IF(AND($I715&gt;0,$J715&gt;0),"수입·지출 둘 다 적혔습니다",IF($C715="","결제수단을 고르십시오",IF(ISNA(MATCH($C715,'교육원 ③ 통장·카드'!$A$5:$A$11,0)),"③ 통장·카드에 없는 결제수단입니다",IF($D715="","계정과목을 고르십시오",IF($E715="※없는 과목","④ 설정에 없는 과목입니다",IF(AND($E715="수입",$J715&gt;0),"수입 과목인데 지출에 적혔습니다",IF(AND(LEFT($E715,2)&lt;&gt;"수입",$E715&lt;&gt;"대체",$I715&gt;0),"지출 과목인데 수입에 적혔습니다",IF($K715="","증빙을 고르십시오",IF($H715="","적요를 적으십시오","")))))))))))</f>
        <v/>
      </c>
      <c r="M715" s="39"/>
      <c r="O715" s="11" t="str">
        <f aca="false">IF($B715="","",YEAR($B715)*100+MONTH($B715))</f>
        <v/>
      </c>
      <c r="P715" s="11" t="str">
        <f aca="false">IF($B715="","",IF($E715="대체",0,1))</f>
        <v/>
      </c>
    </row>
    <row r="716" customFormat="false" ht="15" hidden="false" customHeight="false" outlineLevel="0" collapsed="false">
      <c r="A716" s="36" t="str">
        <f aca="false">IF($B716="","",COUNT($B$15:$B716))</f>
        <v/>
      </c>
      <c r="B716" s="37"/>
      <c r="C716" s="38"/>
      <c r="D716" s="20"/>
      <c r="E716" s="36" t="str">
        <f aca="false">IF($D716="","",IFERROR(INDEX('교육원 ④ 설정'!$A$6:$A$40,MATCH($D716,'교육원 ④ 설정'!$B$6:$B$40,0)),"※없는 과목"))</f>
        <v/>
      </c>
      <c r="F716" s="36" t="str">
        <f aca="false">IF($D716="","",IFERROR(INDEX('교육원 ④ 설정'!$C$6:$C$40,MATCH($D716,'교육원 ④ 설정'!$B$6:$B$40,0)),""))</f>
        <v/>
      </c>
      <c r="G716" s="39"/>
      <c r="H716" s="39"/>
      <c r="I716" s="40"/>
      <c r="J716" s="41"/>
      <c r="K716" s="38"/>
      <c r="L716" s="42" t="str">
        <f aca="false">IF($B716="","",IF(AND(N($I716)=0,N($J716)=0),"금액이 없습니다",IF(AND($I716&gt;0,$J716&gt;0),"수입·지출 둘 다 적혔습니다",IF($C716="","결제수단을 고르십시오",IF(ISNA(MATCH($C716,'교육원 ③ 통장·카드'!$A$5:$A$11,0)),"③ 통장·카드에 없는 결제수단입니다",IF($D716="","계정과목을 고르십시오",IF($E716="※없는 과목","④ 설정에 없는 과목입니다",IF(AND($E716="수입",$J716&gt;0),"수입 과목인데 지출에 적혔습니다",IF(AND(LEFT($E716,2)&lt;&gt;"수입",$E716&lt;&gt;"대체",$I716&gt;0),"지출 과목인데 수입에 적혔습니다",IF($K716="","증빙을 고르십시오",IF($H716="","적요를 적으십시오","")))))))))))</f>
        <v/>
      </c>
      <c r="M716" s="39"/>
      <c r="O716" s="11" t="str">
        <f aca="false">IF($B716="","",YEAR($B716)*100+MONTH($B716))</f>
        <v/>
      </c>
      <c r="P716" s="11" t="str">
        <f aca="false">IF($B716="","",IF($E716="대체",0,1))</f>
        <v/>
      </c>
    </row>
    <row r="717" customFormat="false" ht="15" hidden="false" customHeight="false" outlineLevel="0" collapsed="false">
      <c r="A717" s="36" t="str">
        <f aca="false">IF($B717="","",COUNT($B$15:$B717))</f>
        <v/>
      </c>
      <c r="B717" s="37"/>
      <c r="C717" s="38"/>
      <c r="D717" s="20"/>
      <c r="E717" s="36" t="str">
        <f aca="false">IF($D717="","",IFERROR(INDEX('교육원 ④ 설정'!$A$6:$A$40,MATCH($D717,'교육원 ④ 설정'!$B$6:$B$40,0)),"※없는 과목"))</f>
        <v/>
      </c>
      <c r="F717" s="36" t="str">
        <f aca="false">IF($D717="","",IFERROR(INDEX('교육원 ④ 설정'!$C$6:$C$40,MATCH($D717,'교육원 ④ 설정'!$B$6:$B$40,0)),""))</f>
        <v/>
      </c>
      <c r="G717" s="39"/>
      <c r="H717" s="39"/>
      <c r="I717" s="40"/>
      <c r="J717" s="41"/>
      <c r="K717" s="38"/>
      <c r="L717" s="42" t="str">
        <f aca="false">IF($B717="","",IF(AND(N($I717)=0,N($J717)=0),"금액이 없습니다",IF(AND($I717&gt;0,$J717&gt;0),"수입·지출 둘 다 적혔습니다",IF($C717="","결제수단을 고르십시오",IF(ISNA(MATCH($C717,'교육원 ③ 통장·카드'!$A$5:$A$11,0)),"③ 통장·카드에 없는 결제수단입니다",IF($D717="","계정과목을 고르십시오",IF($E717="※없는 과목","④ 설정에 없는 과목입니다",IF(AND($E717="수입",$J717&gt;0),"수입 과목인데 지출에 적혔습니다",IF(AND(LEFT($E717,2)&lt;&gt;"수입",$E717&lt;&gt;"대체",$I717&gt;0),"지출 과목인데 수입에 적혔습니다",IF($K717="","증빙을 고르십시오",IF($H717="","적요를 적으십시오","")))))))))))</f>
        <v/>
      </c>
      <c r="M717" s="39"/>
      <c r="O717" s="11" t="str">
        <f aca="false">IF($B717="","",YEAR($B717)*100+MONTH($B717))</f>
        <v/>
      </c>
      <c r="P717" s="11" t="str">
        <f aca="false">IF($B717="","",IF($E717="대체",0,1))</f>
        <v/>
      </c>
    </row>
    <row r="718" customFormat="false" ht="15" hidden="false" customHeight="false" outlineLevel="0" collapsed="false">
      <c r="A718" s="36" t="str">
        <f aca="false">IF($B718="","",COUNT($B$15:$B718))</f>
        <v/>
      </c>
      <c r="B718" s="37"/>
      <c r="C718" s="38"/>
      <c r="D718" s="20"/>
      <c r="E718" s="36" t="str">
        <f aca="false">IF($D718="","",IFERROR(INDEX('교육원 ④ 설정'!$A$6:$A$40,MATCH($D718,'교육원 ④ 설정'!$B$6:$B$40,0)),"※없는 과목"))</f>
        <v/>
      </c>
      <c r="F718" s="36" t="str">
        <f aca="false">IF($D718="","",IFERROR(INDEX('교육원 ④ 설정'!$C$6:$C$40,MATCH($D718,'교육원 ④ 설정'!$B$6:$B$40,0)),""))</f>
        <v/>
      </c>
      <c r="G718" s="39"/>
      <c r="H718" s="39"/>
      <c r="I718" s="40"/>
      <c r="J718" s="41"/>
      <c r="K718" s="38"/>
      <c r="L718" s="42" t="str">
        <f aca="false">IF($B718="","",IF(AND(N($I718)=0,N($J718)=0),"금액이 없습니다",IF(AND($I718&gt;0,$J718&gt;0),"수입·지출 둘 다 적혔습니다",IF($C718="","결제수단을 고르십시오",IF(ISNA(MATCH($C718,'교육원 ③ 통장·카드'!$A$5:$A$11,0)),"③ 통장·카드에 없는 결제수단입니다",IF($D718="","계정과목을 고르십시오",IF($E718="※없는 과목","④ 설정에 없는 과목입니다",IF(AND($E718="수입",$J718&gt;0),"수입 과목인데 지출에 적혔습니다",IF(AND(LEFT($E718,2)&lt;&gt;"수입",$E718&lt;&gt;"대체",$I718&gt;0),"지출 과목인데 수입에 적혔습니다",IF($K718="","증빙을 고르십시오",IF($H718="","적요를 적으십시오","")))))))))))</f>
        <v/>
      </c>
      <c r="M718" s="39"/>
      <c r="O718" s="11" t="str">
        <f aca="false">IF($B718="","",YEAR($B718)*100+MONTH($B718))</f>
        <v/>
      </c>
      <c r="P718" s="11" t="str">
        <f aca="false">IF($B718="","",IF($E718="대체",0,1))</f>
        <v/>
      </c>
    </row>
    <row r="719" customFormat="false" ht="15" hidden="false" customHeight="false" outlineLevel="0" collapsed="false">
      <c r="A719" s="36" t="str">
        <f aca="false">IF($B719="","",COUNT($B$15:$B719))</f>
        <v/>
      </c>
      <c r="B719" s="37"/>
      <c r="C719" s="38"/>
      <c r="D719" s="20"/>
      <c r="E719" s="36" t="str">
        <f aca="false">IF($D719="","",IFERROR(INDEX('교육원 ④ 설정'!$A$6:$A$40,MATCH($D719,'교육원 ④ 설정'!$B$6:$B$40,0)),"※없는 과목"))</f>
        <v/>
      </c>
      <c r="F719" s="36" t="str">
        <f aca="false">IF($D719="","",IFERROR(INDEX('교육원 ④ 설정'!$C$6:$C$40,MATCH($D719,'교육원 ④ 설정'!$B$6:$B$40,0)),""))</f>
        <v/>
      </c>
      <c r="G719" s="39"/>
      <c r="H719" s="39"/>
      <c r="I719" s="40"/>
      <c r="J719" s="41"/>
      <c r="K719" s="38"/>
      <c r="L719" s="42" t="str">
        <f aca="false">IF($B719="","",IF(AND(N($I719)=0,N($J719)=0),"금액이 없습니다",IF(AND($I719&gt;0,$J719&gt;0),"수입·지출 둘 다 적혔습니다",IF($C719="","결제수단을 고르십시오",IF(ISNA(MATCH($C719,'교육원 ③ 통장·카드'!$A$5:$A$11,0)),"③ 통장·카드에 없는 결제수단입니다",IF($D719="","계정과목을 고르십시오",IF($E719="※없는 과목","④ 설정에 없는 과목입니다",IF(AND($E719="수입",$J719&gt;0),"수입 과목인데 지출에 적혔습니다",IF(AND(LEFT($E719,2)&lt;&gt;"수입",$E719&lt;&gt;"대체",$I719&gt;0),"지출 과목인데 수입에 적혔습니다",IF($K719="","증빙을 고르십시오",IF($H719="","적요를 적으십시오","")))))))))))</f>
        <v/>
      </c>
      <c r="M719" s="39"/>
      <c r="O719" s="11" t="str">
        <f aca="false">IF($B719="","",YEAR($B719)*100+MONTH($B719))</f>
        <v/>
      </c>
      <c r="P719" s="11" t="str">
        <f aca="false">IF($B719="","",IF($E719="대체",0,1))</f>
        <v/>
      </c>
    </row>
    <row r="720" customFormat="false" ht="15" hidden="false" customHeight="false" outlineLevel="0" collapsed="false">
      <c r="A720" s="36" t="str">
        <f aca="false">IF($B720="","",COUNT($B$15:$B720))</f>
        <v/>
      </c>
      <c r="B720" s="37"/>
      <c r="C720" s="38"/>
      <c r="D720" s="20"/>
      <c r="E720" s="36" t="str">
        <f aca="false">IF($D720="","",IFERROR(INDEX('교육원 ④ 설정'!$A$6:$A$40,MATCH($D720,'교육원 ④ 설정'!$B$6:$B$40,0)),"※없는 과목"))</f>
        <v/>
      </c>
      <c r="F720" s="36" t="str">
        <f aca="false">IF($D720="","",IFERROR(INDEX('교육원 ④ 설정'!$C$6:$C$40,MATCH($D720,'교육원 ④ 설정'!$B$6:$B$40,0)),""))</f>
        <v/>
      </c>
      <c r="G720" s="39"/>
      <c r="H720" s="39"/>
      <c r="I720" s="40"/>
      <c r="J720" s="41"/>
      <c r="K720" s="38"/>
      <c r="L720" s="42" t="str">
        <f aca="false">IF($B720="","",IF(AND(N($I720)=0,N($J720)=0),"금액이 없습니다",IF(AND($I720&gt;0,$J720&gt;0),"수입·지출 둘 다 적혔습니다",IF($C720="","결제수단을 고르십시오",IF(ISNA(MATCH($C720,'교육원 ③ 통장·카드'!$A$5:$A$11,0)),"③ 통장·카드에 없는 결제수단입니다",IF($D720="","계정과목을 고르십시오",IF($E720="※없는 과목","④ 설정에 없는 과목입니다",IF(AND($E720="수입",$J720&gt;0),"수입 과목인데 지출에 적혔습니다",IF(AND(LEFT($E720,2)&lt;&gt;"수입",$E720&lt;&gt;"대체",$I720&gt;0),"지출 과목인데 수입에 적혔습니다",IF($K720="","증빙을 고르십시오",IF($H720="","적요를 적으십시오","")))))))))))</f>
        <v/>
      </c>
      <c r="M720" s="39"/>
      <c r="O720" s="11" t="str">
        <f aca="false">IF($B720="","",YEAR($B720)*100+MONTH($B720))</f>
        <v/>
      </c>
      <c r="P720" s="11" t="str">
        <f aca="false">IF($B720="","",IF($E720="대체",0,1))</f>
        <v/>
      </c>
    </row>
    <row r="721" customFormat="false" ht="15" hidden="false" customHeight="false" outlineLevel="0" collapsed="false">
      <c r="A721" s="36" t="str">
        <f aca="false">IF($B721="","",COUNT($B$15:$B721))</f>
        <v/>
      </c>
      <c r="B721" s="37"/>
      <c r="C721" s="38"/>
      <c r="D721" s="20"/>
      <c r="E721" s="36" t="str">
        <f aca="false">IF($D721="","",IFERROR(INDEX('교육원 ④ 설정'!$A$6:$A$40,MATCH($D721,'교육원 ④ 설정'!$B$6:$B$40,0)),"※없는 과목"))</f>
        <v/>
      </c>
      <c r="F721" s="36" t="str">
        <f aca="false">IF($D721="","",IFERROR(INDEX('교육원 ④ 설정'!$C$6:$C$40,MATCH($D721,'교육원 ④ 설정'!$B$6:$B$40,0)),""))</f>
        <v/>
      </c>
      <c r="G721" s="39"/>
      <c r="H721" s="39"/>
      <c r="I721" s="40"/>
      <c r="J721" s="41"/>
      <c r="K721" s="38"/>
      <c r="L721" s="42" t="str">
        <f aca="false">IF($B721="","",IF(AND(N($I721)=0,N($J721)=0),"금액이 없습니다",IF(AND($I721&gt;0,$J721&gt;0),"수입·지출 둘 다 적혔습니다",IF($C721="","결제수단을 고르십시오",IF(ISNA(MATCH($C721,'교육원 ③ 통장·카드'!$A$5:$A$11,0)),"③ 통장·카드에 없는 결제수단입니다",IF($D721="","계정과목을 고르십시오",IF($E721="※없는 과목","④ 설정에 없는 과목입니다",IF(AND($E721="수입",$J721&gt;0),"수입 과목인데 지출에 적혔습니다",IF(AND(LEFT($E721,2)&lt;&gt;"수입",$E721&lt;&gt;"대체",$I721&gt;0),"지출 과목인데 수입에 적혔습니다",IF($K721="","증빙을 고르십시오",IF($H721="","적요를 적으십시오","")))))))))))</f>
        <v/>
      </c>
      <c r="M721" s="39"/>
      <c r="O721" s="11" t="str">
        <f aca="false">IF($B721="","",YEAR($B721)*100+MONTH($B721))</f>
        <v/>
      </c>
      <c r="P721" s="11" t="str">
        <f aca="false">IF($B721="","",IF($E721="대체",0,1))</f>
        <v/>
      </c>
    </row>
    <row r="722" customFormat="false" ht="15" hidden="false" customHeight="false" outlineLevel="0" collapsed="false">
      <c r="A722" s="36" t="str">
        <f aca="false">IF($B722="","",COUNT($B$15:$B722))</f>
        <v/>
      </c>
      <c r="B722" s="37"/>
      <c r="C722" s="38"/>
      <c r="D722" s="20"/>
      <c r="E722" s="36" t="str">
        <f aca="false">IF($D722="","",IFERROR(INDEX('교육원 ④ 설정'!$A$6:$A$40,MATCH($D722,'교육원 ④ 설정'!$B$6:$B$40,0)),"※없는 과목"))</f>
        <v/>
      </c>
      <c r="F722" s="36" t="str">
        <f aca="false">IF($D722="","",IFERROR(INDEX('교육원 ④ 설정'!$C$6:$C$40,MATCH($D722,'교육원 ④ 설정'!$B$6:$B$40,0)),""))</f>
        <v/>
      </c>
      <c r="G722" s="39"/>
      <c r="H722" s="39"/>
      <c r="I722" s="40"/>
      <c r="J722" s="41"/>
      <c r="K722" s="38"/>
      <c r="L722" s="42" t="str">
        <f aca="false">IF($B722="","",IF(AND(N($I722)=0,N($J722)=0),"금액이 없습니다",IF(AND($I722&gt;0,$J722&gt;0),"수입·지출 둘 다 적혔습니다",IF($C722="","결제수단을 고르십시오",IF(ISNA(MATCH($C722,'교육원 ③ 통장·카드'!$A$5:$A$11,0)),"③ 통장·카드에 없는 결제수단입니다",IF($D722="","계정과목을 고르십시오",IF($E722="※없는 과목","④ 설정에 없는 과목입니다",IF(AND($E722="수입",$J722&gt;0),"수입 과목인데 지출에 적혔습니다",IF(AND(LEFT($E722,2)&lt;&gt;"수입",$E722&lt;&gt;"대체",$I722&gt;0),"지출 과목인데 수입에 적혔습니다",IF($K722="","증빙을 고르십시오",IF($H722="","적요를 적으십시오","")))))))))))</f>
        <v/>
      </c>
      <c r="M722" s="39"/>
      <c r="O722" s="11" t="str">
        <f aca="false">IF($B722="","",YEAR($B722)*100+MONTH($B722))</f>
        <v/>
      </c>
      <c r="P722" s="11" t="str">
        <f aca="false">IF($B722="","",IF($E722="대체",0,1))</f>
        <v/>
      </c>
    </row>
    <row r="723" customFormat="false" ht="15" hidden="false" customHeight="false" outlineLevel="0" collapsed="false">
      <c r="A723" s="36" t="str">
        <f aca="false">IF($B723="","",COUNT($B$15:$B723))</f>
        <v/>
      </c>
      <c r="B723" s="37"/>
      <c r="C723" s="38"/>
      <c r="D723" s="20"/>
      <c r="E723" s="36" t="str">
        <f aca="false">IF($D723="","",IFERROR(INDEX('교육원 ④ 설정'!$A$6:$A$40,MATCH($D723,'교육원 ④ 설정'!$B$6:$B$40,0)),"※없는 과목"))</f>
        <v/>
      </c>
      <c r="F723" s="36" t="str">
        <f aca="false">IF($D723="","",IFERROR(INDEX('교육원 ④ 설정'!$C$6:$C$40,MATCH($D723,'교육원 ④ 설정'!$B$6:$B$40,0)),""))</f>
        <v/>
      </c>
      <c r="G723" s="39"/>
      <c r="H723" s="39"/>
      <c r="I723" s="40"/>
      <c r="J723" s="41"/>
      <c r="K723" s="38"/>
      <c r="L723" s="42" t="str">
        <f aca="false">IF($B723="","",IF(AND(N($I723)=0,N($J723)=0),"금액이 없습니다",IF(AND($I723&gt;0,$J723&gt;0),"수입·지출 둘 다 적혔습니다",IF($C723="","결제수단을 고르십시오",IF(ISNA(MATCH($C723,'교육원 ③ 통장·카드'!$A$5:$A$11,0)),"③ 통장·카드에 없는 결제수단입니다",IF($D723="","계정과목을 고르십시오",IF($E723="※없는 과목","④ 설정에 없는 과목입니다",IF(AND($E723="수입",$J723&gt;0),"수입 과목인데 지출에 적혔습니다",IF(AND(LEFT($E723,2)&lt;&gt;"수입",$E723&lt;&gt;"대체",$I723&gt;0),"지출 과목인데 수입에 적혔습니다",IF($K723="","증빙을 고르십시오",IF($H723="","적요를 적으십시오","")))))))))))</f>
        <v/>
      </c>
      <c r="M723" s="39"/>
      <c r="O723" s="11" t="str">
        <f aca="false">IF($B723="","",YEAR($B723)*100+MONTH($B723))</f>
        <v/>
      </c>
      <c r="P723" s="11" t="str">
        <f aca="false">IF($B723="","",IF($E723="대체",0,1))</f>
        <v/>
      </c>
    </row>
    <row r="724" customFormat="false" ht="15" hidden="false" customHeight="false" outlineLevel="0" collapsed="false">
      <c r="A724" s="36" t="str">
        <f aca="false">IF($B724="","",COUNT($B$15:$B724))</f>
        <v/>
      </c>
      <c r="B724" s="37"/>
      <c r="C724" s="38"/>
      <c r="D724" s="20"/>
      <c r="E724" s="36" t="str">
        <f aca="false">IF($D724="","",IFERROR(INDEX('교육원 ④ 설정'!$A$6:$A$40,MATCH($D724,'교육원 ④ 설정'!$B$6:$B$40,0)),"※없는 과목"))</f>
        <v/>
      </c>
      <c r="F724" s="36" t="str">
        <f aca="false">IF($D724="","",IFERROR(INDEX('교육원 ④ 설정'!$C$6:$C$40,MATCH($D724,'교육원 ④ 설정'!$B$6:$B$40,0)),""))</f>
        <v/>
      </c>
      <c r="G724" s="39"/>
      <c r="H724" s="39"/>
      <c r="I724" s="40"/>
      <c r="J724" s="41"/>
      <c r="K724" s="38"/>
      <c r="L724" s="42" t="str">
        <f aca="false">IF($B724="","",IF(AND(N($I724)=0,N($J724)=0),"금액이 없습니다",IF(AND($I724&gt;0,$J724&gt;0),"수입·지출 둘 다 적혔습니다",IF($C724="","결제수단을 고르십시오",IF(ISNA(MATCH($C724,'교육원 ③ 통장·카드'!$A$5:$A$11,0)),"③ 통장·카드에 없는 결제수단입니다",IF($D724="","계정과목을 고르십시오",IF($E724="※없는 과목","④ 설정에 없는 과목입니다",IF(AND($E724="수입",$J724&gt;0),"수입 과목인데 지출에 적혔습니다",IF(AND(LEFT($E724,2)&lt;&gt;"수입",$E724&lt;&gt;"대체",$I724&gt;0),"지출 과목인데 수입에 적혔습니다",IF($K724="","증빙을 고르십시오",IF($H724="","적요를 적으십시오","")))))))))))</f>
        <v/>
      </c>
      <c r="M724" s="39"/>
      <c r="O724" s="11" t="str">
        <f aca="false">IF($B724="","",YEAR($B724)*100+MONTH($B724))</f>
        <v/>
      </c>
      <c r="P724" s="11" t="str">
        <f aca="false">IF($B724="","",IF($E724="대체",0,1))</f>
        <v/>
      </c>
    </row>
    <row r="725" customFormat="false" ht="15" hidden="false" customHeight="false" outlineLevel="0" collapsed="false">
      <c r="A725" s="36" t="str">
        <f aca="false">IF($B725="","",COUNT($B$15:$B725))</f>
        <v/>
      </c>
      <c r="B725" s="37"/>
      <c r="C725" s="38"/>
      <c r="D725" s="20"/>
      <c r="E725" s="36" t="str">
        <f aca="false">IF($D725="","",IFERROR(INDEX('교육원 ④ 설정'!$A$6:$A$40,MATCH($D725,'교육원 ④ 설정'!$B$6:$B$40,0)),"※없는 과목"))</f>
        <v/>
      </c>
      <c r="F725" s="36" t="str">
        <f aca="false">IF($D725="","",IFERROR(INDEX('교육원 ④ 설정'!$C$6:$C$40,MATCH($D725,'교육원 ④ 설정'!$B$6:$B$40,0)),""))</f>
        <v/>
      </c>
      <c r="G725" s="39"/>
      <c r="H725" s="39"/>
      <c r="I725" s="40"/>
      <c r="J725" s="41"/>
      <c r="K725" s="38"/>
      <c r="L725" s="42" t="str">
        <f aca="false">IF($B725="","",IF(AND(N($I725)=0,N($J725)=0),"금액이 없습니다",IF(AND($I725&gt;0,$J725&gt;0),"수입·지출 둘 다 적혔습니다",IF($C725="","결제수단을 고르십시오",IF(ISNA(MATCH($C725,'교육원 ③ 통장·카드'!$A$5:$A$11,0)),"③ 통장·카드에 없는 결제수단입니다",IF($D725="","계정과목을 고르십시오",IF($E725="※없는 과목","④ 설정에 없는 과목입니다",IF(AND($E725="수입",$J725&gt;0),"수입 과목인데 지출에 적혔습니다",IF(AND(LEFT($E725,2)&lt;&gt;"수입",$E725&lt;&gt;"대체",$I725&gt;0),"지출 과목인데 수입에 적혔습니다",IF($K725="","증빙을 고르십시오",IF($H725="","적요를 적으십시오","")))))))))))</f>
        <v/>
      </c>
      <c r="M725" s="39"/>
      <c r="O725" s="11" t="str">
        <f aca="false">IF($B725="","",YEAR($B725)*100+MONTH($B725))</f>
        <v/>
      </c>
      <c r="P725" s="11" t="str">
        <f aca="false">IF($B725="","",IF($E725="대체",0,1))</f>
        <v/>
      </c>
    </row>
    <row r="726" customFormat="false" ht="15" hidden="false" customHeight="false" outlineLevel="0" collapsed="false">
      <c r="A726" s="36" t="str">
        <f aca="false">IF($B726="","",COUNT($B$15:$B726))</f>
        <v/>
      </c>
      <c r="B726" s="37"/>
      <c r="C726" s="38"/>
      <c r="D726" s="20"/>
      <c r="E726" s="36" t="str">
        <f aca="false">IF($D726="","",IFERROR(INDEX('교육원 ④ 설정'!$A$6:$A$40,MATCH($D726,'교육원 ④ 설정'!$B$6:$B$40,0)),"※없는 과목"))</f>
        <v/>
      </c>
      <c r="F726" s="36" t="str">
        <f aca="false">IF($D726="","",IFERROR(INDEX('교육원 ④ 설정'!$C$6:$C$40,MATCH($D726,'교육원 ④ 설정'!$B$6:$B$40,0)),""))</f>
        <v/>
      </c>
      <c r="G726" s="39"/>
      <c r="H726" s="39"/>
      <c r="I726" s="40"/>
      <c r="J726" s="41"/>
      <c r="K726" s="38"/>
      <c r="L726" s="42" t="str">
        <f aca="false">IF($B726="","",IF(AND(N($I726)=0,N($J726)=0),"금액이 없습니다",IF(AND($I726&gt;0,$J726&gt;0),"수입·지출 둘 다 적혔습니다",IF($C726="","결제수단을 고르십시오",IF(ISNA(MATCH($C726,'교육원 ③ 통장·카드'!$A$5:$A$11,0)),"③ 통장·카드에 없는 결제수단입니다",IF($D726="","계정과목을 고르십시오",IF($E726="※없는 과목","④ 설정에 없는 과목입니다",IF(AND($E726="수입",$J726&gt;0),"수입 과목인데 지출에 적혔습니다",IF(AND(LEFT($E726,2)&lt;&gt;"수입",$E726&lt;&gt;"대체",$I726&gt;0),"지출 과목인데 수입에 적혔습니다",IF($K726="","증빙을 고르십시오",IF($H726="","적요를 적으십시오","")))))))))))</f>
        <v/>
      </c>
      <c r="M726" s="39"/>
      <c r="O726" s="11" t="str">
        <f aca="false">IF($B726="","",YEAR($B726)*100+MONTH($B726))</f>
        <v/>
      </c>
      <c r="P726" s="11" t="str">
        <f aca="false">IF($B726="","",IF($E726="대체",0,1))</f>
        <v/>
      </c>
    </row>
    <row r="727" customFormat="false" ht="15" hidden="false" customHeight="false" outlineLevel="0" collapsed="false">
      <c r="A727" s="36" t="str">
        <f aca="false">IF($B727="","",COUNT($B$15:$B727))</f>
        <v/>
      </c>
      <c r="B727" s="37"/>
      <c r="C727" s="38"/>
      <c r="D727" s="20"/>
      <c r="E727" s="36" t="str">
        <f aca="false">IF($D727="","",IFERROR(INDEX('교육원 ④ 설정'!$A$6:$A$40,MATCH($D727,'교육원 ④ 설정'!$B$6:$B$40,0)),"※없는 과목"))</f>
        <v/>
      </c>
      <c r="F727" s="36" t="str">
        <f aca="false">IF($D727="","",IFERROR(INDEX('교육원 ④ 설정'!$C$6:$C$40,MATCH($D727,'교육원 ④ 설정'!$B$6:$B$40,0)),""))</f>
        <v/>
      </c>
      <c r="G727" s="39"/>
      <c r="H727" s="39"/>
      <c r="I727" s="40"/>
      <c r="J727" s="41"/>
      <c r="K727" s="38"/>
      <c r="L727" s="42" t="str">
        <f aca="false">IF($B727="","",IF(AND(N($I727)=0,N($J727)=0),"금액이 없습니다",IF(AND($I727&gt;0,$J727&gt;0),"수입·지출 둘 다 적혔습니다",IF($C727="","결제수단을 고르십시오",IF(ISNA(MATCH($C727,'교육원 ③ 통장·카드'!$A$5:$A$11,0)),"③ 통장·카드에 없는 결제수단입니다",IF($D727="","계정과목을 고르십시오",IF($E727="※없는 과목","④ 설정에 없는 과목입니다",IF(AND($E727="수입",$J727&gt;0),"수입 과목인데 지출에 적혔습니다",IF(AND(LEFT($E727,2)&lt;&gt;"수입",$E727&lt;&gt;"대체",$I727&gt;0),"지출 과목인데 수입에 적혔습니다",IF($K727="","증빙을 고르십시오",IF($H727="","적요를 적으십시오","")))))))))))</f>
        <v/>
      </c>
      <c r="M727" s="39"/>
      <c r="O727" s="11" t="str">
        <f aca="false">IF($B727="","",YEAR($B727)*100+MONTH($B727))</f>
        <v/>
      </c>
      <c r="P727" s="11" t="str">
        <f aca="false">IF($B727="","",IF($E727="대체",0,1))</f>
        <v/>
      </c>
    </row>
    <row r="728" customFormat="false" ht="15" hidden="false" customHeight="false" outlineLevel="0" collapsed="false">
      <c r="A728" s="36" t="str">
        <f aca="false">IF($B728="","",COUNT($B$15:$B728))</f>
        <v/>
      </c>
      <c r="B728" s="37"/>
      <c r="C728" s="38"/>
      <c r="D728" s="20"/>
      <c r="E728" s="36" t="str">
        <f aca="false">IF($D728="","",IFERROR(INDEX('교육원 ④ 설정'!$A$6:$A$40,MATCH($D728,'교육원 ④ 설정'!$B$6:$B$40,0)),"※없는 과목"))</f>
        <v/>
      </c>
      <c r="F728" s="36" t="str">
        <f aca="false">IF($D728="","",IFERROR(INDEX('교육원 ④ 설정'!$C$6:$C$40,MATCH($D728,'교육원 ④ 설정'!$B$6:$B$40,0)),""))</f>
        <v/>
      </c>
      <c r="G728" s="39"/>
      <c r="H728" s="39"/>
      <c r="I728" s="40"/>
      <c r="J728" s="41"/>
      <c r="K728" s="38"/>
      <c r="L728" s="42" t="str">
        <f aca="false">IF($B728="","",IF(AND(N($I728)=0,N($J728)=0),"금액이 없습니다",IF(AND($I728&gt;0,$J728&gt;0),"수입·지출 둘 다 적혔습니다",IF($C728="","결제수단을 고르십시오",IF(ISNA(MATCH($C728,'교육원 ③ 통장·카드'!$A$5:$A$11,0)),"③ 통장·카드에 없는 결제수단입니다",IF($D728="","계정과목을 고르십시오",IF($E728="※없는 과목","④ 설정에 없는 과목입니다",IF(AND($E728="수입",$J728&gt;0),"수입 과목인데 지출에 적혔습니다",IF(AND(LEFT($E728,2)&lt;&gt;"수입",$E728&lt;&gt;"대체",$I728&gt;0),"지출 과목인데 수입에 적혔습니다",IF($K728="","증빙을 고르십시오",IF($H728="","적요를 적으십시오","")))))))))))</f>
        <v/>
      </c>
      <c r="M728" s="39"/>
      <c r="O728" s="11" t="str">
        <f aca="false">IF($B728="","",YEAR($B728)*100+MONTH($B728))</f>
        <v/>
      </c>
      <c r="P728" s="11" t="str">
        <f aca="false">IF($B728="","",IF($E728="대체",0,1))</f>
        <v/>
      </c>
    </row>
    <row r="729" customFormat="false" ht="15" hidden="false" customHeight="false" outlineLevel="0" collapsed="false">
      <c r="A729" s="36" t="str">
        <f aca="false">IF($B729="","",COUNT($B$15:$B729))</f>
        <v/>
      </c>
      <c r="B729" s="37"/>
      <c r="C729" s="38"/>
      <c r="D729" s="20"/>
      <c r="E729" s="36" t="str">
        <f aca="false">IF($D729="","",IFERROR(INDEX('교육원 ④ 설정'!$A$6:$A$40,MATCH($D729,'교육원 ④ 설정'!$B$6:$B$40,0)),"※없는 과목"))</f>
        <v/>
      </c>
      <c r="F729" s="36" t="str">
        <f aca="false">IF($D729="","",IFERROR(INDEX('교육원 ④ 설정'!$C$6:$C$40,MATCH($D729,'교육원 ④ 설정'!$B$6:$B$40,0)),""))</f>
        <v/>
      </c>
      <c r="G729" s="39"/>
      <c r="H729" s="39"/>
      <c r="I729" s="40"/>
      <c r="J729" s="41"/>
      <c r="K729" s="38"/>
      <c r="L729" s="42" t="str">
        <f aca="false">IF($B729="","",IF(AND(N($I729)=0,N($J729)=0),"금액이 없습니다",IF(AND($I729&gt;0,$J729&gt;0),"수입·지출 둘 다 적혔습니다",IF($C729="","결제수단을 고르십시오",IF(ISNA(MATCH($C729,'교육원 ③ 통장·카드'!$A$5:$A$11,0)),"③ 통장·카드에 없는 결제수단입니다",IF($D729="","계정과목을 고르십시오",IF($E729="※없는 과목","④ 설정에 없는 과목입니다",IF(AND($E729="수입",$J729&gt;0),"수입 과목인데 지출에 적혔습니다",IF(AND(LEFT($E729,2)&lt;&gt;"수입",$E729&lt;&gt;"대체",$I729&gt;0),"지출 과목인데 수입에 적혔습니다",IF($K729="","증빙을 고르십시오",IF($H729="","적요를 적으십시오","")))))))))))</f>
        <v/>
      </c>
      <c r="M729" s="39"/>
      <c r="O729" s="11" t="str">
        <f aca="false">IF($B729="","",YEAR($B729)*100+MONTH($B729))</f>
        <v/>
      </c>
      <c r="P729" s="11" t="str">
        <f aca="false">IF($B729="","",IF($E729="대체",0,1))</f>
        <v/>
      </c>
    </row>
    <row r="730" customFormat="false" ht="15" hidden="false" customHeight="false" outlineLevel="0" collapsed="false">
      <c r="A730" s="36" t="str">
        <f aca="false">IF($B730="","",COUNT($B$15:$B730))</f>
        <v/>
      </c>
      <c r="B730" s="37"/>
      <c r="C730" s="38"/>
      <c r="D730" s="20"/>
      <c r="E730" s="36" t="str">
        <f aca="false">IF($D730="","",IFERROR(INDEX('교육원 ④ 설정'!$A$6:$A$40,MATCH($D730,'교육원 ④ 설정'!$B$6:$B$40,0)),"※없는 과목"))</f>
        <v/>
      </c>
      <c r="F730" s="36" t="str">
        <f aca="false">IF($D730="","",IFERROR(INDEX('교육원 ④ 설정'!$C$6:$C$40,MATCH($D730,'교육원 ④ 설정'!$B$6:$B$40,0)),""))</f>
        <v/>
      </c>
      <c r="G730" s="39"/>
      <c r="H730" s="39"/>
      <c r="I730" s="40"/>
      <c r="J730" s="41"/>
      <c r="K730" s="38"/>
      <c r="L730" s="42" t="str">
        <f aca="false">IF($B730="","",IF(AND(N($I730)=0,N($J730)=0),"금액이 없습니다",IF(AND($I730&gt;0,$J730&gt;0),"수입·지출 둘 다 적혔습니다",IF($C730="","결제수단을 고르십시오",IF(ISNA(MATCH($C730,'교육원 ③ 통장·카드'!$A$5:$A$11,0)),"③ 통장·카드에 없는 결제수단입니다",IF($D730="","계정과목을 고르십시오",IF($E730="※없는 과목","④ 설정에 없는 과목입니다",IF(AND($E730="수입",$J730&gt;0),"수입 과목인데 지출에 적혔습니다",IF(AND(LEFT($E730,2)&lt;&gt;"수입",$E730&lt;&gt;"대체",$I730&gt;0),"지출 과목인데 수입에 적혔습니다",IF($K730="","증빙을 고르십시오",IF($H730="","적요를 적으십시오","")))))))))))</f>
        <v/>
      </c>
      <c r="M730" s="39"/>
      <c r="O730" s="11" t="str">
        <f aca="false">IF($B730="","",YEAR($B730)*100+MONTH($B730))</f>
        <v/>
      </c>
      <c r="P730" s="11" t="str">
        <f aca="false">IF($B730="","",IF($E730="대체",0,1))</f>
        <v/>
      </c>
    </row>
    <row r="731" customFormat="false" ht="15" hidden="false" customHeight="false" outlineLevel="0" collapsed="false">
      <c r="A731" s="36" t="str">
        <f aca="false">IF($B731="","",COUNT($B$15:$B731))</f>
        <v/>
      </c>
      <c r="B731" s="37"/>
      <c r="C731" s="38"/>
      <c r="D731" s="20"/>
      <c r="E731" s="36" t="str">
        <f aca="false">IF($D731="","",IFERROR(INDEX('교육원 ④ 설정'!$A$6:$A$40,MATCH($D731,'교육원 ④ 설정'!$B$6:$B$40,0)),"※없는 과목"))</f>
        <v/>
      </c>
      <c r="F731" s="36" t="str">
        <f aca="false">IF($D731="","",IFERROR(INDEX('교육원 ④ 설정'!$C$6:$C$40,MATCH($D731,'교육원 ④ 설정'!$B$6:$B$40,0)),""))</f>
        <v/>
      </c>
      <c r="G731" s="39"/>
      <c r="H731" s="39"/>
      <c r="I731" s="40"/>
      <c r="J731" s="41"/>
      <c r="K731" s="38"/>
      <c r="L731" s="42" t="str">
        <f aca="false">IF($B731="","",IF(AND(N($I731)=0,N($J731)=0),"금액이 없습니다",IF(AND($I731&gt;0,$J731&gt;0),"수입·지출 둘 다 적혔습니다",IF($C731="","결제수단을 고르십시오",IF(ISNA(MATCH($C731,'교육원 ③ 통장·카드'!$A$5:$A$11,0)),"③ 통장·카드에 없는 결제수단입니다",IF($D731="","계정과목을 고르십시오",IF($E731="※없는 과목","④ 설정에 없는 과목입니다",IF(AND($E731="수입",$J731&gt;0),"수입 과목인데 지출에 적혔습니다",IF(AND(LEFT($E731,2)&lt;&gt;"수입",$E731&lt;&gt;"대체",$I731&gt;0),"지출 과목인데 수입에 적혔습니다",IF($K731="","증빙을 고르십시오",IF($H731="","적요를 적으십시오","")))))))))))</f>
        <v/>
      </c>
      <c r="M731" s="39"/>
      <c r="O731" s="11" t="str">
        <f aca="false">IF($B731="","",YEAR($B731)*100+MONTH($B731))</f>
        <v/>
      </c>
      <c r="P731" s="11" t="str">
        <f aca="false">IF($B731="","",IF($E731="대체",0,1))</f>
        <v/>
      </c>
    </row>
    <row r="732" customFormat="false" ht="15" hidden="false" customHeight="false" outlineLevel="0" collapsed="false">
      <c r="A732" s="36" t="str">
        <f aca="false">IF($B732="","",COUNT($B$15:$B732))</f>
        <v/>
      </c>
      <c r="B732" s="37"/>
      <c r="C732" s="38"/>
      <c r="D732" s="20"/>
      <c r="E732" s="36" t="str">
        <f aca="false">IF($D732="","",IFERROR(INDEX('교육원 ④ 설정'!$A$6:$A$40,MATCH($D732,'교육원 ④ 설정'!$B$6:$B$40,0)),"※없는 과목"))</f>
        <v/>
      </c>
      <c r="F732" s="36" t="str">
        <f aca="false">IF($D732="","",IFERROR(INDEX('교육원 ④ 설정'!$C$6:$C$40,MATCH($D732,'교육원 ④ 설정'!$B$6:$B$40,0)),""))</f>
        <v/>
      </c>
      <c r="G732" s="39"/>
      <c r="H732" s="39"/>
      <c r="I732" s="40"/>
      <c r="J732" s="41"/>
      <c r="K732" s="38"/>
      <c r="L732" s="42" t="str">
        <f aca="false">IF($B732="","",IF(AND(N($I732)=0,N($J732)=0),"금액이 없습니다",IF(AND($I732&gt;0,$J732&gt;0),"수입·지출 둘 다 적혔습니다",IF($C732="","결제수단을 고르십시오",IF(ISNA(MATCH($C732,'교육원 ③ 통장·카드'!$A$5:$A$11,0)),"③ 통장·카드에 없는 결제수단입니다",IF($D732="","계정과목을 고르십시오",IF($E732="※없는 과목","④ 설정에 없는 과목입니다",IF(AND($E732="수입",$J732&gt;0),"수입 과목인데 지출에 적혔습니다",IF(AND(LEFT($E732,2)&lt;&gt;"수입",$E732&lt;&gt;"대체",$I732&gt;0),"지출 과목인데 수입에 적혔습니다",IF($K732="","증빙을 고르십시오",IF($H732="","적요를 적으십시오","")))))))))))</f>
        <v/>
      </c>
      <c r="M732" s="39"/>
      <c r="O732" s="11" t="str">
        <f aca="false">IF($B732="","",YEAR($B732)*100+MONTH($B732))</f>
        <v/>
      </c>
      <c r="P732" s="11" t="str">
        <f aca="false">IF($B732="","",IF($E732="대체",0,1))</f>
        <v/>
      </c>
    </row>
    <row r="733" customFormat="false" ht="15" hidden="false" customHeight="false" outlineLevel="0" collapsed="false">
      <c r="A733" s="36" t="str">
        <f aca="false">IF($B733="","",COUNT($B$15:$B733))</f>
        <v/>
      </c>
      <c r="B733" s="37"/>
      <c r="C733" s="38"/>
      <c r="D733" s="20"/>
      <c r="E733" s="36" t="str">
        <f aca="false">IF($D733="","",IFERROR(INDEX('교육원 ④ 설정'!$A$6:$A$40,MATCH($D733,'교육원 ④ 설정'!$B$6:$B$40,0)),"※없는 과목"))</f>
        <v/>
      </c>
      <c r="F733" s="36" t="str">
        <f aca="false">IF($D733="","",IFERROR(INDEX('교육원 ④ 설정'!$C$6:$C$40,MATCH($D733,'교육원 ④ 설정'!$B$6:$B$40,0)),""))</f>
        <v/>
      </c>
      <c r="G733" s="39"/>
      <c r="H733" s="39"/>
      <c r="I733" s="40"/>
      <c r="J733" s="41"/>
      <c r="K733" s="38"/>
      <c r="L733" s="42" t="str">
        <f aca="false">IF($B733="","",IF(AND(N($I733)=0,N($J733)=0),"금액이 없습니다",IF(AND($I733&gt;0,$J733&gt;0),"수입·지출 둘 다 적혔습니다",IF($C733="","결제수단을 고르십시오",IF(ISNA(MATCH($C733,'교육원 ③ 통장·카드'!$A$5:$A$11,0)),"③ 통장·카드에 없는 결제수단입니다",IF($D733="","계정과목을 고르십시오",IF($E733="※없는 과목","④ 설정에 없는 과목입니다",IF(AND($E733="수입",$J733&gt;0),"수입 과목인데 지출에 적혔습니다",IF(AND(LEFT($E733,2)&lt;&gt;"수입",$E733&lt;&gt;"대체",$I733&gt;0),"지출 과목인데 수입에 적혔습니다",IF($K733="","증빙을 고르십시오",IF($H733="","적요를 적으십시오","")))))))))))</f>
        <v/>
      </c>
      <c r="M733" s="39"/>
      <c r="O733" s="11" t="str">
        <f aca="false">IF($B733="","",YEAR($B733)*100+MONTH($B733))</f>
        <v/>
      </c>
      <c r="P733" s="11" t="str">
        <f aca="false">IF($B733="","",IF($E733="대체",0,1))</f>
        <v/>
      </c>
    </row>
    <row r="734" customFormat="false" ht="15" hidden="false" customHeight="false" outlineLevel="0" collapsed="false">
      <c r="A734" s="36" t="str">
        <f aca="false">IF($B734="","",COUNT($B$15:$B734))</f>
        <v/>
      </c>
      <c r="B734" s="37"/>
      <c r="C734" s="38"/>
      <c r="D734" s="20"/>
      <c r="E734" s="36" t="str">
        <f aca="false">IF($D734="","",IFERROR(INDEX('교육원 ④ 설정'!$A$6:$A$40,MATCH($D734,'교육원 ④ 설정'!$B$6:$B$40,0)),"※없는 과목"))</f>
        <v/>
      </c>
      <c r="F734" s="36" t="str">
        <f aca="false">IF($D734="","",IFERROR(INDEX('교육원 ④ 설정'!$C$6:$C$40,MATCH($D734,'교육원 ④ 설정'!$B$6:$B$40,0)),""))</f>
        <v/>
      </c>
      <c r="G734" s="39"/>
      <c r="H734" s="39"/>
      <c r="I734" s="40"/>
      <c r="J734" s="41"/>
      <c r="K734" s="38"/>
      <c r="L734" s="42" t="str">
        <f aca="false">IF($B734="","",IF(AND(N($I734)=0,N($J734)=0),"금액이 없습니다",IF(AND($I734&gt;0,$J734&gt;0),"수입·지출 둘 다 적혔습니다",IF($C734="","결제수단을 고르십시오",IF(ISNA(MATCH($C734,'교육원 ③ 통장·카드'!$A$5:$A$11,0)),"③ 통장·카드에 없는 결제수단입니다",IF($D734="","계정과목을 고르십시오",IF($E734="※없는 과목","④ 설정에 없는 과목입니다",IF(AND($E734="수입",$J734&gt;0),"수입 과목인데 지출에 적혔습니다",IF(AND(LEFT($E734,2)&lt;&gt;"수입",$E734&lt;&gt;"대체",$I734&gt;0),"지출 과목인데 수입에 적혔습니다",IF($K734="","증빙을 고르십시오",IF($H734="","적요를 적으십시오","")))))))))))</f>
        <v/>
      </c>
      <c r="M734" s="39"/>
      <c r="O734" s="11" t="str">
        <f aca="false">IF($B734="","",YEAR($B734)*100+MONTH($B734))</f>
        <v/>
      </c>
      <c r="P734" s="11" t="str">
        <f aca="false">IF($B734="","",IF($E734="대체",0,1))</f>
        <v/>
      </c>
    </row>
    <row r="735" customFormat="false" ht="15" hidden="false" customHeight="false" outlineLevel="0" collapsed="false">
      <c r="A735" s="36" t="str">
        <f aca="false">IF($B735="","",COUNT($B$15:$B735))</f>
        <v/>
      </c>
      <c r="B735" s="37"/>
      <c r="C735" s="38"/>
      <c r="D735" s="20"/>
      <c r="E735" s="36" t="str">
        <f aca="false">IF($D735="","",IFERROR(INDEX('교육원 ④ 설정'!$A$6:$A$40,MATCH($D735,'교육원 ④ 설정'!$B$6:$B$40,0)),"※없는 과목"))</f>
        <v/>
      </c>
      <c r="F735" s="36" t="str">
        <f aca="false">IF($D735="","",IFERROR(INDEX('교육원 ④ 설정'!$C$6:$C$40,MATCH($D735,'교육원 ④ 설정'!$B$6:$B$40,0)),""))</f>
        <v/>
      </c>
      <c r="G735" s="39"/>
      <c r="H735" s="39"/>
      <c r="I735" s="40"/>
      <c r="J735" s="41"/>
      <c r="K735" s="38"/>
      <c r="L735" s="42" t="str">
        <f aca="false">IF($B735="","",IF(AND(N($I735)=0,N($J735)=0),"금액이 없습니다",IF(AND($I735&gt;0,$J735&gt;0),"수입·지출 둘 다 적혔습니다",IF($C735="","결제수단을 고르십시오",IF(ISNA(MATCH($C735,'교육원 ③ 통장·카드'!$A$5:$A$11,0)),"③ 통장·카드에 없는 결제수단입니다",IF($D735="","계정과목을 고르십시오",IF($E735="※없는 과목","④ 설정에 없는 과목입니다",IF(AND($E735="수입",$J735&gt;0),"수입 과목인데 지출에 적혔습니다",IF(AND(LEFT($E735,2)&lt;&gt;"수입",$E735&lt;&gt;"대체",$I735&gt;0),"지출 과목인데 수입에 적혔습니다",IF($K735="","증빙을 고르십시오",IF($H735="","적요를 적으십시오","")))))))))))</f>
        <v/>
      </c>
      <c r="M735" s="39"/>
      <c r="O735" s="11" t="str">
        <f aca="false">IF($B735="","",YEAR($B735)*100+MONTH($B735))</f>
        <v/>
      </c>
      <c r="P735" s="11" t="str">
        <f aca="false">IF($B735="","",IF($E735="대체",0,1))</f>
        <v/>
      </c>
    </row>
    <row r="736" customFormat="false" ht="15" hidden="false" customHeight="false" outlineLevel="0" collapsed="false">
      <c r="A736" s="36" t="str">
        <f aca="false">IF($B736="","",COUNT($B$15:$B736))</f>
        <v/>
      </c>
      <c r="B736" s="37"/>
      <c r="C736" s="38"/>
      <c r="D736" s="20"/>
      <c r="E736" s="36" t="str">
        <f aca="false">IF($D736="","",IFERROR(INDEX('교육원 ④ 설정'!$A$6:$A$40,MATCH($D736,'교육원 ④ 설정'!$B$6:$B$40,0)),"※없는 과목"))</f>
        <v/>
      </c>
      <c r="F736" s="36" t="str">
        <f aca="false">IF($D736="","",IFERROR(INDEX('교육원 ④ 설정'!$C$6:$C$40,MATCH($D736,'교육원 ④ 설정'!$B$6:$B$40,0)),""))</f>
        <v/>
      </c>
      <c r="G736" s="39"/>
      <c r="H736" s="39"/>
      <c r="I736" s="40"/>
      <c r="J736" s="41"/>
      <c r="K736" s="38"/>
      <c r="L736" s="42" t="str">
        <f aca="false">IF($B736="","",IF(AND(N($I736)=0,N($J736)=0),"금액이 없습니다",IF(AND($I736&gt;0,$J736&gt;0),"수입·지출 둘 다 적혔습니다",IF($C736="","결제수단을 고르십시오",IF(ISNA(MATCH($C736,'교육원 ③ 통장·카드'!$A$5:$A$11,0)),"③ 통장·카드에 없는 결제수단입니다",IF($D736="","계정과목을 고르십시오",IF($E736="※없는 과목","④ 설정에 없는 과목입니다",IF(AND($E736="수입",$J736&gt;0),"수입 과목인데 지출에 적혔습니다",IF(AND(LEFT($E736,2)&lt;&gt;"수입",$E736&lt;&gt;"대체",$I736&gt;0),"지출 과목인데 수입에 적혔습니다",IF($K736="","증빙을 고르십시오",IF($H736="","적요를 적으십시오","")))))))))))</f>
        <v/>
      </c>
      <c r="M736" s="39"/>
      <c r="O736" s="11" t="str">
        <f aca="false">IF($B736="","",YEAR($B736)*100+MONTH($B736))</f>
        <v/>
      </c>
      <c r="P736" s="11" t="str">
        <f aca="false">IF($B736="","",IF($E736="대체",0,1))</f>
        <v/>
      </c>
    </row>
    <row r="737" customFormat="false" ht="15" hidden="false" customHeight="false" outlineLevel="0" collapsed="false">
      <c r="A737" s="36" t="str">
        <f aca="false">IF($B737="","",COUNT($B$15:$B737))</f>
        <v/>
      </c>
      <c r="B737" s="37"/>
      <c r="C737" s="38"/>
      <c r="D737" s="20"/>
      <c r="E737" s="36" t="str">
        <f aca="false">IF($D737="","",IFERROR(INDEX('교육원 ④ 설정'!$A$6:$A$40,MATCH($D737,'교육원 ④ 설정'!$B$6:$B$40,0)),"※없는 과목"))</f>
        <v/>
      </c>
      <c r="F737" s="36" t="str">
        <f aca="false">IF($D737="","",IFERROR(INDEX('교육원 ④ 설정'!$C$6:$C$40,MATCH($D737,'교육원 ④ 설정'!$B$6:$B$40,0)),""))</f>
        <v/>
      </c>
      <c r="G737" s="39"/>
      <c r="H737" s="39"/>
      <c r="I737" s="40"/>
      <c r="J737" s="41"/>
      <c r="K737" s="38"/>
      <c r="L737" s="42" t="str">
        <f aca="false">IF($B737="","",IF(AND(N($I737)=0,N($J737)=0),"금액이 없습니다",IF(AND($I737&gt;0,$J737&gt;0),"수입·지출 둘 다 적혔습니다",IF($C737="","결제수단을 고르십시오",IF(ISNA(MATCH($C737,'교육원 ③ 통장·카드'!$A$5:$A$11,0)),"③ 통장·카드에 없는 결제수단입니다",IF($D737="","계정과목을 고르십시오",IF($E737="※없는 과목","④ 설정에 없는 과목입니다",IF(AND($E737="수입",$J737&gt;0),"수입 과목인데 지출에 적혔습니다",IF(AND(LEFT($E737,2)&lt;&gt;"수입",$E737&lt;&gt;"대체",$I737&gt;0),"지출 과목인데 수입에 적혔습니다",IF($K737="","증빙을 고르십시오",IF($H737="","적요를 적으십시오","")))))))))))</f>
        <v/>
      </c>
      <c r="M737" s="39"/>
      <c r="O737" s="11" t="str">
        <f aca="false">IF($B737="","",YEAR($B737)*100+MONTH($B737))</f>
        <v/>
      </c>
      <c r="P737" s="11" t="str">
        <f aca="false">IF($B737="","",IF($E737="대체",0,1))</f>
        <v/>
      </c>
    </row>
    <row r="738" customFormat="false" ht="15" hidden="false" customHeight="false" outlineLevel="0" collapsed="false">
      <c r="A738" s="36" t="str">
        <f aca="false">IF($B738="","",COUNT($B$15:$B738))</f>
        <v/>
      </c>
      <c r="B738" s="37"/>
      <c r="C738" s="38"/>
      <c r="D738" s="20"/>
      <c r="E738" s="36" t="str">
        <f aca="false">IF($D738="","",IFERROR(INDEX('교육원 ④ 설정'!$A$6:$A$40,MATCH($D738,'교육원 ④ 설정'!$B$6:$B$40,0)),"※없는 과목"))</f>
        <v/>
      </c>
      <c r="F738" s="36" t="str">
        <f aca="false">IF($D738="","",IFERROR(INDEX('교육원 ④ 설정'!$C$6:$C$40,MATCH($D738,'교육원 ④ 설정'!$B$6:$B$40,0)),""))</f>
        <v/>
      </c>
      <c r="G738" s="39"/>
      <c r="H738" s="39"/>
      <c r="I738" s="40"/>
      <c r="J738" s="41"/>
      <c r="K738" s="38"/>
      <c r="L738" s="42" t="str">
        <f aca="false">IF($B738="","",IF(AND(N($I738)=0,N($J738)=0),"금액이 없습니다",IF(AND($I738&gt;0,$J738&gt;0),"수입·지출 둘 다 적혔습니다",IF($C738="","결제수단을 고르십시오",IF(ISNA(MATCH($C738,'교육원 ③ 통장·카드'!$A$5:$A$11,0)),"③ 통장·카드에 없는 결제수단입니다",IF($D738="","계정과목을 고르십시오",IF($E738="※없는 과목","④ 설정에 없는 과목입니다",IF(AND($E738="수입",$J738&gt;0),"수입 과목인데 지출에 적혔습니다",IF(AND(LEFT($E738,2)&lt;&gt;"수입",$E738&lt;&gt;"대체",$I738&gt;0),"지출 과목인데 수입에 적혔습니다",IF($K738="","증빙을 고르십시오",IF($H738="","적요를 적으십시오","")))))))))))</f>
        <v/>
      </c>
      <c r="M738" s="39"/>
      <c r="O738" s="11" t="str">
        <f aca="false">IF($B738="","",YEAR($B738)*100+MONTH($B738))</f>
        <v/>
      </c>
      <c r="P738" s="11" t="str">
        <f aca="false">IF($B738="","",IF($E738="대체",0,1))</f>
        <v/>
      </c>
    </row>
    <row r="739" customFormat="false" ht="15" hidden="false" customHeight="false" outlineLevel="0" collapsed="false">
      <c r="A739" s="36" t="str">
        <f aca="false">IF($B739="","",COUNT($B$15:$B739))</f>
        <v/>
      </c>
      <c r="B739" s="37"/>
      <c r="C739" s="38"/>
      <c r="D739" s="20"/>
      <c r="E739" s="36" t="str">
        <f aca="false">IF($D739="","",IFERROR(INDEX('교육원 ④ 설정'!$A$6:$A$40,MATCH($D739,'교육원 ④ 설정'!$B$6:$B$40,0)),"※없는 과목"))</f>
        <v/>
      </c>
      <c r="F739" s="36" t="str">
        <f aca="false">IF($D739="","",IFERROR(INDEX('교육원 ④ 설정'!$C$6:$C$40,MATCH($D739,'교육원 ④ 설정'!$B$6:$B$40,0)),""))</f>
        <v/>
      </c>
      <c r="G739" s="39"/>
      <c r="H739" s="39"/>
      <c r="I739" s="40"/>
      <c r="J739" s="41"/>
      <c r="K739" s="38"/>
      <c r="L739" s="42" t="str">
        <f aca="false">IF($B739="","",IF(AND(N($I739)=0,N($J739)=0),"금액이 없습니다",IF(AND($I739&gt;0,$J739&gt;0),"수입·지출 둘 다 적혔습니다",IF($C739="","결제수단을 고르십시오",IF(ISNA(MATCH($C739,'교육원 ③ 통장·카드'!$A$5:$A$11,0)),"③ 통장·카드에 없는 결제수단입니다",IF($D739="","계정과목을 고르십시오",IF($E739="※없는 과목","④ 설정에 없는 과목입니다",IF(AND($E739="수입",$J739&gt;0),"수입 과목인데 지출에 적혔습니다",IF(AND(LEFT($E739,2)&lt;&gt;"수입",$E739&lt;&gt;"대체",$I739&gt;0),"지출 과목인데 수입에 적혔습니다",IF($K739="","증빙을 고르십시오",IF($H739="","적요를 적으십시오","")))))))))))</f>
        <v/>
      </c>
      <c r="M739" s="39"/>
      <c r="O739" s="11" t="str">
        <f aca="false">IF($B739="","",YEAR($B739)*100+MONTH($B739))</f>
        <v/>
      </c>
      <c r="P739" s="11" t="str">
        <f aca="false">IF($B739="","",IF($E739="대체",0,1))</f>
        <v/>
      </c>
    </row>
    <row r="740" customFormat="false" ht="15" hidden="false" customHeight="false" outlineLevel="0" collapsed="false">
      <c r="A740" s="36" t="str">
        <f aca="false">IF($B740="","",COUNT($B$15:$B740))</f>
        <v/>
      </c>
      <c r="B740" s="37"/>
      <c r="C740" s="38"/>
      <c r="D740" s="20"/>
      <c r="E740" s="36" t="str">
        <f aca="false">IF($D740="","",IFERROR(INDEX('교육원 ④ 설정'!$A$6:$A$40,MATCH($D740,'교육원 ④ 설정'!$B$6:$B$40,0)),"※없는 과목"))</f>
        <v/>
      </c>
      <c r="F740" s="36" t="str">
        <f aca="false">IF($D740="","",IFERROR(INDEX('교육원 ④ 설정'!$C$6:$C$40,MATCH($D740,'교육원 ④ 설정'!$B$6:$B$40,0)),""))</f>
        <v/>
      </c>
      <c r="G740" s="39"/>
      <c r="H740" s="39"/>
      <c r="I740" s="40"/>
      <c r="J740" s="41"/>
      <c r="K740" s="38"/>
      <c r="L740" s="42" t="str">
        <f aca="false">IF($B740="","",IF(AND(N($I740)=0,N($J740)=0),"금액이 없습니다",IF(AND($I740&gt;0,$J740&gt;0),"수입·지출 둘 다 적혔습니다",IF($C740="","결제수단을 고르십시오",IF(ISNA(MATCH($C740,'교육원 ③ 통장·카드'!$A$5:$A$11,0)),"③ 통장·카드에 없는 결제수단입니다",IF($D740="","계정과목을 고르십시오",IF($E740="※없는 과목","④ 설정에 없는 과목입니다",IF(AND($E740="수입",$J740&gt;0),"수입 과목인데 지출에 적혔습니다",IF(AND(LEFT($E740,2)&lt;&gt;"수입",$E740&lt;&gt;"대체",$I740&gt;0),"지출 과목인데 수입에 적혔습니다",IF($K740="","증빙을 고르십시오",IF($H740="","적요를 적으십시오","")))))))))))</f>
        <v/>
      </c>
      <c r="M740" s="39"/>
      <c r="O740" s="11" t="str">
        <f aca="false">IF($B740="","",YEAR($B740)*100+MONTH($B740))</f>
        <v/>
      </c>
      <c r="P740" s="11" t="str">
        <f aca="false">IF($B740="","",IF($E740="대체",0,1))</f>
        <v/>
      </c>
    </row>
    <row r="741" customFormat="false" ht="15" hidden="false" customHeight="false" outlineLevel="0" collapsed="false">
      <c r="A741" s="36" t="str">
        <f aca="false">IF($B741="","",COUNT($B$15:$B741))</f>
        <v/>
      </c>
      <c r="B741" s="37"/>
      <c r="C741" s="38"/>
      <c r="D741" s="20"/>
      <c r="E741" s="36" t="str">
        <f aca="false">IF($D741="","",IFERROR(INDEX('교육원 ④ 설정'!$A$6:$A$40,MATCH($D741,'교육원 ④ 설정'!$B$6:$B$40,0)),"※없는 과목"))</f>
        <v/>
      </c>
      <c r="F741" s="36" t="str">
        <f aca="false">IF($D741="","",IFERROR(INDEX('교육원 ④ 설정'!$C$6:$C$40,MATCH($D741,'교육원 ④ 설정'!$B$6:$B$40,0)),""))</f>
        <v/>
      </c>
      <c r="G741" s="39"/>
      <c r="H741" s="39"/>
      <c r="I741" s="40"/>
      <c r="J741" s="41"/>
      <c r="K741" s="38"/>
      <c r="L741" s="42" t="str">
        <f aca="false">IF($B741="","",IF(AND(N($I741)=0,N($J741)=0),"금액이 없습니다",IF(AND($I741&gt;0,$J741&gt;0),"수입·지출 둘 다 적혔습니다",IF($C741="","결제수단을 고르십시오",IF(ISNA(MATCH($C741,'교육원 ③ 통장·카드'!$A$5:$A$11,0)),"③ 통장·카드에 없는 결제수단입니다",IF($D741="","계정과목을 고르십시오",IF($E741="※없는 과목","④ 설정에 없는 과목입니다",IF(AND($E741="수입",$J741&gt;0),"수입 과목인데 지출에 적혔습니다",IF(AND(LEFT($E741,2)&lt;&gt;"수입",$E741&lt;&gt;"대체",$I741&gt;0),"지출 과목인데 수입에 적혔습니다",IF($K741="","증빙을 고르십시오",IF($H741="","적요를 적으십시오","")))))))))))</f>
        <v/>
      </c>
      <c r="M741" s="39"/>
      <c r="O741" s="11" t="str">
        <f aca="false">IF($B741="","",YEAR($B741)*100+MONTH($B741))</f>
        <v/>
      </c>
      <c r="P741" s="11" t="str">
        <f aca="false">IF($B741="","",IF($E741="대체",0,1))</f>
        <v/>
      </c>
    </row>
    <row r="742" customFormat="false" ht="15" hidden="false" customHeight="false" outlineLevel="0" collapsed="false">
      <c r="A742" s="36" t="str">
        <f aca="false">IF($B742="","",COUNT($B$15:$B742))</f>
        <v/>
      </c>
      <c r="B742" s="37"/>
      <c r="C742" s="38"/>
      <c r="D742" s="20"/>
      <c r="E742" s="36" t="str">
        <f aca="false">IF($D742="","",IFERROR(INDEX('교육원 ④ 설정'!$A$6:$A$40,MATCH($D742,'교육원 ④ 설정'!$B$6:$B$40,0)),"※없는 과목"))</f>
        <v/>
      </c>
      <c r="F742" s="36" t="str">
        <f aca="false">IF($D742="","",IFERROR(INDEX('교육원 ④ 설정'!$C$6:$C$40,MATCH($D742,'교육원 ④ 설정'!$B$6:$B$40,0)),""))</f>
        <v/>
      </c>
      <c r="G742" s="39"/>
      <c r="H742" s="39"/>
      <c r="I742" s="40"/>
      <c r="J742" s="41"/>
      <c r="K742" s="38"/>
      <c r="L742" s="42" t="str">
        <f aca="false">IF($B742="","",IF(AND(N($I742)=0,N($J742)=0),"금액이 없습니다",IF(AND($I742&gt;0,$J742&gt;0),"수입·지출 둘 다 적혔습니다",IF($C742="","결제수단을 고르십시오",IF(ISNA(MATCH($C742,'교육원 ③ 통장·카드'!$A$5:$A$11,0)),"③ 통장·카드에 없는 결제수단입니다",IF($D742="","계정과목을 고르십시오",IF($E742="※없는 과목","④ 설정에 없는 과목입니다",IF(AND($E742="수입",$J742&gt;0),"수입 과목인데 지출에 적혔습니다",IF(AND(LEFT($E742,2)&lt;&gt;"수입",$E742&lt;&gt;"대체",$I742&gt;0),"지출 과목인데 수입에 적혔습니다",IF($K742="","증빙을 고르십시오",IF($H742="","적요를 적으십시오","")))))))))))</f>
        <v/>
      </c>
      <c r="M742" s="39"/>
      <c r="O742" s="11" t="str">
        <f aca="false">IF($B742="","",YEAR($B742)*100+MONTH($B742))</f>
        <v/>
      </c>
      <c r="P742" s="11" t="str">
        <f aca="false">IF($B742="","",IF($E742="대체",0,1))</f>
        <v/>
      </c>
    </row>
    <row r="743" customFormat="false" ht="15" hidden="false" customHeight="false" outlineLevel="0" collapsed="false">
      <c r="A743" s="36" t="str">
        <f aca="false">IF($B743="","",COUNT($B$15:$B743))</f>
        <v/>
      </c>
      <c r="B743" s="37"/>
      <c r="C743" s="38"/>
      <c r="D743" s="20"/>
      <c r="E743" s="36" t="str">
        <f aca="false">IF($D743="","",IFERROR(INDEX('교육원 ④ 설정'!$A$6:$A$40,MATCH($D743,'교육원 ④ 설정'!$B$6:$B$40,0)),"※없는 과목"))</f>
        <v/>
      </c>
      <c r="F743" s="36" t="str">
        <f aca="false">IF($D743="","",IFERROR(INDEX('교육원 ④ 설정'!$C$6:$C$40,MATCH($D743,'교육원 ④ 설정'!$B$6:$B$40,0)),""))</f>
        <v/>
      </c>
      <c r="G743" s="39"/>
      <c r="H743" s="39"/>
      <c r="I743" s="40"/>
      <c r="J743" s="41"/>
      <c r="K743" s="38"/>
      <c r="L743" s="42" t="str">
        <f aca="false">IF($B743="","",IF(AND(N($I743)=0,N($J743)=0),"금액이 없습니다",IF(AND($I743&gt;0,$J743&gt;0),"수입·지출 둘 다 적혔습니다",IF($C743="","결제수단을 고르십시오",IF(ISNA(MATCH($C743,'교육원 ③ 통장·카드'!$A$5:$A$11,0)),"③ 통장·카드에 없는 결제수단입니다",IF($D743="","계정과목을 고르십시오",IF($E743="※없는 과목","④ 설정에 없는 과목입니다",IF(AND($E743="수입",$J743&gt;0),"수입 과목인데 지출에 적혔습니다",IF(AND(LEFT($E743,2)&lt;&gt;"수입",$E743&lt;&gt;"대체",$I743&gt;0),"지출 과목인데 수입에 적혔습니다",IF($K743="","증빙을 고르십시오",IF($H743="","적요를 적으십시오","")))))))))))</f>
        <v/>
      </c>
      <c r="M743" s="39"/>
      <c r="O743" s="11" t="str">
        <f aca="false">IF($B743="","",YEAR($B743)*100+MONTH($B743))</f>
        <v/>
      </c>
      <c r="P743" s="11" t="str">
        <f aca="false">IF($B743="","",IF($E743="대체",0,1))</f>
        <v/>
      </c>
    </row>
    <row r="744" customFormat="false" ht="15" hidden="false" customHeight="false" outlineLevel="0" collapsed="false">
      <c r="A744" s="36" t="str">
        <f aca="false">IF($B744="","",COUNT($B$15:$B744))</f>
        <v/>
      </c>
      <c r="B744" s="37"/>
      <c r="C744" s="38"/>
      <c r="D744" s="20"/>
      <c r="E744" s="36" t="str">
        <f aca="false">IF($D744="","",IFERROR(INDEX('교육원 ④ 설정'!$A$6:$A$40,MATCH($D744,'교육원 ④ 설정'!$B$6:$B$40,0)),"※없는 과목"))</f>
        <v/>
      </c>
      <c r="F744" s="36" t="str">
        <f aca="false">IF($D744="","",IFERROR(INDEX('교육원 ④ 설정'!$C$6:$C$40,MATCH($D744,'교육원 ④ 설정'!$B$6:$B$40,0)),""))</f>
        <v/>
      </c>
      <c r="G744" s="39"/>
      <c r="H744" s="39"/>
      <c r="I744" s="40"/>
      <c r="J744" s="41"/>
      <c r="K744" s="38"/>
      <c r="L744" s="42" t="str">
        <f aca="false">IF($B744="","",IF(AND(N($I744)=0,N($J744)=0),"금액이 없습니다",IF(AND($I744&gt;0,$J744&gt;0),"수입·지출 둘 다 적혔습니다",IF($C744="","결제수단을 고르십시오",IF(ISNA(MATCH($C744,'교육원 ③ 통장·카드'!$A$5:$A$11,0)),"③ 통장·카드에 없는 결제수단입니다",IF($D744="","계정과목을 고르십시오",IF($E744="※없는 과목","④ 설정에 없는 과목입니다",IF(AND($E744="수입",$J744&gt;0),"수입 과목인데 지출에 적혔습니다",IF(AND(LEFT($E744,2)&lt;&gt;"수입",$E744&lt;&gt;"대체",$I744&gt;0),"지출 과목인데 수입에 적혔습니다",IF($K744="","증빙을 고르십시오",IF($H744="","적요를 적으십시오","")))))))))))</f>
        <v/>
      </c>
      <c r="M744" s="39"/>
      <c r="O744" s="11" t="str">
        <f aca="false">IF($B744="","",YEAR($B744)*100+MONTH($B744))</f>
        <v/>
      </c>
      <c r="P744" s="11" t="str">
        <f aca="false">IF($B744="","",IF($E744="대체",0,1))</f>
        <v/>
      </c>
    </row>
    <row r="745" customFormat="false" ht="15" hidden="false" customHeight="false" outlineLevel="0" collapsed="false">
      <c r="A745" s="36" t="str">
        <f aca="false">IF($B745="","",COUNT($B$15:$B745))</f>
        <v/>
      </c>
      <c r="B745" s="37"/>
      <c r="C745" s="38"/>
      <c r="D745" s="20"/>
      <c r="E745" s="36" t="str">
        <f aca="false">IF($D745="","",IFERROR(INDEX('교육원 ④ 설정'!$A$6:$A$40,MATCH($D745,'교육원 ④ 설정'!$B$6:$B$40,0)),"※없는 과목"))</f>
        <v/>
      </c>
      <c r="F745" s="36" t="str">
        <f aca="false">IF($D745="","",IFERROR(INDEX('교육원 ④ 설정'!$C$6:$C$40,MATCH($D745,'교육원 ④ 설정'!$B$6:$B$40,0)),""))</f>
        <v/>
      </c>
      <c r="G745" s="39"/>
      <c r="H745" s="39"/>
      <c r="I745" s="40"/>
      <c r="J745" s="41"/>
      <c r="K745" s="38"/>
      <c r="L745" s="42" t="str">
        <f aca="false">IF($B745="","",IF(AND(N($I745)=0,N($J745)=0),"금액이 없습니다",IF(AND($I745&gt;0,$J745&gt;0),"수입·지출 둘 다 적혔습니다",IF($C745="","결제수단을 고르십시오",IF(ISNA(MATCH($C745,'교육원 ③ 통장·카드'!$A$5:$A$11,0)),"③ 통장·카드에 없는 결제수단입니다",IF($D745="","계정과목을 고르십시오",IF($E745="※없는 과목","④ 설정에 없는 과목입니다",IF(AND($E745="수입",$J745&gt;0),"수입 과목인데 지출에 적혔습니다",IF(AND(LEFT($E745,2)&lt;&gt;"수입",$E745&lt;&gt;"대체",$I745&gt;0),"지출 과목인데 수입에 적혔습니다",IF($K745="","증빙을 고르십시오",IF($H745="","적요를 적으십시오","")))))))))))</f>
        <v/>
      </c>
      <c r="M745" s="39"/>
      <c r="O745" s="11" t="str">
        <f aca="false">IF($B745="","",YEAR($B745)*100+MONTH($B745))</f>
        <v/>
      </c>
      <c r="P745" s="11" t="str">
        <f aca="false">IF($B745="","",IF($E745="대체",0,1))</f>
        <v/>
      </c>
    </row>
    <row r="746" customFormat="false" ht="15" hidden="false" customHeight="false" outlineLevel="0" collapsed="false">
      <c r="A746" s="36" t="str">
        <f aca="false">IF($B746="","",COUNT($B$15:$B746))</f>
        <v/>
      </c>
      <c r="B746" s="37"/>
      <c r="C746" s="38"/>
      <c r="D746" s="20"/>
      <c r="E746" s="36" t="str">
        <f aca="false">IF($D746="","",IFERROR(INDEX('교육원 ④ 설정'!$A$6:$A$40,MATCH($D746,'교육원 ④ 설정'!$B$6:$B$40,0)),"※없는 과목"))</f>
        <v/>
      </c>
      <c r="F746" s="36" t="str">
        <f aca="false">IF($D746="","",IFERROR(INDEX('교육원 ④ 설정'!$C$6:$C$40,MATCH($D746,'교육원 ④ 설정'!$B$6:$B$40,0)),""))</f>
        <v/>
      </c>
      <c r="G746" s="39"/>
      <c r="H746" s="39"/>
      <c r="I746" s="40"/>
      <c r="J746" s="41"/>
      <c r="K746" s="38"/>
      <c r="L746" s="42" t="str">
        <f aca="false">IF($B746="","",IF(AND(N($I746)=0,N($J746)=0),"금액이 없습니다",IF(AND($I746&gt;0,$J746&gt;0),"수입·지출 둘 다 적혔습니다",IF($C746="","결제수단을 고르십시오",IF(ISNA(MATCH($C746,'교육원 ③ 통장·카드'!$A$5:$A$11,0)),"③ 통장·카드에 없는 결제수단입니다",IF($D746="","계정과목을 고르십시오",IF($E746="※없는 과목","④ 설정에 없는 과목입니다",IF(AND($E746="수입",$J746&gt;0),"수입 과목인데 지출에 적혔습니다",IF(AND(LEFT($E746,2)&lt;&gt;"수입",$E746&lt;&gt;"대체",$I746&gt;0),"지출 과목인데 수입에 적혔습니다",IF($K746="","증빙을 고르십시오",IF($H746="","적요를 적으십시오","")))))))))))</f>
        <v/>
      </c>
      <c r="M746" s="39"/>
      <c r="O746" s="11" t="str">
        <f aca="false">IF($B746="","",YEAR($B746)*100+MONTH($B746))</f>
        <v/>
      </c>
      <c r="P746" s="11" t="str">
        <f aca="false">IF($B746="","",IF($E746="대체",0,1))</f>
        <v/>
      </c>
    </row>
    <row r="747" customFormat="false" ht="15" hidden="false" customHeight="false" outlineLevel="0" collapsed="false">
      <c r="A747" s="36" t="str">
        <f aca="false">IF($B747="","",COUNT($B$15:$B747))</f>
        <v/>
      </c>
      <c r="B747" s="37"/>
      <c r="C747" s="38"/>
      <c r="D747" s="20"/>
      <c r="E747" s="36" t="str">
        <f aca="false">IF($D747="","",IFERROR(INDEX('교육원 ④ 설정'!$A$6:$A$40,MATCH($D747,'교육원 ④ 설정'!$B$6:$B$40,0)),"※없는 과목"))</f>
        <v/>
      </c>
      <c r="F747" s="36" t="str">
        <f aca="false">IF($D747="","",IFERROR(INDEX('교육원 ④ 설정'!$C$6:$C$40,MATCH($D747,'교육원 ④ 설정'!$B$6:$B$40,0)),""))</f>
        <v/>
      </c>
      <c r="G747" s="39"/>
      <c r="H747" s="39"/>
      <c r="I747" s="40"/>
      <c r="J747" s="41"/>
      <c r="K747" s="38"/>
      <c r="L747" s="42" t="str">
        <f aca="false">IF($B747="","",IF(AND(N($I747)=0,N($J747)=0),"금액이 없습니다",IF(AND($I747&gt;0,$J747&gt;0),"수입·지출 둘 다 적혔습니다",IF($C747="","결제수단을 고르십시오",IF(ISNA(MATCH($C747,'교육원 ③ 통장·카드'!$A$5:$A$11,0)),"③ 통장·카드에 없는 결제수단입니다",IF($D747="","계정과목을 고르십시오",IF($E747="※없는 과목","④ 설정에 없는 과목입니다",IF(AND($E747="수입",$J747&gt;0),"수입 과목인데 지출에 적혔습니다",IF(AND(LEFT($E747,2)&lt;&gt;"수입",$E747&lt;&gt;"대체",$I747&gt;0),"지출 과목인데 수입에 적혔습니다",IF($K747="","증빙을 고르십시오",IF($H747="","적요를 적으십시오","")))))))))))</f>
        <v/>
      </c>
      <c r="M747" s="39"/>
      <c r="O747" s="11" t="str">
        <f aca="false">IF($B747="","",YEAR($B747)*100+MONTH($B747))</f>
        <v/>
      </c>
      <c r="P747" s="11" t="str">
        <f aca="false">IF($B747="","",IF($E747="대체",0,1))</f>
        <v/>
      </c>
    </row>
    <row r="748" customFormat="false" ht="15" hidden="false" customHeight="false" outlineLevel="0" collapsed="false">
      <c r="A748" s="36" t="str">
        <f aca="false">IF($B748="","",COUNT($B$15:$B748))</f>
        <v/>
      </c>
      <c r="B748" s="37"/>
      <c r="C748" s="38"/>
      <c r="D748" s="20"/>
      <c r="E748" s="36" t="str">
        <f aca="false">IF($D748="","",IFERROR(INDEX('교육원 ④ 설정'!$A$6:$A$40,MATCH($D748,'교육원 ④ 설정'!$B$6:$B$40,0)),"※없는 과목"))</f>
        <v/>
      </c>
      <c r="F748" s="36" t="str">
        <f aca="false">IF($D748="","",IFERROR(INDEX('교육원 ④ 설정'!$C$6:$C$40,MATCH($D748,'교육원 ④ 설정'!$B$6:$B$40,0)),""))</f>
        <v/>
      </c>
      <c r="G748" s="39"/>
      <c r="H748" s="39"/>
      <c r="I748" s="40"/>
      <c r="J748" s="41"/>
      <c r="K748" s="38"/>
      <c r="L748" s="42" t="str">
        <f aca="false">IF($B748="","",IF(AND(N($I748)=0,N($J748)=0),"금액이 없습니다",IF(AND($I748&gt;0,$J748&gt;0),"수입·지출 둘 다 적혔습니다",IF($C748="","결제수단을 고르십시오",IF(ISNA(MATCH($C748,'교육원 ③ 통장·카드'!$A$5:$A$11,0)),"③ 통장·카드에 없는 결제수단입니다",IF($D748="","계정과목을 고르십시오",IF($E748="※없는 과목","④ 설정에 없는 과목입니다",IF(AND($E748="수입",$J748&gt;0),"수입 과목인데 지출에 적혔습니다",IF(AND(LEFT($E748,2)&lt;&gt;"수입",$E748&lt;&gt;"대체",$I748&gt;0),"지출 과목인데 수입에 적혔습니다",IF($K748="","증빙을 고르십시오",IF($H748="","적요를 적으십시오","")))))))))))</f>
        <v/>
      </c>
      <c r="M748" s="39"/>
      <c r="O748" s="11" t="str">
        <f aca="false">IF($B748="","",YEAR($B748)*100+MONTH($B748))</f>
        <v/>
      </c>
      <c r="P748" s="11" t="str">
        <f aca="false">IF($B748="","",IF($E748="대체",0,1))</f>
        <v/>
      </c>
    </row>
    <row r="749" customFormat="false" ht="15" hidden="false" customHeight="false" outlineLevel="0" collapsed="false">
      <c r="A749" s="36" t="str">
        <f aca="false">IF($B749="","",COUNT($B$15:$B749))</f>
        <v/>
      </c>
      <c r="B749" s="37"/>
      <c r="C749" s="38"/>
      <c r="D749" s="20"/>
      <c r="E749" s="36" t="str">
        <f aca="false">IF($D749="","",IFERROR(INDEX('교육원 ④ 설정'!$A$6:$A$40,MATCH($D749,'교육원 ④ 설정'!$B$6:$B$40,0)),"※없는 과목"))</f>
        <v/>
      </c>
      <c r="F749" s="36" t="str">
        <f aca="false">IF($D749="","",IFERROR(INDEX('교육원 ④ 설정'!$C$6:$C$40,MATCH($D749,'교육원 ④ 설정'!$B$6:$B$40,0)),""))</f>
        <v/>
      </c>
      <c r="G749" s="39"/>
      <c r="H749" s="39"/>
      <c r="I749" s="40"/>
      <c r="J749" s="41"/>
      <c r="K749" s="38"/>
      <c r="L749" s="42" t="str">
        <f aca="false">IF($B749="","",IF(AND(N($I749)=0,N($J749)=0),"금액이 없습니다",IF(AND($I749&gt;0,$J749&gt;0),"수입·지출 둘 다 적혔습니다",IF($C749="","결제수단을 고르십시오",IF(ISNA(MATCH($C749,'교육원 ③ 통장·카드'!$A$5:$A$11,0)),"③ 통장·카드에 없는 결제수단입니다",IF($D749="","계정과목을 고르십시오",IF($E749="※없는 과목","④ 설정에 없는 과목입니다",IF(AND($E749="수입",$J749&gt;0),"수입 과목인데 지출에 적혔습니다",IF(AND(LEFT($E749,2)&lt;&gt;"수입",$E749&lt;&gt;"대체",$I749&gt;0),"지출 과목인데 수입에 적혔습니다",IF($K749="","증빙을 고르십시오",IF($H749="","적요를 적으십시오","")))))))))))</f>
        <v/>
      </c>
      <c r="M749" s="39"/>
      <c r="O749" s="11" t="str">
        <f aca="false">IF($B749="","",YEAR($B749)*100+MONTH($B749))</f>
        <v/>
      </c>
      <c r="P749" s="11" t="str">
        <f aca="false">IF($B749="","",IF($E749="대체",0,1))</f>
        <v/>
      </c>
    </row>
    <row r="750" customFormat="false" ht="15" hidden="false" customHeight="false" outlineLevel="0" collapsed="false">
      <c r="A750" s="36" t="str">
        <f aca="false">IF($B750="","",COUNT($B$15:$B750))</f>
        <v/>
      </c>
      <c r="B750" s="37"/>
      <c r="C750" s="38"/>
      <c r="D750" s="20"/>
      <c r="E750" s="36" t="str">
        <f aca="false">IF($D750="","",IFERROR(INDEX('교육원 ④ 설정'!$A$6:$A$40,MATCH($D750,'교육원 ④ 설정'!$B$6:$B$40,0)),"※없는 과목"))</f>
        <v/>
      </c>
      <c r="F750" s="36" t="str">
        <f aca="false">IF($D750="","",IFERROR(INDEX('교육원 ④ 설정'!$C$6:$C$40,MATCH($D750,'교육원 ④ 설정'!$B$6:$B$40,0)),""))</f>
        <v/>
      </c>
      <c r="G750" s="39"/>
      <c r="H750" s="39"/>
      <c r="I750" s="40"/>
      <c r="J750" s="41"/>
      <c r="K750" s="38"/>
      <c r="L750" s="42" t="str">
        <f aca="false">IF($B750="","",IF(AND(N($I750)=0,N($J750)=0),"금액이 없습니다",IF(AND($I750&gt;0,$J750&gt;0),"수입·지출 둘 다 적혔습니다",IF($C750="","결제수단을 고르십시오",IF(ISNA(MATCH($C750,'교육원 ③ 통장·카드'!$A$5:$A$11,0)),"③ 통장·카드에 없는 결제수단입니다",IF($D750="","계정과목을 고르십시오",IF($E750="※없는 과목","④ 설정에 없는 과목입니다",IF(AND($E750="수입",$J750&gt;0),"수입 과목인데 지출에 적혔습니다",IF(AND(LEFT($E750,2)&lt;&gt;"수입",$E750&lt;&gt;"대체",$I750&gt;0),"지출 과목인데 수입에 적혔습니다",IF($K750="","증빙을 고르십시오",IF($H750="","적요를 적으십시오","")))))))))))</f>
        <v/>
      </c>
      <c r="M750" s="39"/>
      <c r="O750" s="11" t="str">
        <f aca="false">IF($B750="","",YEAR($B750)*100+MONTH($B750))</f>
        <v/>
      </c>
      <c r="P750" s="11" t="str">
        <f aca="false">IF($B750="","",IF($E750="대체",0,1))</f>
        <v/>
      </c>
    </row>
    <row r="751" customFormat="false" ht="15" hidden="false" customHeight="false" outlineLevel="0" collapsed="false">
      <c r="A751" s="36" t="str">
        <f aca="false">IF($B751="","",COUNT($B$15:$B751))</f>
        <v/>
      </c>
      <c r="B751" s="37"/>
      <c r="C751" s="38"/>
      <c r="D751" s="20"/>
      <c r="E751" s="36" t="str">
        <f aca="false">IF($D751="","",IFERROR(INDEX('교육원 ④ 설정'!$A$6:$A$40,MATCH($D751,'교육원 ④ 설정'!$B$6:$B$40,0)),"※없는 과목"))</f>
        <v/>
      </c>
      <c r="F751" s="36" t="str">
        <f aca="false">IF($D751="","",IFERROR(INDEX('교육원 ④ 설정'!$C$6:$C$40,MATCH($D751,'교육원 ④ 설정'!$B$6:$B$40,0)),""))</f>
        <v/>
      </c>
      <c r="G751" s="39"/>
      <c r="H751" s="39"/>
      <c r="I751" s="40"/>
      <c r="J751" s="41"/>
      <c r="K751" s="38"/>
      <c r="L751" s="42" t="str">
        <f aca="false">IF($B751="","",IF(AND(N($I751)=0,N($J751)=0),"금액이 없습니다",IF(AND($I751&gt;0,$J751&gt;0),"수입·지출 둘 다 적혔습니다",IF($C751="","결제수단을 고르십시오",IF(ISNA(MATCH($C751,'교육원 ③ 통장·카드'!$A$5:$A$11,0)),"③ 통장·카드에 없는 결제수단입니다",IF($D751="","계정과목을 고르십시오",IF($E751="※없는 과목","④ 설정에 없는 과목입니다",IF(AND($E751="수입",$J751&gt;0),"수입 과목인데 지출에 적혔습니다",IF(AND(LEFT($E751,2)&lt;&gt;"수입",$E751&lt;&gt;"대체",$I751&gt;0),"지출 과목인데 수입에 적혔습니다",IF($K751="","증빙을 고르십시오",IF($H751="","적요를 적으십시오","")))))))))))</f>
        <v/>
      </c>
      <c r="M751" s="39"/>
      <c r="O751" s="11" t="str">
        <f aca="false">IF($B751="","",YEAR($B751)*100+MONTH($B751))</f>
        <v/>
      </c>
      <c r="P751" s="11" t="str">
        <f aca="false">IF($B751="","",IF($E751="대체",0,1))</f>
        <v/>
      </c>
    </row>
    <row r="752" customFormat="false" ht="15" hidden="false" customHeight="false" outlineLevel="0" collapsed="false">
      <c r="A752" s="36" t="str">
        <f aca="false">IF($B752="","",COUNT($B$15:$B752))</f>
        <v/>
      </c>
      <c r="B752" s="37"/>
      <c r="C752" s="38"/>
      <c r="D752" s="20"/>
      <c r="E752" s="36" t="str">
        <f aca="false">IF($D752="","",IFERROR(INDEX('교육원 ④ 설정'!$A$6:$A$40,MATCH($D752,'교육원 ④ 설정'!$B$6:$B$40,0)),"※없는 과목"))</f>
        <v/>
      </c>
      <c r="F752" s="36" t="str">
        <f aca="false">IF($D752="","",IFERROR(INDEX('교육원 ④ 설정'!$C$6:$C$40,MATCH($D752,'교육원 ④ 설정'!$B$6:$B$40,0)),""))</f>
        <v/>
      </c>
      <c r="G752" s="39"/>
      <c r="H752" s="39"/>
      <c r="I752" s="40"/>
      <c r="J752" s="41"/>
      <c r="K752" s="38"/>
      <c r="L752" s="42" t="str">
        <f aca="false">IF($B752="","",IF(AND(N($I752)=0,N($J752)=0),"금액이 없습니다",IF(AND($I752&gt;0,$J752&gt;0),"수입·지출 둘 다 적혔습니다",IF($C752="","결제수단을 고르십시오",IF(ISNA(MATCH($C752,'교육원 ③ 통장·카드'!$A$5:$A$11,0)),"③ 통장·카드에 없는 결제수단입니다",IF($D752="","계정과목을 고르십시오",IF($E752="※없는 과목","④ 설정에 없는 과목입니다",IF(AND($E752="수입",$J752&gt;0),"수입 과목인데 지출에 적혔습니다",IF(AND(LEFT($E752,2)&lt;&gt;"수입",$E752&lt;&gt;"대체",$I752&gt;0),"지출 과목인데 수입에 적혔습니다",IF($K752="","증빙을 고르십시오",IF($H752="","적요를 적으십시오","")))))))))))</f>
        <v/>
      </c>
      <c r="M752" s="39"/>
      <c r="O752" s="11" t="str">
        <f aca="false">IF($B752="","",YEAR($B752)*100+MONTH($B752))</f>
        <v/>
      </c>
      <c r="P752" s="11" t="str">
        <f aca="false">IF($B752="","",IF($E752="대체",0,1))</f>
        <v/>
      </c>
    </row>
    <row r="753" customFormat="false" ht="15" hidden="false" customHeight="false" outlineLevel="0" collapsed="false">
      <c r="A753" s="36" t="str">
        <f aca="false">IF($B753="","",COUNT($B$15:$B753))</f>
        <v/>
      </c>
      <c r="B753" s="37"/>
      <c r="C753" s="38"/>
      <c r="D753" s="20"/>
      <c r="E753" s="36" t="str">
        <f aca="false">IF($D753="","",IFERROR(INDEX('교육원 ④ 설정'!$A$6:$A$40,MATCH($D753,'교육원 ④ 설정'!$B$6:$B$40,0)),"※없는 과목"))</f>
        <v/>
      </c>
      <c r="F753" s="36" t="str">
        <f aca="false">IF($D753="","",IFERROR(INDEX('교육원 ④ 설정'!$C$6:$C$40,MATCH($D753,'교육원 ④ 설정'!$B$6:$B$40,0)),""))</f>
        <v/>
      </c>
      <c r="G753" s="39"/>
      <c r="H753" s="39"/>
      <c r="I753" s="40"/>
      <c r="J753" s="41"/>
      <c r="K753" s="38"/>
      <c r="L753" s="42" t="str">
        <f aca="false">IF($B753="","",IF(AND(N($I753)=0,N($J753)=0),"금액이 없습니다",IF(AND($I753&gt;0,$J753&gt;0),"수입·지출 둘 다 적혔습니다",IF($C753="","결제수단을 고르십시오",IF(ISNA(MATCH($C753,'교육원 ③ 통장·카드'!$A$5:$A$11,0)),"③ 통장·카드에 없는 결제수단입니다",IF($D753="","계정과목을 고르십시오",IF($E753="※없는 과목","④ 설정에 없는 과목입니다",IF(AND($E753="수입",$J753&gt;0),"수입 과목인데 지출에 적혔습니다",IF(AND(LEFT($E753,2)&lt;&gt;"수입",$E753&lt;&gt;"대체",$I753&gt;0),"지출 과목인데 수입에 적혔습니다",IF($K753="","증빙을 고르십시오",IF($H753="","적요를 적으십시오","")))))))))))</f>
        <v/>
      </c>
      <c r="M753" s="39"/>
      <c r="O753" s="11" t="str">
        <f aca="false">IF($B753="","",YEAR($B753)*100+MONTH($B753))</f>
        <v/>
      </c>
      <c r="P753" s="11" t="str">
        <f aca="false">IF($B753="","",IF($E753="대체",0,1))</f>
        <v/>
      </c>
    </row>
    <row r="754" customFormat="false" ht="15" hidden="false" customHeight="false" outlineLevel="0" collapsed="false">
      <c r="A754" s="36" t="str">
        <f aca="false">IF($B754="","",COUNT($B$15:$B754))</f>
        <v/>
      </c>
      <c r="B754" s="37"/>
      <c r="C754" s="38"/>
      <c r="D754" s="20"/>
      <c r="E754" s="36" t="str">
        <f aca="false">IF($D754="","",IFERROR(INDEX('교육원 ④ 설정'!$A$6:$A$40,MATCH($D754,'교육원 ④ 설정'!$B$6:$B$40,0)),"※없는 과목"))</f>
        <v/>
      </c>
      <c r="F754" s="36" t="str">
        <f aca="false">IF($D754="","",IFERROR(INDEX('교육원 ④ 설정'!$C$6:$C$40,MATCH($D754,'교육원 ④ 설정'!$B$6:$B$40,0)),""))</f>
        <v/>
      </c>
      <c r="G754" s="39"/>
      <c r="H754" s="39"/>
      <c r="I754" s="40"/>
      <c r="J754" s="41"/>
      <c r="K754" s="38"/>
      <c r="L754" s="42" t="str">
        <f aca="false">IF($B754="","",IF(AND(N($I754)=0,N($J754)=0),"금액이 없습니다",IF(AND($I754&gt;0,$J754&gt;0),"수입·지출 둘 다 적혔습니다",IF($C754="","결제수단을 고르십시오",IF(ISNA(MATCH($C754,'교육원 ③ 통장·카드'!$A$5:$A$11,0)),"③ 통장·카드에 없는 결제수단입니다",IF($D754="","계정과목을 고르십시오",IF($E754="※없는 과목","④ 설정에 없는 과목입니다",IF(AND($E754="수입",$J754&gt;0),"수입 과목인데 지출에 적혔습니다",IF(AND(LEFT($E754,2)&lt;&gt;"수입",$E754&lt;&gt;"대체",$I754&gt;0),"지출 과목인데 수입에 적혔습니다",IF($K754="","증빙을 고르십시오",IF($H754="","적요를 적으십시오","")))))))))))</f>
        <v/>
      </c>
      <c r="M754" s="39"/>
      <c r="O754" s="11" t="str">
        <f aca="false">IF($B754="","",YEAR($B754)*100+MONTH($B754))</f>
        <v/>
      </c>
      <c r="P754" s="11" t="str">
        <f aca="false">IF($B754="","",IF($E754="대체",0,1))</f>
        <v/>
      </c>
    </row>
    <row r="755" customFormat="false" ht="15" hidden="false" customHeight="false" outlineLevel="0" collapsed="false">
      <c r="A755" s="36" t="str">
        <f aca="false">IF($B755="","",COUNT($B$15:$B755))</f>
        <v/>
      </c>
      <c r="B755" s="37"/>
      <c r="C755" s="38"/>
      <c r="D755" s="20"/>
      <c r="E755" s="36" t="str">
        <f aca="false">IF($D755="","",IFERROR(INDEX('교육원 ④ 설정'!$A$6:$A$40,MATCH($D755,'교육원 ④ 설정'!$B$6:$B$40,0)),"※없는 과목"))</f>
        <v/>
      </c>
      <c r="F755" s="36" t="str">
        <f aca="false">IF($D755="","",IFERROR(INDEX('교육원 ④ 설정'!$C$6:$C$40,MATCH($D755,'교육원 ④ 설정'!$B$6:$B$40,0)),""))</f>
        <v/>
      </c>
      <c r="G755" s="39"/>
      <c r="H755" s="39"/>
      <c r="I755" s="40"/>
      <c r="J755" s="41"/>
      <c r="K755" s="38"/>
      <c r="L755" s="42" t="str">
        <f aca="false">IF($B755="","",IF(AND(N($I755)=0,N($J755)=0),"금액이 없습니다",IF(AND($I755&gt;0,$J755&gt;0),"수입·지출 둘 다 적혔습니다",IF($C755="","결제수단을 고르십시오",IF(ISNA(MATCH($C755,'교육원 ③ 통장·카드'!$A$5:$A$11,0)),"③ 통장·카드에 없는 결제수단입니다",IF($D755="","계정과목을 고르십시오",IF($E755="※없는 과목","④ 설정에 없는 과목입니다",IF(AND($E755="수입",$J755&gt;0),"수입 과목인데 지출에 적혔습니다",IF(AND(LEFT($E755,2)&lt;&gt;"수입",$E755&lt;&gt;"대체",$I755&gt;0),"지출 과목인데 수입에 적혔습니다",IF($K755="","증빙을 고르십시오",IF($H755="","적요를 적으십시오","")))))))))))</f>
        <v/>
      </c>
      <c r="M755" s="39"/>
      <c r="O755" s="11" t="str">
        <f aca="false">IF($B755="","",YEAR($B755)*100+MONTH($B755))</f>
        <v/>
      </c>
      <c r="P755" s="11" t="str">
        <f aca="false">IF($B755="","",IF($E755="대체",0,1))</f>
        <v/>
      </c>
    </row>
    <row r="756" customFormat="false" ht="15" hidden="false" customHeight="false" outlineLevel="0" collapsed="false">
      <c r="A756" s="36" t="str">
        <f aca="false">IF($B756="","",COUNT($B$15:$B756))</f>
        <v/>
      </c>
      <c r="B756" s="37"/>
      <c r="C756" s="38"/>
      <c r="D756" s="20"/>
      <c r="E756" s="36" t="str">
        <f aca="false">IF($D756="","",IFERROR(INDEX('교육원 ④ 설정'!$A$6:$A$40,MATCH($D756,'교육원 ④ 설정'!$B$6:$B$40,0)),"※없는 과목"))</f>
        <v/>
      </c>
      <c r="F756" s="36" t="str">
        <f aca="false">IF($D756="","",IFERROR(INDEX('교육원 ④ 설정'!$C$6:$C$40,MATCH($D756,'교육원 ④ 설정'!$B$6:$B$40,0)),""))</f>
        <v/>
      </c>
      <c r="G756" s="39"/>
      <c r="H756" s="39"/>
      <c r="I756" s="40"/>
      <c r="J756" s="41"/>
      <c r="K756" s="38"/>
      <c r="L756" s="42" t="str">
        <f aca="false">IF($B756="","",IF(AND(N($I756)=0,N($J756)=0),"금액이 없습니다",IF(AND($I756&gt;0,$J756&gt;0),"수입·지출 둘 다 적혔습니다",IF($C756="","결제수단을 고르십시오",IF(ISNA(MATCH($C756,'교육원 ③ 통장·카드'!$A$5:$A$11,0)),"③ 통장·카드에 없는 결제수단입니다",IF($D756="","계정과목을 고르십시오",IF($E756="※없는 과목","④ 설정에 없는 과목입니다",IF(AND($E756="수입",$J756&gt;0),"수입 과목인데 지출에 적혔습니다",IF(AND(LEFT($E756,2)&lt;&gt;"수입",$E756&lt;&gt;"대체",$I756&gt;0),"지출 과목인데 수입에 적혔습니다",IF($K756="","증빙을 고르십시오",IF($H756="","적요를 적으십시오","")))))))))))</f>
        <v/>
      </c>
      <c r="M756" s="39"/>
      <c r="O756" s="11" t="str">
        <f aca="false">IF($B756="","",YEAR($B756)*100+MONTH($B756))</f>
        <v/>
      </c>
      <c r="P756" s="11" t="str">
        <f aca="false">IF($B756="","",IF($E756="대체",0,1))</f>
        <v/>
      </c>
    </row>
    <row r="757" customFormat="false" ht="15" hidden="false" customHeight="false" outlineLevel="0" collapsed="false">
      <c r="A757" s="36" t="str">
        <f aca="false">IF($B757="","",COUNT($B$15:$B757))</f>
        <v/>
      </c>
      <c r="B757" s="37"/>
      <c r="C757" s="38"/>
      <c r="D757" s="20"/>
      <c r="E757" s="36" t="str">
        <f aca="false">IF($D757="","",IFERROR(INDEX('교육원 ④ 설정'!$A$6:$A$40,MATCH($D757,'교육원 ④ 설정'!$B$6:$B$40,0)),"※없는 과목"))</f>
        <v/>
      </c>
      <c r="F757" s="36" t="str">
        <f aca="false">IF($D757="","",IFERROR(INDEX('교육원 ④ 설정'!$C$6:$C$40,MATCH($D757,'교육원 ④ 설정'!$B$6:$B$40,0)),""))</f>
        <v/>
      </c>
      <c r="G757" s="39"/>
      <c r="H757" s="39"/>
      <c r="I757" s="40"/>
      <c r="J757" s="41"/>
      <c r="K757" s="38"/>
      <c r="L757" s="42" t="str">
        <f aca="false">IF($B757="","",IF(AND(N($I757)=0,N($J757)=0),"금액이 없습니다",IF(AND($I757&gt;0,$J757&gt;0),"수입·지출 둘 다 적혔습니다",IF($C757="","결제수단을 고르십시오",IF(ISNA(MATCH($C757,'교육원 ③ 통장·카드'!$A$5:$A$11,0)),"③ 통장·카드에 없는 결제수단입니다",IF($D757="","계정과목을 고르십시오",IF($E757="※없는 과목","④ 설정에 없는 과목입니다",IF(AND($E757="수입",$J757&gt;0),"수입 과목인데 지출에 적혔습니다",IF(AND(LEFT($E757,2)&lt;&gt;"수입",$E757&lt;&gt;"대체",$I757&gt;0),"지출 과목인데 수입에 적혔습니다",IF($K757="","증빙을 고르십시오",IF($H757="","적요를 적으십시오","")))))))))))</f>
        <v/>
      </c>
      <c r="M757" s="39"/>
      <c r="O757" s="11" t="str">
        <f aca="false">IF($B757="","",YEAR($B757)*100+MONTH($B757))</f>
        <v/>
      </c>
      <c r="P757" s="11" t="str">
        <f aca="false">IF($B757="","",IF($E757="대체",0,1))</f>
        <v/>
      </c>
    </row>
    <row r="758" customFormat="false" ht="15" hidden="false" customHeight="false" outlineLevel="0" collapsed="false">
      <c r="A758" s="36" t="str">
        <f aca="false">IF($B758="","",COUNT($B$15:$B758))</f>
        <v/>
      </c>
      <c r="B758" s="37"/>
      <c r="C758" s="38"/>
      <c r="D758" s="20"/>
      <c r="E758" s="36" t="str">
        <f aca="false">IF($D758="","",IFERROR(INDEX('교육원 ④ 설정'!$A$6:$A$40,MATCH($D758,'교육원 ④ 설정'!$B$6:$B$40,0)),"※없는 과목"))</f>
        <v/>
      </c>
      <c r="F758" s="36" t="str">
        <f aca="false">IF($D758="","",IFERROR(INDEX('교육원 ④ 설정'!$C$6:$C$40,MATCH($D758,'교육원 ④ 설정'!$B$6:$B$40,0)),""))</f>
        <v/>
      </c>
      <c r="G758" s="39"/>
      <c r="H758" s="39"/>
      <c r="I758" s="40"/>
      <c r="J758" s="41"/>
      <c r="K758" s="38"/>
      <c r="L758" s="42" t="str">
        <f aca="false">IF($B758="","",IF(AND(N($I758)=0,N($J758)=0),"금액이 없습니다",IF(AND($I758&gt;0,$J758&gt;0),"수입·지출 둘 다 적혔습니다",IF($C758="","결제수단을 고르십시오",IF(ISNA(MATCH($C758,'교육원 ③ 통장·카드'!$A$5:$A$11,0)),"③ 통장·카드에 없는 결제수단입니다",IF($D758="","계정과목을 고르십시오",IF($E758="※없는 과목","④ 설정에 없는 과목입니다",IF(AND($E758="수입",$J758&gt;0),"수입 과목인데 지출에 적혔습니다",IF(AND(LEFT($E758,2)&lt;&gt;"수입",$E758&lt;&gt;"대체",$I758&gt;0),"지출 과목인데 수입에 적혔습니다",IF($K758="","증빙을 고르십시오",IF($H758="","적요를 적으십시오","")))))))))))</f>
        <v/>
      </c>
      <c r="M758" s="39"/>
      <c r="O758" s="11" t="str">
        <f aca="false">IF($B758="","",YEAR($B758)*100+MONTH($B758))</f>
        <v/>
      </c>
      <c r="P758" s="11" t="str">
        <f aca="false">IF($B758="","",IF($E758="대체",0,1))</f>
        <v/>
      </c>
    </row>
    <row r="759" customFormat="false" ht="15" hidden="false" customHeight="false" outlineLevel="0" collapsed="false">
      <c r="A759" s="36" t="str">
        <f aca="false">IF($B759="","",COUNT($B$15:$B759))</f>
        <v/>
      </c>
      <c r="B759" s="37"/>
      <c r="C759" s="38"/>
      <c r="D759" s="20"/>
      <c r="E759" s="36" t="str">
        <f aca="false">IF($D759="","",IFERROR(INDEX('교육원 ④ 설정'!$A$6:$A$40,MATCH($D759,'교육원 ④ 설정'!$B$6:$B$40,0)),"※없는 과목"))</f>
        <v/>
      </c>
      <c r="F759" s="36" t="str">
        <f aca="false">IF($D759="","",IFERROR(INDEX('교육원 ④ 설정'!$C$6:$C$40,MATCH($D759,'교육원 ④ 설정'!$B$6:$B$40,0)),""))</f>
        <v/>
      </c>
      <c r="G759" s="39"/>
      <c r="H759" s="39"/>
      <c r="I759" s="40"/>
      <c r="J759" s="41"/>
      <c r="K759" s="38"/>
      <c r="L759" s="42" t="str">
        <f aca="false">IF($B759="","",IF(AND(N($I759)=0,N($J759)=0),"금액이 없습니다",IF(AND($I759&gt;0,$J759&gt;0),"수입·지출 둘 다 적혔습니다",IF($C759="","결제수단을 고르십시오",IF(ISNA(MATCH($C759,'교육원 ③ 통장·카드'!$A$5:$A$11,0)),"③ 통장·카드에 없는 결제수단입니다",IF($D759="","계정과목을 고르십시오",IF($E759="※없는 과목","④ 설정에 없는 과목입니다",IF(AND($E759="수입",$J759&gt;0),"수입 과목인데 지출에 적혔습니다",IF(AND(LEFT($E759,2)&lt;&gt;"수입",$E759&lt;&gt;"대체",$I759&gt;0),"지출 과목인데 수입에 적혔습니다",IF($K759="","증빙을 고르십시오",IF($H759="","적요를 적으십시오","")))))))))))</f>
        <v/>
      </c>
      <c r="M759" s="39"/>
      <c r="O759" s="11" t="str">
        <f aca="false">IF($B759="","",YEAR($B759)*100+MONTH($B759))</f>
        <v/>
      </c>
      <c r="P759" s="11" t="str">
        <f aca="false">IF($B759="","",IF($E759="대체",0,1))</f>
        <v/>
      </c>
    </row>
    <row r="760" customFormat="false" ht="15" hidden="false" customHeight="false" outlineLevel="0" collapsed="false">
      <c r="A760" s="36" t="str">
        <f aca="false">IF($B760="","",COUNT($B$15:$B760))</f>
        <v/>
      </c>
      <c r="B760" s="37"/>
      <c r="C760" s="38"/>
      <c r="D760" s="20"/>
      <c r="E760" s="36" t="str">
        <f aca="false">IF($D760="","",IFERROR(INDEX('교육원 ④ 설정'!$A$6:$A$40,MATCH($D760,'교육원 ④ 설정'!$B$6:$B$40,0)),"※없는 과목"))</f>
        <v/>
      </c>
      <c r="F760" s="36" t="str">
        <f aca="false">IF($D760="","",IFERROR(INDEX('교육원 ④ 설정'!$C$6:$C$40,MATCH($D760,'교육원 ④ 설정'!$B$6:$B$40,0)),""))</f>
        <v/>
      </c>
      <c r="G760" s="39"/>
      <c r="H760" s="39"/>
      <c r="I760" s="40"/>
      <c r="J760" s="41"/>
      <c r="K760" s="38"/>
      <c r="L760" s="42" t="str">
        <f aca="false">IF($B760="","",IF(AND(N($I760)=0,N($J760)=0),"금액이 없습니다",IF(AND($I760&gt;0,$J760&gt;0),"수입·지출 둘 다 적혔습니다",IF($C760="","결제수단을 고르십시오",IF(ISNA(MATCH($C760,'교육원 ③ 통장·카드'!$A$5:$A$11,0)),"③ 통장·카드에 없는 결제수단입니다",IF($D760="","계정과목을 고르십시오",IF($E760="※없는 과목","④ 설정에 없는 과목입니다",IF(AND($E760="수입",$J760&gt;0),"수입 과목인데 지출에 적혔습니다",IF(AND(LEFT($E760,2)&lt;&gt;"수입",$E760&lt;&gt;"대체",$I760&gt;0),"지출 과목인데 수입에 적혔습니다",IF($K760="","증빙을 고르십시오",IF($H760="","적요를 적으십시오","")))))))))))</f>
        <v/>
      </c>
      <c r="M760" s="39"/>
      <c r="O760" s="11" t="str">
        <f aca="false">IF($B760="","",YEAR($B760)*100+MONTH($B760))</f>
        <v/>
      </c>
      <c r="P760" s="11" t="str">
        <f aca="false">IF($B760="","",IF($E760="대체",0,1))</f>
        <v/>
      </c>
    </row>
    <row r="761" customFormat="false" ht="15" hidden="false" customHeight="false" outlineLevel="0" collapsed="false">
      <c r="A761" s="36" t="str">
        <f aca="false">IF($B761="","",COUNT($B$15:$B761))</f>
        <v/>
      </c>
      <c r="B761" s="37"/>
      <c r="C761" s="38"/>
      <c r="D761" s="20"/>
      <c r="E761" s="36" t="str">
        <f aca="false">IF($D761="","",IFERROR(INDEX('교육원 ④ 설정'!$A$6:$A$40,MATCH($D761,'교육원 ④ 설정'!$B$6:$B$40,0)),"※없는 과목"))</f>
        <v/>
      </c>
      <c r="F761" s="36" t="str">
        <f aca="false">IF($D761="","",IFERROR(INDEX('교육원 ④ 설정'!$C$6:$C$40,MATCH($D761,'교육원 ④ 설정'!$B$6:$B$40,0)),""))</f>
        <v/>
      </c>
      <c r="G761" s="39"/>
      <c r="H761" s="39"/>
      <c r="I761" s="40"/>
      <c r="J761" s="41"/>
      <c r="K761" s="38"/>
      <c r="L761" s="42" t="str">
        <f aca="false">IF($B761="","",IF(AND(N($I761)=0,N($J761)=0),"금액이 없습니다",IF(AND($I761&gt;0,$J761&gt;0),"수입·지출 둘 다 적혔습니다",IF($C761="","결제수단을 고르십시오",IF(ISNA(MATCH($C761,'교육원 ③ 통장·카드'!$A$5:$A$11,0)),"③ 통장·카드에 없는 결제수단입니다",IF($D761="","계정과목을 고르십시오",IF($E761="※없는 과목","④ 설정에 없는 과목입니다",IF(AND($E761="수입",$J761&gt;0),"수입 과목인데 지출에 적혔습니다",IF(AND(LEFT($E761,2)&lt;&gt;"수입",$E761&lt;&gt;"대체",$I761&gt;0),"지출 과목인데 수입에 적혔습니다",IF($K761="","증빙을 고르십시오",IF($H761="","적요를 적으십시오","")))))))))))</f>
        <v/>
      </c>
      <c r="M761" s="39"/>
      <c r="O761" s="11" t="str">
        <f aca="false">IF($B761="","",YEAR($B761)*100+MONTH($B761))</f>
        <v/>
      </c>
      <c r="P761" s="11" t="str">
        <f aca="false">IF($B761="","",IF($E761="대체",0,1))</f>
        <v/>
      </c>
    </row>
    <row r="762" customFormat="false" ht="15" hidden="false" customHeight="false" outlineLevel="0" collapsed="false">
      <c r="A762" s="36" t="str">
        <f aca="false">IF($B762="","",COUNT($B$15:$B762))</f>
        <v/>
      </c>
      <c r="B762" s="37"/>
      <c r="C762" s="38"/>
      <c r="D762" s="20"/>
      <c r="E762" s="36" t="str">
        <f aca="false">IF($D762="","",IFERROR(INDEX('교육원 ④ 설정'!$A$6:$A$40,MATCH($D762,'교육원 ④ 설정'!$B$6:$B$40,0)),"※없는 과목"))</f>
        <v/>
      </c>
      <c r="F762" s="36" t="str">
        <f aca="false">IF($D762="","",IFERROR(INDEX('교육원 ④ 설정'!$C$6:$C$40,MATCH($D762,'교육원 ④ 설정'!$B$6:$B$40,0)),""))</f>
        <v/>
      </c>
      <c r="G762" s="39"/>
      <c r="H762" s="39"/>
      <c r="I762" s="40"/>
      <c r="J762" s="41"/>
      <c r="K762" s="38"/>
      <c r="L762" s="42" t="str">
        <f aca="false">IF($B762="","",IF(AND(N($I762)=0,N($J762)=0),"금액이 없습니다",IF(AND($I762&gt;0,$J762&gt;0),"수입·지출 둘 다 적혔습니다",IF($C762="","결제수단을 고르십시오",IF(ISNA(MATCH($C762,'교육원 ③ 통장·카드'!$A$5:$A$11,0)),"③ 통장·카드에 없는 결제수단입니다",IF($D762="","계정과목을 고르십시오",IF($E762="※없는 과목","④ 설정에 없는 과목입니다",IF(AND($E762="수입",$J762&gt;0),"수입 과목인데 지출에 적혔습니다",IF(AND(LEFT($E762,2)&lt;&gt;"수입",$E762&lt;&gt;"대체",$I762&gt;0),"지출 과목인데 수입에 적혔습니다",IF($K762="","증빙을 고르십시오",IF($H762="","적요를 적으십시오","")))))))))))</f>
        <v/>
      </c>
      <c r="M762" s="39"/>
      <c r="O762" s="11" t="str">
        <f aca="false">IF($B762="","",YEAR($B762)*100+MONTH($B762))</f>
        <v/>
      </c>
      <c r="P762" s="11" t="str">
        <f aca="false">IF($B762="","",IF($E762="대체",0,1))</f>
        <v/>
      </c>
    </row>
    <row r="763" customFormat="false" ht="15" hidden="false" customHeight="false" outlineLevel="0" collapsed="false">
      <c r="A763" s="36" t="str">
        <f aca="false">IF($B763="","",COUNT($B$15:$B763))</f>
        <v/>
      </c>
      <c r="B763" s="37"/>
      <c r="C763" s="38"/>
      <c r="D763" s="20"/>
      <c r="E763" s="36" t="str">
        <f aca="false">IF($D763="","",IFERROR(INDEX('교육원 ④ 설정'!$A$6:$A$40,MATCH($D763,'교육원 ④ 설정'!$B$6:$B$40,0)),"※없는 과목"))</f>
        <v/>
      </c>
      <c r="F763" s="36" t="str">
        <f aca="false">IF($D763="","",IFERROR(INDEX('교육원 ④ 설정'!$C$6:$C$40,MATCH($D763,'교육원 ④ 설정'!$B$6:$B$40,0)),""))</f>
        <v/>
      </c>
      <c r="G763" s="39"/>
      <c r="H763" s="39"/>
      <c r="I763" s="40"/>
      <c r="J763" s="41"/>
      <c r="K763" s="38"/>
      <c r="L763" s="42" t="str">
        <f aca="false">IF($B763="","",IF(AND(N($I763)=0,N($J763)=0),"금액이 없습니다",IF(AND($I763&gt;0,$J763&gt;0),"수입·지출 둘 다 적혔습니다",IF($C763="","결제수단을 고르십시오",IF(ISNA(MATCH($C763,'교육원 ③ 통장·카드'!$A$5:$A$11,0)),"③ 통장·카드에 없는 결제수단입니다",IF($D763="","계정과목을 고르십시오",IF($E763="※없는 과목","④ 설정에 없는 과목입니다",IF(AND($E763="수입",$J763&gt;0),"수입 과목인데 지출에 적혔습니다",IF(AND(LEFT($E763,2)&lt;&gt;"수입",$E763&lt;&gt;"대체",$I763&gt;0),"지출 과목인데 수입에 적혔습니다",IF($K763="","증빙을 고르십시오",IF($H763="","적요를 적으십시오","")))))))))))</f>
        <v/>
      </c>
      <c r="M763" s="39"/>
      <c r="O763" s="11" t="str">
        <f aca="false">IF($B763="","",YEAR($B763)*100+MONTH($B763))</f>
        <v/>
      </c>
      <c r="P763" s="11" t="str">
        <f aca="false">IF($B763="","",IF($E763="대체",0,1))</f>
        <v/>
      </c>
    </row>
    <row r="764" customFormat="false" ht="15" hidden="false" customHeight="false" outlineLevel="0" collapsed="false">
      <c r="A764" s="36" t="str">
        <f aca="false">IF($B764="","",COUNT($B$15:$B764))</f>
        <v/>
      </c>
      <c r="B764" s="37"/>
      <c r="C764" s="38"/>
      <c r="D764" s="20"/>
      <c r="E764" s="36" t="str">
        <f aca="false">IF($D764="","",IFERROR(INDEX('교육원 ④ 설정'!$A$6:$A$40,MATCH($D764,'교육원 ④ 설정'!$B$6:$B$40,0)),"※없는 과목"))</f>
        <v/>
      </c>
      <c r="F764" s="36" t="str">
        <f aca="false">IF($D764="","",IFERROR(INDEX('교육원 ④ 설정'!$C$6:$C$40,MATCH($D764,'교육원 ④ 설정'!$B$6:$B$40,0)),""))</f>
        <v/>
      </c>
      <c r="G764" s="39"/>
      <c r="H764" s="39"/>
      <c r="I764" s="40"/>
      <c r="J764" s="41"/>
      <c r="K764" s="38"/>
      <c r="L764" s="42" t="str">
        <f aca="false">IF($B764="","",IF(AND(N($I764)=0,N($J764)=0),"금액이 없습니다",IF(AND($I764&gt;0,$J764&gt;0),"수입·지출 둘 다 적혔습니다",IF($C764="","결제수단을 고르십시오",IF(ISNA(MATCH($C764,'교육원 ③ 통장·카드'!$A$5:$A$11,0)),"③ 통장·카드에 없는 결제수단입니다",IF($D764="","계정과목을 고르십시오",IF($E764="※없는 과목","④ 설정에 없는 과목입니다",IF(AND($E764="수입",$J764&gt;0),"수입 과목인데 지출에 적혔습니다",IF(AND(LEFT($E764,2)&lt;&gt;"수입",$E764&lt;&gt;"대체",$I764&gt;0),"지출 과목인데 수입에 적혔습니다",IF($K764="","증빙을 고르십시오",IF($H764="","적요를 적으십시오","")))))))))))</f>
        <v/>
      </c>
      <c r="M764" s="39"/>
      <c r="O764" s="11" t="str">
        <f aca="false">IF($B764="","",YEAR($B764)*100+MONTH($B764))</f>
        <v/>
      </c>
      <c r="P764" s="11" t="str">
        <f aca="false">IF($B764="","",IF($E764="대체",0,1))</f>
        <v/>
      </c>
    </row>
    <row r="765" customFormat="false" ht="15" hidden="false" customHeight="false" outlineLevel="0" collapsed="false">
      <c r="A765" s="36" t="str">
        <f aca="false">IF($B765="","",COUNT($B$15:$B765))</f>
        <v/>
      </c>
      <c r="B765" s="37"/>
      <c r="C765" s="38"/>
      <c r="D765" s="20"/>
      <c r="E765" s="36" t="str">
        <f aca="false">IF($D765="","",IFERROR(INDEX('교육원 ④ 설정'!$A$6:$A$40,MATCH($D765,'교육원 ④ 설정'!$B$6:$B$40,0)),"※없는 과목"))</f>
        <v/>
      </c>
      <c r="F765" s="36" t="str">
        <f aca="false">IF($D765="","",IFERROR(INDEX('교육원 ④ 설정'!$C$6:$C$40,MATCH($D765,'교육원 ④ 설정'!$B$6:$B$40,0)),""))</f>
        <v/>
      </c>
      <c r="G765" s="39"/>
      <c r="H765" s="39"/>
      <c r="I765" s="40"/>
      <c r="J765" s="41"/>
      <c r="K765" s="38"/>
      <c r="L765" s="42" t="str">
        <f aca="false">IF($B765="","",IF(AND(N($I765)=0,N($J765)=0),"금액이 없습니다",IF(AND($I765&gt;0,$J765&gt;0),"수입·지출 둘 다 적혔습니다",IF($C765="","결제수단을 고르십시오",IF(ISNA(MATCH($C765,'교육원 ③ 통장·카드'!$A$5:$A$11,0)),"③ 통장·카드에 없는 결제수단입니다",IF($D765="","계정과목을 고르십시오",IF($E765="※없는 과목","④ 설정에 없는 과목입니다",IF(AND($E765="수입",$J765&gt;0),"수입 과목인데 지출에 적혔습니다",IF(AND(LEFT($E765,2)&lt;&gt;"수입",$E765&lt;&gt;"대체",$I765&gt;0),"지출 과목인데 수입에 적혔습니다",IF($K765="","증빙을 고르십시오",IF($H765="","적요를 적으십시오","")))))))))))</f>
        <v/>
      </c>
      <c r="M765" s="39"/>
      <c r="O765" s="11" t="str">
        <f aca="false">IF($B765="","",YEAR($B765)*100+MONTH($B765))</f>
        <v/>
      </c>
      <c r="P765" s="11" t="str">
        <f aca="false">IF($B765="","",IF($E765="대체",0,1))</f>
        <v/>
      </c>
    </row>
    <row r="766" customFormat="false" ht="15" hidden="false" customHeight="false" outlineLevel="0" collapsed="false">
      <c r="A766" s="36" t="str">
        <f aca="false">IF($B766="","",COUNT($B$15:$B766))</f>
        <v/>
      </c>
      <c r="B766" s="37"/>
      <c r="C766" s="38"/>
      <c r="D766" s="20"/>
      <c r="E766" s="36" t="str">
        <f aca="false">IF($D766="","",IFERROR(INDEX('교육원 ④ 설정'!$A$6:$A$40,MATCH($D766,'교육원 ④ 설정'!$B$6:$B$40,0)),"※없는 과목"))</f>
        <v/>
      </c>
      <c r="F766" s="36" t="str">
        <f aca="false">IF($D766="","",IFERROR(INDEX('교육원 ④ 설정'!$C$6:$C$40,MATCH($D766,'교육원 ④ 설정'!$B$6:$B$40,0)),""))</f>
        <v/>
      </c>
      <c r="G766" s="39"/>
      <c r="H766" s="39"/>
      <c r="I766" s="40"/>
      <c r="J766" s="41"/>
      <c r="K766" s="38"/>
      <c r="L766" s="42" t="str">
        <f aca="false">IF($B766="","",IF(AND(N($I766)=0,N($J766)=0),"금액이 없습니다",IF(AND($I766&gt;0,$J766&gt;0),"수입·지출 둘 다 적혔습니다",IF($C766="","결제수단을 고르십시오",IF(ISNA(MATCH($C766,'교육원 ③ 통장·카드'!$A$5:$A$11,0)),"③ 통장·카드에 없는 결제수단입니다",IF($D766="","계정과목을 고르십시오",IF($E766="※없는 과목","④ 설정에 없는 과목입니다",IF(AND($E766="수입",$J766&gt;0),"수입 과목인데 지출에 적혔습니다",IF(AND(LEFT($E766,2)&lt;&gt;"수입",$E766&lt;&gt;"대체",$I766&gt;0),"지출 과목인데 수입에 적혔습니다",IF($K766="","증빙을 고르십시오",IF($H766="","적요를 적으십시오","")))))))))))</f>
        <v/>
      </c>
      <c r="M766" s="39"/>
      <c r="O766" s="11" t="str">
        <f aca="false">IF($B766="","",YEAR($B766)*100+MONTH($B766))</f>
        <v/>
      </c>
      <c r="P766" s="11" t="str">
        <f aca="false">IF($B766="","",IF($E766="대체",0,1))</f>
        <v/>
      </c>
    </row>
    <row r="767" customFormat="false" ht="15" hidden="false" customHeight="false" outlineLevel="0" collapsed="false">
      <c r="A767" s="36" t="str">
        <f aca="false">IF($B767="","",COUNT($B$15:$B767))</f>
        <v/>
      </c>
      <c r="B767" s="37"/>
      <c r="C767" s="38"/>
      <c r="D767" s="20"/>
      <c r="E767" s="36" t="str">
        <f aca="false">IF($D767="","",IFERROR(INDEX('교육원 ④ 설정'!$A$6:$A$40,MATCH($D767,'교육원 ④ 설정'!$B$6:$B$40,0)),"※없는 과목"))</f>
        <v/>
      </c>
      <c r="F767" s="36" t="str">
        <f aca="false">IF($D767="","",IFERROR(INDEX('교육원 ④ 설정'!$C$6:$C$40,MATCH($D767,'교육원 ④ 설정'!$B$6:$B$40,0)),""))</f>
        <v/>
      </c>
      <c r="G767" s="39"/>
      <c r="H767" s="39"/>
      <c r="I767" s="40"/>
      <c r="J767" s="41"/>
      <c r="K767" s="38"/>
      <c r="L767" s="42" t="str">
        <f aca="false">IF($B767="","",IF(AND(N($I767)=0,N($J767)=0),"금액이 없습니다",IF(AND($I767&gt;0,$J767&gt;0),"수입·지출 둘 다 적혔습니다",IF($C767="","결제수단을 고르십시오",IF(ISNA(MATCH($C767,'교육원 ③ 통장·카드'!$A$5:$A$11,0)),"③ 통장·카드에 없는 결제수단입니다",IF($D767="","계정과목을 고르십시오",IF($E767="※없는 과목","④ 설정에 없는 과목입니다",IF(AND($E767="수입",$J767&gt;0),"수입 과목인데 지출에 적혔습니다",IF(AND(LEFT($E767,2)&lt;&gt;"수입",$E767&lt;&gt;"대체",$I767&gt;0),"지출 과목인데 수입에 적혔습니다",IF($K767="","증빙을 고르십시오",IF($H767="","적요를 적으십시오","")))))))))))</f>
        <v/>
      </c>
      <c r="M767" s="39"/>
      <c r="O767" s="11" t="str">
        <f aca="false">IF($B767="","",YEAR($B767)*100+MONTH($B767))</f>
        <v/>
      </c>
      <c r="P767" s="11" t="str">
        <f aca="false">IF($B767="","",IF($E767="대체",0,1))</f>
        <v/>
      </c>
    </row>
    <row r="768" customFormat="false" ht="15" hidden="false" customHeight="false" outlineLevel="0" collapsed="false">
      <c r="A768" s="36" t="str">
        <f aca="false">IF($B768="","",COUNT($B$15:$B768))</f>
        <v/>
      </c>
      <c r="B768" s="37"/>
      <c r="C768" s="38"/>
      <c r="D768" s="20"/>
      <c r="E768" s="36" t="str">
        <f aca="false">IF($D768="","",IFERROR(INDEX('교육원 ④ 설정'!$A$6:$A$40,MATCH($D768,'교육원 ④ 설정'!$B$6:$B$40,0)),"※없는 과목"))</f>
        <v/>
      </c>
      <c r="F768" s="36" t="str">
        <f aca="false">IF($D768="","",IFERROR(INDEX('교육원 ④ 설정'!$C$6:$C$40,MATCH($D768,'교육원 ④ 설정'!$B$6:$B$40,0)),""))</f>
        <v/>
      </c>
      <c r="G768" s="39"/>
      <c r="H768" s="39"/>
      <c r="I768" s="40"/>
      <c r="J768" s="41"/>
      <c r="K768" s="38"/>
      <c r="L768" s="42" t="str">
        <f aca="false">IF($B768="","",IF(AND(N($I768)=0,N($J768)=0),"금액이 없습니다",IF(AND($I768&gt;0,$J768&gt;0),"수입·지출 둘 다 적혔습니다",IF($C768="","결제수단을 고르십시오",IF(ISNA(MATCH($C768,'교육원 ③ 통장·카드'!$A$5:$A$11,0)),"③ 통장·카드에 없는 결제수단입니다",IF($D768="","계정과목을 고르십시오",IF($E768="※없는 과목","④ 설정에 없는 과목입니다",IF(AND($E768="수입",$J768&gt;0),"수입 과목인데 지출에 적혔습니다",IF(AND(LEFT($E768,2)&lt;&gt;"수입",$E768&lt;&gt;"대체",$I768&gt;0),"지출 과목인데 수입에 적혔습니다",IF($K768="","증빙을 고르십시오",IF($H768="","적요를 적으십시오","")))))))))))</f>
        <v/>
      </c>
      <c r="M768" s="39"/>
      <c r="O768" s="11" t="str">
        <f aca="false">IF($B768="","",YEAR($B768)*100+MONTH($B768))</f>
        <v/>
      </c>
      <c r="P768" s="11" t="str">
        <f aca="false">IF($B768="","",IF($E768="대체",0,1))</f>
        <v/>
      </c>
    </row>
    <row r="769" customFormat="false" ht="15" hidden="false" customHeight="false" outlineLevel="0" collapsed="false">
      <c r="A769" s="36" t="str">
        <f aca="false">IF($B769="","",COUNT($B$15:$B769))</f>
        <v/>
      </c>
      <c r="B769" s="37"/>
      <c r="C769" s="38"/>
      <c r="D769" s="20"/>
      <c r="E769" s="36" t="str">
        <f aca="false">IF($D769="","",IFERROR(INDEX('교육원 ④ 설정'!$A$6:$A$40,MATCH($D769,'교육원 ④ 설정'!$B$6:$B$40,0)),"※없는 과목"))</f>
        <v/>
      </c>
      <c r="F769" s="36" t="str">
        <f aca="false">IF($D769="","",IFERROR(INDEX('교육원 ④ 설정'!$C$6:$C$40,MATCH($D769,'교육원 ④ 설정'!$B$6:$B$40,0)),""))</f>
        <v/>
      </c>
      <c r="G769" s="39"/>
      <c r="H769" s="39"/>
      <c r="I769" s="40"/>
      <c r="J769" s="41"/>
      <c r="K769" s="38"/>
      <c r="L769" s="42" t="str">
        <f aca="false">IF($B769="","",IF(AND(N($I769)=0,N($J769)=0),"금액이 없습니다",IF(AND($I769&gt;0,$J769&gt;0),"수입·지출 둘 다 적혔습니다",IF($C769="","결제수단을 고르십시오",IF(ISNA(MATCH($C769,'교육원 ③ 통장·카드'!$A$5:$A$11,0)),"③ 통장·카드에 없는 결제수단입니다",IF($D769="","계정과목을 고르십시오",IF($E769="※없는 과목","④ 설정에 없는 과목입니다",IF(AND($E769="수입",$J769&gt;0),"수입 과목인데 지출에 적혔습니다",IF(AND(LEFT($E769,2)&lt;&gt;"수입",$E769&lt;&gt;"대체",$I769&gt;0),"지출 과목인데 수입에 적혔습니다",IF($K769="","증빙을 고르십시오",IF($H769="","적요를 적으십시오","")))))))))))</f>
        <v/>
      </c>
      <c r="M769" s="39"/>
      <c r="O769" s="11" t="str">
        <f aca="false">IF($B769="","",YEAR($B769)*100+MONTH($B769))</f>
        <v/>
      </c>
      <c r="P769" s="11" t="str">
        <f aca="false">IF($B769="","",IF($E769="대체",0,1))</f>
        <v/>
      </c>
    </row>
    <row r="770" customFormat="false" ht="15" hidden="false" customHeight="false" outlineLevel="0" collapsed="false">
      <c r="A770" s="36" t="str">
        <f aca="false">IF($B770="","",COUNT($B$15:$B770))</f>
        <v/>
      </c>
      <c r="B770" s="37"/>
      <c r="C770" s="38"/>
      <c r="D770" s="20"/>
      <c r="E770" s="36" t="str">
        <f aca="false">IF($D770="","",IFERROR(INDEX('교육원 ④ 설정'!$A$6:$A$40,MATCH($D770,'교육원 ④ 설정'!$B$6:$B$40,0)),"※없는 과목"))</f>
        <v/>
      </c>
      <c r="F770" s="36" t="str">
        <f aca="false">IF($D770="","",IFERROR(INDEX('교육원 ④ 설정'!$C$6:$C$40,MATCH($D770,'교육원 ④ 설정'!$B$6:$B$40,0)),""))</f>
        <v/>
      </c>
      <c r="G770" s="39"/>
      <c r="H770" s="39"/>
      <c r="I770" s="40"/>
      <c r="J770" s="41"/>
      <c r="K770" s="38"/>
      <c r="L770" s="42" t="str">
        <f aca="false">IF($B770="","",IF(AND(N($I770)=0,N($J770)=0),"금액이 없습니다",IF(AND($I770&gt;0,$J770&gt;0),"수입·지출 둘 다 적혔습니다",IF($C770="","결제수단을 고르십시오",IF(ISNA(MATCH($C770,'교육원 ③ 통장·카드'!$A$5:$A$11,0)),"③ 통장·카드에 없는 결제수단입니다",IF($D770="","계정과목을 고르십시오",IF($E770="※없는 과목","④ 설정에 없는 과목입니다",IF(AND($E770="수입",$J770&gt;0),"수입 과목인데 지출에 적혔습니다",IF(AND(LEFT($E770,2)&lt;&gt;"수입",$E770&lt;&gt;"대체",$I770&gt;0),"지출 과목인데 수입에 적혔습니다",IF($K770="","증빙을 고르십시오",IF($H770="","적요를 적으십시오","")))))))))))</f>
        <v/>
      </c>
      <c r="M770" s="39"/>
      <c r="O770" s="11" t="str">
        <f aca="false">IF($B770="","",YEAR($B770)*100+MONTH($B770))</f>
        <v/>
      </c>
      <c r="P770" s="11" t="str">
        <f aca="false">IF($B770="","",IF($E770="대체",0,1))</f>
        <v/>
      </c>
    </row>
    <row r="771" customFormat="false" ht="15" hidden="false" customHeight="false" outlineLevel="0" collapsed="false">
      <c r="A771" s="36" t="str">
        <f aca="false">IF($B771="","",COUNT($B$15:$B771))</f>
        <v/>
      </c>
      <c r="B771" s="37"/>
      <c r="C771" s="38"/>
      <c r="D771" s="20"/>
      <c r="E771" s="36" t="str">
        <f aca="false">IF($D771="","",IFERROR(INDEX('교육원 ④ 설정'!$A$6:$A$40,MATCH($D771,'교육원 ④ 설정'!$B$6:$B$40,0)),"※없는 과목"))</f>
        <v/>
      </c>
      <c r="F771" s="36" t="str">
        <f aca="false">IF($D771="","",IFERROR(INDEX('교육원 ④ 설정'!$C$6:$C$40,MATCH($D771,'교육원 ④ 설정'!$B$6:$B$40,0)),""))</f>
        <v/>
      </c>
      <c r="G771" s="39"/>
      <c r="H771" s="39"/>
      <c r="I771" s="40"/>
      <c r="J771" s="41"/>
      <c r="K771" s="38"/>
      <c r="L771" s="42" t="str">
        <f aca="false">IF($B771="","",IF(AND(N($I771)=0,N($J771)=0),"금액이 없습니다",IF(AND($I771&gt;0,$J771&gt;0),"수입·지출 둘 다 적혔습니다",IF($C771="","결제수단을 고르십시오",IF(ISNA(MATCH($C771,'교육원 ③ 통장·카드'!$A$5:$A$11,0)),"③ 통장·카드에 없는 결제수단입니다",IF($D771="","계정과목을 고르십시오",IF($E771="※없는 과목","④ 설정에 없는 과목입니다",IF(AND($E771="수입",$J771&gt;0),"수입 과목인데 지출에 적혔습니다",IF(AND(LEFT($E771,2)&lt;&gt;"수입",$E771&lt;&gt;"대체",$I771&gt;0),"지출 과목인데 수입에 적혔습니다",IF($K771="","증빙을 고르십시오",IF($H771="","적요를 적으십시오","")))))))))))</f>
        <v/>
      </c>
      <c r="M771" s="39"/>
      <c r="O771" s="11" t="str">
        <f aca="false">IF($B771="","",YEAR($B771)*100+MONTH($B771))</f>
        <v/>
      </c>
      <c r="P771" s="11" t="str">
        <f aca="false">IF($B771="","",IF($E771="대체",0,1))</f>
        <v/>
      </c>
    </row>
    <row r="772" customFormat="false" ht="15" hidden="false" customHeight="false" outlineLevel="0" collapsed="false">
      <c r="A772" s="36" t="str">
        <f aca="false">IF($B772="","",COUNT($B$15:$B772))</f>
        <v/>
      </c>
      <c r="B772" s="37"/>
      <c r="C772" s="38"/>
      <c r="D772" s="20"/>
      <c r="E772" s="36" t="str">
        <f aca="false">IF($D772="","",IFERROR(INDEX('교육원 ④ 설정'!$A$6:$A$40,MATCH($D772,'교육원 ④ 설정'!$B$6:$B$40,0)),"※없는 과목"))</f>
        <v/>
      </c>
      <c r="F772" s="36" t="str">
        <f aca="false">IF($D772="","",IFERROR(INDEX('교육원 ④ 설정'!$C$6:$C$40,MATCH($D772,'교육원 ④ 설정'!$B$6:$B$40,0)),""))</f>
        <v/>
      </c>
      <c r="G772" s="39"/>
      <c r="H772" s="39"/>
      <c r="I772" s="40"/>
      <c r="J772" s="41"/>
      <c r="K772" s="38"/>
      <c r="L772" s="42" t="str">
        <f aca="false">IF($B772="","",IF(AND(N($I772)=0,N($J772)=0),"금액이 없습니다",IF(AND($I772&gt;0,$J772&gt;0),"수입·지출 둘 다 적혔습니다",IF($C772="","결제수단을 고르십시오",IF(ISNA(MATCH($C772,'교육원 ③ 통장·카드'!$A$5:$A$11,0)),"③ 통장·카드에 없는 결제수단입니다",IF($D772="","계정과목을 고르십시오",IF($E772="※없는 과목","④ 설정에 없는 과목입니다",IF(AND($E772="수입",$J772&gt;0),"수입 과목인데 지출에 적혔습니다",IF(AND(LEFT($E772,2)&lt;&gt;"수입",$E772&lt;&gt;"대체",$I772&gt;0),"지출 과목인데 수입에 적혔습니다",IF($K772="","증빙을 고르십시오",IF($H772="","적요를 적으십시오","")))))))))))</f>
        <v/>
      </c>
      <c r="M772" s="39"/>
      <c r="O772" s="11" t="str">
        <f aca="false">IF($B772="","",YEAR($B772)*100+MONTH($B772))</f>
        <v/>
      </c>
      <c r="P772" s="11" t="str">
        <f aca="false">IF($B772="","",IF($E772="대체",0,1))</f>
        <v/>
      </c>
    </row>
    <row r="773" customFormat="false" ht="15" hidden="false" customHeight="false" outlineLevel="0" collapsed="false">
      <c r="A773" s="36" t="str">
        <f aca="false">IF($B773="","",COUNT($B$15:$B773))</f>
        <v/>
      </c>
      <c r="B773" s="37"/>
      <c r="C773" s="38"/>
      <c r="D773" s="20"/>
      <c r="E773" s="36" t="str">
        <f aca="false">IF($D773="","",IFERROR(INDEX('교육원 ④ 설정'!$A$6:$A$40,MATCH($D773,'교육원 ④ 설정'!$B$6:$B$40,0)),"※없는 과목"))</f>
        <v/>
      </c>
      <c r="F773" s="36" t="str">
        <f aca="false">IF($D773="","",IFERROR(INDEX('교육원 ④ 설정'!$C$6:$C$40,MATCH($D773,'교육원 ④ 설정'!$B$6:$B$40,0)),""))</f>
        <v/>
      </c>
      <c r="G773" s="39"/>
      <c r="H773" s="39"/>
      <c r="I773" s="40"/>
      <c r="J773" s="41"/>
      <c r="K773" s="38"/>
      <c r="L773" s="42" t="str">
        <f aca="false">IF($B773="","",IF(AND(N($I773)=0,N($J773)=0),"금액이 없습니다",IF(AND($I773&gt;0,$J773&gt;0),"수입·지출 둘 다 적혔습니다",IF($C773="","결제수단을 고르십시오",IF(ISNA(MATCH($C773,'교육원 ③ 통장·카드'!$A$5:$A$11,0)),"③ 통장·카드에 없는 결제수단입니다",IF($D773="","계정과목을 고르십시오",IF($E773="※없는 과목","④ 설정에 없는 과목입니다",IF(AND($E773="수입",$J773&gt;0),"수입 과목인데 지출에 적혔습니다",IF(AND(LEFT($E773,2)&lt;&gt;"수입",$E773&lt;&gt;"대체",$I773&gt;0),"지출 과목인데 수입에 적혔습니다",IF($K773="","증빙을 고르십시오",IF($H773="","적요를 적으십시오","")))))))))))</f>
        <v/>
      </c>
      <c r="M773" s="39"/>
      <c r="O773" s="11" t="str">
        <f aca="false">IF($B773="","",YEAR($B773)*100+MONTH($B773))</f>
        <v/>
      </c>
      <c r="P773" s="11" t="str">
        <f aca="false">IF($B773="","",IF($E773="대체",0,1))</f>
        <v/>
      </c>
    </row>
    <row r="774" customFormat="false" ht="15" hidden="false" customHeight="false" outlineLevel="0" collapsed="false">
      <c r="A774" s="36" t="str">
        <f aca="false">IF($B774="","",COUNT($B$15:$B774))</f>
        <v/>
      </c>
      <c r="B774" s="37"/>
      <c r="C774" s="38"/>
      <c r="D774" s="20"/>
      <c r="E774" s="36" t="str">
        <f aca="false">IF($D774="","",IFERROR(INDEX('교육원 ④ 설정'!$A$6:$A$40,MATCH($D774,'교육원 ④ 설정'!$B$6:$B$40,0)),"※없는 과목"))</f>
        <v/>
      </c>
      <c r="F774" s="36" t="str">
        <f aca="false">IF($D774="","",IFERROR(INDEX('교육원 ④ 설정'!$C$6:$C$40,MATCH($D774,'교육원 ④ 설정'!$B$6:$B$40,0)),""))</f>
        <v/>
      </c>
      <c r="G774" s="39"/>
      <c r="H774" s="39"/>
      <c r="I774" s="40"/>
      <c r="J774" s="41"/>
      <c r="K774" s="38"/>
      <c r="L774" s="42" t="str">
        <f aca="false">IF($B774="","",IF(AND(N($I774)=0,N($J774)=0),"금액이 없습니다",IF(AND($I774&gt;0,$J774&gt;0),"수입·지출 둘 다 적혔습니다",IF($C774="","결제수단을 고르십시오",IF(ISNA(MATCH($C774,'교육원 ③ 통장·카드'!$A$5:$A$11,0)),"③ 통장·카드에 없는 결제수단입니다",IF($D774="","계정과목을 고르십시오",IF($E774="※없는 과목","④ 설정에 없는 과목입니다",IF(AND($E774="수입",$J774&gt;0),"수입 과목인데 지출에 적혔습니다",IF(AND(LEFT($E774,2)&lt;&gt;"수입",$E774&lt;&gt;"대체",$I774&gt;0),"지출 과목인데 수입에 적혔습니다",IF($K774="","증빙을 고르십시오",IF($H774="","적요를 적으십시오","")))))))))))</f>
        <v/>
      </c>
      <c r="M774" s="39"/>
      <c r="O774" s="11" t="str">
        <f aca="false">IF($B774="","",YEAR($B774)*100+MONTH($B774))</f>
        <v/>
      </c>
      <c r="P774" s="11" t="str">
        <f aca="false">IF($B774="","",IF($E774="대체",0,1))</f>
        <v/>
      </c>
    </row>
    <row r="775" customFormat="false" ht="15" hidden="false" customHeight="false" outlineLevel="0" collapsed="false">
      <c r="A775" s="36" t="str">
        <f aca="false">IF($B775="","",COUNT($B$15:$B775))</f>
        <v/>
      </c>
      <c r="B775" s="37"/>
      <c r="C775" s="38"/>
      <c r="D775" s="20"/>
      <c r="E775" s="36" t="str">
        <f aca="false">IF($D775="","",IFERROR(INDEX('교육원 ④ 설정'!$A$6:$A$40,MATCH($D775,'교육원 ④ 설정'!$B$6:$B$40,0)),"※없는 과목"))</f>
        <v/>
      </c>
      <c r="F775" s="36" t="str">
        <f aca="false">IF($D775="","",IFERROR(INDEX('교육원 ④ 설정'!$C$6:$C$40,MATCH($D775,'교육원 ④ 설정'!$B$6:$B$40,0)),""))</f>
        <v/>
      </c>
      <c r="G775" s="39"/>
      <c r="H775" s="39"/>
      <c r="I775" s="40"/>
      <c r="J775" s="41"/>
      <c r="K775" s="38"/>
      <c r="L775" s="42" t="str">
        <f aca="false">IF($B775="","",IF(AND(N($I775)=0,N($J775)=0),"금액이 없습니다",IF(AND($I775&gt;0,$J775&gt;0),"수입·지출 둘 다 적혔습니다",IF($C775="","결제수단을 고르십시오",IF(ISNA(MATCH($C775,'교육원 ③ 통장·카드'!$A$5:$A$11,0)),"③ 통장·카드에 없는 결제수단입니다",IF($D775="","계정과목을 고르십시오",IF($E775="※없는 과목","④ 설정에 없는 과목입니다",IF(AND($E775="수입",$J775&gt;0),"수입 과목인데 지출에 적혔습니다",IF(AND(LEFT($E775,2)&lt;&gt;"수입",$E775&lt;&gt;"대체",$I775&gt;0),"지출 과목인데 수입에 적혔습니다",IF($K775="","증빙을 고르십시오",IF($H775="","적요를 적으십시오","")))))))))))</f>
        <v/>
      </c>
      <c r="M775" s="39"/>
      <c r="O775" s="11" t="str">
        <f aca="false">IF($B775="","",YEAR($B775)*100+MONTH($B775))</f>
        <v/>
      </c>
      <c r="P775" s="11" t="str">
        <f aca="false">IF($B775="","",IF($E775="대체",0,1))</f>
        <v/>
      </c>
    </row>
    <row r="776" customFormat="false" ht="15" hidden="false" customHeight="false" outlineLevel="0" collapsed="false">
      <c r="A776" s="36" t="str">
        <f aca="false">IF($B776="","",COUNT($B$15:$B776))</f>
        <v/>
      </c>
      <c r="B776" s="37"/>
      <c r="C776" s="38"/>
      <c r="D776" s="20"/>
      <c r="E776" s="36" t="str">
        <f aca="false">IF($D776="","",IFERROR(INDEX('교육원 ④ 설정'!$A$6:$A$40,MATCH($D776,'교육원 ④ 설정'!$B$6:$B$40,0)),"※없는 과목"))</f>
        <v/>
      </c>
      <c r="F776" s="36" t="str">
        <f aca="false">IF($D776="","",IFERROR(INDEX('교육원 ④ 설정'!$C$6:$C$40,MATCH($D776,'교육원 ④ 설정'!$B$6:$B$40,0)),""))</f>
        <v/>
      </c>
      <c r="G776" s="39"/>
      <c r="H776" s="39"/>
      <c r="I776" s="40"/>
      <c r="J776" s="41"/>
      <c r="K776" s="38"/>
      <c r="L776" s="42" t="str">
        <f aca="false">IF($B776="","",IF(AND(N($I776)=0,N($J776)=0),"금액이 없습니다",IF(AND($I776&gt;0,$J776&gt;0),"수입·지출 둘 다 적혔습니다",IF($C776="","결제수단을 고르십시오",IF(ISNA(MATCH($C776,'교육원 ③ 통장·카드'!$A$5:$A$11,0)),"③ 통장·카드에 없는 결제수단입니다",IF($D776="","계정과목을 고르십시오",IF($E776="※없는 과목","④ 설정에 없는 과목입니다",IF(AND($E776="수입",$J776&gt;0),"수입 과목인데 지출에 적혔습니다",IF(AND(LEFT($E776,2)&lt;&gt;"수입",$E776&lt;&gt;"대체",$I776&gt;0),"지출 과목인데 수입에 적혔습니다",IF($K776="","증빙을 고르십시오",IF($H776="","적요를 적으십시오","")))))))))))</f>
        <v/>
      </c>
      <c r="M776" s="39"/>
      <c r="O776" s="11" t="str">
        <f aca="false">IF($B776="","",YEAR($B776)*100+MONTH($B776))</f>
        <v/>
      </c>
      <c r="P776" s="11" t="str">
        <f aca="false">IF($B776="","",IF($E776="대체",0,1))</f>
        <v/>
      </c>
    </row>
    <row r="777" customFormat="false" ht="15" hidden="false" customHeight="false" outlineLevel="0" collapsed="false">
      <c r="A777" s="36" t="str">
        <f aca="false">IF($B777="","",COUNT($B$15:$B777))</f>
        <v/>
      </c>
      <c r="B777" s="37"/>
      <c r="C777" s="38"/>
      <c r="D777" s="20"/>
      <c r="E777" s="36" t="str">
        <f aca="false">IF($D777="","",IFERROR(INDEX('교육원 ④ 설정'!$A$6:$A$40,MATCH($D777,'교육원 ④ 설정'!$B$6:$B$40,0)),"※없는 과목"))</f>
        <v/>
      </c>
      <c r="F777" s="36" t="str">
        <f aca="false">IF($D777="","",IFERROR(INDEX('교육원 ④ 설정'!$C$6:$C$40,MATCH($D777,'교육원 ④ 설정'!$B$6:$B$40,0)),""))</f>
        <v/>
      </c>
      <c r="G777" s="39"/>
      <c r="H777" s="39"/>
      <c r="I777" s="40"/>
      <c r="J777" s="41"/>
      <c r="K777" s="38"/>
      <c r="L777" s="42" t="str">
        <f aca="false">IF($B777="","",IF(AND(N($I777)=0,N($J777)=0),"금액이 없습니다",IF(AND($I777&gt;0,$J777&gt;0),"수입·지출 둘 다 적혔습니다",IF($C777="","결제수단을 고르십시오",IF(ISNA(MATCH($C777,'교육원 ③ 통장·카드'!$A$5:$A$11,0)),"③ 통장·카드에 없는 결제수단입니다",IF($D777="","계정과목을 고르십시오",IF($E777="※없는 과목","④ 설정에 없는 과목입니다",IF(AND($E777="수입",$J777&gt;0),"수입 과목인데 지출에 적혔습니다",IF(AND(LEFT($E777,2)&lt;&gt;"수입",$E777&lt;&gt;"대체",$I777&gt;0),"지출 과목인데 수입에 적혔습니다",IF($K777="","증빙을 고르십시오",IF($H777="","적요를 적으십시오","")))))))))))</f>
        <v/>
      </c>
      <c r="M777" s="39"/>
      <c r="O777" s="11" t="str">
        <f aca="false">IF($B777="","",YEAR($B777)*100+MONTH($B777))</f>
        <v/>
      </c>
      <c r="P777" s="11" t="str">
        <f aca="false">IF($B777="","",IF($E777="대체",0,1))</f>
        <v/>
      </c>
    </row>
    <row r="778" customFormat="false" ht="15" hidden="false" customHeight="false" outlineLevel="0" collapsed="false">
      <c r="A778" s="36" t="str">
        <f aca="false">IF($B778="","",COUNT($B$15:$B778))</f>
        <v/>
      </c>
      <c r="B778" s="37"/>
      <c r="C778" s="38"/>
      <c r="D778" s="20"/>
      <c r="E778" s="36" t="str">
        <f aca="false">IF($D778="","",IFERROR(INDEX('교육원 ④ 설정'!$A$6:$A$40,MATCH($D778,'교육원 ④ 설정'!$B$6:$B$40,0)),"※없는 과목"))</f>
        <v/>
      </c>
      <c r="F778" s="36" t="str">
        <f aca="false">IF($D778="","",IFERROR(INDEX('교육원 ④ 설정'!$C$6:$C$40,MATCH($D778,'교육원 ④ 설정'!$B$6:$B$40,0)),""))</f>
        <v/>
      </c>
      <c r="G778" s="39"/>
      <c r="H778" s="39"/>
      <c r="I778" s="40"/>
      <c r="J778" s="41"/>
      <c r="K778" s="38"/>
      <c r="L778" s="42" t="str">
        <f aca="false">IF($B778="","",IF(AND(N($I778)=0,N($J778)=0),"금액이 없습니다",IF(AND($I778&gt;0,$J778&gt;0),"수입·지출 둘 다 적혔습니다",IF($C778="","결제수단을 고르십시오",IF(ISNA(MATCH($C778,'교육원 ③ 통장·카드'!$A$5:$A$11,0)),"③ 통장·카드에 없는 결제수단입니다",IF($D778="","계정과목을 고르십시오",IF($E778="※없는 과목","④ 설정에 없는 과목입니다",IF(AND($E778="수입",$J778&gt;0),"수입 과목인데 지출에 적혔습니다",IF(AND(LEFT($E778,2)&lt;&gt;"수입",$E778&lt;&gt;"대체",$I778&gt;0),"지출 과목인데 수입에 적혔습니다",IF($K778="","증빙을 고르십시오",IF($H778="","적요를 적으십시오","")))))))))))</f>
        <v/>
      </c>
      <c r="M778" s="39"/>
      <c r="O778" s="11" t="str">
        <f aca="false">IF($B778="","",YEAR($B778)*100+MONTH($B778))</f>
        <v/>
      </c>
      <c r="P778" s="11" t="str">
        <f aca="false">IF($B778="","",IF($E778="대체",0,1))</f>
        <v/>
      </c>
    </row>
    <row r="779" customFormat="false" ht="15" hidden="false" customHeight="false" outlineLevel="0" collapsed="false">
      <c r="A779" s="36" t="str">
        <f aca="false">IF($B779="","",COUNT($B$15:$B779))</f>
        <v/>
      </c>
      <c r="B779" s="37"/>
      <c r="C779" s="38"/>
      <c r="D779" s="20"/>
      <c r="E779" s="36" t="str">
        <f aca="false">IF($D779="","",IFERROR(INDEX('교육원 ④ 설정'!$A$6:$A$40,MATCH($D779,'교육원 ④ 설정'!$B$6:$B$40,0)),"※없는 과목"))</f>
        <v/>
      </c>
      <c r="F779" s="36" t="str">
        <f aca="false">IF($D779="","",IFERROR(INDEX('교육원 ④ 설정'!$C$6:$C$40,MATCH($D779,'교육원 ④ 설정'!$B$6:$B$40,0)),""))</f>
        <v/>
      </c>
      <c r="G779" s="39"/>
      <c r="H779" s="39"/>
      <c r="I779" s="40"/>
      <c r="J779" s="41"/>
      <c r="K779" s="38"/>
      <c r="L779" s="42" t="str">
        <f aca="false">IF($B779="","",IF(AND(N($I779)=0,N($J779)=0),"금액이 없습니다",IF(AND($I779&gt;0,$J779&gt;0),"수입·지출 둘 다 적혔습니다",IF($C779="","결제수단을 고르십시오",IF(ISNA(MATCH($C779,'교육원 ③ 통장·카드'!$A$5:$A$11,0)),"③ 통장·카드에 없는 결제수단입니다",IF($D779="","계정과목을 고르십시오",IF($E779="※없는 과목","④ 설정에 없는 과목입니다",IF(AND($E779="수입",$J779&gt;0),"수입 과목인데 지출에 적혔습니다",IF(AND(LEFT($E779,2)&lt;&gt;"수입",$E779&lt;&gt;"대체",$I779&gt;0),"지출 과목인데 수입에 적혔습니다",IF($K779="","증빙을 고르십시오",IF($H779="","적요를 적으십시오","")))))))))))</f>
        <v/>
      </c>
      <c r="M779" s="39"/>
      <c r="O779" s="11" t="str">
        <f aca="false">IF($B779="","",YEAR($B779)*100+MONTH($B779))</f>
        <v/>
      </c>
      <c r="P779" s="11" t="str">
        <f aca="false">IF($B779="","",IF($E779="대체",0,1))</f>
        <v/>
      </c>
    </row>
    <row r="780" customFormat="false" ht="15" hidden="false" customHeight="false" outlineLevel="0" collapsed="false">
      <c r="A780" s="36" t="str">
        <f aca="false">IF($B780="","",COUNT($B$15:$B780))</f>
        <v/>
      </c>
      <c r="B780" s="37"/>
      <c r="C780" s="38"/>
      <c r="D780" s="20"/>
      <c r="E780" s="36" t="str">
        <f aca="false">IF($D780="","",IFERROR(INDEX('교육원 ④ 설정'!$A$6:$A$40,MATCH($D780,'교육원 ④ 설정'!$B$6:$B$40,0)),"※없는 과목"))</f>
        <v/>
      </c>
      <c r="F780" s="36" t="str">
        <f aca="false">IF($D780="","",IFERROR(INDEX('교육원 ④ 설정'!$C$6:$C$40,MATCH($D780,'교육원 ④ 설정'!$B$6:$B$40,0)),""))</f>
        <v/>
      </c>
      <c r="G780" s="39"/>
      <c r="H780" s="39"/>
      <c r="I780" s="40"/>
      <c r="J780" s="41"/>
      <c r="K780" s="38"/>
      <c r="L780" s="42" t="str">
        <f aca="false">IF($B780="","",IF(AND(N($I780)=0,N($J780)=0),"금액이 없습니다",IF(AND($I780&gt;0,$J780&gt;0),"수입·지출 둘 다 적혔습니다",IF($C780="","결제수단을 고르십시오",IF(ISNA(MATCH($C780,'교육원 ③ 통장·카드'!$A$5:$A$11,0)),"③ 통장·카드에 없는 결제수단입니다",IF($D780="","계정과목을 고르십시오",IF($E780="※없는 과목","④ 설정에 없는 과목입니다",IF(AND($E780="수입",$J780&gt;0),"수입 과목인데 지출에 적혔습니다",IF(AND(LEFT($E780,2)&lt;&gt;"수입",$E780&lt;&gt;"대체",$I780&gt;0),"지출 과목인데 수입에 적혔습니다",IF($K780="","증빙을 고르십시오",IF($H780="","적요를 적으십시오","")))))))))))</f>
        <v/>
      </c>
      <c r="M780" s="39"/>
      <c r="O780" s="11" t="str">
        <f aca="false">IF($B780="","",YEAR($B780)*100+MONTH($B780))</f>
        <v/>
      </c>
      <c r="P780" s="11" t="str">
        <f aca="false">IF($B780="","",IF($E780="대체",0,1))</f>
        <v/>
      </c>
    </row>
    <row r="781" customFormat="false" ht="15" hidden="false" customHeight="false" outlineLevel="0" collapsed="false">
      <c r="A781" s="36" t="str">
        <f aca="false">IF($B781="","",COUNT($B$15:$B781))</f>
        <v/>
      </c>
      <c r="B781" s="37"/>
      <c r="C781" s="38"/>
      <c r="D781" s="20"/>
      <c r="E781" s="36" t="str">
        <f aca="false">IF($D781="","",IFERROR(INDEX('교육원 ④ 설정'!$A$6:$A$40,MATCH($D781,'교육원 ④ 설정'!$B$6:$B$40,0)),"※없는 과목"))</f>
        <v/>
      </c>
      <c r="F781" s="36" t="str">
        <f aca="false">IF($D781="","",IFERROR(INDEX('교육원 ④ 설정'!$C$6:$C$40,MATCH($D781,'교육원 ④ 설정'!$B$6:$B$40,0)),""))</f>
        <v/>
      </c>
      <c r="G781" s="39"/>
      <c r="H781" s="39"/>
      <c r="I781" s="40"/>
      <c r="J781" s="41"/>
      <c r="K781" s="38"/>
      <c r="L781" s="42" t="str">
        <f aca="false">IF($B781="","",IF(AND(N($I781)=0,N($J781)=0),"금액이 없습니다",IF(AND($I781&gt;0,$J781&gt;0),"수입·지출 둘 다 적혔습니다",IF($C781="","결제수단을 고르십시오",IF(ISNA(MATCH($C781,'교육원 ③ 통장·카드'!$A$5:$A$11,0)),"③ 통장·카드에 없는 결제수단입니다",IF($D781="","계정과목을 고르십시오",IF($E781="※없는 과목","④ 설정에 없는 과목입니다",IF(AND($E781="수입",$J781&gt;0),"수입 과목인데 지출에 적혔습니다",IF(AND(LEFT($E781,2)&lt;&gt;"수입",$E781&lt;&gt;"대체",$I781&gt;0),"지출 과목인데 수입에 적혔습니다",IF($K781="","증빙을 고르십시오",IF($H781="","적요를 적으십시오","")))))))))))</f>
        <v/>
      </c>
      <c r="M781" s="39"/>
      <c r="O781" s="11" t="str">
        <f aca="false">IF($B781="","",YEAR($B781)*100+MONTH($B781))</f>
        <v/>
      </c>
      <c r="P781" s="11" t="str">
        <f aca="false">IF($B781="","",IF($E781="대체",0,1))</f>
        <v/>
      </c>
    </row>
    <row r="782" customFormat="false" ht="15" hidden="false" customHeight="false" outlineLevel="0" collapsed="false">
      <c r="A782" s="36" t="str">
        <f aca="false">IF($B782="","",COUNT($B$15:$B782))</f>
        <v/>
      </c>
      <c r="B782" s="37"/>
      <c r="C782" s="38"/>
      <c r="D782" s="20"/>
      <c r="E782" s="36" t="str">
        <f aca="false">IF($D782="","",IFERROR(INDEX('교육원 ④ 설정'!$A$6:$A$40,MATCH($D782,'교육원 ④ 설정'!$B$6:$B$40,0)),"※없는 과목"))</f>
        <v/>
      </c>
      <c r="F782" s="36" t="str">
        <f aca="false">IF($D782="","",IFERROR(INDEX('교육원 ④ 설정'!$C$6:$C$40,MATCH($D782,'교육원 ④ 설정'!$B$6:$B$40,0)),""))</f>
        <v/>
      </c>
      <c r="G782" s="39"/>
      <c r="H782" s="39"/>
      <c r="I782" s="40"/>
      <c r="J782" s="41"/>
      <c r="K782" s="38"/>
      <c r="L782" s="42" t="str">
        <f aca="false">IF($B782="","",IF(AND(N($I782)=0,N($J782)=0),"금액이 없습니다",IF(AND($I782&gt;0,$J782&gt;0),"수입·지출 둘 다 적혔습니다",IF($C782="","결제수단을 고르십시오",IF(ISNA(MATCH($C782,'교육원 ③ 통장·카드'!$A$5:$A$11,0)),"③ 통장·카드에 없는 결제수단입니다",IF($D782="","계정과목을 고르십시오",IF($E782="※없는 과목","④ 설정에 없는 과목입니다",IF(AND($E782="수입",$J782&gt;0),"수입 과목인데 지출에 적혔습니다",IF(AND(LEFT($E782,2)&lt;&gt;"수입",$E782&lt;&gt;"대체",$I782&gt;0),"지출 과목인데 수입에 적혔습니다",IF($K782="","증빙을 고르십시오",IF($H782="","적요를 적으십시오","")))))))))))</f>
        <v/>
      </c>
      <c r="M782" s="39"/>
      <c r="O782" s="11" t="str">
        <f aca="false">IF($B782="","",YEAR($B782)*100+MONTH($B782))</f>
        <v/>
      </c>
      <c r="P782" s="11" t="str">
        <f aca="false">IF($B782="","",IF($E782="대체",0,1))</f>
        <v/>
      </c>
    </row>
    <row r="783" customFormat="false" ht="15" hidden="false" customHeight="false" outlineLevel="0" collapsed="false">
      <c r="A783" s="36" t="str">
        <f aca="false">IF($B783="","",COUNT($B$15:$B783))</f>
        <v/>
      </c>
      <c r="B783" s="37"/>
      <c r="C783" s="38"/>
      <c r="D783" s="20"/>
      <c r="E783" s="36" t="str">
        <f aca="false">IF($D783="","",IFERROR(INDEX('교육원 ④ 설정'!$A$6:$A$40,MATCH($D783,'교육원 ④ 설정'!$B$6:$B$40,0)),"※없는 과목"))</f>
        <v/>
      </c>
      <c r="F783" s="36" t="str">
        <f aca="false">IF($D783="","",IFERROR(INDEX('교육원 ④ 설정'!$C$6:$C$40,MATCH($D783,'교육원 ④ 설정'!$B$6:$B$40,0)),""))</f>
        <v/>
      </c>
      <c r="G783" s="39"/>
      <c r="H783" s="39"/>
      <c r="I783" s="40"/>
      <c r="J783" s="41"/>
      <c r="K783" s="38"/>
      <c r="L783" s="42" t="str">
        <f aca="false">IF($B783="","",IF(AND(N($I783)=0,N($J783)=0),"금액이 없습니다",IF(AND($I783&gt;0,$J783&gt;0),"수입·지출 둘 다 적혔습니다",IF($C783="","결제수단을 고르십시오",IF(ISNA(MATCH($C783,'교육원 ③ 통장·카드'!$A$5:$A$11,0)),"③ 통장·카드에 없는 결제수단입니다",IF($D783="","계정과목을 고르십시오",IF($E783="※없는 과목","④ 설정에 없는 과목입니다",IF(AND($E783="수입",$J783&gt;0),"수입 과목인데 지출에 적혔습니다",IF(AND(LEFT($E783,2)&lt;&gt;"수입",$E783&lt;&gt;"대체",$I783&gt;0),"지출 과목인데 수입에 적혔습니다",IF($K783="","증빙을 고르십시오",IF($H783="","적요를 적으십시오","")))))))))))</f>
        <v/>
      </c>
      <c r="M783" s="39"/>
      <c r="O783" s="11" t="str">
        <f aca="false">IF($B783="","",YEAR($B783)*100+MONTH($B783))</f>
        <v/>
      </c>
      <c r="P783" s="11" t="str">
        <f aca="false">IF($B783="","",IF($E783="대체",0,1))</f>
        <v/>
      </c>
    </row>
    <row r="784" customFormat="false" ht="15" hidden="false" customHeight="false" outlineLevel="0" collapsed="false">
      <c r="A784" s="36" t="str">
        <f aca="false">IF($B784="","",COUNT($B$15:$B784))</f>
        <v/>
      </c>
      <c r="B784" s="37"/>
      <c r="C784" s="38"/>
      <c r="D784" s="20"/>
      <c r="E784" s="36" t="str">
        <f aca="false">IF($D784="","",IFERROR(INDEX('교육원 ④ 설정'!$A$6:$A$40,MATCH($D784,'교육원 ④ 설정'!$B$6:$B$40,0)),"※없는 과목"))</f>
        <v/>
      </c>
      <c r="F784" s="36" t="str">
        <f aca="false">IF($D784="","",IFERROR(INDEX('교육원 ④ 설정'!$C$6:$C$40,MATCH($D784,'교육원 ④ 설정'!$B$6:$B$40,0)),""))</f>
        <v/>
      </c>
      <c r="G784" s="39"/>
      <c r="H784" s="39"/>
      <c r="I784" s="40"/>
      <c r="J784" s="41"/>
      <c r="K784" s="38"/>
      <c r="L784" s="42" t="str">
        <f aca="false">IF($B784="","",IF(AND(N($I784)=0,N($J784)=0),"금액이 없습니다",IF(AND($I784&gt;0,$J784&gt;0),"수입·지출 둘 다 적혔습니다",IF($C784="","결제수단을 고르십시오",IF(ISNA(MATCH($C784,'교육원 ③ 통장·카드'!$A$5:$A$11,0)),"③ 통장·카드에 없는 결제수단입니다",IF($D784="","계정과목을 고르십시오",IF($E784="※없는 과목","④ 설정에 없는 과목입니다",IF(AND($E784="수입",$J784&gt;0),"수입 과목인데 지출에 적혔습니다",IF(AND(LEFT($E784,2)&lt;&gt;"수입",$E784&lt;&gt;"대체",$I784&gt;0),"지출 과목인데 수입에 적혔습니다",IF($K784="","증빙을 고르십시오",IF($H784="","적요를 적으십시오","")))))))))))</f>
        <v/>
      </c>
      <c r="M784" s="39"/>
      <c r="O784" s="11" t="str">
        <f aca="false">IF($B784="","",YEAR($B784)*100+MONTH($B784))</f>
        <v/>
      </c>
      <c r="P784" s="11" t="str">
        <f aca="false">IF($B784="","",IF($E784="대체",0,1))</f>
        <v/>
      </c>
    </row>
    <row r="785" customFormat="false" ht="15" hidden="false" customHeight="false" outlineLevel="0" collapsed="false">
      <c r="A785" s="36" t="str">
        <f aca="false">IF($B785="","",COUNT($B$15:$B785))</f>
        <v/>
      </c>
      <c r="B785" s="37"/>
      <c r="C785" s="38"/>
      <c r="D785" s="20"/>
      <c r="E785" s="36" t="str">
        <f aca="false">IF($D785="","",IFERROR(INDEX('교육원 ④ 설정'!$A$6:$A$40,MATCH($D785,'교육원 ④ 설정'!$B$6:$B$40,0)),"※없는 과목"))</f>
        <v/>
      </c>
      <c r="F785" s="36" t="str">
        <f aca="false">IF($D785="","",IFERROR(INDEX('교육원 ④ 설정'!$C$6:$C$40,MATCH($D785,'교육원 ④ 설정'!$B$6:$B$40,0)),""))</f>
        <v/>
      </c>
      <c r="G785" s="39"/>
      <c r="H785" s="39"/>
      <c r="I785" s="40"/>
      <c r="J785" s="41"/>
      <c r="K785" s="38"/>
      <c r="L785" s="42" t="str">
        <f aca="false">IF($B785="","",IF(AND(N($I785)=0,N($J785)=0),"금액이 없습니다",IF(AND($I785&gt;0,$J785&gt;0),"수입·지출 둘 다 적혔습니다",IF($C785="","결제수단을 고르십시오",IF(ISNA(MATCH($C785,'교육원 ③ 통장·카드'!$A$5:$A$11,0)),"③ 통장·카드에 없는 결제수단입니다",IF($D785="","계정과목을 고르십시오",IF($E785="※없는 과목","④ 설정에 없는 과목입니다",IF(AND($E785="수입",$J785&gt;0),"수입 과목인데 지출에 적혔습니다",IF(AND(LEFT($E785,2)&lt;&gt;"수입",$E785&lt;&gt;"대체",$I785&gt;0),"지출 과목인데 수입에 적혔습니다",IF($K785="","증빙을 고르십시오",IF($H785="","적요를 적으십시오","")))))))))))</f>
        <v/>
      </c>
      <c r="M785" s="39"/>
      <c r="O785" s="11" t="str">
        <f aca="false">IF($B785="","",YEAR($B785)*100+MONTH($B785))</f>
        <v/>
      </c>
      <c r="P785" s="11" t="str">
        <f aca="false">IF($B785="","",IF($E785="대체",0,1))</f>
        <v/>
      </c>
    </row>
    <row r="786" customFormat="false" ht="15" hidden="false" customHeight="false" outlineLevel="0" collapsed="false">
      <c r="A786" s="36" t="str">
        <f aca="false">IF($B786="","",COUNT($B$15:$B786))</f>
        <v/>
      </c>
      <c r="B786" s="37"/>
      <c r="C786" s="38"/>
      <c r="D786" s="20"/>
      <c r="E786" s="36" t="str">
        <f aca="false">IF($D786="","",IFERROR(INDEX('교육원 ④ 설정'!$A$6:$A$40,MATCH($D786,'교육원 ④ 설정'!$B$6:$B$40,0)),"※없는 과목"))</f>
        <v/>
      </c>
      <c r="F786" s="36" t="str">
        <f aca="false">IF($D786="","",IFERROR(INDEX('교육원 ④ 설정'!$C$6:$C$40,MATCH($D786,'교육원 ④ 설정'!$B$6:$B$40,0)),""))</f>
        <v/>
      </c>
      <c r="G786" s="39"/>
      <c r="H786" s="39"/>
      <c r="I786" s="40"/>
      <c r="J786" s="41"/>
      <c r="K786" s="38"/>
      <c r="L786" s="42" t="str">
        <f aca="false">IF($B786="","",IF(AND(N($I786)=0,N($J786)=0),"금액이 없습니다",IF(AND($I786&gt;0,$J786&gt;0),"수입·지출 둘 다 적혔습니다",IF($C786="","결제수단을 고르십시오",IF(ISNA(MATCH($C786,'교육원 ③ 통장·카드'!$A$5:$A$11,0)),"③ 통장·카드에 없는 결제수단입니다",IF($D786="","계정과목을 고르십시오",IF($E786="※없는 과목","④ 설정에 없는 과목입니다",IF(AND($E786="수입",$J786&gt;0),"수입 과목인데 지출에 적혔습니다",IF(AND(LEFT($E786,2)&lt;&gt;"수입",$E786&lt;&gt;"대체",$I786&gt;0),"지출 과목인데 수입에 적혔습니다",IF($K786="","증빙을 고르십시오",IF($H786="","적요를 적으십시오","")))))))))))</f>
        <v/>
      </c>
      <c r="M786" s="39"/>
      <c r="O786" s="11" t="str">
        <f aca="false">IF($B786="","",YEAR($B786)*100+MONTH($B786))</f>
        <v/>
      </c>
      <c r="P786" s="11" t="str">
        <f aca="false">IF($B786="","",IF($E786="대체",0,1))</f>
        <v/>
      </c>
    </row>
    <row r="787" customFormat="false" ht="15" hidden="false" customHeight="false" outlineLevel="0" collapsed="false">
      <c r="A787" s="36" t="str">
        <f aca="false">IF($B787="","",COUNT($B$15:$B787))</f>
        <v/>
      </c>
      <c r="B787" s="37"/>
      <c r="C787" s="38"/>
      <c r="D787" s="20"/>
      <c r="E787" s="36" t="str">
        <f aca="false">IF($D787="","",IFERROR(INDEX('교육원 ④ 설정'!$A$6:$A$40,MATCH($D787,'교육원 ④ 설정'!$B$6:$B$40,0)),"※없는 과목"))</f>
        <v/>
      </c>
      <c r="F787" s="36" t="str">
        <f aca="false">IF($D787="","",IFERROR(INDEX('교육원 ④ 설정'!$C$6:$C$40,MATCH($D787,'교육원 ④ 설정'!$B$6:$B$40,0)),""))</f>
        <v/>
      </c>
      <c r="G787" s="39"/>
      <c r="H787" s="39"/>
      <c r="I787" s="40"/>
      <c r="J787" s="41"/>
      <c r="K787" s="38"/>
      <c r="L787" s="42" t="str">
        <f aca="false">IF($B787="","",IF(AND(N($I787)=0,N($J787)=0),"금액이 없습니다",IF(AND($I787&gt;0,$J787&gt;0),"수입·지출 둘 다 적혔습니다",IF($C787="","결제수단을 고르십시오",IF(ISNA(MATCH($C787,'교육원 ③ 통장·카드'!$A$5:$A$11,0)),"③ 통장·카드에 없는 결제수단입니다",IF($D787="","계정과목을 고르십시오",IF($E787="※없는 과목","④ 설정에 없는 과목입니다",IF(AND($E787="수입",$J787&gt;0),"수입 과목인데 지출에 적혔습니다",IF(AND(LEFT($E787,2)&lt;&gt;"수입",$E787&lt;&gt;"대체",$I787&gt;0),"지출 과목인데 수입에 적혔습니다",IF($K787="","증빙을 고르십시오",IF($H787="","적요를 적으십시오","")))))))))))</f>
        <v/>
      </c>
      <c r="M787" s="39"/>
      <c r="O787" s="11" t="str">
        <f aca="false">IF($B787="","",YEAR($B787)*100+MONTH($B787))</f>
        <v/>
      </c>
      <c r="P787" s="11" t="str">
        <f aca="false">IF($B787="","",IF($E787="대체",0,1))</f>
        <v/>
      </c>
    </row>
    <row r="788" customFormat="false" ht="15" hidden="false" customHeight="false" outlineLevel="0" collapsed="false">
      <c r="A788" s="36" t="str">
        <f aca="false">IF($B788="","",COUNT($B$15:$B788))</f>
        <v/>
      </c>
      <c r="B788" s="37"/>
      <c r="C788" s="38"/>
      <c r="D788" s="20"/>
      <c r="E788" s="36" t="str">
        <f aca="false">IF($D788="","",IFERROR(INDEX('교육원 ④ 설정'!$A$6:$A$40,MATCH($D788,'교육원 ④ 설정'!$B$6:$B$40,0)),"※없는 과목"))</f>
        <v/>
      </c>
      <c r="F788" s="36" t="str">
        <f aca="false">IF($D788="","",IFERROR(INDEX('교육원 ④ 설정'!$C$6:$C$40,MATCH($D788,'교육원 ④ 설정'!$B$6:$B$40,0)),""))</f>
        <v/>
      </c>
      <c r="G788" s="39"/>
      <c r="H788" s="39"/>
      <c r="I788" s="40"/>
      <c r="J788" s="41"/>
      <c r="K788" s="38"/>
      <c r="L788" s="42" t="str">
        <f aca="false">IF($B788="","",IF(AND(N($I788)=0,N($J788)=0),"금액이 없습니다",IF(AND($I788&gt;0,$J788&gt;0),"수입·지출 둘 다 적혔습니다",IF($C788="","결제수단을 고르십시오",IF(ISNA(MATCH($C788,'교육원 ③ 통장·카드'!$A$5:$A$11,0)),"③ 통장·카드에 없는 결제수단입니다",IF($D788="","계정과목을 고르십시오",IF($E788="※없는 과목","④ 설정에 없는 과목입니다",IF(AND($E788="수입",$J788&gt;0),"수입 과목인데 지출에 적혔습니다",IF(AND(LEFT($E788,2)&lt;&gt;"수입",$E788&lt;&gt;"대체",$I788&gt;0),"지출 과목인데 수입에 적혔습니다",IF($K788="","증빙을 고르십시오",IF($H788="","적요를 적으십시오","")))))))))))</f>
        <v/>
      </c>
      <c r="M788" s="39"/>
      <c r="O788" s="11" t="str">
        <f aca="false">IF($B788="","",YEAR($B788)*100+MONTH($B788))</f>
        <v/>
      </c>
      <c r="P788" s="11" t="str">
        <f aca="false">IF($B788="","",IF($E788="대체",0,1))</f>
        <v/>
      </c>
    </row>
    <row r="789" customFormat="false" ht="15" hidden="false" customHeight="false" outlineLevel="0" collapsed="false">
      <c r="A789" s="36" t="str">
        <f aca="false">IF($B789="","",COUNT($B$15:$B789))</f>
        <v/>
      </c>
      <c r="B789" s="37"/>
      <c r="C789" s="38"/>
      <c r="D789" s="20"/>
      <c r="E789" s="36" t="str">
        <f aca="false">IF($D789="","",IFERROR(INDEX('교육원 ④ 설정'!$A$6:$A$40,MATCH($D789,'교육원 ④ 설정'!$B$6:$B$40,0)),"※없는 과목"))</f>
        <v/>
      </c>
      <c r="F789" s="36" t="str">
        <f aca="false">IF($D789="","",IFERROR(INDEX('교육원 ④ 설정'!$C$6:$C$40,MATCH($D789,'교육원 ④ 설정'!$B$6:$B$40,0)),""))</f>
        <v/>
      </c>
      <c r="G789" s="39"/>
      <c r="H789" s="39"/>
      <c r="I789" s="40"/>
      <c r="J789" s="41"/>
      <c r="K789" s="38"/>
      <c r="L789" s="42" t="str">
        <f aca="false">IF($B789="","",IF(AND(N($I789)=0,N($J789)=0),"금액이 없습니다",IF(AND($I789&gt;0,$J789&gt;0),"수입·지출 둘 다 적혔습니다",IF($C789="","결제수단을 고르십시오",IF(ISNA(MATCH($C789,'교육원 ③ 통장·카드'!$A$5:$A$11,0)),"③ 통장·카드에 없는 결제수단입니다",IF($D789="","계정과목을 고르십시오",IF($E789="※없는 과목","④ 설정에 없는 과목입니다",IF(AND($E789="수입",$J789&gt;0),"수입 과목인데 지출에 적혔습니다",IF(AND(LEFT($E789,2)&lt;&gt;"수입",$E789&lt;&gt;"대체",$I789&gt;0),"지출 과목인데 수입에 적혔습니다",IF($K789="","증빙을 고르십시오",IF($H789="","적요를 적으십시오","")))))))))))</f>
        <v/>
      </c>
      <c r="M789" s="39"/>
      <c r="O789" s="11" t="str">
        <f aca="false">IF($B789="","",YEAR($B789)*100+MONTH($B789))</f>
        <v/>
      </c>
      <c r="P789" s="11" t="str">
        <f aca="false">IF($B789="","",IF($E789="대체",0,1))</f>
        <v/>
      </c>
    </row>
    <row r="790" customFormat="false" ht="15" hidden="false" customHeight="false" outlineLevel="0" collapsed="false">
      <c r="A790" s="36" t="str">
        <f aca="false">IF($B790="","",COUNT($B$15:$B790))</f>
        <v/>
      </c>
      <c r="B790" s="37"/>
      <c r="C790" s="38"/>
      <c r="D790" s="20"/>
      <c r="E790" s="36" t="str">
        <f aca="false">IF($D790="","",IFERROR(INDEX('교육원 ④ 설정'!$A$6:$A$40,MATCH($D790,'교육원 ④ 설정'!$B$6:$B$40,0)),"※없는 과목"))</f>
        <v/>
      </c>
      <c r="F790" s="36" t="str">
        <f aca="false">IF($D790="","",IFERROR(INDEX('교육원 ④ 설정'!$C$6:$C$40,MATCH($D790,'교육원 ④ 설정'!$B$6:$B$40,0)),""))</f>
        <v/>
      </c>
      <c r="G790" s="39"/>
      <c r="H790" s="39"/>
      <c r="I790" s="40"/>
      <c r="J790" s="41"/>
      <c r="K790" s="38"/>
      <c r="L790" s="42" t="str">
        <f aca="false">IF($B790="","",IF(AND(N($I790)=0,N($J790)=0),"금액이 없습니다",IF(AND($I790&gt;0,$J790&gt;0),"수입·지출 둘 다 적혔습니다",IF($C790="","결제수단을 고르십시오",IF(ISNA(MATCH($C790,'교육원 ③ 통장·카드'!$A$5:$A$11,0)),"③ 통장·카드에 없는 결제수단입니다",IF($D790="","계정과목을 고르십시오",IF($E790="※없는 과목","④ 설정에 없는 과목입니다",IF(AND($E790="수입",$J790&gt;0),"수입 과목인데 지출에 적혔습니다",IF(AND(LEFT($E790,2)&lt;&gt;"수입",$E790&lt;&gt;"대체",$I790&gt;0),"지출 과목인데 수입에 적혔습니다",IF($K790="","증빙을 고르십시오",IF($H790="","적요를 적으십시오","")))))))))))</f>
        <v/>
      </c>
      <c r="M790" s="39"/>
      <c r="O790" s="11" t="str">
        <f aca="false">IF($B790="","",YEAR($B790)*100+MONTH($B790))</f>
        <v/>
      </c>
      <c r="P790" s="11" t="str">
        <f aca="false">IF($B790="","",IF($E790="대체",0,1))</f>
        <v/>
      </c>
    </row>
    <row r="791" customFormat="false" ht="15" hidden="false" customHeight="false" outlineLevel="0" collapsed="false">
      <c r="A791" s="36" t="str">
        <f aca="false">IF($B791="","",COUNT($B$15:$B791))</f>
        <v/>
      </c>
      <c r="B791" s="37"/>
      <c r="C791" s="38"/>
      <c r="D791" s="20"/>
      <c r="E791" s="36" t="str">
        <f aca="false">IF($D791="","",IFERROR(INDEX('교육원 ④ 설정'!$A$6:$A$40,MATCH($D791,'교육원 ④ 설정'!$B$6:$B$40,0)),"※없는 과목"))</f>
        <v/>
      </c>
      <c r="F791" s="36" t="str">
        <f aca="false">IF($D791="","",IFERROR(INDEX('교육원 ④ 설정'!$C$6:$C$40,MATCH($D791,'교육원 ④ 설정'!$B$6:$B$40,0)),""))</f>
        <v/>
      </c>
      <c r="G791" s="39"/>
      <c r="H791" s="39"/>
      <c r="I791" s="40"/>
      <c r="J791" s="41"/>
      <c r="K791" s="38"/>
      <c r="L791" s="42" t="str">
        <f aca="false">IF($B791="","",IF(AND(N($I791)=0,N($J791)=0),"금액이 없습니다",IF(AND($I791&gt;0,$J791&gt;0),"수입·지출 둘 다 적혔습니다",IF($C791="","결제수단을 고르십시오",IF(ISNA(MATCH($C791,'교육원 ③ 통장·카드'!$A$5:$A$11,0)),"③ 통장·카드에 없는 결제수단입니다",IF($D791="","계정과목을 고르십시오",IF($E791="※없는 과목","④ 설정에 없는 과목입니다",IF(AND($E791="수입",$J791&gt;0),"수입 과목인데 지출에 적혔습니다",IF(AND(LEFT($E791,2)&lt;&gt;"수입",$E791&lt;&gt;"대체",$I791&gt;0),"지출 과목인데 수입에 적혔습니다",IF($K791="","증빙을 고르십시오",IF($H791="","적요를 적으십시오","")))))))))))</f>
        <v/>
      </c>
      <c r="M791" s="39"/>
      <c r="O791" s="11" t="str">
        <f aca="false">IF($B791="","",YEAR($B791)*100+MONTH($B791))</f>
        <v/>
      </c>
      <c r="P791" s="11" t="str">
        <f aca="false">IF($B791="","",IF($E791="대체",0,1))</f>
        <v/>
      </c>
    </row>
    <row r="792" customFormat="false" ht="15" hidden="false" customHeight="false" outlineLevel="0" collapsed="false">
      <c r="A792" s="36" t="str">
        <f aca="false">IF($B792="","",COUNT($B$15:$B792))</f>
        <v/>
      </c>
      <c r="B792" s="37"/>
      <c r="C792" s="38"/>
      <c r="D792" s="20"/>
      <c r="E792" s="36" t="str">
        <f aca="false">IF($D792="","",IFERROR(INDEX('교육원 ④ 설정'!$A$6:$A$40,MATCH($D792,'교육원 ④ 설정'!$B$6:$B$40,0)),"※없는 과목"))</f>
        <v/>
      </c>
      <c r="F792" s="36" t="str">
        <f aca="false">IF($D792="","",IFERROR(INDEX('교육원 ④ 설정'!$C$6:$C$40,MATCH($D792,'교육원 ④ 설정'!$B$6:$B$40,0)),""))</f>
        <v/>
      </c>
      <c r="G792" s="39"/>
      <c r="H792" s="39"/>
      <c r="I792" s="40"/>
      <c r="J792" s="41"/>
      <c r="K792" s="38"/>
      <c r="L792" s="42" t="str">
        <f aca="false">IF($B792="","",IF(AND(N($I792)=0,N($J792)=0),"금액이 없습니다",IF(AND($I792&gt;0,$J792&gt;0),"수입·지출 둘 다 적혔습니다",IF($C792="","결제수단을 고르십시오",IF(ISNA(MATCH($C792,'교육원 ③ 통장·카드'!$A$5:$A$11,0)),"③ 통장·카드에 없는 결제수단입니다",IF($D792="","계정과목을 고르십시오",IF($E792="※없는 과목","④ 설정에 없는 과목입니다",IF(AND($E792="수입",$J792&gt;0),"수입 과목인데 지출에 적혔습니다",IF(AND(LEFT($E792,2)&lt;&gt;"수입",$E792&lt;&gt;"대체",$I792&gt;0),"지출 과목인데 수입에 적혔습니다",IF($K792="","증빙을 고르십시오",IF($H792="","적요를 적으십시오","")))))))))))</f>
        <v/>
      </c>
      <c r="M792" s="39"/>
      <c r="O792" s="11" t="str">
        <f aca="false">IF($B792="","",YEAR($B792)*100+MONTH($B792))</f>
        <v/>
      </c>
      <c r="P792" s="11" t="str">
        <f aca="false">IF($B792="","",IF($E792="대체",0,1))</f>
        <v/>
      </c>
    </row>
    <row r="793" customFormat="false" ht="15" hidden="false" customHeight="false" outlineLevel="0" collapsed="false">
      <c r="A793" s="36" t="str">
        <f aca="false">IF($B793="","",COUNT($B$15:$B793))</f>
        <v/>
      </c>
      <c r="B793" s="37"/>
      <c r="C793" s="38"/>
      <c r="D793" s="20"/>
      <c r="E793" s="36" t="str">
        <f aca="false">IF($D793="","",IFERROR(INDEX('교육원 ④ 설정'!$A$6:$A$40,MATCH($D793,'교육원 ④ 설정'!$B$6:$B$40,0)),"※없는 과목"))</f>
        <v/>
      </c>
      <c r="F793" s="36" t="str">
        <f aca="false">IF($D793="","",IFERROR(INDEX('교육원 ④ 설정'!$C$6:$C$40,MATCH($D793,'교육원 ④ 설정'!$B$6:$B$40,0)),""))</f>
        <v/>
      </c>
      <c r="G793" s="39"/>
      <c r="H793" s="39"/>
      <c r="I793" s="40"/>
      <c r="J793" s="41"/>
      <c r="K793" s="38"/>
      <c r="L793" s="42" t="str">
        <f aca="false">IF($B793="","",IF(AND(N($I793)=0,N($J793)=0),"금액이 없습니다",IF(AND($I793&gt;0,$J793&gt;0),"수입·지출 둘 다 적혔습니다",IF($C793="","결제수단을 고르십시오",IF(ISNA(MATCH($C793,'교육원 ③ 통장·카드'!$A$5:$A$11,0)),"③ 통장·카드에 없는 결제수단입니다",IF($D793="","계정과목을 고르십시오",IF($E793="※없는 과목","④ 설정에 없는 과목입니다",IF(AND($E793="수입",$J793&gt;0),"수입 과목인데 지출에 적혔습니다",IF(AND(LEFT($E793,2)&lt;&gt;"수입",$E793&lt;&gt;"대체",$I793&gt;0),"지출 과목인데 수입에 적혔습니다",IF($K793="","증빙을 고르십시오",IF($H793="","적요를 적으십시오","")))))))))))</f>
        <v/>
      </c>
      <c r="M793" s="39"/>
      <c r="O793" s="11" t="str">
        <f aca="false">IF($B793="","",YEAR($B793)*100+MONTH($B793))</f>
        <v/>
      </c>
      <c r="P793" s="11" t="str">
        <f aca="false">IF($B793="","",IF($E793="대체",0,1))</f>
        <v/>
      </c>
    </row>
    <row r="794" customFormat="false" ht="15" hidden="false" customHeight="false" outlineLevel="0" collapsed="false">
      <c r="A794" s="36" t="str">
        <f aca="false">IF($B794="","",COUNT($B$15:$B794))</f>
        <v/>
      </c>
      <c r="B794" s="37"/>
      <c r="C794" s="38"/>
      <c r="D794" s="20"/>
      <c r="E794" s="36" t="str">
        <f aca="false">IF($D794="","",IFERROR(INDEX('교육원 ④ 설정'!$A$6:$A$40,MATCH($D794,'교육원 ④ 설정'!$B$6:$B$40,0)),"※없는 과목"))</f>
        <v/>
      </c>
      <c r="F794" s="36" t="str">
        <f aca="false">IF($D794="","",IFERROR(INDEX('교육원 ④ 설정'!$C$6:$C$40,MATCH($D794,'교육원 ④ 설정'!$B$6:$B$40,0)),""))</f>
        <v/>
      </c>
      <c r="G794" s="39"/>
      <c r="H794" s="39"/>
      <c r="I794" s="40"/>
      <c r="J794" s="41"/>
      <c r="K794" s="38"/>
      <c r="L794" s="42" t="str">
        <f aca="false">IF($B794="","",IF(AND(N($I794)=0,N($J794)=0),"금액이 없습니다",IF(AND($I794&gt;0,$J794&gt;0),"수입·지출 둘 다 적혔습니다",IF($C794="","결제수단을 고르십시오",IF(ISNA(MATCH($C794,'교육원 ③ 통장·카드'!$A$5:$A$11,0)),"③ 통장·카드에 없는 결제수단입니다",IF($D794="","계정과목을 고르십시오",IF($E794="※없는 과목","④ 설정에 없는 과목입니다",IF(AND($E794="수입",$J794&gt;0),"수입 과목인데 지출에 적혔습니다",IF(AND(LEFT($E794,2)&lt;&gt;"수입",$E794&lt;&gt;"대체",$I794&gt;0),"지출 과목인데 수입에 적혔습니다",IF($K794="","증빙을 고르십시오",IF($H794="","적요를 적으십시오","")))))))))))</f>
        <v/>
      </c>
      <c r="M794" s="39"/>
      <c r="O794" s="11" t="str">
        <f aca="false">IF($B794="","",YEAR($B794)*100+MONTH($B794))</f>
        <v/>
      </c>
      <c r="P794" s="11" t="str">
        <f aca="false">IF($B794="","",IF($E794="대체",0,1))</f>
        <v/>
      </c>
    </row>
    <row r="795" customFormat="false" ht="15" hidden="false" customHeight="false" outlineLevel="0" collapsed="false">
      <c r="A795" s="36" t="str">
        <f aca="false">IF($B795="","",COUNT($B$15:$B795))</f>
        <v/>
      </c>
      <c r="B795" s="37"/>
      <c r="C795" s="38"/>
      <c r="D795" s="20"/>
      <c r="E795" s="36" t="str">
        <f aca="false">IF($D795="","",IFERROR(INDEX('교육원 ④ 설정'!$A$6:$A$40,MATCH($D795,'교육원 ④ 설정'!$B$6:$B$40,0)),"※없는 과목"))</f>
        <v/>
      </c>
      <c r="F795" s="36" t="str">
        <f aca="false">IF($D795="","",IFERROR(INDEX('교육원 ④ 설정'!$C$6:$C$40,MATCH($D795,'교육원 ④ 설정'!$B$6:$B$40,0)),""))</f>
        <v/>
      </c>
      <c r="G795" s="39"/>
      <c r="H795" s="39"/>
      <c r="I795" s="40"/>
      <c r="J795" s="41"/>
      <c r="K795" s="38"/>
      <c r="L795" s="42" t="str">
        <f aca="false">IF($B795="","",IF(AND(N($I795)=0,N($J795)=0),"금액이 없습니다",IF(AND($I795&gt;0,$J795&gt;0),"수입·지출 둘 다 적혔습니다",IF($C795="","결제수단을 고르십시오",IF(ISNA(MATCH($C795,'교육원 ③ 통장·카드'!$A$5:$A$11,0)),"③ 통장·카드에 없는 결제수단입니다",IF($D795="","계정과목을 고르십시오",IF($E795="※없는 과목","④ 설정에 없는 과목입니다",IF(AND($E795="수입",$J795&gt;0),"수입 과목인데 지출에 적혔습니다",IF(AND(LEFT($E795,2)&lt;&gt;"수입",$E795&lt;&gt;"대체",$I795&gt;0),"지출 과목인데 수입에 적혔습니다",IF($K795="","증빙을 고르십시오",IF($H795="","적요를 적으십시오","")))))))))))</f>
        <v/>
      </c>
      <c r="M795" s="39"/>
      <c r="O795" s="11" t="str">
        <f aca="false">IF($B795="","",YEAR($B795)*100+MONTH($B795))</f>
        <v/>
      </c>
      <c r="P795" s="11" t="str">
        <f aca="false">IF($B795="","",IF($E795="대체",0,1))</f>
        <v/>
      </c>
    </row>
    <row r="796" customFormat="false" ht="15" hidden="false" customHeight="false" outlineLevel="0" collapsed="false">
      <c r="A796" s="36" t="str">
        <f aca="false">IF($B796="","",COUNT($B$15:$B796))</f>
        <v/>
      </c>
      <c r="B796" s="37"/>
      <c r="C796" s="38"/>
      <c r="D796" s="20"/>
      <c r="E796" s="36" t="str">
        <f aca="false">IF($D796="","",IFERROR(INDEX('교육원 ④ 설정'!$A$6:$A$40,MATCH($D796,'교육원 ④ 설정'!$B$6:$B$40,0)),"※없는 과목"))</f>
        <v/>
      </c>
      <c r="F796" s="36" t="str">
        <f aca="false">IF($D796="","",IFERROR(INDEX('교육원 ④ 설정'!$C$6:$C$40,MATCH($D796,'교육원 ④ 설정'!$B$6:$B$40,0)),""))</f>
        <v/>
      </c>
      <c r="G796" s="39"/>
      <c r="H796" s="39"/>
      <c r="I796" s="40"/>
      <c r="J796" s="41"/>
      <c r="K796" s="38"/>
      <c r="L796" s="42" t="str">
        <f aca="false">IF($B796="","",IF(AND(N($I796)=0,N($J796)=0),"금액이 없습니다",IF(AND($I796&gt;0,$J796&gt;0),"수입·지출 둘 다 적혔습니다",IF($C796="","결제수단을 고르십시오",IF(ISNA(MATCH($C796,'교육원 ③ 통장·카드'!$A$5:$A$11,0)),"③ 통장·카드에 없는 결제수단입니다",IF($D796="","계정과목을 고르십시오",IF($E796="※없는 과목","④ 설정에 없는 과목입니다",IF(AND($E796="수입",$J796&gt;0),"수입 과목인데 지출에 적혔습니다",IF(AND(LEFT($E796,2)&lt;&gt;"수입",$E796&lt;&gt;"대체",$I796&gt;0),"지출 과목인데 수입에 적혔습니다",IF($K796="","증빙을 고르십시오",IF($H796="","적요를 적으십시오","")))))))))))</f>
        <v/>
      </c>
      <c r="M796" s="39"/>
      <c r="O796" s="11" t="str">
        <f aca="false">IF($B796="","",YEAR($B796)*100+MONTH($B796))</f>
        <v/>
      </c>
      <c r="P796" s="11" t="str">
        <f aca="false">IF($B796="","",IF($E796="대체",0,1))</f>
        <v/>
      </c>
    </row>
    <row r="797" customFormat="false" ht="15" hidden="false" customHeight="false" outlineLevel="0" collapsed="false">
      <c r="A797" s="36" t="str">
        <f aca="false">IF($B797="","",COUNT($B$15:$B797))</f>
        <v/>
      </c>
      <c r="B797" s="37"/>
      <c r="C797" s="38"/>
      <c r="D797" s="20"/>
      <c r="E797" s="36" t="str">
        <f aca="false">IF($D797="","",IFERROR(INDEX('교육원 ④ 설정'!$A$6:$A$40,MATCH($D797,'교육원 ④ 설정'!$B$6:$B$40,0)),"※없는 과목"))</f>
        <v/>
      </c>
      <c r="F797" s="36" t="str">
        <f aca="false">IF($D797="","",IFERROR(INDEX('교육원 ④ 설정'!$C$6:$C$40,MATCH($D797,'교육원 ④ 설정'!$B$6:$B$40,0)),""))</f>
        <v/>
      </c>
      <c r="G797" s="39"/>
      <c r="H797" s="39"/>
      <c r="I797" s="40"/>
      <c r="J797" s="41"/>
      <c r="K797" s="38"/>
      <c r="L797" s="42" t="str">
        <f aca="false">IF($B797="","",IF(AND(N($I797)=0,N($J797)=0),"금액이 없습니다",IF(AND($I797&gt;0,$J797&gt;0),"수입·지출 둘 다 적혔습니다",IF($C797="","결제수단을 고르십시오",IF(ISNA(MATCH($C797,'교육원 ③ 통장·카드'!$A$5:$A$11,0)),"③ 통장·카드에 없는 결제수단입니다",IF($D797="","계정과목을 고르십시오",IF($E797="※없는 과목","④ 설정에 없는 과목입니다",IF(AND($E797="수입",$J797&gt;0),"수입 과목인데 지출에 적혔습니다",IF(AND(LEFT($E797,2)&lt;&gt;"수입",$E797&lt;&gt;"대체",$I797&gt;0),"지출 과목인데 수입에 적혔습니다",IF($K797="","증빙을 고르십시오",IF($H797="","적요를 적으십시오","")))))))))))</f>
        <v/>
      </c>
      <c r="M797" s="39"/>
      <c r="O797" s="11" t="str">
        <f aca="false">IF($B797="","",YEAR($B797)*100+MONTH($B797))</f>
        <v/>
      </c>
      <c r="P797" s="11" t="str">
        <f aca="false">IF($B797="","",IF($E797="대체",0,1))</f>
        <v/>
      </c>
    </row>
    <row r="798" customFormat="false" ht="15" hidden="false" customHeight="false" outlineLevel="0" collapsed="false">
      <c r="A798" s="36" t="str">
        <f aca="false">IF($B798="","",COUNT($B$15:$B798))</f>
        <v/>
      </c>
      <c r="B798" s="37"/>
      <c r="C798" s="38"/>
      <c r="D798" s="20"/>
      <c r="E798" s="36" t="str">
        <f aca="false">IF($D798="","",IFERROR(INDEX('교육원 ④ 설정'!$A$6:$A$40,MATCH($D798,'교육원 ④ 설정'!$B$6:$B$40,0)),"※없는 과목"))</f>
        <v/>
      </c>
      <c r="F798" s="36" t="str">
        <f aca="false">IF($D798="","",IFERROR(INDEX('교육원 ④ 설정'!$C$6:$C$40,MATCH($D798,'교육원 ④ 설정'!$B$6:$B$40,0)),""))</f>
        <v/>
      </c>
      <c r="G798" s="39"/>
      <c r="H798" s="39"/>
      <c r="I798" s="40"/>
      <c r="J798" s="41"/>
      <c r="K798" s="38"/>
      <c r="L798" s="42" t="str">
        <f aca="false">IF($B798="","",IF(AND(N($I798)=0,N($J798)=0),"금액이 없습니다",IF(AND($I798&gt;0,$J798&gt;0),"수입·지출 둘 다 적혔습니다",IF($C798="","결제수단을 고르십시오",IF(ISNA(MATCH($C798,'교육원 ③ 통장·카드'!$A$5:$A$11,0)),"③ 통장·카드에 없는 결제수단입니다",IF($D798="","계정과목을 고르십시오",IF($E798="※없는 과목","④ 설정에 없는 과목입니다",IF(AND($E798="수입",$J798&gt;0),"수입 과목인데 지출에 적혔습니다",IF(AND(LEFT($E798,2)&lt;&gt;"수입",$E798&lt;&gt;"대체",$I798&gt;0),"지출 과목인데 수입에 적혔습니다",IF($K798="","증빙을 고르십시오",IF($H798="","적요를 적으십시오","")))))))))))</f>
        <v/>
      </c>
      <c r="M798" s="39"/>
      <c r="O798" s="11" t="str">
        <f aca="false">IF($B798="","",YEAR($B798)*100+MONTH($B798))</f>
        <v/>
      </c>
      <c r="P798" s="11" t="str">
        <f aca="false">IF($B798="","",IF($E798="대체",0,1))</f>
        <v/>
      </c>
    </row>
    <row r="799" customFormat="false" ht="15" hidden="false" customHeight="false" outlineLevel="0" collapsed="false">
      <c r="A799" s="36" t="str">
        <f aca="false">IF($B799="","",COUNT($B$15:$B799))</f>
        <v/>
      </c>
      <c r="B799" s="37"/>
      <c r="C799" s="38"/>
      <c r="D799" s="20"/>
      <c r="E799" s="36" t="str">
        <f aca="false">IF($D799="","",IFERROR(INDEX('교육원 ④ 설정'!$A$6:$A$40,MATCH($D799,'교육원 ④ 설정'!$B$6:$B$40,0)),"※없는 과목"))</f>
        <v/>
      </c>
      <c r="F799" s="36" t="str">
        <f aca="false">IF($D799="","",IFERROR(INDEX('교육원 ④ 설정'!$C$6:$C$40,MATCH($D799,'교육원 ④ 설정'!$B$6:$B$40,0)),""))</f>
        <v/>
      </c>
      <c r="G799" s="39"/>
      <c r="H799" s="39"/>
      <c r="I799" s="40"/>
      <c r="J799" s="41"/>
      <c r="K799" s="38"/>
      <c r="L799" s="42" t="str">
        <f aca="false">IF($B799="","",IF(AND(N($I799)=0,N($J799)=0),"금액이 없습니다",IF(AND($I799&gt;0,$J799&gt;0),"수입·지출 둘 다 적혔습니다",IF($C799="","결제수단을 고르십시오",IF(ISNA(MATCH($C799,'교육원 ③ 통장·카드'!$A$5:$A$11,0)),"③ 통장·카드에 없는 결제수단입니다",IF($D799="","계정과목을 고르십시오",IF($E799="※없는 과목","④ 설정에 없는 과목입니다",IF(AND($E799="수입",$J799&gt;0),"수입 과목인데 지출에 적혔습니다",IF(AND(LEFT($E799,2)&lt;&gt;"수입",$E799&lt;&gt;"대체",$I799&gt;0),"지출 과목인데 수입에 적혔습니다",IF($K799="","증빙을 고르십시오",IF($H799="","적요를 적으십시오","")))))))))))</f>
        <v/>
      </c>
      <c r="M799" s="39"/>
      <c r="O799" s="11" t="str">
        <f aca="false">IF($B799="","",YEAR($B799)*100+MONTH($B799))</f>
        <v/>
      </c>
      <c r="P799" s="11" t="str">
        <f aca="false">IF($B799="","",IF($E799="대체",0,1))</f>
        <v/>
      </c>
    </row>
    <row r="800" customFormat="false" ht="15" hidden="false" customHeight="false" outlineLevel="0" collapsed="false">
      <c r="A800" s="36" t="str">
        <f aca="false">IF($B800="","",COUNT($B$15:$B800))</f>
        <v/>
      </c>
      <c r="B800" s="37"/>
      <c r="C800" s="38"/>
      <c r="D800" s="20"/>
      <c r="E800" s="36" t="str">
        <f aca="false">IF($D800="","",IFERROR(INDEX('교육원 ④ 설정'!$A$6:$A$40,MATCH($D800,'교육원 ④ 설정'!$B$6:$B$40,0)),"※없는 과목"))</f>
        <v/>
      </c>
      <c r="F800" s="36" t="str">
        <f aca="false">IF($D800="","",IFERROR(INDEX('교육원 ④ 설정'!$C$6:$C$40,MATCH($D800,'교육원 ④ 설정'!$B$6:$B$40,0)),""))</f>
        <v/>
      </c>
      <c r="G800" s="39"/>
      <c r="H800" s="39"/>
      <c r="I800" s="40"/>
      <c r="J800" s="41"/>
      <c r="K800" s="38"/>
      <c r="L800" s="42" t="str">
        <f aca="false">IF($B800="","",IF(AND(N($I800)=0,N($J800)=0),"금액이 없습니다",IF(AND($I800&gt;0,$J800&gt;0),"수입·지출 둘 다 적혔습니다",IF($C800="","결제수단을 고르십시오",IF(ISNA(MATCH($C800,'교육원 ③ 통장·카드'!$A$5:$A$11,0)),"③ 통장·카드에 없는 결제수단입니다",IF($D800="","계정과목을 고르십시오",IF($E800="※없는 과목","④ 설정에 없는 과목입니다",IF(AND($E800="수입",$J800&gt;0),"수입 과목인데 지출에 적혔습니다",IF(AND(LEFT($E800,2)&lt;&gt;"수입",$E800&lt;&gt;"대체",$I800&gt;0),"지출 과목인데 수입에 적혔습니다",IF($K800="","증빙을 고르십시오",IF($H800="","적요를 적으십시오","")))))))))))</f>
        <v/>
      </c>
      <c r="M800" s="39"/>
      <c r="O800" s="11" t="str">
        <f aca="false">IF($B800="","",YEAR($B800)*100+MONTH($B800))</f>
        <v/>
      </c>
      <c r="P800" s="11" t="str">
        <f aca="false">IF($B800="","",IF($E800="대체",0,1))</f>
        <v/>
      </c>
    </row>
    <row r="801" customFormat="false" ht="15" hidden="false" customHeight="false" outlineLevel="0" collapsed="false">
      <c r="A801" s="36" t="str">
        <f aca="false">IF($B801="","",COUNT($B$15:$B801))</f>
        <v/>
      </c>
      <c r="B801" s="37"/>
      <c r="C801" s="38"/>
      <c r="D801" s="20"/>
      <c r="E801" s="36" t="str">
        <f aca="false">IF($D801="","",IFERROR(INDEX('교육원 ④ 설정'!$A$6:$A$40,MATCH($D801,'교육원 ④ 설정'!$B$6:$B$40,0)),"※없는 과목"))</f>
        <v/>
      </c>
      <c r="F801" s="36" t="str">
        <f aca="false">IF($D801="","",IFERROR(INDEX('교육원 ④ 설정'!$C$6:$C$40,MATCH($D801,'교육원 ④ 설정'!$B$6:$B$40,0)),""))</f>
        <v/>
      </c>
      <c r="G801" s="39"/>
      <c r="H801" s="39"/>
      <c r="I801" s="40"/>
      <c r="J801" s="41"/>
      <c r="K801" s="38"/>
      <c r="L801" s="42" t="str">
        <f aca="false">IF($B801="","",IF(AND(N($I801)=0,N($J801)=0),"금액이 없습니다",IF(AND($I801&gt;0,$J801&gt;0),"수입·지출 둘 다 적혔습니다",IF($C801="","결제수단을 고르십시오",IF(ISNA(MATCH($C801,'교육원 ③ 통장·카드'!$A$5:$A$11,0)),"③ 통장·카드에 없는 결제수단입니다",IF($D801="","계정과목을 고르십시오",IF($E801="※없는 과목","④ 설정에 없는 과목입니다",IF(AND($E801="수입",$J801&gt;0),"수입 과목인데 지출에 적혔습니다",IF(AND(LEFT($E801,2)&lt;&gt;"수입",$E801&lt;&gt;"대체",$I801&gt;0),"지출 과목인데 수입에 적혔습니다",IF($K801="","증빙을 고르십시오",IF($H801="","적요를 적으십시오","")))))))))))</f>
        <v/>
      </c>
      <c r="M801" s="39"/>
      <c r="O801" s="11" t="str">
        <f aca="false">IF($B801="","",YEAR($B801)*100+MONTH($B801))</f>
        <v/>
      </c>
      <c r="P801" s="11" t="str">
        <f aca="false">IF($B801="","",IF($E801="대체",0,1))</f>
        <v/>
      </c>
    </row>
    <row r="802" customFormat="false" ht="15" hidden="false" customHeight="false" outlineLevel="0" collapsed="false">
      <c r="A802" s="36" t="str">
        <f aca="false">IF($B802="","",COUNT($B$15:$B802))</f>
        <v/>
      </c>
      <c r="B802" s="37"/>
      <c r="C802" s="38"/>
      <c r="D802" s="20"/>
      <c r="E802" s="36" t="str">
        <f aca="false">IF($D802="","",IFERROR(INDEX('교육원 ④ 설정'!$A$6:$A$40,MATCH($D802,'교육원 ④ 설정'!$B$6:$B$40,0)),"※없는 과목"))</f>
        <v/>
      </c>
      <c r="F802" s="36" t="str">
        <f aca="false">IF($D802="","",IFERROR(INDEX('교육원 ④ 설정'!$C$6:$C$40,MATCH($D802,'교육원 ④ 설정'!$B$6:$B$40,0)),""))</f>
        <v/>
      </c>
      <c r="G802" s="39"/>
      <c r="H802" s="39"/>
      <c r="I802" s="40"/>
      <c r="J802" s="41"/>
      <c r="K802" s="38"/>
      <c r="L802" s="42" t="str">
        <f aca="false">IF($B802="","",IF(AND(N($I802)=0,N($J802)=0),"금액이 없습니다",IF(AND($I802&gt;0,$J802&gt;0),"수입·지출 둘 다 적혔습니다",IF($C802="","결제수단을 고르십시오",IF(ISNA(MATCH($C802,'교육원 ③ 통장·카드'!$A$5:$A$11,0)),"③ 통장·카드에 없는 결제수단입니다",IF($D802="","계정과목을 고르십시오",IF($E802="※없는 과목","④ 설정에 없는 과목입니다",IF(AND($E802="수입",$J802&gt;0),"수입 과목인데 지출에 적혔습니다",IF(AND(LEFT($E802,2)&lt;&gt;"수입",$E802&lt;&gt;"대체",$I802&gt;0),"지출 과목인데 수입에 적혔습니다",IF($K802="","증빙을 고르십시오",IF($H802="","적요를 적으십시오","")))))))))))</f>
        <v/>
      </c>
      <c r="M802" s="39"/>
      <c r="O802" s="11" t="str">
        <f aca="false">IF($B802="","",YEAR($B802)*100+MONTH($B802))</f>
        <v/>
      </c>
      <c r="P802" s="11" t="str">
        <f aca="false">IF($B802="","",IF($E802="대체",0,1))</f>
        <v/>
      </c>
    </row>
    <row r="803" customFormat="false" ht="15" hidden="false" customHeight="false" outlineLevel="0" collapsed="false">
      <c r="A803" s="36" t="str">
        <f aca="false">IF($B803="","",COUNT($B$15:$B803))</f>
        <v/>
      </c>
      <c r="B803" s="37"/>
      <c r="C803" s="38"/>
      <c r="D803" s="20"/>
      <c r="E803" s="36" t="str">
        <f aca="false">IF($D803="","",IFERROR(INDEX('교육원 ④ 설정'!$A$6:$A$40,MATCH($D803,'교육원 ④ 설정'!$B$6:$B$40,0)),"※없는 과목"))</f>
        <v/>
      </c>
      <c r="F803" s="36" t="str">
        <f aca="false">IF($D803="","",IFERROR(INDEX('교육원 ④ 설정'!$C$6:$C$40,MATCH($D803,'교육원 ④ 설정'!$B$6:$B$40,0)),""))</f>
        <v/>
      </c>
      <c r="G803" s="39"/>
      <c r="H803" s="39"/>
      <c r="I803" s="40"/>
      <c r="J803" s="41"/>
      <c r="K803" s="38"/>
      <c r="L803" s="42" t="str">
        <f aca="false">IF($B803="","",IF(AND(N($I803)=0,N($J803)=0),"금액이 없습니다",IF(AND($I803&gt;0,$J803&gt;0),"수입·지출 둘 다 적혔습니다",IF($C803="","결제수단을 고르십시오",IF(ISNA(MATCH($C803,'교육원 ③ 통장·카드'!$A$5:$A$11,0)),"③ 통장·카드에 없는 결제수단입니다",IF($D803="","계정과목을 고르십시오",IF($E803="※없는 과목","④ 설정에 없는 과목입니다",IF(AND($E803="수입",$J803&gt;0),"수입 과목인데 지출에 적혔습니다",IF(AND(LEFT($E803,2)&lt;&gt;"수입",$E803&lt;&gt;"대체",$I803&gt;0),"지출 과목인데 수입에 적혔습니다",IF($K803="","증빙을 고르십시오",IF($H803="","적요를 적으십시오","")))))))))))</f>
        <v/>
      </c>
      <c r="M803" s="39"/>
      <c r="O803" s="11" t="str">
        <f aca="false">IF($B803="","",YEAR($B803)*100+MONTH($B803))</f>
        <v/>
      </c>
      <c r="P803" s="11" t="str">
        <f aca="false">IF($B803="","",IF($E803="대체",0,1))</f>
        <v/>
      </c>
    </row>
    <row r="804" customFormat="false" ht="15" hidden="false" customHeight="false" outlineLevel="0" collapsed="false">
      <c r="A804" s="36" t="str">
        <f aca="false">IF($B804="","",COUNT($B$15:$B804))</f>
        <v/>
      </c>
      <c r="B804" s="37"/>
      <c r="C804" s="38"/>
      <c r="D804" s="20"/>
      <c r="E804" s="36" t="str">
        <f aca="false">IF($D804="","",IFERROR(INDEX('교육원 ④ 설정'!$A$6:$A$40,MATCH($D804,'교육원 ④ 설정'!$B$6:$B$40,0)),"※없는 과목"))</f>
        <v/>
      </c>
      <c r="F804" s="36" t="str">
        <f aca="false">IF($D804="","",IFERROR(INDEX('교육원 ④ 설정'!$C$6:$C$40,MATCH($D804,'교육원 ④ 설정'!$B$6:$B$40,0)),""))</f>
        <v/>
      </c>
      <c r="G804" s="39"/>
      <c r="H804" s="39"/>
      <c r="I804" s="40"/>
      <c r="J804" s="41"/>
      <c r="K804" s="38"/>
      <c r="L804" s="42" t="str">
        <f aca="false">IF($B804="","",IF(AND(N($I804)=0,N($J804)=0),"금액이 없습니다",IF(AND($I804&gt;0,$J804&gt;0),"수입·지출 둘 다 적혔습니다",IF($C804="","결제수단을 고르십시오",IF(ISNA(MATCH($C804,'교육원 ③ 통장·카드'!$A$5:$A$11,0)),"③ 통장·카드에 없는 결제수단입니다",IF($D804="","계정과목을 고르십시오",IF($E804="※없는 과목","④ 설정에 없는 과목입니다",IF(AND($E804="수입",$J804&gt;0),"수입 과목인데 지출에 적혔습니다",IF(AND(LEFT($E804,2)&lt;&gt;"수입",$E804&lt;&gt;"대체",$I804&gt;0),"지출 과목인데 수입에 적혔습니다",IF($K804="","증빙을 고르십시오",IF($H804="","적요를 적으십시오","")))))))))))</f>
        <v/>
      </c>
      <c r="M804" s="39"/>
      <c r="O804" s="11" t="str">
        <f aca="false">IF($B804="","",YEAR($B804)*100+MONTH($B804))</f>
        <v/>
      </c>
      <c r="P804" s="11" t="str">
        <f aca="false">IF($B804="","",IF($E804="대체",0,1))</f>
        <v/>
      </c>
    </row>
    <row r="805" customFormat="false" ht="15" hidden="false" customHeight="false" outlineLevel="0" collapsed="false">
      <c r="A805" s="36" t="str">
        <f aca="false">IF($B805="","",COUNT($B$15:$B805))</f>
        <v/>
      </c>
      <c r="B805" s="37"/>
      <c r="C805" s="38"/>
      <c r="D805" s="20"/>
      <c r="E805" s="36" t="str">
        <f aca="false">IF($D805="","",IFERROR(INDEX('교육원 ④ 설정'!$A$6:$A$40,MATCH($D805,'교육원 ④ 설정'!$B$6:$B$40,0)),"※없는 과목"))</f>
        <v/>
      </c>
      <c r="F805" s="36" t="str">
        <f aca="false">IF($D805="","",IFERROR(INDEX('교육원 ④ 설정'!$C$6:$C$40,MATCH($D805,'교육원 ④ 설정'!$B$6:$B$40,0)),""))</f>
        <v/>
      </c>
      <c r="G805" s="39"/>
      <c r="H805" s="39"/>
      <c r="I805" s="40"/>
      <c r="J805" s="41"/>
      <c r="K805" s="38"/>
      <c r="L805" s="42" t="str">
        <f aca="false">IF($B805="","",IF(AND(N($I805)=0,N($J805)=0),"금액이 없습니다",IF(AND($I805&gt;0,$J805&gt;0),"수입·지출 둘 다 적혔습니다",IF($C805="","결제수단을 고르십시오",IF(ISNA(MATCH($C805,'교육원 ③ 통장·카드'!$A$5:$A$11,0)),"③ 통장·카드에 없는 결제수단입니다",IF($D805="","계정과목을 고르십시오",IF($E805="※없는 과목","④ 설정에 없는 과목입니다",IF(AND($E805="수입",$J805&gt;0),"수입 과목인데 지출에 적혔습니다",IF(AND(LEFT($E805,2)&lt;&gt;"수입",$E805&lt;&gt;"대체",$I805&gt;0),"지출 과목인데 수입에 적혔습니다",IF($K805="","증빙을 고르십시오",IF($H805="","적요를 적으십시오","")))))))))))</f>
        <v/>
      </c>
      <c r="M805" s="39"/>
      <c r="O805" s="11" t="str">
        <f aca="false">IF($B805="","",YEAR($B805)*100+MONTH($B805))</f>
        <v/>
      </c>
      <c r="P805" s="11" t="str">
        <f aca="false">IF($B805="","",IF($E805="대체",0,1))</f>
        <v/>
      </c>
    </row>
    <row r="806" customFormat="false" ht="15" hidden="false" customHeight="false" outlineLevel="0" collapsed="false">
      <c r="A806" s="36" t="str">
        <f aca="false">IF($B806="","",COUNT($B$15:$B806))</f>
        <v/>
      </c>
      <c r="B806" s="37"/>
      <c r="C806" s="38"/>
      <c r="D806" s="20"/>
      <c r="E806" s="36" t="str">
        <f aca="false">IF($D806="","",IFERROR(INDEX('교육원 ④ 설정'!$A$6:$A$40,MATCH($D806,'교육원 ④ 설정'!$B$6:$B$40,0)),"※없는 과목"))</f>
        <v/>
      </c>
      <c r="F806" s="36" t="str">
        <f aca="false">IF($D806="","",IFERROR(INDEX('교육원 ④ 설정'!$C$6:$C$40,MATCH($D806,'교육원 ④ 설정'!$B$6:$B$40,0)),""))</f>
        <v/>
      </c>
      <c r="G806" s="39"/>
      <c r="H806" s="39"/>
      <c r="I806" s="40"/>
      <c r="J806" s="41"/>
      <c r="K806" s="38"/>
      <c r="L806" s="42" t="str">
        <f aca="false">IF($B806="","",IF(AND(N($I806)=0,N($J806)=0),"금액이 없습니다",IF(AND($I806&gt;0,$J806&gt;0),"수입·지출 둘 다 적혔습니다",IF($C806="","결제수단을 고르십시오",IF(ISNA(MATCH($C806,'교육원 ③ 통장·카드'!$A$5:$A$11,0)),"③ 통장·카드에 없는 결제수단입니다",IF($D806="","계정과목을 고르십시오",IF($E806="※없는 과목","④ 설정에 없는 과목입니다",IF(AND($E806="수입",$J806&gt;0),"수입 과목인데 지출에 적혔습니다",IF(AND(LEFT($E806,2)&lt;&gt;"수입",$E806&lt;&gt;"대체",$I806&gt;0),"지출 과목인데 수입에 적혔습니다",IF($K806="","증빙을 고르십시오",IF($H806="","적요를 적으십시오","")))))))))))</f>
        <v/>
      </c>
      <c r="M806" s="39"/>
      <c r="O806" s="11" t="str">
        <f aca="false">IF($B806="","",YEAR($B806)*100+MONTH($B806))</f>
        <v/>
      </c>
      <c r="P806" s="11" t="str">
        <f aca="false">IF($B806="","",IF($E806="대체",0,1))</f>
        <v/>
      </c>
    </row>
    <row r="807" customFormat="false" ht="15" hidden="false" customHeight="false" outlineLevel="0" collapsed="false">
      <c r="A807" s="36" t="str">
        <f aca="false">IF($B807="","",COUNT($B$15:$B807))</f>
        <v/>
      </c>
      <c r="B807" s="37"/>
      <c r="C807" s="38"/>
      <c r="D807" s="20"/>
      <c r="E807" s="36" t="str">
        <f aca="false">IF($D807="","",IFERROR(INDEX('교육원 ④ 설정'!$A$6:$A$40,MATCH($D807,'교육원 ④ 설정'!$B$6:$B$40,0)),"※없는 과목"))</f>
        <v/>
      </c>
      <c r="F807" s="36" t="str">
        <f aca="false">IF($D807="","",IFERROR(INDEX('교육원 ④ 설정'!$C$6:$C$40,MATCH($D807,'교육원 ④ 설정'!$B$6:$B$40,0)),""))</f>
        <v/>
      </c>
      <c r="G807" s="39"/>
      <c r="H807" s="39"/>
      <c r="I807" s="40"/>
      <c r="J807" s="41"/>
      <c r="K807" s="38"/>
      <c r="L807" s="42" t="str">
        <f aca="false">IF($B807="","",IF(AND(N($I807)=0,N($J807)=0),"금액이 없습니다",IF(AND($I807&gt;0,$J807&gt;0),"수입·지출 둘 다 적혔습니다",IF($C807="","결제수단을 고르십시오",IF(ISNA(MATCH($C807,'교육원 ③ 통장·카드'!$A$5:$A$11,0)),"③ 통장·카드에 없는 결제수단입니다",IF($D807="","계정과목을 고르십시오",IF($E807="※없는 과목","④ 설정에 없는 과목입니다",IF(AND($E807="수입",$J807&gt;0),"수입 과목인데 지출에 적혔습니다",IF(AND(LEFT($E807,2)&lt;&gt;"수입",$E807&lt;&gt;"대체",$I807&gt;0),"지출 과목인데 수입에 적혔습니다",IF($K807="","증빙을 고르십시오",IF($H807="","적요를 적으십시오","")))))))))))</f>
        <v/>
      </c>
      <c r="M807" s="39"/>
      <c r="O807" s="11" t="str">
        <f aca="false">IF($B807="","",YEAR($B807)*100+MONTH($B807))</f>
        <v/>
      </c>
      <c r="P807" s="11" t="str">
        <f aca="false">IF($B807="","",IF($E807="대체",0,1))</f>
        <v/>
      </c>
    </row>
    <row r="808" customFormat="false" ht="15" hidden="false" customHeight="false" outlineLevel="0" collapsed="false">
      <c r="A808" s="36" t="str">
        <f aca="false">IF($B808="","",COUNT($B$15:$B808))</f>
        <v/>
      </c>
      <c r="B808" s="37"/>
      <c r="C808" s="38"/>
      <c r="D808" s="20"/>
      <c r="E808" s="36" t="str">
        <f aca="false">IF($D808="","",IFERROR(INDEX('교육원 ④ 설정'!$A$6:$A$40,MATCH($D808,'교육원 ④ 설정'!$B$6:$B$40,0)),"※없는 과목"))</f>
        <v/>
      </c>
      <c r="F808" s="36" t="str">
        <f aca="false">IF($D808="","",IFERROR(INDEX('교육원 ④ 설정'!$C$6:$C$40,MATCH($D808,'교육원 ④ 설정'!$B$6:$B$40,0)),""))</f>
        <v/>
      </c>
      <c r="G808" s="39"/>
      <c r="H808" s="39"/>
      <c r="I808" s="40"/>
      <c r="J808" s="41"/>
      <c r="K808" s="38"/>
      <c r="L808" s="42" t="str">
        <f aca="false">IF($B808="","",IF(AND(N($I808)=0,N($J808)=0),"금액이 없습니다",IF(AND($I808&gt;0,$J808&gt;0),"수입·지출 둘 다 적혔습니다",IF($C808="","결제수단을 고르십시오",IF(ISNA(MATCH($C808,'교육원 ③ 통장·카드'!$A$5:$A$11,0)),"③ 통장·카드에 없는 결제수단입니다",IF($D808="","계정과목을 고르십시오",IF($E808="※없는 과목","④ 설정에 없는 과목입니다",IF(AND($E808="수입",$J808&gt;0),"수입 과목인데 지출에 적혔습니다",IF(AND(LEFT($E808,2)&lt;&gt;"수입",$E808&lt;&gt;"대체",$I808&gt;0),"지출 과목인데 수입에 적혔습니다",IF($K808="","증빙을 고르십시오",IF($H808="","적요를 적으십시오","")))))))))))</f>
        <v/>
      </c>
      <c r="M808" s="39"/>
      <c r="O808" s="11" t="str">
        <f aca="false">IF($B808="","",YEAR($B808)*100+MONTH($B808))</f>
        <v/>
      </c>
      <c r="P808" s="11" t="str">
        <f aca="false">IF($B808="","",IF($E808="대체",0,1))</f>
        <v/>
      </c>
    </row>
    <row r="809" customFormat="false" ht="15" hidden="false" customHeight="false" outlineLevel="0" collapsed="false">
      <c r="A809" s="36" t="str">
        <f aca="false">IF($B809="","",COUNT($B$15:$B809))</f>
        <v/>
      </c>
      <c r="B809" s="37"/>
      <c r="C809" s="38"/>
      <c r="D809" s="20"/>
      <c r="E809" s="36" t="str">
        <f aca="false">IF($D809="","",IFERROR(INDEX('교육원 ④ 설정'!$A$6:$A$40,MATCH($D809,'교육원 ④ 설정'!$B$6:$B$40,0)),"※없는 과목"))</f>
        <v/>
      </c>
      <c r="F809" s="36" t="str">
        <f aca="false">IF($D809="","",IFERROR(INDEX('교육원 ④ 설정'!$C$6:$C$40,MATCH($D809,'교육원 ④ 설정'!$B$6:$B$40,0)),""))</f>
        <v/>
      </c>
      <c r="G809" s="39"/>
      <c r="H809" s="39"/>
      <c r="I809" s="40"/>
      <c r="J809" s="41"/>
      <c r="K809" s="38"/>
      <c r="L809" s="42" t="str">
        <f aca="false">IF($B809="","",IF(AND(N($I809)=0,N($J809)=0),"금액이 없습니다",IF(AND($I809&gt;0,$J809&gt;0),"수입·지출 둘 다 적혔습니다",IF($C809="","결제수단을 고르십시오",IF(ISNA(MATCH($C809,'교육원 ③ 통장·카드'!$A$5:$A$11,0)),"③ 통장·카드에 없는 결제수단입니다",IF($D809="","계정과목을 고르십시오",IF($E809="※없는 과목","④ 설정에 없는 과목입니다",IF(AND($E809="수입",$J809&gt;0),"수입 과목인데 지출에 적혔습니다",IF(AND(LEFT($E809,2)&lt;&gt;"수입",$E809&lt;&gt;"대체",$I809&gt;0),"지출 과목인데 수입에 적혔습니다",IF($K809="","증빙을 고르십시오",IF($H809="","적요를 적으십시오","")))))))))))</f>
        <v/>
      </c>
      <c r="M809" s="39"/>
      <c r="O809" s="11" t="str">
        <f aca="false">IF($B809="","",YEAR($B809)*100+MONTH($B809))</f>
        <v/>
      </c>
      <c r="P809" s="11" t="str">
        <f aca="false">IF($B809="","",IF($E809="대체",0,1))</f>
        <v/>
      </c>
    </row>
    <row r="810" customFormat="false" ht="15" hidden="false" customHeight="false" outlineLevel="0" collapsed="false">
      <c r="A810" s="36" t="str">
        <f aca="false">IF($B810="","",COUNT($B$15:$B810))</f>
        <v/>
      </c>
      <c r="B810" s="37"/>
      <c r="C810" s="38"/>
      <c r="D810" s="20"/>
      <c r="E810" s="36" t="str">
        <f aca="false">IF($D810="","",IFERROR(INDEX('교육원 ④ 설정'!$A$6:$A$40,MATCH($D810,'교육원 ④ 설정'!$B$6:$B$40,0)),"※없는 과목"))</f>
        <v/>
      </c>
      <c r="F810" s="36" t="str">
        <f aca="false">IF($D810="","",IFERROR(INDEX('교육원 ④ 설정'!$C$6:$C$40,MATCH($D810,'교육원 ④ 설정'!$B$6:$B$40,0)),""))</f>
        <v/>
      </c>
      <c r="G810" s="39"/>
      <c r="H810" s="39"/>
      <c r="I810" s="40"/>
      <c r="J810" s="41"/>
      <c r="K810" s="38"/>
      <c r="L810" s="42" t="str">
        <f aca="false">IF($B810="","",IF(AND(N($I810)=0,N($J810)=0),"금액이 없습니다",IF(AND($I810&gt;0,$J810&gt;0),"수입·지출 둘 다 적혔습니다",IF($C810="","결제수단을 고르십시오",IF(ISNA(MATCH($C810,'교육원 ③ 통장·카드'!$A$5:$A$11,0)),"③ 통장·카드에 없는 결제수단입니다",IF($D810="","계정과목을 고르십시오",IF($E810="※없는 과목","④ 설정에 없는 과목입니다",IF(AND($E810="수입",$J810&gt;0),"수입 과목인데 지출에 적혔습니다",IF(AND(LEFT($E810,2)&lt;&gt;"수입",$E810&lt;&gt;"대체",$I810&gt;0),"지출 과목인데 수입에 적혔습니다",IF($K810="","증빙을 고르십시오",IF($H810="","적요를 적으십시오","")))))))))))</f>
        <v/>
      </c>
      <c r="M810" s="39"/>
      <c r="O810" s="11" t="str">
        <f aca="false">IF($B810="","",YEAR($B810)*100+MONTH($B810))</f>
        <v/>
      </c>
      <c r="P810" s="11" t="str">
        <f aca="false">IF($B810="","",IF($E810="대체",0,1))</f>
        <v/>
      </c>
    </row>
    <row r="811" customFormat="false" ht="15" hidden="false" customHeight="false" outlineLevel="0" collapsed="false">
      <c r="A811" s="36" t="str">
        <f aca="false">IF($B811="","",COUNT($B$15:$B811))</f>
        <v/>
      </c>
      <c r="B811" s="37"/>
      <c r="C811" s="38"/>
      <c r="D811" s="20"/>
      <c r="E811" s="36" t="str">
        <f aca="false">IF($D811="","",IFERROR(INDEX('교육원 ④ 설정'!$A$6:$A$40,MATCH($D811,'교육원 ④ 설정'!$B$6:$B$40,0)),"※없는 과목"))</f>
        <v/>
      </c>
      <c r="F811" s="36" t="str">
        <f aca="false">IF($D811="","",IFERROR(INDEX('교육원 ④ 설정'!$C$6:$C$40,MATCH($D811,'교육원 ④ 설정'!$B$6:$B$40,0)),""))</f>
        <v/>
      </c>
      <c r="G811" s="39"/>
      <c r="H811" s="39"/>
      <c r="I811" s="40"/>
      <c r="J811" s="41"/>
      <c r="K811" s="38"/>
      <c r="L811" s="42" t="str">
        <f aca="false">IF($B811="","",IF(AND(N($I811)=0,N($J811)=0),"금액이 없습니다",IF(AND($I811&gt;0,$J811&gt;0),"수입·지출 둘 다 적혔습니다",IF($C811="","결제수단을 고르십시오",IF(ISNA(MATCH($C811,'교육원 ③ 통장·카드'!$A$5:$A$11,0)),"③ 통장·카드에 없는 결제수단입니다",IF($D811="","계정과목을 고르십시오",IF($E811="※없는 과목","④ 설정에 없는 과목입니다",IF(AND($E811="수입",$J811&gt;0),"수입 과목인데 지출에 적혔습니다",IF(AND(LEFT($E811,2)&lt;&gt;"수입",$E811&lt;&gt;"대체",$I811&gt;0),"지출 과목인데 수입에 적혔습니다",IF($K811="","증빙을 고르십시오",IF($H811="","적요를 적으십시오","")))))))))))</f>
        <v/>
      </c>
      <c r="M811" s="39"/>
      <c r="O811" s="11" t="str">
        <f aca="false">IF($B811="","",YEAR($B811)*100+MONTH($B811))</f>
        <v/>
      </c>
      <c r="P811" s="11" t="str">
        <f aca="false">IF($B811="","",IF($E811="대체",0,1))</f>
        <v/>
      </c>
    </row>
    <row r="812" customFormat="false" ht="15" hidden="false" customHeight="false" outlineLevel="0" collapsed="false">
      <c r="A812" s="36" t="str">
        <f aca="false">IF($B812="","",COUNT($B$15:$B812))</f>
        <v/>
      </c>
      <c r="B812" s="37"/>
      <c r="C812" s="38"/>
      <c r="D812" s="20"/>
      <c r="E812" s="36" t="str">
        <f aca="false">IF($D812="","",IFERROR(INDEX('교육원 ④ 설정'!$A$6:$A$40,MATCH($D812,'교육원 ④ 설정'!$B$6:$B$40,0)),"※없는 과목"))</f>
        <v/>
      </c>
      <c r="F812" s="36" t="str">
        <f aca="false">IF($D812="","",IFERROR(INDEX('교육원 ④ 설정'!$C$6:$C$40,MATCH($D812,'교육원 ④ 설정'!$B$6:$B$40,0)),""))</f>
        <v/>
      </c>
      <c r="G812" s="39"/>
      <c r="H812" s="39"/>
      <c r="I812" s="40"/>
      <c r="J812" s="41"/>
      <c r="K812" s="38"/>
      <c r="L812" s="42" t="str">
        <f aca="false">IF($B812="","",IF(AND(N($I812)=0,N($J812)=0),"금액이 없습니다",IF(AND($I812&gt;0,$J812&gt;0),"수입·지출 둘 다 적혔습니다",IF($C812="","결제수단을 고르십시오",IF(ISNA(MATCH($C812,'교육원 ③ 통장·카드'!$A$5:$A$11,0)),"③ 통장·카드에 없는 결제수단입니다",IF($D812="","계정과목을 고르십시오",IF($E812="※없는 과목","④ 설정에 없는 과목입니다",IF(AND($E812="수입",$J812&gt;0),"수입 과목인데 지출에 적혔습니다",IF(AND(LEFT($E812,2)&lt;&gt;"수입",$E812&lt;&gt;"대체",$I812&gt;0),"지출 과목인데 수입에 적혔습니다",IF($K812="","증빙을 고르십시오",IF($H812="","적요를 적으십시오","")))))))))))</f>
        <v/>
      </c>
      <c r="M812" s="39"/>
      <c r="O812" s="11" t="str">
        <f aca="false">IF($B812="","",YEAR($B812)*100+MONTH($B812))</f>
        <v/>
      </c>
      <c r="P812" s="11" t="str">
        <f aca="false">IF($B812="","",IF($E812="대체",0,1))</f>
        <v/>
      </c>
    </row>
    <row r="813" customFormat="false" ht="15" hidden="false" customHeight="false" outlineLevel="0" collapsed="false">
      <c r="A813" s="36" t="str">
        <f aca="false">IF($B813="","",COUNT($B$15:$B813))</f>
        <v/>
      </c>
      <c r="B813" s="37"/>
      <c r="C813" s="38"/>
      <c r="D813" s="20"/>
      <c r="E813" s="36" t="str">
        <f aca="false">IF($D813="","",IFERROR(INDEX('교육원 ④ 설정'!$A$6:$A$40,MATCH($D813,'교육원 ④ 설정'!$B$6:$B$40,0)),"※없는 과목"))</f>
        <v/>
      </c>
      <c r="F813" s="36" t="str">
        <f aca="false">IF($D813="","",IFERROR(INDEX('교육원 ④ 설정'!$C$6:$C$40,MATCH($D813,'교육원 ④ 설정'!$B$6:$B$40,0)),""))</f>
        <v/>
      </c>
      <c r="G813" s="39"/>
      <c r="H813" s="39"/>
      <c r="I813" s="40"/>
      <c r="J813" s="41"/>
      <c r="K813" s="38"/>
      <c r="L813" s="42" t="str">
        <f aca="false">IF($B813="","",IF(AND(N($I813)=0,N($J813)=0),"금액이 없습니다",IF(AND($I813&gt;0,$J813&gt;0),"수입·지출 둘 다 적혔습니다",IF($C813="","결제수단을 고르십시오",IF(ISNA(MATCH($C813,'교육원 ③ 통장·카드'!$A$5:$A$11,0)),"③ 통장·카드에 없는 결제수단입니다",IF($D813="","계정과목을 고르십시오",IF($E813="※없는 과목","④ 설정에 없는 과목입니다",IF(AND($E813="수입",$J813&gt;0),"수입 과목인데 지출에 적혔습니다",IF(AND(LEFT($E813,2)&lt;&gt;"수입",$E813&lt;&gt;"대체",$I813&gt;0),"지출 과목인데 수입에 적혔습니다",IF($K813="","증빙을 고르십시오",IF($H813="","적요를 적으십시오","")))))))))))</f>
        <v/>
      </c>
      <c r="M813" s="39"/>
      <c r="O813" s="11" t="str">
        <f aca="false">IF($B813="","",YEAR($B813)*100+MONTH($B813))</f>
        <v/>
      </c>
      <c r="P813" s="11" t="str">
        <f aca="false">IF($B813="","",IF($E813="대체",0,1))</f>
        <v/>
      </c>
    </row>
    <row r="814" customFormat="false" ht="15" hidden="false" customHeight="false" outlineLevel="0" collapsed="false">
      <c r="A814" s="36" t="str">
        <f aca="false">IF($B814="","",COUNT($B$15:$B814))</f>
        <v/>
      </c>
      <c r="B814" s="37"/>
      <c r="C814" s="38"/>
      <c r="D814" s="20"/>
      <c r="E814" s="36" t="str">
        <f aca="false">IF($D814="","",IFERROR(INDEX('교육원 ④ 설정'!$A$6:$A$40,MATCH($D814,'교육원 ④ 설정'!$B$6:$B$40,0)),"※없는 과목"))</f>
        <v/>
      </c>
      <c r="F814" s="36" t="str">
        <f aca="false">IF($D814="","",IFERROR(INDEX('교육원 ④ 설정'!$C$6:$C$40,MATCH($D814,'교육원 ④ 설정'!$B$6:$B$40,0)),""))</f>
        <v/>
      </c>
      <c r="G814" s="39"/>
      <c r="H814" s="39"/>
      <c r="I814" s="40"/>
      <c r="J814" s="41"/>
      <c r="K814" s="38"/>
      <c r="L814" s="42" t="str">
        <f aca="false">IF($B814="","",IF(AND(N($I814)=0,N($J814)=0),"금액이 없습니다",IF(AND($I814&gt;0,$J814&gt;0),"수입·지출 둘 다 적혔습니다",IF($C814="","결제수단을 고르십시오",IF(ISNA(MATCH($C814,'교육원 ③ 통장·카드'!$A$5:$A$11,0)),"③ 통장·카드에 없는 결제수단입니다",IF($D814="","계정과목을 고르십시오",IF($E814="※없는 과목","④ 설정에 없는 과목입니다",IF(AND($E814="수입",$J814&gt;0),"수입 과목인데 지출에 적혔습니다",IF(AND(LEFT($E814,2)&lt;&gt;"수입",$E814&lt;&gt;"대체",$I814&gt;0),"지출 과목인데 수입에 적혔습니다",IF($K814="","증빙을 고르십시오",IF($H814="","적요를 적으십시오","")))))))))))</f>
        <v/>
      </c>
      <c r="M814" s="39"/>
      <c r="O814" s="11" t="str">
        <f aca="false">IF($B814="","",YEAR($B814)*100+MONTH($B814))</f>
        <v/>
      </c>
      <c r="P814" s="11" t="str">
        <f aca="false">IF($B814="","",IF($E814="대체",0,1))</f>
        <v/>
      </c>
    </row>
    <row r="815" customFormat="false" ht="15" hidden="false" customHeight="false" outlineLevel="0" collapsed="false">
      <c r="A815" s="36" t="str">
        <f aca="false">IF($B815="","",COUNT($B$15:$B815))</f>
        <v/>
      </c>
      <c r="B815" s="37"/>
      <c r="C815" s="38"/>
      <c r="D815" s="20"/>
      <c r="E815" s="36" t="str">
        <f aca="false">IF($D815="","",IFERROR(INDEX('교육원 ④ 설정'!$A$6:$A$40,MATCH($D815,'교육원 ④ 설정'!$B$6:$B$40,0)),"※없는 과목"))</f>
        <v/>
      </c>
      <c r="F815" s="36" t="str">
        <f aca="false">IF($D815="","",IFERROR(INDEX('교육원 ④ 설정'!$C$6:$C$40,MATCH($D815,'교육원 ④ 설정'!$B$6:$B$40,0)),""))</f>
        <v/>
      </c>
      <c r="G815" s="39"/>
      <c r="H815" s="39"/>
      <c r="I815" s="40"/>
      <c r="J815" s="41"/>
      <c r="K815" s="38"/>
      <c r="L815" s="42" t="str">
        <f aca="false">IF($B815="","",IF(AND(N($I815)=0,N($J815)=0),"금액이 없습니다",IF(AND($I815&gt;0,$J815&gt;0),"수입·지출 둘 다 적혔습니다",IF($C815="","결제수단을 고르십시오",IF(ISNA(MATCH($C815,'교육원 ③ 통장·카드'!$A$5:$A$11,0)),"③ 통장·카드에 없는 결제수단입니다",IF($D815="","계정과목을 고르십시오",IF($E815="※없는 과목","④ 설정에 없는 과목입니다",IF(AND($E815="수입",$J815&gt;0),"수입 과목인데 지출에 적혔습니다",IF(AND(LEFT($E815,2)&lt;&gt;"수입",$E815&lt;&gt;"대체",$I815&gt;0),"지출 과목인데 수입에 적혔습니다",IF($K815="","증빙을 고르십시오",IF($H815="","적요를 적으십시오","")))))))))))</f>
        <v/>
      </c>
      <c r="M815" s="39"/>
      <c r="O815" s="11" t="str">
        <f aca="false">IF($B815="","",YEAR($B815)*100+MONTH($B815))</f>
        <v/>
      </c>
      <c r="P815" s="11" t="str">
        <f aca="false">IF($B815="","",IF($E815="대체",0,1))</f>
        <v/>
      </c>
    </row>
    <row r="816" customFormat="false" ht="15" hidden="false" customHeight="false" outlineLevel="0" collapsed="false">
      <c r="A816" s="36" t="str">
        <f aca="false">IF($B816="","",COUNT($B$15:$B816))</f>
        <v/>
      </c>
      <c r="B816" s="37"/>
      <c r="C816" s="38"/>
      <c r="D816" s="20"/>
      <c r="E816" s="36" t="str">
        <f aca="false">IF($D816="","",IFERROR(INDEX('교육원 ④ 설정'!$A$6:$A$40,MATCH($D816,'교육원 ④ 설정'!$B$6:$B$40,0)),"※없는 과목"))</f>
        <v/>
      </c>
      <c r="F816" s="36" t="str">
        <f aca="false">IF($D816="","",IFERROR(INDEX('교육원 ④ 설정'!$C$6:$C$40,MATCH($D816,'교육원 ④ 설정'!$B$6:$B$40,0)),""))</f>
        <v/>
      </c>
      <c r="G816" s="39"/>
      <c r="H816" s="39"/>
      <c r="I816" s="40"/>
      <c r="J816" s="41"/>
      <c r="K816" s="38"/>
      <c r="L816" s="42" t="str">
        <f aca="false">IF($B816="","",IF(AND(N($I816)=0,N($J816)=0),"금액이 없습니다",IF(AND($I816&gt;0,$J816&gt;0),"수입·지출 둘 다 적혔습니다",IF($C816="","결제수단을 고르십시오",IF(ISNA(MATCH($C816,'교육원 ③ 통장·카드'!$A$5:$A$11,0)),"③ 통장·카드에 없는 결제수단입니다",IF($D816="","계정과목을 고르십시오",IF($E816="※없는 과목","④ 설정에 없는 과목입니다",IF(AND($E816="수입",$J816&gt;0),"수입 과목인데 지출에 적혔습니다",IF(AND(LEFT($E816,2)&lt;&gt;"수입",$E816&lt;&gt;"대체",$I816&gt;0),"지출 과목인데 수입에 적혔습니다",IF($K816="","증빙을 고르십시오",IF($H816="","적요를 적으십시오","")))))))))))</f>
        <v/>
      </c>
      <c r="M816" s="39"/>
      <c r="O816" s="11" t="str">
        <f aca="false">IF($B816="","",YEAR($B816)*100+MONTH($B816))</f>
        <v/>
      </c>
      <c r="P816" s="11" t="str">
        <f aca="false">IF($B816="","",IF($E816="대체",0,1))</f>
        <v/>
      </c>
    </row>
    <row r="817" customFormat="false" ht="15" hidden="false" customHeight="false" outlineLevel="0" collapsed="false">
      <c r="A817" s="36" t="str">
        <f aca="false">IF($B817="","",COUNT($B$15:$B817))</f>
        <v/>
      </c>
      <c r="B817" s="37"/>
      <c r="C817" s="38"/>
      <c r="D817" s="20"/>
      <c r="E817" s="36" t="str">
        <f aca="false">IF($D817="","",IFERROR(INDEX('교육원 ④ 설정'!$A$6:$A$40,MATCH($D817,'교육원 ④ 설정'!$B$6:$B$40,0)),"※없는 과목"))</f>
        <v/>
      </c>
      <c r="F817" s="36" t="str">
        <f aca="false">IF($D817="","",IFERROR(INDEX('교육원 ④ 설정'!$C$6:$C$40,MATCH($D817,'교육원 ④ 설정'!$B$6:$B$40,0)),""))</f>
        <v/>
      </c>
      <c r="G817" s="39"/>
      <c r="H817" s="39"/>
      <c r="I817" s="40"/>
      <c r="J817" s="41"/>
      <c r="K817" s="38"/>
      <c r="L817" s="42" t="str">
        <f aca="false">IF($B817="","",IF(AND(N($I817)=0,N($J817)=0),"금액이 없습니다",IF(AND($I817&gt;0,$J817&gt;0),"수입·지출 둘 다 적혔습니다",IF($C817="","결제수단을 고르십시오",IF(ISNA(MATCH($C817,'교육원 ③ 통장·카드'!$A$5:$A$11,0)),"③ 통장·카드에 없는 결제수단입니다",IF($D817="","계정과목을 고르십시오",IF($E817="※없는 과목","④ 설정에 없는 과목입니다",IF(AND($E817="수입",$J817&gt;0),"수입 과목인데 지출에 적혔습니다",IF(AND(LEFT($E817,2)&lt;&gt;"수입",$E817&lt;&gt;"대체",$I817&gt;0),"지출 과목인데 수입에 적혔습니다",IF($K817="","증빙을 고르십시오",IF($H817="","적요를 적으십시오","")))))))))))</f>
        <v/>
      </c>
      <c r="M817" s="39"/>
      <c r="O817" s="11" t="str">
        <f aca="false">IF($B817="","",YEAR($B817)*100+MONTH($B817))</f>
        <v/>
      </c>
      <c r="P817" s="11" t="str">
        <f aca="false">IF($B817="","",IF($E817="대체",0,1))</f>
        <v/>
      </c>
    </row>
    <row r="818" customFormat="false" ht="15" hidden="false" customHeight="false" outlineLevel="0" collapsed="false">
      <c r="A818" s="36" t="str">
        <f aca="false">IF($B818="","",COUNT($B$15:$B818))</f>
        <v/>
      </c>
      <c r="B818" s="37"/>
      <c r="C818" s="38"/>
      <c r="D818" s="20"/>
      <c r="E818" s="36" t="str">
        <f aca="false">IF($D818="","",IFERROR(INDEX('교육원 ④ 설정'!$A$6:$A$40,MATCH($D818,'교육원 ④ 설정'!$B$6:$B$40,0)),"※없는 과목"))</f>
        <v/>
      </c>
      <c r="F818" s="36" t="str">
        <f aca="false">IF($D818="","",IFERROR(INDEX('교육원 ④ 설정'!$C$6:$C$40,MATCH($D818,'교육원 ④ 설정'!$B$6:$B$40,0)),""))</f>
        <v/>
      </c>
      <c r="G818" s="39"/>
      <c r="H818" s="39"/>
      <c r="I818" s="40"/>
      <c r="J818" s="41"/>
      <c r="K818" s="38"/>
      <c r="L818" s="42" t="str">
        <f aca="false">IF($B818="","",IF(AND(N($I818)=0,N($J818)=0),"금액이 없습니다",IF(AND($I818&gt;0,$J818&gt;0),"수입·지출 둘 다 적혔습니다",IF($C818="","결제수단을 고르십시오",IF(ISNA(MATCH($C818,'교육원 ③ 통장·카드'!$A$5:$A$11,0)),"③ 통장·카드에 없는 결제수단입니다",IF($D818="","계정과목을 고르십시오",IF($E818="※없는 과목","④ 설정에 없는 과목입니다",IF(AND($E818="수입",$J818&gt;0),"수입 과목인데 지출에 적혔습니다",IF(AND(LEFT($E818,2)&lt;&gt;"수입",$E818&lt;&gt;"대체",$I818&gt;0),"지출 과목인데 수입에 적혔습니다",IF($K818="","증빙을 고르십시오",IF($H818="","적요를 적으십시오","")))))))))))</f>
        <v/>
      </c>
      <c r="M818" s="39"/>
      <c r="O818" s="11" t="str">
        <f aca="false">IF($B818="","",YEAR($B818)*100+MONTH($B818))</f>
        <v/>
      </c>
      <c r="P818" s="11" t="str">
        <f aca="false">IF($B818="","",IF($E818="대체",0,1))</f>
        <v/>
      </c>
    </row>
    <row r="819" customFormat="false" ht="15" hidden="false" customHeight="false" outlineLevel="0" collapsed="false">
      <c r="A819" s="36" t="str">
        <f aca="false">IF($B819="","",COUNT($B$15:$B819))</f>
        <v/>
      </c>
      <c r="B819" s="37"/>
      <c r="C819" s="38"/>
      <c r="D819" s="20"/>
      <c r="E819" s="36" t="str">
        <f aca="false">IF($D819="","",IFERROR(INDEX('교육원 ④ 설정'!$A$6:$A$40,MATCH($D819,'교육원 ④ 설정'!$B$6:$B$40,0)),"※없는 과목"))</f>
        <v/>
      </c>
      <c r="F819" s="36" t="str">
        <f aca="false">IF($D819="","",IFERROR(INDEX('교육원 ④ 설정'!$C$6:$C$40,MATCH($D819,'교육원 ④ 설정'!$B$6:$B$40,0)),""))</f>
        <v/>
      </c>
      <c r="G819" s="39"/>
      <c r="H819" s="39"/>
      <c r="I819" s="40"/>
      <c r="J819" s="41"/>
      <c r="K819" s="38"/>
      <c r="L819" s="42" t="str">
        <f aca="false">IF($B819="","",IF(AND(N($I819)=0,N($J819)=0),"금액이 없습니다",IF(AND($I819&gt;0,$J819&gt;0),"수입·지출 둘 다 적혔습니다",IF($C819="","결제수단을 고르십시오",IF(ISNA(MATCH($C819,'교육원 ③ 통장·카드'!$A$5:$A$11,0)),"③ 통장·카드에 없는 결제수단입니다",IF($D819="","계정과목을 고르십시오",IF($E819="※없는 과목","④ 설정에 없는 과목입니다",IF(AND($E819="수입",$J819&gt;0),"수입 과목인데 지출에 적혔습니다",IF(AND(LEFT($E819,2)&lt;&gt;"수입",$E819&lt;&gt;"대체",$I819&gt;0),"지출 과목인데 수입에 적혔습니다",IF($K819="","증빙을 고르십시오",IF($H819="","적요를 적으십시오","")))))))))))</f>
        <v/>
      </c>
      <c r="M819" s="39"/>
      <c r="O819" s="11" t="str">
        <f aca="false">IF($B819="","",YEAR($B819)*100+MONTH($B819))</f>
        <v/>
      </c>
      <c r="P819" s="11" t="str">
        <f aca="false">IF($B819="","",IF($E819="대체",0,1))</f>
        <v/>
      </c>
    </row>
    <row r="820" customFormat="false" ht="15" hidden="false" customHeight="false" outlineLevel="0" collapsed="false">
      <c r="A820" s="36" t="str">
        <f aca="false">IF($B820="","",COUNT($B$15:$B820))</f>
        <v/>
      </c>
      <c r="B820" s="37"/>
      <c r="C820" s="38"/>
      <c r="D820" s="20"/>
      <c r="E820" s="36" t="str">
        <f aca="false">IF($D820="","",IFERROR(INDEX('교육원 ④ 설정'!$A$6:$A$40,MATCH($D820,'교육원 ④ 설정'!$B$6:$B$40,0)),"※없는 과목"))</f>
        <v/>
      </c>
      <c r="F820" s="36" t="str">
        <f aca="false">IF($D820="","",IFERROR(INDEX('교육원 ④ 설정'!$C$6:$C$40,MATCH($D820,'교육원 ④ 설정'!$B$6:$B$40,0)),""))</f>
        <v/>
      </c>
      <c r="G820" s="39"/>
      <c r="H820" s="39"/>
      <c r="I820" s="40"/>
      <c r="J820" s="41"/>
      <c r="K820" s="38"/>
      <c r="L820" s="42" t="str">
        <f aca="false">IF($B820="","",IF(AND(N($I820)=0,N($J820)=0),"금액이 없습니다",IF(AND($I820&gt;0,$J820&gt;0),"수입·지출 둘 다 적혔습니다",IF($C820="","결제수단을 고르십시오",IF(ISNA(MATCH($C820,'교육원 ③ 통장·카드'!$A$5:$A$11,0)),"③ 통장·카드에 없는 결제수단입니다",IF($D820="","계정과목을 고르십시오",IF($E820="※없는 과목","④ 설정에 없는 과목입니다",IF(AND($E820="수입",$J820&gt;0),"수입 과목인데 지출에 적혔습니다",IF(AND(LEFT($E820,2)&lt;&gt;"수입",$E820&lt;&gt;"대체",$I820&gt;0),"지출 과목인데 수입에 적혔습니다",IF($K820="","증빙을 고르십시오",IF($H820="","적요를 적으십시오","")))))))))))</f>
        <v/>
      </c>
      <c r="M820" s="39"/>
      <c r="O820" s="11" t="str">
        <f aca="false">IF($B820="","",YEAR($B820)*100+MONTH($B820))</f>
        <v/>
      </c>
      <c r="P820" s="11" t="str">
        <f aca="false">IF($B820="","",IF($E820="대체",0,1))</f>
        <v/>
      </c>
    </row>
    <row r="821" customFormat="false" ht="15" hidden="false" customHeight="false" outlineLevel="0" collapsed="false">
      <c r="A821" s="36" t="str">
        <f aca="false">IF($B821="","",COUNT($B$15:$B821))</f>
        <v/>
      </c>
      <c r="B821" s="37"/>
      <c r="C821" s="38"/>
      <c r="D821" s="20"/>
      <c r="E821" s="36" t="str">
        <f aca="false">IF($D821="","",IFERROR(INDEX('교육원 ④ 설정'!$A$6:$A$40,MATCH($D821,'교육원 ④ 설정'!$B$6:$B$40,0)),"※없는 과목"))</f>
        <v/>
      </c>
      <c r="F821" s="36" t="str">
        <f aca="false">IF($D821="","",IFERROR(INDEX('교육원 ④ 설정'!$C$6:$C$40,MATCH($D821,'교육원 ④ 설정'!$B$6:$B$40,0)),""))</f>
        <v/>
      </c>
      <c r="G821" s="39"/>
      <c r="H821" s="39"/>
      <c r="I821" s="40"/>
      <c r="J821" s="41"/>
      <c r="K821" s="38"/>
      <c r="L821" s="42" t="str">
        <f aca="false">IF($B821="","",IF(AND(N($I821)=0,N($J821)=0),"금액이 없습니다",IF(AND($I821&gt;0,$J821&gt;0),"수입·지출 둘 다 적혔습니다",IF($C821="","결제수단을 고르십시오",IF(ISNA(MATCH($C821,'교육원 ③ 통장·카드'!$A$5:$A$11,0)),"③ 통장·카드에 없는 결제수단입니다",IF($D821="","계정과목을 고르십시오",IF($E821="※없는 과목","④ 설정에 없는 과목입니다",IF(AND($E821="수입",$J821&gt;0),"수입 과목인데 지출에 적혔습니다",IF(AND(LEFT($E821,2)&lt;&gt;"수입",$E821&lt;&gt;"대체",$I821&gt;0),"지출 과목인데 수입에 적혔습니다",IF($K821="","증빙을 고르십시오",IF($H821="","적요를 적으십시오","")))))))))))</f>
        <v/>
      </c>
      <c r="M821" s="39"/>
      <c r="O821" s="11" t="str">
        <f aca="false">IF($B821="","",YEAR($B821)*100+MONTH($B821))</f>
        <v/>
      </c>
      <c r="P821" s="11" t="str">
        <f aca="false">IF($B821="","",IF($E821="대체",0,1))</f>
        <v/>
      </c>
    </row>
    <row r="822" customFormat="false" ht="15" hidden="false" customHeight="false" outlineLevel="0" collapsed="false">
      <c r="A822" s="36" t="str">
        <f aca="false">IF($B822="","",COUNT($B$15:$B822))</f>
        <v/>
      </c>
      <c r="B822" s="37"/>
      <c r="C822" s="38"/>
      <c r="D822" s="20"/>
      <c r="E822" s="36" t="str">
        <f aca="false">IF($D822="","",IFERROR(INDEX('교육원 ④ 설정'!$A$6:$A$40,MATCH($D822,'교육원 ④ 설정'!$B$6:$B$40,0)),"※없는 과목"))</f>
        <v/>
      </c>
      <c r="F822" s="36" t="str">
        <f aca="false">IF($D822="","",IFERROR(INDEX('교육원 ④ 설정'!$C$6:$C$40,MATCH($D822,'교육원 ④ 설정'!$B$6:$B$40,0)),""))</f>
        <v/>
      </c>
      <c r="G822" s="39"/>
      <c r="H822" s="39"/>
      <c r="I822" s="40"/>
      <c r="J822" s="41"/>
      <c r="K822" s="38"/>
      <c r="L822" s="42" t="str">
        <f aca="false">IF($B822="","",IF(AND(N($I822)=0,N($J822)=0),"금액이 없습니다",IF(AND($I822&gt;0,$J822&gt;0),"수입·지출 둘 다 적혔습니다",IF($C822="","결제수단을 고르십시오",IF(ISNA(MATCH($C822,'교육원 ③ 통장·카드'!$A$5:$A$11,0)),"③ 통장·카드에 없는 결제수단입니다",IF($D822="","계정과목을 고르십시오",IF($E822="※없는 과목","④ 설정에 없는 과목입니다",IF(AND($E822="수입",$J822&gt;0),"수입 과목인데 지출에 적혔습니다",IF(AND(LEFT($E822,2)&lt;&gt;"수입",$E822&lt;&gt;"대체",$I822&gt;0),"지출 과목인데 수입에 적혔습니다",IF($K822="","증빙을 고르십시오",IF($H822="","적요를 적으십시오","")))))))))))</f>
        <v/>
      </c>
      <c r="M822" s="39"/>
      <c r="O822" s="11" t="str">
        <f aca="false">IF($B822="","",YEAR($B822)*100+MONTH($B822))</f>
        <v/>
      </c>
      <c r="P822" s="11" t="str">
        <f aca="false">IF($B822="","",IF($E822="대체",0,1))</f>
        <v/>
      </c>
    </row>
    <row r="823" customFormat="false" ht="15" hidden="false" customHeight="false" outlineLevel="0" collapsed="false">
      <c r="A823" s="36" t="str">
        <f aca="false">IF($B823="","",COUNT($B$15:$B823))</f>
        <v/>
      </c>
      <c r="B823" s="37"/>
      <c r="C823" s="38"/>
      <c r="D823" s="20"/>
      <c r="E823" s="36" t="str">
        <f aca="false">IF($D823="","",IFERROR(INDEX('교육원 ④ 설정'!$A$6:$A$40,MATCH($D823,'교육원 ④ 설정'!$B$6:$B$40,0)),"※없는 과목"))</f>
        <v/>
      </c>
      <c r="F823" s="36" t="str">
        <f aca="false">IF($D823="","",IFERROR(INDEX('교육원 ④ 설정'!$C$6:$C$40,MATCH($D823,'교육원 ④ 설정'!$B$6:$B$40,0)),""))</f>
        <v/>
      </c>
      <c r="G823" s="39"/>
      <c r="H823" s="39"/>
      <c r="I823" s="40"/>
      <c r="J823" s="41"/>
      <c r="K823" s="38"/>
      <c r="L823" s="42" t="str">
        <f aca="false">IF($B823="","",IF(AND(N($I823)=0,N($J823)=0),"금액이 없습니다",IF(AND($I823&gt;0,$J823&gt;0),"수입·지출 둘 다 적혔습니다",IF($C823="","결제수단을 고르십시오",IF(ISNA(MATCH($C823,'교육원 ③ 통장·카드'!$A$5:$A$11,0)),"③ 통장·카드에 없는 결제수단입니다",IF($D823="","계정과목을 고르십시오",IF($E823="※없는 과목","④ 설정에 없는 과목입니다",IF(AND($E823="수입",$J823&gt;0),"수입 과목인데 지출에 적혔습니다",IF(AND(LEFT($E823,2)&lt;&gt;"수입",$E823&lt;&gt;"대체",$I823&gt;0),"지출 과목인데 수입에 적혔습니다",IF($K823="","증빙을 고르십시오",IF($H823="","적요를 적으십시오","")))))))))))</f>
        <v/>
      </c>
      <c r="M823" s="39"/>
      <c r="O823" s="11" t="str">
        <f aca="false">IF($B823="","",YEAR($B823)*100+MONTH($B823))</f>
        <v/>
      </c>
      <c r="P823" s="11" t="str">
        <f aca="false">IF($B823="","",IF($E823="대체",0,1))</f>
        <v/>
      </c>
    </row>
    <row r="824" customFormat="false" ht="15" hidden="false" customHeight="false" outlineLevel="0" collapsed="false">
      <c r="A824" s="36" t="str">
        <f aca="false">IF($B824="","",COUNT($B$15:$B824))</f>
        <v/>
      </c>
      <c r="B824" s="37"/>
      <c r="C824" s="38"/>
      <c r="D824" s="20"/>
      <c r="E824" s="36" t="str">
        <f aca="false">IF($D824="","",IFERROR(INDEX('교육원 ④ 설정'!$A$6:$A$40,MATCH($D824,'교육원 ④ 설정'!$B$6:$B$40,0)),"※없는 과목"))</f>
        <v/>
      </c>
      <c r="F824" s="36" t="str">
        <f aca="false">IF($D824="","",IFERROR(INDEX('교육원 ④ 설정'!$C$6:$C$40,MATCH($D824,'교육원 ④ 설정'!$B$6:$B$40,0)),""))</f>
        <v/>
      </c>
      <c r="G824" s="39"/>
      <c r="H824" s="39"/>
      <c r="I824" s="40"/>
      <c r="J824" s="41"/>
      <c r="K824" s="38"/>
      <c r="L824" s="42" t="str">
        <f aca="false">IF($B824="","",IF(AND(N($I824)=0,N($J824)=0),"금액이 없습니다",IF(AND($I824&gt;0,$J824&gt;0),"수입·지출 둘 다 적혔습니다",IF($C824="","결제수단을 고르십시오",IF(ISNA(MATCH($C824,'교육원 ③ 통장·카드'!$A$5:$A$11,0)),"③ 통장·카드에 없는 결제수단입니다",IF($D824="","계정과목을 고르십시오",IF($E824="※없는 과목","④ 설정에 없는 과목입니다",IF(AND($E824="수입",$J824&gt;0),"수입 과목인데 지출에 적혔습니다",IF(AND(LEFT($E824,2)&lt;&gt;"수입",$E824&lt;&gt;"대체",$I824&gt;0),"지출 과목인데 수입에 적혔습니다",IF($K824="","증빙을 고르십시오",IF($H824="","적요를 적으십시오","")))))))))))</f>
        <v/>
      </c>
      <c r="M824" s="39"/>
      <c r="O824" s="11" t="str">
        <f aca="false">IF($B824="","",YEAR($B824)*100+MONTH($B824))</f>
        <v/>
      </c>
      <c r="P824" s="11" t="str">
        <f aca="false">IF($B824="","",IF($E824="대체",0,1))</f>
        <v/>
      </c>
    </row>
    <row r="825" customFormat="false" ht="15" hidden="false" customHeight="false" outlineLevel="0" collapsed="false">
      <c r="A825" s="36" t="str">
        <f aca="false">IF($B825="","",COUNT($B$15:$B825))</f>
        <v/>
      </c>
      <c r="B825" s="37"/>
      <c r="C825" s="38"/>
      <c r="D825" s="20"/>
      <c r="E825" s="36" t="str">
        <f aca="false">IF($D825="","",IFERROR(INDEX('교육원 ④ 설정'!$A$6:$A$40,MATCH($D825,'교육원 ④ 설정'!$B$6:$B$40,0)),"※없는 과목"))</f>
        <v/>
      </c>
      <c r="F825" s="36" t="str">
        <f aca="false">IF($D825="","",IFERROR(INDEX('교육원 ④ 설정'!$C$6:$C$40,MATCH($D825,'교육원 ④ 설정'!$B$6:$B$40,0)),""))</f>
        <v/>
      </c>
      <c r="G825" s="39"/>
      <c r="H825" s="39"/>
      <c r="I825" s="40"/>
      <c r="J825" s="41"/>
      <c r="K825" s="38"/>
      <c r="L825" s="42" t="str">
        <f aca="false">IF($B825="","",IF(AND(N($I825)=0,N($J825)=0),"금액이 없습니다",IF(AND($I825&gt;0,$J825&gt;0),"수입·지출 둘 다 적혔습니다",IF($C825="","결제수단을 고르십시오",IF(ISNA(MATCH($C825,'교육원 ③ 통장·카드'!$A$5:$A$11,0)),"③ 통장·카드에 없는 결제수단입니다",IF($D825="","계정과목을 고르십시오",IF($E825="※없는 과목","④ 설정에 없는 과목입니다",IF(AND($E825="수입",$J825&gt;0),"수입 과목인데 지출에 적혔습니다",IF(AND(LEFT($E825,2)&lt;&gt;"수입",$E825&lt;&gt;"대체",$I825&gt;0),"지출 과목인데 수입에 적혔습니다",IF($K825="","증빙을 고르십시오",IF($H825="","적요를 적으십시오","")))))))))))</f>
        <v/>
      </c>
      <c r="M825" s="39"/>
      <c r="O825" s="11" t="str">
        <f aca="false">IF($B825="","",YEAR($B825)*100+MONTH($B825))</f>
        <v/>
      </c>
      <c r="P825" s="11" t="str">
        <f aca="false">IF($B825="","",IF($E825="대체",0,1))</f>
        <v/>
      </c>
    </row>
    <row r="826" customFormat="false" ht="15" hidden="false" customHeight="false" outlineLevel="0" collapsed="false">
      <c r="A826" s="36" t="str">
        <f aca="false">IF($B826="","",COUNT($B$15:$B826))</f>
        <v/>
      </c>
      <c r="B826" s="37"/>
      <c r="C826" s="38"/>
      <c r="D826" s="20"/>
      <c r="E826" s="36" t="str">
        <f aca="false">IF($D826="","",IFERROR(INDEX('교육원 ④ 설정'!$A$6:$A$40,MATCH($D826,'교육원 ④ 설정'!$B$6:$B$40,0)),"※없는 과목"))</f>
        <v/>
      </c>
      <c r="F826" s="36" t="str">
        <f aca="false">IF($D826="","",IFERROR(INDEX('교육원 ④ 설정'!$C$6:$C$40,MATCH($D826,'교육원 ④ 설정'!$B$6:$B$40,0)),""))</f>
        <v/>
      </c>
      <c r="G826" s="39"/>
      <c r="H826" s="39"/>
      <c r="I826" s="40"/>
      <c r="J826" s="41"/>
      <c r="K826" s="38"/>
      <c r="L826" s="42" t="str">
        <f aca="false">IF($B826="","",IF(AND(N($I826)=0,N($J826)=0),"금액이 없습니다",IF(AND($I826&gt;0,$J826&gt;0),"수입·지출 둘 다 적혔습니다",IF($C826="","결제수단을 고르십시오",IF(ISNA(MATCH($C826,'교육원 ③ 통장·카드'!$A$5:$A$11,0)),"③ 통장·카드에 없는 결제수단입니다",IF($D826="","계정과목을 고르십시오",IF($E826="※없는 과목","④ 설정에 없는 과목입니다",IF(AND($E826="수입",$J826&gt;0),"수입 과목인데 지출에 적혔습니다",IF(AND(LEFT($E826,2)&lt;&gt;"수입",$E826&lt;&gt;"대체",$I826&gt;0),"지출 과목인데 수입에 적혔습니다",IF($K826="","증빙을 고르십시오",IF($H826="","적요를 적으십시오","")))))))))))</f>
        <v/>
      </c>
      <c r="M826" s="39"/>
      <c r="O826" s="11" t="str">
        <f aca="false">IF($B826="","",YEAR($B826)*100+MONTH($B826))</f>
        <v/>
      </c>
      <c r="P826" s="11" t="str">
        <f aca="false">IF($B826="","",IF($E826="대체",0,1))</f>
        <v/>
      </c>
    </row>
    <row r="827" customFormat="false" ht="15" hidden="false" customHeight="false" outlineLevel="0" collapsed="false">
      <c r="A827" s="36" t="str">
        <f aca="false">IF($B827="","",COUNT($B$15:$B827))</f>
        <v/>
      </c>
      <c r="B827" s="37"/>
      <c r="C827" s="38"/>
      <c r="D827" s="20"/>
      <c r="E827" s="36" t="str">
        <f aca="false">IF($D827="","",IFERROR(INDEX('교육원 ④ 설정'!$A$6:$A$40,MATCH($D827,'교육원 ④ 설정'!$B$6:$B$40,0)),"※없는 과목"))</f>
        <v/>
      </c>
      <c r="F827" s="36" t="str">
        <f aca="false">IF($D827="","",IFERROR(INDEX('교육원 ④ 설정'!$C$6:$C$40,MATCH($D827,'교육원 ④ 설정'!$B$6:$B$40,0)),""))</f>
        <v/>
      </c>
      <c r="G827" s="39"/>
      <c r="H827" s="39"/>
      <c r="I827" s="40"/>
      <c r="J827" s="41"/>
      <c r="K827" s="38"/>
      <c r="L827" s="42" t="str">
        <f aca="false">IF($B827="","",IF(AND(N($I827)=0,N($J827)=0),"금액이 없습니다",IF(AND($I827&gt;0,$J827&gt;0),"수입·지출 둘 다 적혔습니다",IF($C827="","결제수단을 고르십시오",IF(ISNA(MATCH($C827,'교육원 ③ 통장·카드'!$A$5:$A$11,0)),"③ 통장·카드에 없는 결제수단입니다",IF($D827="","계정과목을 고르십시오",IF($E827="※없는 과목","④ 설정에 없는 과목입니다",IF(AND($E827="수입",$J827&gt;0),"수입 과목인데 지출에 적혔습니다",IF(AND(LEFT($E827,2)&lt;&gt;"수입",$E827&lt;&gt;"대체",$I827&gt;0),"지출 과목인데 수입에 적혔습니다",IF($K827="","증빙을 고르십시오",IF($H827="","적요를 적으십시오","")))))))))))</f>
        <v/>
      </c>
      <c r="M827" s="39"/>
      <c r="O827" s="11" t="str">
        <f aca="false">IF($B827="","",YEAR($B827)*100+MONTH($B827))</f>
        <v/>
      </c>
      <c r="P827" s="11" t="str">
        <f aca="false">IF($B827="","",IF($E827="대체",0,1))</f>
        <v/>
      </c>
    </row>
    <row r="828" customFormat="false" ht="15" hidden="false" customHeight="false" outlineLevel="0" collapsed="false">
      <c r="A828" s="36" t="str">
        <f aca="false">IF($B828="","",COUNT($B$15:$B828))</f>
        <v/>
      </c>
      <c r="B828" s="37"/>
      <c r="C828" s="38"/>
      <c r="D828" s="20"/>
      <c r="E828" s="36" t="str">
        <f aca="false">IF($D828="","",IFERROR(INDEX('교육원 ④ 설정'!$A$6:$A$40,MATCH($D828,'교육원 ④ 설정'!$B$6:$B$40,0)),"※없는 과목"))</f>
        <v/>
      </c>
      <c r="F828" s="36" t="str">
        <f aca="false">IF($D828="","",IFERROR(INDEX('교육원 ④ 설정'!$C$6:$C$40,MATCH($D828,'교육원 ④ 설정'!$B$6:$B$40,0)),""))</f>
        <v/>
      </c>
      <c r="G828" s="39"/>
      <c r="H828" s="39"/>
      <c r="I828" s="40"/>
      <c r="J828" s="41"/>
      <c r="K828" s="38"/>
      <c r="L828" s="42" t="str">
        <f aca="false">IF($B828="","",IF(AND(N($I828)=0,N($J828)=0),"금액이 없습니다",IF(AND($I828&gt;0,$J828&gt;0),"수입·지출 둘 다 적혔습니다",IF($C828="","결제수단을 고르십시오",IF(ISNA(MATCH($C828,'교육원 ③ 통장·카드'!$A$5:$A$11,0)),"③ 통장·카드에 없는 결제수단입니다",IF($D828="","계정과목을 고르십시오",IF($E828="※없는 과목","④ 설정에 없는 과목입니다",IF(AND($E828="수입",$J828&gt;0),"수입 과목인데 지출에 적혔습니다",IF(AND(LEFT($E828,2)&lt;&gt;"수입",$E828&lt;&gt;"대체",$I828&gt;0),"지출 과목인데 수입에 적혔습니다",IF($K828="","증빙을 고르십시오",IF($H828="","적요를 적으십시오","")))))))))))</f>
        <v/>
      </c>
      <c r="M828" s="39"/>
      <c r="O828" s="11" t="str">
        <f aca="false">IF($B828="","",YEAR($B828)*100+MONTH($B828))</f>
        <v/>
      </c>
      <c r="P828" s="11" t="str">
        <f aca="false">IF($B828="","",IF($E828="대체",0,1))</f>
        <v/>
      </c>
    </row>
    <row r="829" customFormat="false" ht="15" hidden="false" customHeight="false" outlineLevel="0" collapsed="false">
      <c r="A829" s="36" t="str">
        <f aca="false">IF($B829="","",COUNT($B$15:$B829))</f>
        <v/>
      </c>
      <c r="B829" s="37"/>
      <c r="C829" s="38"/>
      <c r="D829" s="20"/>
      <c r="E829" s="36" t="str">
        <f aca="false">IF($D829="","",IFERROR(INDEX('교육원 ④ 설정'!$A$6:$A$40,MATCH($D829,'교육원 ④ 설정'!$B$6:$B$40,0)),"※없는 과목"))</f>
        <v/>
      </c>
      <c r="F829" s="36" t="str">
        <f aca="false">IF($D829="","",IFERROR(INDEX('교육원 ④ 설정'!$C$6:$C$40,MATCH($D829,'교육원 ④ 설정'!$B$6:$B$40,0)),""))</f>
        <v/>
      </c>
      <c r="G829" s="39"/>
      <c r="H829" s="39"/>
      <c r="I829" s="40"/>
      <c r="J829" s="41"/>
      <c r="K829" s="38"/>
      <c r="L829" s="42" t="str">
        <f aca="false">IF($B829="","",IF(AND(N($I829)=0,N($J829)=0),"금액이 없습니다",IF(AND($I829&gt;0,$J829&gt;0),"수입·지출 둘 다 적혔습니다",IF($C829="","결제수단을 고르십시오",IF(ISNA(MATCH($C829,'교육원 ③ 통장·카드'!$A$5:$A$11,0)),"③ 통장·카드에 없는 결제수단입니다",IF($D829="","계정과목을 고르십시오",IF($E829="※없는 과목","④ 설정에 없는 과목입니다",IF(AND($E829="수입",$J829&gt;0),"수입 과목인데 지출에 적혔습니다",IF(AND(LEFT($E829,2)&lt;&gt;"수입",$E829&lt;&gt;"대체",$I829&gt;0),"지출 과목인데 수입에 적혔습니다",IF($K829="","증빙을 고르십시오",IF($H829="","적요를 적으십시오","")))))))))))</f>
        <v/>
      </c>
      <c r="M829" s="39"/>
      <c r="O829" s="11" t="str">
        <f aca="false">IF($B829="","",YEAR($B829)*100+MONTH($B829))</f>
        <v/>
      </c>
      <c r="P829" s="11" t="str">
        <f aca="false">IF($B829="","",IF($E829="대체",0,1))</f>
        <v/>
      </c>
    </row>
    <row r="830" customFormat="false" ht="15" hidden="false" customHeight="false" outlineLevel="0" collapsed="false">
      <c r="A830" s="36" t="str">
        <f aca="false">IF($B830="","",COUNT($B$15:$B830))</f>
        <v/>
      </c>
      <c r="B830" s="37"/>
      <c r="C830" s="38"/>
      <c r="D830" s="20"/>
      <c r="E830" s="36" t="str">
        <f aca="false">IF($D830="","",IFERROR(INDEX('교육원 ④ 설정'!$A$6:$A$40,MATCH($D830,'교육원 ④ 설정'!$B$6:$B$40,0)),"※없는 과목"))</f>
        <v/>
      </c>
      <c r="F830" s="36" t="str">
        <f aca="false">IF($D830="","",IFERROR(INDEX('교육원 ④ 설정'!$C$6:$C$40,MATCH($D830,'교육원 ④ 설정'!$B$6:$B$40,0)),""))</f>
        <v/>
      </c>
      <c r="G830" s="39"/>
      <c r="H830" s="39"/>
      <c r="I830" s="40"/>
      <c r="J830" s="41"/>
      <c r="K830" s="38"/>
      <c r="L830" s="42" t="str">
        <f aca="false">IF($B830="","",IF(AND(N($I830)=0,N($J830)=0),"금액이 없습니다",IF(AND($I830&gt;0,$J830&gt;0),"수입·지출 둘 다 적혔습니다",IF($C830="","결제수단을 고르십시오",IF(ISNA(MATCH($C830,'교육원 ③ 통장·카드'!$A$5:$A$11,0)),"③ 통장·카드에 없는 결제수단입니다",IF($D830="","계정과목을 고르십시오",IF($E830="※없는 과목","④ 설정에 없는 과목입니다",IF(AND($E830="수입",$J830&gt;0),"수입 과목인데 지출에 적혔습니다",IF(AND(LEFT($E830,2)&lt;&gt;"수입",$E830&lt;&gt;"대체",$I830&gt;0),"지출 과목인데 수입에 적혔습니다",IF($K830="","증빙을 고르십시오",IF($H830="","적요를 적으십시오","")))))))))))</f>
        <v/>
      </c>
      <c r="M830" s="39"/>
      <c r="O830" s="11" t="str">
        <f aca="false">IF($B830="","",YEAR($B830)*100+MONTH($B830))</f>
        <v/>
      </c>
      <c r="P830" s="11" t="str">
        <f aca="false">IF($B830="","",IF($E830="대체",0,1))</f>
        <v/>
      </c>
    </row>
    <row r="831" customFormat="false" ht="15" hidden="false" customHeight="false" outlineLevel="0" collapsed="false">
      <c r="A831" s="36" t="str">
        <f aca="false">IF($B831="","",COUNT($B$15:$B831))</f>
        <v/>
      </c>
      <c r="B831" s="37"/>
      <c r="C831" s="38"/>
      <c r="D831" s="20"/>
      <c r="E831" s="36" t="str">
        <f aca="false">IF($D831="","",IFERROR(INDEX('교육원 ④ 설정'!$A$6:$A$40,MATCH($D831,'교육원 ④ 설정'!$B$6:$B$40,0)),"※없는 과목"))</f>
        <v/>
      </c>
      <c r="F831" s="36" t="str">
        <f aca="false">IF($D831="","",IFERROR(INDEX('교육원 ④ 설정'!$C$6:$C$40,MATCH($D831,'교육원 ④ 설정'!$B$6:$B$40,0)),""))</f>
        <v/>
      </c>
      <c r="G831" s="39"/>
      <c r="H831" s="39"/>
      <c r="I831" s="40"/>
      <c r="J831" s="41"/>
      <c r="K831" s="38"/>
      <c r="L831" s="42" t="str">
        <f aca="false">IF($B831="","",IF(AND(N($I831)=0,N($J831)=0),"금액이 없습니다",IF(AND($I831&gt;0,$J831&gt;0),"수입·지출 둘 다 적혔습니다",IF($C831="","결제수단을 고르십시오",IF(ISNA(MATCH($C831,'교육원 ③ 통장·카드'!$A$5:$A$11,0)),"③ 통장·카드에 없는 결제수단입니다",IF($D831="","계정과목을 고르십시오",IF($E831="※없는 과목","④ 설정에 없는 과목입니다",IF(AND($E831="수입",$J831&gt;0),"수입 과목인데 지출에 적혔습니다",IF(AND(LEFT($E831,2)&lt;&gt;"수입",$E831&lt;&gt;"대체",$I831&gt;0),"지출 과목인데 수입에 적혔습니다",IF($K831="","증빙을 고르십시오",IF($H831="","적요를 적으십시오","")))))))))))</f>
        <v/>
      </c>
      <c r="M831" s="39"/>
      <c r="O831" s="11" t="str">
        <f aca="false">IF($B831="","",YEAR($B831)*100+MONTH($B831))</f>
        <v/>
      </c>
      <c r="P831" s="11" t="str">
        <f aca="false">IF($B831="","",IF($E831="대체",0,1))</f>
        <v/>
      </c>
    </row>
    <row r="832" customFormat="false" ht="15" hidden="false" customHeight="false" outlineLevel="0" collapsed="false">
      <c r="A832" s="36" t="str">
        <f aca="false">IF($B832="","",COUNT($B$15:$B832))</f>
        <v/>
      </c>
      <c r="B832" s="37"/>
      <c r="C832" s="38"/>
      <c r="D832" s="20"/>
      <c r="E832" s="36" t="str">
        <f aca="false">IF($D832="","",IFERROR(INDEX('교육원 ④ 설정'!$A$6:$A$40,MATCH($D832,'교육원 ④ 설정'!$B$6:$B$40,0)),"※없는 과목"))</f>
        <v/>
      </c>
      <c r="F832" s="36" t="str">
        <f aca="false">IF($D832="","",IFERROR(INDEX('교육원 ④ 설정'!$C$6:$C$40,MATCH($D832,'교육원 ④ 설정'!$B$6:$B$40,0)),""))</f>
        <v/>
      </c>
      <c r="G832" s="39"/>
      <c r="H832" s="39"/>
      <c r="I832" s="40"/>
      <c r="J832" s="41"/>
      <c r="K832" s="38"/>
      <c r="L832" s="42" t="str">
        <f aca="false">IF($B832="","",IF(AND(N($I832)=0,N($J832)=0),"금액이 없습니다",IF(AND($I832&gt;0,$J832&gt;0),"수입·지출 둘 다 적혔습니다",IF($C832="","결제수단을 고르십시오",IF(ISNA(MATCH($C832,'교육원 ③ 통장·카드'!$A$5:$A$11,0)),"③ 통장·카드에 없는 결제수단입니다",IF($D832="","계정과목을 고르십시오",IF($E832="※없는 과목","④ 설정에 없는 과목입니다",IF(AND($E832="수입",$J832&gt;0),"수입 과목인데 지출에 적혔습니다",IF(AND(LEFT($E832,2)&lt;&gt;"수입",$E832&lt;&gt;"대체",$I832&gt;0),"지출 과목인데 수입에 적혔습니다",IF($K832="","증빙을 고르십시오",IF($H832="","적요를 적으십시오","")))))))))))</f>
        <v/>
      </c>
      <c r="M832" s="39"/>
      <c r="O832" s="11" t="str">
        <f aca="false">IF($B832="","",YEAR($B832)*100+MONTH($B832))</f>
        <v/>
      </c>
      <c r="P832" s="11" t="str">
        <f aca="false">IF($B832="","",IF($E832="대체",0,1))</f>
        <v/>
      </c>
    </row>
    <row r="833" customFormat="false" ht="15" hidden="false" customHeight="false" outlineLevel="0" collapsed="false">
      <c r="A833" s="36" t="str">
        <f aca="false">IF($B833="","",COUNT($B$15:$B833))</f>
        <v/>
      </c>
      <c r="B833" s="37"/>
      <c r="C833" s="38"/>
      <c r="D833" s="20"/>
      <c r="E833" s="36" t="str">
        <f aca="false">IF($D833="","",IFERROR(INDEX('교육원 ④ 설정'!$A$6:$A$40,MATCH($D833,'교육원 ④ 설정'!$B$6:$B$40,0)),"※없는 과목"))</f>
        <v/>
      </c>
      <c r="F833" s="36" t="str">
        <f aca="false">IF($D833="","",IFERROR(INDEX('교육원 ④ 설정'!$C$6:$C$40,MATCH($D833,'교육원 ④ 설정'!$B$6:$B$40,0)),""))</f>
        <v/>
      </c>
      <c r="G833" s="39"/>
      <c r="H833" s="39"/>
      <c r="I833" s="40"/>
      <c r="J833" s="41"/>
      <c r="K833" s="38"/>
      <c r="L833" s="42" t="str">
        <f aca="false">IF($B833="","",IF(AND(N($I833)=0,N($J833)=0),"금액이 없습니다",IF(AND($I833&gt;0,$J833&gt;0),"수입·지출 둘 다 적혔습니다",IF($C833="","결제수단을 고르십시오",IF(ISNA(MATCH($C833,'교육원 ③ 통장·카드'!$A$5:$A$11,0)),"③ 통장·카드에 없는 결제수단입니다",IF($D833="","계정과목을 고르십시오",IF($E833="※없는 과목","④ 설정에 없는 과목입니다",IF(AND($E833="수입",$J833&gt;0),"수입 과목인데 지출에 적혔습니다",IF(AND(LEFT($E833,2)&lt;&gt;"수입",$E833&lt;&gt;"대체",$I833&gt;0),"지출 과목인데 수입에 적혔습니다",IF($K833="","증빙을 고르십시오",IF($H833="","적요를 적으십시오","")))))))))))</f>
        <v/>
      </c>
      <c r="M833" s="39"/>
      <c r="O833" s="11" t="str">
        <f aca="false">IF($B833="","",YEAR($B833)*100+MONTH($B833))</f>
        <v/>
      </c>
      <c r="P833" s="11" t="str">
        <f aca="false">IF($B833="","",IF($E833="대체",0,1))</f>
        <v/>
      </c>
    </row>
    <row r="834" customFormat="false" ht="15" hidden="false" customHeight="false" outlineLevel="0" collapsed="false">
      <c r="A834" s="36" t="str">
        <f aca="false">IF($B834="","",COUNT($B$15:$B834))</f>
        <v/>
      </c>
      <c r="B834" s="37"/>
      <c r="C834" s="38"/>
      <c r="D834" s="20"/>
      <c r="E834" s="36" t="str">
        <f aca="false">IF($D834="","",IFERROR(INDEX('교육원 ④ 설정'!$A$6:$A$40,MATCH($D834,'교육원 ④ 설정'!$B$6:$B$40,0)),"※없는 과목"))</f>
        <v/>
      </c>
      <c r="F834" s="36" t="str">
        <f aca="false">IF($D834="","",IFERROR(INDEX('교육원 ④ 설정'!$C$6:$C$40,MATCH($D834,'교육원 ④ 설정'!$B$6:$B$40,0)),""))</f>
        <v/>
      </c>
      <c r="G834" s="39"/>
      <c r="H834" s="39"/>
      <c r="I834" s="40"/>
      <c r="J834" s="41"/>
      <c r="K834" s="38"/>
      <c r="L834" s="42" t="str">
        <f aca="false">IF($B834="","",IF(AND(N($I834)=0,N($J834)=0),"금액이 없습니다",IF(AND($I834&gt;0,$J834&gt;0),"수입·지출 둘 다 적혔습니다",IF($C834="","결제수단을 고르십시오",IF(ISNA(MATCH($C834,'교육원 ③ 통장·카드'!$A$5:$A$11,0)),"③ 통장·카드에 없는 결제수단입니다",IF($D834="","계정과목을 고르십시오",IF($E834="※없는 과목","④ 설정에 없는 과목입니다",IF(AND($E834="수입",$J834&gt;0),"수입 과목인데 지출에 적혔습니다",IF(AND(LEFT($E834,2)&lt;&gt;"수입",$E834&lt;&gt;"대체",$I834&gt;0),"지출 과목인데 수입에 적혔습니다",IF($K834="","증빙을 고르십시오",IF($H834="","적요를 적으십시오","")))))))))))</f>
        <v/>
      </c>
      <c r="M834" s="39"/>
      <c r="O834" s="11" t="str">
        <f aca="false">IF($B834="","",YEAR($B834)*100+MONTH($B834))</f>
        <v/>
      </c>
      <c r="P834" s="11" t="str">
        <f aca="false">IF($B834="","",IF($E834="대체",0,1))</f>
        <v/>
      </c>
    </row>
    <row r="835" customFormat="false" ht="15" hidden="false" customHeight="false" outlineLevel="0" collapsed="false">
      <c r="A835" s="36" t="str">
        <f aca="false">IF($B835="","",COUNT($B$15:$B835))</f>
        <v/>
      </c>
      <c r="B835" s="37"/>
      <c r="C835" s="38"/>
      <c r="D835" s="20"/>
      <c r="E835" s="36" t="str">
        <f aca="false">IF($D835="","",IFERROR(INDEX('교육원 ④ 설정'!$A$6:$A$40,MATCH($D835,'교육원 ④ 설정'!$B$6:$B$40,0)),"※없는 과목"))</f>
        <v/>
      </c>
      <c r="F835" s="36" t="str">
        <f aca="false">IF($D835="","",IFERROR(INDEX('교육원 ④ 설정'!$C$6:$C$40,MATCH($D835,'교육원 ④ 설정'!$B$6:$B$40,0)),""))</f>
        <v/>
      </c>
      <c r="G835" s="39"/>
      <c r="H835" s="39"/>
      <c r="I835" s="40"/>
      <c r="J835" s="41"/>
      <c r="K835" s="38"/>
      <c r="L835" s="42" t="str">
        <f aca="false">IF($B835="","",IF(AND(N($I835)=0,N($J835)=0),"금액이 없습니다",IF(AND($I835&gt;0,$J835&gt;0),"수입·지출 둘 다 적혔습니다",IF($C835="","결제수단을 고르십시오",IF(ISNA(MATCH($C835,'교육원 ③ 통장·카드'!$A$5:$A$11,0)),"③ 통장·카드에 없는 결제수단입니다",IF($D835="","계정과목을 고르십시오",IF($E835="※없는 과목","④ 설정에 없는 과목입니다",IF(AND($E835="수입",$J835&gt;0),"수입 과목인데 지출에 적혔습니다",IF(AND(LEFT($E835,2)&lt;&gt;"수입",$E835&lt;&gt;"대체",$I835&gt;0),"지출 과목인데 수입에 적혔습니다",IF($K835="","증빙을 고르십시오",IF($H835="","적요를 적으십시오","")))))))))))</f>
        <v/>
      </c>
      <c r="M835" s="39"/>
      <c r="O835" s="11" t="str">
        <f aca="false">IF($B835="","",YEAR($B835)*100+MONTH($B835))</f>
        <v/>
      </c>
      <c r="P835" s="11" t="str">
        <f aca="false">IF($B835="","",IF($E835="대체",0,1))</f>
        <v/>
      </c>
    </row>
    <row r="836" customFormat="false" ht="15" hidden="false" customHeight="false" outlineLevel="0" collapsed="false">
      <c r="A836" s="36" t="str">
        <f aca="false">IF($B836="","",COUNT($B$15:$B836))</f>
        <v/>
      </c>
      <c r="B836" s="37"/>
      <c r="C836" s="38"/>
      <c r="D836" s="20"/>
      <c r="E836" s="36" t="str">
        <f aca="false">IF($D836="","",IFERROR(INDEX('교육원 ④ 설정'!$A$6:$A$40,MATCH($D836,'교육원 ④ 설정'!$B$6:$B$40,0)),"※없는 과목"))</f>
        <v/>
      </c>
      <c r="F836" s="36" t="str">
        <f aca="false">IF($D836="","",IFERROR(INDEX('교육원 ④ 설정'!$C$6:$C$40,MATCH($D836,'교육원 ④ 설정'!$B$6:$B$40,0)),""))</f>
        <v/>
      </c>
      <c r="G836" s="39"/>
      <c r="H836" s="39"/>
      <c r="I836" s="40"/>
      <c r="J836" s="41"/>
      <c r="K836" s="38"/>
      <c r="L836" s="42" t="str">
        <f aca="false">IF($B836="","",IF(AND(N($I836)=0,N($J836)=0),"금액이 없습니다",IF(AND($I836&gt;0,$J836&gt;0),"수입·지출 둘 다 적혔습니다",IF($C836="","결제수단을 고르십시오",IF(ISNA(MATCH($C836,'교육원 ③ 통장·카드'!$A$5:$A$11,0)),"③ 통장·카드에 없는 결제수단입니다",IF($D836="","계정과목을 고르십시오",IF($E836="※없는 과목","④ 설정에 없는 과목입니다",IF(AND($E836="수입",$J836&gt;0),"수입 과목인데 지출에 적혔습니다",IF(AND(LEFT($E836,2)&lt;&gt;"수입",$E836&lt;&gt;"대체",$I836&gt;0),"지출 과목인데 수입에 적혔습니다",IF($K836="","증빙을 고르십시오",IF($H836="","적요를 적으십시오","")))))))))))</f>
        <v/>
      </c>
      <c r="M836" s="39"/>
      <c r="O836" s="11" t="str">
        <f aca="false">IF($B836="","",YEAR($B836)*100+MONTH($B836))</f>
        <v/>
      </c>
      <c r="P836" s="11" t="str">
        <f aca="false">IF($B836="","",IF($E836="대체",0,1))</f>
        <v/>
      </c>
    </row>
    <row r="837" customFormat="false" ht="15" hidden="false" customHeight="false" outlineLevel="0" collapsed="false">
      <c r="A837" s="36" t="str">
        <f aca="false">IF($B837="","",COUNT($B$15:$B837))</f>
        <v/>
      </c>
      <c r="B837" s="37"/>
      <c r="C837" s="38"/>
      <c r="D837" s="20"/>
      <c r="E837" s="36" t="str">
        <f aca="false">IF($D837="","",IFERROR(INDEX('교육원 ④ 설정'!$A$6:$A$40,MATCH($D837,'교육원 ④ 설정'!$B$6:$B$40,0)),"※없는 과목"))</f>
        <v/>
      </c>
      <c r="F837" s="36" t="str">
        <f aca="false">IF($D837="","",IFERROR(INDEX('교육원 ④ 설정'!$C$6:$C$40,MATCH($D837,'교육원 ④ 설정'!$B$6:$B$40,0)),""))</f>
        <v/>
      </c>
      <c r="G837" s="39"/>
      <c r="H837" s="39"/>
      <c r="I837" s="40"/>
      <c r="J837" s="41"/>
      <c r="K837" s="38"/>
      <c r="L837" s="42" t="str">
        <f aca="false">IF($B837="","",IF(AND(N($I837)=0,N($J837)=0),"금액이 없습니다",IF(AND($I837&gt;0,$J837&gt;0),"수입·지출 둘 다 적혔습니다",IF($C837="","결제수단을 고르십시오",IF(ISNA(MATCH($C837,'교육원 ③ 통장·카드'!$A$5:$A$11,0)),"③ 통장·카드에 없는 결제수단입니다",IF($D837="","계정과목을 고르십시오",IF($E837="※없는 과목","④ 설정에 없는 과목입니다",IF(AND($E837="수입",$J837&gt;0),"수입 과목인데 지출에 적혔습니다",IF(AND(LEFT($E837,2)&lt;&gt;"수입",$E837&lt;&gt;"대체",$I837&gt;0),"지출 과목인데 수입에 적혔습니다",IF($K837="","증빙을 고르십시오",IF($H837="","적요를 적으십시오","")))))))))))</f>
        <v/>
      </c>
      <c r="M837" s="39"/>
      <c r="O837" s="11" t="str">
        <f aca="false">IF($B837="","",YEAR($B837)*100+MONTH($B837))</f>
        <v/>
      </c>
      <c r="P837" s="11" t="str">
        <f aca="false">IF($B837="","",IF($E837="대체",0,1))</f>
        <v/>
      </c>
    </row>
    <row r="838" customFormat="false" ht="15" hidden="false" customHeight="false" outlineLevel="0" collapsed="false">
      <c r="A838" s="36" t="str">
        <f aca="false">IF($B838="","",COUNT($B$15:$B838))</f>
        <v/>
      </c>
      <c r="B838" s="37"/>
      <c r="C838" s="38"/>
      <c r="D838" s="20"/>
      <c r="E838" s="36" t="str">
        <f aca="false">IF($D838="","",IFERROR(INDEX('교육원 ④ 설정'!$A$6:$A$40,MATCH($D838,'교육원 ④ 설정'!$B$6:$B$40,0)),"※없는 과목"))</f>
        <v/>
      </c>
      <c r="F838" s="36" t="str">
        <f aca="false">IF($D838="","",IFERROR(INDEX('교육원 ④ 설정'!$C$6:$C$40,MATCH($D838,'교육원 ④ 설정'!$B$6:$B$40,0)),""))</f>
        <v/>
      </c>
      <c r="G838" s="39"/>
      <c r="H838" s="39"/>
      <c r="I838" s="40"/>
      <c r="J838" s="41"/>
      <c r="K838" s="38"/>
      <c r="L838" s="42" t="str">
        <f aca="false">IF($B838="","",IF(AND(N($I838)=0,N($J838)=0),"금액이 없습니다",IF(AND($I838&gt;0,$J838&gt;0),"수입·지출 둘 다 적혔습니다",IF($C838="","결제수단을 고르십시오",IF(ISNA(MATCH($C838,'교육원 ③ 통장·카드'!$A$5:$A$11,0)),"③ 통장·카드에 없는 결제수단입니다",IF($D838="","계정과목을 고르십시오",IF($E838="※없는 과목","④ 설정에 없는 과목입니다",IF(AND($E838="수입",$J838&gt;0),"수입 과목인데 지출에 적혔습니다",IF(AND(LEFT($E838,2)&lt;&gt;"수입",$E838&lt;&gt;"대체",$I838&gt;0),"지출 과목인데 수입에 적혔습니다",IF($K838="","증빙을 고르십시오",IF($H838="","적요를 적으십시오","")))))))))))</f>
        <v/>
      </c>
      <c r="M838" s="39"/>
      <c r="O838" s="11" t="str">
        <f aca="false">IF($B838="","",YEAR($B838)*100+MONTH($B838))</f>
        <v/>
      </c>
      <c r="P838" s="11" t="str">
        <f aca="false">IF($B838="","",IF($E838="대체",0,1))</f>
        <v/>
      </c>
    </row>
    <row r="839" customFormat="false" ht="15" hidden="false" customHeight="false" outlineLevel="0" collapsed="false">
      <c r="A839" s="36" t="str">
        <f aca="false">IF($B839="","",COUNT($B$15:$B839))</f>
        <v/>
      </c>
      <c r="B839" s="37"/>
      <c r="C839" s="38"/>
      <c r="D839" s="20"/>
      <c r="E839" s="36" t="str">
        <f aca="false">IF($D839="","",IFERROR(INDEX('교육원 ④ 설정'!$A$6:$A$40,MATCH($D839,'교육원 ④ 설정'!$B$6:$B$40,0)),"※없는 과목"))</f>
        <v/>
      </c>
      <c r="F839" s="36" t="str">
        <f aca="false">IF($D839="","",IFERROR(INDEX('교육원 ④ 설정'!$C$6:$C$40,MATCH($D839,'교육원 ④ 설정'!$B$6:$B$40,0)),""))</f>
        <v/>
      </c>
      <c r="G839" s="39"/>
      <c r="H839" s="39"/>
      <c r="I839" s="40"/>
      <c r="J839" s="41"/>
      <c r="K839" s="38"/>
      <c r="L839" s="42" t="str">
        <f aca="false">IF($B839="","",IF(AND(N($I839)=0,N($J839)=0),"금액이 없습니다",IF(AND($I839&gt;0,$J839&gt;0),"수입·지출 둘 다 적혔습니다",IF($C839="","결제수단을 고르십시오",IF(ISNA(MATCH($C839,'교육원 ③ 통장·카드'!$A$5:$A$11,0)),"③ 통장·카드에 없는 결제수단입니다",IF($D839="","계정과목을 고르십시오",IF($E839="※없는 과목","④ 설정에 없는 과목입니다",IF(AND($E839="수입",$J839&gt;0),"수입 과목인데 지출에 적혔습니다",IF(AND(LEFT($E839,2)&lt;&gt;"수입",$E839&lt;&gt;"대체",$I839&gt;0),"지출 과목인데 수입에 적혔습니다",IF($K839="","증빙을 고르십시오",IF($H839="","적요를 적으십시오","")))))))))))</f>
        <v/>
      </c>
      <c r="M839" s="39"/>
      <c r="O839" s="11" t="str">
        <f aca="false">IF($B839="","",YEAR($B839)*100+MONTH($B839))</f>
        <v/>
      </c>
      <c r="P839" s="11" t="str">
        <f aca="false">IF($B839="","",IF($E839="대체",0,1))</f>
        <v/>
      </c>
    </row>
    <row r="840" customFormat="false" ht="15" hidden="false" customHeight="false" outlineLevel="0" collapsed="false">
      <c r="A840" s="36" t="str">
        <f aca="false">IF($B840="","",COUNT($B$15:$B840))</f>
        <v/>
      </c>
      <c r="B840" s="37"/>
      <c r="C840" s="38"/>
      <c r="D840" s="20"/>
      <c r="E840" s="36" t="str">
        <f aca="false">IF($D840="","",IFERROR(INDEX('교육원 ④ 설정'!$A$6:$A$40,MATCH($D840,'교육원 ④ 설정'!$B$6:$B$40,0)),"※없는 과목"))</f>
        <v/>
      </c>
      <c r="F840" s="36" t="str">
        <f aca="false">IF($D840="","",IFERROR(INDEX('교육원 ④ 설정'!$C$6:$C$40,MATCH($D840,'교육원 ④ 설정'!$B$6:$B$40,0)),""))</f>
        <v/>
      </c>
      <c r="G840" s="39"/>
      <c r="H840" s="39"/>
      <c r="I840" s="40"/>
      <c r="J840" s="41"/>
      <c r="K840" s="38"/>
      <c r="L840" s="42" t="str">
        <f aca="false">IF($B840="","",IF(AND(N($I840)=0,N($J840)=0),"금액이 없습니다",IF(AND($I840&gt;0,$J840&gt;0),"수입·지출 둘 다 적혔습니다",IF($C840="","결제수단을 고르십시오",IF(ISNA(MATCH($C840,'교육원 ③ 통장·카드'!$A$5:$A$11,0)),"③ 통장·카드에 없는 결제수단입니다",IF($D840="","계정과목을 고르십시오",IF($E840="※없는 과목","④ 설정에 없는 과목입니다",IF(AND($E840="수입",$J840&gt;0),"수입 과목인데 지출에 적혔습니다",IF(AND(LEFT($E840,2)&lt;&gt;"수입",$E840&lt;&gt;"대체",$I840&gt;0),"지출 과목인데 수입에 적혔습니다",IF($K840="","증빙을 고르십시오",IF($H840="","적요를 적으십시오","")))))))))))</f>
        <v/>
      </c>
      <c r="M840" s="39"/>
      <c r="O840" s="11" t="str">
        <f aca="false">IF($B840="","",YEAR($B840)*100+MONTH($B840))</f>
        <v/>
      </c>
      <c r="P840" s="11" t="str">
        <f aca="false">IF($B840="","",IF($E840="대체",0,1))</f>
        <v/>
      </c>
    </row>
    <row r="841" customFormat="false" ht="15" hidden="false" customHeight="false" outlineLevel="0" collapsed="false">
      <c r="A841" s="36" t="str">
        <f aca="false">IF($B841="","",COUNT($B$15:$B841))</f>
        <v/>
      </c>
      <c r="B841" s="37"/>
      <c r="C841" s="38"/>
      <c r="D841" s="20"/>
      <c r="E841" s="36" t="str">
        <f aca="false">IF($D841="","",IFERROR(INDEX('교육원 ④ 설정'!$A$6:$A$40,MATCH($D841,'교육원 ④ 설정'!$B$6:$B$40,0)),"※없는 과목"))</f>
        <v/>
      </c>
      <c r="F841" s="36" t="str">
        <f aca="false">IF($D841="","",IFERROR(INDEX('교육원 ④ 설정'!$C$6:$C$40,MATCH($D841,'교육원 ④ 설정'!$B$6:$B$40,0)),""))</f>
        <v/>
      </c>
      <c r="G841" s="39"/>
      <c r="H841" s="39"/>
      <c r="I841" s="40"/>
      <c r="J841" s="41"/>
      <c r="K841" s="38"/>
      <c r="L841" s="42" t="str">
        <f aca="false">IF($B841="","",IF(AND(N($I841)=0,N($J841)=0),"금액이 없습니다",IF(AND($I841&gt;0,$J841&gt;0),"수입·지출 둘 다 적혔습니다",IF($C841="","결제수단을 고르십시오",IF(ISNA(MATCH($C841,'교육원 ③ 통장·카드'!$A$5:$A$11,0)),"③ 통장·카드에 없는 결제수단입니다",IF($D841="","계정과목을 고르십시오",IF($E841="※없는 과목","④ 설정에 없는 과목입니다",IF(AND($E841="수입",$J841&gt;0),"수입 과목인데 지출에 적혔습니다",IF(AND(LEFT($E841,2)&lt;&gt;"수입",$E841&lt;&gt;"대체",$I841&gt;0),"지출 과목인데 수입에 적혔습니다",IF($K841="","증빙을 고르십시오",IF($H841="","적요를 적으십시오","")))))))))))</f>
        <v/>
      </c>
      <c r="M841" s="39"/>
      <c r="O841" s="11" t="str">
        <f aca="false">IF($B841="","",YEAR($B841)*100+MONTH($B841))</f>
        <v/>
      </c>
      <c r="P841" s="11" t="str">
        <f aca="false">IF($B841="","",IF($E841="대체",0,1))</f>
        <v/>
      </c>
    </row>
    <row r="842" customFormat="false" ht="15" hidden="false" customHeight="false" outlineLevel="0" collapsed="false">
      <c r="A842" s="36" t="str">
        <f aca="false">IF($B842="","",COUNT($B$15:$B842))</f>
        <v/>
      </c>
      <c r="B842" s="37"/>
      <c r="C842" s="38"/>
      <c r="D842" s="20"/>
      <c r="E842" s="36" t="str">
        <f aca="false">IF($D842="","",IFERROR(INDEX('교육원 ④ 설정'!$A$6:$A$40,MATCH($D842,'교육원 ④ 설정'!$B$6:$B$40,0)),"※없는 과목"))</f>
        <v/>
      </c>
      <c r="F842" s="36" t="str">
        <f aca="false">IF($D842="","",IFERROR(INDEX('교육원 ④ 설정'!$C$6:$C$40,MATCH($D842,'교육원 ④ 설정'!$B$6:$B$40,0)),""))</f>
        <v/>
      </c>
      <c r="G842" s="39"/>
      <c r="H842" s="39"/>
      <c r="I842" s="40"/>
      <c r="J842" s="41"/>
      <c r="K842" s="38"/>
      <c r="L842" s="42" t="str">
        <f aca="false">IF($B842="","",IF(AND(N($I842)=0,N($J842)=0),"금액이 없습니다",IF(AND($I842&gt;0,$J842&gt;0),"수입·지출 둘 다 적혔습니다",IF($C842="","결제수단을 고르십시오",IF(ISNA(MATCH($C842,'교육원 ③ 통장·카드'!$A$5:$A$11,0)),"③ 통장·카드에 없는 결제수단입니다",IF($D842="","계정과목을 고르십시오",IF($E842="※없는 과목","④ 설정에 없는 과목입니다",IF(AND($E842="수입",$J842&gt;0),"수입 과목인데 지출에 적혔습니다",IF(AND(LEFT($E842,2)&lt;&gt;"수입",$E842&lt;&gt;"대체",$I842&gt;0),"지출 과목인데 수입에 적혔습니다",IF($K842="","증빙을 고르십시오",IF($H842="","적요를 적으십시오","")))))))))))</f>
        <v/>
      </c>
      <c r="M842" s="39"/>
      <c r="O842" s="11" t="str">
        <f aca="false">IF($B842="","",YEAR($B842)*100+MONTH($B842))</f>
        <v/>
      </c>
      <c r="P842" s="11" t="str">
        <f aca="false">IF($B842="","",IF($E842="대체",0,1))</f>
        <v/>
      </c>
    </row>
    <row r="843" customFormat="false" ht="15" hidden="false" customHeight="false" outlineLevel="0" collapsed="false">
      <c r="A843" s="36" t="str">
        <f aca="false">IF($B843="","",COUNT($B$15:$B843))</f>
        <v/>
      </c>
      <c r="B843" s="37"/>
      <c r="C843" s="38"/>
      <c r="D843" s="20"/>
      <c r="E843" s="36" t="str">
        <f aca="false">IF($D843="","",IFERROR(INDEX('교육원 ④ 설정'!$A$6:$A$40,MATCH($D843,'교육원 ④ 설정'!$B$6:$B$40,0)),"※없는 과목"))</f>
        <v/>
      </c>
      <c r="F843" s="36" t="str">
        <f aca="false">IF($D843="","",IFERROR(INDEX('교육원 ④ 설정'!$C$6:$C$40,MATCH($D843,'교육원 ④ 설정'!$B$6:$B$40,0)),""))</f>
        <v/>
      </c>
      <c r="G843" s="39"/>
      <c r="H843" s="39"/>
      <c r="I843" s="40"/>
      <c r="J843" s="41"/>
      <c r="K843" s="38"/>
      <c r="L843" s="42" t="str">
        <f aca="false">IF($B843="","",IF(AND(N($I843)=0,N($J843)=0),"금액이 없습니다",IF(AND($I843&gt;0,$J843&gt;0),"수입·지출 둘 다 적혔습니다",IF($C843="","결제수단을 고르십시오",IF(ISNA(MATCH($C843,'교육원 ③ 통장·카드'!$A$5:$A$11,0)),"③ 통장·카드에 없는 결제수단입니다",IF($D843="","계정과목을 고르십시오",IF($E843="※없는 과목","④ 설정에 없는 과목입니다",IF(AND($E843="수입",$J843&gt;0),"수입 과목인데 지출에 적혔습니다",IF(AND(LEFT($E843,2)&lt;&gt;"수입",$E843&lt;&gt;"대체",$I843&gt;0),"지출 과목인데 수입에 적혔습니다",IF($K843="","증빙을 고르십시오",IF($H843="","적요를 적으십시오","")))))))))))</f>
        <v/>
      </c>
      <c r="M843" s="39"/>
      <c r="O843" s="11" t="str">
        <f aca="false">IF($B843="","",YEAR($B843)*100+MONTH($B843))</f>
        <v/>
      </c>
      <c r="P843" s="11" t="str">
        <f aca="false">IF($B843="","",IF($E843="대체",0,1))</f>
        <v/>
      </c>
    </row>
    <row r="844" customFormat="false" ht="15" hidden="false" customHeight="false" outlineLevel="0" collapsed="false">
      <c r="A844" s="36" t="str">
        <f aca="false">IF($B844="","",COUNT($B$15:$B844))</f>
        <v/>
      </c>
      <c r="B844" s="37"/>
      <c r="C844" s="38"/>
      <c r="D844" s="20"/>
      <c r="E844" s="36" t="str">
        <f aca="false">IF($D844="","",IFERROR(INDEX('교육원 ④ 설정'!$A$6:$A$40,MATCH($D844,'교육원 ④ 설정'!$B$6:$B$40,0)),"※없는 과목"))</f>
        <v/>
      </c>
      <c r="F844" s="36" t="str">
        <f aca="false">IF($D844="","",IFERROR(INDEX('교육원 ④ 설정'!$C$6:$C$40,MATCH($D844,'교육원 ④ 설정'!$B$6:$B$40,0)),""))</f>
        <v/>
      </c>
      <c r="G844" s="39"/>
      <c r="H844" s="39"/>
      <c r="I844" s="40"/>
      <c r="J844" s="41"/>
      <c r="K844" s="38"/>
      <c r="L844" s="42" t="str">
        <f aca="false">IF($B844="","",IF(AND(N($I844)=0,N($J844)=0),"금액이 없습니다",IF(AND($I844&gt;0,$J844&gt;0),"수입·지출 둘 다 적혔습니다",IF($C844="","결제수단을 고르십시오",IF(ISNA(MATCH($C844,'교육원 ③ 통장·카드'!$A$5:$A$11,0)),"③ 통장·카드에 없는 결제수단입니다",IF($D844="","계정과목을 고르십시오",IF($E844="※없는 과목","④ 설정에 없는 과목입니다",IF(AND($E844="수입",$J844&gt;0),"수입 과목인데 지출에 적혔습니다",IF(AND(LEFT($E844,2)&lt;&gt;"수입",$E844&lt;&gt;"대체",$I844&gt;0),"지출 과목인데 수입에 적혔습니다",IF($K844="","증빙을 고르십시오",IF($H844="","적요를 적으십시오","")))))))))))</f>
        <v/>
      </c>
      <c r="M844" s="39"/>
      <c r="O844" s="11" t="str">
        <f aca="false">IF($B844="","",YEAR($B844)*100+MONTH($B844))</f>
        <v/>
      </c>
      <c r="P844" s="11" t="str">
        <f aca="false">IF($B844="","",IF($E844="대체",0,1))</f>
        <v/>
      </c>
    </row>
    <row r="845" customFormat="false" ht="15" hidden="false" customHeight="false" outlineLevel="0" collapsed="false">
      <c r="A845" s="36" t="str">
        <f aca="false">IF($B845="","",COUNT($B$15:$B845))</f>
        <v/>
      </c>
      <c r="B845" s="37"/>
      <c r="C845" s="38"/>
      <c r="D845" s="20"/>
      <c r="E845" s="36" t="str">
        <f aca="false">IF($D845="","",IFERROR(INDEX('교육원 ④ 설정'!$A$6:$A$40,MATCH($D845,'교육원 ④ 설정'!$B$6:$B$40,0)),"※없는 과목"))</f>
        <v/>
      </c>
      <c r="F845" s="36" t="str">
        <f aca="false">IF($D845="","",IFERROR(INDEX('교육원 ④ 설정'!$C$6:$C$40,MATCH($D845,'교육원 ④ 설정'!$B$6:$B$40,0)),""))</f>
        <v/>
      </c>
      <c r="G845" s="39"/>
      <c r="H845" s="39"/>
      <c r="I845" s="40"/>
      <c r="J845" s="41"/>
      <c r="K845" s="38"/>
      <c r="L845" s="42" t="str">
        <f aca="false">IF($B845="","",IF(AND(N($I845)=0,N($J845)=0),"금액이 없습니다",IF(AND($I845&gt;0,$J845&gt;0),"수입·지출 둘 다 적혔습니다",IF($C845="","결제수단을 고르십시오",IF(ISNA(MATCH($C845,'교육원 ③ 통장·카드'!$A$5:$A$11,0)),"③ 통장·카드에 없는 결제수단입니다",IF($D845="","계정과목을 고르십시오",IF($E845="※없는 과목","④ 설정에 없는 과목입니다",IF(AND($E845="수입",$J845&gt;0),"수입 과목인데 지출에 적혔습니다",IF(AND(LEFT($E845,2)&lt;&gt;"수입",$E845&lt;&gt;"대체",$I845&gt;0),"지출 과목인데 수입에 적혔습니다",IF($K845="","증빙을 고르십시오",IF($H845="","적요를 적으십시오","")))))))))))</f>
        <v/>
      </c>
      <c r="M845" s="39"/>
      <c r="O845" s="11" t="str">
        <f aca="false">IF($B845="","",YEAR($B845)*100+MONTH($B845))</f>
        <v/>
      </c>
      <c r="P845" s="11" t="str">
        <f aca="false">IF($B845="","",IF($E845="대체",0,1))</f>
        <v/>
      </c>
    </row>
    <row r="846" customFormat="false" ht="15" hidden="false" customHeight="false" outlineLevel="0" collapsed="false">
      <c r="A846" s="36" t="str">
        <f aca="false">IF($B846="","",COUNT($B$15:$B846))</f>
        <v/>
      </c>
      <c r="B846" s="37"/>
      <c r="C846" s="38"/>
      <c r="D846" s="20"/>
      <c r="E846" s="36" t="str">
        <f aca="false">IF($D846="","",IFERROR(INDEX('교육원 ④ 설정'!$A$6:$A$40,MATCH($D846,'교육원 ④ 설정'!$B$6:$B$40,0)),"※없는 과목"))</f>
        <v/>
      </c>
      <c r="F846" s="36" t="str">
        <f aca="false">IF($D846="","",IFERROR(INDEX('교육원 ④ 설정'!$C$6:$C$40,MATCH($D846,'교육원 ④ 설정'!$B$6:$B$40,0)),""))</f>
        <v/>
      </c>
      <c r="G846" s="39"/>
      <c r="H846" s="39"/>
      <c r="I846" s="40"/>
      <c r="J846" s="41"/>
      <c r="K846" s="38"/>
      <c r="L846" s="42" t="str">
        <f aca="false">IF($B846="","",IF(AND(N($I846)=0,N($J846)=0),"금액이 없습니다",IF(AND($I846&gt;0,$J846&gt;0),"수입·지출 둘 다 적혔습니다",IF($C846="","결제수단을 고르십시오",IF(ISNA(MATCH($C846,'교육원 ③ 통장·카드'!$A$5:$A$11,0)),"③ 통장·카드에 없는 결제수단입니다",IF($D846="","계정과목을 고르십시오",IF($E846="※없는 과목","④ 설정에 없는 과목입니다",IF(AND($E846="수입",$J846&gt;0),"수입 과목인데 지출에 적혔습니다",IF(AND(LEFT($E846,2)&lt;&gt;"수입",$E846&lt;&gt;"대체",$I846&gt;0),"지출 과목인데 수입에 적혔습니다",IF($K846="","증빙을 고르십시오",IF($H846="","적요를 적으십시오","")))))))))))</f>
        <v/>
      </c>
      <c r="M846" s="39"/>
      <c r="O846" s="11" t="str">
        <f aca="false">IF($B846="","",YEAR($B846)*100+MONTH($B846))</f>
        <v/>
      </c>
      <c r="P846" s="11" t="str">
        <f aca="false">IF($B846="","",IF($E846="대체",0,1))</f>
        <v/>
      </c>
    </row>
    <row r="847" customFormat="false" ht="15" hidden="false" customHeight="false" outlineLevel="0" collapsed="false">
      <c r="A847" s="36" t="str">
        <f aca="false">IF($B847="","",COUNT($B$15:$B847))</f>
        <v/>
      </c>
      <c r="B847" s="37"/>
      <c r="C847" s="38"/>
      <c r="D847" s="20"/>
      <c r="E847" s="36" t="str">
        <f aca="false">IF($D847="","",IFERROR(INDEX('교육원 ④ 설정'!$A$6:$A$40,MATCH($D847,'교육원 ④ 설정'!$B$6:$B$40,0)),"※없는 과목"))</f>
        <v/>
      </c>
      <c r="F847" s="36" t="str">
        <f aca="false">IF($D847="","",IFERROR(INDEX('교육원 ④ 설정'!$C$6:$C$40,MATCH($D847,'교육원 ④ 설정'!$B$6:$B$40,0)),""))</f>
        <v/>
      </c>
      <c r="G847" s="39"/>
      <c r="H847" s="39"/>
      <c r="I847" s="40"/>
      <c r="J847" s="41"/>
      <c r="K847" s="38"/>
      <c r="L847" s="42" t="str">
        <f aca="false">IF($B847="","",IF(AND(N($I847)=0,N($J847)=0),"금액이 없습니다",IF(AND($I847&gt;0,$J847&gt;0),"수입·지출 둘 다 적혔습니다",IF($C847="","결제수단을 고르십시오",IF(ISNA(MATCH($C847,'교육원 ③ 통장·카드'!$A$5:$A$11,0)),"③ 통장·카드에 없는 결제수단입니다",IF($D847="","계정과목을 고르십시오",IF($E847="※없는 과목","④ 설정에 없는 과목입니다",IF(AND($E847="수입",$J847&gt;0),"수입 과목인데 지출에 적혔습니다",IF(AND(LEFT($E847,2)&lt;&gt;"수입",$E847&lt;&gt;"대체",$I847&gt;0),"지출 과목인데 수입에 적혔습니다",IF($K847="","증빙을 고르십시오",IF($H847="","적요를 적으십시오","")))))))))))</f>
        <v/>
      </c>
      <c r="M847" s="39"/>
      <c r="O847" s="11" t="str">
        <f aca="false">IF($B847="","",YEAR($B847)*100+MONTH($B847))</f>
        <v/>
      </c>
      <c r="P847" s="11" t="str">
        <f aca="false">IF($B847="","",IF($E847="대체",0,1))</f>
        <v/>
      </c>
    </row>
    <row r="848" customFormat="false" ht="15" hidden="false" customHeight="false" outlineLevel="0" collapsed="false">
      <c r="A848" s="36" t="str">
        <f aca="false">IF($B848="","",COUNT($B$15:$B848))</f>
        <v/>
      </c>
      <c r="B848" s="37"/>
      <c r="C848" s="38"/>
      <c r="D848" s="20"/>
      <c r="E848" s="36" t="str">
        <f aca="false">IF($D848="","",IFERROR(INDEX('교육원 ④ 설정'!$A$6:$A$40,MATCH($D848,'교육원 ④ 설정'!$B$6:$B$40,0)),"※없는 과목"))</f>
        <v/>
      </c>
      <c r="F848" s="36" t="str">
        <f aca="false">IF($D848="","",IFERROR(INDEX('교육원 ④ 설정'!$C$6:$C$40,MATCH($D848,'교육원 ④ 설정'!$B$6:$B$40,0)),""))</f>
        <v/>
      </c>
      <c r="G848" s="39"/>
      <c r="H848" s="39"/>
      <c r="I848" s="40"/>
      <c r="J848" s="41"/>
      <c r="K848" s="38"/>
      <c r="L848" s="42" t="str">
        <f aca="false">IF($B848="","",IF(AND(N($I848)=0,N($J848)=0),"금액이 없습니다",IF(AND($I848&gt;0,$J848&gt;0),"수입·지출 둘 다 적혔습니다",IF($C848="","결제수단을 고르십시오",IF(ISNA(MATCH($C848,'교육원 ③ 통장·카드'!$A$5:$A$11,0)),"③ 통장·카드에 없는 결제수단입니다",IF($D848="","계정과목을 고르십시오",IF($E848="※없는 과목","④ 설정에 없는 과목입니다",IF(AND($E848="수입",$J848&gt;0),"수입 과목인데 지출에 적혔습니다",IF(AND(LEFT($E848,2)&lt;&gt;"수입",$E848&lt;&gt;"대체",$I848&gt;0),"지출 과목인데 수입에 적혔습니다",IF($K848="","증빙을 고르십시오",IF($H848="","적요를 적으십시오","")))))))))))</f>
        <v/>
      </c>
      <c r="M848" s="39"/>
      <c r="O848" s="11" t="str">
        <f aca="false">IF($B848="","",YEAR($B848)*100+MONTH($B848))</f>
        <v/>
      </c>
      <c r="P848" s="11" t="str">
        <f aca="false">IF($B848="","",IF($E848="대체",0,1))</f>
        <v/>
      </c>
    </row>
    <row r="849" customFormat="false" ht="15" hidden="false" customHeight="false" outlineLevel="0" collapsed="false">
      <c r="A849" s="36" t="str">
        <f aca="false">IF($B849="","",COUNT($B$15:$B849))</f>
        <v/>
      </c>
      <c r="B849" s="37"/>
      <c r="C849" s="38"/>
      <c r="D849" s="20"/>
      <c r="E849" s="36" t="str">
        <f aca="false">IF($D849="","",IFERROR(INDEX('교육원 ④ 설정'!$A$6:$A$40,MATCH($D849,'교육원 ④ 설정'!$B$6:$B$40,0)),"※없는 과목"))</f>
        <v/>
      </c>
      <c r="F849" s="36" t="str">
        <f aca="false">IF($D849="","",IFERROR(INDEX('교육원 ④ 설정'!$C$6:$C$40,MATCH($D849,'교육원 ④ 설정'!$B$6:$B$40,0)),""))</f>
        <v/>
      </c>
      <c r="G849" s="39"/>
      <c r="H849" s="39"/>
      <c r="I849" s="40"/>
      <c r="J849" s="41"/>
      <c r="K849" s="38"/>
      <c r="L849" s="42" t="str">
        <f aca="false">IF($B849="","",IF(AND(N($I849)=0,N($J849)=0),"금액이 없습니다",IF(AND($I849&gt;0,$J849&gt;0),"수입·지출 둘 다 적혔습니다",IF($C849="","결제수단을 고르십시오",IF(ISNA(MATCH($C849,'교육원 ③ 통장·카드'!$A$5:$A$11,0)),"③ 통장·카드에 없는 결제수단입니다",IF($D849="","계정과목을 고르십시오",IF($E849="※없는 과목","④ 설정에 없는 과목입니다",IF(AND($E849="수입",$J849&gt;0),"수입 과목인데 지출에 적혔습니다",IF(AND(LEFT($E849,2)&lt;&gt;"수입",$E849&lt;&gt;"대체",$I849&gt;0),"지출 과목인데 수입에 적혔습니다",IF($K849="","증빙을 고르십시오",IF($H849="","적요를 적으십시오","")))))))))))</f>
        <v/>
      </c>
      <c r="M849" s="39"/>
      <c r="O849" s="11" t="str">
        <f aca="false">IF($B849="","",YEAR($B849)*100+MONTH($B849))</f>
        <v/>
      </c>
      <c r="P849" s="11" t="str">
        <f aca="false">IF($B849="","",IF($E849="대체",0,1))</f>
        <v/>
      </c>
    </row>
    <row r="850" customFormat="false" ht="15" hidden="false" customHeight="false" outlineLevel="0" collapsed="false">
      <c r="A850" s="36" t="str">
        <f aca="false">IF($B850="","",COUNT($B$15:$B850))</f>
        <v/>
      </c>
      <c r="B850" s="37"/>
      <c r="C850" s="38"/>
      <c r="D850" s="20"/>
      <c r="E850" s="36" t="str">
        <f aca="false">IF($D850="","",IFERROR(INDEX('교육원 ④ 설정'!$A$6:$A$40,MATCH($D850,'교육원 ④ 설정'!$B$6:$B$40,0)),"※없는 과목"))</f>
        <v/>
      </c>
      <c r="F850" s="36" t="str">
        <f aca="false">IF($D850="","",IFERROR(INDEX('교육원 ④ 설정'!$C$6:$C$40,MATCH($D850,'교육원 ④ 설정'!$B$6:$B$40,0)),""))</f>
        <v/>
      </c>
      <c r="G850" s="39"/>
      <c r="H850" s="39"/>
      <c r="I850" s="40"/>
      <c r="J850" s="41"/>
      <c r="K850" s="38"/>
      <c r="L850" s="42" t="str">
        <f aca="false">IF($B850="","",IF(AND(N($I850)=0,N($J850)=0),"금액이 없습니다",IF(AND($I850&gt;0,$J850&gt;0),"수입·지출 둘 다 적혔습니다",IF($C850="","결제수단을 고르십시오",IF(ISNA(MATCH($C850,'교육원 ③ 통장·카드'!$A$5:$A$11,0)),"③ 통장·카드에 없는 결제수단입니다",IF($D850="","계정과목을 고르십시오",IF($E850="※없는 과목","④ 설정에 없는 과목입니다",IF(AND($E850="수입",$J850&gt;0),"수입 과목인데 지출에 적혔습니다",IF(AND(LEFT($E850,2)&lt;&gt;"수입",$E850&lt;&gt;"대체",$I850&gt;0),"지출 과목인데 수입에 적혔습니다",IF($K850="","증빙을 고르십시오",IF($H850="","적요를 적으십시오","")))))))))))</f>
        <v/>
      </c>
      <c r="M850" s="39"/>
      <c r="O850" s="11" t="str">
        <f aca="false">IF($B850="","",YEAR($B850)*100+MONTH($B850))</f>
        <v/>
      </c>
      <c r="P850" s="11" t="str">
        <f aca="false">IF($B850="","",IF($E850="대체",0,1))</f>
        <v/>
      </c>
    </row>
    <row r="851" customFormat="false" ht="15" hidden="false" customHeight="false" outlineLevel="0" collapsed="false">
      <c r="A851" s="36" t="str">
        <f aca="false">IF($B851="","",COUNT($B$15:$B851))</f>
        <v/>
      </c>
      <c r="B851" s="37"/>
      <c r="C851" s="38"/>
      <c r="D851" s="20"/>
      <c r="E851" s="36" t="str">
        <f aca="false">IF($D851="","",IFERROR(INDEX('교육원 ④ 설정'!$A$6:$A$40,MATCH($D851,'교육원 ④ 설정'!$B$6:$B$40,0)),"※없는 과목"))</f>
        <v/>
      </c>
      <c r="F851" s="36" t="str">
        <f aca="false">IF($D851="","",IFERROR(INDEX('교육원 ④ 설정'!$C$6:$C$40,MATCH($D851,'교육원 ④ 설정'!$B$6:$B$40,0)),""))</f>
        <v/>
      </c>
      <c r="G851" s="39"/>
      <c r="H851" s="39"/>
      <c r="I851" s="40"/>
      <c r="J851" s="41"/>
      <c r="K851" s="38"/>
      <c r="L851" s="42" t="str">
        <f aca="false">IF($B851="","",IF(AND(N($I851)=0,N($J851)=0),"금액이 없습니다",IF(AND($I851&gt;0,$J851&gt;0),"수입·지출 둘 다 적혔습니다",IF($C851="","결제수단을 고르십시오",IF(ISNA(MATCH($C851,'교육원 ③ 통장·카드'!$A$5:$A$11,0)),"③ 통장·카드에 없는 결제수단입니다",IF($D851="","계정과목을 고르십시오",IF($E851="※없는 과목","④ 설정에 없는 과목입니다",IF(AND($E851="수입",$J851&gt;0),"수입 과목인데 지출에 적혔습니다",IF(AND(LEFT($E851,2)&lt;&gt;"수입",$E851&lt;&gt;"대체",$I851&gt;0),"지출 과목인데 수입에 적혔습니다",IF($K851="","증빙을 고르십시오",IF($H851="","적요를 적으십시오","")))))))))))</f>
        <v/>
      </c>
      <c r="M851" s="39"/>
      <c r="O851" s="11" t="str">
        <f aca="false">IF($B851="","",YEAR($B851)*100+MONTH($B851))</f>
        <v/>
      </c>
      <c r="P851" s="11" t="str">
        <f aca="false">IF($B851="","",IF($E851="대체",0,1))</f>
        <v/>
      </c>
    </row>
    <row r="852" customFormat="false" ht="15" hidden="false" customHeight="false" outlineLevel="0" collapsed="false">
      <c r="A852" s="36" t="str">
        <f aca="false">IF($B852="","",COUNT($B$15:$B852))</f>
        <v/>
      </c>
      <c r="B852" s="37"/>
      <c r="C852" s="38"/>
      <c r="D852" s="20"/>
      <c r="E852" s="36" t="str">
        <f aca="false">IF($D852="","",IFERROR(INDEX('교육원 ④ 설정'!$A$6:$A$40,MATCH($D852,'교육원 ④ 설정'!$B$6:$B$40,0)),"※없는 과목"))</f>
        <v/>
      </c>
      <c r="F852" s="36" t="str">
        <f aca="false">IF($D852="","",IFERROR(INDEX('교육원 ④ 설정'!$C$6:$C$40,MATCH($D852,'교육원 ④ 설정'!$B$6:$B$40,0)),""))</f>
        <v/>
      </c>
      <c r="G852" s="39"/>
      <c r="H852" s="39"/>
      <c r="I852" s="40"/>
      <c r="J852" s="41"/>
      <c r="K852" s="38"/>
      <c r="L852" s="42" t="str">
        <f aca="false">IF($B852="","",IF(AND(N($I852)=0,N($J852)=0),"금액이 없습니다",IF(AND($I852&gt;0,$J852&gt;0),"수입·지출 둘 다 적혔습니다",IF($C852="","결제수단을 고르십시오",IF(ISNA(MATCH($C852,'교육원 ③ 통장·카드'!$A$5:$A$11,0)),"③ 통장·카드에 없는 결제수단입니다",IF($D852="","계정과목을 고르십시오",IF($E852="※없는 과목","④ 설정에 없는 과목입니다",IF(AND($E852="수입",$J852&gt;0),"수입 과목인데 지출에 적혔습니다",IF(AND(LEFT($E852,2)&lt;&gt;"수입",$E852&lt;&gt;"대체",$I852&gt;0),"지출 과목인데 수입에 적혔습니다",IF($K852="","증빙을 고르십시오",IF($H852="","적요를 적으십시오","")))))))))))</f>
        <v/>
      </c>
      <c r="M852" s="39"/>
      <c r="O852" s="11" t="str">
        <f aca="false">IF($B852="","",YEAR($B852)*100+MONTH($B852))</f>
        <v/>
      </c>
      <c r="P852" s="11" t="str">
        <f aca="false">IF($B852="","",IF($E852="대체",0,1))</f>
        <v/>
      </c>
    </row>
    <row r="853" customFormat="false" ht="15" hidden="false" customHeight="false" outlineLevel="0" collapsed="false">
      <c r="A853" s="36" t="str">
        <f aca="false">IF($B853="","",COUNT($B$15:$B853))</f>
        <v/>
      </c>
      <c r="B853" s="37"/>
      <c r="C853" s="38"/>
      <c r="D853" s="20"/>
      <c r="E853" s="36" t="str">
        <f aca="false">IF($D853="","",IFERROR(INDEX('교육원 ④ 설정'!$A$6:$A$40,MATCH($D853,'교육원 ④ 설정'!$B$6:$B$40,0)),"※없는 과목"))</f>
        <v/>
      </c>
      <c r="F853" s="36" t="str">
        <f aca="false">IF($D853="","",IFERROR(INDEX('교육원 ④ 설정'!$C$6:$C$40,MATCH($D853,'교육원 ④ 설정'!$B$6:$B$40,0)),""))</f>
        <v/>
      </c>
      <c r="G853" s="39"/>
      <c r="H853" s="39"/>
      <c r="I853" s="40"/>
      <c r="J853" s="41"/>
      <c r="K853" s="38"/>
      <c r="L853" s="42" t="str">
        <f aca="false">IF($B853="","",IF(AND(N($I853)=0,N($J853)=0),"금액이 없습니다",IF(AND($I853&gt;0,$J853&gt;0),"수입·지출 둘 다 적혔습니다",IF($C853="","결제수단을 고르십시오",IF(ISNA(MATCH($C853,'교육원 ③ 통장·카드'!$A$5:$A$11,0)),"③ 통장·카드에 없는 결제수단입니다",IF($D853="","계정과목을 고르십시오",IF($E853="※없는 과목","④ 설정에 없는 과목입니다",IF(AND($E853="수입",$J853&gt;0),"수입 과목인데 지출에 적혔습니다",IF(AND(LEFT($E853,2)&lt;&gt;"수입",$E853&lt;&gt;"대체",$I853&gt;0),"지출 과목인데 수입에 적혔습니다",IF($K853="","증빙을 고르십시오",IF($H853="","적요를 적으십시오","")))))))))))</f>
        <v/>
      </c>
      <c r="M853" s="39"/>
      <c r="O853" s="11" t="str">
        <f aca="false">IF($B853="","",YEAR($B853)*100+MONTH($B853))</f>
        <v/>
      </c>
      <c r="P853" s="11" t="str">
        <f aca="false">IF($B853="","",IF($E853="대체",0,1))</f>
        <v/>
      </c>
    </row>
    <row r="854" customFormat="false" ht="15" hidden="false" customHeight="false" outlineLevel="0" collapsed="false">
      <c r="A854" s="36" t="str">
        <f aca="false">IF($B854="","",COUNT($B$15:$B854))</f>
        <v/>
      </c>
      <c r="B854" s="37"/>
      <c r="C854" s="38"/>
      <c r="D854" s="20"/>
      <c r="E854" s="36" t="str">
        <f aca="false">IF($D854="","",IFERROR(INDEX('교육원 ④ 설정'!$A$6:$A$40,MATCH($D854,'교육원 ④ 설정'!$B$6:$B$40,0)),"※없는 과목"))</f>
        <v/>
      </c>
      <c r="F854" s="36" t="str">
        <f aca="false">IF($D854="","",IFERROR(INDEX('교육원 ④ 설정'!$C$6:$C$40,MATCH($D854,'교육원 ④ 설정'!$B$6:$B$40,0)),""))</f>
        <v/>
      </c>
      <c r="G854" s="39"/>
      <c r="H854" s="39"/>
      <c r="I854" s="40"/>
      <c r="J854" s="41"/>
      <c r="K854" s="38"/>
      <c r="L854" s="42" t="str">
        <f aca="false">IF($B854="","",IF(AND(N($I854)=0,N($J854)=0),"금액이 없습니다",IF(AND($I854&gt;0,$J854&gt;0),"수입·지출 둘 다 적혔습니다",IF($C854="","결제수단을 고르십시오",IF(ISNA(MATCH($C854,'교육원 ③ 통장·카드'!$A$5:$A$11,0)),"③ 통장·카드에 없는 결제수단입니다",IF($D854="","계정과목을 고르십시오",IF($E854="※없는 과목","④ 설정에 없는 과목입니다",IF(AND($E854="수입",$J854&gt;0),"수입 과목인데 지출에 적혔습니다",IF(AND(LEFT($E854,2)&lt;&gt;"수입",$E854&lt;&gt;"대체",$I854&gt;0),"지출 과목인데 수입에 적혔습니다",IF($K854="","증빙을 고르십시오",IF($H854="","적요를 적으십시오","")))))))))))</f>
        <v/>
      </c>
      <c r="M854" s="39"/>
      <c r="O854" s="11" t="str">
        <f aca="false">IF($B854="","",YEAR($B854)*100+MONTH($B854))</f>
        <v/>
      </c>
      <c r="P854" s="11" t="str">
        <f aca="false">IF($B854="","",IF($E854="대체",0,1))</f>
        <v/>
      </c>
    </row>
    <row r="855" customFormat="false" ht="15" hidden="false" customHeight="false" outlineLevel="0" collapsed="false">
      <c r="A855" s="36" t="str">
        <f aca="false">IF($B855="","",COUNT($B$15:$B855))</f>
        <v/>
      </c>
      <c r="B855" s="37"/>
      <c r="C855" s="38"/>
      <c r="D855" s="20"/>
      <c r="E855" s="36" t="str">
        <f aca="false">IF($D855="","",IFERROR(INDEX('교육원 ④ 설정'!$A$6:$A$40,MATCH($D855,'교육원 ④ 설정'!$B$6:$B$40,0)),"※없는 과목"))</f>
        <v/>
      </c>
      <c r="F855" s="36" t="str">
        <f aca="false">IF($D855="","",IFERROR(INDEX('교육원 ④ 설정'!$C$6:$C$40,MATCH($D855,'교육원 ④ 설정'!$B$6:$B$40,0)),""))</f>
        <v/>
      </c>
      <c r="G855" s="39"/>
      <c r="H855" s="39"/>
      <c r="I855" s="40"/>
      <c r="J855" s="41"/>
      <c r="K855" s="38"/>
      <c r="L855" s="42" t="str">
        <f aca="false">IF($B855="","",IF(AND(N($I855)=0,N($J855)=0),"금액이 없습니다",IF(AND($I855&gt;0,$J855&gt;0),"수입·지출 둘 다 적혔습니다",IF($C855="","결제수단을 고르십시오",IF(ISNA(MATCH($C855,'교육원 ③ 통장·카드'!$A$5:$A$11,0)),"③ 통장·카드에 없는 결제수단입니다",IF($D855="","계정과목을 고르십시오",IF($E855="※없는 과목","④ 설정에 없는 과목입니다",IF(AND($E855="수입",$J855&gt;0),"수입 과목인데 지출에 적혔습니다",IF(AND(LEFT($E855,2)&lt;&gt;"수입",$E855&lt;&gt;"대체",$I855&gt;0),"지출 과목인데 수입에 적혔습니다",IF($K855="","증빙을 고르십시오",IF($H855="","적요를 적으십시오","")))))))))))</f>
        <v/>
      </c>
      <c r="M855" s="39"/>
      <c r="O855" s="11" t="str">
        <f aca="false">IF($B855="","",YEAR($B855)*100+MONTH($B855))</f>
        <v/>
      </c>
      <c r="P855" s="11" t="str">
        <f aca="false">IF($B855="","",IF($E855="대체",0,1))</f>
        <v/>
      </c>
    </row>
    <row r="856" customFormat="false" ht="15" hidden="false" customHeight="false" outlineLevel="0" collapsed="false">
      <c r="A856" s="36" t="str">
        <f aca="false">IF($B856="","",COUNT($B$15:$B856))</f>
        <v/>
      </c>
      <c r="B856" s="37"/>
      <c r="C856" s="38"/>
      <c r="D856" s="20"/>
      <c r="E856" s="36" t="str">
        <f aca="false">IF($D856="","",IFERROR(INDEX('교육원 ④ 설정'!$A$6:$A$40,MATCH($D856,'교육원 ④ 설정'!$B$6:$B$40,0)),"※없는 과목"))</f>
        <v/>
      </c>
      <c r="F856" s="36" t="str">
        <f aca="false">IF($D856="","",IFERROR(INDEX('교육원 ④ 설정'!$C$6:$C$40,MATCH($D856,'교육원 ④ 설정'!$B$6:$B$40,0)),""))</f>
        <v/>
      </c>
      <c r="G856" s="39"/>
      <c r="H856" s="39"/>
      <c r="I856" s="40"/>
      <c r="J856" s="41"/>
      <c r="K856" s="38"/>
      <c r="L856" s="42" t="str">
        <f aca="false">IF($B856="","",IF(AND(N($I856)=0,N($J856)=0),"금액이 없습니다",IF(AND($I856&gt;0,$J856&gt;0),"수입·지출 둘 다 적혔습니다",IF($C856="","결제수단을 고르십시오",IF(ISNA(MATCH($C856,'교육원 ③ 통장·카드'!$A$5:$A$11,0)),"③ 통장·카드에 없는 결제수단입니다",IF($D856="","계정과목을 고르십시오",IF($E856="※없는 과목","④ 설정에 없는 과목입니다",IF(AND($E856="수입",$J856&gt;0),"수입 과목인데 지출에 적혔습니다",IF(AND(LEFT($E856,2)&lt;&gt;"수입",$E856&lt;&gt;"대체",$I856&gt;0),"지출 과목인데 수입에 적혔습니다",IF($K856="","증빙을 고르십시오",IF($H856="","적요를 적으십시오","")))))))))))</f>
        <v/>
      </c>
      <c r="M856" s="39"/>
      <c r="O856" s="11" t="str">
        <f aca="false">IF($B856="","",YEAR($B856)*100+MONTH($B856))</f>
        <v/>
      </c>
      <c r="P856" s="11" t="str">
        <f aca="false">IF($B856="","",IF($E856="대체",0,1))</f>
        <v/>
      </c>
    </row>
    <row r="857" customFormat="false" ht="15" hidden="false" customHeight="false" outlineLevel="0" collapsed="false">
      <c r="A857" s="36" t="str">
        <f aca="false">IF($B857="","",COUNT($B$15:$B857))</f>
        <v/>
      </c>
      <c r="B857" s="37"/>
      <c r="C857" s="38"/>
      <c r="D857" s="20"/>
      <c r="E857" s="36" t="str">
        <f aca="false">IF($D857="","",IFERROR(INDEX('교육원 ④ 설정'!$A$6:$A$40,MATCH($D857,'교육원 ④ 설정'!$B$6:$B$40,0)),"※없는 과목"))</f>
        <v/>
      </c>
      <c r="F857" s="36" t="str">
        <f aca="false">IF($D857="","",IFERROR(INDEX('교육원 ④ 설정'!$C$6:$C$40,MATCH($D857,'교육원 ④ 설정'!$B$6:$B$40,0)),""))</f>
        <v/>
      </c>
      <c r="G857" s="39"/>
      <c r="H857" s="39"/>
      <c r="I857" s="40"/>
      <c r="J857" s="41"/>
      <c r="K857" s="38"/>
      <c r="L857" s="42" t="str">
        <f aca="false">IF($B857="","",IF(AND(N($I857)=0,N($J857)=0),"금액이 없습니다",IF(AND($I857&gt;0,$J857&gt;0),"수입·지출 둘 다 적혔습니다",IF($C857="","결제수단을 고르십시오",IF(ISNA(MATCH($C857,'교육원 ③ 통장·카드'!$A$5:$A$11,0)),"③ 통장·카드에 없는 결제수단입니다",IF($D857="","계정과목을 고르십시오",IF($E857="※없는 과목","④ 설정에 없는 과목입니다",IF(AND($E857="수입",$J857&gt;0),"수입 과목인데 지출에 적혔습니다",IF(AND(LEFT($E857,2)&lt;&gt;"수입",$E857&lt;&gt;"대체",$I857&gt;0),"지출 과목인데 수입에 적혔습니다",IF($K857="","증빙을 고르십시오",IF($H857="","적요를 적으십시오","")))))))))))</f>
        <v/>
      </c>
      <c r="M857" s="39"/>
      <c r="O857" s="11" t="str">
        <f aca="false">IF($B857="","",YEAR($B857)*100+MONTH($B857))</f>
        <v/>
      </c>
      <c r="P857" s="11" t="str">
        <f aca="false">IF($B857="","",IF($E857="대체",0,1))</f>
        <v/>
      </c>
    </row>
    <row r="858" customFormat="false" ht="15" hidden="false" customHeight="false" outlineLevel="0" collapsed="false">
      <c r="A858" s="36" t="str">
        <f aca="false">IF($B858="","",COUNT($B$15:$B858))</f>
        <v/>
      </c>
      <c r="B858" s="37"/>
      <c r="C858" s="38"/>
      <c r="D858" s="20"/>
      <c r="E858" s="36" t="str">
        <f aca="false">IF($D858="","",IFERROR(INDEX('교육원 ④ 설정'!$A$6:$A$40,MATCH($D858,'교육원 ④ 설정'!$B$6:$B$40,0)),"※없는 과목"))</f>
        <v/>
      </c>
      <c r="F858" s="36" t="str">
        <f aca="false">IF($D858="","",IFERROR(INDEX('교육원 ④ 설정'!$C$6:$C$40,MATCH($D858,'교육원 ④ 설정'!$B$6:$B$40,0)),""))</f>
        <v/>
      </c>
      <c r="G858" s="39"/>
      <c r="H858" s="39"/>
      <c r="I858" s="40"/>
      <c r="J858" s="41"/>
      <c r="K858" s="38"/>
      <c r="L858" s="42" t="str">
        <f aca="false">IF($B858="","",IF(AND(N($I858)=0,N($J858)=0),"금액이 없습니다",IF(AND($I858&gt;0,$J858&gt;0),"수입·지출 둘 다 적혔습니다",IF($C858="","결제수단을 고르십시오",IF(ISNA(MATCH($C858,'교육원 ③ 통장·카드'!$A$5:$A$11,0)),"③ 통장·카드에 없는 결제수단입니다",IF($D858="","계정과목을 고르십시오",IF($E858="※없는 과목","④ 설정에 없는 과목입니다",IF(AND($E858="수입",$J858&gt;0),"수입 과목인데 지출에 적혔습니다",IF(AND(LEFT($E858,2)&lt;&gt;"수입",$E858&lt;&gt;"대체",$I858&gt;0),"지출 과목인데 수입에 적혔습니다",IF($K858="","증빙을 고르십시오",IF($H858="","적요를 적으십시오","")))))))))))</f>
        <v/>
      </c>
      <c r="M858" s="39"/>
      <c r="O858" s="11" t="str">
        <f aca="false">IF($B858="","",YEAR($B858)*100+MONTH($B858))</f>
        <v/>
      </c>
      <c r="P858" s="11" t="str">
        <f aca="false">IF($B858="","",IF($E858="대체",0,1))</f>
        <v/>
      </c>
    </row>
    <row r="859" customFormat="false" ht="15" hidden="false" customHeight="false" outlineLevel="0" collapsed="false">
      <c r="A859" s="36" t="str">
        <f aca="false">IF($B859="","",COUNT($B$15:$B859))</f>
        <v/>
      </c>
      <c r="B859" s="37"/>
      <c r="C859" s="38"/>
      <c r="D859" s="20"/>
      <c r="E859" s="36" t="str">
        <f aca="false">IF($D859="","",IFERROR(INDEX('교육원 ④ 설정'!$A$6:$A$40,MATCH($D859,'교육원 ④ 설정'!$B$6:$B$40,0)),"※없는 과목"))</f>
        <v/>
      </c>
      <c r="F859" s="36" t="str">
        <f aca="false">IF($D859="","",IFERROR(INDEX('교육원 ④ 설정'!$C$6:$C$40,MATCH($D859,'교육원 ④ 설정'!$B$6:$B$40,0)),""))</f>
        <v/>
      </c>
      <c r="G859" s="39"/>
      <c r="H859" s="39"/>
      <c r="I859" s="40"/>
      <c r="J859" s="41"/>
      <c r="K859" s="38"/>
      <c r="L859" s="42" t="str">
        <f aca="false">IF($B859="","",IF(AND(N($I859)=0,N($J859)=0),"금액이 없습니다",IF(AND($I859&gt;0,$J859&gt;0),"수입·지출 둘 다 적혔습니다",IF($C859="","결제수단을 고르십시오",IF(ISNA(MATCH($C859,'교육원 ③ 통장·카드'!$A$5:$A$11,0)),"③ 통장·카드에 없는 결제수단입니다",IF($D859="","계정과목을 고르십시오",IF($E859="※없는 과목","④ 설정에 없는 과목입니다",IF(AND($E859="수입",$J859&gt;0),"수입 과목인데 지출에 적혔습니다",IF(AND(LEFT($E859,2)&lt;&gt;"수입",$E859&lt;&gt;"대체",$I859&gt;0),"지출 과목인데 수입에 적혔습니다",IF($K859="","증빙을 고르십시오",IF($H859="","적요를 적으십시오","")))))))))))</f>
        <v/>
      </c>
      <c r="M859" s="39"/>
      <c r="O859" s="11" t="str">
        <f aca="false">IF($B859="","",YEAR($B859)*100+MONTH($B859))</f>
        <v/>
      </c>
      <c r="P859" s="11" t="str">
        <f aca="false">IF($B859="","",IF($E859="대체",0,1))</f>
        <v/>
      </c>
    </row>
    <row r="860" customFormat="false" ht="15" hidden="false" customHeight="false" outlineLevel="0" collapsed="false">
      <c r="A860" s="36" t="str">
        <f aca="false">IF($B860="","",COUNT($B$15:$B860))</f>
        <v/>
      </c>
      <c r="B860" s="37"/>
      <c r="C860" s="38"/>
      <c r="D860" s="20"/>
      <c r="E860" s="36" t="str">
        <f aca="false">IF($D860="","",IFERROR(INDEX('교육원 ④ 설정'!$A$6:$A$40,MATCH($D860,'교육원 ④ 설정'!$B$6:$B$40,0)),"※없는 과목"))</f>
        <v/>
      </c>
      <c r="F860" s="36" t="str">
        <f aca="false">IF($D860="","",IFERROR(INDEX('교육원 ④ 설정'!$C$6:$C$40,MATCH($D860,'교육원 ④ 설정'!$B$6:$B$40,0)),""))</f>
        <v/>
      </c>
      <c r="G860" s="39"/>
      <c r="H860" s="39"/>
      <c r="I860" s="40"/>
      <c r="J860" s="41"/>
      <c r="K860" s="38"/>
      <c r="L860" s="42" t="str">
        <f aca="false">IF($B860="","",IF(AND(N($I860)=0,N($J860)=0),"금액이 없습니다",IF(AND($I860&gt;0,$J860&gt;0),"수입·지출 둘 다 적혔습니다",IF($C860="","결제수단을 고르십시오",IF(ISNA(MATCH($C860,'교육원 ③ 통장·카드'!$A$5:$A$11,0)),"③ 통장·카드에 없는 결제수단입니다",IF($D860="","계정과목을 고르십시오",IF($E860="※없는 과목","④ 설정에 없는 과목입니다",IF(AND($E860="수입",$J860&gt;0),"수입 과목인데 지출에 적혔습니다",IF(AND(LEFT($E860,2)&lt;&gt;"수입",$E860&lt;&gt;"대체",$I860&gt;0),"지출 과목인데 수입에 적혔습니다",IF($K860="","증빙을 고르십시오",IF($H860="","적요를 적으십시오","")))))))))))</f>
        <v/>
      </c>
      <c r="M860" s="39"/>
      <c r="O860" s="11" t="str">
        <f aca="false">IF($B860="","",YEAR($B860)*100+MONTH($B860))</f>
        <v/>
      </c>
      <c r="P860" s="11" t="str">
        <f aca="false">IF($B860="","",IF($E860="대체",0,1))</f>
        <v/>
      </c>
    </row>
    <row r="861" customFormat="false" ht="15" hidden="false" customHeight="false" outlineLevel="0" collapsed="false">
      <c r="A861" s="36" t="str">
        <f aca="false">IF($B861="","",COUNT($B$15:$B861))</f>
        <v/>
      </c>
      <c r="B861" s="37"/>
      <c r="C861" s="38"/>
      <c r="D861" s="20"/>
      <c r="E861" s="36" t="str">
        <f aca="false">IF($D861="","",IFERROR(INDEX('교육원 ④ 설정'!$A$6:$A$40,MATCH($D861,'교육원 ④ 설정'!$B$6:$B$40,0)),"※없는 과목"))</f>
        <v/>
      </c>
      <c r="F861" s="36" t="str">
        <f aca="false">IF($D861="","",IFERROR(INDEX('교육원 ④ 설정'!$C$6:$C$40,MATCH($D861,'교육원 ④ 설정'!$B$6:$B$40,0)),""))</f>
        <v/>
      </c>
      <c r="G861" s="39"/>
      <c r="H861" s="39"/>
      <c r="I861" s="40"/>
      <c r="J861" s="41"/>
      <c r="K861" s="38"/>
      <c r="L861" s="42" t="str">
        <f aca="false">IF($B861="","",IF(AND(N($I861)=0,N($J861)=0),"금액이 없습니다",IF(AND($I861&gt;0,$J861&gt;0),"수입·지출 둘 다 적혔습니다",IF($C861="","결제수단을 고르십시오",IF(ISNA(MATCH($C861,'교육원 ③ 통장·카드'!$A$5:$A$11,0)),"③ 통장·카드에 없는 결제수단입니다",IF($D861="","계정과목을 고르십시오",IF($E861="※없는 과목","④ 설정에 없는 과목입니다",IF(AND($E861="수입",$J861&gt;0),"수입 과목인데 지출에 적혔습니다",IF(AND(LEFT($E861,2)&lt;&gt;"수입",$E861&lt;&gt;"대체",$I861&gt;0),"지출 과목인데 수입에 적혔습니다",IF($K861="","증빙을 고르십시오",IF($H861="","적요를 적으십시오","")))))))))))</f>
        <v/>
      </c>
      <c r="M861" s="39"/>
      <c r="O861" s="11" t="str">
        <f aca="false">IF($B861="","",YEAR($B861)*100+MONTH($B861))</f>
        <v/>
      </c>
      <c r="P861" s="11" t="str">
        <f aca="false">IF($B861="","",IF($E861="대체",0,1))</f>
        <v/>
      </c>
    </row>
    <row r="862" customFormat="false" ht="15" hidden="false" customHeight="false" outlineLevel="0" collapsed="false">
      <c r="A862" s="36" t="str">
        <f aca="false">IF($B862="","",COUNT($B$15:$B862))</f>
        <v/>
      </c>
      <c r="B862" s="37"/>
      <c r="C862" s="38"/>
      <c r="D862" s="20"/>
      <c r="E862" s="36" t="str">
        <f aca="false">IF($D862="","",IFERROR(INDEX('교육원 ④ 설정'!$A$6:$A$40,MATCH($D862,'교육원 ④ 설정'!$B$6:$B$40,0)),"※없는 과목"))</f>
        <v/>
      </c>
      <c r="F862" s="36" t="str">
        <f aca="false">IF($D862="","",IFERROR(INDEX('교육원 ④ 설정'!$C$6:$C$40,MATCH($D862,'교육원 ④ 설정'!$B$6:$B$40,0)),""))</f>
        <v/>
      </c>
      <c r="G862" s="39"/>
      <c r="H862" s="39"/>
      <c r="I862" s="40"/>
      <c r="J862" s="41"/>
      <c r="K862" s="38"/>
      <c r="L862" s="42" t="str">
        <f aca="false">IF($B862="","",IF(AND(N($I862)=0,N($J862)=0),"금액이 없습니다",IF(AND($I862&gt;0,$J862&gt;0),"수입·지출 둘 다 적혔습니다",IF($C862="","결제수단을 고르십시오",IF(ISNA(MATCH($C862,'교육원 ③ 통장·카드'!$A$5:$A$11,0)),"③ 통장·카드에 없는 결제수단입니다",IF($D862="","계정과목을 고르십시오",IF($E862="※없는 과목","④ 설정에 없는 과목입니다",IF(AND($E862="수입",$J862&gt;0),"수입 과목인데 지출에 적혔습니다",IF(AND(LEFT($E862,2)&lt;&gt;"수입",$E862&lt;&gt;"대체",$I862&gt;0),"지출 과목인데 수입에 적혔습니다",IF($K862="","증빙을 고르십시오",IF($H862="","적요를 적으십시오","")))))))))))</f>
        <v/>
      </c>
      <c r="M862" s="39"/>
      <c r="O862" s="11" t="str">
        <f aca="false">IF($B862="","",YEAR($B862)*100+MONTH($B862))</f>
        <v/>
      </c>
      <c r="P862" s="11" t="str">
        <f aca="false">IF($B862="","",IF($E862="대체",0,1))</f>
        <v/>
      </c>
    </row>
    <row r="863" customFormat="false" ht="15" hidden="false" customHeight="false" outlineLevel="0" collapsed="false">
      <c r="A863" s="36" t="str">
        <f aca="false">IF($B863="","",COUNT($B$15:$B863))</f>
        <v/>
      </c>
      <c r="B863" s="37"/>
      <c r="C863" s="38"/>
      <c r="D863" s="20"/>
      <c r="E863" s="36" t="str">
        <f aca="false">IF($D863="","",IFERROR(INDEX('교육원 ④ 설정'!$A$6:$A$40,MATCH($D863,'교육원 ④ 설정'!$B$6:$B$40,0)),"※없는 과목"))</f>
        <v/>
      </c>
      <c r="F863" s="36" t="str">
        <f aca="false">IF($D863="","",IFERROR(INDEX('교육원 ④ 설정'!$C$6:$C$40,MATCH($D863,'교육원 ④ 설정'!$B$6:$B$40,0)),""))</f>
        <v/>
      </c>
      <c r="G863" s="39"/>
      <c r="H863" s="39"/>
      <c r="I863" s="40"/>
      <c r="J863" s="41"/>
      <c r="K863" s="38"/>
      <c r="L863" s="42" t="str">
        <f aca="false">IF($B863="","",IF(AND(N($I863)=0,N($J863)=0),"금액이 없습니다",IF(AND($I863&gt;0,$J863&gt;0),"수입·지출 둘 다 적혔습니다",IF($C863="","결제수단을 고르십시오",IF(ISNA(MATCH($C863,'교육원 ③ 통장·카드'!$A$5:$A$11,0)),"③ 통장·카드에 없는 결제수단입니다",IF($D863="","계정과목을 고르십시오",IF($E863="※없는 과목","④ 설정에 없는 과목입니다",IF(AND($E863="수입",$J863&gt;0),"수입 과목인데 지출에 적혔습니다",IF(AND(LEFT($E863,2)&lt;&gt;"수입",$E863&lt;&gt;"대체",$I863&gt;0),"지출 과목인데 수입에 적혔습니다",IF($K863="","증빙을 고르십시오",IF($H863="","적요를 적으십시오","")))))))))))</f>
        <v/>
      </c>
      <c r="M863" s="39"/>
      <c r="O863" s="11" t="str">
        <f aca="false">IF($B863="","",YEAR($B863)*100+MONTH($B863))</f>
        <v/>
      </c>
      <c r="P863" s="11" t="str">
        <f aca="false">IF($B863="","",IF($E863="대체",0,1))</f>
        <v/>
      </c>
    </row>
    <row r="864" customFormat="false" ht="15" hidden="false" customHeight="false" outlineLevel="0" collapsed="false">
      <c r="A864" s="36" t="str">
        <f aca="false">IF($B864="","",COUNT($B$15:$B864))</f>
        <v/>
      </c>
      <c r="B864" s="37"/>
      <c r="C864" s="38"/>
      <c r="D864" s="20"/>
      <c r="E864" s="36" t="str">
        <f aca="false">IF($D864="","",IFERROR(INDEX('교육원 ④ 설정'!$A$6:$A$40,MATCH($D864,'교육원 ④ 설정'!$B$6:$B$40,0)),"※없는 과목"))</f>
        <v/>
      </c>
      <c r="F864" s="36" t="str">
        <f aca="false">IF($D864="","",IFERROR(INDEX('교육원 ④ 설정'!$C$6:$C$40,MATCH($D864,'교육원 ④ 설정'!$B$6:$B$40,0)),""))</f>
        <v/>
      </c>
      <c r="G864" s="39"/>
      <c r="H864" s="39"/>
      <c r="I864" s="40"/>
      <c r="J864" s="41"/>
      <c r="K864" s="38"/>
      <c r="L864" s="42" t="str">
        <f aca="false">IF($B864="","",IF(AND(N($I864)=0,N($J864)=0),"금액이 없습니다",IF(AND($I864&gt;0,$J864&gt;0),"수입·지출 둘 다 적혔습니다",IF($C864="","결제수단을 고르십시오",IF(ISNA(MATCH($C864,'교육원 ③ 통장·카드'!$A$5:$A$11,0)),"③ 통장·카드에 없는 결제수단입니다",IF($D864="","계정과목을 고르십시오",IF($E864="※없는 과목","④ 설정에 없는 과목입니다",IF(AND($E864="수입",$J864&gt;0),"수입 과목인데 지출에 적혔습니다",IF(AND(LEFT($E864,2)&lt;&gt;"수입",$E864&lt;&gt;"대체",$I864&gt;0),"지출 과목인데 수입에 적혔습니다",IF($K864="","증빙을 고르십시오",IF($H864="","적요를 적으십시오","")))))))))))</f>
        <v/>
      </c>
      <c r="M864" s="39"/>
      <c r="O864" s="11" t="str">
        <f aca="false">IF($B864="","",YEAR($B864)*100+MONTH($B864))</f>
        <v/>
      </c>
      <c r="P864" s="11" t="str">
        <f aca="false">IF($B864="","",IF($E864="대체",0,1))</f>
        <v/>
      </c>
    </row>
    <row r="865" customFormat="false" ht="15" hidden="false" customHeight="false" outlineLevel="0" collapsed="false">
      <c r="A865" s="36" t="str">
        <f aca="false">IF($B865="","",COUNT($B$15:$B865))</f>
        <v/>
      </c>
      <c r="B865" s="37"/>
      <c r="C865" s="38"/>
      <c r="D865" s="20"/>
      <c r="E865" s="36" t="str">
        <f aca="false">IF($D865="","",IFERROR(INDEX('교육원 ④ 설정'!$A$6:$A$40,MATCH($D865,'교육원 ④ 설정'!$B$6:$B$40,0)),"※없는 과목"))</f>
        <v/>
      </c>
      <c r="F865" s="36" t="str">
        <f aca="false">IF($D865="","",IFERROR(INDEX('교육원 ④ 설정'!$C$6:$C$40,MATCH($D865,'교육원 ④ 설정'!$B$6:$B$40,0)),""))</f>
        <v/>
      </c>
      <c r="G865" s="39"/>
      <c r="H865" s="39"/>
      <c r="I865" s="40"/>
      <c r="J865" s="41"/>
      <c r="K865" s="38"/>
      <c r="L865" s="42" t="str">
        <f aca="false">IF($B865="","",IF(AND(N($I865)=0,N($J865)=0),"금액이 없습니다",IF(AND($I865&gt;0,$J865&gt;0),"수입·지출 둘 다 적혔습니다",IF($C865="","결제수단을 고르십시오",IF(ISNA(MATCH($C865,'교육원 ③ 통장·카드'!$A$5:$A$11,0)),"③ 통장·카드에 없는 결제수단입니다",IF($D865="","계정과목을 고르십시오",IF($E865="※없는 과목","④ 설정에 없는 과목입니다",IF(AND($E865="수입",$J865&gt;0),"수입 과목인데 지출에 적혔습니다",IF(AND(LEFT($E865,2)&lt;&gt;"수입",$E865&lt;&gt;"대체",$I865&gt;0),"지출 과목인데 수입에 적혔습니다",IF($K865="","증빙을 고르십시오",IF($H865="","적요를 적으십시오","")))))))))))</f>
        <v/>
      </c>
      <c r="M865" s="39"/>
      <c r="O865" s="11" t="str">
        <f aca="false">IF($B865="","",YEAR($B865)*100+MONTH($B865))</f>
        <v/>
      </c>
      <c r="P865" s="11" t="str">
        <f aca="false">IF($B865="","",IF($E865="대체",0,1))</f>
        <v/>
      </c>
    </row>
    <row r="866" customFormat="false" ht="15" hidden="false" customHeight="false" outlineLevel="0" collapsed="false">
      <c r="A866" s="36" t="str">
        <f aca="false">IF($B866="","",COUNT($B$15:$B866))</f>
        <v/>
      </c>
      <c r="B866" s="37"/>
      <c r="C866" s="38"/>
      <c r="D866" s="20"/>
      <c r="E866" s="36" t="str">
        <f aca="false">IF($D866="","",IFERROR(INDEX('교육원 ④ 설정'!$A$6:$A$40,MATCH($D866,'교육원 ④ 설정'!$B$6:$B$40,0)),"※없는 과목"))</f>
        <v/>
      </c>
      <c r="F866" s="36" t="str">
        <f aca="false">IF($D866="","",IFERROR(INDEX('교육원 ④ 설정'!$C$6:$C$40,MATCH($D866,'교육원 ④ 설정'!$B$6:$B$40,0)),""))</f>
        <v/>
      </c>
      <c r="G866" s="39"/>
      <c r="H866" s="39"/>
      <c r="I866" s="40"/>
      <c r="J866" s="41"/>
      <c r="K866" s="38"/>
      <c r="L866" s="42" t="str">
        <f aca="false">IF($B866="","",IF(AND(N($I866)=0,N($J866)=0),"금액이 없습니다",IF(AND($I866&gt;0,$J866&gt;0),"수입·지출 둘 다 적혔습니다",IF($C866="","결제수단을 고르십시오",IF(ISNA(MATCH($C866,'교육원 ③ 통장·카드'!$A$5:$A$11,0)),"③ 통장·카드에 없는 결제수단입니다",IF($D866="","계정과목을 고르십시오",IF($E866="※없는 과목","④ 설정에 없는 과목입니다",IF(AND($E866="수입",$J866&gt;0),"수입 과목인데 지출에 적혔습니다",IF(AND(LEFT($E866,2)&lt;&gt;"수입",$E866&lt;&gt;"대체",$I866&gt;0),"지출 과목인데 수입에 적혔습니다",IF($K866="","증빙을 고르십시오",IF($H866="","적요를 적으십시오","")))))))))))</f>
        <v/>
      </c>
      <c r="M866" s="39"/>
      <c r="O866" s="11" t="str">
        <f aca="false">IF($B866="","",YEAR($B866)*100+MONTH($B866))</f>
        <v/>
      </c>
      <c r="P866" s="11" t="str">
        <f aca="false">IF($B866="","",IF($E866="대체",0,1))</f>
        <v/>
      </c>
    </row>
    <row r="867" customFormat="false" ht="15" hidden="false" customHeight="false" outlineLevel="0" collapsed="false">
      <c r="A867" s="36" t="str">
        <f aca="false">IF($B867="","",COUNT($B$15:$B867))</f>
        <v/>
      </c>
      <c r="B867" s="37"/>
      <c r="C867" s="38"/>
      <c r="D867" s="20"/>
      <c r="E867" s="36" t="str">
        <f aca="false">IF($D867="","",IFERROR(INDEX('교육원 ④ 설정'!$A$6:$A$40,MATCH($D867,'교육원 ④ 설정'!$B$6:$B$40,0)),"※없는 과목"))</f>
        <v/>
      </c>
      <c r="F867" s="36" t="str">
        <f aca="false">IF($D867="","",IFERROR(INDEX('교육원 ④ 설정'!$C$6:$C$40,MATCH($D867,'교육원 ④ 설정'!$B$6:$B$40,0)),""))</f>
        <v/>
      </c>
      <c r="G867" s="39"/>
      <c r="H867" s="39"/>
      <c r="I867" s="40"/>
      <c r="J867" s="41"/>
      <c r="K867" s="38"/>
      <c r="L867" s="42" t="str">
        <f aca="false">IF($B867="","",IF(AND(N($I867)=0,N($J867)=0),"금액이 없습니다",IF(AND($I867&gt;0,$J867&gt;0),"수입·지출 둘 다 적혔습니다",IF($C867="","결제수단을 고르십시오",IF(ISNA(MATCH($C867,'교육원 ③ 통장·카드'!$A$5:$A$11,0)),"③ 통장·카드에 없는 결제수단입니다",IF($D867="","계정과목을 고르십시오",IF($E867="※없는 과목","④ 설정에 없는 과목입니다",IF(AND($E867="수입",$J867&gt;0),"수입 과목인데 지출에 적혔습니다",IF(AND(LEFT($E867,2)&lt;&gt;"수입",$E867&lt;&gt;"대체",$I867&gt;0),"지출 과목인데 수입에 적혔습니다",IF($K867="","증빙을 고르십시오",IF($H867="","적요를 적으십시오","")))))))))))</f>
        <v/>
      </c>
      <c r="M867" s="39"/>
      <c r="O867" s="11" t="str">
        <f aca="false">IF($B867="","",YEAR($B867)*100+MONTH($B867))</f>
        <v/>
      </c>
      <c r="P867" s="11" t="str">
        <f aca="false">IF($B867="","",IF($E867="대체",0,1))</f>
        <v/>
      </c>
    </row>
    <row r="868" customFormat="false" ht="15" hidden="false" customHeight="false" outlineLevel="0" collapsed="false">
      <c r="A868" s="36" t="str">
        <f aca="false">IF($B868="","",COUNT($B$15:$B868))</f>
        <v/>
      </c>
      <c r="B868" s="37"/>
      <c r="C868" s="38"/>
      <c r="D868" s="20"/>
      <c r="E868" s="36" t="str">
        <f aca="false">IF($D868="","",IFERROR(INDEX('교육원 ④ 설정'!$A$6:$A$40,MATCH($D868,'교육원 ④ 설정'!$B$6:$B$40,0)),"※없는 과목"))</f>
        <v/>
      </c>
      <c r="F868" s="36" t="str">
        <f aca="false">IF($D868="","",IFERROR(INDEX('교육원 ④ 설정'!$C$6:$C$40,MATCH($D868,'교육원 ④ 설정'!$B$6:$B$40,0)),""))</f>
        <v/>
      </c>
      <c r="G868" s="39"/>
      <c r="H868" s="39"/>
      <c r="I868" s="40"/>
      <c r="J868" s="41"/>
      <c r="K868" s="38"/>
      <c r="L868" s="42" t="str">
        <f aca="false">IF($B868="","",IF(AND(N($I868)=0,N($J868)=0),"금액이 없습니다",IF(AND($I868&gt;0,$J868&gt;0),"수입·지출 둘 다 적혔습니다",IF($C868="","결제수단을 고르십시오",IF(ISNA(MATCH($C868,'교육원 ③ 통장·카드'!$A$5:$A$11,0)),"③ 통장·카드에 없는 결제수단입니다",IF($D868="","계정과목을 고르십시오",IF($E868="※없는 과목","④ 설정에 없는 과목입니다",IF(AND($E868="수입",$J868&gt;0),"수입 과목인데 지출에 적혔습니다",IF(AND(LEFT($E868,2)&lt;&gt;"수입",$E868&lt;&gt;"대체",$I868&gt;0),"지출 과목인데 수입에 적혔습니다",IF($K868="","증빙을 고르십시오",IF($H868="","적요를 적으십시오","")))))))))))</f>
        <v/>
      </c>
      <c r="M868" s="39"/>
      <c r="O868" s="11" t="str">
        <f aca="false">IF($B868="","",YEAR($B868)*100+MONTH($B868))</f>
        <v/>
      </c>
      <c r="P868" s="11" t="str">
        <f aca="false">IF($B868="","",IF($E868="대체",0,1))</f>
        <v/>
      </c>
    </row>
    <row r="869" customFormat="false" ht="15" hidden="false" customHeight="false" outlineLevel="0" collapsed="false">
      <c r="A869" s="36" t="str">
        <f aca="false">IF($B869="","",COUNT($B$15:$B869))</f>
        <v/>
      </c>
      <c r="B869" s="37"/>
      <c r="C869" s="38"/>
      <c r="D869" s="20"/>
      <c r="E869" s="36" t="str">
        <f aca="false">IF($D869="","",IFERROR(INDEX('교육원 ④ 설정'!$A$6:$A$40,MATCH($D869,'교육원 ④ 설정'!$B$6:$B$40,0)),"※없는 과목"))</f>
        <v/>
      </c>
      <c r="F869" s="36" t="str">
        <f aca="false">IF($D869="","",IFERROR(INDEX('교육원 ④ 설정'!$C$6:$C$40,MATCH($D869,'교육원 ④ 설정'!$B$6:$B$40,0)),""))</f>
        <v/>
      </c>
      <c r="G869" s="39"/>
      <c r="H869" s="39"/>
      <c r="I869" s="40"/>
      <c r="J869" s="41"/>
      <c r="K869" s="38"/>
      <c r="L869" s="42" t="str">
        <f aca="false">IF($B869="","",IF(AND(N($I869)=0,N($J869)=0),"금액이 없습니다",IF(AND($I869&gt;0,$J869&gt;0),"수입·지출 둘 다 적혔습니다",IF($C869="","결제수단을 고르십시오",IF(ISNA(MATCH($C869,'교육원 ③ 통장·카드'!$A$5:$A$11,0)),"③ 통장·카드에 없는 결제수단입니다",IF($D869="","계정과목을 고르십시오",IF($E869="※없는 과목","④ 설정에 없는 과목입니다",IF(AND($E869="수입",$J869&gt;0),"수입 과목인데 지출에 적혔습니다",IF(AND(LEFT($E869,2)&lt;&gt;"수입",$E869&lt;&gt;"대체",$I869&gt;0),"지출 과목인데 수입에 적혔습니다",IF($K869="","증빙을 고르십시오",IF($H869="","적요를 적으십시오","")))))))))))</f>
        <v/>
      </c>
      <c r="M869" s="39"/>
      <c r="O869" s="11" t="str">
        <f aca="false">IF($B869="","",YEAR($B869)*100+MONTH($B869))</f>
        <v/>
      </c>
      <c r="P869" s="11" t="str">
        <f aca="false">IF($B869="","",IF($E869="대체",0,1))</f>
        <v/>
      </c>
    </row>
    <row r="870" customFormat="false" ht="15" hidden="false" customHeight="false" outlineLevel="0" collapsed="false">
      <c r="A870" s="36" t="str">
        <f aca="false">IF($B870="","",COUNT($B$15:$B870))</f>
        <v/>
      </c>
      <c r="B870" s="37"/>
      <c r="C870" s="38"/>
      <c r="D870" s="20"/>
      <c r="E870" s="36" t="str">
        <f aca="false">IF($D870="","",IFERROR(INDEX('교육원 ④ 설정'!$A$6:$A$40,MATCH($D870,'교육원 ④ 설정'!$B$6:$B$40,0)),"※없는 과목"))</f>
        <v/>
      </c>
      <c r="F870" s="36" t="str">
        <f aca="false">IF($D870="","",IFERROR(INDEX('교육원 ④ 설정'!$C$6:$C$40,MATCH($D870,'교육원 ④ 설정'!$B$6:$B$40,0)),""))</f>
        <v/>
      </c>
      <c r="G870" s="39"/>
      <c r="H870" s="39"/>
      <c r="I870" s="40"/>
      <c r="J870" s="41"/>
      <c r="K870" s="38"/>
      <c r="L870" s="42" t="str">
        <f aca="false">IF($B870="","",IF(AND(N($I870)=0,N($J870)=0),"금액이 없습니다",IF(AND($I870&gt;0,$J870&gt;0),"수입·지출 둘 다 적혔습니다",IF($C870="","결제수단을 고르십시오",IF(ISNA(MATCH($C870,'교육원 ③ 통장·카드'!$A$5:$A$11,0)),"③ 통장·카드에 없는 결제수단입니다",IF($D870="","계정과목을 고르십시오",IF($E870="※없는 과목","④ 설정에 없는 과목입니다",IF(AND($E870="수입",$J870&gt;0),"수입 과목인데 지출에 적혔습니다",IF(AND(LEFT($E870,2)&lt;&gt;"수입",$E870&lt;&gt;"대체",$I870&gt;0),"지출 과목인데 수입에 적혔습니다",IF($K870="","증빙을 고르십시오",IF($H870="","적요를 적으십시오","")))))))))))</f>
        <v/>
      </c>
      <c r="M870" s="39"/>
      <c r="O870" s="11" t="str">
        <f aca="false">IF($B870="","",YEAR($B870)*100+MONTH($B870))</f>
        <v/>
      </c>
      <c r="P870" s="11" t="str">
        <f aca="false">IF($B870="","",IF($E870="대체",0,1))</f>
        <v/>
      </c>
    </row>
    <row r="871" customFormat="false" ht="15" hidden="false" customHeight="false" outlineLevel="0" collapsed="false">
      <c r="A871" s="36" t="str">
        <f aca="false">IF($B871="","",COUNT($B$15:$B871))</f>
        <v/>
      </c>
      <c r="B871" s="37"/>
      <c r="C871" s="38"/>
      <c r="D871" s="20"/>
      <c r="E871" s="36" t="str">
        <f aca="false">IF($D871="","",IFERROR(INDEX('교육원 ④ 설정'!$A$6:$A$40,MATCH($D871,'교육원 ④ 설정'!$B$6:$B$40,0)),"※없는 과목"))</f>
        <v/>
      </c>
      <c r="F871" s="36" t="str">
        <f aca="false">IF($D871="","",IFERROR(INDEX('교육원 ④ 설정'!$C$6:$C$40,MATCH($D871,'교육원 ④ 설정'!$B$6:$B$40,0)),""))</f>
        <v/>
      </c>
      <c r="G871" s="39"/>
      <c r="H871" s="39"/>
      <c r="I871" s="40"/>
      <c r="J871" s="41"/>
      <c r="K871" s="38"/>
      <c r="L871" s="42" t="str">
        <f aca="false">IF($B871="","",IF(AND(N($I871)=0,N($J871)=0),"금액이 없습니다",IF(AND($I871&gt;0,$J871&gt;0),"수입·지출 둘 다 적혔습니다",IF($C871="","결제수단을 고르십시오",IF(ISNA(MATCH($C871,'교육원 ③ 통장·카드'!$A$5:$A$11,0)),"③ 통장·카드에 없는 결제수단입니다",IF($D871="","계정과목을 고르십시오",IF($E871="※없는 과목","④ 설정에 없는 과목입니다",IF(AND($E871="수입",$J871&gt;0),"수입 과목인데 지출에 적혔습니다",IF(AND(LEFT($E871,2)&lt;&gt;"수입",$E871&lt;&gt;"대체",$I871&gt;0),"지출 과목인데 수입에 적혔습니다",IF($K871="","증빙을 고르십시오",IF($H871="","적요를 적으십시오","")))))))))))</f>
        <v/>
      </c>
      <c r="M871" s="39"/>
      <c r="O871" s="11" t="str">
        <f aca="false">IF($B871="","",YEAR($B871)*100+MONTH($B871))</f>
        <v/>
      </c>
      <c r="P871" s="11" t="str">
        <f aca="false">IF($B871="","",IF($E871="대체",0,1))</f>
        <v/>
      </c>
    </row>
    <row r="872" customFormat="false" ht="15" hidden="false" customHeight="false" outlineLevel="0" collapsed="false">
      <c r="A872" s="36" t="str">
        <f aca="false">IF($B872="","",COUNT($B$15:$B872))</f>
        <v/>
      </c>
      <c r="B872" s="37"/>
      <c r="C872" s="38"/>
      <c r="D872" s="20"/>
      <c r="E872" s="36" t="str">
        <f aca="false">IF($D872="","",IFERROR(INDEX('교육원 ④ 설정'!$A$6:$A$40,MATCH($D872,'교육원 ④ 설정'!$B$6:$B$40,0)),"※없는 과목"))</f>
        <v/>
      </c>
      <c r="F872" s="36" t="str">
        <f aca="false">IF($D872="","",IFERROR(INDEX('교육원 ④ 설정'!$C$6:$C$40,MATCH($D872,'교육원 ④ 설정'!$B$6:$B$40,0)),""))</f>
        <v/>
      </c>
      <c r="G872" s="39"/>
      <c r="H872" s="39"/>
      <c r="I872" s="40"/>
      <c r="J872" s="41"/>
      <c r="K872" s="38"/>
      <c r="L872" s="42" t="str">
        <f aca="false">IF($B872="","",IF(AND(N($I872)=0,N($J872)=0),"금액이 없습니다",IF(AND($I872&gt;0,$J872&gt;0),"수입·지출 둘 다 적혔습니다",IF($C872="","결제수단을 고르십시오",IF(ISNA(MATCH($C872,'교육원 ③ 통장·카드'!$A$5:$A$11,0)),"③ 통장·카드에 없는 결제수단입니다",IF($D872="","계정과목을 고르십시오",IF($E872="※없는 과목","④ 설정에 없는 과목입니다",IF(AND($E872="수입",$J872&gt;0),"수입 과목인데 지출에 적혔습니다",IF(AND(LEFT($E872,2)&lt;&gt;"수입",$E872&lt;&gt;"대체",$I872&gt;0),"지출 과목인데 수입에 적혔습니다",IF($K872="","증빙을 고르십시오",IF($H872="","적요를 적으십시오","")))))))))))</f>
        <v/>
      </c>
      <c r="M872" s="39"/>
      <c r="O872" s="11" t="str">
        <f aca="false">IF($B872="","",YEAR($B872)*100+MONTH($B872))</f>
        <v/>
      </c>
      <c r="P872" s="11" t="str">
        <f aca="false">IF($B872="","",IF($E872="대체",0,1))</f>
        <v/>
      </c>
    </row>
    <row r="873" customFormat="false" ht="15" hidden="false" customHeight="false" outlineLevel="0" collapsed="false">
      <c r="A873" s="36" t="str">
        <f aca="false">IF($B873="","",COUNT($B$15:$B873))</f>
        <v/>
      </c>
      <c r="B873" s="37"/>
      <c r="C873" s="38"/>
      <c r="D873" s="20"/>
      <c r="E873" s="36" t="str">
        <f aca="false">IF($D873="","",IFERROR(INDEX('교육원 ④ 설정'!$A$6:$A$40,MATCH($D873,'교육원 ④ 설정'!$B$6:$B$40,0)),"※없는 과목"))</f>
        <v/>
      </c>
      <c r="F873" s="36" t="str">
        <f aca="false">IF($D873="","",IFERROR(INDEX('교육원 ④ 설정'!$C$6:$C$40,MATCH($D873,'교육원 ④ 설정'!$B$6:$B$40,0)),""))</f>
        <v/>
      </c>
      <c r="G873" s="39"/>
      <c r="H873" s="39"/>
      <c r="I873" s="40"/>
      <c r="J873" s="41"/>
      <c r="K873" s="38"/>
      <c r="L873" s="42" t="str">
        <f aca="false">IF($B873="","",IF(AND(N($I873)=0,N($J873)=0),"금액이 없습니다",IF(AND($I873&gt;0,$J873&gt;0),"수입·지출 둘 다 적혔습니다",IF($C873="","결제수단을 고르십시오",IF(ISNA(MATCH($C873,'교육원 ③ 통장·카드'!$A$5:$A$11,0)),"③ 통장·카드에 없는 결제수단입니다",IF($D873="","계정과목을 고르십시오",IF($E873="※없는 과목","④ 설정에 없는 과목입니다",IF(AND($E873="수입",$J873&gt;0),"수입 과목인데 지출에 적혔습니다",IF(AND(LEFT($E873,2)&lt;&gt;"수입",$E873&lt;&gt;"대체",$I873&gt;0),"지출 과목인데 수입에 적혔습니다",IF($K873="","증빙을 고르십시오",IF($H873="","적요를 적으십시오","")))))))))))</f>
        <v/>
      </c>
      <c r="M873" s="39"/>
      <c r="O873" s="11" t="str">
        <f aca="false">IF($B873="","",YEAR($B873)*100+MONTH($B873))</f>
        <v/>
      </c>
      <c r="P873" s="11" t="str">
        <f aca="false">IF($B873="","",IF($E873="대체",0,1))</f>
        <v/>
      </c>
    </row>
    <row r="874" customFormat="false" ht="15" hidden="false" customHeight="false" outlineLevel="0" collapsed="false">
      <c r="A874" s="36" t="str">
        <f aca="false">IF($B874="","",COUNT($B$15:$B874))</f>
        <v/>
      </c>
      <c r="B874" s="37"/>
      <c r="C874" s="38"/>
      <c r="D874" s="20"/>
      <c r="E874" s="36" t="str">
        <f aca="false">IF($D874="","",IFERROR(INDEX('교육원 ④ 설정'!$A$6:$A$40,MATCH($D874,'교육원 ④ 설정'!$B$6:$B$40,0)),"※없는 과목"))</f>
        <v/>
      </c>
      <c r="F874" s="36" t="str">
        <f aca="false">IF($D874="","",IFERROR(INDEX('교육원 ④ 설정'!$C$6:$C$40,MATCH($D874,'교육원 ④ 설정'!$B$6:$B$40,0)),""))</f>
        <v/>
      </c>
      <c r="G874" s="39"/>
      <c r="H874" s="39"/>
      <c r="I874" s="40"/>
      <c r="J874" s="41"/>
      <c r="K874" s="38"/>
      <c r="L874" s="42" t="str">
        <f aca="false">IF($B874="","",IF(AND(N($I874)=0,N($J874)=0),"금액이 없습니다",IF(AND($I874&gt;0,$J874&gt;0),"수입·지출 둘 다 적혔습니다",IF($C874="","결제수단을 고르십시오",IF(ISNA(MATCH($C874,'교육원 ③ 통장·카드'!$A$5:$A$11,0)),"③ 통장·카드에 없는 결제수단입니다",IF($D874="","계정과목을 고르십시오",IF($E874="※없는 과목","④ 설정에 없는 과목입니다",IF(AND($E874="수입",$J874&gt;0),"수입 과목인데 지출에 적혔습니다",IF(AND(LEFT($E874,2)&lt;&gt;"수입",$E874&lt;&gt;"대체",$I874&gt;0),"지출 과목인데 수입에 적혔습니다",IF($K874="","증빙을 고르십시오",IF($H874="","적요를 적으십시오","")))))))))))</f>
        <v/>
      </c>
      <c r="M874" s="39"/>
      <c r="O874" s="11" t="str">
        <f aca="false">IF($B874="","",YEAR($B874)*100+MONTH($B874))</f>
        <v/>
      </c>
      <c r="P874" s="11" t="str">
        <f aca="false">IF($B874="","",IF($E874="대체",0,1))</f>
        <v/>
      </c>
    </row>
    <row r="875" customFormat="false" ht="15" hidden="false" customHeight="false" outlineLevel="0" collapsed="false">
      <c r="A875" s="36" t="str">
        <f aca="false">IF($B875="","",COUNT($B$15:$B875))</f>
        <v/>
      </c>
      <c r="B875" s="37"/>
      <c r="C875" s="38"/>
      <c r="D875" s="20"/>
      <c r="E875" s="36" t="str">
        <f aca="false">IF($D875="","",IFERROR(INDEX('교육원 ④ 설정'!$A$6:$A$40,MATCH($D875,'교육원 ④ 설정'!$B$6:$B$40,0)),"※없는 과목"))</f>
        <v/>
      </c>
      <c r="F875" s="36" t="str">
        <f aca="false">IF($D875="","",IFERROR(INDEX('교육원 ④ 설정'!$C$6:$C$40,MATCH($D875,'교육원 ④ 설정'!$B$6:$B$40,0)),""))</f>
        <v/>
      </c>
      <c r="G875" s="39"/>
      <c r="H875" s="39"/>
      <c r="I875" s="40"/>
      <c r="J875" s="41"/>
      <c r="K875" s="38"/>
      <c r="L875" s="42" t="str">
        <f aca="false">IF($B875="","",IF(AND(N($I875)=0,N($J875)=0),"금액이 없습니다",IF(AND($I875&gt;0,$J875&gt;0),"수입·지출 둘 다 적혔습니다",IF($C875="","결제수단을 고르십시오",IF(ISNA(MATCH($C875,'교육원 ③ 통장·카드'!$A$5:$A$11,0)),"③ 통장·카드에 없는 결제수단입니다",IF($D875="","계정과목을 고르십시오",IF($E875="※없는 과목","④ 설정에 없는 과목입니다",IF(AND($E875="수입",$J875&gt;0),"수입 과목인데 지출에 적혔습니다",IF(AND(LEFT($E875,2)&lt;&gt;"수입",$E875&lt;&gt;"대체",$I875&gt;0),"지출 과목인데 수입에 적혔습니다",IF($K875="","증빙을 고르십시오",IF($H875="","적요를 적으십시오","")))))))))))</f>
        <v/>
      </c>
      <c r="M875" s="39"/>
      <c r="O875" s="11" t="str">
        <f aca="false">IF($B875="","",YEAR($B875)*100+MONTH($B875))</f>
        <v/>
      </c>
      <c r="P875" s="11" t="str">
        <f aca="false">IF($B875="","",IF($E875="대체",0,1))</f>
        <v/>
      </c>
    </row>
    <row r="876" customFormat="false" ht="15" hidden="false" customHeight="false" outlineLevel="0" collapsed="false">
      <c r="A876" s="36" t="str">
        <f aca="false">IF($B876="","",COUNT($B$15:$B876))</f>
        <v/>
      </c>
      <c r="B876" s="37"/>
      <c r="C876" s="38"/>
      <c r="D876" s="20"/>
      <c r="E876" s="36" t="str">
        <f aca="false">IF($D876="","",IFERROR(INDEX('교육원 ④ 설정'!$A$6:$A$40,MATCH($D876,'교육원 ④ 설정'!$B$6:$B$40,0)),"※없는 과목"))</f>
        <v/>
      </c>
      <c r="F876" s="36" t="str">
        <f aca="false">IF($D876="","",IFERROR(INDEX('교육원 ④ 설정'!$C$6:$C$40,MATCH($D876,'교육원 ④ 설정'!$B$6:$B$40,0)),""))</f>
        <v/>
      </c>
      <c r="G876" s="39"/>
      <c r="H876" s="39"/>
      <c r="I876" s="40"/>
      <c r="J876" s="41"/>
      <c r="K876" s="38"/>
      <c r="L876" s="42" t="str">
        <f aca="false">IF($B876="","",IF(AND(N($I876)=0,N($J876)=0),"금액이 없습니다",IF(AND($I876&gt;0,$J876&gt;0),"수입·지출 둘 다 적혔습니다",IF($C876="","결제수단을 고르십시오",IF(ISNA(MATCH($C876,'교육원 ③ 통장·카드'!$A$5:$A$11,0)),"③ 통장·카드에 없는 결제수단입니다",IF($D876="","계정과목을 고르십시오",IF($E876="※없는 과목","④ 설정에 없는 과목입니다",IF(AND($E876="수입",$J876&gt;0),"수입 과목인데 지출에 적혔습니다",IF(AND(LEFT($E876,2)&lt;&gt;"수입",$E876&lt;&gt;"대체",$I876&gt;0),"지출 과목인데 수입에 적혔습니다",IF($K876="","증빙을 고르십시오",IF($H876="","적요를 적으십시오","")))))))))))</f>
        <v/>
      </c>
      <c r="M876" s="39"/>
      <c r="O876" s="11" t="str">
        <f aca="false">IF($B876="","",YEAR($B876)*100+MONTH($B876))</f>
        <v/>
      </c>
      <c r="P876" s="11" t="str">
        <f aca="false">IF($B876="","",IF($E876="대체",0,1))</f>
        <v/>
      </c>
    </row>
    <row r="877" customFormat="false" ht="15" hidden="false" customHeight="false" outlineLevel="0" collapsed="false">
      <c r="A877" s="36" t="str">
        <f aca="false">IF($B877="","",COUNT($B$15:$B877))</f>
        <v/>
      </c>
      <c r="B877" s="37"/>
      <c r="C877" s="38"/>
      <c r="D877" s="20"/>
      <c r="E877" s="36" t="str">
        <f aca="false">IF($D877="","",IFERROR(INDEX('교육원 ④ 설정'!$A$6:$A$40,MATCH($D877,'교육원 ④ 설정'!$B$6:$B$40,0)),"※없는 과목"))</f>
        <v/>
      </c>
      <c r="F877" s="36" t="str">
        <f aca="false">IF($D877="","",IFERROR(INDEX('교육원 ④ 설정'!$C$6:$C$40,MATCH($D877,'교육원 ④ 설정'!$B$6:$B$40,0)),""))</f>
        <v/>
      </c>
      <c r="G877" s="39"/>
      <c r="H877" s="39"/>
      <c r="I877" s="40"/>
      <c r="J877" s="41"/>
      <c r="K877" s="38"/>
      <c r="L877" s="42" t="str">
        <f aca="false">IF($B877="","",IF(AND(N($I877)=0,N($J877)=0),"금액이 없습니다",IF(AND($I877&gt;0,$J877&gt;0),"수입·지출 둘 다 적혔습니다",IF($C877="","결제수단을 고르십시오",IF(ISNA(MATCH($C877,'교육원 ③ 통장·카드'!$A$5:$A$11,0)),"③ 통장·카드에 없는 결제수단입니다",IF($D877="","계정과목을 고르십시오",IF($E877="※없는 과목","④ 설정에 없는 과목입니다",IF(AND($E877="수입",$J877&gt;0),"수입 과목인데 지출에 적혔습니다",IF(AND(LEFT($E877,2)&lt;&gt;"수입",$E877&lt;&gt;"대체",$I877&gt;0),"지출 과목인데 수입에 적혔습니다",IF($K877="","증빙을 고르십시오",IF($H877="","적요를 적으십시오","")))))))))))</f>
        <v/>
      </c>
      <c r="M877" s="39"/>
      <c r="O877" s="11" t="str">
        <f aca="false">IF($B877="","",YEAR($B877)*100+MONTH($B877))</f>
        <v/>
      </c>
      <c r="P877" s="11" t="str">
        <f aca="false">IF($B877="","",IF($E877="대체",0,1))</f>
        <v/>
      </c>
    </row>
    <row r="878" customFormat="false" ht="15" hidden="false" customHeight="false" outlineLevel="0" collapsed="false">
      <c r="A878" s="36" t="str">
        <f aca="false">IF($B878="","",COUNT($B$15:$B878))</f>
        <v/>
      </c>
      <c r="B878" s="37"/>
      <c r="C878" s="38"/>
      <c r="D878" s="20"/>
      <c r="E878" s="36" t="str">
        <f aca="false">IF($D878="","",IFERROR(INDEX('교육원 ④ 설정'!$A$6:$A$40,MATCH($D878,'교육원 ④ 설정'!$B$6:$B$40,0)),"※없는 과목"))</f>
        <v/>
      </c>
      <c r="F878" s="36" t="str">
        <f aca="false">IF($D878="","",IFERROR(INDEX('교육원 ④ 설정'!$C$6:$C$40,MATCH($D878,'교육원 ④ 설정'!$B$6:$B$40,0)),""))</f>
        <v/>
      </c>
      <c r="G878" s="39"/>
      <c r="H878" s="39"/>
      <c r="I878" s="40"/>
      <c r="J878" s="41"/>
      <c r="K878" s="38"/>
      <c r="L878" s="42" t="str">
        <f aca="false">IF($B878="","",IF(AND(N($I878)=0,N($J878)=0),"금액이 없습니다",IF(AND($I878&gt;0,$J878&gt;0),"수입·지출 둘 다 적혔습니다",IF($C878="","결제수단을 고르십시오",IF(ISNA(MATCH($C878,'교육원 ③ 통장·카드'!$A$5:$A$11,0)),"③ 통장·카드에 없는 결제수단입니다",IF($D878="","계정과목을 고르십시오",IF($E878="※없는 과목","④ 설정에 없는 과목입니다",IF(AND($E878="수입",$J878&gt;0),"수입 과목인데 지출에 적혔습니다",IF(AND(LEFT($E878,2)&lt;&gt;"수입",$E878&lt;&gt;"대체",$I878&gt;0),"지출 과목인데 수입에 적혔습니다",IF($K878="","증빙을 고르십시오",IF($H878="","적요를 적으십시오","")))))))))))</f>
        <v/>
      </c>
      <c r="M878" s="39"/>
      <c r="O878" s="11" t="str">
        <f aca="false">IF($B878="","",YEAR($B878)*100+MONTH($B878))</f>
        <v/>
      </c>
      <c r="P878" s="11" t="str">
        <f aca="false">IF($B878="","",IF($E878="대체",0,1))</f>
        <v/>
      </c>
    </row>
    <row r="879" customFormat="false" ht="15" hidden="false" customHeight="false" outlineLevel="0" collapsed="false">
      <c r="A879" s="36" t="str">
        <f aca="false">IF($B879="","",COUNT($B$15:$B879))</f>
        <v/>
      </c>
      <c r="B879" s="37"/>
      <c r="C879" s="38"/>
      <c r="D879" s="20"/>
      <c r="E879" s="36" t="str">
        <f aca="false">IF($D879="","",IFERROR(INDEX('교육원 ④ 설정'!$A$6:$A$40,MATCH($D879,'교육원 ④ 설정'!$B$6:$B$40,0)),"※없는 과목"))</f>
        <v/>
      </c>
      <c r="F879" s="36" t="str">
        <f aca="false">IF($D879="","",IFERROR(INDEX('교육원 ④ 설정'!$C$6:$C$40,MATCH($D879,'교육원 ④ 설정'!$B$6:$B$40,0)),""))</f>
        <v/>
      </c>
      <c r="G879" s="39"/>
      <c r="H879" s="39"/>
      <c r="I879" s="40"/>
      <c r="J879" s="41"/>
      <c r="K879" s="38"/>
      <c r="L879" s="42" t="str">
        <f aca="false">IF($B879="","",IF(AND(N($I879)=0,N($J879)=0),"금액이 없습니다",IF(AND($I879&gt;0,$J879&gt;0),"수입·지출 둘 다 적혔습니다",IF($C879="","결제수단을 고르십시오",IF(ISNA(MATCH($C879,'교육원 ③ 통장·카드'!$A$5:$A$11,0)),"③ 통장·카드에 없는 결제수단입니다",IF($D879="","계정과목을 고르십시오",IF($E879="※없는 과목","④ 설정에 없는 과목입니다",IF(AND($E879="수입",$J879&gt;0),"수입 과목인데 지출에 적혔습니다",IF(AND(LEFT($E879,2)&lt;&gt;"수입",$E879&lt;&gt;"대체",$I879&gt;0),"지출 과목인데 수입에 적혔습니다",IF($K879="","증빙을 고르십시오",IF($H879="","적요를 적으십시오","")))))))))))</f>
        <v/>
      </c>
      <c r="M879" s="39"/>
      <c r="O879" s="11" t="str">
        <f aca="false">IF($B879="","",YEAR($B879)*100+MONTH($B879))</f>
        <v/>
      </c>
      <c r="P879" s="11" t="str">
        <f aca="false">IF($B879="","",IF($E879="대체",0,1))</f>
        <v/>
      </c>
    </row>
    <row r="880" customFormat="false" ht="15" hidden="false" customHeight="false" outlineLevel="0" collapsed="false">
      <c r="A880" s="36" t="str">
        <f aca="false">IF($B880="","",COUNT($B$15:$B880))</f>
        <v/>
      </c>
      <c r="B880" s="37"/>
      <c r="C880" s="38"/>
      <c r="D880" s="20"/>
      <c r="E880" s="36" t="str">
        <f aca="false">IF($D880="","",IFERROR(INDEX('교육원 ④ 설정'!$A$6:$A$40,MATCH($D880,'교육원 ④ 설정'!$B$6:$B$40,0)),"※없는 과목"))</f>
        <v/>
      </c>
      <c r="F880" s="36" t="str">
        <f aca="false">IF($D880="","",IFERROR(INDEX('교육원 ④ 설정'!$C$6:$C$40,MATCH($D880,'교육원 ④ 설정'!$B$6:$B$40,0)),""))</f>
        <v/>
      </c>
      <c r="G880" s="39"/>
      <c r="H880" s="39"/>
      <c r="I880" s="40"/>
      <c r="J880" s="41"/>
      <c r="K880" s="38"/>
      <c r="L880" s="42" t="str">
        <f aca="false">IF($B880="","",IF(AND(N($I880)=0,N($J880)=0),"금액이 없습니다",IF(AND($I880&gt;0,$J880&gt;0),"수입·지출 둘 다 적혔습니다",IF($C880="","결제수단을 고르십시오",IF(ISNA(MATCH($C880,'교육원 ③ 통장·카드'!$A$5:$A$11,0)),"③ 통장·카드에 없는 결제수단입니다",IF($D880="","계정과목을 고르십시오",IF($E880="※없는 과목","④ 설정에 없는 과목입니다",IF(AND($E880="수입",$J880&gt;0),"수입 과목인데 지출에 적혔습니다",IF(AND(LEFT($E880,2)&lt;&gt;"수입",$E880&lt;&gt;"대체",$I880&gt;0),"지출 과목인데 수입에 적혔습니다",IF($K880="","증빙을 고르십시오",IF($H880="","적요를 적으십시오","")))))))))))</f>
        <v/>
      </c>
      <c r="M880" s="39"/>
      <c r="O880" s="11" t="str">
        <f aca="false">IF($B880="","",YEAR($B880)*100+MONTH($B880))</f>
        <v/>
      </c>
      <c r="P880" s="11" t="str">
        <f aca="false">IF($B880="","",IF($E880="대체",0,1))</f>
        <v/>
      </c>
    </row>
    <row r="881" customFormat="false" ht="15" hidden="false" customHeight="false" outlineLevel="0" collapsed="false">
      <c r="A881" s="36" t="str">
        <f aca="false">IF($B881="","",COUNT($B$15:$B881))</f>
        <v/>
      </c>
      <c r="B881" s="37"/>
      <c r="C881" s="38"/>
      <c r="D881" s="20"/>
      <c r="E881" s="36" t="str">
        <f aca="false">IF($D881="","",IFERROR(INDEX('교육원 ④ 설정'!$A$6:$A$40,MATCH($D881,'교육원 ④ 설정'!$B$6:$B$40,0)),"※없는 과목"))</f>
        <v/>
      </c>
      <c r="F881" s="36" t="str">
        <f aca="false">IF($D881="","",IFERROR(INDEX('교육원 ④ 설정'!$C$6:$C$40,MATCH($D881,'교육원 ④ 설정'!$B$6:$B$40,0)),""))</f>
        <v/>
      </c>
      <c r="G881" s="39"/>
      <c r="H881" s="39"/>
      <c r="I881" s="40"/>
      <c r="J881" s="41"/>
      <c r="K881" s="38"/>
      <c r="L881" s="42" t="str">
        <f aca="false">IF($B881="","",IF(AND(N($I881)=0,N($J881)=0),"금액이 없습니다",IF(AND($I881&gt;0,$J881&gt;0),"수입·지출 둘 다 적혔습니다",IF($C881="","결제수단을 고르십시오",IF(ISNA(MATCH($C881,'교육원 ③ 통장·카드'!$A$5:$A$11,0)),"③ 통장·카드에 없는 결제수단입니다",IF($D881="","계정과목을 고르십시오",IF($E881="※없는 과목","④ 설정에 없는 과목입니다",IF(AND($E881="수입",$J881&gt;0),"수입 과목인데 지출에 적혔습니다",IF(AND(LEFT($E881,2)&lt;&gt;"수입",$E881&lt;&gt;"대체",$I881&gt;0),"지출 과목인데 수입에 적혔습니다",IF($K881="","증빙을 고르십시오",IF($H881="","적요를 적으십시오","")))))))))))</f>
        <v/>
      </c>
      <c r="M881" s="39"/>
      <c r="O881" s="11" t="str">
        <f aca="false">IF($B881="","",YEAR($B881)*100+MONTH($B881))</f>
        <v/>
      </c>
      <c r="P881" s="11" t="str">
        <f aca="false">IF($B881="","",IF($E881="대체",0,1))</f>
        <v/>
      </c>
    </row>
    <row r="882" customFormat="false" ht="15" hidden="false" customHeight="false" outlineLevel="0" collapsed="false">
      <c r="A882" s="36" t="str">
        <f aca="false">IF($B882="","",COUNT($B$15:$B882))</f>
        <v/>
      </c>
      <c r="B882" s="37"/>
      <c r="C882" s="38"/>
      <c r="D882" s="20"/>
      <c r="E882" s="36" t="str">
        <f aca="false">IF($D882="","",IFERROR(INDEX('교육원 ④ 설정'!$A$6:$A$40,MATCH($D882,'교육원 ④ 설정'!$B$6:$B$40,0)),"※없는 과목"))</f>
        <v/>
      </c>
      <c r="F882" s="36" t="str">
        <f aca="false">IF($D882="","",IFERROR(INDEX('교육원 ④ 설정'!$C$6:$C$40,MATCH($D882,'교육원 ④ 설정'!$B$6:$B$40,0)),""))</f>
        <v/>
      </c>
      <c r="G882" s="39"/>
      <c r="H882" s="39"/>
      <c r="I882" s="40"/>
      <c r="J882" s="41"/>
      <c r="K882" s="38"/>
      <c r="L882" s="42" t="str">
        <f aca="false">IF($B882="","",IF(AND(N($I882)=0,N($J882)=0),"금액이 없습니다",IF(AND($I882&gt;0,$J882&gt;0),"수입·지출 둘 다 적혔습니다",IF($C882="","결제수단을 고르십시오",IF(ISNA(MATCH($C882,'교육원 ③ 통장·카드'!$A$5:$A$11,0)),"③ 통장·카드에 없는 결제수단입니다",IF($D882="","계정과목을 고르십시오",IF($E882="※없는 과목","④ 설정에 없는 과목입니다",IF(AND($E882="수입",$J882&gt;0),"수입 과목인데 지출에 적혔습니다",IF(AND(LEFT($E882,2)&lt;&gt;"수입",$E882&lt;&gt;"대체",$I882&gt;0),"지출 과목인데 수입에 적혔습니다",IF($K882="","증빙을 고르십시오",IF($H882="","적요를 적으십시오","")))))))))))</f>
        <v/>
      </c>
      <c r="M882" s="39"/>
      <c r="O882" s="11" t="str">
        <f aca="false">IF($B882="","",YEAR($B882)*100+MONTH($B882))</f>
        <v/>
      </c>
      <c r="P882" s="11" t="str">
        <f aca="false">IF($B882="","",IF($E882="대체",0,1))</f>
        <v/>
      </c>
    </row>
    <row r="883" customFormat="false" ht="15" hidden="false" customHeight="false" outlineLevel="0" collapsed="false">
      <c r="A883" s="36" t="str">
        <f aca="false">IF($B883="","",COUNT($B$15:$B883))</f>
        <v/>
      </c>
      <c r="B883" s="37"/>
      <c r="C883" s="38"/>
      <c r="D883" s="20"/>
      <c r="E883" s="36" t="str">
        <f aca="false">IF($D883="","",IFERROR(INDEX('교육원 ④ 설정'!$A$6:$A$40,MATCH($D883,'교육원 ④ 설정'!$B$6:$B$40,0)),"※없는 과목"))</f>
        <v/>
      </c>
      <c r="F883" s="36" t="str">
        <f aca="false">IF($D883="","",IFERROR(INDEX('교육원 ④ 설정'!$C$6:$C$40,MATCH($D883,'교육원 ④ 설정'!$B$6:$B$40,0)),""))</f>
        <v/>
      </c>
      <c r="G883" s="39"/>
      <c r="H883" s="39"/>
      <c r="I883" s="40"/>
      <c r="J883" s="41"/>
      <c r="K883" s="38"/>
      <c r="L883" s="42" t="str">
        <f aca="false">IF($B883="","",IF(AND(N($I883)=0,N($J883)=0),"금액이 없습니다",IF(AND($I883&gt;0,$J883&gt;0),"수입·지출 둘 다 적혔습니다",IF($C883="","결제수단을 고르십시오",IF(ISNA(MATCH($C883,'교육원 ③ 통장·카드'!$A$5:$A$11,0)),"③ 통장·카드에 없는 결제수단입니다",IF($D883="","계정과목을 고르십시오",IF($E883="※없는 과목","④ 설정에 없는 과목입니다",IF(AND($E883="수입",$J883&gt;0),"수입 과목인데 지출에 적혔습니다",IF(AND(LEFT($E883,2)&lt;&gt;"수입",$E883&lt;&gt;"대체",$I883&gt;0),"지출 과목인데 수입에 적혔습니다",IF($K883="","증빙을 고르십시오",IF($H883="","적요를 적으십시오","")))))))))))</f>
        <v/>
      </c>
      <c r="M883" s="39"/>
      <c r="O883" s="11" t="str">
        <f aca="false">IF($B883="","",YEAR($B883)*100+MONTH($B883))</f>
        <v/>
      </c>
      <c r="P883" s="11" t="str">
        <f aca="false">IF($B883="","",IF($E883="대체",0,1))</f>
        <v/>
      </c>
    </row>
    <row r="884" customFormat="false" ht="15" hidden="false" customHeight="false" outlineLevel="0" collapsed="false">
      <c r="A884" s="36" t="str">
        <f aca="false">IF($B884="","",COUNT($B$15:$B884))</f>
        <v/>
      </c>
      <c r="B884" s="37"/>
      <c r="C884" s="38"/>
      <c r="D884" s="20"/>
      <c r="E884" s="36" t="str">
        <f aca="false">IF($D884="","",IFERROR(INDEX('교육원 ④ 설정'!$A$6:$A$40,MATCH($D884,'교육원 ④ 설정'!$B$6:$B$40,0)),"※없는 과목"))</f>
        <v/>
      </c>
      <c r="F884" s="36" t="str">
        <f aca="false">IF($D884="","",IFERROR(INDEX('교육원 ④ 설정'!$C$6:$C$40,MATCH($D884,'교육원 ④ 설정'!$B$6:$B$40,0)),""))</f>
        <v/>
      </c>
      <c r="G884" s="39"/>
      <c r="H884" s="39"/>
      <c r="I884" s="40"/>
      <c r="J884" s="41"/>
      <c r="K884" s="38"/>
      <c r="L884" s="42" t="str">
        <f aca="false">IF($B884="","",IF(AND(N($I884)=0,N($J884)=0),"금액이 없습니다",IF(AND($I884&gt;0,$J884&gt;0),"수입·지출 둘 다 적혔습니다",IF($C884="","결제수단을 고르십시오",IF(ISNA(MATCH($C884,'교육원 ③ 통장·카드'!$A$5:$A$11,0)),"③ 통장·카드에 없는 결제수단입니다",IF($D884="","계정과목을 고르십시오",IF($E884="※없는 과목","④ 설정에 없는 과목입니다",IF(AND($E884="수입",$J884&gt;0),"수입 과목인데 지출에 적혔습니다",IF(AND(LEFT($E884,2)&lt;&gt;"수입",$E884&lt;&gt;"대체",$I884&gt;0),"지출 과목인데 수입에 적혔습니다",IF($K884="","증빙을 고르십시오",IF($H884="","적요를 적으십시오","")))))))))))</f>
        <v/>
      </c>
      <c r="M884" s="39"/>
      <c r="O884" s="11" t="str">
        <f aca="false">IF($B884="","",YEAR($B884)*100+MONTH($B884))</f>
        <v/>
      </c>
      <c r="P884" s="11" t="str">
        <f aca="false">IF($B884="","",IF($E884="대체",0,1))</f>
        <v/>
      </c>
    </row>
    <row r="885" customFormat="false" ht="15" hidden="false" customHeight="false" outlineLevel="0" collapsed="false">
      <c r="A885" s="36" t="str">
        <f aca="false">IF($B885="","",COUNT($B$15:$B885))</f>
        <v/>
      </c>
      <c r="B885" s="37"/>
      <c r="C885" s="38"/>
      <c r="D885" s="20"/>
      <c r="E885" s="36" t="str">
        <f aca="false">IF($D885="","",IFERROR(INDEX('교육원 ④ 설정'!$A$6:$A$40,MATCH($D885,'교육원 ④ 설정'!$B$6:$B$40,0)),"※없는 과목"))</f>
        <v/>
      </c>
      <c r="F885" s="36" t="str">
        <f aca="false">IF($D885="","",IFERROR(INDEX('교육원 ④ 설정'!$C$6:$C$40,MATCH($D885,'교육원 ④ 설정'!$B$6:$B$40,0)),""))</f>
        <v/>
      </c>
      <c r="G885" s="39"/>
      <c r="H885" s="39"/>
      <c r="I885" s="40"/>
      <c r="J885" s="41"/>
      <c r="K885" s="38"/>
      <c r="L885" s="42" t="str">
        <f aca="false">IF($B885="","",IF(AND(N($I885)=0,N($J885)=0),"금액이 없습니다",IF(AND($I885&gt;0,$J885&gt;0),"수입·지출 둘 다 적혔습니다",IF($C885="","결제수단을 고르십시오",IF(ISNA(MATCH($C885,'교육원 ③ 통장·카드'!$A$5:$A$11,0)),"③ 통장·카드에 없는 결제수단입니다",IF($D885="","계정과목을 고르십시오",IF($E885="※없는 과목","④ 설정에 없는 과목입니다",IF(AND($E885="수입",$J885&gt;0),"수입 과목인데 지출에 적혔습니다",IF(AND(LEFT($E885,2)&lt;&gt;"수입",$E885&lt;&gt;"대체",$I885&gt;0),"지출 과목인데 수입에 적혔습니다",IF($K885="","증빙을 고르십시오",IF($H885="","적요를 적으십시오","")))))))))))</f>
        <v/>
      </c>
      <c r="M885" s="39"/>
      <c r="O885" s="11" t="str">
        <f aca="false">IF($B885="","",YEAR($B885)*100+MONTH($B885))</f>
        <v/>
      </c>
      <c r="P885" s="11" t="str">
        <f aca="false">IF($B885="","",IF($E885="대체",0,1))</f>
        <v/>
      </c>
    </row>
    <row r="886" customFormat="false" ht="15" hidden="false" customHeight="false" outlineLevel="0" collapsed="false">
      <c r="A886" s="36" t="str">
        <f aca="false">IF($B886="","",COUNT($B$15:$B886))</f>
        <v/>
      </c>
      <c r="B886" s="37"/>
      <c r="C886" s="38"/>
      <c r="D886" s="20"/>
      <c r="E886" s="36" t="str">
        <f aca="false">IF($D886="","",IFERROR(INDEX('교육원 ④ 설정'!$A$6:$A$40,MATCH($D886,'교육원 ④ 설정'!$B$6:$B$40,0)),"※없는 과목"))</f>
        <v/>
      </c>
      <c r="F886" s="36" t="str">
        <f aca="false">IF($D886="","",IFERROR(INDEX('교육원 ④ 설정'!$C$6:$C$40,MATCH($D886,'교육원 ④ 설정'!$B$6:$B$40,0)),""))</f>
        <v/>
      </c>
      <c r="G886" s="39"/>
      <c r="H886" s="39"/>
      <c r="I886" s="40"/>
      <c r="J886" s="41"/>
      <c r="K886" s="38"/>
      <c r="L886" s="42" t="str">
        <f aca="false">IF($B886="","",IF(AND(N($I886)=0,N($J886)=0),"금액이 없습니다",IF(AND($I886&gt;0,$J886&gt;0),"수입·지출 둘 다 적혔습니다",IF($C886="","결제수단을 고르십시오",IF(ISNA(MATCH($C886,'교육원 ③ 통장·카드'!$A$5:$A$11,0)),"③ 통장·카드에 없는 결제수단입니다",IF($D886="","계정과목을 고르십시오",IF($E886="※없는 과목","④ 설정에 없는 과목입니다",IF(AND($E886="수입",$J886&gt;0),"수입 과목인데 지출에 적혔습니다",IF(AND(LEFT($E886,2)&lt;&gt;"수입",$E886&lt;&gt;"대체",$I886&gt;0),"지출 과목인데 수입에 적혔습니다",IF($K886="","증빙을 고르십시오",IF($H886="","적요를 적으십시오","")))))))))))</f>
        <v/>
      </c>
      <c r="M886" s="39"/>
      <c r="O886" s="11" t="str">
        <f aca="false">IF($B886="","",YEAR($B886)*100+MONTH($B886))</f>
        <v/>
      </c>
      <c r="P886" s="11" t="str">
        <f aca="false">IF($B886="","",IF($E886="대체",0,1))</f>
        <v/>
      </c>
    </row>
    <row r="887" customFormat="false" ht="15" hidden="false" customHeight="false" outlineLevel="0" collapsed="false">
      <c r="A887" s="36" t="str">
        <f aca="false">IF($B887="","",COUNT($B$15:$B887))</f>
        <v/>
      </c>
      <c r="B887" s="37"/>
      <c r="C887" s="38"/>
      <c r="D887" s="20"/>
      <c r="E887" s="36" t="str">
        <f aca="false">IF($D887="","",IFERROR(INDEX('교육원 ④ 설정'!$A$6:$A$40,MATCH($D887,'교육원 ④ 설정'!$B$6:$B$40,0)),"※없는 과목"))</f>
        <v/>
      </c>
      <c r="F887" s="36" t="str">
        <f aca="false">IF($D887="","",IFERROR(INDEX('교육원 ④ 설정'!$C$6:$C$40,MATCH($D887,'교육원 ④ 설정'!$B$6:$B$40,0)),""))</f>
        <v/>
      </c>
      <c r="G887" s="39"/>
      <c r="H887" s="39"/>
      <c r="I887" s="40"/>
      <c r="J887" s="41"/>
      <c r="K887" s="38"/>
      <c r="L887" s="42" t="str">
        <f aca="false">IF($B887="","",IF(AND(N($I887)=0,N($J887)=0),"금액이 없습니다",IF(AND($I887&gt;0,$J887&gt;0),"수입·지출 둘 다 적혔습니다",IF($C887="","결제수단을 고르십시오",IF(ISNA(MATCH($C887,'교육원 ③ 통장·카드'!$A$5:$A$11,0)),"③ 통장·카드에 없는 결제수단입니다",IF($D887="","계정과목을 고르십시오",IF($E887="※없는 과목","④ 설정에 없는 과목입니다",IF(AND($E887="수입",$J887&gt;0),"수입 과목인데 지출에 적혔습니다",IF(AND(LEFT($E887,2)&lt;&gt;"수입",$E887&lt;&gt;"대체",$I887&gt;0),"지출 과목인데 수입에 적혔습니다",IF($K887="","증빙을 고르십시오",IF($H887="","적요를 적으십시오","")))))))))))</f>
        <v/>
      </c>
      <c r="M887" s="39"/>
      <c r="O887" s="11" t="str">
        <f aca="false">IF($B887="","",YEAR($B887)*100+MONTH($B887))</f>
        <v/>
      </c>
      <c r="P887" s="11" t="str">
        <f aca="false">IF($B887="","",IF($E887="대체",0,1))</f>
        <v/>
      </c>
    </row>
    <row r="888" customFormat="false" ht="15" hidden="false" customHeight="false" outlineLevel="0" collapsed="false">
      <c r="A888" s="36" t="str">
        <f aca="false">IF($B888="","",COUNT($B$15:$B888))</f>
        <v/>
      </c>
      <c r="B888" s="37"/>
      <c r="C888" s="38"/>
      <c r="D888" s="20"/>
      <c r="E888" s="36" t="str">
        <f aca="false">IF($D888="","",IFERROR(INDEX('교육원 ④ 설정'!$A$6:$A$40,MATCH($D888,'교육원 ④ 설정'!$B$6:$B$40,0)),"※없는 과목"))</f>
        <v/>
      </c>
      <c r="F888" s="36" t="str">
        <f aca="false">IF($D888="","",IFERROR(INDEX('교육원 ④ 설정'!$C$6:$C$40,MATCH($D888,'교육원 ④ 설정'!$B$6:$B$40,0)),""))</f>
        <v/>
      </c>
      <c r="G888" s="39"/>
      <c r="H888" s="39"/>
      <c r="I888" s="40"/>
      <c r="J888" s="41"/>
      <c r="K888" s="38"/>
      <c r="L888" s="42" t="str">
        <f aca="false">IF($B888="","",IF(AND(N($I888)=0,N($J888)=0),"금액이 없습니다",IF(AND($I888&gt;0,$J888&gt;0),"수입·지출 둘 다 적혔습니다",IF($C888="","결제수단을 고르십시오",IF(ISNA(MATCH($C888,'교육원 ③ 통장·카드'!$A$5:$A$11,0)),"③ 통장·카드에 없는 결제수단입니다",IF($D888="","계정과목을 고르십시오",IF($E888="※없는 과목","④ 설정에 없는 과목입니다",IF(AND($E888="수입",$J888&gt;0),"수입 과목인데 지출에 적혔습니다",IF(AND(LEFT($E888,2)&lt;&gt;"수입",$E888&lt;&gt;"대체",$I888&gt;0),"지출 과목인데 수입에 적혔습니다",IF($K888="","증빙을 고르십시오",IF($H888="","적요를 적으십시오","")))))))))))</f>
        <v/>
      </c>
      <c r="M888" s="39"/>
      <c r="O888" s="11" t="str">
        <f aca="false">IF($B888="","",YEAR($B888)*100+MONTH($B888))</f>
        <v/>
      </c>
      <c r="P888" s="11" t="str">
        <f aca="false">IF($B888="","",IF($E888="대체",0,1))</f>
        <v/>
      </c>
    </row>
    <row r="889" customFormat="false" ht="15" hidden="false" customHeight="false" outlineLevel="0" collapsed="false">
      <c r="A889" s="36" t="str">
        <f aca="false">IF($B889="","",COUNT($B$15:$B889))</f>
        <v/>
      </c>
      <c r="B889" s="37"/>
      <c r="C889" s="38"/>
      <c r="D889" s="20"/>
      <c r="E889" s="36" t="str">
        <f aca="false">IF($D889="","",IFERROR(INDEX('교육원 ④ 설정'!$A$6:$A$40,MATCH($D889,'교육원 ④ 설정'!$B$6:$B$40,0)),"※없는 과목"))</f>
        <v/>
      </c>
      <c r="F889" s="36" t="str">
        <f aca="false">IF($D889="","",IFERROR(INDEX('교육원 ④ 설정'!$C$6:$C$40,MATCH($D889,'교육원 ④ 설정'!$B$6:$B$40,0)),""))</f>
        <v/>
      </c>
      <c r="G889" s="39"/>
      <c r="H889" s="39"/>
      <c r="I889" s="40"/>
      <c r="J889" s="41"/>
      <c r="K889" s="38"/>
      <c r="L889" s="42" t="str">
        <f aca="false">IF($B889="","",IF(AND(N($I889)=0,N($J889)=0),"금액이 없습니다",IF(AND($I889&gt;0,$J889&gt;0),"수입·지출 둘 다 적혔습니다",IF($C889="","결제수단을 고르십시오",IF(ISNA(MATCH($C889,'교육원 ③ 통장·카드'!$A$5:$A$11,0)),"③ 통장·카드에 없는 결제수단입니다",IF($D889="","계정과목을 고르십시오",IF($E889="※없는 과목","④ 설정에 없는 과목입니다",IF(AND($E889="수입",$J889&gt;0),"수입 과목인데 지출에 적혔습니다",IF(AND(LEFT($E889,2)&lt;&gt;"수입",$E889&lt;&gt;"대체",$I889&gt;0),"지출 과목인데 수입에 적혔습니다",IF($K889="","증빙을 고르십시오",IF($H889="","적요를 적으십시오","")))))))))))</f>
        <v/>
      </c>
      <c r="M889" s="39"/>
      <c r="O889" s="11" t="str">
        <f aca="false">IF($B889="","",YEAR($B889)*100+MONTH($B889))</f>
        <v/>
      </c>
      <c r="P889" s="11" t="str">
        <f aca="false">IF($B889="","",IF($E889="대체",0,1))</f>
        <v/>
      </c>
    </row>
    <row r="890" customFormat="false" ht="15" hidden="false" customHeight="false" outlineLevel="0" collapsed="false">
      <c r="A890" s="36" t="str">
        <f aca="false">IF($B890="","",COUNT($B$15:$B890))</f>
        <v/>
      </c>
      <c r="B890" s="37"/>
      <c r="C890" s="38"/>
      <c r="D890" s="20"/>
      <c r="E890" s="36" t="str">
        <f aca="false">IF($D890="","",IFERROR(INDEX('교육원 ④ 설정'!$A$6:$A$40,MATCH($D890,'교육원 ④ 설정'!$B$6:$B$40,0)),"※없는 과목"))</f>
        <v/>
      </c>
      <c r="F890" s="36" t="str">
        <f aca="false">IF($D890="","",IFERROR(INDEX('교육원 ④ 설정'!$C$6:$C$40,MATCH($D890,'교육원 ④ 설정'!$B$6:$B$40,0)),""))</f>
        <v/>
      </c>
      <c r="G890" s="39"/>
      <c r="H890" s="39"/>
      <c r="I890" s="40"/>
      <c r="J890" s="41"/>
      <c r="K890" s="38"/>
      <c r="L890" s="42" t="str">
        <f aca="false">IF($B890="","",IF(AND(N($I890)=0,N($J890)=0),"금액이 없습니다",IF(AND($I890&gt;0,$J890&gt;0),"수입·지출 둘 다 적혔습니다",IF($C890="","결제수단을 고르십시오",IF(ISNA(MATCH($C890,'교육원 ③ 통장·카드'!$A$5:$A$11,0)),"③ 통장·카드에 없는 결제수단입니다",IF($D890="","계정과목을 고르십시오",IF($E890="※없는 과목","④ 설정에 없는 과목입니다",IF(AND($E890="수입",$J890&gt;0),"수입 과목인데 지출에 적혔습니다",IF(AND(LEFT($E890,2)&lt;&gt;"수입",$E890&lt;&gt;"대체",$I890&gt;0),"지출 과목인데 수입에 적혔습니다",IF($K890="","증빙을 고르십시오",IF($H890="","적요를 적으십시오","")))))))))))</f>
        <v/>
      </c>
      <c r="M890" s="39"/>
      <c r="O890" s="11" t="str">
        <f aca="false">IF($B890="","",YEAR($B890)*100+MONTH($B890))</f>
        <v/>
      </c>
      <c r="P890" s="11" t="str">
        <f aca="false">IF($B890="","",IF($E890="대체",0,1))</f>
        <v/>
      </c>
    </row>
    <row r="891" customFormat="false" ht="15" hidden="false" customHeight="false" outlineLevel="0" collapsed="false">
      <c r="A891" s="36" t="str">
        <f aca="false">IF($B891="","",COUNT($B$15:$B891))</f>
        <v/>
      </c>
      <c r="B891" s="37"/>
      <c r="C891" s="38"/>
      <c r="D891" s="20"/>
      <c r="E891" s="36" t="str">
        <f aca="false">IF($D891="","",IFERROR(INDEX('교육원 ④ 설정'!$A$6:$A$40,MATCH($D891,'교육원 ④ 설정'!$B$6:$B$40,0)),"※없는 과목"))</f>
        <v/>
      </c>
      <c r="F891" s="36" t="str">
        <f aca="false">IF($D891="","",IFERROR(INDEX('교육원 ④ 설정'!$C$6:$C$40,MATCH($D891,'교육원 ④ 설정'!$B$6:$B$40,0)),""))</f>
        <v/>
      </c>
      <c r="G891" s="39"/>
      <c r="H891" s="39"/>
      <c r="I891" s="40"/>
      <c r="J891" s="41"/>
      <c r="K891" s="38"/>
      <c r="L891" s="42" t="str">
        <f aca="false">IF($B891="","",IF(AND(N($I891)=0,N($J891)=0),"금액이 없습니다",IF(AND($I891&gt;0,$J891&gt;0),"수입·지출 둘 다 적혔습니다",IF($C891="","결제수단을 고르십시오",IF(ISNA(MATCH($C891,'교육원 ③ 통장·카드'!$A$5:$A$11,0)),"③ 통장·카드에 없는 결제수단입니다",IF($D891="","계정과목을 고르십시오",IF($E891="※없는 과목","④ 설정에 없는 과목입니다",IF(AND($E891="수입",$J891&gt;0),"수입 과목인데 지출에 적혔습니다",IF(AND(LEFT($E891,2)&lt;&gt;"수입",$E891&lt;&gt;"대체",$I891&gt;0),"지출 과목인데 수입에 적혔습니다",IF($K891="","증빙을 고르십시오",IF($H891="","적요를 적으십시오","")))))))))))</f>
        <v/>
      </c>
      <c r="M891" s="39"/>
      <c r="O891" s="11" t="str">
        <f aca="false">IF($B891="","",YEAR($B891)*100+MONTH($B891))</f>
        <v/>
      </c>
      <c r="P891" s="11" t="str">
        <f aca="false">IF($B891="","",IF($E891="대체",0,1))</f>
        <v/>
      </c>
    </row>
    <row r="892" customFormat="false" ht="15" hidden="false" customHeight="false" outlineLevel="0" collapsed="false">
      <c r="A892" s="36" t="str">
        <f aca="false">IF($B892="","",COUNT($B$15:$B892))</f>
        <v/>
      </c>
      <c r="B892" s="37"/>
      <c r="C892" s="38"/>
      <c r="D892" s="20"/>
      <c r="E892" s="36" t="str">
        <f aca="false">IF($D892="","",IFERROR(INDEX('교육원 ④ 설정'!$A$6:$A$40,MATCH($D892,'교육원 ④ 설정'!$B$6:$B$40,0)),"※없는 과목"))</f>
        <v/>
      </c>
      <c r="F892" s="36" t="str">
        <f aca="false">IF($D892="","",IFERROR(INDEX('교육원 ④ 설정'!$C$6:$C$40,MATCH($D892,'교육원 ④ 설정'!$B$6:$B$40,0)),""))</f>
        <v/>
      </c>
      <c r="G892" s="39"/>
      <c r="H892" s="39"/>
      <c r="I892" s="40"/>
      <c r="J892" s="41"/>
      <c r="K892" s="38"/>
      <c r="L892" s="42" t="str">
        <f aca="false">IF($B892="","",IF(AND(N($I892)=0,N($J892)=0),"금액이 없습니다",IF(AND($I892&gt;0,$J892&gt;0),"수입·지출 둘 다 적혔습니다",IF($C892="","결제수단을 고르십시오",IF(ISNA(MATCH($C892,'교육원 ③ 통장·카드'!$A$5:$A$11,0)),"③ 통장·카드에 없는 결제수단입니다",IF($D892="","계정과목을 고르십시오",IF($E892="※없는 과목","④ 설정에 없는 과목입니다",IF(AND($E892="수입",$J892&gt;0),"수입 과목인데 지출에 적혔습니다",IF(AND(LEFT($E892,2)&lt;&gt;"수입",$E892&lt;&gt;"대체",$I892&gt;0),"지출 과목인데 수입에 적혔습니다",IF($K892="","증빙을 고르십시오",IF($H892="","적요를 적으십시오","")))))))))))</f>
        <v/>
      </c>
      <c r="M892" s="39"/>
      <c r="O892" s="11" t="str">
        <f aca="false">IF($B892="","",YEAR($B892)*100+MONTH($B892))</f>
        <v/>
      </c>
      <c r="P892" s="11" t="str">
        <f aca="false">IF($B892="","",IF($E892="대체",0,1))</f>
        <v/>
      </c>
    </row>
    <row r="893" customFormat="false" ht="15" hidden="false" customHeight="false" outlineLevel="0" collapsed="false">
      <c r="A893" s="36" t="str">
        <f aca="false">IF($B893="","",COUNT($B$15:$B893))</f>
        <v/>
      </c>
      <c r="B893" s="37"/>
      <c r="C893" s="38"/>
      <c r="D893" s="20"/>
      <c r="E893" s="36" t="str">
        <f aca="false">IF($D893="","",IFERROR(INDEX('교육원 ④ 설정'!$A$6:$A$40,MATCH($D893,'교육원 ④ 설정'!$B$6:$B$40,0)),"※없는 과목"))</f>
        <v/>
      </c>
      <c r="F893" s="36" t="str">
        <f aca="false">IF($D893="","",IFERROR(INDEX('교육원 ④ 설정'!$C$6:$C$40,MATCH($D893,'교육원 ④ 설정'!$B$6:$B$40,0)),""))</f>
        <v/>
      </c>
      <c r="G893" s="39"/>
      <c r="H893" s="39"/>
      <c r="I893" s="40"/>
      <c r="J893" s="41"/>
      <c r="K893" s="38"/>
      <c r="L893" s="42" t="str">
        <f aca="false">IF($B893="","",IF(AND(N($I893)=0,N($J893)=0),"금액이 없습니다",IF(AND($I893&gt;0,$J893&gt;0),"수입·지출 둘 다 적혔습니다",IF($C893="","결제수단을 고르십시오",IF(ISNA(MATCH($C893,'교육원 ③ 통장·카드'!$A$5:$A$11,0)),"③ 통장·카드에 없는 결제수단입니다",IF($D893="","계정과목을 고르십시오",IF($E893="※없는 과목","④ 설정에 없는 과목입니다",IF(AND($E893="수입",$J893&gt;0),"수입 과목인데 지출에 적혔습니다",IF(AND(LEFT($E893,2)&lt;&gt;"수입",$E893&lt;&gt;"대체",$I893&gt;0),"지출 과목인데 수입에 적혔습니다",IF($K893="","증빙을 고르십시오",IF($H893="","적요를 적으십시오","")))))))))))</f>
        <v/>
      </c>
      <c r="M893" s="39"/>
      <c r="O893" s="11" t="str">
        <f aca="false">IF($B893="","",YEAR($B893)*100+MONTH($B893))</f>
        <v/>
      </c>
      <c r="P893" s="11" t="str">
        <f aca="false">IF($B893="","",IF($E893="대체",0,1))</f>
        <v/>
      </c>
    </row>
    <row r="894" customFormat="false" ht="15" hidden="false" customHeight="false" outlineLevel="0" collapsed="false">
      <c r="A894" s="36" t="str">
        <f aca="false">IF($B894="","",COUNT($B$15:$B894))</f>
        <v/>
      </c>
      <c r="B894" s="37"/>
      <c r="C894" s="38"/>
      <c r="D894" s="20"/>
      <c r="E894" s="36" t="str">
        <f aca="false">IF($D894="","",IFERROR(INDEX('교육원 ④ 설정'!$A$6:$A$40,MATCH($D894,'교육원 ④ 설정'!$B$6:$B$40,0)),"※없는 과목"))</f>
        <v/>
      </c>
      <c r="F894" s="36" t="str">
        <f aca="false">IF($D894="","",IFERROR(INDEX('교육원 ④ 설정'!$C$6:$C$40,MATCH($D894,'교육원 ④ 설정'!$B$6:$B$40,0)),""))</f>
        <v/>
      </c>
      <c r="G894" s="39"/>
      <c r="H894" s="39"/>
      <c r="I894" s="40"/>
      <c r="J894" s="41"/>
      <c r="K894" s="38"/>
      <c r="L894" s="42" t="str">
        <f aca="false">IF($B894="","",IF(AND(N($I894)=0,N($J894)=0),"금액이 없습니다",IF(AND($I894&gt;0,$J894&gt;0),"수입·지출 둘 다 적혔습니다",IF($C894="","결제수단을 고르십시오",IF(ISNA(MATCH($C894,'교육원 ③ 통장·카드'!$A$5:$A$11,0)),"③ 통장·카드에 없는 결제수단입니다",IF($D894="","계정과목을 고르십시오",IF($E894="※없는 과목","④ 설정에 없는 과목입니다",IF(AND($E894="수입",$J894&gt;0),"수입 과목인데 지출에 적혔습니다",IF(AND(LEFT($E894,2)&lt;&gt;"수입",$E894&lt;&gt;"대체",$I894&gt;0),"지출 과목인데 수입에 적혔습니다",IF($K894="","증빙을 고르십시오",IF($H894="","적요를 적으십시오","")))))))))))</f>
        <v/>
      </c>
      <c r="M894" s="39"/>
      <c r="O894" s="11" t="str">
        <f aca="false">IF($B894="","",YEAR($B894)*100+MONTH($B894))</f>
        <v/>
      </c>
      <c r="P894" s="11" t="str">
        <f aca="false">IF($B894="","",IF($E894="대체",0,1))</f>
        <v/>
      </c>
    </row>
    <row r="895" customFormat="false" ht="15" hidden="false" customHeight="false" outlineLevel="0" collapsed="false">
      <c r="A895" s="36" t="str">
        <f aca="false">IF($B895="","",COUNT($B$15:$B895))</f>
        <v/>
      </c>
      <c r="B895" s="37"/>
      <c r="C895" s="38"/>
      <c r="D895" s="20"/>
      <c r="E895" s="36" t="str">
        <f aca="false">IF($D895="","",IFERROR(INDEX('교육원 ④ 설정'!$A$6:$A$40,MATCH($D895,'교육원 ④ 설정'!$B$6:$B$40,0)),"※없는 과목"))</f>
        <v/>
      </c>
      <c r="F895" s="36" t="str">
        <f aca="false">IF($D895="","",IFERROR(INDEX('교육원 ④ 설정'!$C$6:$C$40,MATCH($D895,'교육원 ④ 설정'!$B$6:$B$40,0)),""))</f>
        <v/>
      </c>
      <c r="G895" s="39"/>
      <c r="H895" s="39"/>
      <c r="I895" s="40"/>
      <c r="J895" s="41"/>
      <c r="K895" s="38"/>
      <c r="L895" s="42" t="str">
        <f aca="false">IF($B895="","",IF(AND(N($I895)=0,N($J895)=0),"금액이 없습니다",IF(AND($I895&gt;0,$J895&gt;0),"수입·지출 둘 다 적혔습니다",IF($C895="","결제수단을 고르십시오",IF(ISNA(MATCH($C895,'교육원 ③ 통장·카드'!$A$5:$A$11,0)),"③ 통장·카드에 없는 결제수단입니다",IF($D895="","계정과목을 고르십시오",IF($E895="※없는 과목","④ 설정에 없는 과목입니다",IF(AND($E895="수입",$J895&gt;0),"수입 과목인데 지출에 적혔습니다",IF(AND(LEFT($E895,2)&lt;&gt;"수입",$E895&lt;&gt;"대체",$I895&gt;0),"지출 과목인데 수입에 적혔습니다",IF($K895="","증빙을 고르십시오",IF($H895="","적요를 적으십시오","")))))))))))</f>
        <v/>
      </c>
      <c r="M895" s="39"/>
      <c r="O895" s="11" t="str">
        <f aca="false">IF($B895="","",YEAR($B895)*100+MONTH($B895))</f>
        <v/>
      </c>
      <c r="P895" s="11" t="str">
        <f aca="false">IF($B895="","",IF($E895="대체",0,1))</f>
        <v/>
      </c>
    </row>
    <row r="896" customFormat="false" ht="15" hidden="false" customHeight="false" outlineLevel="0" collapsed="false">
      <c r="A896" s="36" t="str">
        <f aca="false">IF($B896="","",COUNT($B$15:$B896))</f>
        <v/>
      </c>
      <c r="B896" s="37"/>
      <c r="C896" s="38"/>
      <c r="D896" s="20"/>
      <c r="E896" s="36" t="str">
        <f aca="false">IF($D896="","",IFERROR(INDEX('교육원 ④ 설정'!$A$6:$A$40,MATCH($D896,'교육원 ④ 설정'!$B$6:$B$40,0)),"※없는 과목"))</f>
        <v/>
      </c>
      <c r="F896" s="36" t="str">
        <f aca="false">IF($D896="","",IFERROR(INDEX('교육원 ④ 설정'!$C$6:$C$40,MATCH($D896,'교육원 ④ 설정'!$B$6:$B$40,0)),""))</f>
        <v/>
      </c>
      <c r="G896" s="39"/>
      <c r="H896" s="39"/>
      <c r="I896" s="40"/>
      <c r="J896" s="41"/>
      <c r="K896" s="38"/>
      <c r="L896" s="42" t="str">
        <f aca="false">IF($B896="","",IF(AND(N($I896)=0,N($J896)=0),"금액이 없습니다",IF(AND($I896&gt;0,$J896&gt;0),"수입·지출 둘 다 적혔습니다",IF($C896="","결제수단을 고르십시오",IF(ISNA(MATCH($C896,'교육원 ③ 통장·카드'!$A$5:$A$11,0)),"③ 통장·카드에 없는 결제수단입니다",IF($D896="","계정과목을 고르십시오",IF($E896="※없는 과목","④ 설정에 없는 과목입니다",IF(AND($E896="수입",$J896&gt;0),"수입 과목인데 지출에 적혔습니다",IF(AND(LEFT($E896,2)&lt;&gt;"수입",$E896&lt;&gt;"대체",$I896&gt;0),"지출 과목인데 수입에 적혔습니다",IF($K896="","증빙을 고르십시오",IF($H896="","적요를 적으십시오","")))))))))))</f>
        <v/>
      </c>
      <c r="M896" s="39"/>
      <c r="O896" s="11" t="str">
        <f aca="false">IF($B896="","",YEAR($B896)*100+MONTH($B896))</f>
        <v/>
      </c>
      <c r="P896" s="11" t="str">
        <f aca="false">IF($B896="","",IF($E896="대체",0,1))</f>
        <v/>
      </c>
    </row>
    <row r="897" customFormat="false" ht="15" hidden="false" customHeight="false" outlineLevel="0" collapsed="false">
      <c r="A897" s="36" t="str">
        <f aca="false">IF($B897="","",COUNT($B$15:$B897))</f>
        <v/>
      </c>
      <c r="B897" s="37"/>
      <c r="C897" s="38"/>
      <c r="D897" s="20"/>
      <c r="E897" s="36" t="str">
        <f aca="false">IF($D897="","",IFERROR(INDEX('교육원 ④ 설정'!$A$6:$A$40,MATCH($D897,'교육원 ④ 설정'!$B$6:$B$40,0)),"※없는 과목"))</f>
        <v/>
      </c>
      <c r="F897" s="36" t="str">
        <f aca="false">IF($D897="","",IFERROR(INDEX('교육원 ④ 설정'!$C$6:$C$40,MATCH($D897,'교육원 ④ 설정'!$B$6:$B$40,0)),""))</f>
        <v/>
      </c>
      <c r="G897" s="39"/>
      <c r="H897" s="39"/>
      <c r="I897" s="40"/>
      <c r="J897" s="41"/>
      <c r="K897" s="38"/>
      <c r="L897" s="42" t="str">
        <f aca="false">IF($B897="","",IF(AND(N($I897)=0,N($J897)=0),"금액이 없습니다",IF(AND($I897&gt;0,$J897&gt;0),"수입·지출 둘 다 적혔습니다",IF($C897="","결제수단을 고르십시오",IF(ISNA(MATCH($C897,'교육원 ③ 통장·카드'!$A$5:$A$11,0)),"③ 통장·카드에 없는 결제수단입니다",IF($D897="","계정과목을 고르십시오",IF($E897="※없는 과목","④ 설정에 없는 과목입니다",IF(AND($E897="수입",$J897&gt;0),"수입 과목인데 지출에 적혔습니다",IF(AND(LEFT($E897,2)&lt;&gt;"수입",$E897&lt;&gt;"대체",$I897&gt;0),"지출 과목인데 수입에 적혔습니다",IF($K897="","증빙을 고르십시오",IF($H897="","적요를 적으십시오","")))))))))))</f>
        <v/>
      </c>
      <c r="M897" s="39"/>
      <c r="O897" s="11" t="str">
        <f aca="false">IF($B897="","",YEAR($B897)*100+MONTH($B897))</f>
        <v/>
      </c>
      <c r="P897" s="11" t="str">
        <f aca="false">IF($B897="","",IF($E897="대체",0,1))</f>
        <v/>
      </c>
    </row>
    <row r="898" customFormat="false" ht="15" hidden="false" customHeight="false" outlineLevel="0" collapsed="false">
      <c r="A898" s="36" t="str">
        <f aca="false">IF($B898="","",COUNT($B$15:$B898))</f>
        <v/>
      </c>
      <c r="B898" s="37"/>
      <c r="C898" s="38"/>
      <c r="D898" s="20"/>
      <c r="E898" s="36" t="str">
        <f aca="false">IF($D898="","",IFERROR(INDEX('교육원 ④ 설정'!$A$6:$A$40,MATCH($D898,'교육원 ④ 설정'!$B$6:$B$40,0)),"※없는 과목"))</f>
        <v/>
      </c>
      <c r="F898" s="36" t="str">
        <f aca="false">IF($D898="","",IFERROR(INDEX('교육원 ④ 설정'!$C$6:$C$40,MATCH($D898,'교육원 ④ 설정'!$B$6:$B$40,0)),""))</f>
        <v/>
      </c>
      <c r="G898" s="39"/>
      <c r="H898" s="39"/>
      <c r="I898" s="40"/>
      <c r="J898" s="41"/>
      <c r="K898" s="38"/>
      <c r="L898" s="42" t="str">
        <f aca="false">IF($B898="","",IF(AND(N($I898)=0,N($J898)=0),"금액이 없습니다",IF(AND($I898&gt;0,$J898&gt;0),"수입·지출 둘 다 적혔습니다",IF($C898="","결제수단을 고르십시오",IF(ISNA(MATCH($C898,'교육원 ③ 통장·카드'!$A$5:$A$11,0)),"③ 통장·카드에 없는 결제수단입니다",IF($D898="","계정과목을 고르십시오",IF($E898="※없는 과목","④ 설정에 없는 과목입니다",IF(AND($E898="수입",$J898&gt;0),"수입 과목인데 지출에 적혔습니다",IF(AND(LEFT($E898,2)&lt;&gt;"수입",$E898&lt;&gt;"대체",$I898&gt;0),"지출 과목인데 수입에 적혔습니다",IF($K898="","증빙을 고르십시오",IF($H898="","적요를 적으십시오","")))))))))))</f>
        <v/>
      </c>
      <c r="M898" s="39"/>
      <c r="O898" s="11" t="str">
        <f aca="false">IF($B898="","",YEAR($B898)*100+MONTH($B898))</f>
        <v/>
      </c>
      <c r="P898" s="11" t="str">
        <f aca="false">IF($B898="","",IF($E898="대체",0,1))</f>
        <v/>
      </c>
    </row>
    <row r="899" customFormat="false" ht="15" hidden="false" customHeight="false" outlineLevel="0" collapsed="false">
      <c r="A899" s="36" t="str">
        <f aca="false">IF($B899="","",COUNT($B$15:$B899))</f>
        <v/>
      </c>
      <c r="B899" s="37"/>
      <c r="C899" s="38"/>
      <c r="D899" s="20"/>
      <c r="E899" s="36" t="str">
        <f aca="false">IF($D899="","",IFERROR(INDEX('교육원 ④ 설정'!$A$6:$A$40,MATCH($D899,'교육원 ④ 설정'!$B$6:$B$40,0)),"※없는 과목"))</f>
        <v/>
      </c>
      <c r="F899" s="36" t="str">
        <f aca="false">IF($D899="","",IFERROR(INDEX('교육원 ④ 설정'!$C$6:$C$40,MATCH($D899,'교육원 ④ 설정'!$B$6:$B$40,0)),""))</f>
        <v/>
      </c>
      <c r="G899" s="39"/>
      <c r="H899" s="39"/>
      <c r="I899" s="40"/>
      <c r="J899" s="41"/>
      <c r="K899" s="38"/>
      <c r="L899" s="42" t="str">
        <f aca="false">IF($B899="","",IF(AND(N($I899)=0,N($J899)=0),"금액이 없습니다",IF(AND($I899&gt;0,$J899&gt;0),"수입·지출 둘 다 적혔습니다",IF($C899="","결제수단을 고르십시오",IF(ISNA(MATCH($C899,'교육원 ③ 통장·카드'!$A$5:$A$11,0)),"③ 통장·카드에 없는 결제수단입니다",IF($D899="","계정과목을 고르십시오",IF($E899="※없는 과목","④ 설정에 없는 과목입니다",IF(AND($E899="수입",$J899&gt;0),"수입 과목인데 지출에 적혔습니다",IF(AND(LEFT($E899,2)&lt;&gt;"수입",$E899&lt;&gt;"대체",$I899&gt;0),"지출 과목인데 수입에 적혔습니다",IF($K899="","증빙을 고르십시오",IF($H899="","적요를 적으십시오","")))))))))))</f>
        <v/>
      </c>
      <c r="M899" s="39"/>
      <c r="O899" s="11" t="str">
        <f aca="false">IF($B899="","",YEAR($B899)*100+MONTH($B899))</f>
        <v/>
      </c>
      <c r="P899" s="11" t="str">
        <f aca="false">IF($B899="","",IF($E899="대체",0,1))</f>
        <v/>
      </c>
    </row>
    <row r="900" customFormat="false" ht="15" hidden="false" customHeight="false" outlineLevel="0" collapsed="false">
      <c r="A900" s="36" t="str">
        <f aca="false">IF($B900="","",COUNT($B$15:$B900))</f>
        <v/>
      </c>
      <c r="B900" s="37"/>
      <c r="C900" s="38"/>
      <c r="D900" s="20"/>
      <c r="E900" s="36" t="str">
        <f aca="false">IF($D900="","",IFERROR(INDEX('교육원 ④ 설정'!$A$6:$A$40,MATCH($D900,'교육원 ④ 설정'!$B$6:$B$40,0)),"※없는 과목"))</f>
        <v/>
      </c>
      <c r="F900" s="36" t="str">
        <f aca="false">IF($D900="","",IFERROR(INDEX('교육원 ④ 설정'!$C$6:$C$40,MATCH($D900,'교육원 ④ 설정'!$B$6:$B$40,0)),""))</f>
        <v/>
      </c>
      <c r="G900" s="39"/>
      <c r="H900" s="39"/>
      <c r="I900" s="40"/>
      <c r="J900" s="41"/>
      <c r="K900" s="38"/>
      <c r="L900" s="42" t="str">
        <f aca="false">IF($B900="","",IF(AND(N($I900)=0,N($J900)=0),"금액이 없습니다",IF(AND($I900&gt;0,$J900&gt;0),"수입·지출 둘 다 적혔습니다",IF($C900="","결제수단을 고르십시오",IF(ISNA(MATCH($C900,'교육원 ③ 통장·카드'!$A$5:$A$11,0)),"③ 통장·카드에 없는 결제수단입니다",IF($D900="","계정과목을 고르십시오",IF($E900="※없는 과목","④ 설정에 없는 과목입니다",IF(AND($E900="수입",$J900&gt;0),"수입 과목인데 지출에 적혔습니다",IF(AND(LEFT($E900,2)&lt;&gt;"수입",$E900&lt;&gt;"대체",$I900&gt;0),"지출 과목인데 수입에 적혔습니다",IF($K900="","증빙을 고르십시오",IF($H900="","적요를 적으십시오","")))))))))))</f>
        <v/>
      </c>
      <c r="M900" s="39"/>
      <c r="O900" s="11" t="str">
        <f aca="false">IF($B900="","",YEAR($B900)*100+MONTH($B900))</f>
        <v/>
      </c>
      <c r="P900" s="11" t="str">
        <f aca="false">IF($B900="","",IF($E900="대체",0,1))</f>
        <v/>
      </c>
    </row>
    <row r="901" customFormat="false" ht="15" hidden="false" customHeight="false" outlineLevel="0" collapsed="false">
      <c r="A901" s="36" t="str">
        <f aca="false">IF($B901="","",COUNT($B$15:$B901))</f>
        <v/>
      </c>
      <c r="B901" s="37"/>
      <c r="C901" s="38"/>
      <c r="D901" s="20"/>
      <c r="E901" s="36" t="str">
        <f aca="false">IF($D901="","",IFERROR(INDEX('교육원 ④ 설정'!$A$6:$A$40,MATCH($D901,'교육원 ④ 설정'!$B$6:$B$40,0)),"※없는 과목"))</f>
        <v/>
      </c>
      <c r="F901" s="36" t="str">
        <f aca="false">IF($D901="","",IFERROR(INDEX('교육원 ④ 설정'!$C$6:$C$40,MATCH($D901,'교육원 ④ 설정'!$B$6:$B$40,0)),""))</f>
        <v/>
      </c>
      <c r="G901" s="39"/>
      <c r="H901" s="39"/>
      <c r="I901" s="40"/>
      <c r="J901" s="41"/>
      <c r="K901" s="38"/>
      <c r="L901" s="42" t="str">
        <f aca="false">IF($B901="","",IF(AND(N($I901)=0,N($J901)=0),"금액이 없습니다",IF(AND($I901&gt;0,$J901&gt;0),"수입·지출 둘 다 적혔습니다",IF($C901="","결제수단을 고르십시오",IF(ISNA(MATCH($C901,'교육원 ③ 통장·카드'!$A$5:$A$11,0)),"③ 통장·카드에 없는 결제수단입니다",IF($D901="","계정과목을 고르십시오",IF($E901="※없는 과목","④ 설정에 없는 과목입니다",IF(AND($E901="수입",$J901&gt;0),"수입 과목인데 지출에 적혔습니다",IF(AND(LEFT($E901,2)&lt;&gt;"수입",$E901&lt;&gt;"대체",$I901&gt;0),"지출 과목인데 수입에 적혔습니다",IF($K901="","증빙을 고르십시오",IF($H901="","적요를 적으십시오","")))))))))))</f>
        <v/>
      </c>
      <c r="M901" s="39"/>
      <c r="O901" s="11" t="str">
        <f aca="false">IF($B901="","",YEAR($B901)*100+MONTH($B901))</f>
        <v/>
      </c>
      <c r="P901" s="11" t="str">
        <f aca="false">IF($B901="","",IF($E901="대체",0,1))</f>
        <v/>
      </c>
    </row>
    <row r="902" customFormat="false" ht="15" hidden="false" customHeight="false" outlineLevel="0" collapsed="false">
      <c r="A902" s="36" t="str">
        <f aca="false">IF($B902="","",COUNT($B$15:$B902))</f>
        <v/>
      </c>
      <c r="B902" s="37"/>
      <c r="C902" s="38"/>
      <c r="D902" s="20"/>
      <c r="E902" s="36" t="str">
        <f aca="false">IF($D902="","",IFERROR(INDEX('교육원 ④ 설정'!$A$6:$A$40,MATCH($D902,'교육원 ④ 설정'!$B$6:$B$40,0)),"※없는 과목"))</f>
        <v/>
      </c>
      <c r="F902" s="36" t="str">
        <f aca="false">IF($D902="","",IFERROR(INDEX('교육원 ④ 설정'!$C$6:$C$40,MATCH($D902,'교육원 ④ 설정'!$B$6:$B$40,0)),""))</f>
        <v/>
      </c>
      <c r="G902" s="39"/>
      <c r="H902" s="39"/>
      <c r="I902" s="40"/>
      <c r="J902" s="41"/>
      <c r="K902" s="38"/>
      <c r="L902" s="42" t="str">
        <f aca="false">IF($B902="","",IF(AND(N($I902)=0,N($J902)=0),"금액이 없습니다",IF(AND($I902&gt;0,$J902&gt;0),"수입·지출 둘 다 적혔습니다",IF($C902="","결제수단을 고르십시오",IF(ISNA(MATCH($C902,'교육원 ③ 통장·카드'!$A$5:$A$11,0)),"③ 통장·카드에 없는 결제수단입니다",IF($D902="","계정과목을 고르십시오",IF($E902="※없는 과목","④ 설정에 없는 과목입니다",IF(AND($E902="수입",$J902&gt;0),"수입 과목인데 지출에 적혔습니다",IF(AND(LEFT($E902,2)&lt;&gt;"수입",$E902&lt;&gt;"대체",$I902&gt;0),"지출 과목인데 수입에 적혔습니다",IF($K902="","증빙을 고르십시오",IF($H902="","적요를 적으십시오","")))))))))))</f>
        <v/>
      </c>
      <c r="M902" s="39"/>
      <c r="O902" s="11" t="str">
        <f aca="false">IF($B902="","",YEAR($B902)*100+MONTH($B902))</f>
        <v/>
      </c>
      <c r="P902" s="11" t="str">
        <f aca="false">IF($B902="","",IF($E902="대체",0,1))</f>
        <v/>
      </c>
    </row>
    <row r="903" customFormat="false" ht="15" hidden="false" customHeight="false" outlineLevel="0" collapsed="false">
      <c r="A903" s="36" t="str">
        <f aca="false">IF($B903="","",COUNT($B$15:$B903))</f>
        <v/>
      </c>
      <c r="B903" s="37"/>
      <c r="C903" s="38"/>
      <c r="D903" s="20"/>
      <c r="E903" s="36" t="str">
        <f aca="false">IF($D903="","",IFERROR(INDEX('교육원 ④ 설정'!$A$6:$A$40,MATCH($D903,'교육원 ④ 설정'!$B$6:$B$40,0)),"※없는 과목"))</f>
        <v/>
      </c>
      <c r="F903" s="36" t="str">
        <f aca="false">IF($D903="","",IFERROR(INDEX('교육원 ④ 설정'!$C$6:$C$40,MATCH($D903,'교육원 ④ 설정'!$B$6:$B$40,0)),""))</f>
        <v/>
      </c>
      <c r="G903" s="39"/>
      <c r="H903" s="39"/>
      <c r="I903" s="40"/>
      <c r="J903" s="41"/>
      <c r="K903" s="38"/>
      <c r="L903" s="42" t="str">
        <f aca="false">IF($B903="","",IF(AND(N($I903)=0,N($J903)=0),"금액이 없습니다",IF(AND($I903&gt;0,$J903&gt;0),"수입·지출 둘 다 적혔습니다",IF($C903="","결제수단을 고르십시오",IF(ISNA(MATCH($C903,'교육원 ③ 통장·카드'!$A$5:$A$11,0)),"③ 통장·카드에 없는 결제수단입니다",IF($D903="","계정과목을 고르십시오",IF($E903="※없는 과목","④ 설정에 없는 과목입니다",IF(AND($E903="수입",$J903&gt;0),"수입 과목인데 지출에 적혔습니다",IF(AND(LEFT($E903,2)&lt;&gt;"수입",$E903&lt;&gt;"대체",$I903&gt;0),"지출 과목인데 수입에 적혔습니다",IF($K903="","증빙을 고르십시오",IF($H903="","적요를 적으십시오","")))))))))))</f>
        <v/>
      </c>
      <c r="M903" s="39"/>
      <c r="O903" s="11" t="str">
        <f aca="false">IF($B903="","",YEAR($B903)*100+MONTH($B903))</f>
        <v/>
      </c>
      <c r="P903" s="11" t="str">
        <f aca="false">IF($B903="","",IF($E903="대체",0,1))</f>
        <v/>
      </c>
    </row>
    <row r="904" customFormat="false" ht="15" hidden="false" customHeight="false" outlineLevel="0" collapsed="false">
      <c r="A904" s="36" t="str">
        <f aca="false">IF($B904="","",COUNT($B$15:$B904))</f>
        <v/>
      </c>
      <c r="B904" s="37"/>
      <c r="C904" s="38"/>
      <c r="D904" s="20"/>
      <c r="E904" s="36" t="str">
        <f aca="false">IF($D904="","",IFERROR(INDEX('교육원 ④ 설정'!$A$6:$A$40,MATCH($D904,'교육원 ④ 설정'!$B$6:$B$40,0)),"※없는 과목"))</f>
        <v/>
      </c>
      <c r="F904" s="36" t="str">
        <f aca="false">IF($D904="","",IFERROR(INDEX('교육원 ④ 설정'!$C$6:$C$40,MATCH($D904,'교육원 ④ 설정'!$B$6:$B$40,0)),""))</f>
        <v/>
      </c>
      <c r="G904" s="39"/>
      <c r="H904" s="39"/>
      <c r="I904" s="40"/>
      <c r="J904" s="41"/>
      <c r="K904" s="38"/>
      <c r="L904" s="42" t="str">
        <f aca="false">IF($B904="","",IF(AND(N($I904)=0,N($J904)=0),"금액이 없습니다",IF(AND($I904&gt;0,$J904&gt;0),"수입·지출 둘 다 적혔습니다",IF($C904="","결제수단을 고르십시오",IF(ISNA(MATCH($C904,'교육원 ③ 통장·카드'!$A$5:$A$11,0)),"③ 통장·카드에 없는 결제수단입니다",IF($D904="","계정과목을 고르십시오",IF($E904="※없는 과목","④ 설정에 없는 과목입니다",IF(AND($E904="수입",$J904&gt;0),"수입 과목인데 지출에 적혔습니다",IF(AND(LEFT($E904,2)&lt;&gt;"수입",$E904&lt;&gt;"대체",$I904&gt;0),"지출 과목인데 수입에 적혔습니다",IF($K904="","증빙을 고르십시오",IF($H904="","적요를 적으십시오","")))))))))))</f>
        <v/>
      </c>
      <c r="M904" s="39"/>
      <c r="O904" s="11" t="str">
        <f aca="false">IF($B904="","",YEAR($B904)*100+MONTH($B904))</f>
        <v/>
      </c>
      <c r="P904" s="11" t="str">
        <f aca="false">IF($B904="","",IF($E904="대체",0,1))</f>
        <v/>
      </c>
    </row>
    <row r="905" customFormat="false" ht="15" hidden="false" customHeight="false" outlineLevel="0" collapsed="false">
      <c r="A905" s="36" t="str">
        <f aca="false">IF($B905="","",COUNT($B$15:$B905))</f>
        <v/>
      </c>
      <c r="B905" s="37"/>
      <c r="C905" s="38"/>
      <c r="D905" s="20"/>
      <c r="E905" s="36" t="str">
        <f aca="false">IF($D905="","",IFERROR(INDEX('교육원 ④ 설정'!$A$6:$A$40,MATCH($D905,'교육원 ④ 설정'!$B$6:$B$40,0)),"※없는 과목"))</f>
        <v/>
      </c>
      <c r="F905" s="36" t="str">
        <f aca="false">IF($D905="","",IFERROR(INDEX('교육원 ④ 설정'!$C$6:$C$40,MATCH($D905,'교육원 ④ 설정'!$B$6:$B$40,0)),""))</f>
        <v/>
      </c>
      <c r="G905" s="39"/>
      <c r="H905" s="39"/>
      <c r="I905" s="40"/>
      <c r="J905" s="41"/>
      <c r="K905" s="38"/>
      <c r="L905" s="42" t="str">
        <f aca="false">IF($B905="","",IF(AND(N($I905)=0,N($J905)=0),"금액이 없습니다",IF(AND($I905&gt;0,$J905&gt;0),"수입·지출 둘 다 적혔습니다",IF($C905="","결제수단을 고르십시오",IF(ISNA(MATCH($C905,'교육원 ③ 통장·카드'!$A$5:$A$11,0)),"③ 통장·카드에 없는 결제수단입니다",IF($D905="","계정과목을 고르십시오",IF($E905="※없는 과목","④ 설정에 없는 과목입니다",IF(AND($E905="수입",$J905&gt;0),"수입 과목인데 지출에 적혔습니다",IF(AND(LEFT($E905,2)&lt;&gt;"수입",$E905&lt;&gt;"대체",$I905&gt;0),"지출 과목인데 수입에 적혔습니다",IF($K905="","증빙을 고르십시오",IF($H905="","적요를 적으십시오","")))))))))))</f>
        <v/>
      </c>
      <c r="M905" s="39"/>
      <c r="O905" s="11" t="str">
        <f aca="false">IF($B905="","",YEAR($B905)*100+MONTH($B905))</f>
        <v/>
      </c>
      <c r="P905" s="11" t="str">
        <f aca="false">IF($B905="","",IF($E905="대체",0,1))</f>
        <v/>
      </c>
    </row>
    <row r="906" customFormat="false" ht="15" hidden="false" customHeight="false" outlineLevel="0" collapsed="false">
      <c r="A906" s="36" t="str">
        <f aca="false">IF($B906="","",COUNT($B$15:$B906))</f>
        <v/>
      </c>
      <c r="B906" s="37"/>
      <c r="C906" s="38"/>
      <c r="D906" s="20"/>
      <c r="E906" s="36" t="str">
        <f aca="false">IF($D906="","",IFERROR(INDEX('교육원 ④ 설정'!$A$6:$A$40,MATCH($D906,'교육원 ④ 설정'!$B$6:$B$40,0)),"※없는 과목"))</f>
        <v/>
      </c>
      <c r="F906" s="36" t="str">
        <f aca="false">IF($D906="","",IFERROR(INDEX('교육원 ④ 설정'!$C$6:$C$40,MATCH($D906,'교육원 ④ 설정'!$B$6:$B$40,0)),""))</f>
        <v/>
      </c>
      <c r="G906" s="39"/>
      <c r="H906" s="39"/>
      <c r="I906" s="40"/>
      <c r="J906" s="41"/>
      <c r="K906" s="38"/>
      <c r="L906" s="42" t="str">
        <f aca="false">IF($B906="","",IF(AND(N($I906)=0,N($J906)=0),"금액이 없습니다",IF(AND($I906&gt;0,$J906&gt;0),"수입·지출 둘 다 적혔습니다",IF($C906="","결제수단을 고르십시오",IF(ISNA(MATCH($C906,'교육원 ③ 통장·카드'!$A$5:$A$11,0)),"③ 통장·카드에 없는 결제수단입니다",IF($D906="","계정과목을 고르십시오",IF($E906="※없는 과목","④ 설정에 없는 과목입니다",IF(AND($E906="수입",$J906&gt;0),"수입 과목인데 지출에 적혔습니다",IF(AND(LEFT($E906,2)&lt;&gt;"수입",$E906&lt;&gt;"대체",$I906&gt;0),"지출 과목인데 수입에 적혔습니다",IF($K906="","증빙을 고르십시오",IF($H906="","적요를 적으십시오","")))))))))))</f>
        <v/>
      </c>
      <c r="M906" s="39"/>
      <c r="O906" s="11" t="str">
        <f aca="false">IF($B906="","",YEAR($B906)*100+MONTH($B906))</f>
        <v/>
      </c>
      <c r="P906" s="11" t="str">
        <f aca="false">IF($B906="","",IF($E906="대체",0,1))</f>
        <v/>
      </c>
    </row>
    <row r="907" customFormat="false" ht="15" hidden="false" customHeight="false" outlineLevel="0" collapsed="false">
      <c r="A907" s="36" t="str">
        <f aca="false">IF($B907="","",COUNT($B$15:$B907))</f>
        <v/>
      </c>
      <c r="B907" s="37"/>
      <c r="C907" s="38"/>
      <c r="D907" s="20"/>
      <c r="E907" s="36" t="str">
        <f aca="false">IF($D907="","",IFERROR(INDEX('교육원 ④ 설정'!$A$6:$A$40,MATCH($D907,'교육원 ④ 설정'!$B$6:$B$40,0)),"※없는 과목"))</f>
        <v/>
      </c>
      <c r="F907" s="36" t="str">
        <f aca="false">IF($D907="","",IFERROR(INDEX('교육원 ④ 설정'!$C$6:$C$40,MATCH($D907,'교육원 ④ 설정'!$B$6:$B$40,0)),""))</f>
        <v/>
      </c>
      <c r="G907" s="39"/>
      <c r="H907" s="39"/>
      <c r="I907" s="40"/>
      <c r="J907" s="41"/>
      <c r="K907" s="38"/>
      <c r="L907" s="42" t="str">
        <f aca="false">IF($B907="","",IF(AND(N($I907)=0,N($J907)=0),"금액이 없습니다",IF(AND($I907&gt;0,$J907&gt;0),"수입·지출 둘 다 적혔습니다",IF($C907="","결제수단을 고르십시오",IF(ISNA(MATCH($C907,'교육원 ③ 통장·카드'!$A$5:$A$11,0)),"③ 통장·카드에 없는 결제수단입니다",IF($D907="","계정과목을 고르십시오",IF($E907="※없는 과목","④ 설정에 없는 과목입니다",IF(AND($E907="수입",$J907&gt;0),"수입 과목인데 지출에 적혔습니다",IF(AND(LEFT($E907,2)&lt;&gt;"수입",$E907&lt;&gt;"대체",$I907&gt;0),"지출 과목인데 수입에 적혔습니다",IF($K907="","증빙을 고르십시오",IF($H907="","적요를 적으십시오","")))))))))))</f>
        <v/>
      </c>
      <c r="M907" s="39"/>
      <c r="O907" s="11" t="str">
        <f aca="false">IF($B907="","",YEAR($B907)*100+MONTH($B907))</f>
        <v/>
      </c>
      <c r="P907" s="11" t="str">
        <f aca="false">IF($B907="","",IF($E907="대체",0,1))</f>
        <v/>
      </c>
    </row>
    <row r="908" customFormat="false" ht="15" hidden="false" customHeight="false" outlineLevel="0" collapsed="false">
      <c r="A908" s="36" t="str">
        <f aca="false">IF($B908="","",COUNT($B$15:$B908))</f>
        <v/>
      </c>
      <c r="B908" s="37"/>
      <c r="C908" s="38"/>
      <c r="D908" s="20"/>
      <c r="E908" s="36" t="str">
        <f aca="false">IF($D908="","",IFERROR(INDEX('교육원 ④ 설정'!$A$6:$A$40,MATCH($D908,'교육원 ④ 설정'!$B$6:$B$40,0)),"※없는 과목"))</f>
        <v/>
      </c>
      <c r="F908" s="36" t="str">
        <f aca="false">IF($D908="","",IFERROR(INDEX('교육원 ④ 설정'!$C$6:$C$40,MATCH($D908,'교육원 ④ 설정'!$B$6:$B$40,0)),""))</f>
        <v/>
      </c>
      <c r="G908" s="39"/>
      <c r="H908" s="39"/>
      <c r="I908" s="40"/>
      <c r="J908" s="41"/>
      <c r="K908" s="38"/>
      <c r="L908" s="42" t="str">
        <f aca="false">IF($B908="","",IF(AND(N($I908)=0,N($J908)=0),"금액이 없습니다",IF(AND($I908&gt;0,$J908&gt;0),"수입·지출 둘 다 적혔습니다",IF($C908="","결제수단을 고르십시오",IF(ISNA(MATCH($C908,'교육원 ③ 통장·카드'!$A$5:$A$11,0)),"③ 통장·카드에 없는 결제수단입니다",IF($D908="","계정과목을 고르십시오",IF($E908="※없는 과목","④ 설정에 없는 과목입니다",IF(AND($E908="수입",$J908&gt;0),"수입 과목인데 지출에 적혔습니다",IF(AND(LEFT($E908,2)&lt;&gt;"수입",$E908&lt;&gt;"대체",$I908&gt;0),"지출 과목인데 수입에 적혔습니다",IF($K908="","증빙을 고르십시오",IF($H908="","적요를 적으십시오","")))))))))))</f>
        <v/>
      </c>
      <c r="M908" s="39"/>
      <c r="O908" s="11" t="str">
        <f aca="false">IF($B908="","",YEAR($B908)*100+MONTH($B908))</f>
        <v/>
      </c>
      <c r="P908" s="11" t="str">
        <f aca="false">IF($B908="","",IF($E908="대체",0,1))</f>
        <v/>
      </c>
    </row>
    <row r="909" customFormat="false" ht="15" hidden="false" customHeight="false" outlineLevel="0" collapsed="false">
      <c r="A909" s="36" t="str">
        <f aca="false">IF($B909="","",COUNT($B$15:$B909))</f>
        <v/>
      </c>
      <c r="B909" s="37"/>
      <c r="C909" s="38"/>
      <c r="D909" s="20"/>
      <c r="E909" s="36" t="str">
        <f aca="false">IF($D909="","",IFERROR(INDEX('교육원 ④ 설정'!$A$6:$A$40,MATCH($D909,'교육원 ④ 설정'!$B$6:$B$40,0)),"※없는 과목"))</f>
        <v/>
      </c>
      <c r="F909" s="36" t="str">
        <f aca="false">IF($D909="","",IFERROR(INDEX('교육원 ④ 설정'!$C$6:$C$40,MATCH($D909,'교육원 ④ 설정'!$B$6:$B$40,0)),""))</f>
        <v/>
      </c>
      <c r="G909" s="39"/>
      <c r="H909" s="39"/>
      <c r="I909" s="40"/>
      <c r="J909" s="41"/>
      <c r="K909" s="38"/>
      <c r="L909" s="42" t="str">
        <f aca="false">IF($B909="","",IF(AND(N($I909)=0,N($J909)=0),"금액이 없습니다",IF(AND($I909&gt;0,$J909&gt;0),"수입·지출 둘 다 적혔습니다",IF($C909="","결제수단을 고르십시오",IF(ISNA(MATCH($C909,'교육원 ③ 통장·카드'!$A$5:$A$11,0)),"③ 통장·카드에 없는 결제수단입니다",IF($D909="","계정과목을 고르십시오",IF($E909="※없는 과목","④ 설정에 없는 과목입니다",IF(AND($E909="수입",$J909&gt;0),"수입 과목인데 지출에 적혔습니다",IF(AND(LEFT($E909,2)&lt;&gt;"수입",$E909&lt;&gt;"대체",$I909&gt;0),"지출 과목인데 수입에 적혔습니다",IF($K909="","증빙을 고르십시오",IF($H909="","적요를 적으십시오","")))))))))))</f>
        <v/>
      </c>
      <c r="M909" s="39"/>
      <c r="O909" s="11" t="str">
        <f aca="false">IF($B909="","",YEAR($B909)*100+MONTH($B909))</f>
        <v/>
      </c>
      <c r="P909" s="11" t="str">
        <f aca="false">IF($B909="","",IF($E909="대체",0,1))</f>
        <v/>
      </c>
    </row>
    <row r="910" customFormat="false" ht="15" hidden="false" customHeight="false" outlineLevel="0" collapsed="false">
      <c r="A910" s="36" t="str">
        <f aca="false">IF($B910="","",COUNT($B$15:$B910))</f>
        <v/>
      </c>
      <c r="B910" s="37"/>
      <c r="C910" s="38"/>
      <c r="D910" s="20"/>
      <c r="E910" s="36" t="str">
        <f aca="false">IF($D910="","",IFERROR(INDEX('교육원 ④ 설정'!$A$6:$A$40,MATCH($D910,'교육원 ④ 설정'!$B$6:$B$40,0)),"※없는 과목"))</f>
        <v/>
      </c>
      <c r="F910" s="36" t="str">
        <f aca="false">IF($D910="","",IFERROR(INDEX('교육원 ④ 설정'!$C$6:$C$40,MATCH($D910,'교육원 ④ 설정'!$B$6:$B$40,0)),""))</f>
        <v/>
      </c>
      <c r="G910" s="39"/>
      <c r="H910" s="39"/>
      <c r="I910" s="40"/>
      <c r="J910" s="41"/>
      <c r="K910" s="38"/>
      <c r="L910" s="42" t="str">
        <f aca="false">IF($B910="","",IF(AND(N($I910)=0,N($J910)=0),"금액이 없습니다",IF(AND($I910&gt;0,$J910&gt;0),"수입·지출 둘 다 적혔습니다",IF($C910="","결제수단을 고르십시오",IF(ISNA(MATCH($C910,'교육원 ③ 통장·카드'!$A$5:$A$11,0)),"③ 통장·카드에 없는 결제수단입니다",IF($D910="","계정과목을 고르십시오",IF($E910="※없는 과목","④ 설정에 없는 과목입니다",IF(AND($E910="수입",$J910&gt;0),"수입 과목인데 지출에 적혔습니다",IF(AND(LEFT($E910,2)&lt;&gt;"수입",$E910&lt;&gt;"대체",$I910&gt;0),"지출 과목인데 수입에 적혔습니다",IF($K910="","증빙을 고르십시오",IF($H910="","적요를 적으십시오","")))))))))))</f>
        <v/>
      </c>
      <c r="M910" s="39"/>
      <c r="O910" s="11" t="str">
        <f aca="false">IF($B910="","",YEAR($B910)*100+MONTH($B910))</f>
        <v/>
      </c>
      <c r="P910" s="11" t="str">
        <f aca="false">IF($B910="","",IF($E910="대체",0,1))</f>
        <v/>
      </c>
    </row>
    <row r="911" customFormat="false" ht="15" hidden="false" customHeight="false" outlineLevel="0" collapsed="false">
      <c r="A911" s="36" t="str">
        <f aca="false">IF($B911="","",COUNT($B$15:$B911))</f>
        <v/>
      </c>
      <c r="B911" s="37"/>
      <c r="C911" s="38"/>
      <c r="D911" s="20"/>
      <c r="E911" s="36" t="str">
        <f aca="false">IF($D911="","",IFERROR(INDEX('교육원 ④ 설정'!$A$6:$A$40,MATCH($D911,'교육원 ④ 설정'!$B$6:$B$40,0)),"※없는 과목"))</f>
        <v/>
      </c>
      <c r="F911" s="36" t="str">
        <f aca="false">IF($D911="","",IFERROR(INDEX('교육원 ④ 설정'!$C$6:$C$40,MATCH($D911,'교육원 ④ 설정'!$B$6:$B$40,0)),""))</f>
        <v/>
      </c>
      <c r="G911" s="39"/>
      <c r="H911" s="39"/>
      <c r="I911" s="40"/>
      <c r="J911" s="41"/>
      <c r="K911" s="38"/>
      <c r="L911" s="42" t="str">
        <f aca="false">IF($B911="","",IF(AND(N($I911)=0,N($J911)=0),"금액이 없습니다",IF(AND($I911&gt;0,$J911&gt;0),"수입·지출 둘 다 적혔습니다",IF($C911="","결제수단을 고르십시오",IF(ISNA(MATCH($C911,'교육원 ③ 통장·카드'!$A$5:$A$11,0)),"③ 통장·카드에 없는 결제수단입니다",IF($D911="","계정과목을 고르십시오",IF($E911="※없는 과목","④ 설정에 없는 과목입니다",IF(AND($E911="수입",$J911&gt;0),"수입 과목인데 지출에 적혔습니다",IF(AND(LEFT($E911,2)&lt;&gt;"수입",$E911&lt;&gt;"대체",$I911&gt;0),"지출 과목인데 수입에 적혔습니다",IF($K911="","증빙을 고르십시오",IF($H911="","적요를 적으십시오","")))))))))))</f>
        <v/>
      </c>
      <c r="M911" s="39"/>
      <c r="O911" s="11" t="str">
        <f aca="false">IF($B911="","",YEAR($B911)*100+MONTH($B911))</f>
        <v/>
      </c>
      <c r="P911" s="11" t="str">
        <f aca="false">IF($B911="","",IF($E911="대체",0,1))</f>
        <v/>
      </c>
    </row>
    <row r="912" customFormat="false" ht="15" hidden="false" customHeight="false" outlineLevel="0" collapsed="false">
      <c r="A912" s="36" t="str">
        <f aca="false">IF($B912="","",COUNT($B$15:$B912))</f>
        <v/>
      </c>
      <c r="B912" s="37"/>
      <c r="C912" s="38"/>
      <c r="D912" s="20"/>
      <c r="E912" s="36" t="str">
        <f aca="false">IF($D912="","",IFERROR(INDEX('교육원 ④ 설정'!$A$6:$A$40,MATCH($D912,'교육원 ④ 설정'!$B$6:$B$40,0)),"※없는 과목"))</f>
        <v/>
      </c>
      <c r="F912" s="36" t="str">
        <f aca="false">IF($D912="","",IFERROR(INDEX('교육원 ④ 설정'!$C$6:$C$40,MATCH($D912,'교육원 ④ 설정'!$B$6:$B$40,0)),""))</f>
        <v/>
      </c>
      <c r="G912" s="39"/>
      <c r="H912" s="39"/>
      <c r="I912" s="40"/>
      <c r="J912" s="41"/>
      <c r="K912" s="38"/>
      <c r="L912" s="42" t="str">
        <f aca="false">IF($B912="","",IF(AND(N($I912)=0,N($J912)=0),"금액이 없습니다",IF(AND($I912&gt;0,$J912&gt;0),"수입·지출 둘 다 적혔습니다",IF($C912="","결제수단을 고르십시오",IF(ISNA(MATCH($C912,'교육원 ③ 통장·카드'!$A$5:$A$11,0)),"③ 통장·카드에 없는 결제수단입니다",IF($D912="","계정과목을 고르십시오",IF($E912="※없는 과목","④ 설정에 없는 과목입니다",IF(AND($E912="수입",$J912&gt;0),"수입 과목인데 지출에 적혔습니다",IF(AND(LEFT($E912,2)&lt;&gt;"수입",$E912&lt;&gt;"대체",$I912&gt;0),"지출 과목인데 수입에 적혔습니다",IF($K912="","증빙을 고르십시오",IF($H912="","적요를 적으십시오","")))))))))))</f>
        <v/>
      </c>
      <c r="M912" s="39"/>
      <c r="O912" s="11" t="str">
        <f aca="false">IF($B912="","",YEAR($B912)*100+MONTH($B912))</f>
        <v/>
      </c>
      <c r="P912" s="11" t="str">
        <f aca="false">IF($B912="","",IF($E912="대체",0,1))</f>
        <v/>
      </c>
    </row>
    <row r="913" customFormat="false" ht="15" hidden="false" customHeight="false" outlineLevel="0" collapsed="false">
      <c r="A913" s="36" t="str">
        <f aca="false">IF($B913="","",COUNT($B$15:$B913))</f>
        <v/>
      </c>
      <c r="B913" s="37"/>
      <c r="C913" s="38"/>
      <c r="D913" s="20"/>
      <c r="E913" s="36" t="str">
        <f aca="false">IF($D913="","",IFERROR(INDEX('교육원 ④ 설정'!$A$6:$A$40,MATCH($D913,'교육원 ④ 설정'!$B$6:$B$40,0)),"※없는 과목"))</f>
        <v/>
      </c>
      <c r="F913" s="36" t="str">
        <f aca="false">IF($D913="","",IFERROR(INDEX('교육원 ④ 설정'!$C$6:$C$40,MATCH($D913,'교육원 ④ 설정'!$B$6:$B$40,0)),""))</f>
        <v/>
      </c>
      <c r="G913" s="39"/>
      <c r="H913" s="39"/>
      <c r="I913" s="40"/>
      <c r="J913" s="41"/>
      <c r="K913" s="38"/>
      <c r="L913" s="42" t="str">
        <f aca="false">IF($B913="","",IF(AND(N($I913)=0,N($J913)=0),"금액이 없습니다",IF(AND($I913&gt;0,$J913&gt;0),"수입·지출 둘 다 적혔습니다",IF($C913="","결제수단을 고르십시오",IF(ISNA(MATCH($C913,'교육원 ③ 통장·카드'!$A$5:$A$11,0)),"③ 통장·카드에 없는 결제수단입니다",IF($D913="","계정과목을 고르십시오",IF($E913="※없는 과목","④ 설정에 없는 과목입니다",IF(AND($E913="수입",$J913&gt;0),"수입 과목인데 지출에 적혔습니다",IF(AND(LEFT($E913,2)&lt;&gt;"수입",$E913&lt;&gt;"대체",$I913&gt;0),"지출 과목인데 수입에 적혔습니다",IF($K913="","증빙을 고르십시오",IF($H913="","적요를 적으십시오","")))))))))))</f>
        <v/>
      </c>
      <c r="M913" s="39"/>
      <c r="O913" s="11" t="str">
        <f aca="false">IF($B913="","",YEAR($B913)*100+MONTH($B913))</f>
        <v/>
      </c>
      <c r="P913" s="11" t="str">
        <f aca="false">IF($B913="","",IF($E913="대체",0,1))</f>
        <v/>
      </c>
    </row>
    <row r="914" customFormat="false" ht="15" hidden="false" customHeight="false" outlineLevel="0" collapsed="false">
      <c r="A914" s="36" t="str">
        <f aca="false">IF($B914="","",COUNT($B$15:$B914))</f>
        <v/>
      </c>
      <c r="B914" s="37"/>
      <c r="C914" s="38"/>
      <c r="D914" s="20"/>
      <c r="E914" s="36" t="str">
        <f aca="false">IF($D914="","",IFERROR(INDEX('교육원 ④ 설정'!$A$6:$A$40,MATCH($D914,'교육원 ④ 설정'!$B$6:$B$40,0)),"※없는 과목"))</f>
        <v/>
      </c>
      <c r="F914" s="36" t="str">
        <f aca="false">IF($D914="","",IFERROR(INDEX('교육원 ④ 설정'!$C$6:$C$40,MATCH($D914,'교육원 ④ 설정'!$B$6:$B$40,0)),""))</f>
        <v/>
      </c>
      <c r="G914" s="39"/>
      <c r="H914" s="39"/>
      <c r="I914" s="40"/>
      <c r="J914" s="41"/>
      <c r="K914" s="38"/>
      <c r="L914" s="42" t="str">
        <f aca="false">IF($B914="","",IF(AND(N($I914)=0,N($J914)=0),"금액이 없습니다",IF(AND($I914&gt;0,$J914&gt;0),"수입·지출 둘 다 적혔습니다",IF($C914="","결제수단을 고르십시오",IF(ISNA(MATCH($C914,'교육원 ③ 통장·카드'!$A$5:$A$11,0)),"③ 통장·카드에 없는 결제수단입니다",IF($D914="","계정과목을 고르십시오",IF($E914="※없는 과목","④ 설정에 없는 과목입니다",IF(AND($E914="수입",$J914&gt;0),"수입 과목인데 지출에 적혔습니다",IF(AND(LEFT($E914,2)&lt;&gt;"수입",$E914&lt;&gt;"대체",$I914&gt;0),"지출 과목인데 수입에 적혔습니다",IF($K914="","증빙을 고르십시오",IF($H914="","적요를 적으십시오","")))))))))))</f>
        <v/>
      </c>
      <c r="M914" s="39"/>
      <c r="O914" s="11" t="str">
        <f aca="false">IF($B914="","",YEAR($B914)*100+MONTH($B914))</f>
        <v/>
      </c>
      <c r="P914" s="11" t="str">
        <f aca="false">IF($B914="","",IF($E914="대체",0,1))</f>
        <v/>
      </c>
    </row>
    <row r="915" customFormat="false" ht="15" hidden="false" customHeight="false" outlineLevel="0" collapsed="false">
      <c r="A915" s="36" t="str">
        <f aca="false">IF($B915="","",COUNT($B$15:$B915))</f>
        <v/>
      </c>
      <c r="B915" s="37"/>
      <c r="C915" s="38"/>
      <c r="D915" s="20"/>
      <c r="E915" s="36" t="str">
        <f aca="false">IF($D915="","",IFERROR(INDEX('교육원 ④ 설정'!$A$6:$A$40,MATCH($D915,'교육원 ④ 설정'!$B$6:$B$40,0)),"※없는 과목"))</f>
        <v/>
      </c>
      <c r="F915" s="36" t="str">
        <f aca="false">IF($D915="","",IFERROR(INDEX('교육원 ④ 설정'!$C$6:$C$40,MATCH($D915,'교육원 ④ 설정'!$B$6:$B$40,0)),""))</f>
        <v/>
      </c>
      <c r="G915" s="39"/>
      <c r="H915" s="39"/>
      <c r="I915" s="40"/>
      <c r="J915" s="41"/>
      <c r="K915" s="38"/>
      <c r="L915" s="42" t="str">
        <f aca="false">IF($B915="","",IF(AND(N($I915)=0,N($J915)=0),"금액이 없습니다",IF(AND($I915&gt;0,$J915&gt;0),"수입·지출 둘 다 적혔습니다",IF($C915="","결제수단을 고르십시오",IF(ISNA(MATCH($C915,'교육원 ③ 통장·카드'!$A$5:$A$11,0)),"③ 통장·카드에 없는 결제수단입니다",IF($D915="","계정과목을 고르십시오",IF($E915="※없는 과목","④ 설정에 없는 과목입니다",IF(AND($E915="수입",$J915&gt;0),"수입 과목인데 지출에 적혔습니다",IF(AND(LEFT($E915,2)&lt;&gt;"수입",$E915&lt;&gt;"대체",$I915&gt;0),"지출 과목인데 수입에 적혔습니다",IF($K915="","증빙을 고르십시오",IF($H915="","적요를 적으십시오","")))))))))))</f>
        <v/>
      </c>
      <c r="M915" s="39"/>
      <c r="O915" s="11" t="str">
        <f aca="false">IF($B915="","",YEAR($B915)*100+MONTH($B915))</f>
        <v/>
      </c>
      <c r="P915" s="11" t="str">
        <f aca="false">IF($B915="","",IF($E915="대체",0,1))</f>
        <v/>
      </c>
    </row>
    <row r="916" customFormat="false" ht="15" hidden="false" customHeight="false" outlineLevel="0" collapsed="false">
      <c r="A916" s="36" t="str">
        <f aca="false">IF($B916="","",COUNT($B$15:$B916))</f>
        <v/>
      </c>
      <c r="B916" s="37"/>
      <c r="C916" s="38"/>
      <c r="D916" s="20"/>
      <c r="E916" s="36" t="str">
        <f aca="false">IF($D916="","",IFERROR(INDEX('교육원 ④ 설정'!$A$6:$A$40,MATCH($D916,'교육원 ④ 설정'!$B$6:$B$40,0)),"※없는 과목"))</f>
        <v/>
      </c>
      <c r="F916" s="36" t="str">
        <f aca="false">IF($D916="","",IFERROR(INDEX('교육원 ④ 설정'!$C$6:$C$40,MATCH($D916,'교육원 ④ 설정'!$B$6:$B$40,0)),""))</f>
        <v/>
      </c>
      <c r="G916" s="39"/>
      <c r="H916" s="39"/>
      <c r="I916" s="40"/>
      <c r="J916" s="41"/>
      <c r="K916" s="38"/>
      <c r="L916" s="42" t="str">
        <f aca="false">IF($B916="","",IF(AND(N($I916)=0,N($J916)=0),"금액이 없습니다",IF(AND($I916&gt;0,$J916&gt;0),"수입·지출 둘 다 적혔습니다",IF($C916="","결제수단을 고르십시오",IF(ISNA(MATCH($C916,'교육원 ③ 통장·카드'!$A$5:$A$11,0)),"③ 통장·카드에 없는 결제수단입니다",IF($D916="","계정과목을 고르십시오",IF($E916="※없는 과목","④ 설정에 없는 과목입니다",IF(AND($E916="수입",$J916&gt;0),"수입 과목인데 지출에 적혔습니다",IF(AND(LEFT($E916,2)&lt;&gt;"수입",$E916&lt;&gt;"대체",$I916&gt;0),"지출 과목인데 수입에 적혔습니다",IF($K916="","증빙을 고르십시오",IF($H916="","적요를 적으십시오","")))))))))))</f>
        <v/>
      </c>
      <c r="M916" s="39"/>
      <c r="O916" s="11" t="str">
        <f aca="false">IF($B916="","",YEAR($B916)*100+MONTH($B916))</f>
        <v/>
      </c>
      <c r="P916" s="11" t="str">
        <f aca="false">IF($B916="","",IF($E916="대체",0,1))</f>
        <v/>
      </c>
    </row>
    <row r="917" customFormat="false" ht="15" hidden="false" customHeight="false" outlineLevel="0" collapsed="false">
      <c r="A917" s="36" t="str">
        <f aca="false">IF($B917="","",COUNT($B$15:$B917))</f>
        <v/>
      </c>
      <c r="B917" s="37"/>
      <c r="C917" s="38"/>
      <c r="D917" s="20"/>
      <c r="E917" s="36" t="str">
        <f aca="false">IF($D917="","",IFERROR(INDEX('교육원 ④ 설정'!$A$6:$A$40,MATCH($D917,'교육원 ④ 설정'!$B$6:$B$40,0)),"※없는 과목"))</f>
        <v/>
      </c>
      <c r="F917" s="36" t="str">
        <f aca="false">IF($D917="","",IFERROR(INDEX('교육원 ④ 설정'!$C$6:$C$40,MATCH($D917,'교육원 ④ 설정'!$B$6:$B$40,0)),""))</f>
        <v/>
      </c>
      <c r="G917" s="39"/>
      <c r="H917" s="39"/>
      <c r="I917" s="40"/>
      <c r="J917" s="41"/>
      <c r="K917" s="38"/>
      <c r="L917" s="42" t="str">
        <f aca="false">IF($B917="","",IF(AND(N($I917)=0,N($J917)=0),"금액이 없습니다",IF(AND($I917&gt;0,$J917&gt;0),"수입·지출 둘 다 적혔습니다",IF($C917="","결제수단을 고르십시오",IF(ISNA(MATCH($C917,'교육원 ③ 통장·카드'!$A$5:$A$11,0)),"③ 통장·카드에 없는 결제수단입니다",IF($D917="","계정과목을 고르십시오",IF($E917="※없는 과목","④ 설정에 없는 과목입니다",IF(AND($E917="수입",$J917&gt;0),"수입 과목인데 지출에 적혔습니다",IF(AND(LEFT($E917,2)&lt;&gt;"수입",$E917&lt;&gt;"대체",$I917&gt;0),"지출 과목인데 수입에 적혔습니다",IF($K917="","증빙을 고르십시오",IF($H917="","적요를 적으십시오","")))))))))))</f>
        <v/>
      </c>
      <c r="M917" s="39"/>
      <c r="O917" s="11" t="str">
        <f aca="false">IF($B917="","",YEAR($B917)*100+MONTH($B917))</f>
        <v/>
      </c>
      <c r="P917" s="11" t="str">
        <f aca="false">IF($B917="","",IF($E917="대체",0,1))</f>
        <v/>
      </c>
    </row>
    <row r="918" customFormat="false" ht="15" hidden="false" customHeight="false" outlineLevel="0" collapsed="false">
      <c r="A918" s="36" t="str">
        <f aca="false">IF($B918="","",COUNT($B$15:$B918))</f>
        <v/>
      </c>
      <c r="B918" s="37"/>
      <c r="C918" s="38"/>
      <c r="D918" s="20"/>
      <c r="E918" s="36" t="str">
        <f aca="false">IF($D918="","",IFERROR(INDEX('교육원 ④ 설정'!$A$6:$A$40,MATCH($D918,'교육원 ④ 설정'!$B$6:$B$40,0)),"※없는 과목"))</f>
        <v/>
      </c>
      <c r="F918" s="36" t="str">
        <f aca="false">IF($D918="","",IFERROR(INDEX('교육원 ④ 설정'!$C$6:$C$40,MATCH($D918,'교육원 ④ 설정'!$B$6:$B$40,0)),""))</f>
        <v/>
      </c>
      <c r="G918" s="39"/>
      <c r="H918" s="39"/>
      <c r="I918" s="40"/>
      <c r="J918" s="41"/>
      <c r="K918" s="38"/>
      <c r="L918" s="42" t="str">
        <f aca="false">IF($B918="","",IF(AND(N($I918)=0,N($J918)=0),"금액이 없습니다",IF(AND($I918&gt;0,$J918&gt;0),"수입·지출 둘 다 적혔습니다",IF($C918="","결제수단을 고르십시오",IF(ISNA(MATCH($C918,'교육원 ③ 통장·카드'!$A$5:$A$11,0)),"③ 통장·카드에 없는 결제수단입니다",IF($D918="","계정과목을 고르십시오",IF($E918="※없는 과목","④ 설정에 없는 과목입니다",IF(AND($E918="수입",$J918&gt;0),"수입 과목인데 지출에 적혔습니다",IF(AND(LEFT($E918,2)&lt;&gt;"수입",$E918&lt;&gt;"대체",$I918&gt;0),"지출 과목인데 수입에 적혔습니다",IF($K918="","증빙을 고르십시오",IF($H918="","적요를 적으십시오","")))))))))))</f>
        <v/>
      </c>
      <c r="M918" s="39"/>
      <c r="O918" s="11" t="str">
        <f aca="false">IF($B918="","",YEAR($B918)*100+MONTH($B918))</f>
        <v/>
      </c>
      <c r="P918" s="11" t="str">
        <f aca="false">IF($B918="","",IF($E918="대체",0,1))</f>
        <v/>
      </c>
    </row>
    <row r="919" customFormat="false" ht="15" hidden="false" customHeight="false" outlineLevel="0" collapsed="false">
      <c r="A919" s="36" t="str">
        <f aca="false">IF($B919="","",COUNT($B$15:$B919))</f>
        <v/>
      </c>
      <c r="B919" s="37"/>
      <c r="C919" s="38"/>
      <c r="D919" s="20"/>
      <c r="E919" s="36" t="str">
        <f aca="false">IF($D919="","",IFERROR(INDEX('교육원 ④ 설정'!$A$6:$A$40,MATCH($D919,'교육원 ④ 설정'!$B$6:$B$40,0)),"※없는 과목"))</f>
        <v/>
      </c>
      <c r="F919" s="36" t="str">
        <f aca="false">IF($D919="","",IFERROR(INDEX('교육원 ④ 설정'!$C$6:$C$40,MATCH($D919,'교육원 ④ 설정'!$B$6:$B$40,0)),""))</f>
        <v/>
      </c>
      <c r="G919" s="39"/>
      <c r="H919" s="39"/>
      <c r="I919" s="40"/>
      <c r="J919" s="41"/>
      <c r="K919" s="38"/>
      <c r="L919" s="42" t="str">
        <f aca="false">IF($B919="","",IF(AND(N($I919)=0,N($J919)=0),"금액이 없습니다",IF(AND($I919&gt;0,$J919&gt;0),"수입·지출 둘 다 적혔습니다",IF($C919="","결제수단을 고르십시오",IF(ISNA(MATCH($C919,'교육원 ③ 통장·카드'!$A$5:$A$11,0)),"③ 통장·카드에 없는 결제수단입니다",IF($D919="","계정과목을 고르십시오",IF($E919="※없는 과목","④ 설정에 없는 과목입니다",IF(AND($E919="수입",$J919&gt;0),"수입 과목인데 지출에 적혔습니다",IF(AND(LEFT($E919,2)&lt;&gt;"수입",$E919&lt;&gt;"대체",$I919&gt;0),"지출 과목인데 수입에 적혔습니다",IF($K919="","증빙을 고르십시오",IF($H919="","적요를 적으십시오","")))))))))))</f>
        <v/>
      </c>
      <c r="M919" s="39"/>
      <c r="O919" s="11" t="str">
        <f aca="false">IF($B919="","",YEAR($B919)*100+MONTH($B919))</f>
        <v/>
      </c>
      <c r="P919" s="11" t="str">
        <f aca="false">IF($B919="","",IF($E919="대체",0,1))</f>
        <v/>
      </c>
    </row>
    <row r="920" customFormat="false" ht="15" hidden="false" customHeight="false" outlineLevel="0" collapsed="false">
      <c r="A920" s="36" t="str">
        <f aca="false">IF($B920="","",COUNT($B$15:$B920))</f>
        <v/>
      </c>
      <c r="B920" s="37"/>
      <c r="C920" s="38"/>
      <c r="D920" s="20"/>
      <c r="E920" s="36" t="str">
        <f aca="false">IF($D920="","",IFERROR(INDEX('교육원 ④ 설정'!$A$6:$A$40,MATCH($D920,'교육원 ④ 설정'!$B$6:$B$40,0)),"※없는 과목"))</f>
        <v/>
      </c>
      <c r="F920" s="36" t="str">
        <f aca="false">IF($D920="","",IFERROR(INDEX('교육원 ④ 설정'!$C$6:$C$40,MATCH($D920,'교육원 ④ 설정'!$B$6:$B$40,0)),""))</f>
        <v/>
      </c>
      <c r="G920" s="39"/>
      <c r="H920" s="39"/>
      <c r="I920" s="40"/>
      <c r="J920" s="41"/>
      <c r="K920" s="38"/>
      <c r="L920" s="42" t="str">
        <f aca="false">IF($B920="","",IF(AND(N($I920)=0,N($J920)=0),"금액이 없습니다",IF(AND($I920&gt;0,$J920&gt;0),"수입·지출 둘 다 적혔습니다",IF($C920="","결제수단을 고르십시오",IF(ISNA(MATCH($C920,'교육원 ③ 통장·카드'!$A$5:$A$11,0)),"③ 통장·카드에 없는 결제수단입니다",IF($D920="","계정과목을 고르십시오",IF($E920="※없는 과목","④ 설정에 없는 과목입니다",IF(AND($E920="수입",$J920&gt;0),"수입 과목인데 지출에 적혔습니다",IF(AND(LEFT($E920,2)&lt;&gt;"수입",$E920&lt;&gt;"대체",$I920&gt;0),"지출 과목인데 수입에 적혔습니다",IF($K920="","증빙을 고르십시오",IF($H920="","적요를 적으십시오","")))))))))))</f>
        <v/>
      </c>
      <c r="M920" s="39"/>
      <c r="O920" s="11" t="str">
        <f aca="false">IF($B920="","",YEAR($B920)*100+MONTH($B920))</f>
        <v/>
      </c>
      <c r="P920" s="11" t="str">
        <f aca="false">IF($B920="","",IF($E920="대체",0,1))</f>
        <v/>
      </c>
    </row>
    <row r="921" customFormat="false" ht="15" hidden="false" customHeight="false" outlineLevel="0" collapsed="false">
      <c r="A921" s="36" t="str">
        <f aca="false">IF($B921="","",COUNT($B$15:$B921))</f>
        <v/>
      </c>
      <c r="B921" s="37"/>
      <c r="C921" s="38"/>
      <c r="D921" s="20"/>
      <c r="E921" s="36" t="str">
        <f aca="false">IF($D921="","",IFERROR(INDEX('교육원 ④ 설정'!$A$6:$A$40,MATCH($D921,'교육원 ④ 설정'!$B$6:$B$40,0)),"※없는 과목"))</f>
        <v/>
      </c>
      <c r="F921" s="36" t="str">
        <f aca="false">IF($D921="","",IFERROR(INDEX('교육원 ④ 설정'!$C$6:$C$40,MATCH($D921,'교육원 ④ 설정'!$B$6:$B$40,0)),""))</f>
        <v/>
      </c>
      <c r="G921" s="39"/>
      <c r="H921" s="39"/>
      <c r="I921" s="40"/>
      <c r="J921" s="41"/>
      <c r="K921" s="38"/>
      <c r="L921" s="42" t="str">
        <f aca="false">IF($B921="","",IF(AND(N($I921)=0,N($J921)=0),"금액이 없습니다",IF(AND($I921&gt;0,$J921&gt;0),"수입·지출 둘 다 적혔습니다",IF($C921="","결제수단을 고르십시오",IF(ISNA(MATCH($C921,'교육원 ③ 통장·카드'!$A$5:$A$11,0)),"③ 통장·카드에 없는 결제수단입니다",IF($D921="","계정과목을 고르십시오",IF($E921="※없는 과목","④ 설정에 없는 과목입니다",IF(AND($E921="수입",$J921&gt;0),"수입 과목인데 지출에 적혔습니다",IF(AND(LEFT($E921,2)&lt;&gt;"수입",$E921&lt;&gt;"대체",$I921&gt;0),"지출 과목인데 수입에 적혔습니다",IF($K921="","증빙을 고르십시오",IF($H921="","적요를 적으십시오","")))))))))))</f>
        <v/>
      </c>
      <c r="M921" s="39"/>
      <c r="O921" s="11" t="str">
        <f aca="false">IF($B921="","",YEAR($B921)*100+MONTH($B921))</f>
        <v/>
      </c>
      <c r="P921" s="11" t="str">
        <f aca="false">IF($B921="","",IF($E921="대체",0,1))</f>
        <v/>
      </c>
    </row>
    <row r="922" customFormat="false" ht="15" hidden="false" customHeight="false" outlineLevel="0" collapsed="false">
      <c r="A922" s="36" t="str">
        <f aca="false">IF($B922="","",COUNT($B$15:$B922))</f>
        <v/>
      </c>
      <c r="B922" s="37"/>
      <c r="C922" s="38"/>
      <c r="D922" s="20"/>
      <c r="E922" s="36" t="str">
        <f aca="false">IF($D922="","",IFERROR(INDEX('교육원 ④ 설정'!$A$6:$A$40,MATCH($D922,'교육원 ④ 설정'!$B$6:$B$40,0)),"※없는 과목"))</f>
        <v/>
      </c>
      <c r="F922" s="36" t="str">
        <f aca="false">IF($D922="","",IFERROR(INDEX('교육원 ④ 설정'!$C$6:$C$40,MATCH($D922,'교육원 ④ 설정'!$B$6:$B$40,0)),""))</f>
        <v/>
      </c>
      <c r="G922" s="39"/>
      <c r="H922" s="39"/>
      <c r="I922" s="40"/>
      <c r="J922" s="41"/>
      <c r="K922" s="38"/>
      <c r="L922" s="42" t="str">
        <f aca="false">IF($B922="","",IF(AND(N($I922)=0,N($J922)=0),"금액이 없습니다",IF(AND($I922&gt;0,$J922&gt;0),"수입·지출 둘 다 적혔습니다",IF($C922="","결제수단을 고르십시오",IF(ISNA(MATCH($C922,'교육원 ③ 통장·카드'!$A$5:$A$11,0)),"③ 통장·카드에 없는 결제수단입니다",IF($D922="","계정과목을 고르십시오",IF($E922="※없는 과목","④ 설정에 없는 과목입니다",IF(AND($E922="수입",$J922&gt;0),"수입 과목인데 지출에 적혔습니다",IF(AND(LEFT($E922,2)&lt;&gt;"수입",$E922&lt;&gt;"대체",$I922&gt;0),"지출 과목인데 수입에 적혔습니다",IF($K922="","증빙을 고르십시오",IF($H922="","적요를 적으십시오","")))))))))))</f>
        <v/>
      </c>
      <c r="M922" s="39"/>
      <c r="O922" s="11" t="str">
        <f aca="false">IF($B922="","",YEAR($B922)*100+MONTH($B922))</f>
        <v/>
      </c>
      <c r="P922" s="11" t="str">
        <f aca="false">IF($B922="","",IF($E922="대체",0,1))</f>
        <v/>
      </c>
    </row>
    <row r="923" customFormat="false" ht="15" hidden="false" customHeight="false" outlineLevel="0" collapsed="false">
      <c r="A923" s="36" t="str">
        <f aca="false">IF($B923="","",COUNT($B$15:$B923))</f>
        <v/>
      </c>
      <c r="B923" s="37"/>
      <c r="C923" s="38"/>
      <c r="D923" s="20"/>
      <c r="E923" s="36" t="str">
        <f aca="false">IF($D923="","",IFERROR(INDEX('교육원 ④ 설정'!$A$6:$A$40,MATCH($D923,'교육원 ④ 설정'!$B$6:$B$40,0)),"※없는 과목"))</f>
        <v/>
      </c>
      <c r="F923" s="36" t="str">
        <f aca="false">IF($D923="","",IFERROR(INDEX('교육원 ④ 설정'!$C$6:$C$40,MATCH($D923,'교육원 ④ 설정'!$B$6:$B$40,0)),""))</f>
        <v/>
      </c>
      <c r="G923" s="39"/>
      <c r="H923" s="39"/>
      <c r="I923" s="40"/>
      <c r="J923" s="41"/>
      <c r="K923" s="38"/>
      <c r="L923" s="42" t="str">
        <f aca="false">IF($B923="","",IF(AND(N($I923)=0,N($J923)=0),"금액이 없습니다",IF(AND($I923&gt;0,$J923&gt;0),"수입·지출 둘 다 적혔습니다",IF($C923="","결제수단을 고르십시오",IF(ISNA(MATCH($C923,'교육원 ③ 통장·카드'!$A$5:$A$11,0)),"③ 통장·카드에 없는 결제수단입니다",IF($D923="","계정과목을 고르십시오",IF($E923="※없는 과목","④ 설정에 없는 과목입니다",IF(AND($E923="수입",$J923&gt;0),"수입 과목인데 지출에 적혔습니다",IF(AND(LEFT($E923,2)&lt;&gt;"수입",$E923&lt;&gt;"대체",$I923&gt;0),"지출 과목인데 수입에 적혔습니다",IF($K923="","증빙을 고르십시오",IF($H923="","적요를 적으십시오","")))))))))))</f>
        <v/>
      </c>
      <c r="M923" s="39"/>
      <c r="O923" s="11" t="str">
        <f aca="false">IF($B923="","",YEAR($B923)*100+MONTH($B923))</f>
        <v/>
      </c>
      <c r="P923" s="11" t="str">
        <f aca="false">IF($B923="","",IF($E923="대체",0,1))</f>
        <v/>
      </c>
    </row>
    <row r="924" customFormat="false" ht="15" hidden="false" customHeight="false" outlineLevel="0" collapsed="false">
      <c r="A924" s="36" t="str">
        <f aca="false">IF($B924="","",COUNT($B$15:$B924))</f>
        <v/>
      </c>
      <c r="B924" s="37"/>
      <c r="C924" s="38"/>
      <c r="D924" s="20"/>
      <c r="E924" s="36" t="str">
        <f aca="false">IF($D924="","",IFERROR(INDEX('교육원 ④ 설정'!$A$6:$A$40,MATCH($D924,'교육원 ④ 설정'!$B$6:$B$40,0)),"※없는 과목"))</f>
        <v/>
      </c>
      <c r="F924" s="36" t="str">
        <f aca="false">IF($D924="","",IFERROR(INDEX('교육원 ④ 설정'!$C$6:$C$40,MATCH($D924,'교육원 ④ 설정'!$B$6:$B$40,0)),""))</f>
        <v/>
      </c>
      <c r="G924" s="39"/>
      <c r="H924" s="39"/>
      <c r="I924" s="40"/>
      <c r="J924" s="41"/>
      <c r="K924" s="38"/>
      <c r="L924" s="42" t="str">
        <f aca="false">IF($B924="","",IF(AND(N($I924)=0,N($J924)=0),"금액이 없습니다",IF(AND($I924&gt;0,$J924&gt;0),"수입·지출 둘 다 적혔습니다",IF($C924="","결제수단을 고르십시오",IF(ISNA(MATCH($C924,'교육원 ③ 통장·카드'!$A$5:$A$11,0)),"③ 통장·카드에 없는 결제수단입니다",IF($D924="","계정과목을 고르십시오",IF($E924="※없는 과목","④ 설정에 없는 과목입니다",IF(AND($E924="수입",$J924&gt;0),"수입 과목인데 지출에 적혔습니다",IF(AND(LEFT($E924,2)&lt;&gt;"수입",$E924&lt;&gt;"대체",$I924&gt;0),"지출 과목인데 수입에 적혔습니다",IF($K924="","증빙을 고르십시오",IF($H924="","적요를 적으십시오","")))))))))))</f>
        <v/>
      </c>
      <c r="M924" s="39"/>
      <c r="O924" s="11" t="str">
        <f aca="false">IF($B924="","",YEAR($B924)*100+MONTH($B924))</f>
        <v/>
      </c>
      <c r="P924" s="11" t="str">
        <f aca="false">IF($B924="","",IF($E924="대체",0,1))</f>
        <v/>
      </c>
    </row>
    <row r="925" customFormat="false" ht="15" hidden="false" customHeight="false" outlineLevel="0" collapsed="false">
      <c r="A925" s="36" t="str">
        <f aca="false">IF($B925="","",COUNT($B$15:$B925))</f>
        <v/>
      </c>
      <c r="B925" s="37"/>
      <c r="C925" s="38"/>
      <c r="D925" s="20"/>
      <c r="E925" s="36" t="str">
        <f aca="false">IF($D925="","",IFERROR(INDEX('교육원 ④ 설정'!$A$6:$A$40,MATCH($D925,'교육원 ④ 설정'!$B$6:$B$40,0)),"※없는 과목"))</f>
        <v/>
      </c>
      <c r="F925" s="36" t="str">
        <f aca="false">IF($D925="","",IFERROR(INDEX('교육원 ④ 설정'!$C$6:$C$40,MATCH($D925,'교육원 ④ 설정'!$B$6:$B$40,0)),""))</f>
        <v/>
      </c>
      <c r="G925" s="39"/>
      <c r="H925" s="39"/>
      <c r="I925" s="40"/>
      <c r="J925" s="41"/>
      <c r="K925" s="38"/>
      <c r="L925" s="42" t="str">
        <f aca="false">IF($B925="","",IF(AND(N($I925)=0,N($J925)=0),"금액이 없습니다",IF(AND($I925&gt;0,$J925&gt;0),"수입·지출 둘 다 적혔습니다",IF($C925="","결제수단을 고르십시오",IF(ISNA(MATCH($C925,'교육원 ③ 통장·카드'!$A$5:$A$11,0)),"③ 통장·카드에 없는 결제수단입니다",IF($D925="","계정과목을 고르십시오",IF($E925="※없는 과목","④ 설정에 없는 과목입니다",IF(AND($E925="수입",$J925&gt;0),"수입 과목인데 지출에 적혔습니다",IF(AND(LEFT($E925,2)&lt;&gt;"수입",$E925&lt;&gt;"대체",$I925&gt;0),"지출 과목인데 수입에 적혔습니다",IF($K925="","증빙을 고르십시오",IF($H925="","적요를 적으십시오","")))))))))))</f>
        <v/>
      </c>
      <c r="M925" s="39"/>
      <c r="O925" s="11" t="str">
        <f aca="false">IF($B925="","",YEAR($B925)*100+MONTH($B925))</f>
        <v/>
      </c>
      <c r="P925" s="11" t="str">
        <f aca="false">IF($B925="","",IF($E925="대체",0,1))</f>
        <v/>
      </c>
    </row>
    <row r="926" customFormat="false" ht="15" hidden="false" customHeight="false" outlineLevel="0" collapsed="false">
      <c r="A926" s="36" t="str">
        <f aca="false">IF($B926="","",COUNT($B$15:$B926))</f>
        <v/>
      </c>
      <c r="B926" s="37"/>
      <c r="C926" s="38"/>
      <c r="D926" s="20"/>
      <c r="E926" s="36" t="str">
        <f aca="false">IF($D926="","",IFERROR(INDEX('교육원 ④ 설정'!$A$6:$A$40,MATCH($D926,'교육원 ④ 설정'!$B$6:$B$40,0)),"※없는 과목"))</f>
        <v/>
      </c>
      <c r="F926" s="36" t="str">
        <f aca="false">IF($D926="","",IFERROR(INDEX('교육원 ④ 설정'!$C$6:$C$40,MATCH($D926,'교육원 ④ 설정'!$B$6:$B$40,0)),""))</f>
        <v/>
      </c>
      <c r="G926" s="39"/>
      <c r="H926" s="39"/>
      <c r="I926" s="40"/>
      <c r="J926" s="41"/>
      <c r="K926" s="38"/>
      <c r="L926" s="42" t="str">
        <f aca="false">IF($B926="","",IF(AND(N($I926)=0,N($J926)=0),"금액이 없습니다",IF(AND($I926&gt;0,$J926&gt;0),"수입·지출 둘 다 적혔습니다",IF($C926="","결제수단을 고르십시오",IF(ISNA(MATCH($C926,'교육원 ③ 통장·카드'!$A$5:$A$11,0)),"③ 통장·카드에 없는 결제수단입니다",IF($D926="","계정과목을 고르십시오",IF($E926="※없는 과목","④ 설정에 없는 과목입니다",IF(AND($E926="수입",$J926&gt;0),"수입 과목인데 지출에 적혔습니다",IF(AND(LEFT($E926,2)&lt;&gt;"수입",$E926&lt;&gt;"대체",$I926&gt;0),"지출 과목인데 수입에 적혔습니다",IF($K926="","증빙을 고르십시오",IF($H926="","적요를 적으십시오","")))))))))))</f>
        <v/>
      </c>
      <c r="M926" s="39"/>
      <c r="O926" s="11" t="str">
        <f aca="false">IF($B926="","",YEAR($B926)*100+MONTH($B926))</f>
        <v/>
      </c>
      <c r="P926" s="11" t="str">
        <f aca="false">IF($B926="","",IF($E926="대체",0,1))</f>
        <v/>
      </c>
    </row>
    <row r="927" customFormat="false" ht="15" hidden="false" customHeight="false" outlineLevel="0" collapsed="false">
      <c r="A927" s="36" t="str">
        <f aca="false">IF($B927="","",COUNT($B$15:$B927))</f>
        <v/>
      </c>
      <c r="B927" s="37"/>
      <c r="C927" s="38"/>
      <c r="D927" s="20"/>
      <c r="E927" s="36" t="str">
        <f aca="false">IF($D927="","",IFERROR(INDEX('교육원 ④ 설정'!$A$6:$A$40,MATCH($D927,'교육원 ④ 설정'!$B$6:$B$40,0)),"※없는 과목"))</f>
        <v/>
      </c>
      <c r="F927" s="36" t="str">
        <f aca="false">IF($D927="","",IFERROR(INDEX('교육원 ④ 설정'!$C$6:$C$40,MATCH($D927,'교육원 ④ 설정'!$B$6:$B$40,0)),""))</f>
        <v/>
      </c>
      <c r="G927" s="39"/>
      <c r="H927" s="39"/>
      <c r="I927" s="40"/>
      <c r="J927" s="41"/>
      <c r="K927" s="38"/>
      <c r="L927" s="42" t="str">
        <f aca="false">IF($B927="","",IF(AND(N($I927)=0,N($J927)=0),"금액이 없습니다",IF(AND($I927&gt;0,$J927&gt;0),"수입·지출 둘 다 적혔습니다",IF($C927="","결제수단을 고르십시오",IF(ISNA(MATCH($C927,'교육원 ③ 통장·카드'!$A$5:$A$11,0)),"③ 통장·카드에 없는 결제수단입니다",IF($D927="","계정과목을 고르십시오",IF($E927="※없는 과목","④ 설정에 없는 과목입니다",IF(AND($E927="수입",$J927&gt;0),"수입 과목인데 지출에 적혔습니다",IF(AND(LEFT($E927,2)&lt;&gt;"수입",$E927&lt;&gt;"대체",$I927&gt;0),"지출 과목인데 수입에 적혔습니다",IF($K927="","증빙을 고르십시오",IF($H927="","적요를 적으십시오","")))))))))))</f>
        <v/>
      </c>
      <c r="M927" s="39"/>
      <c r="O927" s="11" t="str">
        <f aca="false">IF($B927="","",YEAR($B927)*100+MONTH($B927))</f>
        <v/>
      </c>
      <c r="P927" s="11" t="str">
        <f aca="false">IF($B927="","",IF($E927="대체",0,1))</f>
        <v/>
      </c>
    </row>
    <row r="928" customFormat="false" ht="15" hidden="false" customHeight="false" outlineLevel="0" collapsed="false">
      <c r="A928" s="36" t="str">
        <f aca="false">IF($B928="","",COUNT($B$15:$B928))</f>
        <v/>
      </c>
      <c r="B928" s="37"/>
      <c r="C928" s="38"/>
      <c r="D928" s="20"/>
      <c r="E928" s="36" t="str">
        <f aca="false">IF($D928="","",IFERROR(INDEX('교육원 ④ 설정'!$A$6:$A$40,MATCH($D928,'교육원 ④ 설정'!$B$6:$B$40,0)),"※없는 과목"))</f>
        <v/>
      </c>
      <c r="F928" s="36" t="str">
        <f aca="false">IF($D928="","",IFERROR(INDEX('교육원 ④ 설정'!$C$6:$C$40,MATCH($D928,'교육원 ④ 설정'!$B$6:$B$40,0)),""))</f>
        <v/>
      </c>
      <c r="G928" s="39"/>
      <c r="H928" s="39"/>
      <c r="I928" s="40"/>
      <c r="J928" s="41"/>
      <c r="K928" s="38"/>
      <c r="L928" s="42" t="str">
        <f aca="false">IF($B928="","",IF(AND(N($I928)=0,N($J928)=0),"금액이 없습니다",IF(AND($I928&gt;0,$J928&gt;0),"수입·지출 둘 다 적혔습니다",IF($C928="","결제수단을 고르십시오",IF(ISNA(MATCH($C928,'교육원 ③ 통장·카드'!$A$5:$A$11,0)),"③ 통장·카드에 없는 결제수단입니다",IF($D928="","계정과목을 고르십시오",IF($E928="※없는 과목","④ 설정에 없는 과목입니다",IF(AND($E928="수입",$J928&gt;0),"수입 과목인데 지출에 적혔습니다",IF(AND(LEFT($E928,2)&lt;&gt;"수입",$E928&lt;&gt;"대체",$I928&gt;0),"지출 과목인데 수입에 적혔습니다",IF($K928="","증빙을 고르십시오",IF($H928="","적요를 적으십시오","")))))))))))</f>
        <v/>
      </c>
      <c r="M928" s="39"/>
      <c r="O928" s="11" t="str">
        <f aca="false">IF($B928="","",YEAR($B928)*100+MONTH($B928))</f>
        <v/>
      </c>
      <c r="P928" s="11" t="str">
        <f aca="false">IF($B928="","",IF($E928="대체",0,1))</f>
        <v/>
      </c>
    </row>
    <row r="929" customFormat="false" ht="15" hidden="false" customHeight="false" outlineLevel="0" collapsed="false">
      <c r="A929" s="36" t="str">
        <f aca="false">IF($B929="","",COUNT($B$15:$B929))</f>
        <v/>
      </c>
      <c r="B929" s="37"/>
      <c r="C929" s="38"/>
      <c r="D929" s="20"/>
      <c r="E929" s="36" t="str">
        <f aca="false">IF($D929="","",IFERROR(INDEX('교육원 ④ 설정'!$A$6:$A$40,MATCH($D929,'교육원 ④ 설정'!$B$6:$B$40,0)),"※없는 과목"))</f>
        <v/>
      </c>
      <c r="F929" s="36" t="str">
        <f aca="false">IF($D929="","",IFERROR(INDEX('교육원 ④ 설정'!$C$6:$C$40,MATCH($D929,'교육원 ④ 설정'!$B$6:$B$40,0)),""))</f>
        <v/>
      </c>
      <c r="G929" s="39"/>
      <c r="H929" s="39"/>
      <c r="I929" s="40"/>
      <c r="J929" s="41"/>
      <c r="K929" s="38"/>
      <c r="L929" s="42" t="str">
        <f aca="false">IF($B929="","",IF(AND(N($I929)=0,N($J929)=0),"금액이 없습니다",IF(AND($I929&gt;0,$J929&gt;0),"수입·지출 둘 다 적혔습니다",IF($C929="","결제수단을 고르십시오",IF(ISNA(MATCH($C929,'교육원 ③ 통장·카드'!$A$5:$A$11,0)),"③ 통장·카드에 없는 결제수단입니다",IF($D929="","계정과목을 고르십시오",IF($E929="※없는 과목","④ 설정에 없는 과목입니다",IF(AND($E929="수입",$J929&gt;0),"수입 과목인데 지출에 적혔습니다",IF(AND(LEFT($E929,2)&lt;&gt;"수입",$E929&lt;&gt;"대체",$I929&gt;0),"지출 과목인데 수입에 적혔습니다",IF($K929="","증빙을 고르십시오",IF($H929="","적요를 적으십시오","")))))))))))</f>
        <v/>
      </c>
      <c r="M929" s="39"/>
      <c r="O929" s="11" t="str">
        <f aca="false">IF($B929="","",YEAR($B929)*100+MONTH($B929))</f>
        <v/>
      </c>
      <c r="P929" s="11" t="str">
        <f aca="false">IF($B929="","",IF($E929="대체",0,1))</f>
        <v/>
      </c>
    </row>
    <row r="930" customFormat="false" ht="15" hidden="false" customHeight="false" outlineLevel="0" collapsed="false">
      <c r="A930" s="36" t="str">
        <f aca="false">IF($B930="","",COUNT($B$15:$B930))</f>
        <v/>
      </c>
      <c r="B930" s="37"/>
      <c r="C930" s="38"/>
      <c r="D930" s="20"/>
      <c r="E930" s="36" t="str">
        <f aca="false">IF($D930="","",IFERROR(INDEX('교육원 ④ 설정'!$A$6:$A$40,MATCH($D930,'교육원 ④ 설정'!$B$6:$B$40,0)),"※없는 과목"))</f>
        <v/>
      </c>
      <c r="F930" s="36" t="str">
        <f aca="false">IF($D930="","",IFERROR(INDEX('교육원 ④ 설정'!$C$6:$C$40,MATCH($D930,'교육원 ④ 설정'!$B$6:$B$40,0)),""))</f>
        <v/>
      </c>
      <c r="G930" s="39"/>
      <c r="H930" s="39"/>
      <c r="I930" s="40"/>
      <c r="J930" s="41"/>
      <c r="K930" s="38"/>
      <c r="L930" s="42" t="str">
        <f aca="false">IF($B930="","",IF(AND(N($I930)=0,N($J930)=0),"금액이 없습니다",IF(AND($I930&gt;0,$J930&gt;0),"수입·지출 둘 다 적혔습니다",IF($C930="","결제수단을 고르십시오",IF(ISNA(MATCH($C930,'교육원 ③ 통장·카드'!$A$5:$A$11,0)),"③ 통장·카드에 없는 결제수단입니다",IF($D930="","계정과목을 고르십시오",IF($E930="※없는 과목","④ 설정에 없는 과목입니다",IF(AND($E930="수입",$J930&gt;0),"수입 과목인데 지출에 적혔습니다",IF(AND(LEFT($E930,2)&lt;&gt;"수입",$E930&lt;&gt;"대체",$I930&gt;0),"지출 과목인데 수입에 적혔습니다",IF($K930="","증빙을 고르십시오",IF($H930="","적요를 적으십시오","")))))))))))</f>
        <v/>
      </c>
      <c r="M930" s="39"/>
      <c r="O930" s="11" t="str">
        <f aca="false">IF($B930="","",YEAR($B930)*100+MONTH($B930))</f>
        <v/>
      </c>
      <c r="P930" s="11" t="str">
        <f aca="false">IF($B930="","",IF($E930="대체",0,1))</f>
        <v/>
      </c>
    </row>
    <row r="931" customFormat="false" ht="15" hidden="false" customHeight="false" outlineLevel="0" collapsed="false">
      <c r="A931" s="36" t="str">
        <f aca="false">IF($B931="","",COUNT($B$15:$B931))</f>
        <v/>
      </c>
      <c r="B931" s="37"/>
      <c r="C931" s="38"/>
      <c r="D931" s="20"/>
      <c r="E931" s="36" t="str">
        <f aca="false">IF($D931="","",IFERROR(INDEX('교육원 ④ 설정'!$A$6:$A$40,MATCH($D931,'교육원 ④ 설정'!$B$6:$B$40,0)),"※없는 과목"))</f>
        <v/>
      </c>
      <c r="F931" s="36" t="str">
        <f aca="false">IF($D931="","",IFERROR(INDEX('교육원 ④ 설정'!$C$6:$C$40,MATCH($D931,'교육원 ④ 설정'!$B$6:$B$40,0)),""))</f>
        <v/>
      </c>
      <c r="G931" s="39"/>
      <c r="H931" s="39"/>
      <c r="I931" s="40"/>
      <c r="J931" s="41"/>
      <c r="K931" s="38"/>
      <c r="L931" s="42" t="str">
        <f aca="false">IF($B931="","",IF(AND(N($I931)=0,N($J931)=0),"금액이 없습니다",IF(AND($I931&gt;0,$J931&gt;0),"수입·지출 둘 다 적혔습니다",IF($C931="","결제수단을 고르십시오",IF(ISNA(MATCH($C931,'교육원 ③ 통장·카드'!$A$5:$A$11,0)),"③ 통장·카드에 없는 결제수단입니다",IF($D931="","계정과목을 고르십시오",IF($E931="※없는 과목","④ 설정에 없는 과목입니다",IF(AND($E931="수입",$J931&gt;0),"수입 과목인데 지출에 적혔습니다",IF(AND(LEFT($E931,2)&lt;&gt;"수입",$E931&lt;&gt;"대체",$I931&gt;0),"지출 과목인데 수입에 적혔습니다",IF($K931="","증빙을 고르십시오",IF($H931="","적요를 적으십시오","")))))))))))</f>
        <v/>
      </c>
      <c r="M931" s="39"/>
      <c r="O931" s="11" t="str">
        <f aca="false">IF($B931="","",YEAR($B931)*100+MONTH($B931))</f>
        <v/>
      </c>
      <c r="P931" s="11" t="str">
        <f aca="false">IF($B931="","",IF($E931="대체",0,1))</f>
        <v/>
      </c>
    </row>
    <row r="932" customFormat="false" ht="15" hidden="false" customHeight="false" outlineLevel="0" collapsed="false">
      <c r="A932" s="36" t="str">
        <f aca="false">IF($B932="","",COUNT($B$15:$B932))</f>
        <v/>
      </c>
      <c r="B932" s="37"/>
      <c r="C932" s="38"/>
      <c r="D932" s="20"/>
      <c r="E932" s="36" t="str">
        <f aca="false">IF($D932="","",IFERROR(INDEX('교육원 ④ 설정'!$A$6:$A$40,MATCH($D932,'교육원 ④ 설정'!$B$6:$B$40,0)),"※없는 과목"))</f>
        <v/>
      </c>
      <c r="F932" s="36" t="str">
        <f aca="false">IF($D932="","",IFERROR(INDEX('교육원 ④ 설정'!$C$6:$C$40,MATCH($D932,'교육원 ④ 설정'!$B$6:$B$40,0)),""))</f>
        <v/>
      </c>
      <c r="G932" s="39"/>
      <c r="H932" s="39"/>
      <c r="I932" s="40"/>
      <c r="J932" s="41"/>
      <c r="K932" s="38"/>
      <c r="L932" s="42" t="str">
        <f aca="false">IF($B932="","",IF(AND(N($I932)=0,N($J932)=0),"금액이 없습니다",IF(AND($I932&gt;0,$J932&gt;0),"수입·지출 둘 다 적혔습니다",IF($C932="","결제수단을 고르십시오",IF(ISNA(MATCH($C932,'교육원 ③ 통장·카드'!$A$5:$A$11,0)),"③ 통장·카드에 없는 결제수단입니다",IF($D932="","계정과목을 고르십시오",IF($E932="※없는 과목","④ 설정에 없는 과목입니다",IF(AND($E932="수입",$J932&gt;0),"수입 과목인데 지출에 적혔습니다",IF(AND(LEFT($E932,2)&lt;&gt;"수입",$E932&lt;&gt;"대체",$I932&gt;0),"지출 과목인데 수입에 적혔습니다",IF($K932="","증빙을 고르십시오",IF($H932="","적요를 적으십시오","")))))))))))</f>
        <v/>
      </c>
      <c r="M932" s="39"/>
      <c r="O932" s="11" t="str">
        <f aca="false">IF($B932="","",YEAR($B932)*100+MONTH($B932))</f>
        <v/>
      </c>
      <c r="P932" s="11" t="str">
        <f aca="false">IF($B932="","",IF($E932="대체",0,1))</f>
        <v/>
      </c>
    </row>
    <row r="933" customFormat="false" ht="15" hidden="false" customHeight="false" outlineLevel="0" collapsed="false">
      <c r="A933" s="36" t="str">
        <f aca="false">IF($B933="","",COUNT($B$15:$B933))</f>
        <v/>
      </c>
      <c r="B933" s="37"/>
      <c r="C933" s="38"/>
      <c r="D933" s="20"/>
      <c r="E933" s="36" t="str">
        <f aca="false">IF($D933="","",IFERROR(INDEX('교육원 ④ 설정'!$A$6:$A$40,MATCH($D933,'교육원 ④ 설정'!$B$6:$B$40,0)),"※없는 과목"))</f>
        <v/>
      </c>
      <c r="F933" s="36" t="str">
        <f aca="false">IF($D933="","",IFERROR(INDEX('교육원 ④ 설정'!$C$6:$C$40,MATCH($D933,'교육원 ④ 설정'!$B$6:$B$40,0)),""))</f>
        <v/>
      </c>
      <c r="G933" s="39"/>
      <c r="H933" s="39"/>
      <c r="I933" s="40"/>
      <c r="J933" s="41"/>
      <c r="K933" s="38"/>
      <c r="L933" s="42" t="str">
        <f aca="false">IF($B933="","",IF(AND(N($I933)=0,N($J933)=0),"금액이 없습니다",IF(AND($I933&gt;0,$J933&gt;0),"수입·지출 둘 다 적혔습니다",IF($C933="","결제수단을 고르십시오",IF(ISNA(MATCH($C933,'교육원 ③ 통장·카드'!$A$5:$A$11,0)),"③ 통장·카드에 없는 결제수단입니다",IF($D933="","계정과목을 고르십시오",IF($E933="※없는 과목","④ 설정에 없는 과목입니다",IF(AND($E933="수입",$J933&gt;0),"수입 과목인데 지출에 적혔습니다",IF(AND(LEFT($E933,2)&lt;&gt;"수입",$E933&lt;&gt;"대체",$I933&gt;0),"지출 과목인데 수입에 적혔습니다",IF($K933="","증빙을 고르십시오",IF($H933="","적요를 적으십시오","")))))))))))</f>
        <v/>
      </c>
      <c r="M933" s="39"/>
      <c r="O933" s="11" t="str">
        <f aca="false">IF($B933="","",YEAR($B933)*100+MONTH($B933))</f>
        <v/>
      </c>
      <c r="P933" s="11" t="str">
        <f aca="false">IF($B933="","",IF($E933="대체",0,1))</f>
        <v/>
      </c>
    </row>
    <row r="934" customFormat="false" ht="15" hidden="false" customHeight="false" outlineLevel="0" collapsed="false">
      <c r="A934" s="36" t="str">
        <f aca="false">IF($B934="","",COUNT($B$15:$B934))</f>
        <v/>
      </c>
      <c r="B934" s="37"/>
      <c r="C934" s="38"/>
      <c r="D934" s="20"/>
      <c r="E934" s="36" t="str">
        <f aca="false">IF($D934="","",IFERROR(INDEX('교육원 ④ 설정'!$A$6:$A$40,MATCH($D934,'교육원 ④ 설정'!$B$6:$B$40,0)),"※없는 과목"))</f>
        <v/>
      </c>
      <c r="F934" s="36" t="str">
        <f aca="false">IF($D934="","",IFERROR(INDEX('교육원 ④ 설정'!$C$6:$C$40,MATCH($D934,'교육원 ④ 설정'!$B$6:$B$40,0)),""))</f>
        <v/>
      </c>
      <c r="G934" s="39"/>
      <c r="H934" s="39"/>
      <c r="I934" s="40"/>
      <c r="J934" s="41"/>
      <c r="K934" s="38"/>
      <c r="L934" s="42" t="str">
        <f aca="false">IF($B934="","",IF(AND(N($I934)=0,N($J934)=0),"금액이 없습니다",IF(AND($I934&gt;0,$J934&gt;0),"수입·지출 둘 다 적혔습니다",IF($C934="","결제수단을 고르십시오",IF(ISNA(MATCH($C934,'교육원 ③ 통장·카드'!$A$5:$A$11,0)),"③ 통장·카드에 없는 결제수단입니다",IF($D934="","계정과목을 고르십시오",IF($E934="※없는 과목","④ 설정에 없는 과목입니다",IF(AND($E934="수입",$J934&gt;0),"수입 과목인데 지출에 적혔습니다",IF(AND(LEFT($E934,2)&lt;&gt;"수입",$E934&lt;&gt;"대체",$I934&gt;0),"지출 과목인데 수입에 적혔습니다",IF($K934="","증빙을 고르십시오",IF($H934="","적요를 적으십시오","")))))))))))</f>
        <v/>
      </c>
      <c r="M934" s="39"/>
      <c r="O934" s="11" t="str">
        <f aca="false">IF($B934="","",YEAR($B934)*100+MONTH($B934))</f>
        <v/>
      </c>
      <c r="P934" s="11" t="str">
        <f aca="false">IF($B934="","",IF($E934="대체",0,1))</f>
        <v/>
      </c>
    </row>
    <row r="935" customFormat="false" ht="15" hidden="false" customHeight="false" outlineLevel="0" collapsed="false">
      <c r="A935" s="36" t="str">
        <f aca="false">IF($B935="","",COUNT($B$15:$B935))</f>
        <v/>
      </c>
      <c r="B935" s="37"/>
      <c r="C935" s="38"/>
      <c r="D935" s="20"/>
      <c r="E935" s="36" t="str">
        <f aca="false">IF($D935="","",IFERROR(INDEX('교육원 ④ 설정'!$A$6:$A$40,MATCH($D935,'교육원 ④ 설정'!$B$6:$B$40,0)),"※없는 과목"))</f>
        <v/>
      </c>
      <c r="F935" s="36" t="str">
        <f aca="false">IF($D935="","",IFERROR(INDEX('교육원 ④ 설정'!$C$6:$C$40,MATCH($D935,'교육원 ④ 설정'!$B$6:$B$40,0)),""))</f>
        <v/>
      </c>
      <c r="G935" s="39"/>
      <c r="H935" s="39"/>
      <c r="I935" s="40"/>
      <c r="J935" s="41"/>
      <c r="K935" s="38"/>
      <c r="L935" s="42" t="str">
        <f aca="false">IF($B935="","",IF(AND(N($I935)=0,N($J935)=0),"금액이 없습니다",IF(AND($I935&gt;0,$J935&gt;0),"수입·지출 둘 다 적혔습니다",IF($C935="","결제수단을 고르십시오",IF(ISNA(MATCH($C935,'교육원 ③ 통장·카드'!$A$5:$A$11,0)),"③ 통장·카드에 없는 결제수단입니다",IF($D935="","계정과목을 고르십시오",IF($E935="※없는 과목","④ 설정에 없는 과목입니다",IF(AND($E935="수입",$J935&gt;0),"수입 과목인데 지출에 적혔습니다",IF(AND(LEFT($E935,2)&lt;&gt;"수입",$E935&lt;&gt;"대체",$I935&gt;0),"지출 과목인데 수입에 적혔습니다",IF($K935="","증빙을 고르십시오",IF($H935="","적요를 적으십시오","")))))))))))</f>
        <v/>
      </c>
      <c r="M935" s="39"/>
      <c r="O935" s="11" t="str">
        <f aca="false">IF($B935="","",YEAR($B935)*100+MONTH($B935))</f>
        <v/>
      </c>
      <c r="P935" s="11" t="str">
        <f aca="false">IF($B935="","",IF($E935="대체",0,1))</f>
        <v/>
      </c>
    </row>
    <row r="936" customFormat="false" ht="15" hidden="false" customHeight="false" outlineLevel="0" collapsed="false">
      <c r="A936" s="36" t="str">
        <f aca="false">IF($B936="","",COUNT($B$15:$B936))</f>
        <v/>
      </c>
      <c r="B936" s="37"/>
      <c r="C936" s="38"/>
      <c r="D936" s="20"/>
      <c r="E936" s="36" t="str">
        <f aca="false">IF($D936="","",IFERROR(INDEX('교육원 ④ 설정'!$A$6:$A$40,MATCH($D936,'교육원 ④ 설정'!$B$6:$B$40,0)),"※없는 과목"))</f>
        <v/>
      </c>
      <c r="F936" s="36" t="str">
        <f aca="false">IF($D936="","",IFERROR(INDEX('교육원 ④ 설정'!$C$6:$C$40,MATCH($D936,'교육원 ④ 설정'!$B$6:$B$40,0)),""))</f>
        <v/>
      </c>
      <c r="G936" s="39"/>
      <c r="H936" s="39"/>
      <c r="I936" s="40"/>
      <c r="J936" s="41"/>
      <c r="K936" s="38"/>
      <c r="L936" s="42" t="str">
        <f aca="false">IF($B936="","",IF(AND(N($I936)=0,N($J936)=0),"금액이 없습니다",IF(AND($I936&gt;0,$J936&gt;0),"수입·지출 둘 다 적혔습니다",IF($C936="","결제수단을 고르십시오",IF(ISNA(MATCH($C936,'교육원 ③ 통장·카드'!$A$5:$A$11,0)),"③ 통장·카드에 없는 결제수단입니다",IF($D936="","계정과목을 고르십시오",IF($E936="※없는 과목","④ 설정에 없는 과목입니다",IF(AND($E936="수입",$J936&gt;0),"수입 과목인데 지출에 적혔습니다",IF(AND(LEFT($E936,2)&lt;&gt;"수입",$E936&lt;&gt;"대체",$I936&gt;0),"지출 과목인데 수입에 적혔습니다",IF($K936="","증빙을 고르십시오",IF($H936="","적요를 적으십시오","")))))))))))</f>
        <v/>
      </c>
      <c r="M936" s="39"/>
      <c r="O936" s="11" t="str">
        <f aca="false">IF($B936="","",YEAR($B936)*100+MONTH($B936))</f>
        <v/>
      </c>
      <c r="P936" s="11" t="str">
        <f aca="false">IF($B936="","",IF($E936="대체",0,1))</f>
        <v/>
      </c>
    </row>
    <row r="937" customFormat="false" ht="15" hidden="false" customHeight="false" outlineLevel="0" collapsed="false">
      <c r="A937" s="36" t="str">
        <f aca="false">IF($B937="","",COUNT($B$15:$B937))</f>
        <v/>
      </c>
      <c r="B937" s="37"/>
      <c r="C937" s="38"/>
      <c r="D937" s="20"/>
      <c r="E937" s="36" t="str">
        <f aca="false">IF($D937="","",IFERROR(INDEX('교육원 ④ 설정'!$A$6:$A$40,MATCH($D937,'교육원 ④ 설정'!$B$6:$B$40,0)),"※없는 과목"))</f>
        <v/>
      </c>
      <c r="F937" s="36" t="str">
        <f aca="false">IF($D937="","",IFERROR(INDEX('교육원 ④ 설정'!$C$6:$C$40,MATCH($D937,'교육원 ④ 설정'!$B$6:$B$40,0)),""))</f>
        <v/>
      </c>
      <c r="G937" s="39"/>
      <c r="H937" s="39"/>
      <c r="I937" s="40"/>
      <c r="J937" s="41"/>
      <c r="K937" s="38"/>
      <c r="L937" s="42" t="str">
        <f aca="false">IF($B937="","",IF(AND(N($I937)=0,N($J937)=0),"금액이 없습니다",IF(AND($I937&gt;0,$J937&gt;0),"수입·지출 둘 다 적혔습니다",IF($C937="","결제수단을 고르십시오",IF(ISNA(MATCH($C937,'교육원 ③ 통장·카드'!$A$5:$A$11,0)),"③ 통장·카드에 없는 결제수단입니다",IF($D937="","계정과목을 고르십시오",IF($E937="※없는 과목","④ 설정에 없는 과목입니다",IF(AND($E937="수입",$J937&gt;0),"수입 과목인데 지출에 적혔습니다",IF(AND(LEFT($E937,2)&lt;&gt;"수입",$E937&lt;&gt;"대체",$I937&gt;0),"지출 과목인데 수입에 적혔습니다",IF($K937="","증빙을 고르십시오",IF($H937="","적요를 적으십시오","")))))))))))</f>
        <v/>
      </c>
      <c r="M937" s="39"/>
      <c r="O937" s="11" t="str">
        <f aca="false">IF($B937="","",YEAR($B937)*100+MONTH($B937))</f>
        <v/>
      </c>
      <c r="P937" s="11" t="str">
        <f aca="false">IF($B937="","",IF($E937="대체",0,1))</f>
        <v/>
      </c>
    </row>
    <row r="938" customFormat="false" ht="15" hidden="false" customHeight="false" outlineLevel="0" collapsed="false">
      <c r="A938" s="36" t="str">
        <f aca="false">IF($B938="","",COUNT($B$15:$B938))</f>
        <v/>
      </c>
      <c r="B938" s="37"/>
      <c r="C938" s="38"/>
      <c r="D938" s="20"/>
      <c r="E938" s="36" t="str">
        <f aca="false">IF($D938="","",IFERROR(INDEX('교육원 ④ 설정'!$A$6:$A$40,MATCH($D938,'교육원 ④ 설정'!$B$6:$B$40,0)),"※없는 과목"))</f>
        <v/>
      </c>
      <c r="F938" s="36" t="str">
        <f aca="false">IF($D938="","",IFERROR(INDEX('교육원 ④ 설정'!$C$6:$C$40,MATCH($D938,'교육원 ④ 설정'!$B$6:$B$40,0)),""))</f>
        <v/>
      </c>
      <c r="G938" s="39"/>
      <c r="H938" s="39"/>
      <c r="I938" s="40"/>
      <c r="J938" s="41"/>
      <c r="K938" s="38"/>
      <c r="L938" s="42" t="str">
        <f aca="false">IF($B938="","",IF(AND(N($I938)=0,N($J938)=0),"금액이 없습니다",IF(AND($I938&gt;0,$J938&gt;0),"수입·지출 둘 다 적혔습니다",IF($C938="","결제수단을 고르십시오",IF(ISNA(MATCH($C938,'교육원 ③ 통장·카드'!$A$5:$A$11,0)),"③ 통장·카드에 없는 결제수단입니다",IF($D938="","계정과목을 고르십시오",IF($E938="※없는 과목","④ 설정에 없는 과목입니다",IF(AND($E938="수입",$J938&gt;0),"수입 과목인데 지출에 적혔습니다",IF(AND(LEFT($E938,2)&lt;&gt;"수입",$E938&lt;&gt;"대체",$I938&gt;0),"지출 과목인데 수입에 적혔습니다",IF($K938="","증빙을 고르십시오",IF($H938="","적요를 적으십시오","")))))))))))</f>
        <v/>
      </c>
      <c r="M938" s="39"/>
      <c r="O938" s="11" t="str">
        <f aca="false">IF($B938="","",YEAR($B938)*100+MONTH($B938))</f>
        <v/>
      </c>
      <c r="P938" s="11" t="str">
        <f aca="false">IF($B938="","",IF($E938="대체",0,1))</f>
        <v/>
      </c>
    </row>
    <row r="939" customFormat="false" ht="15" hidden="false" customHeight="false" outlineLevel="0" collapsed="false">
      <c r="A939" s="36" t="str">
        <f aca="false">IF($B939="","",COUNT($B$15:$B939))</f>
        <v/>
      </c>
      <c r="B939" s="37"/>
      <c r="C939" s="38"/>
      <c r="D939" s="20"/>
      <c r="E939" s="36" t="str">
        <f aca="false">IF($D939="","",IFERROR(INDEX('교육원 ④ 설정'!$A$6:$A$40,MATCH($D939,'교육원 ④ 설정'!$B$6:$B$40,0)),"※없는 과목"))</f>
        <v/>
      </c>
      <c r="F939" s="36" t="str">
        <f aca="false">IF($D939="","",IFERROR(INDEX('교육원 ④ 설정'!$C$6:$C$40,MATCH($D939,'교육원 ④ 설정'!$B$6:$B$40,0)),""))</f>
        <v/>
      </c>
      <c r="G939" s="39"/>
      <c r="H939" s="39"/>
      <c r="I939" s="40"/>
      <c r="J939" s="41"/>
      <c r="K939" s="38"/>
      <c r="L939" s="42" t="str">
        <f aca="false">IF($B939="","",IF(AND(N($I939)=0,N($J939)=0),"금액이 없습니다",IF(AND($I939&gt;0,$J939&gt;0),"수입·지출 둘 다 적혔습니다",IF($C939="","결제수단을 고르십시오",IF(ISNA(MATCH($C939,'교육원 ③ 통장·카드'!$A$5:$A$11,0)),"③ 통장·카드에 없는 결제수단입니다",IF($D939="","계정과목을 고르십시오",IF($E939="※없는 과목","④ 설정에 없는 과목입니다",IF(AND($E939="수입",$J939&gt;0),"수입 과목인데 지출에 적혔습니다",IF(AND(LEFT($E939,2)&lt;&gt;"수입",$E939&lt;&gt;"대체",$I939&gt;0),"지출 과목인데 수입에 적혔습니다",IF($K939="","증빙을 고르십시오",IF($H939="","적요를 적으십시오","")))))))))))</f>
        <v/>
      </c>
      <c r="M939" s="39"/>
      <c r="O939" s="11" t="str">
        <f aca="false">IF($B939="","",YEAR($B939)*100+MONTH($B939))</f>
        <v/>
      </c>
      <c r="P939" s="11" t="str">
        <f aca="false">IF($B939="","",IF($E939="대체",0,1))</f>
        <v/>
      </c>
    </row>
    <row r="940" customFormat="false" ht="15" hidden="false" customHeight="false" outlineLevel="0" collapsed="false">
      <c r="A940" s="36" t="str">
        <f aca="false">IF($B940="","",COUNT($B$15:$B940))</f>
        <v/>
      </c>
      <c r="B940" s="37"/>
      <c r="C940" s="38"/>
      <c r="D940" s="20"/>
      <c r="E940" s="36" t="str">
        <f aca="false">IF($D940="","",IFERROR(INDEX('교육원 ④ 설정'!$A$6:$A$40,MATCH($D940,'교육원 ④ 설정'!$B$6:$B$40,0)),"※없는 과목"))</f>
        <v/>
      </c>
      <c r="F940" s="36" t="str">
        <f aca="false">IF($D940="","",IFERROR(INDEX('교육원 ④ 설정'!$C$6:$C$40,MATCH($D940,'교육원 ④ 설정'!$B$6:$B$40,0)),""))</f>
        <v/>
      </c>
      <c r="G940" s="39"/>
      <c r="H940" s="39"/>
      <c r="I940" s="40"/>
      <c r="J940" s="41"/>
      <c r="K940" s="38"/>
      <c r="L940" s="42" t="str">
        <f aca="false">IF($B940="","",IF(AND(N($I940)=0,N($J940)=0),"금액이 없습니다",IF(AND($I940&gt;0,$J940&gt;0),"수입·지출 둘 다 적혔습니다",IF($C940="","결제수단을 고르십시오",IF(ISNA(MATCH($C940,'교육원 ③ 통장·카드'!$A$5:$A$11,0)),"③ 통장·카드에 없는 결제수단입니다",IF($D940="","계정과목을 고르십시오",IF($E940="※없는 과목","④ 설정에 없는 과목입니다",IF(AND($E940="수입",$J940&gt;0),"수입 과목인데 지출에 적혔습니다",IF(AND(LEFT($E940,2)&lt;&gt;"수입",$E940&lt;&gt;"대체",$I940&gt;0),"지출 과목인데 수입에 적혔습니다",IF($K940="","증빙을 고르십시오",IF($H940="","적요를 적으십시오","")))))))))))</f>
        <v/>
      </c>
      <c r="M940" s="39"/>
      <c r="O940" s="11" t="str">
        <f aca="false">IF($B940="","",YEAR($B940)*100+MONTH($B940))</f>
        <v/>
      </c>
      <c r="P940" s="11" t="str">
        <f aca="false">IF($B940="","",IF($E940="대체",0,1))</f>
        <v/>
      </c>
    </row>
    <row r="941" customFormat="false" ht="15" hidden="false" customHeight="false" outlineLevel="0" collapsed="false">
      <c r="A941" s="36" t="str">
        <f aca="false">IF($B941="","",COUNT($B$15:$B941))</f>
        <v/>
      </c>
      <c r="B941" s="37"/>
      <c r="C941" s="38"/>
      <c r="D941" s="20"/>
      <c r="E941" s="36" t="str">
        <f aca="false">IF($D941="","",IFERROR(INDEX('교육원 ④ 설정'!$A$6:$A$40,MATCH($D941,'교육원 ④ 설정'!$B$6:$B$40,0)),"※없는 과목"))</f>
        <v/>
      </c>
      <c r="F941" s="36" t="str">
        <f aca="false">IF($D941="","",IFERROR(INDEX('교육원 ④ 설정'!$C$6:$C$40,MATCH($D941,'교육원 ④ 설정'!$B$6:$B$40,0)),""))</f>
        <v/>
      </c>
      <c r="G941" s="39"/>
      <c r="H941" s="39"/>
      <c r="I941" s="40"/>
      <c r="J941" s="41"/>
      <c r="K941" s="38"/>
      <c r="L941" s="42" t="str">
        <f aca="false">IF($B941="","",IF(AND(N($I941)=0,N($J941)=0),"금액이 없습니다",IF(AND($I941&gt;0,$J941&gt;0),"수입·지출 둘 다 적혔습니다",IF($C941="","결제수단을 고르십시오",IF(ISNA(MATCH($C941,'교육원 ③ 통장·카드'!$A$5:$A$11,0)),"③ 통장·카드에 없는 결제수단입니다",IF($D941="","계정과목을 고르십시오",IF($E941="※없는 과목","④ 설정에 없는 과목입니다",IF(AND($E941="수입",$J941&gt;0),"수입 과목인데 지출에 적혔습니다",IF(AND(LEFT($E941,2)&lt;&gt;"수입",$E941&lt;&gt;"대체",$I941&gt;0),"지출 과목인데 수입에 적혔습니다",IF($K941="","증빙을 고르십시오",IF($H941="","적요를 적으십시오","")))))))))))</f>
        <v/>
      </c>
      <c r="M941" s="39"/>
      <c r="O941" s="11" t="str">
        <f aca="false">IF($B941="","",YEAR($B941)*100+MONTH($B941))</f>
        <v/>
      </c>
      <c r="P941" s="11" t="str">
        <f aca="false">IF($B941="","",IF($E941="대체",0,1))</f>
        <v/>
      </c>
    </row>
    <row r="942" customFormat="false" ht="15" hidden="false" customHeight="false" outlineLevel="0" collapsed="false">
      <c r="A942" s="36" t="str">
        <f aca="false">IF($B942="","",COUNT($B$15:$B942))</f>
        <v/>
      </c>
      <c r="B942" s="37"/>
      <c r="C942" s="38"/>
      <c r="D942" s="20"/>
      <c r="E942" s="36" t="str">
        <f aca="false">IF($D942="","",IFERROR(INDEX('교육원 ④ 설정'!$A$6:$A$40,MATCH($D942,'교육원 ④ 설정'!$B$6:$B$40,0)),"※없는 과목"))</f>
        <v/>
      </c>
      <c r="F942" s="36" t="str">
        <f aca="false">IF($D942="","",IFERROR(INDEX('교육원 ④ 설정'!$C$6:$C$40,MATCH($D942,'교육원 ④ 설정'!$B$6:$B$40,0)),""))</f>
        <v/>
      </c>
      <c r="G942" s="39"/>
      <c r="H942" s="39"/>
      <c r="I942" s="40"/>
      <c r="J942" s="41"/>
      <c r="K942" s="38"/>
      <c r="L942" s="42" t="str">
        <f aca="false">IF($B942="","",IF(AND(N($I942)=0,N($J942)=0),"금액이 없습니다",IF(AND($I942&gt;0,$J942&gt;0),"수입·지출 둘 다 적혔습니다",IF($C942="","결제수단을 고르십시오",IF(ISNA(MATCH($C942,'교육원 ③ 통장·카드'!$A$5:$A$11,0)),"③ 통장·카드에 없는 결제수단입니다",IF($D942="","계정과목을 고르십시오",IF($E942="※없는 과목","④ 설정에 없는 과목입니다",IF(AND($E942="수입",$J942&gt;0),"수입 과목인데 지출에 적혔습니다",IF(AND(LEFT($E942,2)&lt;&gt;"수입",$E942&lt;&gt;"대체",$I942&gt;0),"지출 과목인데 수입에 적혔습니다",IF($K942="","증빙을 고르십시오",IF($H942="","적요를 적으십시오","")))))))))))</f>
        <v/>
      </c>
      <c r="M942" s="39"/>
      <c r="O942" s="11" t="str">
        <f aca="false">IF($B942="","",YEAR($B942)*100+MONTH($B942))</f>
        <v/>
      </c>
      <c r="P942" s="11" t="str">
        <f aca="false">IF($B942="","",IF($E942="대체",0,1))</f>
        <v/>
      </c>
    </row>
    <row r="943" customFormat="false" ht="15" hidden="false" customHeight="false" outlineLevel="0" collapsed="false">
      <c r="A943" s="36" t="str">
        <f aca="false">IF($B943="","",COUNT($B$15:$B943))</f>
        <v/>
      </c>
      <c r="B943" s="37"/>
      <c r="C943" s="38"/>
      <c r="D943" s="20"/>
      <c r="E943" s="36" t="str">
        <f aca="false">IF($D943="","",IFERROR(INDEX('교육원 ④ 설정'!$A$6:$A$40,MATCH($D943,'교육원 ④ 설정'!$B$6:$B$40,0)),"※없는 과목"))</f>
        <v/>
      </c>
      <c r="F943" s="36" t="str">
        <f aca="false">IF($D943="","",IFERROR(INDEX('교육원 ④ 설정'!$C$6:$C$40,MATCH($D943,'교육원 ④ 설정'!$B$6:$B$40,0)),""))</f>
        <v/>
      </c>
      <c r="G943" s="39"/>
      <c r="H943" s="39"/>
      <c r="I943" s="40"/>
      <c r="J943" s="41"/>
      <c r="K943" s="38"/>
      <c r="L943" s="42" t="str">
        <f aca="false">IF($B943="","",IF(AND(N($I943)=0,N($J943)=0),"금액이 없습니다",IF(AND($I943&gt;0,$J943&gt;0),"수입·지출 둘 다 적혔습니다",IF($C943="","결제수단을 고르십시오",IF(ISNA(MATCH($C943,'교육원 ③ 통장·카드'!$A$5:$A$11,0)),"③ 통장·카드에 없는 결제수단입니다",IF($D943="","계정과목을 고르십시오",IF($E943="※없는 과목","④ 설정에 없는 과목입니다",IF(AND($E943="수입",$J943&gt;0),"수입 과목인데 지출에 적혔습니다",IF(AND(LEFT($E943,2)&lt;&gt;"수입",$E943&lt;&gt;"대체",$I943&gt;0),"지출 과목인데 수입에 적혔습니다",IF($K943="","증빙을 고르십시오",IF($H943="","적요를 적으십시오","")))))))))))</f>
        <v/>
      </c>
      <c r="M943" s="39"/>
      <c r="O943" s="11" t="str">
        <f aca="false">IF($B943="","",YEAR($B943)*100+MONTH($B943))</f>
        <v/>
      </c>
      <c r="P943" s="11" t="str">
        <f aca="false">IF($B943="","",IF($E943="대체",0,1))</f>
        <v/>
      </c>
    </row>
    <row r="944" customFormat="false" ht="15" hidden="false" customHeight="false" outlineLevel="0" collapsed="false">
      <c r="A944" s="36" t="str">
        <f aca="false">IF($B944="","",COUNT($B$15:$B944))</f>
        <v/>
      </c>
      <c r="B944" s="37"/>
      <c r="C944" s="38"/>
      <c r="D944" s="20"/>
      <c r="E944" s="36" t="str">
        <f aca="false">IF($D944="","",IFERROR(INDEX('교육원 ④ 설정'!$A$6:$A$40,MATCH($D944,'교육원 ④ 설정'!$B$6:$B$40,0)),"※없는 과목"))</f>
        <v/>
      </c>
      <c r="F944" s="36" t="str">
        <f aca="false">IF($D944="","",IFERROR(INDEX('교육원 ④ 설정'!$C$6:$C$40,MATCH($D944,'교육원 ④ 설정'!$B$6:$B$40,0)),""))</f>
        <v/>
      </c>
      <c r="G944" s="39"/>
      <c r="H944" s="39"/>
      <c r="I944" s="40"/>
      <c r="J944" s="41"/>
      <c r="K944" s="38"/>
      <c r="L944" s="42" t="str">
        <f aca="false">IF($B944="","",IF(AND(N($I944)=0,N($J944)=0),"금액이 없습니다",IF(AND($I944&gt;0,$J944&gt;0),"수입·지출 둘 다 적혔습니다",IF($C944="","결제수단을 고르십시오",IF(ISNA(MATCH($C944,'교육원 ③ 통장·카드'!$A$5:$A$11,0)),"③ 통장·카드에 없는 결제수단입니다",IF($D944="","계정과목을 고르십시오",IF($E944="※없는 과목","④ 설정에 없는 과목입니다",IF(AND($E944="수입",$J944&gt;0),"수입 과목인데 지출에 적혔습니다",IF(AND(LEFT($E944,2)&lt;&gt;"수입",$E944&lt;&gt;"대체",$I944&gt;0),"지출 과목인데 수입에 적혔습니다",IF($K944="","증빙을 고르십시오",IF($H944="","적요를 적으십시오","")))))))))))</f>
        <v/>
      </c>
      <c r="M944" s="39"/>
      <c r="O944" s="11" t="str">
        <f aca="false">IF($B944="","",YEAR($B944)*100+MONTH($B944))</f>
        <v/>
      </c>
      <c r="P944" s="11" t="str">
        <f aca="false">IF($B944="","",IF($E944="대체",0,1))</f>
        <v/>
      </c>
    </row>
    <row r="945" customFormat="false" ht="15" hidden="false" customHeight="false" outlineLevel="0" collapsed="false">
      <c r="A945" s="36" t="str">
        <f aca="false">IF($B945="","",COUNT($B$15:$B945))</f>
        <v/>
      </c>
      <c r="B945" s="37"/>
      <c r="C945" s="38"/>
      <c r="D945" s="20"/>
      <c r="E945" s="36" t="str">
        <f aca="false">IF($D945="","",IFERROR(INDEX('교육원 ④ 설정'!$A$6:$A$40,MATCH($D945,'교육원 ④ 설정'!$B$6:$B$40,0)),"※없는 과목"))</f>
        <v/>
      </c>
      <c r="F945" s="36" t="str">
        <f aca="false">IF($D945="","",IFERROR(INDEX('교육원 ④ 설정'!$C$6:$C$40,MATCH($D945,'교육원 ④ 설정'!$B$6:$B$40,0)),""))</f>
        <v/>
      </c>
      <c r="G945" s="39"/>
      <c r="H945" s="39"/>
      <c r="I945" s="40"/>
      <c r="J945" s="41"/>
      <c r="K945" s="38"/>
      <c r="L945" s="42" t="str">
        <f aca="false">IF($B945="","",IF(AND(N($I945)=0,N($J945)=0),"금액이 없습니다",IF(AND($I945&gt;0,$J945&gt;0),"수입·지출 둘 다 적혔습니다",IF($C945="","결제수단을 고르십시오",IF(ISNA(MATCH($C945,'교육원 ③ 통장·카드'!$A$5:$A$11,0)),"③ 통장·카드에 없는 결제수단입니다",IF($D945="","계정과목을 고르십시오",IF($E945="※없는 과목","④ 설정에 없는 과목입니다",IF(AND($E945="수입",$J945&gt;0),"수입 과목인데 지출에 적혔습니다",IF(AND(LEFT($E945,2)&lt;&gt;"수입",$E945&lt;&gt;"대체",$I945&gt;0),"지출 과목인데 수입에 적혔습니다",IF($K945="","증빙을 고르십시오",IF($H945="","적요를 적으십시오","")))))))))))</f>
        <v/>
      </c>
      <c r="M945" s="39"/>
      <c r="O945" s="11" t="str">
        <f aca="false">IF($B945="","",YEAR($B945)*100+MONTH($B945))</f>
        <v/>
      </c>
      <c r="P945" s="11" t="str">
        <f aca="false">IF($B945="","",IF($E945="대체",0,1))</f>
        <v/>
      </c>
    </row>
    <row r="946" customFormat="false" ht="15" hidden="false" customHeight="false" outlineLevel="0" collapsed="false">
      <c r="A946" s="36" t="str">
        <f aca="false">IF($B946="","",COUNT($B$15:$B946))</f>
        <v/>
      </c>
      <c r="B946" s="37"/>
      <c r="C946" s="38"/>
      <c r="D946" s="20"/>
      <c r="E946" s="36" t="str">
        <f aca="false">IF($D946="","",IFERROR(INDEX('교육원 ④ 설정'!$A$6:$A$40,MATCH($D946,'교육원 ④ 설정'!$B$6:$B$40,0)),"※없는 과목"))</f>
        <v/>
      </c>
      <c r="F946" s="36" t="str">
        <f aca="false">IF($D946="","",IFERROR(INDEX('교육원 ④ 설정'!$C$6:$C$40,MATCH($D946,'교육원 ④ 설정'!$B$6:$B$40,0)),""))</f>
        <v/>
      </c>
      <c r="G946" s="39"/>
      <c r="H946" s="39"/>
      <c r="I946" s="40"/>
      <c r="J946" s="41"/>
      <c r="K946" s="38"/>
      <c r="L946" s="42" t="str">
        <f aca="false">IF($B946="","",IF(AND(N($I946)=0,N($J946)=0),"금액이 없습니다",IF(AND($I946&gt;0,$J946&gt;0),"수입·지출 둘 다 적혔습니다",IF($C946="","결제수단을 고르십시오",IF(ISNA(MATCH($C946,'교육원 ③ 통장·카드'!$A$5:$A$11,0)),"③ 통장·카드에 없는 결제수단입니다",IF($D946="","계정과목을 고르십시오",IF($E946="※없는 과목","④ 설정에 없는 과목입니다",IF(AND($E946="수입",$J946&gt;0),"수입 과목인데 지출에 적혔습니다",IF(AND(LEFT($E946,2)&lt;&gt;"수입",$E946&lt;&gt;"대체",$I946&gt;0),"지출 과목인데 수입에 적혔습니다",IF($K946="","증빙을 고르십시오",IF($H946="","적요를 적으십시오","")))))))))))</f>
        <v/>
      </c>
      <c r="M946" s="39"/>
      <c r="O946" s="11" t="str">
        <f aca="false">IF($B946="","",YEAR($B946)*100+MONTH($B946))</f>
        <v/>
      </c>
      <c r="P946" s="11" t="str">
        <f aca="false">IF($B946="","",IF($E946="대체",0,1))</f>
        <v/>
      </c>
    </row>
    <row r="947" customFormat="false" ht="15" hidden="false" customHeight="false" outlineLevel="0" collapsed="false">
      <c r="A947" s="36" t="str">
        <f aca="false">IF($B947="","",COUNT($B$15:$B947))</f>
        <v/>
      </c>
      <c r="B947" s="37"/>
      <c r="C947" s="38"/>
      <c r="D947" s="20"/>
      <c r="E947" s="36" t="str">
        <f aca="false">IF($D947="","",IFERROR(INDEX('교육원 ④ 설정'!$A$6:$A$40,MATCH($D947,'교육원 ④ 설정'!$B$6:$B$40,0)),"※없는 과목"))</f>
        <v/>
      </c>
      <c r="F947" s="36" t="str">
        <f aca="false">IF($D947="","",IFERROR(INDEX('교육원 ④ 설정'!$C$6:$C$40,MATCH($D947,'교육원 ④ 설정'!$B$6:$B$40,0)),""))</f>
        <v/>
      </c>
      <c r="G947" s="39"/>
      <c r="H947" s="39"/>
      <c r="I947" s="40"/>
      <c r="J947" s="41"/>
      <c r="K947" s="38"/>
      <c r="L947" s="42" t="str">
        <f aca="false">IF($B947="","",IF(AND(N($I947)=0,N($J947)=0),"금액이 없습니다",IF(AND($I947&gt;0,$J947&gt;0),"수입·지출 둘 다 적혔습니다",IF($C947="","결제수단을 고르십시오",IF(ISNA(MATCH($C947,'교육원 ③ 통장·카드'!$A$5:$A$11,0)),"③ 통장·카드에 없는 결제수단입니다",IF($D947="","계정과목을 고르십시오",IF($E947="※없는 과목","④ 설정에 없는 과목입니다",IF(AND($E947="수입",$J947&gt;0),"수입 과목인데 지출에 적혔습니다",IF(AND(LEFT($E947,2)&lt;&gt;"수입",$E947&lt;&gt;"대체",$I947&gt;0),"지출 과목인데 수입에 적혔습니다",IF($K947="","증빙을 고르십시오",IF($H947="","적요를 적으십시오","")))))))))))</f>
        <v/>
      </c>
      <c r="M947" s="39"/>
      <c r="O947" s="11" t="str">
        <f aca="false">IF($B947="","",YEAR($B947)*100+MONTH($B947))</f>
        <v/>
      </c>
      <c r="P947" s="11" t="str">
        <f aca="false">IF($B947="","",IF($E947="대체",0,1))</f>
        <v/>
      </c>
    </row>
    <row r="948" customFormat="false" ht="15" hidden="false" customHeight="false" outlineLevel="0" collapsed="false">
      <c r="A948" s="36" t="str">
        <f aca="false">IF($B948="","",COUNT($B$15:$B948))</f>
        <v/>
      </c>
      <c r="B948" s="37"/>
      <c r="C948" s="38"/>
      <c r="D948" s="20"/>
      <c r="E948" s="36" t="str">
        <f aca="false">IF($D948="","",IFERROR(INDEX('교육원 ④ 설정'!$A$6:$A$40,MATCH($D948,'교육원 ④ 설정'!$B$6:$B$40,0)),"※없는 과목"))</f>
        <v/>
      </c>
      <c r="F948" s="36" t="str">
        <f aca="false">IF($D948="","",IFERROR(INDEX('교육원 ④ 설정'!$C$6:$C$40,MATCH($D948,'교육원 ④ 설정'!$B$6:$B$40,0)),""))</f>
        <v/>
      </c>
      <c r="G948" s="39"/>
      <c r="H948" s="39"/>
      <c r="I948" s="40"/>
      <c r="J948" s="41"/>
      <c r="K948" s="38"/>
      <c r="L948" s="42" t="str">
        <f aca="false">IF($B948="","",IF(AND(N($I948)=0,N($J948)=0),"금액이 없습니다",IF(AND($I948&gt;0,$J948&gt;0),"수입·지출 둘 다 적혔습니다",IF($C948="","결제수단을 고르십시오",IF(ISNA(MATCH($C948,'교육원 ③ 통장·카드'!$A$5:$A$11,0)),"③ 통장·카드에 없는 결제수단입니다",IF($D948="","계정과목을 고르십시오",IF($E948="※없는 과목","④ 설정에 없는 과목입니다",IF(AND($E948="수입",$J948&gt;0),"수입 과목인데 지출에 적혔습니다",IF(AND(LEFT($E948,2)&lt;&gt;"수입",$E948&lt;&gt;"대체",$I948&gt;0),"지출 과목인데 수입에 적혔습니다",IF($K948="","증빙을 고르십시오",IF($H948="","적요를 적으십시오","")))))))))))</f>
        <v/>
      </c>
      <c r="M948" s="39"/>
      <c r="O948" s="11" t="str">
        <f aca="false">IF($B948="","",YEAR($B948)*100+MONTH($B948))</f>
        <v/>
      </c>
      <c r="P948" s="11" t="str">
        <f aca="false">IF($B948="","",IF($E948="대체",0,1))</f>
        <v/>
      </c>
    </row>
    <row r="949" customFormat="false" ht="15" hidden="false" customHeight="false" outlineLevel="0" collapsed="false">
      <c r="A949" s="36" t="str">
        <f aca="false">IF($B949="","",COUNT($B$15:$B949))</f>
        <v/>
      </c>
      <c r="B949" s="37"/>
      <c r="C949" s="38"/>
      <c r="D949" s="20"/>
      <c r="E949" s="36" t="str">
        <f aca="false">IF($D949="","",IFERROR(INDEX('교육원 ④ 설정'!$A$6:$A$40,MATCH($D949,'교육원 ④ 설정'!$B$6:$B$40,0)),"※없는 과목"))</f>
        <v/>
      </c>
      <c r="F949" s="36" t="str">
        <f aca="false">IF($D949="","",IFERROR(INDEX('교육원 ④ 설정'!$C$6:$C$40,MATCH($D949,'교육원 ④ 설정'!$B$6:$B$40,0)),""))</f>
        <v/>
      </c>
      <c r="G949" s="39"/>
      <c r="H949" s="39"/>
      <c r="I949" s="40"/>
      <c r="J949" s="41"/>
      <c r="K949" s="38"/>
      <c r="L949" s="42" t="str">
        <f aca="false">IF($B949="","",IF(AND(N($I949)=0,N($J949)=0),"금액이 없습니다",IF(AND($I949&gt;0,$J949&gt;0),"수입·지출 둘 다 적혔습니다",IF($C949="","결제수단을 고르십시오",IF(ISNA(MATCH($C949,'교육원 ③ 통장·카드'!$A$5:$A$11,0)),"③ 통장·카드에 없는 결제수단입니다",IF($D949="","계정과목을 고르십시오",IF($E949="※없는 과목","④ 설정에 없는 과목입니다",IF(AND($E949="수입",$J949&gt;0),"수입 과목인데 지출에 적혔습니다",IF(AND(LEFT($E949,2)&lt;&gt;"수입",$E949&lt;&gt;"대체",$I949&gt;0),"지출 과목인데 수입에 적혔습니다",IF($K949="","증빙을 고르십시오",IF($H949="","적요를 적으십시오","")))))))))))</f>
        <v/>
      </c>
      <c r="M949" s="39"/>
      <c r="O949" s="11" t="str">
        <f aca="false">IF($B949="","",YEAR($B949)*100+MONTH($B949))</f>
        <v/>
      </c>
      <c r="P949" s="11" t="str">
        <f aca="false">IF($B949="","",IF($E949="대체",0,1))</f>
        <v/>
      </c>
    </row>
    <row r="950" customFormat="false" ht="15" hidden="false" customHeight="false" outlineLevel="0" collapsed="false">
      <c r="A950" s="36" t="str">
        <f aca="false">IF($B950="","",COUNT($B$15:$B950))</f>
        <v/>
      </c>
      <c r="B950" s="37"/>
      <c r="C950" s="38"/>
      <c r="D950" s="20"/>
      <c r="E950" s="36" t="str">
        <f aca="false">IF($D950="","",IFERROR(INDEX('교육원 ④ 설정'!$A$6:$A$40,MATCH($D950,'교육원 ④ 설정'!$B$6:$B$40,0)),"※없는 과목"))</f>
        <v/>
      </c>
      <c r="F950" s="36" t="str">
        <f aca="false">IF($D950="","",IFERROR(INDEX('교육원 ④ 설정'!$C$6:$C$40,MATCH($D950,'교육원 ④ 설정'!$B$6:$B$40,0)),""))</f>
        <v/>
      </c>
      <c r="G950" s="39"/>
      <c r="H950" s="39"/>
      <c r="I950" s="40"/>
      <c r="J950" s="41"/>
      <c r="K950" s="38"/>
      <c r="L950" s="42" t="str">
        <f aca="false">IF($B950="","",IF(AND(N($I950)=0,N($J950)=0),"금액이 없습니다",IF(AND($I950&gt;0,$J950&gt;0),"수입·지출 둘 다 적혔습니다",IF($C950="","결제수단을 고르십시오",IF(ISNA(MATCH($C950,'교육원 ③ 통장·카드'!$A$5:$A$11,0)),"③ 통장·카드에 없는 결제수단입니다",IF($D950="","계정과목을 고르십시오",IF($E950="※없는 과목","④ 설정에 없는 과목입니다",IF(AND($E950="수입",$J950&gt;0),"수입 과목인데 지출에 적혔습니다",IF(AND(LEFT($E950,2)&lt;&gt;"수입",$E950&lt;&gt;"대체",$I950&gt;0),"지출 과목인데 수입에 적혔습니다",IF($K950="","증빙을 고르십시오",IF($H950="","적요를 적으십시오","")))))))))))</f>
        <v/>
      </c>
      <c r="M950" s="39"/>
      <c r="O950" s="11" t="str">
        <f aca="false">IF($B950="","",YEAR($B950)*100+MONTH($B950))</f>
        <v/>
      </c>
      <c r="P950" s="11" t="str">
        <f aca="false">IF($B950="","",IF($E950="대체",0,1))</f>
        <v/>
      </c>
    </row>
    <row r="951" customFormat="false" ht="15" hidden="false" customHeight="false" outlineLevel="0" collapsed="false">
      <c r="A951" s="36" t="str">
        <f aca="false">IF($B951="","",COUNT($B$15:$B951))</f>
        <v/>
      </c>
      <c r="B951" s="37"/>
      <c r="C951" s="38"/>
      <c r="D951" s="20"/>
      <c r="E951" s="36" t="str">
        <f aca="false">IF($D951="","",IFERROR(INDEX('교육원 ④ 설정'!$A$6:$A$40,MATCH($D951,'교육원 ④ 설정'!$B$6:$B$40,0)),"※없는 과목"))</f>
        <v/>
      </c>
      <c r="F951" s="36" t="str">
        <f aca="false">IF($D951="","",IFERROR(INDEX('교육원 ④ 설정'!$C$6:$C$40,MATCH($D951,'교육원 ④ 설정'!$B$6:$B$40,0)),""))</f>
        <v/>
      </c>
      <c r="G951" s="39"/>
      <c r="H951" s="39"/>
      <c r="I951" s="40"/>
      <c r="J951" s="41"/>
      <c r="K951" s="38"/>
      <c r="L951" s="42" t="str">
        <f aca="false">IF($B951="","",IF(AND(N($I951)=0,N($J951)=0),"금액이 없습니다",IF(AND($I951&gt;0,$J951&gt;0),"수입·지출 둘 다 적혔습니다",IF($C951="","결제수단을 고르십시오",IF(ISNA(MATCH($C951,'교육원 ③ 통장·카드'!$A$5:$A$11,0)),"③ 통장·카드에 없는 결제수단입니다",IF($D951="","계정과목을 고르십시오",IF($E951="※없는 과목","④ 설정에 없는 과목입니다",IF(AND($E951="수입",$J951&gt;0),"수입 과목인데 지출에 적혔습니다",IF(AND(LEFT($E951,2)&lt;&gt;"수입",$E951&lt;&gt;"대체",$I951&gt;0),"지출 과목인데 수입에 적혔습니다",IF($K951="","증빙을 고르십시오",IF($H951="","적요를 적으십시오","")))))))))))</f>
        <v/>
      </c>
      <c r="M951" s="39"/>
      <c r="O951" s="11" t="str">
        <f aca="false">IF($B951="","",YEAR($B951)*100+MONTH($B951))</f>
        <v/>
      </c>
      <c r="P951" s="11" t="str">
        <f aca="false">IF($B951="","",IF($E951="대체",0,1))</f>
        <v/>
      </c>
    </row>
    <row r="952" customFormat="false" ht="15" hidden="false" customHeight="false" outlineLevel="0" collapsed="false">
      <c r="A952" s="36" t="str">
        <f aca="false">IF($B952="","",COUNT($B$15:$B952))</f>
        <v/>
      </c>
      <c r="B952" s="37"/>
      <c r="C952" s="38"/>
      <c r="D952" s="20"/>
      <c r="E952" s="36" t="str">
        <f aca="false">IF($D952="","",IFERROR(INDEX('교육원 ④ 설정'!$A$6:$A$40,MATCH($D952,'교육원 ④ 설정'!$B$6:$B$40,0)),"※없는 과목"))</f>
        <v/>
      </c>
      <c r="F952" s="36" t="str">
        <f aca="false">IF($D952="","",IFERROR(INDEX('교육원 ④ 설정'!$C$6:$C$40,MATCH($D952,'교육원 ④ 설정'!$B$6:$B$40,0)),""))</f>
        <v/>
      </c>
      <c r="G952" s="39"/>
      <c r="H952" s="39"/>
      <c r="I952" s="40"/>
      <c r="J952" s="41"/>
      <c r="K952" s="38"/>
      <c r="L952" s="42" t="str">
        <f aca="false">IF($B952="","",IF(AND(N($I952)=0,N($J952)=0),"금액이 없습니다",IF(AND($I952&gt;0,$J952&gt;0),"수입·지출 둘 다 적혔습니다",IF($C952="","결제수단을 고르십시오",IF(ISNA(MATCH($C952,'교육원 ③ 통장·카드'!$A$5:$A$11,0)),"③ 통장·카드에 없는 결제수단입니다",IF($D952="","계정과목을 고르십시오",IF($E952="※없는 과목","④ 설정에 없는 과목입니다",IF(AND($E952="수입",$J952&gt;0),"수입 과목인데 지출에 적혔습니다",IF(AND(LEFT($E952,2)&lt;&gt;"수입",$E952&lt;&gt;"대체",$I952&gt;0),"지출 과목인데 수입에 적혔습니다",IF($K952="","증빙을 고르십시오",IF($H952="","적요를 적으십시오","")))))))))))</f>
        <v/>
      </c>
      <c r="M952" s="39"/>
      <c r="O952" s="11" t="str">
        <f aca="false">IF($B952="","",YEAR($B952)*100+MONTH($B952))</f>
        <v/>
      </c>
      <c r="P952" s="11" t="str">
        <f aca="false">IF($B952="","",IF($E952="대체",0,1))</f>
        <v/>
      </c>
    </row>
    <row r="953" customFormat="false" ht="15" hidden="false" customHeight="false" outlineLevel="0" collapsed="false">
      <c r="A953" s="36" t="str">
        <f aca="false">IF($B953="","",COUNT($B$15:$B953))</f>
        <v/>
      </c>
      <c r="B953" s="37"/>
      <c r="C953" s="38"/>
      <c r="D953" s="20"/>
      <c r="E953" s="36" t="str">
        <f aca="false">IF($D953="","",IFERROR(INDEX('교육원 ④ 설정'!$A$6:$A$40,MATCH($D953,'교육원 ④ 설정'!$B$6:$B$40,0)),"※없는 과목"))</f>
        <v/>
      </c>
      <c r="F953" s="36" t="str">
        <f aca="false">IF($D953="","",IFERROR(INDEX('교육원 ④ 설정'!$C$6:$C$40,MATCH($D953,'교육원 ④ 설정'!$B$6:$B$40,0)),""))</f>
        <v/>
      </c>
      <c r="G953" s="39"/>
      <c r="H953" s="39"/>
      <c r="I953" s="40"/>
      <c r="J953" s="41"/>
      <c r="K953" s="38"/>
      <c r="L953" s="42" t="str">
        <f aca="false">IF($B953="","",IF(AND(N($I953)=0,N($J953)=0),"금액이 없습니다",IF(AND($I953&gt;0,$J953&gt;0),"수입·지출 둘 다 적혔습니다",IF($C953="","결제수단을 고르십시오",IF(ISNA(MATCH($C953,'교육원 ③ 통장·카드'!$A$5:$A$11,0)),"③ 통장·카드에 없는 결제수단입니다",IF($D953="","계정과목을 고르십시오",IF($E953="※없는 과목","④ 설정에 없는 과목입니다",IF(AND($E953="수입",$J953&gt;0),"수입 과목인데 지출에 적혔습니다",IF(AND(LEFT($E953,2)&lt;&gt;"수입",$E953&lt;&gt;"대체",$I953&gt;0),"지출 과목인데 수입에 적혔습니다",IF($K953="","증빙을 고르십시오",IF($H953="","적요를 적으십시오","")))))))))))</f>
        <v/>
      </c>
      <c r="M953" s="39"/>
      <c r="O953" s="11" t="str">
        <f aca="false">IF($B953="","",YEAR($B953)*100+MONTH($B953))</f>
        <v/>
      </c>
      <c r="P953" s="11" t="str">
        <f aca="false">IF($B953="","",IF($E953="대체",0,1))</f>
        <v/>
      </c>
    </row>
    <row r="954" customFormat="false" ht="15" hidden="false" customHeight="false" outlineLevel="0" collapsed="false">
      <c r="A954" s="36" t="str">
        <f aca="false">IF($B954="","",COUNT($B$15:$B954))</f>
        <v/>
      </c>
      <c r="B954" s="37"/>
      <c r="C954" s="38"/>
      <c r="D954" s="20"/>
      <c r="E954" s="36" t="str">
        <f aca="false">IF($D954="","",IFERROR(INDEX('교육원 ④ 설정'!$A$6:$A$40,MATCH($D954,'교육원 ④ 설정'!$B$6:$B$40,0)),"※없는 과목"))</f>
        <v/>
      </c>
      <c r="F954" s="36" t="str">
        <f aca="false">IF($D954="","",IFERROR(INDEX('교육원 ④ 설정'!$C$6:$C$40,MATCH($D954,'교육원 ④ 설정'!$B$6:$B$40,0)),""))</f>
        <v/>
      </c>
      <c r="G954" s="39"/>
      <c r="H954" s="39"/>
      <c r="I954" s="40"/>
      <c r="J954" s="41"/>
      <c r="K954" s="38"/>
      <c r="L954" s="42" t="str">
        <f aca="false">IF($B954="","",IF(AND(N($I954)=0,N($J954)=0),"금액이 없습니다",IF(AND($I954&gt;0,$J954&gt;0),"수입·지출 둘 다 적혔습니다",IF($C954="","결제수단을 고르십시오",IF(ISNA(MATCH($C954,'교육원 ③ 통장·카드'!$A$5:$A$11,0)),"③ 통장·카드에 없는 결제수단입니다",IF($D954="","계정과목을 고르십시오",IF($E954="※없는 과목","④ 설정에 없는 과목입니다",IF(AND($E954="수입",$J954&gt;0),"수입 과목인데 지출에 적혔습니다",IF(AND(LEFT($E954,2)&lt;&gt;"수입",$E954&lt;&gt;"대체",$I954&gt;0),"지출 과목인데 수입에 적혔습니다",IF($K954="","증빙을 고르십시오",IF($H954="","적요를 적으십시오","")))))))))))</f>
        <v/>
      </c>
      <c r="M954" s="39"/>
      <c r="O954" s="11" t="str">
        <f aca="false">IF($B954="","",YEAR($B954)*100+MONTH($B954))</f>
        <v/>
      </c>
      <c r="P954" s="11" t="str">
        <f aca="false">IF($B954="","",IF($E954="대체",0,1))</f>
        <v/>
      </c>
    </row>
    <row r="955" customFormat="false" ht="15" hidden="false" customHeight="false" outlineLevel="0" collapsed="false">
      <c r="A955" s="36" t="str">
        <f aca="false">IF($B955="","",COUNT($B$15:$B955))</f>
        <v/>
      </c>
      <c r="B955" s="37"/>
      <c r="C955" s="38"/>
      <c r="D955" s="20"/>
      <c r="E955" s="36" t="str">
        <f aca="false">IF($D955="","",IFERROR(INDEX('교육원 ④ 설정'!$A$6:$A$40,MATCH($D955,'교육원 ④ 설정'!$B$6:$B$40,0)),"※없는 과목"))</f>
        <v/>
      </c>
      <c r="F955" s="36" t="str">
        <f aca="false">IF($D955="","",IFERROR(INDEX('교육원 ④ 설정'!$C$6:$C$40,MATCH($D955,'교육원 ④ 설정'!$B$6:$B$40,0)),""))</f>
        <v/>
      </c>
      <c r="G955" s="39"/>
      <c r="H955" s="39"/>
      <c r="I955" s="40"/>
      <c r="J955" s="41"/>
      <c r="K955" s="38"/>
      <c r="L955" s="42" t="str">
        <f aca="false">IF($B955="","",IF(AND(N($I955)=0,N($J955)=0),"금액이 없습니다",IF(AND($I955&gt;0,$J955&gt;0),"수입·지출 둘 다 적혔습니다",IF($C955="","결제수단을 고르십시오",IF(ISNA(MATCH($C955,'교육원 ③ 통장·카드'!$A$5:$A$11,0)),"③ 통장·카드에 없는 결제수단입니다",IF($D955="","계정과목을 고르십시오",IF($E955="※없는 과목","④ 설정에 없는 과목입니다",IF(AND($E955="수입",$J955&gt;0),"수입 과목인데 지출에 적혔습니다",IF(AND(LEFT($E955,2)&lt;&gt;"수입",$E955&lt;&gt;"대체",$I955&gt;0),"지출 과목인데 수입에 적혔습니다",IF($K955="","증빙을 고르십시오",IF($H955="","적요를 적으십시오","")))))))))))</f>
        <v/>
      </c>
      <c r="M955" s="39"/>
      <c r="O955" s="11" t="str">
        <f aca="false">IF($B955="","",YEAR($B955)*100+MONTH($B955))</f>
        <v/>
      </c>
      <c r="P955" s="11" t="str">
        <f aca="false">IF($B955="","",IF($E955="대체",0,1))</f>
        <v/>
      </c>
    </row>
    <row r="956" customFormat="false" ht="15" hidden="false" customHeight="false" outlineLevel="0" collapsed="false">
      <c r="A956" s="36" t="str">
        <f aca="false">IF($B956="","",COUNT($B$15:$B956))</f>
        <v/>
      </c>
      <c r="B956" s="37"/>
      <c r="C956" s="38"/>
      <c r="D956" s="20"/>
      <c r="E956" s="36" t="str">
        <f aca="false">IF($D956="","",IFERROR(INDEX('교육원 ④ 설정'!$A$6:$A$40,MATCH($D956,'교육원 ④ 설정'!$B$6:$B$40,0)),"※없는 과목"))</f>
        <v/>
      </c>
      <c r="F956" s="36" t="str">
        <f aca="false">IF($D956="","",IFERROR(INDEX('교육원 ④ 설정'!$C$6:$C$40,MATCH($D956,'교육원 ④ 설정'!$B$6:$B$40,0)),""))</f>
        <v/>
      </c>
      <c r="G956" s="39"/>
      <c r="H956" s="39"/>
      <c r="I956" s="40"/>
      <c r="J956" s="41"/>
      <c r="K956" s="38"/>
      <c r="L956" s="42" t="str">
        <f aca="false">IF($B956="","",IF(AND(N($I956)=0,N($J956)=0),"금액이 없습니다",IF(AND($I956&gt;0,$J956&gt;0),"수입·지출 둘 다 적혔습니다",IF($C956="","결제수단을 고르십시오",IF(ISNA(MATCH($C956,'교육원 ③ 통장·카드'!$A$5:$A$11,0)),"③ 통장·카드에 없는 결제수단입니다",IF($D956="","계정과목을 고르십시오",IF($E956="※없는 과목","④ 설정에 없는 과목입니다",IF(AND($E956="수입",$J956&gt;0),"수입 과목인데 지출에 적혔습니다",IF(AND(LEFT($E956,2)&lt;&gt;"수입",$E956&lt;&gt;"대체",$I956&gt;0),"지출 과목인데 수입에 적혔습니다",IF($K956="","증빙을 고르십시오",IF($H956="","적요를 적으십시오","")))))))))))</f>
        <v/>
      </c>
      <c r="M956" s="39"/>
      <c r="O956" s="11" t="str">
        <f aca="false">IF($B956="","",YEAR($B956)*100+MONTH($B956))</f>
        <v/>
      </c>
      <c r="P956" s="11" t="str">
        <f aca="false">IF($B956="","",IF($E956="대체",0,1))</f>
        <v/>
      </c>
    </row>
    <row r="957" customFormat="false" ht="15" hidden="false" customHeight="false" outlineLevel="0" collapsed="false">
      <c r="A957" s="36" t="str">
        <f aca="false">IF($B957="","",COUNT($B$15:$B957))</f>
        <v/>
      </c>
      <c r="B957" s="37"/>
      <c r="C957" s="38"/>
      <c r="D957" s="20"/>
      <c r="E957" s="36" t="str">
        <f aca="false">IF($D957="","",IFERROR(INDEX('교육원 ④ 설정'!$A$6:$A$40,MATCH($D957,'교육원 ④ 설정'!$B$6:$B$40,0)),"※없는 과목"))</f>
        <v/>
      </c>
      <c r="F957" s="36" t="str">
        <f aca="false">IF($D957="","",IFERROR(INDEX('교육원 ④ 설정'!$C$6:$C$40,MATCH($D957,'교육원 ④ 설정'!$B$6:$B$40,0)),""))</f>
        <v/>
      </c>
      <c r="G957" s="39"/>
      <c r="H957" s="39"/>
      <c r="I957" s="40"/>
      <c r="J957" s="41"/>
      <c r="K957" s="38"/>
      <c r="L957" s="42" t="str">
        <f aca="false">IF($B957="","",IF(AND(N($I957)=0,N($J957)=0),"금액이 없습니다",IF(AND($I957&gt;0,$J957&gt;0),"수입·지출 둘 다 적혔습니다",IF($C957="","결제수단을 고르십시오",IF(ISNA(MATCH($C957,'교육원 ③ 통장·카드'!$A$5:$A$11,0)),"③ 통장·카드에 없는 결제수단입니다",IF($D957="","계정과목을 고르십시오",IF($E957="※없는 과목","④ 설정에 없는 과목입니다",IF(AND($E957="수입",$J957&gt;0),"수입 과목인데 지출에 적혔습니다",IF(AND(LEFT($E957,2)&lt;&gt;"수입",$E957&lt;&gt;"대체",$I957&gt;0),"지출 과목인데 수입에 적혔습니다",IF($K957="","증빙을 고르십시오",IF($H957="","적요를 적으십시오","")))))))))))</f>
        <v/>
      </c>
      <c r="M957" s="39"/>
      <c r="O957" s="11" t="str">
        <f aca="false">IF($B957="","",YEAR($B957)*100+MONTH($B957))</f>
        <v/>
      </c>
      <c r="P957" s="11" t="str">
        <f aca="false">IF($B957="","",IF($E957="대체",0,1))</f>
        <v/>
      </c>
    </row>
    <row r="958" customFormat="false" ht="15" hidden="false" customHeight="false" outlineLevel="0" collapsed="false">
      <c r="A958" s="36" t="str">
        <f aca="false">IF($B958="","",COUNT($B$15:$B958))</f>
        <v/>
      </c>
      <c r="B958" s="37"/>
      <c r="C958" s="38"/>
      <c r="D958" s="20"/>
      <c r="E958" s="36" t="str">
        <f aca="false">IF($D958="","",IFERROR(INDEX('교육원 ④ 설정'!$A$6:$A$40,MATCH($D958,'교육원 ④ 설정'!$B$6:$B$40,0)),"※없는 과목"))</f>
        <v/>
      </c>
      <c r="F958" s="36" t="str">
        <f aca="false">IF($D958="","",IFERROR(INDEX('교육원 ④ 설정'!$C$6:$C$40,MATCH($D958,'교육원 ④ 설정'!$B$6:$B$40,0)),""))</f>
        <v/>
      </c>
      <c r="G958" s="39"/>
      <c r="H958" s="39"/>
      <c r="I958" s="40"/>
      <c r="J958" s="41"/>
      <c r="K958" s="38"/>
      <c r="L958" s="42" t="str">
        <f aca="false">IF($B958="","",IF(AND(N($I958)=0,N($J958)=0),"금액이 없습니다",IF(AND($I958&gt;0,$J958&gt;0),"수입·지출 둘 다 적혔습니다",IF($C958="","결제수단을 고르십시오",IF(ISNA(MATCH($C958,'교육원 ③ 통장·카드'!$A$5:$A$11,0)),"③ 통장·카드에 없는 결제수단입니다",IF($D958="","계정과목을 고르십시오",IF($E958="※없는 과목","④ 설정에 없는 과목입니다",IF(AND($E958="수입",$J958&gt;0),"수입 과목인데 지출에 적혔습니다",IF(AND(LEFT($E958,2)&lt;&gt;"수입",$E958&lt;&gt;"대체",$I958&gt;0),"지출 과목인데 수입에 적혔습니다",IF($K958="","증빙을 고르십시오",IF($H958="","적요를 적으십시오","")))))))))))</f>
        <v/>
      </c>
      <c r="M958" s="39"/>
      <c r="O958" s="11" t="str">
        <f aca="false">IF($B958="","",YEAR($B958)*100+MONTH($B958))</f>
        <v/>
      </c>
      <c r="P958" s="11" t="str">
        <f aca="false">IF($B958="","",IF($E958="대체",0,1))</f>
        <v/>
      </c>
    </row>
    <row r="959" customFormat="false" ht="15" hidden="false" customHeight="false" outlineLevel="0" collapsed="false">
      <c r="A959" s="36" t="str">
        <f aca="false">IF($B959="","",COUNT($B$15:$B959))</f>
        <v/>
      </c>
      <c r="B959" s="37"/>
      <c r="C959" s="38"/>
      <c r="D959" s="20"/>
      <c r="E959" s="36" t="str">
        <f aca="false">IF($D959="","",IFERROR(INDEX('교육원 ④ 설정'!$A$6:$A$40,MATCH($D959,'교육원 ④ 설정'!$B$6:$B$40,0)),"※없는 과목"))</f>
        <v/>
      </c>
      <c r="F959" s="36" t="str">
        <f aca="false">IF($D959="","",IFERROR(INDEX('교육원 ④ 설정'!$C$6:$C$40,MATCH($D959,'교육원 ④ 설정'!$B$6:$B$40,0)),""))</f>
        <v/>
      </c>
      <c r="G959" s="39"/>
      <c r="H959" s="39"/>
      <c r="I959" s="40"/>
      <c r="J959" s="41"/>
      <c r="K959" s="38"/>
      <c r="L959" s="42" t="str">
        <f aca="false">IF($B959="","",IF(AND(N($I959)=0,N($J959)=0),"금액이 없습니다",IF(AND($I959&gt;0,$J959&gt;0),"수입·지출 둘 다 적혔습니다",IF($C959="","결제수단을 고르십시오",IF(ISNA(MATCH($C959,'교육원 ③ 통장·카드'!$A$5:$A$11,0)),"③ 통장·카드에 없는 결제수단입니다",IF($D959="","계정과목을 고르십시오",IF($E959="※없는 과목","④ 설정에 없는 과목입니다",IF(AND($E959="수입",$J959&gt;0),"수입 과목인데 지출에 적혔습니다",IF(AND(LEFT($E959,2)&lt;&gt;"수입",$E959&lt;&gt;"대체",$I959&gt;0),"지출 과목인데 수입에 적혔습니다",IF($K959="","증빙을 고르십시오",IF($H959="","적요를 적으십시오","")))))))))))</f>
        <v/>
      </c>
      <c r="M959" s="39"/>
      <c r="O959" s="11" t="str">
        <f aca="false">IF($B959="","",YEAR($B959)*100+MONTH($B959))</f>
        <v/>
      </c>
      <c r="P959" s="11" t="str">
        <f aca="false">IF($B959="","",IF($E959="대체",0,1))</f>
        <v/>
      </c>
    </row>
    <row r="960" customFormat="false" ht="15" hidden="false" customHeight="false" outlineLevel="0" collapsed="false">
      <c r="A960" s="36" t="str">
        <f aca="false">IF($B960="","",COUNT($B$15:$B960))</f>
        <v/>
      </c>
      <c r="B960" s="37"/>
      <c r="C960" s="38"/>
      <c r="D960" s="20"/>
      <c r="E960" s="36" t="str">
        <f aca="false">IF($D960="","",IFERROR(INDEX('교육원 ④ 설정'!$A$6:$A$40,MATCH($D960,'교육원 ④ 설정'!$B$6:$B$40,0)),"※없는 과목"))</f>
        <v/>
      </c>
      <c r="F960" s="36" t="str">
        <f aca="false">IF($D960="","",IFERROR(INDEX('교육원 ④ 설정'!$C$6:$C$40,MATCH($D960,'교육원 ④ 설정'!$B$6:$B$40,0)),""))</f>
        <v/>
      </c>
      <c r="G960" s="39"/>
      <c r="H960" s="39"/>
      <c r="I960" s="40"/>
      <c r="J960" s="41"/>
      <c r="K960" s="38"/>
      <c r="L960" s="42" t="str">
        <f aca="false">IF($B960="","",IF(AND(N($I960)=0,N($J960)=0),"금액이 없습니다",IF(AND($I960&gt;0,$J960&gt;0),"수입·지출 둘 다 적혔습니다",IF($C960="","결제수단을 고르십시오",IF(ISNA(MATCH($C960,'교육원 ③ 통장·카드'!$A$5:$A$11,0)),"③ 통장·카드에 없는 결제수단입니다",IF($D960="","계정과목을 고르십시오",IF($E960="※없는 과목","④ 설정에 없는 과목입니다",IF(AND($E960="수입",$J960&gt;0),"수입 과목인데 지출에 적혔습니다",IF(AND(LEFT($E960,2)&lt;&gt;"수입",$E960&lt;&gt;"대체",$I960&gt;0),"지출 과목인데 수입에 적혔습니다",IF($K960="","증빙을 고르십시오",IF($H960="","적요를 적으십시오","")))))))))))</f>
        <v/>
      </c>
      <c r="M960" s="39"/>
      <c r="O960" s="11" t="str">
        <f aca="false">IF($B960="","",YEAR($B960)*100+MONTH($B960))</f>
        <v/>
      </c>
      <c r="P960" s="11" t="str">
        <f aca="false">IF($B960="","",IF($E960="대체",0,1))</f>
        <v/>
      </c>
    </row>
    <row r="961" customFormat="false" ht="15" hidden="false" customHeight="false" outlineLevel="0" collapsed="false">
      <c r="A961" s="36" t="str">
        <f aca="false">IF($B961="","",COUNT($B$15:$B961))</f>
        <v/>
      </c>
      <c r="B961" s="37"/>
      <c r="C961" s="38"/>
      <c r="D961" s="20"/>
      <c r="E961" s="36" t="str">
        <f aca="false">IF($D961="","",IFERROR(INDEX('교육원 ④ 설정'!$A$6:$A$40,MATCH($D961,'교육원 ④ 설정'!$B$6:$B$40,0)),"※없는 과목"))</f>
        <v/>
      </c>
      <c r="F961" s="36" t="str">
        <f aca="false">IF($D961="","",IFERROR(INDEX('교육원 ④ 설정'!$C$6:$C$40,MATCH($D961,'교육원 ④ 설정'!$B$6:$B$40,0)),""))</f>
        <v/>
      </c>
      <c r="G961" s="39"/>
      <c r="H961" s="39"/>
      <c r="I961" s="40"/>
      <c r="J961" s="41"/>
      <c r="K961" s="38"/>
      <c r="L961" s="42" t="str">
        <f aca="false">IF($B961="","",IF(AND(N($I961)=0,N($J961)=0),"금액이 없습니다",IF(AND($I961&gt;0,$J961&gt;0),"수입·지출 둘 다 적혔습니다",IF($C961="","결제수단을 고르십시오",IF(ISNA(MATCH($C961,'교육원 ③ 통장·카드'!$A$5:$A$11,0)),"③ 통장·카드에 없는 결제수단입니다",IF($D961="","계정과목을 고르십시오",IF($E961="※없는 과목","④ 설정에 없는 과목입니다",IF(AND($E961="수입",$J961&gt;0),"수입 과목인데 지출에 적혔습니다",IF(AND(LEFT($E961,2)&lt;&gt;"수입",$E961&lt;&gt;"대체",$I961&gt;0),"지출 과목인데 수입에 적혔습니다",IF($K961="","증빙을 고르십시오",IF($H961="","적요를 적으십시오","")))))))))))</f>
        <v/>
      </c>
      <c r="M961" s="39"/>
      <c r="O961" s="11" t="str">
        <f aca="false">IF($B961="","",YEAR($B961)*100+MONTH($B961))</f>
        <v/>
      </c>
      <c r="P961" s="11" t="str">
        <f aca="false">IF($B961="","",IF($E961="대체",0,1))</f>
        <v/>
      </c>
    </row>
    <row r="962" customFormat="false" ht="15" hidden="false" customHeight="false" outlineLevel="0" collapsed="false">
      <c r="A962" s="36" t="str">
        <f aca="false">IF($B962="","",COUNT($B$15:$B962))</f>
        <v/>
      </c>
      <c r="B962" s="37"/>
      <c r="C962" s="38"/>
      <c r="D962" s="20"/>
      <c r="E962" s="36" t="str">
        <f aca="false">IF($D962="","",IFERROR(INDEX('교육원 ④ 설정'!$A$6:$A$40,MATCH($D962,'교육원 ④ 설정'!$B$6:$B$40,0)),"※없는 과목"))</f>
        <v/>
      </c>
      <c r="F962" s="36" t="str">
        <f aca="false">IF($D962="","",IFERROR(INDEX('교육원 ④ 설정'!$C$6:$C$40,MATCH($D962,'교육원 ④ 설정'!$B$6:$B$40,0)),""))</f>
        <v/>
      </c>
      <c r="G962" s="39"/>
      <c r="H962" s="39"/>
      <c r="I962" s="40"/>
      <c r="J962" s="41"/>
      <c r="K962" s="38"/>
      <c r="L962" s="42" t="str">
        <f aca="false">IF($B962="","",IF(AND(N($I962)=0,N($J962)=0),"금액이 없습니다",IF(AND($I962&gt;0,$J962&gt;0),"수입·지출 둘 다 적혔습니다",IF($C962="","결제수단을 고르십시오",IF(ISNA(MATCH($C962,'교육원 ③ 통장·카드'!$A$5:$A$11,0)),"③ 통장·카드에 없는 결제수단입니다",IF($D962="","계정과목을 고르십시오",IF($E962="※없는 과목","④ 설정에 없는 과목입니다",IF(AND($E962="수입",$J962&gt;0),"수입 과목인데 지출에 적혔습니다",IF(AND(LEFT($E962,2)&lt;&gt;"수입",$E962&lt;&gt;"대체",$I962&gt;0),"지출 과목인데 수입에 적혔습니다",IF($K962="","증빙을 고르십시오",IF($H962="","적요를 적으십시오","")))))))))))</f>
        <v/>
      </c>
      <c r="M962" s="39"/>
      <c r="O962" s="11" t="str">
        <f aca="false">IF($B962="","",YEAR($B962)*100+MONTH($B962))</f>
        <v/>
      </c>
      <c r="P962" s="11" t="str">
        <f aca="false">IF($B962="","",IF($E962="대체",0,1))</f>
        <v/>
      </c>
    </row>
    <row r="963" customFormat="false" ht="15" hidden="false" customHeight="false" outlineLevel="0" collapsed="false">
      <c r="A963" s="36" t="str">
        <f aca="false">IF($B963="","",COUNT($B$15:$B963))</f>
        <v/>
      </c>
      <c r="B963" s="37"/>
      <c r="C963" s="38"/>
      <c r="D963" s="20"/>
      <c r="E963" s="36" t="str">
        <f aca="false">IF($D963="","",IFERROR(INDEX('교육원 ④ 설정'!$A$6:$A$40,MATCH($D963,'교육원 ④ 설정'!$B$6:$B$40,0)),"※없는 과목"))</f>
        <v/>
      </c>
      <c r="F963" s="36" t="str">
        <f aca="false">IF($D963="","",IFERROR(INDEX('교육원 ④ 설정'!$C$6:$C$40,MATCH($D963,'교육원 ④ 설정'!$B$6:$B$40,0)),""))</f>
        <v/>
      </c>
      <c r="G963" s="39"/>
      <c r="H963" s="39"/>
      <c r="I963" s="40"/>
      <c r="J963" s="41"/>
      <c r="K963" s="38"/>
      <c r="L963" s="42" t="str">
        <f aca="false">IF($B963="","",IF(AND(N($I963)=0,N($J963)=0),"금액이 없습니다",IF(AND($I963&gt;0,$J963&gt;0),"수입·지출 둘 다 적혔습니다",IF($C963="","결제수단을 고르십시오",IF(ISNA(MATCH($C963,'교육원 ③ 통장·카드'!$A$5:$A$11,0)),"③ 통장·카드에 없는 결제수단입니다",IF($D963="","계정과목을 고르십시오",IF($E963="※없는 과목","④ 설정에 없는 과목입니다",IF(AND($E963="수입",$J963&gt;0),"수입 과목인데 지출에 적혔습니다",IF(AND(LEFT($E963,2)&lt;&gt;"수입",$E963&lt;&gt;"대체",$I963&gt;0),"지출 과목인데 수입에 적혔습니다",IF($K963="","증빙을 고르십시오",IF($H963="","적요를 적으십시오","")))))))))))</f>
        <v/>
      </c>
      <c r="M963" s="39"/>
      <c r="O963" s="11" t="str">
        <f aca="false">IF($B963="","",YEAR($B963)*100+MONTH($B963))</f>
        <v/>
      </c>
      <c r="P963" s="11" t="str">
        <f aca="false">IF($B963="","",IF($E963="대체",0,1))</f>
        <v/>
      </c>
    </row>
    <row r="964" customFormat="false" ht="15" hidden="false" customHeight="false" outlineLevel="0" collapsed="false">
      <c r="A964" s="36" t="str">
        <f aca="false">IF($B964="","",COUNT($B$15:$B964))</f>
        <v/>
      </c>
      <c r="B964" s="37"/>
      <c r="C964" s="38"/>
      <c r="D964" s="20"/>
      <c r="E964" s="36" t="str">
        <f aca="false">IF($D964="","",IFERROR(INDEX('교육원 ④ 설정'!$A$6:$A$40,MATCH($D964,'교육원 ④ 설정'!$B$6:$B$40,0)),"※없는 과목"))</f>
        <v/>
      </c>
      <c r="F964" s="36" t="str">
        <f aca="false">IF($D964="","",IFERROR(INDEX('교육원 ④ 설정'!$C$6:$C$40,MATCH($D964,'교육원 ④ 설정'!$B$6:$B$40,0)),""))</f>
        <v/>
      </c>
      <c r="G964" s="39"/>
      <c r="H964" s="39"/>
      <c r="I964" s="40"/>
      <c r="J964" s="41"/>
      <c r="K964" s="38"/>
      <c r="L964" s="42" t="str">
        <f aca="false">IF($B964="","",IF(AND(N($I964)=0,N($J964)=0),"금액이 없습니다",IF(AND($I964&gt;0,$J964&gt;0),"수입·지출 둘 다 적혔습니다",IF($C964="","결제수단을 고르십시오",IF(ISNA(MATCH($C964,'교육원 ③ 통장·카드'!$A$5:$A$11,0)),"③ 통장·카드에 없는 결제수단입니다",IF($D964="","계정과목을 고르십시오",IF($E964="※없는 과목","④ 설정에 없는 과목입니다",IF(AND($E964="수입",$J964&gt;0),"수입 과목인데 지출에 적혔습니다",IF(AND(LEFT($E964,2)&lt;&gt;"수입",$E964&lt;&gt;"대체",$I964&gt;0),"지출 과목인데 수입에 적혔습니다",IF($K964="","증빙을 고르십시오",IF($H964="","적요를 적으십시오","")))))))))))</f>
        <v/>
      </c>
      <c r="M964" s="39"/>
      <c r="O964" s="11" t="str">
        <f aca="false">IF($B964="","",YEAR($B964)*100+MONTH($B964))</f>
        <v/>
      </c>
      <c r="P964" s="11" t="str">
        <f aca="false">IF($B964="","",IF($E964="대체",0,1))</f>
        <v/>
      </c>
    </row>
    <row r="965" customFormat="false" ht="15" hidden="false" customHeight="false" outlineLevel="0" collapsed="false">
      <c r="A965" s="36" t="str">
        <f aca="false">IF($B965="","",COUNT($B$15:$B965))</f>
        <v/>
      </c>
      <c r="B965" s="37"/>
      <c r="C965" s="38"/>
      <c r="D965" s="20"/>
      <c r="E965" s="36" t="str">
        <f aca="false">IF($D965="","",IFERROR(INDEX('교육원 ④ 설정'!$A$6:$A$40,MATCH($D965,'교육원 ④ 설정'!$B$6:$B$40,0)),"※없는 과목"))</f>
        <v/>
      </c>
      <c r="F965" s="36" t="str">
        <f aca="false">IF($D965="","",IFERROR(INDEX('교육원 ④ 설정'!$C$6:$C$40,MATCH($D965,'교육원 ④ 설정'!$B$6:$B$40,0)),""))</f>
        <v/>
      </c>
      <c r="G965" s="39"/>
      <c r="H965" s="39"/>
      <c r="I965" s="40"/>
      <c r="J965" s="41"/>
      <c r="K965" s="38"/>
      <c r="L965" s="42" t="str">
        <f aca="false">IF($B965="","",IF(AND(N($I965)=0,N($J965)=0),"금액이 없습니다",IF(AND($I965&gt;0,$J965&gt;0),"수입·지출 둘 다 적혔습니다",IF($C965="","결제수단을 고르십시오",IF(ISNA(MATCH($C965,'교육원 ③ 통장·카드'!$A$5:$A$11,0)),"③ 통장·카드에 없는 결제수단입니다",IF($D965="","계정과목을 고르십시오",IF($E965="※없는 과목","④ 설정에 없는 과목입니다",IF(AND($E965="수입",$J965&gt;0),"수입 과목인데 지출에 적혔습니다",IF(AND(LEFT($E965,2)&lt;&gt;"수입",$E965&lt;&gt;"대체",$I965&gt;0),"지출 과목인데 수입에 적혔습니다",IF($K965="","증빙을 고르십시오",IF($H965="","적요를 적으십시오","")))))))))))</f>
        <v/>
      </c>
      <c r="M965" s="39"/>
      <c r="O965" s="11" t="str">
        <f aca="false">IF($B965="","",YEAR($B965)*100+MONTH($B965))</f>
        <v/>
      </c>
      <c r="P965" s="11" t="str">
        <f aca="false">IF($B965="","",IF($E965="대체",0,1))</f>
        <v/>
      </c>
    </row>
    <row r="966" customFormat="false" ht="15" hidden="false" customHeight="false" outlineLevel="0" collapsed="false">
      <c r="A966" s="36" t="str">
        <f aca="false">IF($B966="","",COUNT($B$15:$B966))</f>
        <v/>
      </c>
      <c r="B966" s="37"/>
      <c r="C966" s="38"/>
      <c r="D966" s="20"/>
      <c r="E966" s="36" t="str">
        <f aca="false">IF($D966="","",IFERROR(INDEX('교육원 ④ 설정'!$A$6:$A$40,MATCH($D966,'교육원 ④ 설정'!$B$6:$B$40,0)),"※없는 과목"))</f>
        <v/>
      </c>
      <c r="F966" s="36" t="str">
        <f aca="false">IF($D966="","",IFERROR(INDEX('교육원 ④ 설정'!$C$6:$C$40,MATCH($D966,'교육원 ④ 설정'!$B$6:$B$40,0)),""))</f>
        <v/>
      </c>
      <c r="G966" s="39"/>
      <c r="H966" s="39"/>
      <c r="I966" s="40"/>
      <c r="J966" s="41"/>
      <c r="K966" s="38"/>
      <c r="L966" s="42" t="str">
        <f aca="false">IF($B966="","",IF(AND(N($I966)=0,N($J966)=0),"금액이 없습니다",IF(AND($I966&gt;0,$J966&gt;0),"수입·지출 둘 다 적혔습니다",IF($C966="","결제수단을 고르십시오",IF(ISNA(MATCH($C966,'교육원 ③ 통장·카드'!$A$5:$A$11,0)),"③ 통장·카드에 없는 결제수단입니다",IF($D966="","계정과목을 고르십시오",IF($E966="※없는 과목","④ 설정에 없는 과목입니다",IF(AND($E966="수입",$J966&gt;0),"수입 과목인데 지출에 적혔습니다",IF(AND(LEFT($E966,2)&lt;&gt;"수입",$E966&lt;&gt;"대체",$I966&gt;0),"지출 과목인데 수입에 적혔습니다",IF($K966="","증빙을 고르십시오",IF($H966="","적요를 적으십시오","")))))))))))</f>
        <v/>
      </c>
      <c r="M966" s="39"/>
      <c r="O966" s="11" t="str">
        <f aca="false">IF($B966="","",YEAR($B966)*100+MONTH($B966))</f>
        <v/>
      </c>
      <c r="P966" s="11" t="str">
        <f aca="false">IF($B966="","",IF($E966="대체",0,1))</f>
        <v/>
      </c>
    </row>
    <row r="967" customFormat="false" ht="15" hidden="false" customHeight="false" outlineLevel="0" collapsed="false">
      <c r="A967" s="36" t="str">
        <f aca="false">IF($B967="","",COUNT($B$15:$B967))</f>
        <v/>
      </c>
      <c r="B967" s="37"/>
      <c r="C967" s="38"/>
      <c r="D967" s="20"/>
      <c r="E967" s="36" t="str">
        <f aca="false">IF($D967="","",IFERROR(INDEX('교육원 ④ 설정'!$A$6:$A$40,MATCH($D967,'교육원 ④ 설정'!$B$6:$B$40,0)),"※없는 과목"))</f>
        <v/>
      </c>
      <c r="F967" s="36" t="str">
        <f aca="false">IF($D967="","",IFERROR(INDEX('교육원 ④ 설정'!$C$6:$C$40,MATCH($D967,'교육원 ④ 설정'!$B$6:$B$40,0)),""))</f>
        <v/>
      </c>
      <c r="G967" s="39"/>
      <c r="H967" s="39"/>
      <c r="I967" s="40"/>
      <c r="J967" s="41"/>
      <c r="K967" s="38"/>
      <c r="L967" s="42" t="str">
        <f aca="false">IF($B967="","",IF(AND(N($I967)=0,N($J967)=0),"금액이 없습니다",IF(AND($I967&gt;0,$J967&gt;0),"수입·지출 둘 다 적혔습니다",IF($C967="","결제수단을 고르십시오",IF(ISNA(MATCH($C967,'교육원 ③ 통장·카드'!$A$5:$A$11,0)),"③ 통장·카드에 없는 결제수단입니다",IF($D967="","계정과목을 고르십시오",IF($E967="※없는 과목","④ 설정에 없는 과목입니다",IF(AND($E967="수입",$J967&gt;0),"수입 과목인데 지출에 적혔습니다",IF(AND(LEFT($E967,2)&lt;&gt;"수입",$E967&lt;&gt;"대체",$I967&gt;0),"지출 과목인데 수입에 적혔습니다",IF($K967="","증빙을 고르십시오",IF($H967="","적요를 적으십시오","")))))))))))</f>
        <v/>
      </c>
      <c r="M967" s="39"/>
      <c r="O967" s="11" t="str">
        <f aca="false">IF($B967="","",YEAR($B967)*100+MONTH($B967))</f>
        <v/>
      </c>
      <c r="P967" s="11" t="str">
        <f aca="false">IF($B967="","",IF($E967="대체",0,1))</f>
        <v/>
      </c>
    </row>
    <row r="968" customFormat="false" ht="15" hidden="false" customHeight="false" outlineLevel="0" collapsed="false">
      <c r="A968" s="36" t="str">
        <f aca="false">IF($B968="","",COUNT($B$15:$B968))</f>
        <v/>
      </c>
      <c r="B968" s="37"/>
      <c r="C968" s="38"/>
      <c r="D968" s="20"/>
      <c r="E968" s="36" t="str">
        <f aca="false">IF($D968="","",IFERROR(INDEX('교육원 ④ 설정'!$A$6:$A$40,MATCH($D968,'교육원 ④ 설정'!$B$6:$B$40,0)),"※없는 과목"))</f>
        <v/>
      </c>
      <c r="F968" s="36" t="str">
        <f aca="false">IF($D968="","",IFERROR(INDEX('교육원 ④ 설정'!$C$6:$C$40,MATCH($D968,'교육원 ④ 설정'!$B$6:$B$40,0)),""))</f>
        <v/>
      </c>
      <c r="G968" s="39"/>
      <c r="H968" s="39"/>
      <c r="I968" s="40"/>
      <c r="J968" s="41"/>
      <c r="K968" s="38"/>
      <c r="L968" s="42" t="str">
        <f aca="false">IF($B968="","",IF(AND(N($I968)=0,N($J968)=0),"금액이 없습니다",IF(AND($I968&gt;0,$J968&gt;0),"수입·지출 둘 다 적혔습니다",IF($C968="","결제수단을 고르십시오",IF(ISNA(MATCH($C968,'교육원 ③ 통장·카드'!$A$5:$A$11,0)),"③ 통장·카드에 없는 결제수단입니다",IF($D968="","계정과목을 고르십시오",IF($E968="※없는 과목","④ 설정에 없는 과목입니다",IF(AND($E968="수입",$J968&gt;0),"수입 과목인데 지출에 적혔습니다",IF(AND(LEFT($E968,2)&lt;&gt;"수입",$E968&lt;&gt;"대체",$I968&gt;0),"지출 과목인데 수입에 적혔습니다",IF($K968="","증빙을 고르십시오",IF($H968="","적요를 적으십시오","")))))))))))</f>
        <v/>
      </c>
      <c r="M968" s="39"/>
      <c r="O968" s="11" t="str">
        <f aca="false">IF($B968="","",YEAR($B968)*100+MONTH($B968))</f>
        <v/>
      </c>
      <c r="P968" s="11" t="str">
        <f aca="false">IF($B968="","",IF($E968="대체",0,1))</f>
        <v/>
      </c>
    </row>
    <row r="969" customFormat="false" ht="15" hidden="false" customHeight="false" outlineLevel="0" collapsed="false">
      <c r="A969" s="36" t="str">
        <f aca="false">IF($B969="","",COUNT($B$15:$B969))</f>
        <v/>
      </c>
      <c r="B969" s="37"/>
      <c r="C969" s="38"/>
      <c r="D969" s="20"/>
      <c r="E969" s="36" t="str">
        <f aca="false">IF($D969="","",IFERROR(INDEX('교육원 ④ 설정'!$A$6:$A$40,MATCH($D969,'교육원 ④ 설정'!$B$6:$B$40,0)),"※없는 과목"))</f>
        <v/>
      </c>
      <c r="F969" s="36" t="str">
        <f aca="false">IF($D969="","",IFERROR(INDEX('교육원 ④ 설정'!$C$6:$C$40,MATCH($D969,'교육원 ④ 설정'!$B$6:$B$40,0)),""))</f>
        <v/>
      </c>
      <c r="G969" s="39"/>
      <c r="H969" s="39"/>
      <c r="I969" s="40"/>
      <c r="J969" s="41"/>
      <c r="K969" s="38"/>
      <c r="L969" s="42" t="str">
        <f aca="false">IF($B969="","",IF(AND(N($I969)=0,N($J969)=0),"금액이 없습니다",IF(AND($I969&gt;0,$J969&gt;0),"수입·지출 둘 다 적혔습니다",IF($C969="","결제수단을 고르십시오",IF(ISNA(MATCH($C969,'교육원 ③ 통장·카드'!$A$5:$A$11,0)),"③ 통장·카드에 없는 결제수단입니다",IF($D969="","계정과목을 고르십시오",IF($E969="※없는 과목","④ 설정에 없는 과목입니다",IF(AND($E969="수입",$J969&gt;0),"수입 과목인데 지출에 적혔습니다",IF(AND(LEFT($E969,2)&lt;&gt;"수입",$E969&lt;&gt;"대체",$I969&gt;0),"지출 과목인데 수입에 적혔습니다",IF($K969="","증빙을 고르십시오",IF($H969="","적요를 적으십시오","")))))))))))</f>
        <v/>
      </c>
      <c r="M969" s="39"/>
      <c r="O969" s="11" t="str">
        <f aca="false">IF($B969="","",YEAR($B969)*100+MONTH($B969))</f>
        <v/>
      </c>
      <c r="P969" s="11" t="str">
        <f aca="false">IF($B969="","",IF($E969="대체",0,1))</f>
        <v/>
      </c>
    </row>
    <row r="970" customFormat="false" ht="15" hidden="false" customHeight="false" outlineLevel="0" collapsed="false">
      <c r="A970" s="36" t="str">
        <f aca="false">IF($B970="","",COUNT($B$15:$B970))</f>
        <v/>
      </c>
      <c r="B970" s="37"/>
      <c r="C970" s="38"/>
      <c r="D970" s="20"/>
      <c r="E970" s="36" t="str">
        <f aca="false">IF($D970="","",IFERROR(INDEX('교육원 ④ 설정'!$A$6:$A$40,MATCH($D970,'교육원 ④ 설정'!$B$6:$B$40,0)),"※없는 과목"))</f>
        <v/>
      </c>
      <c r="F970" s="36" t="str">
        <f aca="false">IF($D970="","",IFERROR(INDEX('교육원 ④ 설정'!$C$6:$C$40,MATCH($D970,'교육원 ④ 설정'!$B$6:$B$40,0)),""))</f>
        <v/>
      </c>
      <c r="G970" s="39"/>
      <c r="H970" s="39"/>
      <c r="I970" s="40"/>
      <c r="J970" s="41"/>
      <c r="K970" s="38"/>
      <c r="L970" s="42" t="str">
        <f aca="false">IF($B970="","",IF(AND(N($I970)=0,N($J970)=0),"금액이 없습니다",IF(AND($I970&gt;0,$J970&gt;0),"수입·지출 둘 다 적혔습니다",IF($C970="","결제수단을 고르십시오",IF(ISNA(MATCH($C970,'교육원 ③ 통장·카드'!$A$5:$A$11,0)),"③ 통장·카드에 없는 결제수단입니다",IF($D970="","계정과목을 고르십시오",IF($E970="※없는 과목","④ 설정에 없는 과목입니다",IF(AND($E970="수입",$J970&gt;0),"수입 과목인데 지출에 적혔습니다",IF(AND(LEFT($E970,2)&lt;&gt;"수입",$E970&lt;&gt;"대체",$I970&gt;0),"지출 과목인데 수입에 적혔습니다",IF($K970="","증빙을 고르십시오",IF($H970="","적요를 적으십시오","")))))))))))</f>
        <v/>
      </c>
      <c r="M970" s="39"/>
      <c r="O970" s="11" t="str">
        <f aca="false">IF($B970="","",YEAR($B970)*100+MONTH($B970))</f>
        <v/>
      </c>
      <c r="P970" s="11" t="str">
        <f aca="false">IF($B970="","",IF($E970="대체",0,1))</f>
        <v/>
      </c>
    </row>
    <row r="971" customFormat="false" ht="15" hidden="false" customHeight="false" outlineLevel="0" collapsed="false">
      <c r="A971" s="36" t="str">
        <f aca="false">IF($B971="","",COUNT($B$15:$B971))</f>
        <v/>
      </c>
      <c r="B971" s="37"/>
      <c r="C971" s="38"/>
      <c r="D971" s="20"/>
      <c r="E971" s="36" t="str">
        <f aca="false">IF($D971="","",IFERROR(INDEX('교육원 ④ 설정'!$A$6:$A$40,MATCH($D971,'교육원 ④ 설정'!$B$6:$B$40,0)),"※없는 과목"))</f>
        <v/>
      </c>
      <c r="F971" s="36" t="str">
        <f aca="false">IF($D971="","",IFERROR(INDEX('교육원 ④ 설정'!$C$6:$C$40,MATCH($D971,'교육원 ④ 설정'!$B$6:$B$40,0)),""))</f>
        <v/>
      </c>
      <c r="G971" s="39"/>
      <c r="H971" s="39"/>
      <c r="I971" s="40"/>
      <c r="J971" s="41"/>
      <c r="K971" s="38"/>
      <c r="L971" s="42" t="str">
        <f aca="false">IF($B971="","",IF(AND(N($I971)=0,N($J971)=0),"금액이 없습니다",IF(AND($I971&gt;0,$J971&gt;0),"수입·지출 둘 다 적혔습니다",IF($C971="","결제수단을 고르십시오",IF(ISNA(MATCH($C971,'교육원 ③ 통장·카드'!$A$5:$A$11,0)),"③ 통장·카드에 없는 결제수단입니다",IF($D971="","계정과목을 고르십시오",IF($E971="※없는 과목","④ 설정에 없는 과목입니다",IF(AND($E971="수입",$J971&gt;0),"수입 과목인데 지출에 적혔습니다",IF(AND(LEFT($E971,2)&lt;&gt;"수입",$E971&lt;&gt;"대체",$I971&gt;0),"지출 과목인데 수입에 적혔습니다",IF($K971="","증빙을 고르십시오",IF($H971="","적요를 적으십시오","")))))))))))</f>
        <v/>
      </c>
      <c r="M971" s="39"/>
      <c r="O971" s="11" t="str">
        <f aca="false">IF($B971="","",YEAR($B971)*100+MONTH($B971))</f>
        <v/>
      </c>
      <c r="P971" s="11" t="str">
        <f aca="false">IF($B971="","",IF($E971="대체",0,1))</f>
        <v/>
      </c>
    </row>
    <row r="972" customFormat="false" ht="15" hidden="false" customHeight="false" outlineLevel="0" collapsed="false">
      <c r="A972" s="36" t="str">
        <f aca="false">IF($B972="","",COUNT($B$15:$B972))</f>
        <v/>
      </c>
      <c r="B972" s="37"/>
      <c r="C972" s="38"/>
      <c r="D972" s="20"/>
      <c r="E972" s="36" t="str">
        <f aca="false">IF($D972="","",IFERROR(INDEX('교육원 ④ 설정'!$A$6:$A$40,MATCH($D972,'교육원 ④ 설정'!$B$6:$B$40,0)),"※없는 과목"))</f>
        <v/>
      </c>
      <c r="F972" s="36" t="str">
        <f aca="false">IF($D972="","",IFERROR(INDEX('교육원 ④ 설정'!$C$6:$C$40,MATCH($D972,'교육원 ④ 설정'!$B$6:$B$40,0)),""))</f>
        <v/>
      </c>
      <c r="G972" s="39"/>
      <c r="H972" s="39"/>
      <c r="I972" s="40"/>
      <c r="J972" s="41"/>
      <c r="K972" s="38"/>
      <c r="L972" s="42" t="str">
        <f aca="false">IF($B972="","",IF(AND(N($I972)=0,N($J972)=0),"금액이 없습니다",IF(AND($I972&gt;0,$J972&gt;0),"수입·지출 둘 다 적혔습니다",IF($C972="","결제수단을 고르십시오",IF(ISNA(MATCH($C972,'교육원 ③ 통장·카드'!$A$5:$A$11,0)),"③ 통장·카드에 없는 결제수단입니다",IF($D972="","계정과목을 고르십시오",IF($E972="※없는 과목","④ 설정에 없는 과목입니다",IF(AND($E972="수입",$J972&gt;0),"수입 과목인데 지출에 적혔습니다",IF(AND(LEFT($E972,2)&lt;&gt;"수입",$E972&lt;&gt;"대체",$I972&gt;0),"지출 과목인데 수입에 적혔습니다",IF($K972="","증빙을 고르십시오",IF($H972="","적요를 적으십시오","")))))))))))</f>
        <v/>
      </c>
      <c r="M972" s="39"/>
      <c r="O972" s="11" t="str">
        <f aca="false">IF($B972="","",YEAR($B972)*100+MONTH($B972))</f>
        <v/>
      </c>
      <c r="P972" s="11" t="str">
        <f aca="false">IF($B972="","",IF($E972="대체",0,1))</f>
        <v/>
      </c>
    </row>
    <row r="973" customFormat="false" ht="15" hidden="false" customHeight="false" outlineLevel="0" collapsed="false">
      <c r="A973" s="36" t="str">
        <f aca="false">IF($B973="","",COUNT($B$15:$B973))</f>
        <v/>
      </c>
      <c r="B973" s="37"/>
      <c r="C973" s="38"/>
      <c r="D973" s="20"/>
      <c r="E973" s="36" t="str">
        <f aca="false">IF($D973="","",IFERROR(INDEX('교육원 ④ 설정'!$A$6:$A$40,MATCH($D973,'교육원 ④ 설정'!$B$6:$B$40,0)),"※없는 과목"))</f>
        <v/>
      </c>
      <c r="F973" s="36" t="str">
        <f aca="false">IF($D973="","",IFERROR(INDEX('교육원 ④ 설정'!$C$6:$C$40,MATCH($D973,'교육원 ④ 설정'!$B$6:$B$40,0)),""))</f>
        <v/>
      </c>
      <c r="G973" s="39"/>
      <c r="H973" s="39"/>
      <c r="I973" s="40"/>
      <c r="J973" s="41"/>
      <c r="K973" s="38"/>
      <c r="L973" s="42" t="str">
        <f aca="false">IF($B973="","",IF(AND(N($I973)=0,N($J973)=0),"금액이 없습니다",IF(AND($I973&gt;0,$J973&gt;0),"수입·지출 둘 다 적혔습니다",IF($C973="","결제수단을 고르십시오",IF(ISNA(MATCH($C973,'교육원 ③ 통장·카드'!$A$5:$A$11,0)),"③ 통장·카드에 없는 결제수단입니다",IF($D973="","계정과목을 고르십시오",IF($E973="※없는 과목","④ 설정에 없는 과목입니다",IF(AND($E973="수입",$J973&gt;0),"수입 과목인데 지출에 적혔습니다",IF(AND(LEFT($E973,2)&lt;&gt;"수입",$E973&lt;&gt;"대체",$I973&gt;0),"지출 과목인데 수입에 적혔습니다",IF($K973="","증빙을 고르십시오",IF($H973="","적요를 적으십시오","")))))))))))</f>
        <v/>
      </c>
      <c r="M973" s="39"/>
      <c r="O973" s="11" t="str">
        <f aca="false">IF($B973="","",YEAR($B973)*100+MONTH($B973))</f>
        <v/>
      </c>
      <c r="P973" s="11" t="str">
        <f aca="false">IF($B973="","",IF($E973="대체",0,1))</f>
        <v/>
      </c>
    </row>
    <row r="974" customFormat="false" ht="15" hidden="false" customHeight="false" outlineLevel="0" collapsed="false">
      <c r="A974" s="36" t="str">
        <f aca="false">IF($B974="","",COUNT($B$15:$B974))</f>
        <v/>
      </c>
      <c r="B974" s="37"/>
      <c r="C974" s="38"/>
      <c r="D974" s="20"/>
      <c r="E974" s="36" t="str">
        <f aca="false">IF($D974="","",IFERROR(INDEX('교육원 ④ 설정'!$A$6:$A$40,MATCH($D974,'교육원 ④ 설정'!$B$6:$B$40,0)),"※없는 과목"))</f>
        <v/>
      </c>
      <c r="F974" s="36" t="str">
        <f aca="false">IF($D974="","",IFERROR(INDEX('교육원 ④ 설정'!$C$6:$C$40,MATCH($D974,'교육원 ④ 설정'!$B$6:$B$40,0)),""))</f>
        <v/>
      </c>
      <c r="G974" s="39"/>
      <c r="H974" s="39"/>
      <c r="I974" s="40"/>
      <c r="J974" s="41"/>
      <c r="K974" s="38"/>
      <c r="L974" s="42" t="str">
        <f aca="false">IF($B974="","",IF(AND(N($I974)=0,N($J974)=0),"금액이 없습니다",IF(AND($I974&gt;0,$J974&gt;0),"수입·지출 둘 다 적혔습니다",IF($C974="","결제수단을 고르십시오",IF(ISNA(MATCH($C974,'교육원 ③ 통장·카드'!$A$5:$A$11,0)),"③ 통장·카드에 없는 결제수단입니다",IF($D974="","계정과목을 고르십시오",IF($E974="※없는 과목","④ 설정에 없는 과목입니다",IF(AND($E974="수입",$J974&gt;0),"수입 과목인데 지출에 적혔습니다",IF(AND(LEFT($E974,2)&lt;&gt;"수입",$E974&lt;&gt;"대체",$I974&gt;0),"지출 과목인데 수입에 적혔습니다",IF($K974="","증빙을 고르십시오",IF($H974="","적요를 적으십시오","")))))))))))</f>
        <v/>
      </c>
      <c r="M974" s="39"/>
      <c r="O974" s="11" t="str">
        <f aca="false">IF($B974="","",YEAR($B974)*100+MONTH($B974))</f>
        <v/>
      </c>
      <c r="P974" s="11" t="str">
        <f aca="false">IF($B974="","",IF($E974="대체",0,1))</f>
        <v/>
      </c>
    </row>
    <row r="975" customFormat="false" ht="15" hidden="false" customHeight="false" outlineLevel="0" collapsed="false">
      <c r="A975" s="36" t="str">
        <f aca="false">IF($B975="","",COUNT($B$15:$B975))</f>
        <v/>
      </c>
      <c r="B975" s="37"/>
      <c r="C975" s="38"/>
      <c r="D975" s="20"/>
      <c r="E975" s="36" t="str">
        <f aca="false">IF($D975="","",IFERROR(INDEX('교육원 ④ 설정'!$A$6:$A$40,MATCH($D975,'교육원 ④ 설정'!$B$6:$B$40,0)),"※없는 과목"))</f>
        <v/>
      </c>
      <c r="F975" s="36" t="str">
        <f aca="false">IF($D975="","",IFERROR(INDEX('교육원 ④ 설정'!$C$6:$C$40,MATCH($D975,'교육원 ④ 설정'!$B$6:$B$40,0)),""))</f>
        <v/>
      </c>
      <c r="G975" s="39"/>
      <c r="H975" s="39"/>
      <c r="I975" s="40"/>
      <c r="J975" s="41"/>
      <c r="K975" s="38"/>
      <c r="L975" s="42" t="str">
        <f aca="false">IF($B975="","",IF(AND(N($I975)=0,N($J975)=0),"금액이 없습니다",IF(AND($I975&gt;0,$J975&gt;0),"수입·지출 둘 다 적혔습니다",IF($C975="","결제수단을 고르십시오",IF(ISNA(MATCH($C975,'교육원 ③ 통장·카드'!$A$5:$A$11,0)),"③ 통장·카드에 없는 결제수단입니다",IF($D975="","계정과목을 고르십시오",IF($E975="※없는 과목","④ 설정에 없는 과목입니다",IF(AND($E975="수입",$J975&gt;0),"수입 과목인데 지출에 적혔습니다",IF(AND(LEFT($E975,2)&lt;&gt;"수입",$E975&lt;&gt;"대체",$I975&gt;0),"지출 과목인데 수입에 적혔습니다",IF($K975="","증빙을 고르십시오",IF($H975="","적요를 적으십시오","")))))))))))</f>
        <v/>
      </c>
      <c r="M975" s="39"/>
      <c r="O975" s="11" t="str">
        <f aca="false">IF($B975="","",YEAR($B975)*100+MONTH($B975))</f>
        <v/>
      </c>
      <c r="P975" s="11" t="str">
        <f aca="false">IF($B975="","",IF($E975="대체",0,1))</f>
        <v/>
      </c>
    </row>
    <row r="976" customFormat="false" ht="15" hidden="false" customHeight="false" outlineLevel="0" collapsed="false">
      <c r="A976" s="36" t="str">
        <f aca="false">IF($B976="","",COUNT($B$15:$B976))</f>
        <v/>
      </c>
      <c r="B976" s="37"/>
      <c r="C976" s="38"/>
      <c r="D976" s="20"/>
      <c r="E976" s="36" t="str">
        <f aca="false">IF($D976="","",IFERROR(INDEX('교육원 ④ 설정'!$A$6:$A$40,MATCH($D976,'교육원 ④ 설정'!$B$6:$B$40,0)),"※없는 과목"))</f>
        <v/>
      </c>
      <c r="F976" s="36" t="str">
        <f aca="false">IF($D976="","",IFERROR(INDEX('교육원 ④ 설정'!$C$6:$C$40,MATCH($D976,'교육원 ④ 설정'!$B$6:$B$40,0)),""))</f>
        <v/>
      </c>
      <c r="G976" s="39"/>
      <c r="H976" s="39"/>
      <c r="I976" s="40"/>
      <c r="J976" s="41"/>
      <c r="K976" s="38"/>
      <c r="L976" s="42" t="str">
        <f aca="false">IF($B976="","",IF(AND(N($I976)=0,N($J976)=0),"금액이 없습니다",IF(AND($I976&gt;0,$J976&gt;0),"수입·지출 둘 다 적혔습니다",IF($C976="","결제수단을 고르십시오",IF(ISNA(MATCH($C976,'교육원 ③ 통장·카드'!$A$5:$A$11,0)),"③ 통장·카드에 없는 결제수단입니다",IF($D976="","계정과목을 고르십시오",IF($E976="※없는 과목","④ 설정에 없는 과목입니다",IF(AND($E976="수입",$J976&gt;0),"수입 과목인데 지출에 적혔습니다",IF(AND(LEFT($E976,2)&lt;&gt;"수입",$E976&lt;&gt;"대체",$I976&gt;0),"지출 과목인데 수입에 적혔습니다",IF($K976="","증빙을 고르십시오",IF($H976="","적요를 적으십시오","")))))))))))</f>
        <v/>
      </c>
      <c r="M976" s="39"/>
      <c r="O976" s="11" t="str">
        <f aca="false">IF($B976="","",YEAR($B976)*100+MONTH($B976))</f>
        <v/>
      </c>
      <c r="P976" s="11" t="str">
        <f aca="false">IF($B976="","",IF($E976="대체",0,1))</f>
        <v/>
      </c>
    </row>
    <row r="977" customFormat="false" ht="15" hidden="false" customHeight="false" outlineLevel="0" collapsed="false">
      <c r="A977" s="36" t="str">
        <f aca="false">IF($B977="","",COUNT($B$15:$B977))</f>
        <v/>
      </c>
      <c r="B977" s="37"/>
      <c r="C977" s="38"/>
      <c r="D977" s="20"/>
      <c r="E977" s="36" t="str">
        <f aca="false">IF($D977="","",IFERROR(INDEX('교육원 ④ 설정'!$A$6:$A$40,MATCH($D977,'교육원 ④ 설정'!$B$6:$B$40,0)),"※없는 과목"))</f>
        <v/>
      </c>
      <c r="F977" s="36" t="str">
        <f aca="false">IF($D977="","",IFERROR(INDEX('교육원 ④ 설정'!$C$6:$C$40,MATCH($D977,'교육원 ④ 설정'!$B$6:$B$40,0)),""))</f>
        <v/>
      </c>
      <c r="G977" s="39"/>
      <c r="H977" s="39"/>
      <c r="I977" s="40"/>
      <c r="J977" s="41"/>
      <c r="K977" s="38"/>
      <c r="L977" s="42" t="str">
        <f aca="false">IF($B977="","",IF(AND(N($I977)=0,N($J977)=0),"금액이 없습니다",IF(AND($I977&gt;0,$J977&gt;0),"수입·지출 둘 다 적혔습니다",IF($C977="","결제수단을 고르십시오",IF(ISNA(MATCH($C977,'교육원 ③ 통장·카드'!$A$5:$A$11,0)),"③ 통장·카드에 없는 결제수단입니다",IF($D977="","계정과목을 고르십시오",IF($E977="※없는 과목","④ 설정에 없는 과목입니다",IF(AND($E977="수입",$J977&gt;0),"수입 과목인데 지출에 적혔습니다",IF(AND(LEFT($E977,2)&lt;&gt;"수입",$E977&lt;&gt;"대체",$I977&gt;0),"지출 과목인데 수입에 적혔습니다",IF($K977="","증빙을 고르십시오",IF($H977="","적요를 적으십시오","")))))))))))</f>
        <v/>
      </c>
      <c r="M977" s="39"/>
      <c r="O977" s="11" t="str">
        <f aca="false">IF($B977="","",YEAR($B977)*100+MONTH($B977))</f>
        <v/>
      </c>
      <c r="P977" s="11" t="str">
        <f aca="false">IF($B977="","",IF($E977="대체",0,1))</f>
        <v/>
      </c>
    </row>
    <row r="978" customFormat="false" ht="15" hidden="false" customHeight="false" outlineLevel="0" collapsed="false">
      <c r="A978" s="36" t="str">
        <f aca="false">IF($B978="","",COUNT($B$15:$B978))</f>
        <v/>
      </c>
      <c r="B978" s="37"/>
      <c r="C978" s="38"/>
      <c r="D978" s="20"/>
      <c r="E978" s="36" t="str">
        <f aca="false">IF($D978="","",IFERROR(INDEX('교육원 ④ 설정'!$A$6:$A$40,MATCH($D978,'교육원 ④ 설정'!$B$6:$B$40,0)),"※없는 과목"))</f>
        <v/>
      </c>
      <c r="F978" s="36" t="str">
        <f aca="false">IF($D978="","",IFERROR(INDEX('교육원 ④ 설정'!$C$6:$C$40,MATCH($D978,'교육원 ④ 설정'!$B$6:$B$40,0)),""))</f>
        <v/>
      </c>
      <c r="G978" s="39"/>
      <c r="H978" s="39"/>
      <c r="I978" s="40"/>
      <c r="J978" s="41"/>
      <c r="K978" s="38"/>
      <c r="L978" s="42" t="str">
        <f aca="false">IF($B978="","",IF(AND(N($I978)=0,N($J978)=0),"금액이 없습니다",IF(AND($I978&gt;0,$J978&gt;0),"수입·지출 둘 다 적혔습니다",IF($C978="","결제수단을 고르십시오",IF(ISNA(MATCH($C978,'교육원 ③ 통장·카드'!$A$5:$A$11,0)),"③ 통장·카드에 없는 결제수단입니다",IF($D978="","계정과목을 고르십시오",IF($E978="※없는 과목","④ 설정에 없는 과목입니다",IF(AND($E978="수입",$J978&gt;0),"수입 과목인데 지출에 적혔습니다",IF(AND(LEFT($E978,2)&lt;&gt;"수입",$E978&lt;&gt;"대체",$I978&gt;0),"지출 과목인데 수입에 적혔습니다",IF($K978="","증빙을 고르십시오",IF($H978="","적요를 적으십시오","")))))))))))</f>
        <v/>
      </c>
      <c r="M978" s="39"/>
      <c r="O978" s="11" t="str">
        <f aca="false">IF($B978="","",YEAR($B978)*100+MONTH($B978))</f>
        <v/>
      </c>
      <c r="P978" s="11" t="str">
        <f aca="false">IF($B978="","",IF($E978="대체",0,1))</f>
        <v/>
      </c>
    </row>
    <row r="979" customFormat="false" ht="15" hidden="false" customHeight="false" outlineLevel="0" collapsed="false">
      <c r="A979" s="36" t="str">
        <f aca="false">IF($B979="","",COUNT($B$15:$B979))</f>
        <v/>
      </c>
      <c r="B979" s="37"/>
      <c r="C979" s="38"/>
      <c r="D979" s="20"/>
      <c r="E979" s="36" t="str">
        <f aca="false">IF($D979="","",IFERROR(INDEX('교육원 ④ 설정'!$A$6:$A$40,MATCH($D979,'교육원 ④ 설정'!$B$6:$B$40,0)),"※없는 과목"))</f>
        <v/>
      </c>
      <c r="F979" s="36" t="str">
        <f aca="false">IF($D979="","",IFERROR(INDEX('교육원 ④ 설정'!$C$6:$C$40,MATCH($D979,'교육원 ④ 설정'!$B$6:$B$40,0)),""))</f>
        <v/>
      </c>
      <c r="G979" s="39"/>
      <c r="H979" s="39"/>
      <c r="I979" s="40"/>
      <c r="J979" s="41"/>
      <c r="K979" s="38"/>
      <c r="L979" s="42" t="str">
        <f aca="false">IF($B979="","",IF(AND(N($I979)=0,N($J979)=0),"금액이 없습니다",IF(AND($I979&gt;0,$J979&gt;0),"수입·지출 둘 다 적혔습니다",IF($C979="","결제수단을 고르십시오",IF(ISNA(MATCH($C979,'교육원 ③ 통장·카드'!$A$5:$A$11,0)),"③ 통장·카드에 없는 결제수단입니다",IF($D979="","계정과목을 고르십시오",IF($E979="※없는 과목","④ 설정에 없는 과목입니다",IF(AND($E979="수입",$J979&gt;0),"수입 과목인데 지출에 적혔습니다",IF(AND(LEFT($E979,2)&lt;&gt;"수입",$E979&lt;&gt;"대체",$I979&gt;0),"지출 과목인데 수입에 적혔습니다",IF($K979="","증빙을 고르십시오",IF($H979="","적요를 적으십시오","")))))))))))</f>
        <v/>
      </c>
      <c r="M979" s="39"/>
      <c r="O979" s="11" t="str">
        <f aca="false">IF($B979="","",YEAR($B979)*100+MONTH($B979))</f>
        <v/>
      </c>
      <c r="P979" s="11" t="str">
        <f aca="false">IF($B979="","",IF($E979="대체",0,1))</f>
        <v/>
      </c>
    </row>
    <row r="980" customFormat="false" ht="15" hidden="false" customHeight="false" outlineLevel="0" collapsed="false">
      <c r="A980" s="36" t="str">
        <f aca="false">IF($B980="","",COUNT($B$15:$B980))</f>
        <v/>
      </c>
      <c r="B980" s="37"/>
      <c r="C980" s="38"/>
      <c r="D980" s="20"/>
      <c r="E980" s="36" t="str">
        <f aca="false">IF($D980="","",IFERROR(INDEX('교육원 ④ 설정'!$A$6:$A$40,MATCH($D980,'교육원 ④ 설정'!$B$6:$B$40,0)),"※없는 과목"))</f>
        <v/>
      </c>
      <c r="F980" s="36" t="str">
        <f aca="false">IF($D980="","",IFERROR(INDEX('교육원 ④ 설정'!$C$6:$C$40,MATCH($D980,'교육원 ④ 설정'!$B$6:$B$40,0)),""))</f>
        <v/>
      </c>
      <c r="G980" s="39"/>
      <c r="H980" s="39"/>
      <c r="I980" s="40"/>
      <c r="J980" s="41"/>
      <c r="K980" s="38"/>
      <c r="L980" s="42" t="str">
        <f aca="false">IF($B980="","",IF(AND(N($I980)=0,N($J980)=0),"금액이 없습니다",IF(AND($I980&gt;0,$J980&gt;0),"수입·지출 둘 다 적혔습니다",IF($C980="","결제수단을 고르십시오",IF(ISNA(MATCH($C980,'교육원 ③ 통장·카드'!$A$5:$A$11,0)),"③ 통장·카드에 없는 결제수단입니다",IF($D980="","계정과목을 고르십시오",IF($E980="※없는 과목","④ 설정에 없는 과목입니다",IF(AND($E980="수입",$J980&gt;0),"수입 과목인데 지출에 적혔습니다",IF(AND(LEFT($E980,2)&lt;&gt;"수입",$E980&lt;&gt;"대체",$I980&gt;0),"지출 과목인데 수입에 적혔습니다",IF($K980="","증빙을 고르십시오",IF($H980="","적요를 적으십시오","")))))))))))</f>
        <v/>
      </c>
      <c r="M980" s="39"/>
      <c r="O980" s="11" t="str">
        <f aca="false">IF($B980="","",YEAR($B980)*100+MONTH($B980))</f>
        <v/>
      </c>
      <c r="P980" s="11" t="str">
        <f aca="false">IF($B980="","",IF($E980="대체",0,1))</f>
        <v/>
      </c>
    </row>
    <row r="981" customFormat="false" ht="15" hidden="false" customHeight="false" outlineLevel="0" collapsed="false">
      <c r="A981" s="36" t="str">
        <f aca="false">IF($B981="","",COUNT($B$15:$B981))</f>
        <v/>
      </c>
      <c r="B981" s="37"/>
      <c r="C981" s="38"/>
      <c r="D981" s="20"/>
      <c r="E981" s="36" t="str">
        <f aca="false">IF($D981="","",IFERROR(INDEX('교육원 ④ 설정'!$A$6:$A$40,MATCH($D981,'교육원 ④ 설정'!$B$6:$B$40,0)),"※없는 과목"))</f>
        <v/>
      </c>
      <c r="F981" s="36" t="str">
        <f aca="false">IF($D981="","",IFERROR(INDEX('교육원 ④ 설정'!$C$6:$C$40,MATCH($D981,'교육원 ④ 설정'!$B$6:$B$40,0)),""))</f>
        <v/>
      </c>
      <c r="G981" s="39"/>
      <c r="H981" s="39"/>
      <c r="I981" s="40"/>
      <c r="J981" s="41"/>
      <c r="K981" s="38"/>
      <c r="L981" s="42" t="str">
        <f aca="false">IF($B981="","",IF(AND(N($I981)=0,N($J981)=0),"금액이 없습니다",IF(AND($I981&gt;0,$J981&gt;0),"수입·지출 둘 다 적혔습니다",IF($C981="","결제수단을 고르십시오",IF(ISNA(MATCH($C981,'교육원 ③ 통장·카드'!$A$5:$A$11,0)),"③ 통장·카드에 없는 결제수단입니다",IF($D981="","계정과목을 고르십시오",IF($E981="※없는 과목","④ 설정에 없는 과목입니다",IF(AND($E981="수입",$J981&gt;0),"수입 과목인데 지출에 적혔습니다",IF(AND(LEFT($E981,2)&lt;&gt;"수입",$E981&lt;&gt;"대체",$I981&gt;0),"지출 과목인데 수입에 적혔습니다",IF($K981="","증빙을 고르십시오",IF($H981="","적요를 적으십시오","")))))))))))</f>
        <v/>
      </c>
      <c r="M981" s="39"/>
      <c r="O981" s="11" t="str">
        <f aca="false">IF($B981="","",YEAR($B981)*100+MONTH($B981))</f>
        <v/>
      </c>
      <c r="P981" s="11" t="str">
        <f aca="false">IF($B981="","",IF($E981="대체",0,1))</f>
        <v/>
      </c>
    </row>
    <row r="982" customFormat="false" ht="15" hidden="false" customHeight="false" outlineLevel="0" collapsed="false">
      <c r="A982" s="36" t="str">
        <f aca="false">IF($B982="","",COUNT($B$15:$B982))</f>
        <v/>
      </c>
      <c r="B982" s="37"/>
      <c r="C982" s="38"/>
      <c r="D982" s="20"/>
      <c r="E982" s="36" t="str">
        <f aca="false">IF($D982="","",IFERROR(INDEX('교육원 ④ 설정'!$A$6:$A$40,MATCH($D982,'교육원 ④ 설정'!$B$6:$B$40,0)),"※없는 과목"))</f>
        <v/>
      </c>
      <c r="F982" s="36" t="str">
        <f aca="false">IF($D982="","",IFERROR(INDEX('교육원 ④ 설정'!$C$6:$C$40,MATCH($D982,'교육원 ④ 설정'!$B$6:$B$40,0)),""))</f>
        <v/>
      </c>
      <c r="G982" s="39"/>
      <c r="H982" s="39"/>
      <c r="I982" s="40"/>
      <c r="J982" s="41"/>
      <c r="K982" s="38"/>
      <c r="L982" s="42" t="str">
        <f aca="false">IF($B982="","",IF(AND(N($I982)=0,N($J982)=0),"금액이 없습니다",IF(AND($I982&gt;0,$J982&gt;0),"수입·지출 둘 다 적혔습니다",IF($C982="","결제수단을 고르십시오",IF(ISNA(MATCH($C982,'교육원 ③ 통장·카드'!$A$5:$A$11,0)),"③ 통장·카드에 없는 결제수단입니다",IF($D982="","계정과목을 고르십시오",IF($E982="※없는 과목","④ 설정에 없는 과목입니다",IF(AND($E982="수입",$J982&gt;0),"수입 과목인데 지출에 적혔습니다",IF(AND(LEFT($E982,2)&lt;&gt;"수입",$E982&lt;&gt;"대체",$I982&gt;0),"지출 과목인데 수입에 적혔습니다",IF($K982="","증빙을 고르십시오",IF($H982="","적요를 적으십시오","")))))))))))</f>
        <v/>
      </c>
      <c r="M982" s="39"/>
      <c r="O982" s="11" t="str">
        <f aca="false">IF($B982="","",YEAR($B982)*100+MONTH($B982))</f>
        <v/>
      </c>
      <c r="P982" s="11" t="str">
        <f aca="false">IF($B982="","",IF($E982="대체",0,1))</f>
        <v/>
      </c>
    </row>
    <row r="983" customFormat="false" ht="15" hidden="false" customHeight="false" outlineLevel="0" collapsed="false">
      <c r="A983" s="36" t="str">
        <f aca="false">IF($B983="","",COUNT($B$15:$B983))</f>
        <v/>
      </c>
      <c r="B983" s="37"/>
      <c r="C983" s="38"/>
      <c r="D983" s="20"/>
      <c r="E983" s="36" t="str">
        <f aca="false">IF($D983="","",IFERROR(INDEX('교육원 ④ 설정'!$A$6:$A$40,MATCH($D983,'교육원 ④ 설정'!$B$6:$B$40,0)),"※없는 과목"))</f>
        <v/>
      </c>
      <c r="F983" s="36" t="str">
        <f aca="false">IF($D983="","",IFERROR(INDEX('교육원 ④ 설정'!$C$6:$C$40,MATCH($D983,'교육원 ④ 설정'!$B$6:$B$40,0)),""))</f>
        <v/>
      </c>
      <c r="G983" s="39"/>
      <c r="H983" s="39"/>
      <c r="I983" s="40"/>
      <c r="J983" s="41"/>
      <c r="K983" s="38"/>
      <c r="L983" s="42" t="str">
        <f aca="false">IF($B983="","",IF(AND(N($I983)=0,N($J983)=0),"금액이 없습니다",IF(AND($I983&gt;0,$J983&gt;0),"수입·지출 둘 다 적혔습니다",IF($C983="","결제수단을 고르십시오",IF(ISNA(MATCH($C983,'교육원 ③ 통장·카드'!$A$5:$A$11,0)),"③ 통장·카드에 없는 결제수단입니다",IF($D983="","계정과목을 고르십시오",IF($E983="※없는 과목","④ 설정에 없는 과목입니다",IF(AND($E983="수입",$J983&gt;0),"수입 과목인데 지출에 적혔습니다",IF(AND(LEFT($E983,2)&lt;&gt;"수입",$E983&lt;&gt;"대체",$I983&gt;0),"지출 과목인데 수입에 적혔습니다",IF($K983="","증빙을 고르십시오",IF($H983="","적요를 적으십시오","")))))))))))</f>
        <v/>
      </c>
      <c r="M983" s="39"/>
      <c r="O983" s="11" t="str">
        <f aca="false">IF($B983="","",YEAR($B983)*100+MONTH($B983))</f>
        <v/>
      </c>
      <c r="P983" s="11" t="str">
        <f aca="false">IF($B983="","",IF($E983="대체",0,1))</f>
        <v/>
      </c>
    </row>
    <row r="984" customFormat="false" ht="15" hidden="false" customHeight="false" outlineLevel="0" collapsed="false">
      <c r="A984" s="36" t="str">
        <f aca="false">IF($B984="","",COUNT($B$15:$B984))</f>
        <v/>
      </c>
      <c r="B984" s="37"/>
      <c r="C984" s="38"/>
      <c r="D984" s="20"/>
      <c r="E984" s="36" t="str">
        <f aca="false">IF($D984="","",IFERROR(INDEX('교육원 ④ 설정'!$A$6:$A$40,MATCH($D984,'교육원 ④ 설정'!$B$6:$B$40,0)),"※없는 과목"))</f>
        <v/>
      </c>
      <c r="F984" s="36" t="str">
        <f aca="false">IF($D984="","",IFERROR(INDEX('교육원 ④ 설정'!$C$6:$C$40,MATCH($D984,'교육원 ④ 설정'!$B$6:$B$40,0)),""))</f>
        <v/>
      </c>
      <c r="G984" s="39"/>
      <c r="H984" s="39"/>
      <c r="I984" s="40"/>
      <c r="J984" s="41"/>
      <c r="K984" s="38"/>
      <c r="L984" s="42" t="str">
        <f aca="false">IF($B984="","",IF(AND(N($I984)=0,N($J984)=0),"금액이 없습니다",IF(AND($I984&gt;0,$J984&gt;0),"수입·지출 둘 다 적혔습니다",IF($C984="","결제수단을 고르십시오",IF(ISNA(MATCH($C984,'교육원 ③ 통장·카드'!$A$5:$A$11,0)),"③ 통장·카드에 없는 결제수단입니다",IF($D984="","계정과목을 고르십시오",IF($E984="※없는 과목","④ 설정에 없는 과목입니다",IF(AND($E984="수입",$J984&gt;0),"수입 과목인데 지출에 적혔습니다",IF(AND(LEFT($E984,2)&lt;&gt;"수입",$E984&lt;&gt;"대체",$I984&gt;0),"지출 과목인데 수입에 적혔습니다",IF($K984="","증빙을 고르십시오",IF($H984="","적요를 적으십시오","")))))))))))</f>
        <v/>
      </c>
      <c r="M984" s="39"/>
      <c r="O984" s="11" t="str">
        <f aca="false">IF($B984="","",YEAR($B984)*100+MONTH($B984))</f>
        <v/>
      </c>
      <c r="P984" s="11" t="str">
        <f aca="false">IF($B984="","",IF($E984="대체",0,1))</f>
        <v/>
      </c>
    </row>
    <row r="985" customFormat="false" ht="15" hidden="false" customHeight="false" outlineLevel="0" collapsed="false">
      <c r="A985" s="36" t="str">
        <f aca="false">IF($B985="","",COUNT($B$15:$B985))</f>
        <v/>
      </c>
      <c r="B985" s="37"/>
      <c r="C985" s="38"/>
      <c r="D985" s="20"/>
      <c r="E985" s="36" t="str">
        <f aca="false">IF($D985="","",IFERROR(INDEX('교육원 ④ 설정'!$A$6:$A$40,MATCH($D985,'교육원 ④ 설정'!$B$6:$B$40,0)),"※없는 과목"))</f>
        <v/>
      </c>
      <c r="F985" s="36" t="str">
        <f aca="false">IF($D985="","",IFERROR(INDEX('교육원 ④ 설정'!$C$6:$C$40,MATCH($D985,'교육원 ④ 설정'!$B$6:$B$40,0)),""))</f>
        <v/>
      </c>
      <c r="G985" s="39"/>
      <c r="H985" s="39"/>
      <c r="I985" s="40"/>
      <c r="J985" s="41"/>
      <c r="K985" s="38"/>
      <c r="L985" s="42" t="str">
        <f aca="false">IF($B985="","",IF(AND(N($I985)=0,N($J985)=0),"금액이 없습니다",IF(AND($I985&gt;0,$J985&gt;0),"수입·지출 둘 다 적혔습니다",IF($C985="","결제수단을 고르십시오",IF(ISNA(MATCH($C985,'교육원 ③ 통장·카드'!$A$5:$A$11,0)),"③ 통장·카드에 없는 결제수단입니다",IF($D985="","계정과목을 고르십시오",IF($E985="※없는 과목","④ 설정에 없는 과목입니다",IF(AND($E985="수입",$J985&gt;0),"수입 과목인데 지출에 적혔습니다",IF(AND(LEFT($E985,2)&lt;&gt;"수입",$E985&lt;&gt;"대체",$I985&gt;0),"지출 과목인데 수입에 적혔습니다",IF($K985="","증빙을 고르십시오",IF($H985="","적요를 적으십시오","")))))))))))</f>
        <v/>
      </c>
      <c r="M985" s="39"/>
      <c r="O985" s="11" t="str">
        <f aca="false">IF($B985="","",YEAR($B985)*100+MONTH($B985))</f>
        <v/>
      </c>
      <c r="P985" s="11" t="str">
        <f aca="false">IF($B985="","",IF($E985="대체",0,1))</f>
        <v/>
      </c>
    </row>
    <row r="986" customFormat="false" ht="15" hidden="false" customHeight="false" outlineLevel="0" collapsed="false">
      <c r="A986" s="36" t="str">
        <f aca="false">IF($B986="","",COUNT($B$15:$B986))</f>
        <v/>
      </c>
      <c r="B986" s="37"/>
      <c r="C986" s="38"/>
      <c r="D986" s="20"/>
      <c r="E986" s="36" t="str">
        <f aca="false">IF($D986="","",IFERROR(INDEX('교육원 ④ 설정'!$A$6:$A$40,MATCH($D986,'교육원 ④ 설정'!$B$6:$B$40,0)),"※없는 과목"))</f>
        <v/>
      </c>
      <c r="F986" s="36" t="str">
        <f aca="false">IF($D986="","",IFERROR(INDEX('교육원 ④ 설정'!$C$6:$C$40,MATCH($D986,'교육원 ④ 설정'!$B$6:$B$40,0)),""))</f>
        <v/>
      </c>
      <c r="G986" s="39"/>
      <c r="H986" s="39"/>
      <c r="I986" s="40"/>
      <c r="J986" s="41"/>
      <c r="K986" s="38"/>
      <c r="L986" s="42" t="str">
        <f aca="false">IF($B986="","",IF(AND(N($I986)=0,N($J986)=0),"금액이 없습니다",IF(AND($I986&gt;0,$J986&gt;0),"수입·지출 둘 다 적혔습니다",IF($C986="","결제수단을 고르십시오",IF(ISNA(MATCH($C986,'교육원 ③ 통장·카드'!$A$5:$A$11,0)),"③ 통장·카드에 없는 결제수단입니다",IF($D986="","계정과목을 고르십시오",IF($E986="※없는 과목","④ 설정에 없는 과목입니다",IF(AND($E986="수입",$J986&gt;0),"수입 과목인데 지출에 적혔습니다",IF(AND(LEFT($E986,2)&lt;&gt;"수입",$E986&lt;&gt;"대체",$I986&gt;0),"지출 과목인데 수입에 적혔습니다",IF($K986="","증빙을 고르십시오",IF($H986="","적요를 적으십시오","")))))))))))</f>
        <v/>
      </c>
      <c r="M986" s="39"/>
      <c r="O986" s="11" t="str">
        <f aca="false">IF($B986="","",YEAR($B986)*100+MONTH($B986))</f>
        <v/>
      </c>
      <c r="P986" s="11" t="str">
        <f aca="false">IF($B986="","",IF($E986="대체",0,1))</f>
        <v/>
      </c>
    </row>
    <row r="987" customFormat="false" ht="15" hidden="false" customHeight="false" outlineLevel="0" collapsed="false">
      <c r="A987" s="36" t="str">
        <f aca="false">IF($B987="","",COUNT($B$15:$B987))</f>
        <v/>
      </c>
      <c r="B987" s="37"/>
      <c r="C987" s="38"/>
      <c r="D987" s="20"/>
      <c r="E987" s="36" t="str">
        <f aca="false">IF($D987="","",IFERROR(INDEX('교육원 ④ 설정'!$A$6:$A$40,MATCH($D987,'교육원 ④ 설정'!$B$6:$B$40,0)),"※없는 과목"))</f>
        <v/>
      </c>
      <c r="F987" s="36" t="str">
        <f aca="false">IF($D987="","",IFERROR(INDEX('교육원 ④ 설정'!$C$6:$C$40,MATCH($D987,'교육원 ④ 설정'!$B$6:$B$40,0)),""))</f>
        <v/>
      </c>
      <c r="G987" s="39"/>
      <c r="H987" s="39"/>
      <c r="I987" s="40"/>
      <c r="J987" s="41"/>
      <c r="K987" s="38"/>
      <c r="L987" s="42" t="str">
        <f aca="false">IF($B987="","",IF(AND(N($I987)=0,N($J987)=0),"금액이 없습니다",IF(AND($I987&gt;0,$J987&gt;0),"수입·지출 둘 다 적혔습니다",IF($C987="","결제수단을 고르십시오",IF(ISNA(MATCH($C987,'교육원 ③ 통장·카드'!$A$5:$A$11,0)),"③ 통장·카드에 없는 결제수단입니다",IF($D987="","계정과목을 고르십시오",IF($E987="※없는 과목","④ 설정에 없는 과목입니다",IF(AND($E987="수입",$J987&gt;0),"수입 과목인데 지출에 적혔습니다",IF(AND(LEFT($E987,2)&lt;&gt;"수입",$E987&lt;&gt;"대체",$I987&gt;0),"지출 과목인데 수입에 적혔습니다",IF($K987="","증빙을 고르십시오",IF($H987="","적요를 적으십시오","")))))))))))</f>
        <v/>
      </c>
      <c r="M987" s="39"/>
      <c r="O987" s="11" t="str">
        <f aca="false">IF($B987="","",YEAR($B987)*100+MONTH($B987))</f>
        <v/>
      </c>
      <c r="P987" s="11" t="str">
        <f aca="false">IF($B987="","",IF($E987="대체",0,1))</f>
        <v/>
      </c>
    </row>
    <row r="988" customFormat="false" ht="15" hidden="false" customHeight="false" outlineLevel="0" collapsed="false">
      <c r="A988" s="36" t="str">
        <f aca="false">IF($B988="","",COUNT($B$15:$B988))</f>
        <v/>
      </c>
      <c r="B988" s="37"/>
      <c r="C988" s="38"/>
      <c r="D988" s="20"/>
      <c r="E988" s="36" t="str">
        <f aca="false">IF($D988="","",IFERROR(INDEX('교육원 ④ 설정'!$A$6:$A$40,MATCH($D988,'교육원 ④ 설정'!$B$6:$B$40,0)),"※없는 과목"))</f>
        <v/>
      </c>
      <c r="F988" s="36" t="str">
        <f aca="false">IF($D988="","",IFERROR(INDEX('교육원 ④ 설정'!$C$6:$C$40,MATCH($D988,'교육원 ④ 설정'!$B$6:$B$40,0)),""))</f>
        <v/>
      </c>
      <c r="G988" s="39"/>
      <c r="H988" s="39"/>
      <c r="I988" s="40"/>
      <c r="J988" s="41"/>
      <c r="K988" s="38"/>
      <c r="L988" s="42" t="str">
        <f aca="false">IF($B988="","",IF(AND(N($I988)=0,N($J988)=0),"금액이 없습니다",IF(AND($I988&gt;0,$J988&gt;0),"수입·지출 둘 다 적혔습니다",IF($C988="","결제수단을 고르십시오",IF(ISNA(MATCH($C988,'교육원 ③ 통장·카드'!$A$5:$A$11,0)),"③ 통장·카드에 없는 결제수단입니다",IF($D988="","계정과목을 고르십시오",IF($E988="※없는 과목","④ 설정에 없는 과목입니다",IF(AND($E988="수입",$J988&gt;0),"수입 과목인데 지출에 적혔습니다",IF(AND(LEFT($E988,2)&lt;&gt;"수입",$E988&lt;&gt;"대체",$I988&gt;0),"지출 과목인데 수입에 적혔습니다",IF($K988="","증빙을 고르십시오",IF($H988="","적요를 적으십시오","")))))))))))</f>
        <v/>
      </c>
      <c r="M988" s="39"/>
      <c r="O988" s="11" t="str">
        <f aca="false">IF($B988="","",YEAR($B988)*100+MONTH($B988))</f>
        <v/>
      </c>
      <c r="P988" s="11" t="str">
        <f aca="false">IF($B988="","",IF($E988="대체",0,1))</f>
        <v/>
      </c>
    </row>
    <row r="989" customFormat="false" ht="15" hidden="false" customHeight="false" outlineLevel="0" collapsed="false">
      <c r="A989" s="36" t="str">
        <f aca="false">IF($B989="","",COUNT($B$15:$B989))</f>
        <v/>
      </c>
      <c r="B989" s="37"/>
      <c r="C989" s="38"/>
      <c r="D989" s="20"/>
      <c r="E989" s="36" t="str">
        <f aca="false">IF($D989="","",IFERROR(INDEX('교육원 ④ 설정'!$A$6:$A$40,MATCH($D989,'교육원 ④ 설정'!$B$6:$B$40,0)),"※없는 과목"))</f>
        <v/>
      </c>
      <c r="F989" s="36" t="str">
        <f aca="false">IF($D989="","",IFERROR(INDEX('교육원 ④ 설정'!$C$6:$C$40,MATCH($D989,'교육원 ④ 설정'!$B$6:$B$40,0)),""))</f>
        <v/>
      </c>
      <c r="G989" s="39"/>
      <c r="H989" s="39"/>
      <c r="I989" s="40"/>
      <c r="J989" s="41"/>
      <c r="K989" s="38"/>
      <c r="L989" s="42" t="str">
        <f aca="false">IF($B989="","",IF(AND(N($I989)=0,N($J989)=0),"금액이 없습니다",IF(AND($I989&gt;0,$J989&gt;0),"수입·지출 둘 다 적혔습니다",IF($C989="","결제수단을 고르십시오",IF(ISNA(MATCH($C989,'교육원 ③ 통장·카드'!$A$5:$A$11,0)),"③ 통장·카드에 없는 결제수단입니다",IF($D989="","계정과목을 고르십시오",IF($E989="※없는 과목","④ 설정에 없는 과목입니다",IF(AND($E989="수입",$J989&gt;0),"수입 과목인데 지출에 적혔습니다",IF(AND(LEFT($E989,2)&lt;&gt;"수입",$E989&lt;&gt;"대체",$I989&gt;0),"지출 과목인데 수입에 적혔습니다",IF($K989="","증빙을 고르십시오",IF($H989="","적요를 적으십시오","")))))))))))</f>
        <v/>
      </c>
      <c r="M989" s="39"/>
      <c r="O989" s="11" t="str">
        <f aca="false">IF($B989="","",YEAR($B989)*100+MONTH($B989))</f>
        <v/>
      </c>
      <c r="P989" s="11" t="str">
        <f aca="false">IF($B989="","",IF($E989="대체",0,1))</f>
        <v/>
      </c>
    </row>
    <row r="990" customFormat="false" ht="15" hidden="false" customHeight="false" outlineLevel="0" collapsed="false">
      <c r="A990" s="36" t="str">
        <f aca="false">IF($B990="","",COUNT($B$15:$B990))</f>
        <v/>
      </c>
      <c r="B990" s="37"/>
      <c r="C990" s="38"/>
      <c r="D990" s="20"/>
      <c r="E990" s="36" t="str">
        <f aca="false">IF($D990="","",IFERROR(INDEX('교육원 ④ 설정'!$A$6:$A$40,MATCH($D990,'교육원 ④ 설정'!$B$6:$B$40,0)),"※없는 과목"))</f>
        <v/>
      </c>
      <c r="F990" s="36" t="str">
        <f aca="false">IF($D990="","",IFERROR(INDEX('교육원 ④ 설정'!$C$6:$C$40,MATCH($D990,'교육원 ④ 설정'!$B$6:$B$40,0)),""))</f>
        <v/>
      </c>
      <c r="G990" s="39"/>
      <c r="H990" s="39"/>
      <c r="I990" s="40"/>
      <c r="J990" s="41"/>
      <c r="K990" s="38"/>
      <c r="L990" s="42" t="str">
        <f aca="false">IF($B990="","",IF(AND(N($I990)=0,N($J990)=0),"금액이 없습니다",IF(AND($I990&gt;0,$J990&gt;0),"수입·지출 둘 다 적혔습니다",IF($C990="","결제수단을 고르십시오",IF(ISNA(MATCH($C990,'교육원 ③ 통장·카드'!$A$5:$A$11,0)),"③ 통장·카드에 없는 결제수단입니다",IF($D990="","계정과목을 고르십시오",IF($E990="※없는 과목","④ 설정에 없는 과목입니다",IF(AND($E990="수입",$J990&gt;0),"수입 과목인데 지출에 적혔습니다",IF(AND(LEFT($E990,2)&lt;&gt;"수입",$E990&lt;&gt;"대체",$I990&gt;0),"지출 과목인데 수입에 적혔습니다",IF($K990="","증빙을 고르십시오",IF($H990="","적요를 적으십시오","")))))))))))</f>
        <v/>
      </c>
      <c r="M990" s="39"/>
      <c r="O990" s="11" t="str">
        <f aca="false">IF($B990="","",YEAR($B990)*100+MONTH($B990))</f>
        <v/>
      </c>
      <c r="P990" s="11" t="str">
        <f aca="false">IF($B990="","",IF($E990="대체",0,1))</f>
        <v/>
      </c>
    </row>
    <row r="991" customFormat="false" ht="15" hidden="false" customHeight="false" outlineLevel="0" collapsed="false">
      <c r="A991" s="36" t="str">
        <f aca="false">IF($B991="","",COUNT($B$15:$B991))</f>
        <v/>
      </c>
      <c r="B991" s="37"/>
      <c r="C991" s="38"/>
      <c r="D991" s="20"/>
      <c r="E991" s="36" t="str">
        <f aca="false">IF($D991="","",IFERROR(INDEX('교육원 ④ 설정'!$A$6:$A$40,MATCH($D991,'교육원 ④ 설정'!$B$6:$B$40,0)),"※없는 과목"))</f>
        <v/>
      </c>
      <c r="F991" s="36" t="str">
        <f aca="false">IF($D991="","",IFERROR(INDEX('교육원 ④ 설정'!$C$6:$C$40,MATCH($D991,'교육원 ④ 설정'!$B$6:$B$40,0)),""))</f>
        <v/>
      </c>
      <c r="G991" s="39"/>
      <c r="H991" s="39"/>
      <c r="I991" s="40"/>
      <c r="J991" s="41"/>
      <c r="K991" s="38"/>
      <c r="L991" s="42" t="str">
        <f aca="false">IF($B991="","",IF(AND(N($I991)=0,N($J991)=0),"금액이 없습니다",IF(AND($I991&gt;0,$J991&gt;0),"수입·지출 둘 다 적혔습니다",IF($C991="","결제수단을 고르십시오",IF(ISNA(MATCH($C991,'교육원 ③ 통장·카드'!$A$5:$A$11,0)),"③ 통장·카드에 없는 결제수단입니다",IF($D991="","계정과목을 고르십시오",IF($E991="※없는 과목","④ 설정에 없는 과목입니다",IF(AND($E991="수입",$J991&gt;0),"수입 과목인데 지출에 적혔습니다",IF(AND(LEFT($E991,2)&lt;&gt;"수입",$E991&lt;&gt;"대체",$I991&gt;0),"지출 과목인데 수입에 적혔습니다",IF($K991="","증빙을 고르십시오",IF($H991="","적요를 적으십시오","")))))))))))</f>
        <v/>
      </c>
      <c r="M991" s="39"/>
      <c r="O991" s="11" t="str">
        <f aca="false">IF($B991="","",YEAR($B991)*100+MONTH($B991))</f>
        <v/>
      </c>
      <c r="P991" s="11" t="str">
        <f aca="false">IF($B991="","",IF($E991="대체",0,1))</f>
        <v/>
      </c>
    </row>
    <row r="992" customFormat="false" ht="15" hidden="false" customHeight="false" outlineLevel="0" collapsed="false">
      <c r="A992" s="36" t="str">
        <f aca="false">IF($B992="","",COUNT($B$15:$B992))</f>
        <v/>
      </c>
      <c r="B992" s="37"/>
      <c r="C992" s="38"/>
      <c r="D992" s="20"/>
      <c r="E992" s="36" t="str">
        <f aca="false">IF($D992="","",IFERROR(INDEX('교육원 ④ 설정'!$A$6:$A$40,MATCH($D992,'교육원 ④ 설정'!$B$6:$B$40,0)),"※없는 과목"))</f>
        <v/>
      </c>
      <c r="F992" s="36" t="str">
        <f aca="false">IF($D992="","",IFERROR(INDEX('교육원 ④ 설정'!$C$6:$C$40,MATCH($D992,'교육원 ④ 설정'!$B$6:$B$40,0)),""))</f>
        <v/>
      </c>
      <c r="G992" s="39"/>
      <c r="H992" s="39"/>
      <c r="I992" s="40"/>
      <c r="J992" s="41"/>
      <c r="K992" s="38"/>
      <c r="L992" s="42" t="str">
        <f aca="false">IF($B992="","",IF(AND(N($I992)=0,N($J992)=0),"금액이 없습니다",IF(AND($I992&gt;0,$J992&gt;0),"수입·지출 둘 다 적혔습니다",IF($C992="","결제수단을 고르십시오",IF(ISNA(MATCH($C992,'교육원 ③ 통장·카드'!$A$5:$A$11,0)),"③ 통장·카드에 없는 결제수단입니다",IF($D992="","계정과목을 고르십시오",IF($E992="※없는 과목","④ 설정에 없는 과목입니다",IF(AND($E992="수입",$J992&gt;0),"수입 과목인데 지출에 적혔습니다",IF(AND(LEFT($E992,2)&lt;&gt;"수입",$E992&lt;&gt;"대체",$I992&gt;0),"지출 과목인데 수입에 적혔습니다",IF($K992="","증빙을 고르십시오",IF($H992="","적요를 적으십시오","")))))))))))</f>
        <v/>
      </c>
      <c r="M992" s="39"/>
      <c r="O992" s="11" t="str">
        <f aca="false">IF($B992="","",YEAR($B992)*100+MONTH($B992))</f>
        <v/>
      </c>
      <c r="P992" s="11" t="str">
        <f aca="false">IF($B992="","",IF($E992="대체",0,1))</f>
        <v/>
      </c>
    </row>
    <row r="993" customFormat="false" ht="15" hidden="false" customHeight="false" outlineLevel="0" collapsed="false">
      <c r="A993" s="36" t="str">
        <f aca="false">IF($B993="","",COUNT($B$15:$B993))</f>
        <v/>
      </c>
      <c r="B993" s="37"/>
      <c r="C993" s="38"/>
      <c r="D993" s="20"/>
      <c r="E993" s="36" t="str">
        <f aca="false">IF($D993="","",IFERROR(INDEX('교육원 ④ 설정'!$A$6:$A$40,MATCH($D993,'교육원 ④ 설정'!$B$6:$B$40,0)),"※없는 과목"))</f>
        <v/>
      </c>
      <c r="F993" s="36" t="str">
        <f aca="false">IF($D993="","",IFERROR(INDEX('교육원 ④ 설정'!$C$6:$C$40,MATCH($D993,'교육원 ④ 설정'!$B$6:$B$40,0)),""))</f>
        <v/>
      </c>
      <c r="G993" s="39"/>
      <c r="H993" s="39"/>
      <c r="I993" s="40"/>
      <c r="J993" s="41"/>
      <c r="K993" s="38"/>
      <c r="L993" s="42" t="str">
        <f aca="false">IF($B993="","",IF(AND(N($I993)=0,N($J993)=0),"금액이 없습니다",IF(AND($I993&gt;0,$J993&gt;0),"수입·지출 둘 다 적혔습니다",IF($C993="","결제수단을 고르십시오",IF(ISNA(MATCH($C993,'교육원 ③ 통장·카드'!$A$5:$A$11,0)),"③ 통장·카드에 없는 결제수단입니다",IF($D993="","계정과목을 고르십시오",IF($E993="※없는 과목","④ 설정에 없는 과목입니다",IF(AND($E993="수입",$J993&gt;0),"수입 과목인데 지출에 적혔습니다",IF(AND(LEFT($E993,2)&lt;&gt;"수입",$E993&lt;&gt;"대체",$I993&gt;0),"지출 과목인데 수입에 적혔습니다",IF($K993="","증빙을 고르십시오",IF($H993="","적요를 적으십시오","")))))))))))</f>
        <v/>
      </c>
      <c r="M993" s="39"/>
      <c r="O993" s="11" t="str">
        <f aca="false">IF($B993="","",YEAR($B993)*100+MONTH($B993))</f>
        <v/>
      </c>
      <c r="P993" s="11" t="str">
        <f aca="false">IF($B993="","",IF($E993="대체",0,1))</f>
        <v/>
      </c>
    </row>
    <row r="994" customFormat="false" ht="15" hidden="false" customHeight="false" outlineLevel="0" collapsed="false">
      <c r="A994" s="36" t="str">
        <f aca="false">IF($B994="","",COUNT($B$15:$B994))</f>
        <v/>
      </c>
      <c r="B994" s="37"/>
      <c r="C994" s="38"/>
      <c r="D994" s="20"/>
      <c r="E994" s="36" t="str">
        <f aca="false">IF($D994="","",IFERROR(INDEX('교육원 ④ 설정'!$A$6:$A$40,MATCH($D994,'교육원 ④ 설정'!$B$6:$B$40,0)),"※없는 과목"))</f>
        <v/>
      </c>
      <c r="F994" s="36" t="str">
        <f aca="false">IF($D994="","",IFERROR(INDEX('교육원 ④ 설정'!$C$6:$C$40,MATCH($D994,'교육원 ④ 설정'!$B$6:$B$40,0)),""))</f>
        <v/>
      </c>
      <c r="G994" s="39"/>
      <c r="H994" s="39"/>
      <c r="I994" s="40"/>
      <c r="J994" s="41"/>
      <c r="K994" s="38"/>
      <c r="L994" s="42" t="str">
        <f aca="false">IF($B994="","",IF(AND(N($I994)=0,N($J994)=0),"금액이 없습니다",IF(AND($I994&gt;0,$J994&gt;0),"수입·지출 둘 다 적혔습니다",IF($C994="","결제수단을 고르십시오",IF(ISNA(MATCH($C994,'교육원 ③ 통장·카드'!$A$5:$A$11,0)),"③ 통장·카드에 없는 결제수단입니다",IF($D994="","계정과목을 고르십시오",IF($E994="※없는 과목","④ 설정에 없는 과목입니다",IF(AND($E994="수입",$J994&gt;0),"수입 과목인데 지출에 적혔습니다",IF(AND(LEFT($E994,2)&lt;&gt;"수입",$E994&lt;&gt;"대체",$I994&gt;0),"지출 과목인데 수입에 적혔습니다",IF($K994="","증빙을 고르십시오",IF($H994="","적요를 적으십시오","")))))))))))</f>
        <v/>
      </c>
      <c r="M994" s="39"/>
      <c r="O994" s="11" t="str">
        <f aca="false">IF($B994="","",YEAR($B994)*100+MONTH($B994))</f>
        <v/>
      </c>
      <c r="P994" s="11" t="str">
        <f aca="false">IF($B994="","",IF($E994="대체",0,1))</f>
        <v/>
      </c>
    </row>
    <row r="995" customFormat="false" ht="15" hidden="false" customHeight="false" outlineLevel="0" collapsed="false">
      <c r="A995" s="36" t="str">
        <f aca="false">IF($B995="","",COUNT($B$15:$B995))</f>
        <v/>
      </c>
      <c r="B995" s="37"/>
      <c r="C995" s="38"/>
      <c r="D995" s="20"/>
      <c r="E995" s="36" t="str">
        <f aca="false">IF($D995="","",IFERROR(INDEX('교육원 ④ 설정'!$A$6:$A$40,MATCH($D995,'교육원 ④ 설정'!$B$6:$B$40,0)),"※없는 과목"))</f>
        <v/>
      </c>
      <c r="F995" s="36" t="str">
        <f aca="false">IF($D995="","",IFERROR(INDEX('교육원 ④ 설정'!$C$6:$C$40,MATCH($D995,'교육원 ④ 설정'!$B$6:$B$40,0)),""))</f>
        <v/>
      </c>
      <c r="G995" s="39"/>
      <c r="H995" s="39"/>
      <c r="I995" s="40"/>
      <c r="J995" s="41"/>
      <c r="K995" s="38"/>
      <c r="L995" s="42" t="str">
        <f aca="false">IF($B995="","",IF(AND(N($I995)=0,N($J995)=0),"금액이 없습니다",IF(AND($I995&gt;0,$J995&gt;0),"수입·지출 둘 다 적혔습니다",IF($C995="","결제수단을 고르십시오",IF(ISNA(MATCH($C995,'교육원 ③ 통장·카드'!$A$5:$A$11,0)),"③ 통장·카드에 없는 결제수단입니다",IF($D995="","계정과목을 고르십시오",IF($E995="※없는 과목","④ 설정에 없는 과목입니다",IF(AND($E995="수입",$J995&gt;0),"수입 과목인데 지출에 적혔습니다",IF(AND(LEFT($E995,2)&lt;&gt;"수입",$E995&lt;&gt;"대체",$I995&gt;0),"지출 과목인데 수입에 적혔습니다",IF($K995="","증빙을 고르십시오",IF($H995="","적요를 적으십시오","")))))))))))</f>
        <v/>
      </c>
      <c r="M995" s="39"/>
      <c r="O995" s="11" t="str">
        <f aca="false">IF($B995="","",YEAR($B995)*100+MONTH($B995))</f>
        <v/>
      </c>
      <c r="P995" s="11" t="str">
        <f aca="false">IF($B995="","",IF($E995="대체",0,1))</f>
        <v/>
      </c>
    </row>
    <row r="996" customFormat="false" ht="15" hidden="false" customHeight="false" outlineLevel="0" collapsed="false">
      <c r="A996" s="36" t="str">
        <f aca="false">IF($B996="","",COUNT($B$15:$B996))</f>
        <v/>
      </c>
      <c r="B996" s="37"/>
      <c r="C996" s="38"/>
      <c r="D996" s="20"/>
      <c r="E996" s="36" t="str">
        <f aca="false">IF($D996="","",IFERROR(INDEX('교육원 ④ 설정'!$A$6:$A$40,MATCH($D996,'교육원 ④ 설정'!$B$6:$B$40,0)),"※없는 과목"))</f>
        <v/>
      </c>
      <c r="F996" s="36" t="str">
        <f aca="false">IF($D996="","",IFERROR(INDEX('교육원 ④ 설정'!$C$6:$C$40,MATCH($D996,'교육원 ④ 설정'!$B$6:$B$40,0)),""))</f>
        <v/>
      </c>
      <c r="G996" s="39"/>
      <c r="H996" s="39"/>
      <c r="I996" s="40"/>
      <c r="J996" s="41"/>
      <c r="K996" s="38"/>
      <c r="L996" s="42" t="str">
        <f aca="false">IF($B996="","",IF(AND(N($I996)=0,N($J996)=0),"금액이 없습니다",IF(AND($I996&gt;0,$J996&gt;0),"수입·지출 둘 다 적혔습니다",IF($C996="","결제수단을 고르십시오",IF(ISNA(MATCH($C996,'교육원 ③ 통장·카드'!$A$5:$A$11,0)),"③ 통장·카드에 없는 결제수단입니다",IF($D996="","계정과목을 고르십시오",IF($E996="※없는 과목","④ 설정에 없는 과목입니다",IF(AND($E996="수입",$J996&gt;0),"수입 과목인데 지출에 적혔습니다",IF(AND(LEFT($E996,2)&lt;&gt;"수입",$E996&lt;&gt;"대체",$I996&gt;0),"지출 과목인데 수입에 적혔습니다",IF($K996="","증빙을 고르십시오",IF($H996="","적요를 적으십시오","")))))))))))</f>
        <v/>
      </c>
      <c r="M996" s="39"/>
      <c r="O996" s="11" t="str">
        <f aca="false">IF($B996="","",YEAR($B996)*100+MONTH($B996))</f>
        <v/>
      </c>
      <c r="P996" s="11" t="str">
        <f aca="false">IF($B996="","",IF($E996="대체",0,1))</f>
        <v/>
      </c>
    </row>
    <row r="997" customFormat="false" ht="15" hidden="false" customHeight="false" outlineLevel="0" collapsed="false">
      <c r="A997" s="36" t="str">
        <f aca="false">IF($B997="","",COUNT($B$15:$B997))</f>
        <v/>
      </c>
      <c r="B997" s="37"/>
      <c r="C997" s="38"/>
      <c r="D997" s="20"/>
      <c r="E997" s="36" t="str">
        <f aca="false">IF($D997="","",IFERROR(INDEX('교육원 ④ 설정'!$A$6:$A$40,MATCH($D997,'교육원 ④ 설정'!$B$6:$B$40,0)),"※없는 과목"))</f>
        <v/>
      </c>
      <c r="F997" s="36" t="str">
        <f aca="false">IF($D997="","",IFERROR(INDEX('교육원 ④ 설정'!$C$6:$C$40,MATCH($D997,'교육원 ④ 설정'!$B$6:$B$40,0)),""))</f>
        <v/>
      </c>
      <c r="G997" s="39"/>
      <c r="H997" s="39"/>
      <c r="I997" s="40"/>
      <c r="J997" s="41"/>
      <c r="K997" s="38"/>
      <c r="L997" s="42" t="str">
        <f aca="false">IF($B997="","",IF(AND(N($I997)=0,N($J997)=0),"금액이 없습니다",IF(AND($I997&gt;0,$J997&gt;0),"수입·지출 둘 다 적혔습니다",IF($C997="","결제수단을 고르십시오",IF(ISNA(MATCH($C997,'교육원 ③ 통장·카드'!$A$5:$A$11,0)),"③ 통장·카드에 없는 결제수단입니다",IF($D997="","계정과목을 고르십시오",IF($E997="※없는 과목","④ 설정에 없는 과목입니다",IF(AND($E997="수입",$J997&gt;0),"수입 과목인데 지출에 적혔습니다",IF(AND(LEFT($E997,2)&lt;&gt;"수입",$E997&lt;&gt;"대체",$I997&gt;0),"지출 과목인데 수입에 적혔습니다",IF($K997="","증빙을 고르십시오",IF($H997="","적요를 적으십시오","")))))))))))</f>
        <v/>
      </c>
      <c r="M997" s="39"/>
      <c r="O997" s="11" t="str">
        <f aca="false">IF($B997="","",YEAR($B997)*100+MONTH($B997))</f>
        <v/>
      </c>
      <c r="P997" s="11" t="str">
        <f aca="false">IF($B997="","",IF($E997="대체",0,1))</f>
        <v/>
      </c>
    </row>
    <row r="998" customFormat="false" ht="15" hidden="false" customHeight="false" outlineLevel="0" collapsed="false">
      <c r="A998" s="36" t="str">
        <f aca="false">IF($B998="","",COUNT($B$15:$B998))</f>
        <v/>
      </c>
      <c r="B998" s="37"/>
      <c r="C998" s="38"/>
      <c r="D998" s="20"/>
      <c r="E998" s="36" t="str">
        <f aca="false">IF($D998="","",IFERROR(INDEX('교육원 ④ 설정'!$A$6:$A$40,MATCH($D998,'교육원 ④ 설정'!$B$6:$B$40,0)),"※없는 과목"))</f>
        <v/>
      </c>
      <c r="F998" s="36" t="str">
        <f aca="false">IF($D998="","",IFERROR(INDEX('교육원 ④ 설정'!$C$6:$C$40,MATCH($D998,'교육원 ④ 설정'!$B$6:$B$40,0)),""))</f>
        <v/>
      </c>
      <c r="G998" s="39"/>
      <c r="H998" s="39"/>
      <c r="I998" s="40"/>
      <c r="J998" s="41"/>
      <c r="K998" s="38"/>
      <c r="L998" s="42" t="str">
        <f aca="false">IF($B998="","",IF(AND(N($I998)=0,N($J998)=0),"금액이 없습니다",IF(AND($I998&gt;0,$J998&gt;0),"수입·지출 둘 다 적혔습니다",IF($C998="","결제수단을 고르십시오",IF(ISNA(MATCH($C998,'교육원 ③ 통장·카드'!$A$5:$A$11,0)),"③ 통장·카드에 없는 결제수단입니다",IF($D998="","계정과목을 고르십시오",IF($E998="※없는 과목","④ 설정에 없는 과목입니다",IF(AND($E998="수입",$J998&gt;0),"수입 과목인데 지출에 적혔습니다",IF(AND(LEFT($E998,2)&lt;&gt;"수입",$E998&lt;&gt;"대체",$I998&gt;0),"지출 과목인데 수입에 적혔습니다",IF($K998="","증빙을 고르십시오",IF($H998="","적요를 적으십시오","")))))))))))</f>
        <v/>
      </c>
      <c r="M998" s="39"/>
      <c r="O998" s="11" t="str">
        <f aca="false">IF($B998="","",YEAR($B998)*100+MONTH($B998))</f>
        <v/>
      </c>
      <c r="P998" s="11" t="str">
        <f aca="false">IF($B998="","",IF($E998="대체",0,1))</f>
        <v/>
      </c>
    </row>
    <row r="999" customFormat="false" ht="15" hidden="false" customHeight="false" outlineLevel="0" collapsed="false">
      <c r="A999" s="36" t="str">
        <f aca="false">IF($B999="","",COUNT($B$15:$B999))</f>
        <v/>
      </c>
      <c r="B999" s="37"/>
      <c r="C999" s="38"/>
      <c r="D999" s="20"/>
      <c r="E999" s="36" t="str">
        <f aca="false">IF($D999="","",IFERROR(INDEX('교육원 ④ 설정'!$A$6:$A$40,MATCH($D999,'교육원 ④ 설정'!$B$6:$B$40,0)),"※없는 과목"))</f>
        <v/>
      </c>
      <c r="F999" s="36" t="str">
        <f aca="false">IF($D999="","",IFERROR(INDEX('교육원 ④ 설정'!$C$6:$C$40,MATCH($D999,'교육원 ④ 설정'!$B$6:$B$40,0)),""))</f>
        <v/>
      </c>
      <c r="G999" s="39"/>
      <c r="H999" s="39"/>
      <c r="I999" s="40"/>
      <c r="J999" s="41"/>
      <c r="K999" s="38"/>
      <c r="L999" s="42" t="str">
        <f aca="false">IF($B999="","",IF(AND(N($I999)=0,N($J999)=0),"금액이 없습니다",IF(AND($I999&gt;0,$J999&gt;0),"수입·지출 둘 다 적혔습니다",IF($C999="","결제수단을 고르십시오",IF(ISNA(MATCH($C999,'교육원 ③ 통장·카드'!$A$5:$A$11,0)),"③ 통장·카드에 없는 결제수단입니다",IF($D999="","계정과목을 고르십시오",IF($E999="※없는 과목","④ 설정에 없는 과목입니다",IF(AND($E999="수입",$J999&gt;0),"수입 과목인데 지출에 적혔습니다",IF(AND(LEFT($E999,2)&lt;&gt;"수입",$E999&lt;&gt;"대체",$I999&gt;0),"지출 과목인데 수입에 적혔습니다",IF($K999="","증빙을 고르십시오",IF($H999="","적요를 적으십시오","")))))))))))</f>
        <v/>
      </c>
      <c r="M999" s="39"/>
      <c r="O999" s="11" t="str">
        <f aca="false">IF($B999="","",YEAR($B999)*100+MONTH($B999))</f>
        <v/>
      </c>
      <c r="P999" s="11" t="str">
        <f aca="false">IF($B999="","",IF($E999="대체",0,1))</f>
        <v/>
      </c>
    </row>
    <row r="1000" customFormat="false" ht="15" hidden="false" customHeight="false" outlineLevel="0" collapsed="false">
      <c r="A1000" s="36" t="str">
        <f aca="false">IF($B1000="","",COUNT($B$15:$B1000))</f>
        <v/>
      </c>
      <c r="B1000" s="37"/>
      <c r="C1000" s="38"/>
      <c r="D1000" s="20"/>
      <c r="E1000" s="36" t="str">
        <f aca="false">IF($D1000="","",IFERROR(INDEX('교육원 ④ 설정'!$A$6:$A$40,MATCH($D1000,'교육원 ④ 설정'!$B$6:$B$40,0)),"※없는 과목"))</f>
        <v/>
      </c>
      <c r="F1000" s="36" t="str">
        <f aca="false">IF($D1000="","",IFERROR(INDEX('교육원 ④ 설정'!$C$6:$C$40,MATCH($D1000,'교육원 ④ 설정'!$B$6:$B$40,0)),""))</f>
        <v/>
      </c>
      <c r="G1000" s="39"/>
      <c r="H1000" s="39"/>
      <c r="I1000" s="40"/>
      <c r="J1000" s="41"/>
      <c r="K1000" s="38"/>
      <c r="L1000" s="42" t="str">
        <f aca="false">IF($B1000="","",IF(AND(N($I1000)=0,N($J1000)=0),"금액이 없습니다",IF(AND($I1000&gt;0,$J1000&gt;0),"수입·지출 둘 다 적혔습니다",IF($C1000="","결제수단을 고르십시오",IF(ISNA(MATCH($C1000,'교육원 ③ 통장·카드'!$A$5:$A$11,0)),"③ 통장·카드에 없는 결제수단입니다",IF($D1000="","계정과목을 고르십시오",IF($E1000="※없는 과목","④ 설정에 없는 과목입니다",IF(AND($E1000="수입",$J1000&gt;0),"수입 과목인데 지출에 적혔습니다",IF(AND(LEFT($E1000,2)&lt;&gt;"수입",$E1000&lt;&gt;"대체",$I1000&gt;0),"지출 과목인데 수입에 적혔습니다",IF($K1000="","증빙을 고르십시오",IF($H1000="","적요를 적으십시오","")))))))))))</f>
        <v/>
      </c>
      <c r="M1000" s="39"/>
      <c r="O1000" s="11" t="str">
        <f aca="false">IF($B1000="","",YEAR($B1000)*100+MONTH($B1000))</f>
        <v/>
      </c>
      <c r="P1000" s="11" t="str">
        <f aca="false">IF($B1000="","",IF($E1000="대체",0,1))</f>
        <v/>
      </c>
    </row>
    <row r="1001" customFormat="false" ht="15" hidden="false" customHeight="false" outlineLevel="0" collapsed="false">
      <c r="A1001" s="36" t="str">
        <f aca="false">IF($B1001="","",COUNT($B$15:$B1001))</f>
        <v/>
      </c>
      <c r="B1001" s="37"/>
      <c r="C1001" s="38"/>
      <c r="D1001" s="20"/>
      <c r="E1001" s="36" t="str">
        <f aca="false">IF($D1001="","",IFERROR(INDEX('교육원 ④ 설정'!$A$6:$A$40,MATCH($D1001,'교육원 ④ 설정'!$B$6:$B$40,0)),"※없는 과목"))</f>
        <v/>
      </c>
      <c r="F1001" s="36" t="str">
        <f aca="false">IF($D1001="","",IFERROR(INDEX('교육원 ④ 설정'!$C$6:$C$40,MATCH($D1001,'교육원 ④ 설정'!$B$6:$B$40,0)),""))</f>
        <v/>
      </c>
      <c r="G1001" s="39"/>
      <c r="H1001" s="39"/>
      <c r="I1001" s="40"/>
      <c r="J1001" s="41"/>
      <c r="K1001" s="38"/>
      <c r="L1001" s="42" t="str">
        <f aca="false">IF($B1001="","",IF(AND(N($I1001)=0,N($J1001)=0),"금액이 없습니다",IF(AND($I1001&gt;0,$J1001&gt;0),"수입·지출 둘 다 적혔습니다",IF($C1001="","결제수단을 고르십시오",IF(ISNA(MATCH($C1001,'교육원 ③ 통장·카드'!$A$5:$A$11,0)),"③ 통장·카드에 없는 결제수단입니다",IF($D1001="","계정과목을 고르십시오",IF($E1001="※없는 과목","④ 설정에 없는 과목입니다",IF(AND($E1001="수입",$J1001&gt;0),"수입 과목인데 지출에 적혔습니다",IF(AND(LEFT($E1001,2)&lt;&gt;"수입",$E1001&lt;&gt;"대체",$I1001&gt;0),"지출 과목인데 수입에 적혔습니다",IF($K1001="","증빙을 고르십시오",IF($H1001="","적요를 적으십시오","")))))))))))</f>
        <v/>
      </c>
      <c r="M1001" s="39"/>
      <c r="O1001" s="11" t="str">
        <f aca="false">IF($B1001="","",YEAR($B1001)*100+MONTH($B1001))</f>
        <v/>
      </c>
      <c r="P1001" s="11" t="str">
        <f aca="false">IF($B1001="","",IF($E1001="대체",0,1))</f>
        <v/>
      </c>
    </row>
    <row r="1002" customFormat="false" ht="15" hidden="false" customHeight="false" outlineLevel="0" collapsed="false">
      <c r="A1002" s="36" t="str">
        <f aca="false">IF($B1002="","",COUNT($B$15:$B1002))</f>
        <v/>
      </c>
      <c r="B1002" s="37"/>
      <c r="C1002" s="38"/>
      <c r="D1002" s="20"/>
      <c r="E1002" s="36" t="str">
        <f aca="false">IF($D1002="","",IFERROR(INDEX('교육원 ④ 설정'!$A$6:$A$40,MATCH($D1002,'교육원 ④ 설정'!$B$6:$B$40,0)),"※없는 과목"))</f>
        <v/>
      </c>
      <c r="F1002" s="36" t="str">
        <f aca="false">IF($D1002="","",IFERROR(INDEX('교육원 ④ 설정'!$C$6:$C$40,MATCH($D1002,'교육원 ④ 설정'!$B$6:$B$40,0)),""))</f>
        <v/>
      </c>
      <c r="G1002" s="39"/>
      <c r="H1002" s="39"/>
      <c r="I1002" s="40"/>
      <c r="J1002" s="41"/>
      <c r="K1002" s="38"/>
      <c r="L1002" s="42" t="str">
        <f aca="false">IF($B1002="","",IF(AND(N($I1002)=0,N($J1002)=0),"금액이 없습니다",IF(AND($I1002&gt;0,$J1002&gt;0),"수입·지출 둘 다 적혔습니다",IF($C1002="","결제수단을 고르십시오",IF(ISNA(MATCH($C1002,'교육원 ③ 통장·카드'!$A$5:$A$11,0)),"③ 통장·카드에 없는 결제수단입니다",IF($D1002="","계정과목을 고르십시오",IF($E1002="※없는 과목","④ 설정에 없는 과목입니다",IF(AND($E1002="수입",$J1002&gt;0),"수입 과목인데 지출에 적혔습니다",IF(AND(LEFT($E1002,2)&lt;&gt;"수입",$E1002&lt;&gt;"대체",$I1002&gt;0),"지출 과목인데 수입에 적혔습니다",IF($K1002="","증빙을 고르십시오",IF($H1002="","적요를 적으십시오","")))))))))))</f>
        <v/>
      </c>
      <c r="M1002" s="39"/>
      <c r="O1002" s="11" t="str">
        <f aca="false">IF($B1002="","",YEAR($B1002)*100+MONTH($B1002))</f>
        <v/>
      </c>
      <c r="P1002" s="11" t="str">
        <f aca="false">IF($B1002="","",IF($E1002="대체",0,1))</f>
        <v/>
      </c>
    </row>
    <row r="1003" customFormat="false" ht="15" hidden="false" customHeight="false" outlineLevel="0" collapsed="false">
      <c r="A1003" s="36" t="str">
        <f aca="false">IF($B1003="","",COUNT($B$15:$B1003))</f>
        <v/>
      </c>
      <c r="B1003" s="37"/>
      <c r="C1003" s="38"/>
      <c r="D1003" s="20"/>
      <c r="E1003" s="36" t="str">
        <f aca="false">IF($D1003="","",IFERROR(INDEX('교육원 ④ 설정'!$A$6:$A$40,MATCH($D1003,'교육원 ④ 설정'!$B$6:$B$40,0)),"※없는 과목"))</f>
        <v/>
      </c>
      <c r="F1003" s="36" t="str">
        <f aca="false">IF($D1003="","",IFERROR(INDEX('교육원 ④ 설정'!$C$6:$C$40,MATCH($D1003,'교육원 ④ 설정'!$B$6:$B$40,0)),""))</f>
        <v/>
      </c>
      <c r="G1003" s="39"/>
      <c r="H1003" s="39"/>
      <c r="I1003" s="40"/>
      <c r="J1003" s="41"/>
      <c r="K1003" s="38"/>
      <c r="L1003" s="42" t="str">
        <f aca="false">IF($B1003="","",IF(AND(N($I1003)=0,N($J1003)=0),"금액이 없습니다",IF(AND($I1003&gt;0,$J1003&gt;0),"수입·지출 둘 다 적혔습니다",IF($C1003="","결제수단을 고르십시오",IF(ISNA(MATCH($C1003,'교육원 ③ 통장·카드'!$A$5:$A$11,0)),"③ 통장·카드에 없는 결제수단입니다",IF($D1003="","계정과목을 고르십시오",IF($E1003="※없는 과목","④ 설정에 없는 과목입니다",IF(AND($E1003="수입",$J1003&gt;0),"수입 과목인데 지출에 적혔습니다",IF(AND(LEFT($E1003,2)&lt;&gt;"수입",$E1003&lt;&gt;"대체",$I1003&gt;0),"지출 과목인데 수입에 적혔습니다",IF($K1003="","증빙을 고르십시오",IF($H1003="","적요를 적으십시오","")))))))))))</f>
        <v/>
      </c>
      <c r="M1003" s="39"/>
      <c r="O1003" s="11" t="str">
        <f aca="false">IF($B1003="","",YEAR($B1003)*100+MONTH($B1003))</f>
        <v/>
      </c>
      <c r="P1003" s="11" t="str">
        <f aca="false">IF($B1003="","",IF($E1003="대체",0,1))</f>
        <v/>
      </c>
    </row>
    <row r="1004" customFormat="false" ht="15" hidden="false" customHeight="false" outlineLevel="0" collapsed="false">
      <c r="A1004" s="36" t="str">
        <f aca="false">IF($B1004="","",COUNT($B$15:$B1004))</f>
        <v/>
      </c>
      <c r="B1004" s="37"/>
      <c r="C1004" s="38"/>
      <c r="D1004" s="20"/>
      <c r="E1004" s="36" t="str">
        <f aca="false">IF($D1004="","",IFERROR(INDEX('교육원 ④ 설정'!$A$6:$A$40,MATCH($D1004,'교육원 ④ 설정'!$B$6:$B$40,0)),"※없는 과목"))</f>
        <v/>
      </c>
      <c r="F1004" s="36" t="str">
        <f aca="false">IF($D1004="","",IFERROR(INDEX('교육원 ④ 설정'!$C$6:$C$40,MATCH($D1004,'교육원 ④ 설정'!$B$6:$B$40,0)),""))</f>
        <v/>
      </c>
      <c r="G1004" s="39"/>
      <c r="H1004" s="39"/>
      <c r="I1004" s="40"/>
      <c r="J1004" s="41"/>
      <c r="K1004" s="38"/>
      <c r="L1004" s="42" t="str">
        <f aca="false">IF($B1004="","",IF(AND(N($I1004)=0,N($J1004)=0),"금액이 없습니다",IF(AND($I1004&gt;0,$J1004&gt;0),"수입·지출 둘 다 적혔습니다",IF($C1004="","결제수단을 고르십시오",IF(ISNA(MATCH($C1004,'교육원 ③ 통장·카드'!$A$5:$A$11,0)),"③ 통장·카드에 없는 결제수단입니다",IF($D1004="","계정과목을 고르십시오",IF($E1004="※없는 과목","④ 설정에 없는 과목입니다",IF(AND($E1004="수입",$J1004&gt;0),"수입 과목인데 지출에 적혔습니다",IF(AND(LEFT($E1004,2)&lt;&gt;"수입",$E1004&lt;&gt;"대체",$I1004&gt;0),"지출 과목인데 수입에 적혔습니다",IF($K1004="","증빙을 고르십시오",IF($H1004="","적요를 적으십시오","")))))))))))</f>
        <v/>
      </c>
      <c r="M1004" s="39"/>
      <c r="O1004" s="11" t="str">
        <f aca="false">IF($B1004="","",YEAR($B1004)*100+MONTH($B1004))</f>
        <v/>
      </c>
      <c r="P1004" s="11" t="str">
        <f aca="false">IF($B1004="","",IF($E1004="대체",0,1))</f>
        <v/>
      </c>
    </row>
    <row r="1005" customFormat="false" ht="15" hidden="false" customHeight="false" outlineLevel="0" collapsed="false">
      <c r="A1005" s="36" t="str">
        <f aca="false">IF($B1005="","",COUNT($B$15:$B1005))</f>
        <v/>
      </c>
      <c r="B1005" s="37"/>
      <c r="C1005" s="38"/>
      <c r="D1005" s="20"/>
      <c r="E1005" s="36" t="str">
        <f aca="false">IF($D1005="","",IFERROR(INDEX('교육원 ④ 설정'!$A$6:$A$40,MATCH($D1005,'교육원 ④ 설정'!$B$6:$B$40,0)),"※없는 과목"))</f>
        <v/>
      </c>
      <c r="F1005" s="36" t="str">
        <f aca="false">IF($D1005="","",IFERROR(INDEX('교육원 ④ 설정'!$C$6:$C$40,MATCH($D1005,'교육원 ④ 설정'!$B$6:$B$40,0)),""))</f>
        <v/>
      </c>
      <c r="G1005" s="39"/>
      <c r="H1005" s="39"/>
      <c r="I1005" s="40"/>
      <c r="J1005" s="41"/>
      <c r="K1005" s="38"/>
      <c r="L1005" s="42" t="str">
        <f aca="false">IF($B1005="","",IF(AND(N($I1005)=0,N($J1005)=0),"금액이 없습니다",IF(AND($I1005&gt;0,$J1005&gt;0),"수입·지출 둘 다 적혔습니다",IF($C1005="","결제수단을 고르십시오",IF(ISNA(MATCH($C1005,'교육원 ③ 통장·카드'!$A$5:$A$11,0)),"③ 통장·카드에 없는 결제수단입니다",IF($D1005="","계정과목을 고르십시오",IF($E1005="※없는 과목","④ 설정에 없는 과목입니다",IF(AND($E1005="수입",$J1005&gt;0),"수입 과목인데 지출에 적혔습니다",IF(AND(LEFT($E1005,2)&lt;&gt;"수입",$E1005&lt;&gt;"대체",$I1005&gt;0),"지출 과목인데 수입에 적혔습니다",IF($K1005="","증빙을 고르십시오",IF($H1005="","적요를 적으십시오","")))))))))))</f>
        <v/>
      </c>
      <c r="M1005" s="39"/>
      <c r="O1005" s="11" t="str">
        <f aca="false">IF($B1005="","",YEAR($B1005)*100+MONTH($B1005))</f>
        <v/>
      </c>
      <c r="P1005" s="11" t="str">
        <f aca="false">IF($B1005="","",IF($E1005="대체",0,1))</f>
        <v/>
      </c>
    </row>
    <row r="1006" customFormat="false" ht="15" hidden="false" customHeight="false" outlineLevel="0" collapsed="false">
      <c r="A1006" s="36" t="str">
        <f aca="false">IF($B1006="","",COUNT($B$15:$B1006))</f>
        <v/>
      </c>
      <c r="B1006" s="37"/>
      <c r="C1006" s="38"/>
      <c r="D1006" s="20"/>
      <c r="E1006" s="36" t="str">
        <f aca="false">IF($D1006="","",IFERROR(INDEX('교육원 ④ 설정'!$A$6:$A$40,MATCH($D1006,'교육원 ④ 설정'!$B$6:$B$40,0)),"※없는 과목"))</f>
        <v/>
      </c>
      <c r="F1006" s="36" t="str">
        <f aca="false">IF($D1006="","",IFERROR(INDEX('교육원 ④ 설정'!$C$6:$C$40,MATCH($D1006,'교육원 ④ 설정'!$B$6:$B$40,0)),""))</f>
        <v/>
      </c>
      <c r="G1006" s="39"/>
      <c r="H1006" s="39"/>
      <c r="I1006" s="40"/>
      <c r="J1006" s="41"/>
      <c r="K1006" s="38"/>
      <c r="L1006" s="42" t="str">
        <f aca="false">IF($B1006="","",IF(AND(N($I1006)=0,N($J1006)=0),"금액이 없습니다",IF(AND($I1006&gt;0,$J1006&gt;0),"수입·지출 둘 다 적혔습니다",IF($C1006="","결제수단을 고르십시오",IF(ISNA(MATCH($C1006,'교육원 ③ 통장·카드'!$A$5:$A$11,0)),"③ 통장·카드에 없는 결제수단입니다",IF($D1006="","계정과목을 고르십시오",IF($E1006="※없는 과목","④ 설정에 없는 과목입니다",IF(AND($E1006="수입",$J1006&gt;0),"수입 과목인데 지출에 적혔습니다",IF(AND(LEFT($E1006,2)&lt;&gt;"수입",$E1006&lt;&gt;"대체",$I1006&gt;0),"지출 과목인데 수입에 적혔습니다",IF($K1006="","증빙을 고르십시오",IF($H1006="","적요를 적으십시오","")))))))))))</f>
        <v/>
      </c>
      <c r="M1006" s="39"/>
      <c r="O1006" s="11" t="str">
        <f aca="false">IF($B1006="","",YEAR($B1006)*100+MONTH($B1006))</f>
        <v/>
      </c>
      <c r="P1006" s="11" t="str">
        <f aca="false">IF($B1006="","",IF($E1006="대체",0,1))</f>
        <v/>
      </c>
    </row>
    <row r="1007" customFormat="false" ht="15" hidden="false" customHeight="false" outlineLevel="0" collapsed="false">
      <c r="A1007" s="36" t="str">
        <f aca="false">IF($B1007="","",COUNT($B$15:$B1007))</f>
        <v/>
      </c>
      <c r="B1007" s="37"/>
      <c r="C1007" s="38"/>
      <c r="D1007" s="20"/>
      <c r="E1007" s="36" t="str">
        <f aca="false">IF($D1007="","",IFERROR(INDEX('교육원 ④ 설정'!$A$6:$A$40,MATCH($D1007,'교육원 ④ 설정'!$B$6:$B$40,0)),"※없는 과목"))</f>
        <v/>
      </c>
      <c r="F1007" s="36" t="str">
        <f aca="false">IF($D1007="","",IFERROR(INDEX('교육원 ④ 설정'!$C$6:$C$40,MATCH($D1007,'교육원 ④ 설정'!$B$6:$B$40,0)),""))</f>
        <v/>
      </c>
      <c r="G1007" s="39"/>
      <c r="H1007" s="39"/>
      <c r="I1007" s="40"/>
      <c r="J1007" s="41"/>
      <c r="K1007" s="38"/>
      <c r="L1007" s="42" t="str">
        <f aca="false">IF($B1007="","",IF(AND(N($I1007)=0,N($J1007)=0),"금액이 없습니다",IF(AND($I1007&gt;0,$J1007&gt;0),"수입·지출 둘 다 적혔습니다",IF($C1007="","결제수단을 고르십시오",IF(ISNA(MATCH($C1007,'교육원 ③ 통장·카드'!$A$5:$A$11,0)),"③ 통장·카드에 없는 결제수단입니다",IF($D1007="","계정과목을 고르십시오",IF($E1007="※없는 과목","④ 설정에 없는 과목입니다",IF(AND($E1007="수입",$J1007&gt;0),"수입 과목인데 지출에 적혔습니다",IF(AND(LEFT($E1007,2)&lt;&gt;"수입",$E1007&lt;&gt;"대체",$I1007&gt;0),"지출 과목인데 수입에 적혔습니다",IF($K1007="","증빙을 고르십시오",IF($H1007="","적요를 적으십시오","")))))))))))</f>
        <v/>
      </c>
      <c r="M1007" s="39"/>
      <c r="O1007" s="11" t="str">
        <f aca="false">IF($B1007="","",YEAR($B1007)*100+MONTH($B1007))</f>
        <v/>
      </c>
      <c r="P1007" s="11" t="str">
        <f aca="false">IF($B1007="","",IF($E1007="대체",0,1))</f>
        <v/>
      </c>
    </row>
    <row r="1008" customFormat="false" ht="15" hidden="false" customHeight="false" outlineLevel="0" collapsed="false">
      <c r="A1008" s="36" t="str">
        <f aca="false">IF($B1008="","",COUNT($B$15:$B1008))</f>
        <v/>
      </c>
      <c r="B1008" s="37"/>
      <c r="C1008" s="38"/>
      <c r="D1008" s="20"/>
      <c r="E1008" s="36" t="str">
        <f aca="false">IF($D1008="","",IFERROR(INDEX('교육원 ④ 설정'!$A$6:$A$40,MATCH($D1008,'교육원 ④ 설정'!$B$6:$B$40,0)),"※없는 과목"))</f>
        <v/>
      </c>
      <c r="F1008" s="36" t="str">
        <f aca="false">IF($D1008="","",IFERROR(INDEX('교육원 ④ 설정'!$C$6:$C$40,MATCH($D1008,'교육원 ④ 설정'!$B$6:$B$40,0)),""))</f>
        <v/>
      </c>
      <c r="G1008" s="39"/>
      <c r="H1008" s="39"/>
      <c r="I1008" s="40"/>
      <c r="J1008" s="41"/>
      <c r="K1008" s="38"/>
      <c r="L1008" s="42" t="str">
        <f aca="false">IF($B1008="","",IF(AND(N($I1008)=0,N($J1008)=0),"금액이 없습니다",IF(AND($I1008&gt;0,$J1008&gt;0),"수입·지출 둘 다 적혔습니다",IF($C1008="","결제수단을 고르십시오",IF(ISNA(MATCH($C1008,'교육원 ③ 통장·카드'!$A$5:$A$11,0)),"③ 통장·카드에 없는 결제수단입니다",IF($D1008="","계정과목을 고르십시오",IF($E1008="※없는 과목","④ 설정에 없는 과목입니다",IF(AND($E1008="수입",$J1008&gt;0),"수입 과목인데 지출에 적혔습니다",IF(AND(LEFT($E1008,2)&lt;&gt;"수입",$E1008&lt;&gt;"대체",$I1008&gt;0),"지출 과목인데 수입에 적혔습니다",IF($K1008="","증빙을 고르십시오",IF($H1008="","적요를 적으십시오","")))))))))))</f>
        <v/>
      </c>
      <c r="M1008" s="39"/>
      <c r="O1008" s="11" t="str">
        <f aca="false">IF($B1008="","",YEAR($B1008)*100+MONTH($B1008))</f>
        <v/>
      </c>
      <c r="P1008" s="11" t="str">
        <f aca="false">IF($B1008="","",IF($E1008="대체",0,1))</f>
        <v/>
      </c>
    </row>
    <row r="1009" customFormat="false" ht="15" hidden="false" customHeight="false" outlineLevel="0" collapsed="false">
      <c r="A1009" s="36" t="str">
        <f aca="false">IF($B1009="","",COUNT($B$15:$B1009))</f>
        <v/>
      </c>
      <c r="B1009" s="37"/>
      <c r="C1009" s="38"/>
      <c r="D1009" s="20"/>
      <c r="E1009" s="36" t="str">
        <f aca="false">IF($D1009="","",IFERROR(INDEX('교육원 ④ 설정'!$A$6:$A$40,MATCH($D1009,'교육원 ④ 설정'!$B$6:$B$40,0)),"※없는 과목"))</f>
        <v/>
      </c>
      <c r="F1009" s="36" t="str">
        <f aca="false">IF($D1009="","",IFERROR(INDEX('교육원 ④ 설정'!$C$6:$C$40,MATCH($D1009,'교육원 ④ 설정'!$B$6:$B$40,0)),""))</f>
        <v/>
      </c>
      <c r="G1009" s="39"/>
      <c r="H1009" s="39"/>
      <c r="I1009" s="40"/>
      <c r="J1009" s="41"/>
      <c r="K1009" s="38"/>
      <c r="L1009" s="42" t="str">
        <f aca="false">IF($B1009="","",IF(AND(N($I1009)=0,N($J1009)=0),"금액이 없습니다",IF(AND($I1009&gt;0,$J1009&gt;0),"수입·지출 둘 다 적혔습니다",IF($C1009="","결제수단을 고르십시오",IF(ISNA(MATCH($C1009,'교육원 ③ 통장·카드'!$A$5:$A$11,0)),"③ 통장·카드에 없는 결제수단입니다",IF($D1009="","계정과목을 고르십시오",IF($E1009="※없는 과목","④ 설정에 없는 과목입니다",IF(AND($E1009="수입",$J1009&gt;0),"수입 과목인데 지출에 적혔습니다",IF(AND(LEFT($E1009,2)&lt;&gt;"수입",$E1009&lt;&gt;"대체",$I1009&gt;0),"지출 과목인데 수입에 적혔습니다",IF($K1009="","증빙을 고르십시오",IF($H1009="","적요를 적으십시오","")))))))))))</f>
        <v/>
      </c>
      <c r="M1009" s="39"/>
      <c r="O1009" s="11" t="str">
        <f aca="false">IF($B1009="","",YEAR($B1009)*100+MONTH($B1009))</f>
        <v/>
      </c>
      <c r="P1009" s="11" t="str">
        <f aca="false">IF($B1009="","",IF($E1009="대체",0,1))</f>
        <v/>
      </c>
    </row>
    <row r="1010" customFormat="false" ht="15" hidden="false" customHeight="false" outlineLevel="0" collapsed="false">
      <c r="A1010" s="36" t="str">
        <f aca="false">IF($B1010="","",COUNT($B$15:$B1010))</f>
        <v/>
      </c>
      <c r="B1010" s="37"/>
      <c r="C1010" s="38"/>
      <c r="D1010" s="20"/>
      <c r="E1010" s="36" t="str">
        <f aca="false">IF($D1010="","",IFERROR(INDEX('교육원 ④ 설정'!$A$6:$A$40,MATCH($D1010,'교육원 ④ 설정'!$B$6:$B$40,0)),"※없는 과목"))</f>
        <v/>
      </c>
      <c r="F1010" s="36" t="str">
        <f aca="false">IF($D1010="","",IFERROR(INDEX('교육원 ④ 설정'!$C$6:$C$40,MATCH($D1010,'교육원 ④ 설정'!$B$6:$B$40,0)),""))</f>
        <v/>
      </c>
      <c r="G1010" s="39"/>
      <c r="H1010" s="39"/>
      <c r="I1010" s="40"/>
      <c r="J1010" s="41"/>
      <c r="K1010" s="38"/>
      <c r="L1010" s="42" t="str">
        <f aca="false">IF($B1010="","",IF(AND(N($I1010)=0,N($J1010)=0),"금액이 없습니다",IF(AND($I1010&gt;0,$J1010&gt;0),"수입·지출 둘 다 적혔습니다",IF($C1010="","결제수단을 고르십시오",IF(ISNA(MATCH($C1010,'교육원 ③ 통장·카드'!$A$5:$A$11,0)),"③ 통장·카드에 없는 결제수단입니다",IF($D1010="","계정과목을 고르십시오",IF($E1010="※없는 과목","④ 설정에 없는 과목입니다",IF(AND($E1010="수입",$J1010&gt;0),"수입 과목인데 지출에 적혔습니다",IF(AND(LEFT($E1010,2)&lt;&gt;"수입",$E1010&lt;&gt;"대체",$I1010&gt;0),"지출 과목인데 수입에 적혔습니다",IF($K1010="","증빙을 고르십시오",IF($H1010="","적요를 적으십시오","")))))))))))</f>
        <v/>
      </c>
      <c r="M1010" s="39"/>
      <c r="O1010" s="11" t="str">
        <f aca="false">IF($B1010="","",YEAR($B1010)*100+MONTH($B1010))</f>
        <v/>
      </c>
      <c r="P1010" s="11" t="str">
        <f aca="false">IF($B1010="","",IF($E1010="대체",0,1))</f>
        <v/>
      </c>
    </row>
    <row r="1011" customFormat="false" ht="15" hidden="false" customHeight="false" outlineLevel="0" collapsed="false">
      <c r="A1011" s="36" t="str">
        <f aca="false">IF($B1011="","",COUNT($B$15:$B1011))</f>
        <v/>
      </c>
      <c r="B1011" s="37"/>
      <c r="C1011" s="38"/>
      <c r="D1011" s="20"/>
      <c r="E1011" s="36" t="str">
        <f aca="false">IF($D1011="","",IFERROR(INDEX('교육원 ④ 설정'!$A$6:$A$40,MATCH($D1011,'교육원 ④ 설정'!$B$6:$B$40,0)),"※없는 과목"))</f>
        <v/>
      </c>
      <c r="F1011" s="36" t="str">
        <f aca="false">IF($D1011="","",IFERROR(INDEX('교육원 ④ 설정'!$C$6:$C$40,MATCH($D1011,'교육원 ④ 설정'!$B$6:$B$40,0)),""))</f>
        <v/>
      </c>
      <c r="G1011" s="39"/>
      <c r="H1011" s="39"/>
      <c r="I1011" s="40"/>
      <c r="J1011" s="41"/>
      <c r="K1011" s="38"/>
      <c r="L1011" s="42" t="str">
        <f aca="false">IF($B1011="","",IF(AND(N($I1011)=0,N($J1011)=0),"금액이 없습니다",IF(AND($I1011&gt;0,$J1011&gt;0),"수입·지출 둘 다 적혔습니다",IF($C1011="","결제수단을 고르십시오",IF(ISNA(MATCH($C1011,'교육원 ③ 통장·카드'!$A$5:$A$11,0)),"③ 통장·카드에 없는 결제수단입니다",IF($D1011="","계정과목을 고르십시오",IF($E1011="※없는 과목","④ 설정에 없는 과목입니다",IF(AND($E1011="수입",$J1011&gt;0),"수입 과목인데 지출에 적혔습니다",IF(AND(LEFT($E1011,2)&lt;&gt;"수입",$E1011&lt;&gt;"대체",$I1011&gt;0),"지출 과목인데 수입에 적혔습니다",IF($K1011="","증빙을 고르십시오",IF($H1011="","적요를 적으십시오","")))))))))))</f>
        <v/>
      </c>
      <c r="M1011" s="39"/>
      <c r="O1011" s="11" t="str">
        <f aca="false">IF($B1011="","",YEAR($B1011)*100+MONTH($B1011))</f>
        <v/>
      </c>
      <c r="P1011" s="11" t="str">
        <f aca="false">IF($B1011="","",IF($E1011="대체",0,1))</f>
        <v/>
      </c>
    </row>
    <row r="1012" customFormat="false" ht="15" hidden="false" customHeight="false" outlineLevel="0" collapsed="false">
      <c r="A1012" s="36" t="str">
        <f aca="false">IF($B1012="","",COUNT($B$15:$B1012))</f>
        <v/>
      </c>
      <c r="B1012" s="37"/>
      <c r="C1012" s="38"/>
      <c r="D1012" s="20"/>
      <c r="E1012" s="36" t="str">
        <f aca="false">IF($D1012="","",IFERROR(INDEX('교육원 ④ 설정'!$A$6:$A$40,MATCH($D1012,'교육원 ④ 설정'!$B$6:$B$40,0)),"※없는 과목"))</f>
        <v/>
      </c>
      <c r="F1012" s="36" t="str">
        <f aca="false">IF($D1012="","",IFERROR(INDEX('교육원 ④ 설정'!$C$6:$C$40,MATCH($D1012,'교육원 ④ 설정'!$B$6:$B$40,0)),""))</f>
        <v/>
      </c>
      <c r="G1012" s="39"/>
      <c r="H1012" s="39"/>
      <c r="I1012" s="40"/>
      <c r="J1012" s="41"/>
      <c r="K1012" s="38"/>
      <c r="L1012" s="42" t="str">
        <f aca="false">IF($B1012="","",IF(AND(N($I1012)=0,N($J1012)=0),"금액이 없습니다",IF(AND($I1012&gt;0,$J1012&gt;0),"수입·지출 둘 다 적혔습니다",IF($C1012="","결제수단을 고르십시오",IF(ISNA(MATCH($C1012,'교육원 ③ 통장·카드'!$A$5:$A$11,0)),"③ 통장·카드에 없는 결제수단입니다",IF($D1012="","계정과목을 고르십시오",IF($E1012="※없는 과목","④ 설정에 없는 과목입니다",IF(AND($E1012="수입",$J1012&gt;0),"수입 과목인데 지출에 적혔습니다",IF(AND(LEFT($E1012,2)&lt;&gt;"수입",$E1012&lt;&gt;"대체",$I1012&gt;0),"지출 과목인데 수입에 적혔습니다",IF($K1012="","증빙을 고르십시오",IF($H1012="","적요를 적으십시오","")))))))))))</f>
        <v/>
      </c>
      <c r="M1012" s="39"/>
      <c r="O1012" s="11" t="str">
        <f aca="false">IF($B1012="","",YEAR($B1012)*100+MONTH($B1012))</f>
        <v/>
      </c>
      <c r="P1012" s="11" t="str">
        <f aca="false">IF($B1012="","",IF($E1012="대체",0,1))</f>
        <v/>
      </c>
    </row>
    <row r="1013" customFormat="false" ht="15" hidden="false" customHeight="false" outlineLevel="0" collapsed="false">
      <c r="A1013" s="36" t="str">
        <f aca="false">IF($B1013="","",COUNT($B$15:$B1013))</f>
        <v/>
      </c>
      <c r="B1013" s="37"/>
      <c r="C1013" s="38"/>
      <c r="D1013" s="20"/>
      <c r="E1013" s="36" t="str">
        <f aca="false">IF($D1013="","",IFERROR(INDEX('교육원 ④ 설정'!$A$6:$A$40,MATCH($D1013,'교육원 ④ 설정'!$B$6:$B$40,0)),"※없는 과목"))</f>
        <v/>
      </c>
      <c r="F1013" s="36" t="str">
        <f aca="false">IF($D1013="","",IFERROR(INDEX('교육원 ④ 설정'!$C$6:$C$40,MATCH($D1013,'교육원 ④ 설정'!$B$6:$B$40,0)),""))</f>
        <v/>
      </c>
      <c r="G1013" s="39"/>
      <c r="H1013" s="39"/>
      <c r="I1013" s="40"/>
      <c r="J1013" s="41"/>
      <c r="K1013" s="38"/>
      <c r="L1013" s="42" t="str">
        <f aca="false">IF($B1013="","",IF(AND(N($I1013)=0,N($J1013)=0),"금액이 없습니다",IF(AND($I1013&gt;0,$J1013&gt;0),"수입·지출 둘 다 적혔습니다",IF($C1013="","결제수단을 고르십시오",IF(ISNA(MATCH($C1013,'교육원 ③ 통장·카드'!$A$5:$A$11,0)),"③ 통장·카드에 없는 결제수단입니다",IF($D1013="","계정과목을 고르십시오",IF($E1013="※없는 과목","④ 설정에 없는 과목입니다",IF(AND($E1013="수입",$J1013&gt;0),"수입 과목인데 지출에 적혔습니다",IF(AND(LEFT($E1013,2)&lt;&gt;"수입",$E1013&lt;&gt;"대체",$I1013&gt;0),"지출 과목인데 수입에 적혔습니다",IF($K1013="","증빙을 고르십시오",IF($H1013="","적요를 적으십시오","")))))))))))</f>
        <v/>
      </c>
      <c r="M1013" s="39"/>
      <c r="O1013" s="11" t="str">
        <f aca="false">IF($B1013="","",YEAR($B1013)*100+MONTH($B1013))</f>
        <v/>
      </c>
      <c r="P1013" s="11" t="str">
        <f aca="false">IF($B1013="","",IF($E1013="대체",0,1))</f>
        <v/>
      </c>
    </row>
    <row r="1014" customFormat="false" ht="15" hidden="false" customHeight="false" outlineLevel="0" collapsed="false">
      <c r="A1014" s="36" t="str">
        <f aca="false">IF($B1014="","",COUNT($B$15:$B1014))</f>
        <v/>
      </c>
      <c r="B1014" s="37"/>
      <c r="C1014" s="38"/>
      <c r="D1014" s="20"/>
      <c r="E1014" s="36" t="str">
        <f aca="false">IF($D1014="","",IFERROR(INDEX('교육원 ④ 설정'!$A$6:$A$40,MATCH($D1014,'교육원 ④ 설정'!$B$6:$B$40,0)),"※없는 과목"))</f>
        <v/>
      </c>
      <c r="F1014" s="36" t="str">
        <f aca="false">IF($D1014="","",IFERROR(INDEX('교육원 ④ 설정'!$C$6:$C$40,MATCH($D1014,'교육원 ④ 설정'!$B$6:$B$40,0)),""))</f>
        <v/>
      </c>
      <c r="G1014" s="39"/>
      <c r="H1014" s="39"/>
      <c r="I1014" s="40"/>
      <c r="J1014" s="41"/>
      <c r="K1014" s="38"/>
      <c r="L1014" s="42" t="str">
        <f aca="false">IF($B1014="","",IF(AND(N($I1014)=0,N($J1014)=0),"금액이 없습니다",IF(AND($I1014&gt;0,$J1014&gt;0),"수입·지출 둘 다 적혔습니다",IF($C1014="","결제수단을 고르십시오",IF(ISNA(MATCH($C1014,'교육원 ③ 통장·카드'!$A$5:$A$11,0)),"③ 통장·카드에 없는 결제수단입니다",IF($D1014="","계정과목을 고르십시오",IF($E1014="※없는 과목","④ 설정에 없는 과목입니다",IF(AND($E1014="수입",$J1014&gt;0),"수입 과목인데 지출에 적혔습니다",IF(AND(LEFT($E1014,2)&lt;&gt;"수입",$E1014&lt;&gt;"대체",$I1014&gt;0),"지출 과목인데 수입에 적혔습니다",IF($K1014="","증빙을 고르십시오",IF($H1014="","적요를 적으십시오","")))))))))))</f>
        <v/>
      </c>
      <c r="M1014" s="39"/>
      <c r="O1014" s="11" t="str">
        <f aca="false">IF($B1014="","",YEAR($B1014)*100+MONTH($B1014))</f>
        <v/>
      </c>
      <c r="P1014" s="11" t="str">
        <f aca="false">IF($B1014="","",IF($E1014="대체",0,1))</f>
        <v/>
      </c>
    </row>
    <row r="1015" customFormat="false" ht="15" hidden="false" customHeight="false" outlineLevel="0" collapsed="false">
      <c r="A1015" s="36" t="str">
        <f aca="false">IF($B1015="","",COUNT($B$15:$B1015))</f>
        <v/>
      </c>
      <c r="B1015" s="37"/>
      <c r="C1015" s="38"/>
      <c r="D1015" s="20"/>
      <c r="E1015" s="36" t="str">
        <f aca="false">IF($D1015="","",IFERROR(INDEX('교육원 ④ 설정'!$A$6:$A$40,MATCH($D1015,'교육원 ④ 설정'!$B$6:$B$40,0)),"※없는 과목"))</f>
        <v/>
      </c>
      <c r="F1015" s="36" t="str">
        <f aca="false">IF($D1015="","",IFERROR(INDEX('교육원 ④ 설정'!$C$6:$C$40,MATCH($D1015,'교육원 ④ 설정'!$B$6:$B$40,0)),""))</f>
        <v/>
      </c>
      <c r="G1015" s="39"/>
      <c r="H1015" s="39"/>
      <c r="I1015" s="40"/>
      <c r="J1015" s="41"/>
      <c r="K1015" s="38"/>
      <c r="L1015" s="42" t="str">
        <f aca="false">IF($B1015="","",IF(AND(N($I1015)=0,N($J1015)=0),"금액이 없습니다",IF(AND($I1015&gt;0,$J1015&gt;0),"수입·지출 둘 다 적혔습니다",IF($C1015="","결제수단을 고르십시오",IF(ISNA(MATCH($C1015,'교육원 ③ 통장·카드'!$A$5:$A$11,0)),"③ 통장·카드에 없는 결제수단입니다",IF($D1015="","계정과목을 고르십시오",IF($E1015="※없는 과목","④ 설정에 없는 과목입니다",IF(AND($E1015="수입",$J1015&gt;0),"수입 과목인데 지출에 적혔습니다",IF(AND(LEFT($E1015,2)&lt;&gt;"수입",$E1015&lt;&gt;"대체",$I1015&gt;0),"지출 과목인데 수입에 적혔습니다",IF($K1015="","증빙을 고르십시오",IF($H1015="","적요를 적으십시오","")))))))))))</f>
        <v/>
      </c>
      <c r="M1015" s="39"/>
      <c r="O1015" s="11" t="str">
        <f aca="false">IF($B1015="","",YEAR($B1015)*100+MONTH($B1015))</f>
        <v/>
      </c>
      <c r="P1015" s="11" t="str">
        <f aca="false">IF($B1015="","",IF($E1015="대체",0,1))</f>
        <v/>
      </c>
    </row>
    <row r="1016" customFormat="false" ht="15" hidden="false" customHeight="false" outlineLevel="0" collapsed="false">
      <c r="A1016" s="36" t="str">
        <f aca="false">IF($B1016="","",COUNT($B$15:$B1016))</f>
        <v/>
      </c>
      <c r="B1016" s="37"/>
      <c r="C1016" s="38"/>
      <c r="D1016" s="20"/>
      <c r="E1016" s="36" t="str">
        <f aca="false">IF($D1016="","",IFERROR(INDEX('교육원 ④ 설정'!$A$6:$A$40,MATCH($D1016,'교육원 ④ 설정'!$B$6:$B$40,0)),"※없는 과목"))</f>
        <v/>
      </c>
      <c r="F1016" s="36" t="str">
        <f aca="false">IF($D1016="","",IFERROR(INDEX('교육원 ④ 설정'!$C$6:$C$40,MATCH($D1016,'교육원 ④ 설정'!$B$6:$B$40,0)),""))</f>
        <v/>
      </c>
      <c r="G1016" s="39"/>
      <c r="H1016" s="39"/>
      <c r="I1016" s="40"/>
      <c r="J1016" s="41"/>
      <c r="K1016" s="38"/>
      <c r="L1016" s="42" t="str">
        <f aca="false">IF($B1016="","",IF(AND(N($I1016)=0,N($J1016)=0),"금액이 없습니다",IF(AND($I1016&gt;0,$J1016&gt;0),"수입·지출 둘 다 적혔습니다",IF($C1016="","결제수단을 고르십시오",IF(ISNA(MATCH($C1016,'교육원 ③ 통장·카드'!$A$5:$A$11,0)),"③ 통장·카드에 없는 결제수단입니다",IF($D1016="","계정과목을 고르십시오",IF($E1016="※없는 과목","④ 설정에 없는 과목입니다",IF(AND($E1016="수입",$J1016&gt;0),"수입 과목인데 지출에 적혔습니다",IF(AND(LEFT($E1016,2)&lt;&gt;"수입",$E1016&lt;&gt;"대체",$I1016&gt;0),"지출 과목인데 수입에 적혔습니다",IF($K1016="","증빙을 고르십시오",IF($H1016="","적요를 적으십시오","")))))))))))</f>
        <v/>
      </c>
      <c r="M1016" s="39"/>
      <c r="O1016" s="11" t="str">
        <f aca="false">IF($B1016="","",YEAR($B1016)*100+MONTH($B1016))</f>
        <v/>
      </c>
      <c r="P1016" s="11" t="str">
        <f aca="false">IF($B1016="","",IF($E1016="대체",0,1))</f>
        <v/>
      </c>
    </row>
    <row r="1017" customFormat="false" ht="15" hidden="false" customHeight="false" outlineLevel="0" collapsed="false">
      <c r="A1017" s="36" t="str">
        <f aca="false">IF($B1017="","",COUNT($B$15:$B1017))</f>
        <v/>
      </c>
      <c r="B1017" s="37"/>
      <c r="C1017" s="38"/>
      <c r="D1017" s="20"/>
      <c r="E1017" s="36" t="str">
        <f aca="false">IF($D1017="","",IFERROR(INDEX('교육원 ④ 설정'!$A$6:$A$40,MATCH($D1017,'교육원 ④ 설정'!$B$6:$B$40,0)),"※없는 과목"))</f>
        <v/>
      </c>
      <c r="F1017" s="36" t="str">
        <f aca="false">IF($D1017="","",IFERROR(INDEX('교육원 ④ 설정'!$C$6:$C$40,MATCH($D1017,'교육원 ④ 설정'!$B$6:$B$40,0)),""))</f>
        <v/>
      </c>
      <c r="G1017" s="39"/>
      <c r="H1017" s="39"/>
      <c r="I1017" s="40"/>
      <c r="J1017" s="41"/>
      <c r="K1017" s="38"/>
      <c r="L1017" s="42" t="str">
        <f aca="false">IF($B1017="","",IF(AND(N($I1017)=0,N($J1017)=0),"금액이 없습니다",IF(AND($I1017&gt;0,$J1017&gt;0),"수입·지출 둘 다 적혔습니다",IF($C1017="","결제수단을 고르십시오",IF(ISNA(MATCH($C1017,'교육원 ③ 통장·카드'!$A$5:$A$11,0)),"③ 통장·카드에 없는 결제수단입니다",IF($D1017="","계정과목을 고르십시오",IF($E1017="※없는 과목","④ 설정에 없는 과목입니다",IF(AND($E1017="수입",$J1017&gt;0),"수입 과목인데 지출에 적혔습니다",IF(AND(LEFT($E1017,2)&lt;&gt;"수입",$E1017&lt;&gt;"대체",$I1017&gt;0),"지출 과목인데 수입에 적혔습니다",IF($K1017="","증빙을 고르십시오",IF($H1017="","적요를 적으십시오","")))))))))))</f>
        <v/>
      </c>
      <c r="M1017" s="39"/>
      <c r="O1017" s="11" t="str">
        <f aca="false">IF($B1017="","",YEAR($B1017)*100+MONTH($B1017))</f>
        <v/>
      </c>
      <c r="P1017" s="11" t="str">
        <f aca="false">IF($B1017="","",IF($E1017="대체",0,1))</f>
        <v/>
      </c>
    </row>
    <row r="1018" customFormat="false" ht="15" hidden="false" customHeight="false" outlineLevel="0" collapsed="false">
      <c r="A1018" s="36" t="str">
        <f aca="false">IF($B1018="","",COUNT($B$15:$B1018))</f>
        <v/>
      </c>
      <c r="B1018" s="37"/>
      <c r="C1018" s="38"/>
      <c r="D1018" s="20"/>
      <c r="E1018" s="36" t="str">
        <f aca="false">IF($D1018="","",IFERROR(INDEX('교육원 ④ 설정'!$A$6:$A$40,MATCH($D1018,'교육원 ④ 설정'!$B$6:$B$40,0)),"※없는 과목"))</f>
        <v/>
      </c>
      <c r="F1018" s="36" t="str">
        <f aca="false">IF($D1018="","",IFERROR(INDEX('교육원 ④ 설정'!$C$6:$C$40,MATCH($D1018,'교육원 ④ 설정'!$B$6:$B$40,0)),""))</f>
        <v/>
      </c>
      <c r="G1018" s="39"/>
      <c r="H1018" s="39"/>
      <c r="I1018" s="40"/>
      <c r="J1018" s="41"/>
      <c r="K1018" s="38"/>
      <c r="L1018" s="42" t="str">
        <f aca="false">IF($B1018="","",IF(AND(N($I1018)=0,N($J1018)=0),"금액이 없습니다",IF(AND($I1018&gt;0,$J1018&gt;0),"수입·지출 둘 다 적혔습니다",IF($C1018="","결제수단을 고르십시오",IF(ISNA(MATCH($C1018,'교육원 ③ 통장·카드'!$A$5:$A$11,0)),"③ 통장·카드에 없는 결제수단입니다",IF($D1018="","계정과목을 고르십시오",IF($E1018="※없는 과목","④ 설정에 없는 과목입니다",IF(AND($E1018="수입",$J1018&gt;0),"수입 과목인데 지출에 적혔습니다",IF(AND(LEFT($E1018,2)&lt;&gt;"수입",$E1018&lt;&gt;"대체",$I1018&gt;0),"지출 과목인데 수입에 적혔습니다",IF($K1018="","증빙을 고르십시오",IF($H1018="","적요를 적으십시오","")))))))))))</f>
        <v/>
      </c>
      <c r="M1018" s="39"/>
      <c r="O1018" s="11" t="str">
        <f aca="false">IF($B1018="","",YEAR($B1018)*100+MONTH($B1018))</f>
        <v/>
      </c>
      <c r="P1018" s="11" t="str">
        <f aca="false">IF($B1018="","",IF($E1018="대체",0,1))</f>
        <v/>
      </c>
    </row>
    <row r="1019" customFormat="false" ht="15" hidden="false" customHeight="false" outlineLevel="0" collapsed="false">
      <c r="A1019" s="36" t="str">
        <f aca="false">IF($B1019="","",COUNT($B$15:$B1019))</f>
        <v/>
      </c>
      <c r="B1019" s="37"/>
      <c r="C1019" s="38"/>
      <c r="D1019" s="20"/>
      <c r="E1019" s="36" t="str">
        <f aca="false">IF($D1019="","",IFERROR(INDEX('교육원 ④ 설정'!$A$6:$A$40,MATCH($D1019,'교육원 ④ 설정'!$B$6:$B$40,0)),"※없는 과목"))</f>
        <v/>
      </c>
      <c r="F1019" s="36" t="str">
        <f aca="false">IF($D1019="","",IFERROR(INDEX('교육원 ④ 설정'!$C$6:$C$40,MATCH($D1019,'교육원 ④ 설정'!$B$6:$B$40,0)),""))</f>
        <v/>
      </c>
      <c r="G1019" s="39"/>
      <c r="H1019" s="39"/>
      <c r="I1019" s="40"/>
      <c r="J1019" s="41"/>
      <c r="K1019" s="38"/>
      <c r="L1019" s="42" t="str">
        <f aca="false">IF($B1019="","",IF(AND(N($I1019)=0,N($J1019)=0),"금액이 없습니다",IF(AND($I1019&gt;0,$J1019&gt;0),"수입·지출 둘 다 적혔습니다",IF($C1019="","결제수단을 고르십시오",IF(ISNA(MATCH($C1019,'교육원 ③ 통장·카드'!$A$5:$A$11,0)),"③ 통장·카드에 없는 결제수단입니다",IF($D1019="","계정과목을 고르십시오",IF($E1019="※없는 과목","④ 설정에 없는 과목입니다",IF(AND($E1019="수입",$J1019&gt;0),"수입 과목인데 지출에 적혔습니다",IF(AND(LEFT($E1019,2)&lt;&gt;"수입",$E1019&lt;&gt;"대체",$I1019&gt;0),"지출 과목인데 수입에 적혔습니다",IF($K1019="","증빙을 고르십시오",IF($H1019="","적요를 적으십시오","")))))))))))</f>
        <v/>
      </c>
      <c r="M1019" s="39"/>
      <c r="O1019" s="11" t="str">
        <f aca="false">IF($B1019="","",YEAR($B1019)*100+MONTH($B1019))</f>
        <v/>
      </c>
      <c r="P1019" s="11" t="str">
        <f aca="false">IF($B1019="","",IF($E1019="대체",0,1))</f>
        <v/>
      </c>
    </row>
    <row r="1020" customFormat="false" ht="15" hidden="false" customHeight="false" outlineLevel="0" collapsed="false">
      <c r="A1020" s="36" t="str">
        <f aca="false">IF($B1020="","",COUNT($B$15:$B1020))</f>
        <v/>
      </c>
      <c r="B1020" s="37"/>
      <c r="C1020" s="38"/>
      <c r="D1020" s="20"/>
      <c r="E1020" s="36" t="str">
        <f aca="false">IF($D1020="","",IFERROR(INDEX('교육원 ④ 설정'!$A$6:$A$40,MATCH($D1020,'교육원 ④ 설정'!$B$6:$B$40,0)),"※없는 과목"))</f>
        <v/>
      </c>
      <c r="F1020" s="36" t="str">
        <f aca="false">IF($D1020="","",IFERROR(INDEX('교육원 ④ 설정'!$C$6:$C$40,MATCH($D1020,'교육원 ④ 설정'!$B$6:$B$40,0)),""))</f>
        <v/>
      </c>
      <c r="G1020" s="39"/>
      <c r="H1020" s="39"/>
      <c r="I1020" s="40"/>
      <c r="J1020" s="41"/>
      <c r="K1020" s="38"/>
      <c r="L1020" s="42" t="str">
        <f aca="false">IF($B1020="","",IF(AND(N($I1020)=0,N($J1020)=0),"금액이 없습니다",IF(AND($I1020&gt;0,$J1020&gt;0),"수입·지출 둘 다 적혔습니다",IF($C1020="","결제수단을 고르십시오",IF(ISNA(MATCH($C1020,'교육원 ③ 통장·카드'!$A$5:$A$11,0)),"③ 통장·카드에 없는 결제수단입니다",IF($D1020="","계정과목을 고르십시오",IF($E1020="※없는 과목","④ 설정에 없는 과목입니다",IF(AND($E1020="수입",$J1020&gt;0),"수입 과목인데 지출에 적혔습니다",IF(AND(LEFT($E1020,2)&lt;&gt;"수입",$E1020&lt;&gt;"대체",$I1020&gt;0),"지출 과목인데 수입에 적혔습니다",IF($K1020="","증빙을 고르십시오",IF($H1020="","적요를 적으십시오","")))))))))))</f>
        <v/>
      </c>
      <c r="M1020" s="39"/>
      <c r="O1020" s="11" t="str">
        <f aca="false">IF($B1020="","",YEAR($B1020)*100+MONTH($B1020))</f>
        <v/>
      </c>
      <c r="P1020" s="11" t="str">
        <f aca="false">IF($B1020="","",IF($E1020="대체",0,1))</f>
        <v/>
      </c>
    </row>
    <row r="1021" customFormat="false" ht="15" hidden="false" customHeight="false" outlineLevel="0" collapsed="false">
      <c r="A1021" s="36" t="str">
        <f aca="false">IF($B1021="","",COUNT($B$15:$B1021))</f>
        <v/>
      </c>
      <c r="B1021" s="37"/>
      <c r="C1021" s="38"/>
      <c r="D1021" s="20"/>
      <c r="E1021" s="36" t="str">
        <f aca="false">IF($D1021="","",IFERROR(INDEX('교육원 ④ 설정'!$A$6:$A$40,MATCH($D1021,'교육원 ④ 설정'!$B$6:$B$40,0)),"※없는 과목"))</f>
        <v/>
      </c>
      <c r="F1021" s="36" t="str">
        <f aca="false">IF($D1021="","",IFERROR(INDEX('교육원 ④ 설정'!$C$6:$C$40,MATCH($D1021,'교육원 ④ 설정'!$B$6:$B$40,0)),""))</f>
        <v/>
      </c>
      <c r="G1021" s="39"/>
      <c r="H1021" s="39"/>
      <c r="I1021" s="40"/>
      <c r="J1021" s="41"/>
      <c r="K1021" s="38"/>
      <c r="L1021" s="42" t="str">
        <f aca="false">IF($B1021="","",IF(AND(N($I1021)=0,N($J1021)=0),"금액이 없습니다",IF(AND($I1021&gt;0,$J1021&gt;0),"수입·지출 둘 다 적혔습니다",IF($C1021="","결제수단을 고르십시오",IF(ISNA(MATCH($C1021,'교육원 ③ 통장·카드'!$A$5:$A$11,0)),"③ 통장·카드에 없는 결제수단입니다",IF($D1021="","계정과목을 고르십시오",IF($E1021="※없는 과목","④ 설정에 없는 과목입니다",IF(AND($E1021="수입",$J1021&gt;0),"수입 과목인데 지출에 적혔습니다",IF(AND(LEFT($E1021,2)&lt;&gt;"수입",$E1021&lt;&gt;"대체",$I1021&gt;0),"지출 과목인데 수입에 적혔습니다",IF($K1021="","증빙을 고르십시오",IF($H1021="","적요를 적으십시오","")))))))))))</f>
        <v/>
      </c>
      <c r="M1021" s="39"/>
      <c r="O1021" s="11" t="str">
        <f aca="false">IF($B1021="","",YEAR($B1021)*100+MONTH($B1021))</f>
        <v/>
      </c>
      <c r="P1021" s="11" t="str">
        <f aca="false">IF($B1021="","",IF($E1021="대체",0,1))</f>
        <v/>
      </c>
    </row>
    <row r="1022" customFormat="false" ht="15" hidden="false" customHeight="false" outlineLevel="0" collapsed="false">
      <c r="A1022" s="36" t="str">
        <f aca="false">IF($B1022="","",COUNT($B$15:$B1022))</f>
        <v/>
      </c>
      <c r="B1022" s="37"/>
      <c r="C1022" s="38"/>
      <c r="D1022" s="20"/>
      <c r="E1022" s="36" t="str">
        <f aca="false">IF($D1022="","",IFERROR(INDEX('교육원 ④ 설정'!$A$6:$A$40,MATCH($D1022,'교육원 ④ 설정'!$B$6:$B$40,0)),"※없는 과목"))</f>
        <v/>
      </c>
      <c r="F1022" s="36" t="str">
        <f aca="false">IF($D1022="","",IFERROR(INDEX('교육원 ④ 설정'!$C$6:$C$40,MATCH($D1022,'교육원 ④ 설정'!$B$6:$B$40,0)),""))</f>
        <v/>
      </c>
      <c r="G1022" s="39"/>
      <c r="H1022" s="39"/>
      <c r="I1022" s="40"/>
      <c r="J1022" s="41"/>
      <c r="K1022" s="38"/>
      <c r="L1022" s="42" t="str">
        <f aca="false">IF($B1022="","",IF(AND(N($I1022)=0,N($J1022)=0),"금액이 없습니다",IF(AND($I1022&gt;0,$J1022&gt;0),"수입·지출 둘 다 적혔습니다",IF($C1022="","결제수단을 고르십시오",IF(ISNA(MATCH($C1022,'교육원 ③ 통장·카드'!$A$5:$A$11,0)),"③ 통장·카드에 없는 결제수단입니다",IF($D1022="","계정과목을 고르십시오",IF($E1022="※없는 과목","④ 설정에 없는 과목입니다",IF(AND($E1022="수입",$J1022&gt;0),"수입 과목인데 지출에 적혔습니다",IF(AND(LEFT($E1022,2)&lt;&gt;"수입",$E1022&lt;&gt;"대체",$I1022&gt;0),"지출 과목인데 수입에 적혔습니다",IF($K1022="","증빙을 고르십시오",IF($H1022="","적요를 적으십시오","")))))))))))</f>
        <v/>
      </c>
      <c r="M1022" s="39"/>
      <c r="O1022" s="11" t="str">
        <f aca="false">IF($B1022="","",YEAR($B1022)*100+MONTH($B1022))</f>
        <v/>
      </c>
      <c r="P1022" s="11" t="str">
        <f aca="false">IF($B1022="","",IF($E1022="대체",0,1))</f>
        <v/>
      </c>
    </row>
    <row r="1023" customFormat="false" ht="15" hidden="false" customHeight="false" outlineLevel="0" collapsed="false">
      <c r="A1023" s="36" t="str">
        <f aca="false">IF($B1023="","",COUNT($B$15:$B1023))</f>
        <v/>
      </c>
      <c r="B1023" s="37"/>
      <c r="C1023" s="38"/>
      <c r="D1023" s="20"/>
      <c r="E1023" s="36" t="str">
        <f aca="false">IF($D1023="","",IFERROR(INDEX('교육원 ④ 설정'!$A$6:$A$40,MATCH($D1023,'교육원 ④ 설정'!$B$6:$B$40,0)),"※없는 과목"))</f>
        <v/>
      </c>
      <c r="F1023" s="36" t="str">
        <f aca="false">IF($D1023="","",IFERROR(INDEX('교육원 ④ 설정'!$C$6:$C$40,MATCH($D1023,'교육원 ④ 설정'!$B$6:$B$40,0)),""))</f>
        <v/>
      </c>
      <c r="G1023" s="39"/>
      <c r="H1023" s="39"/>
      <c r="I1023" s="40"/>
      <c r="J1023" s="41"/>
      <c r="K1023" s="38"/>
      <c r="L1023" s="42" t="str">
        <f aca="false">IF($B1023="","",IF(AND(N($I1023)=0,N($J1023)=0),"금액이 없습니다",IF(AND($I1023&gt;0,$J1023&gt;0),"수입·지출 둘 다 적혔습니다",IF($C1023="","결제수단을 고르십시오",IF(ISNA(MATCH($C1023,'교육원 ③ 통장·카드'!$A$5:$A$11,0)),"③ 통장·카드에 없는 결제수단입니다",IF($D1023="","계정과목을 고르십시오",IF($E1023="※없는 과목","④ 설정에 없는 과목입니다",IF(AND($E1023="수입",$J1023&gt;0),"수입 과목인데 지출에 적혔습니다",IF(AND(LEFT($E1023,2)&lt;&gt;"수입",$E1023&lt;&gt;"대체",$I1023&gt;0),"지출 과목인데 수입에 적혔습니다",IF($K1023="","증빙을 고르십시오",IF($H1023="","적요를 적으십시오","")))))))))))</f>
        <v/>
      </c>
      <c r="M1023" s="39"/>
      <c r="O1023" s="11" t="str">
        <f aca="false">IF($B1023="","",YEAR($B1023)*100+MONTH($B1023))</f>
        <v/>
      </c>
      <c r="P1023" s="11" t="str">
        <f aca="false">IF($B1023="","",IF($E1023="대체",0,1))</f>
        <v/>
      </c>
    </row>
    <row r="1024" customFormat="false" ht="15" hidden="false" customHeight="false" outlineLevel="0" collapsed="false">
      <c r="A1024" s="36" t="str">
        <f aca="false">IF($B1024="","",COUNT($B$15:$B1024))</f>
        <v/>
      </c>
      <c r="B1024" s="37"/>
      <c r="C1024" s="38"/>
      <c r="D1024" s="20"/>
      <c r="E1024" s="36" t="str">
        <f aca="false">IF($D1024="","",IFERROR(INDEX('교육원 ④ 설정'!$A$6:$A$40,MATCH($D1024,'교육원 ④ 설정'!$B$6:$B$40,0)),"※없는 과목"))</f>
        <v/>
      </c>
      <c r="F1024" s="36" t="str">
        <f aca="false">IF($D1024="","",IFERROR(INDEX('교육원 ④ 설정'!$C$6:$C$40,MATCH($D1024,'교육원 ④ 설정'!$B$6:$B$40,0)),""))</f>
        <v/>
      </c>
      <c r="G1024" s="39"/>
      <c r="H1024" s="39"/>
      <c r="I1024" s="40"/>
      <c r="J1024" s="41"/>
      <c r="K1024" s="38"/>
      <c r="L1024" s="42" t="str">
        <f aca="false">IF($B1024="","",IF(AND(N($I1024)=0,N($J1024)=0),"금액이 없습니다",IF(AND($I1024&gt;0,$J1024&gt;0),"수입·지출 둘 다 적혔습니다",IF($C1024="","결제수단을 고르십시오",IF(ISNA(MATCH($C1024,'교육원 ③ 통장·카드'!$A$5:$A$11,0)),"③ 통장·카드에 없는 결제수단입니다",IF($D1024="","계정과목을 고르십시오",IF($E1024="※없는 과목","④ 설정에 없는 과목입니다",IF(AND($E1024="수입",$J1024&gt;0),"수입 과목인데 지출에 적혔습니다",IF(AND(LEFT($E1024,2)&lt;&gt;"수입",$E1024&lt;&gt;"대체",$I1024&gt;0),"지출 과목인데 수입에 적혔습니다",IF($K1024="","증빙을 고르십시오",IF($H1024="","적요를 적으십시오","")))))))))))</f>
        <v/>
      </c>
      <c r="M1024" s="39"/>
      <c r="O1024" s="11" t="str">
        <f aca="false">IF($B1024="","",YEAR($B1024)*100+MONTH($B1024))</f>
        <v/>
      </c>
      <c r="P1024" s="11" t="str">
        <f aca="false">IF($B1024="","",IF($E1024="대체",0,1))</f>
        <v/>
      </c>
    </row>
    <row r="1025" customFormat="false" ht="15" hidden="false" customHeight="false" outlineLevel="0" collapsed="false">
      <c r="A1025" s="36" t="str">
        <f aca="false">IF($B1025="","",COUNT($B$15:$B1025))</f>
        <v/>
      </c>
      <c r="B1025" s="37"/>
      <c r="C1025" s="38"/>
      <c r="D1025" s="20"/>
      <c r="E1025" s="36" t="str">
        <f aca="false">IF($D1025="","",IFERROR(INDEX('교육원 ④ 설정'!$A$6:$A$40,MATCH($D1025,'교육원 ④ 설정'!$B$6:$B$40,0)),"※없는 과목"))</f>
        <v/>
      </c>
      <c r="F1025" s="36" t="str">
        <f aca="false">IF($D1025="","",IFERROR(INDEX('교육원 ④ 설정'!$C$6:$C$40,MATCH($D1025,'교육원 ④ 설정'!$B$6:$B$40,0)),""))</f>
        <v/>
      </c>
      <c r="G1025" s="39"/>
      <c r="H1025" s="39"/>
      <c r="I1025" s="40"/>
      <c r="J1025" s="41"/>
      <c r="K1025" s="38"/>
      <c r="L1025" s="42" t="str">
        <f aca="false">IF($B1025="","",IF(AND(N($I1025)=0,N($J1025)=0),"금액이 없습니다",IF(AND($I1025&gt;0,$J1025&gt;0),"수입·지출 둘 다 적혔습니다",IF($C1025="","결제수단을 고르십시오",IF(ISNA(MATCH($C1025,'교육원 ③ 통장·카드'!$A$5:$A$11,0)),"③ 통장·카드에 없는 결제수단입니다",IF($D1025="","계정과목을 고르십시오",IF($E1025="※없는 과목","④ 설정에 없는 과목입니다",IF(AND($E1025="수입",$J1025&gt;0),"수입 과목인데 지출에 적혔습니다",IF(AND(LEFT($E1025,2)&lt;&gt;"수입",$E1025&lt;&gt;"대체",$I1025&gt;0),"지출 과목인데 수입에 적혔습니다",IF($K1025="","증빙을 고르십시오",IF($H1025="","적요를 적으십시오","")))))))))))</f>
        <v/>
      </c>
      <c r="M1025" s="39"/>
      <c r="O1025" s="11" t="str">
        <f aca="false">IF($B1025="","",YEAR($B1025)*100+MONTH($B1025))</f>
        <v/>
      </c>
      <c r="P1025" s="11" t="str">
        <f aca="false">IF($B1025="","",IF($E1025="대체",0,1))</f>
        <v/>
      </c>
    </row>
    <row r="1026" customFormat="false" ht="15" hidden="false" customHeight="false" outlineLevel="0" collapsed="false">
      <c r="A1026" s="36" t="str">
        <f aca="false">IF($B1026="","",COUNT($B$15:$B1026))</f>
        <v/>
      </c>
      <c r="B1026" s="37"/>
      <c r="C1026" s="38"/>
      <c r="D1026" s="20"/>
      <c r="E1026" s="36" t="str">
        <f aca="false">IF($D1026="","",IFERROR(INDEX('교육원 ④ 설정'!$A$6:$A$40,MATCH($D1026,'교육원 ④ 설정'!$B$6:$B$40,0)),"※없는 과목"))</f>
        <v/>
      </c>
      <c r="F1026" s="36" t="str">
        <f aca="false">IF($D1026="","",IFERROR(INDEX('교육원 ④ 설정'!$C$6:$C$40,MATCH($D1026,'교육원 ④ 설정'!$B$6:$B$40,0)),""))</f>
        <v/>
      </c>
      <c r="G1026" s="39"/>
      <c r="H1026" s="39"/>
      <c r="I1026" s="40"/>
      <c r="J1026" s="41"/>
      <c r="K1026" s="38"/>
      <c r="L1026" s="42" t="str">
        <f aca="false">IF($B1026="","",IF(AND(N($I1026)=0,N($J1026)=0),"금액이 없습니다",IF(AND($I1026&gt;0,$J1026&gt;0),"수입·지출 둘 다 적혔습니다",IF($C1026="","결제수단을 고르십시오",IF(ISNA(MATCH($C1026,'교육원 ③ 통장·카드'!$A$5:$A$11,0)),"③ 통장·카드에 없는 결제수단입니다",IF($D1026="","계정과목을 고르십시오",IF($E1026="※없는 과목","④ 설정에 없는 과목입니다",IF(AND($E1026="수입",$J1026&gt;0),"수입 과목인데 지출에 적혔습니다",IF(AND(LEFT($E1026,2)&lt;&gt;"수입",$E1026&lt;&gt;"대체",$I1026&gt;0),"지출 과목인데 수입에 적혔습니다",IF($K1026="","증빙을 고르십시오",IF($H1026="","적요를 적으십시오","")))))))))))</f>
        <v/>
      </c>
      <c r="M1026" s="39"/>
      <c r="O1026" s="11" t="str">
        <f aca="false">IF($B1026="","",YEAR($B1026)*100+MONTH($B1026))</f>
        <v/>
      </c>
      <c r="P1026" s="11" t="str">
        <f aca="false">IF($B1026="","",IF($E1026="대체",0,1))</f>
        <v/>
      </c>
    </row>
    <row r="1027" customFormat="false" ht="15" hidden="false" customHeight="false" outlineLevel="0" collapsed="false">
      <c r="A1027" s="36" t="str">
        <f aca="false">IF($B1027="","",COUNT($B$15:$B1027))</f>
        <v/>
      </c>
      <c r="B1027" s="37"/>
      <c r="C1027" s="38"/>
      <c r="D1027" s="20"/>
      <c r="E1027" s="36" t="str">
        <f aca="false">IF($D1027="","",IFERROR(INDEX('교육원 ④ 설정'!$A$6:$A$40,MATCH($D1027,'교육원 ④ 설정'!$B$6:$B$40,0)),"※없는 과목"))</f>
        <v/>
      </c>
      <c r="F1027" s="36" t="str">
        <f aca="false">IF($D1027="","",IFERROR(INDEX('교육원 ④ 설정'!$C$6:$C$40,MATCH($D1027,'교육원 ④ 설정'!$B$6:$B$40,0)),""))</f>
        <v/>
      </c>
      <c r="G1027" s="39"/>
      <c r="H1027" s="39"/>
      <c r="I1027" s="40"/>
      <c r="J1027" s="41"/>
      <c r="K1027" s="38"/>
      <c r="L1027" s="42" t="str">
        <f aca="false">IF($B1027="","",IF(AND(N($I1027)=0,N($J1027)=0),"금액이 없습니다",IF(AND($I1027&gt;0,$J1027&gt;0),"수입·지출 둘 다 적혔습니다",IF($C1027="","결제수단을 고르십시오",IF(ISNA(MATCH($C1027,'교육원 ③ 통장·카드'!$A$5:$A$11,0)),"③ 통장·카드에 없는 결제수단입니다",IF($D1027="","계정과목을 고르십시오",IF($E1027="※없는 과목","④ 설정에 없는 과목입니다",IF(AND($E1027="수입",$J1027&gt;0),"수입 과목인데 지출에 적혔습니다",IF(AND(LEFT($E1027,2)&lt;&gt;"수입",$E1027&lt;&gt;"대체",$I1027&gt;0),"지출 과목인데 수입에 적혔습니다",IF($K1027="","증빙을 고르십시오",IF($H1027="","적요를 적으십시오","")))))))))))</f>
        <v/>
      </c>
      <c r="M1027" s="39"/>
      <c r="O1027" s="11" t="str">
        <f aca="false">IF($B1027="","",YEAR($B1027)*100+MONTH($B1027))</f>
        <v/>
      </c>
      <c r="P1027" s="11" t="str">
        <f aca="false">IF($B1027="","",IF($E1027="대체",0,1))</f>
        <v/>
      </c>
    </row>
    <row r="1028" customFormat="false" ht="15" hidden="false" customHeight="false" outlineLevel="0" collapsed="false">
      <c r="A1028" s="36" t="str">
        <f aca="false">IF($B1028="","",COUNT($B$15:$B1028))</f>
        <v/>
      </c>
      <c r="B1028" s="37"/>
      <c r="C1028" s="38"/>
      <c r="D1028" s="20"/>
      <c r="E1028" s="36" t="str">
        <f aca="false">IF($D1028="","",IFERROR(INDEX('교육원 ④ 설정'!$A$6:$A$40,MATCH($D1028,'교육원 ④ 설정'!$B$6:$B$40,0)),"※없는 과목"))</f>
        <v/>
      </c>
      <c r="F1028" s="36" t="str">
        <f aca="false">IF($D1028="","",IFERROR(INDEX('교육원 ④ 설정'!$C$6:$C$40,MATCH($D1028,'교육원 ④ 설정'!$B$6:$B$40,0)),""))</f>
        <v/>
      </c>
      <c r="G1028" s="39"/>
      <c r="H1028" s="39"/>
      <c r="I1028" s="40"/>
      <c r="J1028" s="41"/>
      <c r="K1028" s="38"/>
      <c r="L1028" s="42" t="str">
        <f aca="false">IF($B1028="","",IF(AND(N($I1028)=0,N($J1028)=0),"금액이 없습니다",IF(AND($I1028&gt;0,$J1028&gt;0),"수입·지출 둘 다 적혔습니다",IF($C1028="","결제수단을 고르십시오",IF(ISNA(MATCH($C1028,'교육원 ③ 통장·카드'!$A$5:$A$11,0)),"③ 통장·카드에 없는 결제수단입니다",IF($D1028="","계정과목을 고르십시오",IF($E1028="※없는 과목","④ 설정에 없는 과목입니다",IF(AND($E1028="수입",$J1028&gt;0),"수입 과목인데 지출에 적혔습니다",IF(AND(LEFT($E1028,2)&lt;&gt;"수입",$E1028&lt;&gt;"대체",$I1028&gt;0),"지출 과목인데 수입에 적혔습니다",IF($K1028="","증빙을 고르십시오",IF($H1028="","적요를 적으십시오","")))))))))))</f>
        <v/>
      </c>
      <c r="M1028" s="39"/>
      <c r="O1028" s="11" t="str">
        <f aca="false">IF($B1028="","",YEAR($B1028)*100+MONTH($B1028))</f>
        <v/>
      </c>
      <c r="P1028" s="11" t="str">
        <f aca="false">IF($B1028="","",IF($E1028="대체",0,1))</f>
        <v/>
      </c>
    </row>
    <row r="1029" customFormat="false" ht="15" hidden="false" customHeight="false" outlineLevel="0" collapsed="false">
      <c r="A1029" s="36" t="str">
        <f aca="false">IF($B1029="","",COUNT($B$15:$B1029))</f>
        <v/>
      </c>
      <c r="B1029" s="37"/>
      <c r="C1029" s="38"/>
      <c r="D1029" s="20"/>
      <c r="E1029" s="36" t="str">
        <f aca="false">IF($D1029="","",IFERROR(INDEX('교육원 ④ 설정'!$A$6:$A$40,MATCH($D1029,'교육원 ④ 설정'!$B$6:$B$40,0)),"※없는 과목"))</f>
        <v/>
      </c>
      <c r="F1029" s="36" t="str">
        <f aca="false">IF($D1029="","",IFERROR(INDEX('교육원 ④ 설정'!$C$6:$C$40,MATCH($D1029,'교육원 ④ 설정'!$B$6:$B$40,0)),""))</f>
        <v/>
      </c>
      <c r="G1029" s="39"/>
      <c r="H1029" s="39"/>
      <c r="I1029" s="40"/>
      <c r="J1029" s="41"/>
      <c r="K1029" s="38"/>
      <c r="L1029" s="42" t="str">
        <f aca="false">IF($B1029="","",IF(AND(N($I1029)=0,N($J1029)=0),"금액이 없습니다",IF(AND($I1029&gt;0,$J1029&gt;0),"수입·지출 둘 다 적혔습니다",IF($C1029="","결제수단을 고르십시오",IF(ISNA(MATCH($C1029,'교육원 ③ 통장·카드'!$A$5:$A$11,0)),"③ 통장·카드에 없는 결제수단입니다",IF($D1029="","계정과목을 고르십시오",IF($E1029="※없는 과목","④ 설정에 없는 과목입니다",IF(AND($E1029="수입",$J1029&gt;0),"수입 과목인데 지출에 적혔습니다",IF(AND(LEFT($E1029,2)&lt;&gt;"수입",$E1029&lt;&gt;"대체",$I1029&gt;0),"지출 과목인데 수입에 적혔습니다",IF($K1029="","증빙을 고르십시오",IF($H1029="","적요를 적으십시오","")))))))))))</f>
        <v/>
      </c>
      <c r="M1029" s="39"/>
      <c r="O1029" s="11" t="str">
        <f aca="false">IF($B1029="","",YEAR($B1029)*100+MONTH($B1029))</f>
        <v/>
      </c>
      <c r="P1029" s="11" t="str">
        <f aca="false">IF($B1029="","",IF($E1029="대체",0,1))</f>
        <v/>
      </c>
    </row>
    <row r="1030" customFormat="false" ht="15" hidden="false" customHeight="false" outlineLevel="0" collapsed="false">
      <c r="A1030" s="36" t="str">
        <f aca="false">IF($B1030="","",COUNT($B$15:$B1030))</f>
        <v/>
      </c>
      <c r="B1030" s="37"/>
      <c r="C1030" s="38"/>
      <c r="D1030" s="20"/>
      <c r="E1030" s="36" t="str">
        <f aca="false">IF($D1030="","",IFERROR(INDEX('교육원 ④ 설정'!$A$6:$A$40,MATCH($D1030,'교육원 ④ 설정'!$B$6:$B$40,0)),"※없는 과목"))</f>
        <v/>
      </c>
      <c r="F1030" s="36" t="str">
        <f aca="false">IF($D1030="","",IFERROR(INDEX('교육원 ④ 설정'!$C$6:$C$40,MATCH($D1030,'교육원 ④ 설정'!$B$6:$B$40,0)),""))</f>
        <v/>
      </c>
      <c r="G1030" s="39"/>
      <c r="H1030" s="39"/>
      <c r="I1030" s="40"/>
      <c r="J1030" s="41"/>
      <c r="K1030" s="38"/>
      <c r="L1030" s="42" t="str">
        <f aca="false">IF($B1030="","",IF(AND(N($I1030)=0,N($J1030)=0),"금액이 없습니다",IF(AND($I1030&gt;0,$J1030&gt;0),"수입·지출 둘 다 적혔습니다",IF($C1030="","결제수단을 고르십시오",IF(ISNA(MATCH($C1030,'교육원 ③ 통장·카드'!$A$5:$A$11,0)),"③ 통장·카드에 없는 결제수단입니다",IF($D1030="","계정과목을 고르십시오",IF($E1030="※없는 과목","④ 설정에 없는 과목입니다",IF(AND($E1030="수입",$J1030&gt;0),"수입 과목인데 지출에 적혔습니다",IF(AND(LEFT($E1030,2)&lt;&gt;"수입",$E1030&lt;&gt;"대체",$I1030&gt;0),"지출 과목인데 수입에 적혔습니다",IF($K1030="","증빙을 고르십시오",IF($H1030="","적요를 적으십시오","")))))))))))</f>
        <v/>
      </c>
      <c r="M1030" s="39"/>
      <c r="O1030" s="11" t="str">
        <f aca="false">IF($B1030="","",YEAR($B1030)*100+MONTH($B1030))</f>
        <v/>
      </c>
      <c r="P1030" s="11" t="str">
        <f aca="false">IF($B1030="","",IF($E1030="대체",0,1))</f>
        <v/>
      </c>
    </row>
    <row r="1031" customFormat="false" ht="15" hidden="false" customHeight="false" outlineLevel="0" collapsed="false">
      <c r="A1031" s="36" t="str">
        <f aca="false">IF($B1031="","",COUNT($B$15:$B1031))</f>
        <v/>
      </c>
      <c r="B1031" s="37"/>
      <c r="C1031" s="38"/>
      <c r="D1031" s="20"/>
      <c r="E1031" s="36" t="str">
        <f aca="false">IF($D1031="","",IFERROR(INDEX('교육원 ④ 설정'!$A$6:$A$40,MATCH($D1031,'교육원 ④ 설정'!$B$6:$B$40,0)),"※없는 과목"))</f>
        <v/>
      </c>
      <c r="F1031" s="36" t="str">
        <f aca="false">IF($D1031="","",IFERROR(INDEX('교육원 ④ 설정'!$C$6:$C$40,MATCH($D1031,'교육원 ④ 설정'!$B$6:$B$40,0)),""))</f>
        <v/>
      </c>
      <c r="G1031" s="39"/>
      <c r="H1031" s="39"/>
      <c r="I1031" s="40"/>
      <c r="J1031" s="41"/>
      <c r="K1031" s="38"/>
      <c r="L1031" s="42" t="str">
        <f aca="false">IF($B1031="","",IF(AND(N($I1031)=0,N($J1031)=0),"금액이 없습니다",IF(AND($I1031&gt;0,$J1031&gt;0),"수입·지출 둘 다 적혔습니다",IF($C1031="","결제수단을 고르십시오",IF(ISNA(MATCH($C1031,'교육원 ③ 통장·카드'!$A$5:$A$11,0)),"③ 통장·카드에 없는 결제수단입니다",IF($D1031="","계정과목을 고르십시오",IF($E1031="※없는 과목","④ 설정에 없는 과목입니다",IF(AND($E1031="수입",$J1031&gt;0),"수입 과목인데 지출에 적혔습니다",IF(AND(LEFT($E1031,2)&lt;&gt;"수입",$E1031&lt;&gt;"대체",$I1031&gt;0),"지출 과목인데 수입에 적혔습니다",IF($K1031="","증빙을 고르십시오",IF($H1031="","적요를 적으십시오","")))))))))))</f>
        <v/>
      </c>
      <c r="M1031" s="39"/>
      <c r="O1031" s="11" t="str">
        <f aca="false">IF($B1031="","",YEAR($B1031)*100+MONTH($B1031))</f>
        <v/>
      </c>
      <c r="P1031" s="11" t="str">
        <f aca="false">IF($B1031="","",IF($E1031="대체",0,1))</f>
        <v/>
      </c>
    </row>
    <row r="1032" customFormat="false" ht="15" hidden="false" customHeight="false" outlineLevel="0" collapsed="false">
      <c r="A1032" s="36" t="str">
        <f aca="false">IF($B1032="","",COUNT($B$15:$B1032))</f>
        <v/>
      </c>
      <c r="B1032" s="37"/>
      <c r="C1032" s="38"/>
      <c r="D1032" s="20"/>
      <c r="E1032" s="36" t="str">
        <f aca="false">IF($D1032="","",IFERROR(INDEX('교육원 ④ 설정'!$A$6:$A$40,MATCH($D1032,'교육원 ④ 설정'!$B$6:$B$40,0)),"※없는 과목"))</f>
        <v/>
      </c>
      <c r="F1032" s="36" t="str">
        <f aca="false">IF($D1032="","",IFERROR(INDEX('교육원 ④ 설정'!$C$6:$C$40,MATCH($D1032,'교육원 ④ 설정'!$B$6:$B$40,0)),""))</f>
        <v/>
      </c>
      <c r="G1032" s="39"/>
      <c r="H1032" s="39"/>
      <c r="I1032" s="40"/>
      <c r="J1032" s="41"/>
      <c r="K1032" s="38"/>
      <c r="L1032" s="42" t="str">
        <f aca="false">IF($B1032="","",IF(AND(N($I1032)=0,N($J1032)=0),"금액이 없습니다",IF(AND($I1032&gt;0,$J1032&gt;0),"수입·지출 둘 다 적혔습니다",IF($C1032="","결제수단을 고르십시오",IF(ISNA(MATCH($C1032,'교육원 ③ 통장·카드'!$A$5:$A$11,0)),"③ 통장·카드에 없는 결제수단입니다",IF($D1032="","계정과목을 고르십시오",IF($E1032="※없는 과목","④ 설정에 없는 과목입니다",IF(AND($E1032="수입",$J1032&gt;0),"수입 과목인데 지출에 적혔습니다",IF(AND(LEFT($E1032,2)&lt;&gt;"수입",$E1032&lt;&gt;"대체",$I1032&gt;0),"지출 과목인데 수입에 적혔습니다",IF($K1032="","증빙을 고르십시오",IF($H1032="","적요를 적으십시오","")))))))))))</f>
        <v/>
      </c>
      <c r="M1032" s="39"/>
      <c r="O1032" s="11" t="str">
        <f aca="false">IF($B1032="","",YEAR($B1032)*100+MONTH($B1032))</f>
        <v/>
      </c>
      <c r="P1032" s="11" t="str">
        <f aca="false">IF($B1032="","",IF($E1032="대체",0,1))</f>
        <v/>
      </c>
    </row>
    <row r="1033" customFormat="false" ht="15" hidden="false" customHeight="false" outlineLevel="0" collapsed="false">
      <c r="A1033" s="36" t="str">
        <f aca="false">IF($B1033="","",COUNT($B$15:$B1033))</f>
        <v/>
      </c>
      <c r="B1033" s="37"/>
      <c r="C1033" s="38"/>
      <c r="D1033" s="20"/>
      <c r="E1033" s="36" t="str">
        <f aca="false">IF($D1033="","",IFERROR(INDEX('교육원 ④ 설정'!$A$6:$A$40,MATCH($D1033,'교육원 ④ 설정'!$B$6:$B$40,0)),"※없는 과목"))</f>
        <v/>
      </c>
      <c r="F1033" s="36" t="str">
        <f aca="false">IF($D1033="","",IFERROR(INDEX('교육원 ④ 설정'!$C$6:$C$40,MATCH($D1033,'교육원 ④ 설정'!$B$6:$B$40,0)),""))</f>
        <v/>
      </c>
      <c r="G1033" s="39"/>
      <c r="H1033" s="39"/>
      <c r="I1033" s="40"/>
      <c r="J1033" s="41"/>
      <c r="K1033" s="38"/>
      <c r="L1033" s="42" t="str">
        <f aca="false">IF($B1033="","",IF(AND(N($I1033)=0,N($J1033)=0),"금액이 없습니다",IF(AND($I1033&gt;0,$J1033&gt;0),"수입·지출 둘 다 적혔습니다",IF($C1033="","결제수단을 고르십시오",IF(ISNA(MATCH($C1033,'교육원 ③ 통장·카드'!$A$5:$A$11,0)),"③ 통장·카드에 없는 결제수단입니다",IF($D1033="","계정과목을 고르십시오",IF($E1033="※없는 과목","④ 설정에 없는 과목입니다",IF(AND($E1033="수입",$J1033&gt;0),"수입 과목인데 지출에 적혔습니다",IF(AND(LEFT($E1033,2)&lt;&gt;"수입",$E1033&lt;&gt;"대체",$I1033&gt;0),"지출 과목인데 수입에 적혔습니다",IF($K1033="","증빙을 고르십시오",IF($H1033="","적요를 적으십시오","")))))))))))</f>
        <v/>
      </c>
      <c r="M1033" s="39"/>
      <c r="O1033" s="11" t="str">
        <f aca="false">IF($B1033="","",YEAR($B1033)*100+MONTH($B1033))</f>
        <v/>
      </c>
      <c r="P1033" s="11" t="str">
        <f aca="false">IF($B1033="","",IF($E1033="대체",0,1))</f>
        <v/>
      </c>
    </row>
    <row r="1034" customFormat="false" ht="15" hidden="false" customHeight="false" outlineLevel="0" collapsed="false">
      <c r="A1034" s="36" t="str">
        <f aca="false">IF($B1034="","",COUNT($B$15:$B1034))</f>
        <v/>
      </c>
      <c r="B1034" s="37"/>
      <c r="C1034" s="38"/>
      <c r="D1034" s="20"/>
      <c r="E1034" s="36" t="str">
        <f aca="false">IF($D1034="","",IFERROR(INDEX('교육원 ④ 설정'!$A$6:$A$40,MATCH($D1034,'교육원 ④ 설정'!$B$6:$B$40,0)),"※없는 과목"))</f>
        <v/>
      </c>
      <c r="F1034" s="36" t="str">
        <f aca="false">IF($D1034="","",IFERROR(INDEX('교육원 ④ 설정'!$C$6:$C$40,MATCH($D1034,'교육원 ④ 설정'!$B$6:$B$40,0)),""))</f>
        <v/>
      </c>
      <c r="G1034" s="39"/>
      <c r="H1034" s="39"/>
      <c r="I1034" s="40"/>
      <c r="J1034" s="41"/>
      <c r="K1034" s="38"/>
      <c r="L1034" s="42" t="str">
        <f aca="false">IF($B1034="","",IF(AND(N($I1034)=0,N($J1034)=0),"금액이 없습니다",IF(AND($I1034&gt;0,$J1034&gt;0),"수입·지출 둘 다 적혔습니다",IF($C1034="","결제수단을 고르십시오",IF(ISNA(MATCH($C1034,'교육원 ③ 통장·카드'!$A$5:$A$11,0)),"③ 통장·카드에 없는 결제수단입니다",IF($D1034="","계정과목을 고르십시오",IF($E1034="※없는 과목","④ 설정에 없는 과목입니다",IF(AND($E1034="수입",$J1034&gt;0),"수입 과목인데 지출에 적혔습니다",IF(AND(LEFT($E1034,2)&lt;&gt;"수입",$E1034&lt;&gt;"대체",$I1034&gt;0),"지출 과목인데 수입에 적혔습니다",IF($K1034="","증빙을 고르십시오",IF($H1034="","적요를 적으십시오","")))))))))))</f>
        <v/>
      </c>
      <c r="M1034" s="39"/>
      <c r="O1034" s="11" t="str">
        <f aca="false">IF($B1034="","",YEAR($B1034)*100+MONTH($B1034))</f>
        <v/>
      </c>
      <c r="P1034" s="11" t="str">
        <f aca="false">IF($B1034="","",IF($E1034="대체",0,1))</f>
        <v/>
      </c>
    </row>
    <row r="1035" customFormat="false" ht="15" hidden="false" customHeight="false" outlineLevel="0" collapsed="false">
      <c r="A1035" s="36" t="str">
        <f aca="false">IF($B1035="","",COUNT($B$15:$B1035))</f>
        <v/>
      </c>
      <c r="B1035" s="37"/>
      <c r="C1035" s="38"/>
      <c r="D1035" s="20"/>
      <c r="E1035" s="36" t="str">
        <f aca="false">IF($D1035="","",IFERROR(INDEX('교육원 ④ 설정'!$A$6:$A$40,MATCH($D1035,'교육원 ④ 설정'!$B$6:$B$40,0)),"※없는 과목"))</f>
        <v/>
      </c>
      <c r="F1035" s="36" t="str">
        <f aca="false">IF($D1035="","",IFERROR(INDEX('교육원 ④ 설정'!$C$6:$C$40,MATCH($D1035,'교육원 ④ 설정'!$B$6:$B$40,0)),""))</f>
        <v/>
      </c>
      <c r="G1035" s="39"/>
      <c r="H1035" s="39"/>
      <c r="I1035" s="40"/>
      <c r="J1035" s="41"/>
      <c r="K1035" s="38"/>
      <c r="L1035" s="42" t="str">
        <f aca="false">IF($B1035="","",IF(AND(N($I1035)=0,N($J1035)=0),"금액이 없습니다",IF(AND($I1035&gt;0,$J1035&gt;0),"수입·지출 둘 다 적혔습니다",IF($C1035="","결제수단을 고르십시오",IF(ISNA(MATCH($C1035,'교육원 ③ 통장·카드'!$A$5:$A$11,0)),"③ 통장·카드에 없는 결제수단입니다",IF($D1035="","계정과목을 고르십시오",IF($E1035="※없는 과목","④ 설정에 없는 과목입니다",IF(AND($E1035="수입",$J1035&gt;0),"수입 과목인데 지출에 적혔습니다",IF(AND(LEFT($E1035,2)&lt;&gt;"수입",$E1035&lt;&gt;"대체",$I1035&gt;0),"지출 과목인데 수입에 적혔습니다",IF($K1035="","증빙을 고르십시오",IF($H1035="","적요를 적으십시오","")))))))))))</f>
        <v/>
      </c>
      <c r="M1035" s="39"/>
      <c r="O1035" s="11" t="str">
        <f aca="false">IF($B1035="","",YEAR($B1035)*100+MONTH($B1035))</f>
        <v/>
      </c>
      <c r="P1035" s="11" t="str">
        <f aca="false">IF($B1035="","",IF($E1035="대체",0,1))</f>
        <v/>
      </c>
    </row>
    <row r="1036" customFormat="false" ht="15" hidden="false" customHeight="false" outlineLevel="0" collapsed="false">
      <c r="A1036" s="36" t="str">
        <f aca="false">IF($B1036="","",COUNT($B$15:$B1036))</f>
        <v/>
      </c>
      <c r="B1036" s="37"/>
      <c r="C1036" s="38"/>
      <c r="D1036" s="20"/>
      <c r="E1036" s="36" t="str">
        <f aca="false">IF($D1036="","",IFERROR(INDEX('교육원 ④ 설정'!$A$6:$A$40,MATCH($D1036,'교육원 ④ 설정'!$B$6:$B$40,0)),"※없는 과목"))</f>
        <v/>
      </c>
      <c r="F1036" s="36" t="str">
        <f aca="false">IF($D1036="","",IFERROR(INDEX('교육원 ④ 설정'!$C$6:$C$40,MATCH($D1036,'교육원 ④ 설정'!$B$6:$B$40,0)),""))</f>
        <v/>
      </c>
      <c r="G1036" s="39"/>
      <c r="H1036" s="39"/>
      <c r="I1036" s="40"/>
      <c r="J1036" s="41"/>
      <c r="K1036" s="38"/>
      <c r="L1036" s="42" t="str">
        <f aca="false">IF($B1036="","",IF(AND(N($I1036)=0,N($J1036)=0),"금액이 없습니다",IF(AND($I1036&gt;0,$J1036&gt;0),"수입·지출 둘 다 적혔습니다",IF($C1036="","결제수단을 고르십시오",IF(ISNA(MATCH($C1036,'교육원 ③ 통장·카드'!$A$5:$A$11,0)),"③ 통장·카드에 없는 결제수단입니다",IF($D1036="","계정과목을 고르십시오",IF($E1036="※없는 과목","④ 설정에 없는 과목입니다",IF(AND($E1036="수입",$J1036&gt;0),"수입 과목인데 지출에 적혔습니다",IF(AND(LEFT($E1036,2)&lt;&gt;"수입",$E1036&lt;&gt;"대체",$I1036&gt;0),"지출 과목인데 수입에 적혔습니다",IF($K1036="","증빙을 고르십시오",IF($H1036="","적요를 적으십시오","")))))))))))</f>
        <v/>
      </c>
      <c r="M1036" s="39"/>
      <c r="O1036" s="11" t="str">
        <f aca="false">IF($B1036="","",YEAR($B1036)*100+MONTH($B1036))</f>
        <v/>
      </c>
      <c r="P1036" s="11" t="str">
        <f aca="false">IF($B1036="","",IF($E1036="대체",0,1))</f>
        <v/>
      </c>
    </row>
    <row r="1037" customFormat="false" ht="15" hidden="false" customHeight="false" outlineLevel="0" collapsed="false">
      <c r="A1037" s="36" t="str">
        <f aca="false">IF($B1037="","",COUNT($B$15:$B1037))</f>
        <v/>
      </c>
      <c r="B1037" s="37"/>
      <c r="C1037" s="38"/>
      <c r="D1037" s="20"/>
      <c r="E1037" s="36" t="str">
        <f aca="false">IF($D1037="","",IFERROR(INDEX('교육원 ④ 설정'!$A$6:$A$40,MATCH($D1037,'교육원 ④ 설정'!$B$6:$B$40,0)),"※없는 과목"))</f>
        <v/>
      </c>
      <c r="F1037" s="36" t="str">
        <f aca="false">IF($D1037="","",IFERROR(INDEX('교육원 ④ 설정'!$C$6:$C$40,MATCH($D1037,'교육원 ④ 설정'!$B$6:$B$40,0)),""))</f>
        <v/>
      </c>
      <c r="G1037" s="39"/>
      <c r="H1037" s="39"/>
      <c r="I1037" s="40"/>
      <c r="J1037" s="41"/>
      <c r="K1037" s="38"/>
      <c r="L1037" s="42" t="str">
        <f aca="false">IF($B1037="","",IF(AND(N($I1037)=0,N($J1037)=0),"금액이 없습니다",IF(AND($I1037&gt;0,$J1037&gt;0),"수입·지출 둘 다 적혔습니다",IF($C1037="","결제수단을 고르십시오",IF(ISNA(MATCH($C1037,'교육원 ③ 통장·카드'!$A$5:$A$11,0)),"③ 통장·카드에 없는 결제수단입니다",IF($D1037="","계정과목을 고르십시오",IF($E1037="※없는 과목","④ 설정에 없는 과목입니다",IF(AND($E1037="수입",$J1037&gt;0),"수입 과목인데 지출에 적혔습니다",IF(AND(LEFT($E1037,2)&lt;&gt;"수입",$E1037&lt;&gt;"대체",$I1037&gt;0),"지출 과목인데 수입에 적혔습니다",IF($K1037="","증빙을 고르십시오",IF($H1037="","적요를 적으십시오","")))))))))))</f>
        <v/>
      </c>
      <c r="M1037" s="39"/>
      <c r="O1037" s="11" t="str">
        <f aca="false">IF($B1037="","",YEAR($B1037)*100+MONTH($B1037))</f>
        <v/>
      </c>
      <c r="P1037" s="11" t="str">
        <f aca="false">IF($B1037="","",IF($E1037="대체",0,1))</f>
        <v/>
      </c>
    </row>
    <row r="1038" customFormat="false" ht="15" hidden="false" customHeight="false" outlineLevel="0" collapsed="false">
      <c r="A1038" s="36" t="str">
        <f aca="false">IF($B1038="","",COUNT($B$15:$B1038))</f>
        <v/>
      </c>
      <c r="B1038" s="37"/>
      <c r="C1038" s="38"/>
      <c r="D1038" s="20"/>
      <c r="E1038" s="36" t="str">
        <f aca="false">IF($D1038="","",IFERROR(INDEX('교육원 ④ 설정'!$A$6:$A$40,MATCH($D1038,'교육원 ④ 설정'!$B$6:$B$40,0)),"※없는 과목"))</f>
        <v/>
      </c>
      <c r="F1038" s="36" t="str">
        <f aca="false">IF($D1038="","",IFERROR(INDEX('교육원 ④ 설정'!$C$6:$C$40,MATCH($D1038,'교육원 ④ 설정'!$B$6:$B$40,0)),""))</f>
        <v/>
      </c>
      <c r="G1038" s="39"/>
      <c r="H1038" s="39"/>
      <c r="I1038" s="40"/>
      <c r="J1038" s="41"/>
      <c r="K1038" s="38"/>
      <c r="L1038" s="42" t="str">
        <f aca="false">IF($B1038="","",IF(AND(N($I1038)=0,N($J1038)=0),"금액이 없습니다",IF(AND($I1038&gt;0,$J1038&gt;0),"수입·지출 둘 다 적혔습니다",IF($C1038="","결제수단을 고르십시오",IF(ISNA(MATCH($C1038,'교육원 ③ 통장·카드'!$A$5:$A$11,0)),"③ 통장·카드에 없는 결제수단입니다",IF($D1038="","계정과목을 고르십시오",IF($E1038="※없는 과목","④ 설정에 없는 과목입니다",IF(AND($E1038="수입",$J1038&gt;0),"수입 과목인데 지출에 적혔습니다",IF(AND(LEFT($E1038,2)&lt;&gt;"수입",$E1038&lt;&gt;"대체",$I1038&gt;0),"지출 과목인데 수입에 적혔습니다",IF($K1038="","증빙을 고르십시오",IF($H1038="","적요를 적으십시오","")))))))))))</f>
        <v/>
      </c>
      <c r="M1038" s="39"/>
      <c r="O1038" s="11" t="str">
        <f aca="false">IF($B1038="","",YEAR($B1038)*100+MONTH($B1038))</f>
        <v/>
      </c>
      <c r="P1038" s="11" t="str">
        <f aca="false">IF($B1038="","",IF($E1038="대체",0,1))</f>
        <v/>
      </c>
    </row>
    <row r="1039" customFormat="false" ht="15" hidden="false" customHeight="false" outlineLevel="0" collapsed="false">
      <c r="A1039" s="36" t="str">
        <f aca="false">IF($B1039="","",COUNT($B$15:$B1039))</f>
        <v/>
      </c>
      <c r="B1039" s="37"/>
      <c r="C1039" s="38"/>
      <c r="D1039" s="20"/>
      <c r="E1039" s="36" t="str">
        <f aca="false">IF($D1039="","",IFERROR(INDEX('교육원 ④ 설정'!$A$6:$A$40,MATCH($D1039,'교육원 ④ 설정'!$B$6:$B$40,0)),"※없는 과목"))</f>
        <v/>
      </c>
      <c r="F1039" s="36" t="str">
        <f aca="false">IF($D1039="","",IFERROR(INDEX('교육원 ④ 설정'!$C$6:$C$40,MATCH($D1039,'교육원 ④ 설정'!$B$6:$B$40,0)),""))</f>
        <v/>
      </c>
      <c r="G1039" s="39"/>
      <c r="H1039" s="39"/>
      <c r="I1039" s="40"/>
      <c r="J1039" s="41"/>
      <c r="K1039" s="38"/>
      <c r="L1039" s="42" t="str">
        <f aca="false">IF($B1039="","",IF(AND(N($I1039)=0,N($J1039)=0),"금액이 없습니다",IF(AND($I1039&gt;0,$J1039&gt;0),"수입·지출 둘 다 적혔습니다",IF($C1039="","결제수단을 고르십시오",IF(ISNA(MATCH($C1039,'교육원 ③ 통장·카드'!$A$5:$A$11,0)),"③ 통장·카드에 없는 결제수단입니다",IF($D1039="","계정과목을 고르십시오",IF($E1039="※없는 과목","④ 설정에 없는 과목입니다",IF(AND($E1039="수입",$J1039&gt;0),"수입 과목인데 지출에 적혔습니다",IF(AND(LEFT($E1039,2)&lt;&gt;"수입",$E1039&lt;&gt;"대체",$I1039&gt;0),"지출 과목인데 수입에 적혔습니다",IF($K1039="","증빙을 고르십시오",IF($H1039="","적요를 적으십시오","")))))))))))</f>
        <v/>
      </c>
      <c r="M1039" s="39"/>
      <c r="O1039" s="11" t="str">
        <f aca="false">IF($B1039="","",YEAR($B1039)*100+MONTH($B1039))</f>
        <v/>
      </c>
      <c r="P1039" s="11" t="str">
        <f aca="false">IF($B1039="","",IF($E1039="대체",0,1))</f>
        <v/>
      </c>
    </row>
    <row r="1040" customFormat="false" ht="15" hidden="false" customHeight="false" outlineLevel="0" collapsed="false">
      <c r="A1040" s="36" t="str">
        <f aca="false">IF($B1040="","",COUNT($B$15:$B1040))</f>
        <v/>
      </c>
      <c r="B1040" s="37"/>
      <c r="C1040" s="38"/>
      <c r="D1040" s="20"/>
      <c r="E1040" s="36" t="str">
        <f aca="false">IF($D1040="","",IFERROR(INDEX('교육원 ④ 설정'!$A$6:$A$40,MATCH($D1040,'교육원 ④ 설정'!$B$6:$B$40,0)),"※없는 과목"))</f>
        <v/>
      </c>
      <c r="F1040" s="36" t="str">
        <f aca="false">IF($D1040="","",IFERROR(INDEX('교육원 ④ 설정'!$C$6:$C$40,MATCH($D1040,'교육원 ④ 설정'!$B$6:$B$40,0)),""))</f>
        <v/>
      </c>
      <c r="G1040" s="39"/>
      <c r="H1040" s="39"/>
      <c r="I1040" s="40"/>
      <c r="J1040" s="41"/>
      <c r="K1040" s="38"/>
      <c r="L1040" s="42" t="str">
        <f aca="false">IF($B1040="","",IF(AND(N($I1040)=0,N($J1040)=0),"금액이 없습니다",IF(AND($I1040&gt;0,$J1040&gt;0),"수입·지출 둘 다 적혔습니다",IF($C1040="","결제수단을 고르십시오",IF(ISNA(MATCH($C1040,'교육원 ③ 통장·카드'!$A$5:$A$11,0)),"③ 통장·카드에 없는 결제수단입니다",IF($D1040="","계정과목을 고르십시오",IF($E1040="※없는 과목","④ 설정에 없는 과목입니다",IF(AND($E1040="수입",$J1040&gt;0),"수입 과목인데 지출에 적혔습니다",IF(AND(LEFT($E1040,2)&lt;&gt;"수입",$E1040&lt;&gt;"대체",$I1040&gt;0),"지출 과목인데 수입에 적혔습니다",IF($K1040="","증빙을 고르십시오",IF($H1040="","적요를 적으십시오","")))))))))))</f>
        <v/>
      </c>
      <c r="M1040" s="39"/>
      <c r="O1040" s="11" t="str">
        <f aca="false">IF($B1040="","",YEAR($B1040)*100+MONTH($B1040))</f>
        <v/>
      </c>
      <c r="P1040" s="11" t="str">
        <f aca="false">IF($B1040="","",IF($E1040="대체",0,1))</f>
        <v/>
      </c>
    </row>
    <row r="1041" customFormat="false" ht="15" hidden="false" customHeight="false" outlineLevel="0" collapsed="false">
      <c r="A1041" s="36" t="str">
        <f aca="false">IF($B1041="","",COUNT($B$15:$B1041))</f>
        <v/>
      </c>
      <c r="B1041" s="37"/>
      <c r="C1041" s="38"/>
      <c r="D1041" s="20"/>
      <c r="E1041" s="36" t="str">
        <f aca="false">IF($D1041="","",IFERROR(INDEX('교육원 ④ 설정'!$A$6:$A$40,MATCH($D1041,'교육원 ④ 설정'!$B$6:$B$40,0)),"※없는 과목"))</f>
        <v/>
      </c>
      <c r="F1041" s="36" t="str">
        <f aca="false">IF($D1041="","",IFERROR(INDEX('교육원 ④ 설정'!$C$6:$C$40,MATCH($D1041,'교육원 ④ 설정'!$B$6:$B$40,0)),""))</f>
        <v/>
      </c>
      <c r="G1041" s="39"/>
      <c r="H1041" s="39"/>
      <c r="I1041" s="40"/>
      <c r="J1041" s="41"/>
      <c r="K1041" s="38"/>
      <c r="L1041" s="42" t="str">
        <f aca="false">IF($B1041="","",IF(AND(N($I1041)=0,N($J1041)=0),"금액이 없습니다",IF(AND($I1041&gt;0,$J1041&gt;0),"수입·지출 둘 다 적혔습니다",IF($C1041="","결제수단을 고르십시오",IF(ISNA(MATCH($C1041,'교육원 ③ 통장·카드'!$A$5:$A$11,0)),"③ 통장·카드에 없는 결제수단입니다",IF($D1041="","계정과목을 고르십시오",IF($E1041="※없는 과목","④ 설정에 없는 과목입니다",IF(AND($E1041="수입",$J1041&gt;0),"수입 과목인데 지출에 적혔습니다",IF(AND(LEFT($E1041,2)&lt;&gt;"수입",$E1041&lt;&gt;"대체",$I1041&gt;0),"지출 과목인데 수입에 적혔습니다",IF($K1041="","증빙을 고르십시오",IF($H1041="","적요를 적으십시오","")))))))))))</f>
        <v/>
      </c>
      <c r="M1041" s="39"/>
      <c r="O1041" s="11" t="str">
        <f aca="false">IF($B1041="","",YEAR($B1041)*100+MONTH($B1041))</f>
        <v/>
      </c>
      <c r="P1041" s="11" t="str">
        <f aca="false">IF($B1041="","",IF($E1041="대체",0,1))</f>
        <v/>
      </c>
    </row>
    <row r="1042" customFormat="false" ht="15" hidden="false" customHeight="false" outlineLevel="0" collapsed="false">
      <c r="A1042" s="36" t="str">
        <f aca="false">IF($B1042="","",COUNT($B$15:$B1042))</f>
        <v/>
      </c>
      <c r="B1042" s="37"/>
      <c r="C1042" s="38"/>
      <c r="D1042" s="20"/>
      <c r="E1042" s="36" t="str">
        <f aca="false">IF($D1042="","",IFERROR(INDEX('교육원 ④ 설정'!$A$6:$A$40,MATCH($D1042,'교육원 ④ 설정'!$B$6:$B$40,0)),"※없는 과목"))</f>
        <v/>
      </c>
      <c r="F1042" s="36" t="str">
        <f aca="false">IF($D1042="","",IFERROR(INDEX('교육원 ④ 설정'!$C$6:$C$40,MATCH($D1042,'교육원 ④ 설정'!$B$6:$B$40,0)),""))</f>
        <v/>
      </c>
      <c r="G1042" s="39"/>
      <c r="H1042" s="39"/>
      <c r="I1042" s="40"/>
      <c r="J1042" s="41"/>
      <c r="K1042" s="38"/>
      <c r="L1042" s="42" t="str">
        <f aca="false">IF($B1042="","",IF(AND(N($I1042)=0,N($J1042)=0),"금액이 없습니다",IF(AND($I1042&gt;0,$J1042&gt;0),"수입·지출 둘 다 적혔습니다",IF($C1042="","결제수단을 고르십시오",IF(ISNA(MATCH($C1042,'교육원 ③ 통장·카드'!$A$5:$A$11,0)),"③ 통장·카드에 없는 결제수단입니다",IF($D1042="","계정과목을 고르십시오",IF($E1042="※없는 과목","④ 설정에 없는 과목입니다",IF(AND($E1042="수입",$J1042&gt;0),"수입 과목인데 지출에 적혔습니다",IF(AND(LEFT($E1042,2)&lt;&gt;"수입",$E1042&lt;&gt;"대체",$I1042&gt;0),"지출 과목인데 수입에 적혔습니다",IF($K1042="","증빙을 고르십시오",IF($H1042="","적요를 적으십시오","")))))))))))</f>
        <v/>
      </c>
      <c r="M1042" s="39"/>
      <c r="O1042" s="11" t="str">
        <f aca="false">IF($B1042="","",YEAR($B1042)*100+MONTH($B1042))</f>
        <v/>
      </c>
      <c r="P1042" s="11" t="str">
        <f aca="false">IF($B1042="","",IF($E1042="대체",0,1))</f>
        <v/>
      </c>
    </row>
    <row r="1043" customFormat="false" ht="15" hidden="false" customHeight="false" outlineLevel="0" collapsed="false">
      <c r="A1043" s="36" t="str">
        <f aca="false">IF($B1043="","",COUNT($B$15:$B1043))</f>
        <v/>
      </c>
      <c r="B1043" s="37"/>
      <c r="C1043" s="38"/>
      <c r="D1043" s="20"/>
      <c r="E1043" s="36" t="str">
        <f aca="false">IF($D1043="","",IFERROR(INDEX('교육원 ④ 설정'!$A$6:$A$40,MATCH($D1043,'교육원 ④ 설정'!$B$6:$B$40,0)),"※없는 과목"))</f>
        <v/>
      </c>
      <c r="F1043" s="36" t="str">
        <f aca="false">IF($D1043="","",IFERROR(INDEX('교육원 ④ 설정'!$C$6:$C$40,MATCH($D1043,'교육원 ④ 설정'!$B$6:$B$40,0)),""))</f>
        <v/>
      </c>
      <c r="G1043" s="39"/>
      <c r="H1043" s="39"/>
      <c r="I1043" s="40"/>
      <c r="J1043" s="41"/>
      <c r="K1043" s="38"/>
      <c r="L1043" s="42" t="str">
        <f aca="false">IF($B1043="","",IF(AND(N($I1043)=0,N($J1043)=0),"금액이 없습니다",IF(AND($I1043&gt;0,$J1043&gt;0),"수입·지출 둘 다 적혔습니다",IF($C1043="","결제수단을 고르십시오",IF(ISNA(MATCH($C1043,'교육원 ③ 통장·카드'!$A$5:$A$11,0)),"③ 통장·카드에 없는 결제수단입니다",IF($D1043="","계정과목을 고르십시오",IF($E1043="※없는 과목","④ 설정에 없는 과목입니다",IF(AND($E1043="수입",$J1043&gt;0),"수입 과목인데 지출에 적혔습니다",IF(AND(LEFT($E1043,2)&lt;&gt;"수입",$E1043&lt;&gt;"대체",$I1043&gt;0),"지출 과목인데 수입에 적혔습니다",IF($K1043="","증빙을 고르십시오",IF($H1043="","적요를 적으십시오","")))))))))))</f>
        <v/>
      </c>
      <c r="M1043" s="39"/>
      <c r="O1043" s="11" t="str">
        <f aca="false">IF($B1043="","",YEAR($B1043)*100+MONTH($B1043))</f>
        <v/>
      </c>
      <c r="P1043" s="11" t="str">
        <f aca="false">IF($B1043="","",IF($E1043="대체",0,1))</f>
        <v/>
      </c>
    </row>
    <row r="1044" customFormat="false" ht="15" hidden="false" customHeight="false" outlineLevel="0" collapsed="false">
      <c r="A1044" s="36" t="str">
        <f aca="false">IF($B1044="","",COUNT($B$15:$B1044))</f>
        <v/>
      </c>
      <c r="B1044" s="37"/>
      <c r="C1044" s="38"/>
      <c r="D1044" s="20"/>
      <c r="E1044" s="36" t="str">
        <f aca="false">IF($D1044="","",IFERROR(INDEX('교육원 ④ 설정'!$A$6:$A$40,MATCH($D1044,'교육원 ④ 설정'!$B$6:$B$40,0)),"※없는 과목"))</f>
        <v/>
      </c>
      <c r="F1044" s="36" t="str">
        <f aca="false">IF($D1044="","",IFERROR(INDEX('교육원 ④ 설정'!$C$6:$C$40,MATCH($D1044,'교육원 ④ 설정'!$B$6:$B$40,0)),""))</f>
        <v/>
      </c>
      <c r="G1044" s="39"/>
      <c r="H1044" s="39"/>
      <c r="I1044" s="40"/>
      <c r="J1044" s="41"/>
      <c r="K1044" s="38"/>
      <c r="L1044" s="42" t="str">
        <f aca="false">IF($B1044="","",IF(AND(N($I1044)=0,N($J1044)=0),"금액이 없습니다",IF(AND($I1044&gt;0,$J1044&gt;0),"수입·지출 둘 다 적혔습니다",IF($C1044="","결제수단을 고르십시오",IF(ISNA(MATCH($C1044,'교육원 ③ 통장·카드'!$A$5:$A$11,0)),"③ 통장·카드에 없는 결제수단입니다",IF($D1044="","계정과목을 고르십시오",IF($E1044="※없는 과목","④ 설정에 없는 과목입니다",IF(AND($E1044="수입",$J1044&gt;0),"수입 과목인데 지출에 적혔습니다",IF(AND(LEFT($E1044,2)&lt;&gt;"수입",$E1044&lt;&gt;"대체",$I1044&gt;0),"지출 과목인데 수입에 적혔습니다",IF($K1044="","증빙을 고르십시오",IF($H1044="","적요를 적으십시오","")))))))))))</f>
        <v/>
      </c>
      <c r="M1044" s="39"/>
      <c r="O1044" s="11" t="str">
        <f aca="false">IF($B1044="","",YEAR($B1044)*100+MONTH($B1044))</f>
        <v/>
      </c>
      <c r="P1044" s="11" t="str">
        <f aca="false">IF($B1044="","",IF($E1044="대체",0,1))</f>
        <v/>
      </c>
    </row>
    <row r="1045" customFormat="false" ht="15" hidden="false" customHeight="false" outlineLevel="0" collapsed="false">
      <c r="A1045" s="36" t="str">
        <f aca="false">IF($B1045="","",COUNT($B$15:$B1045))</f>
        <v/>
      </c>
      <c r="B1045" s="37"/>
      <c r="C1045" s="38"/>
      <c r="D1045" s="20"/>
      <c r="E1045" s="36" t="str">
        <f aca="false">IF($D1045="","",IFERROR(INDEX('교육원 ④ 설정'!$A$6:$A$40,MATCH($D1045,'교육원 ④ 설정'!$B$6:$B$40,0)),"※없는 과목"))</f>
        <v/>
      </c>
      <c r="F1045" s="36" t="str">
        <f aca="false">IF($D1045="","",IFERROR(INDEX('교육원 ④ 설정'!$C$6:$C$40,MATCH($D1045,'교육원 ④ 설정'!$B$6:$B$40,0)),""))</f>
        <v/>
      </c>
      <c r="G1045" s="39"/>
      <c r="H1045" s="39"/>
      <c r="I1045" s="40"/>
      <c r="J1045" s="41"/>
      <c r="K1045" s="38"/>
      <c r="L1045" s="42" t="str">
        <f aca="false">IF($B1045="","",IF(AND(N($I1045)=0,N($J1045)=0),"금액이 없습니다",IF(AND($I1045&gt;0,$J1045&gt;0),"수입·지출 둘 다 적혔습니다",IF($C1045="","결제수단을 고르십시오",IF(ISNA(MATCH($C1045,'교육원 ③ 통장·카드'!$A$5:$A$11,0)),"③ 통장·카드에 없는 결제수단입니다",IF($D1045="","계정과목을 고르십시오",IF($E1045="※없는 과목","④ 설정에 없는 과목입니다",IF(AND($E1045="수입",$J1045&gt;0),"수입 과목인데 지출에 적혔습니다",IF(AND(LEFT($E1045,2)&lt;&gt;"수입",$E1045&lt;&gt;"대체",$I1045&gt;0),"지출 과목인데 수입에 적혔습니다",IF($K1045="","증빙을 고르십시오",IF($H1045="","적요를 적으십시오","")))))))))))</f>
        <v/>
      </c>
      <c r="M1045" s="39"/>
      <c r="O1045" s="11" t="str">
        <f aca="false">IF($B1045="","",YEAR($B1045)*100+MONTH($B1045))</f>
        <v/>
      </c>
      <c r="P1045" s="11" t="str">
        <f aca="false">IF($B1045="","",IF($E1045="대체",0,1))</f>
        <v/>
      </c>
    </row>
    <row r="1046" customFormat="false" ht="15" hidden="false" customHeight="false" outlineLevel="0" collapsed="false">
      <c r="A1046" s="36" t="str">
        <f aca="false">IF($B1046="","",COUNT($B$15:$B1046))</f>
        <v/>
      </c>
      <c r="B1046" s="37"/>
      <c r="C1046" s="38"/>
      <c r="D1046" s="20"/>
      <c r="E1046" s="36" t="str">
        <f aca="false">IF($D1046="","",IFERROR(INDEX('교육원 ④ 설정'!$A$6:$A$40,MATCH($D1046,'교육원 ④ 설정'!$B$6:$B$40,0)),"※없는 과목"))</f>
        <v/>
      </c>
      <c r="F1046" s="36" t="str">
        <f aca="false">IF($D1046="","",IFERROR(INDEX('교육원 ④ 설정'!$C$6:$C$40,MATCH($D1046,'교육원 ④ 설정'!$B$6:$B$40,0)),""))</f>
        <v/>
      </c>
      <c r="G1046" s="39"/>
      <c r="H1046" s="39"/>
      <c r="I1046" s="40"/>
      <c r="J1046" s="41"/>
      <c r="K1046" s="38"/>
      <c r="L1046" s="42" t="str">
        <f aca="false">IF($B1046="","",IF(AND(N($I1046)=0,N($J1046)=0),"금액이 없습니다",IF(AND($I1046&gt;0,$J1046&gt;0),"수입·지출 둘 다 적혔습니다",IF($C1046="","결제수단을 고르십시오",IF(ISNA(MATCH($C1046,'교육원 ③ 통장·카드'!$A$5:$A$11,0)),"③ 통장·카드에 없는 결제수단입니다",IF($D1046="","계정과목을 고르십시오",IF($E1046="※없는 과목","④ 설정에 없는 과목입니다",IF(AND($E1046="수입",$J1046&gt;0),"수입 과목인데 지출에 적혔습니다",IF(AND(LEFT($E1046,2)&lt;&gt;"수입",$E1046&lt;&gt;"대체",$I1046&gt;0),"지출 과목인데 수입에 적혔습니다",IF($K1046="","증빙을 고르십시오",IF($H1046="","적요를 적으십시오","")))))))))))</f>
        <v/>
      </c>
      <c r="M1046" s="39"/>
      <c r="O1046" s="11" t="str">
        <f aca="false">IF($B1046="","",YEAR($B1046)*100+MONTH($B1046))</f>
        <v/>
      </c>
      <c r="P1046" s="11" t="str">
        <f aca="false">IF($B1046="","",IF($E1046="대체",0,1))</f>
        <v/>
      </c>
    </row>
    <row r="1047" customFormat="false" ht="15" hidden="false" customHeight="false" outlineLevel="0" collapsed="false">
      <c r="A1047" s="36" t="str">
        <f aca="false">IF($B1047="","",COUNT($B$15:$B1047))</f>
        <v/>
      </c>
      <c r="B1047" s="37"/>
      <c r="C1047" s="38"/>
      <c r="D1047" s="20"/>
      <c r="E1047" s="36" t="str">
        <f aca="false">IF($D1047="","",IFERROR(INDEX('교육원 ④ 설정'!$A$6:$A$40,MATCH($D1047,'교육원 ④ 설정'!$B$6:$B$40,0)),"※없는 과목"))</f>
        <v/>
      </c>
      <c r="F1047" s="36" t="str">
        <f aca="false">IF($D1047="","",IFERROR(INDEX('교육원 ④ 설정'!$C$6:$C$40,MATCH($D1047,'교육원 ④ 설정'!$B$6:$B$40,0)),""))</f>
        <v/>
      </c>
      <c r="G1047" s="39"/>
      <c r="H1047" s="39"/>
      <c r="I1047" s="40"/>
      <c r="J1047" s="41"/>
      <c r="K1047" s="38"/>
      <c r="L1047" s="42" t="str">
        <f aca="false">IF($B1047="","",IF(AND(N($I1047)=0,N($J1047)=0),"금액이 없습니다",IF(AND($I1047&gt;0,$J1047&gt;0),"수입·지출 둘 다 적혔습니다",IF($C1047="","결제수단을 고르십시오",IF(ISNA(MATCH($C1047,'교육원 ③ 통장·카드'!$A$5:$A$11,0)),"③ 통장·카드에 없는 결제수단입니다",IF($D1047="","계정과목을 고르십시오",IF($E1047="※없는 과목","④ 설정에 없는 과목입니다",IF(AND($E1047="수입",$J1047&gt;0),"수입 과목인데 지출에 적혔습니다",IF(AND(LEFT($E1047,2)&lt;&gt;"수입",$E1047&lt;&gt;"대체",$I1047&gt;0),"지출 과목인데 수입에 적혔습니다",IF($K1047="","증빙을 고르십시오",IF($H1047="","적요를 적으십시오","")))))))))))</f>
        <v/>
      </c>
      <c r="M1047" s="39"/>
      <c r="O1047" s="11" t="str">
        <f aca="false">IF($B1047="","",YEAR($B1047)*100+MONTH($B1047))</f>
        <v/>
      </c>
      <c r="P1047" s="11" t="str">
        <f aca="false">IF($B1047="","",IF($E1047="대체",0,1))</f>
        <v/>
      </c>
    </row>
    <row r="1048" customFormat="false" ht="15" hidden="false" customHeight="false" outlineLevel="0" collapsed="false">
      <c r="A1048" s="36" t="str">
        <f aca="false">IF($B1048="","",COUNT($B$15:$B1048))</f>
        <v/>
      </c>
      <c r="B1048" s="37"/>
      <c r="C1048" s="38"/>
      <c r="D1048" s="20"/>
      <c r="E1048" s="36" t="str">
        <f aca="false">IF($D1048="","",IFERROR(INDEX('교육원 ④ 설정'!$A$6:$A$40,MATCH($D1048,'교육원 ④ 설정'!$B$6:$B$40,0)),"※없는 과목"))</f>
        <v/>
      </c>
      <c r="F1048" s="36" t="str">
        <f aca="false">IF($D1048="","",IFERROR(INDEX('교육원 ④ 설정'!$C$6:$C$40,MATCH($D1048,'교육원 ④ 설정'!$B$6:$B$40,0)),""))</f>
        <v/>
      </c>
      <c r="G1048" s="39"/>
      <c r="H1048" s="39"/>
      <c r="I1048" s="40"/>
      <c r="J1048" s="41"/>
      <c r="K1048" s="38"/>
      <c r="L1048" s="42" t="str">
        <f aca="false">IF($B1048="","",IF(AND(N($I1048)=0,N($J1048)=0),"금액이 없습니다",IF(AND($I1048&gt;0,$J1048&gt;0),"수입·지출 둘 다 적혔습니다",IF($C1048="","결제수단을 고르십시오",IF(ISNA(MATCH($C1048,'교육원 ③ 통장·카드'!$A$5:$A$11,0)),"③ 통장·카드에 없는 결제수단입니다",IF($D1048="","계정과목을 고르십시오",IF($E1048="※없는 과목","④ 설정에 없는 과목입니다",IF(AND($E1048="수입",$J1048&gt;0),"수입 과목인데 지출에 적혔습니다",IF(AND(LEFT($E1048,2)&lt;&gt;"수입",$E1048&lt;&gt;"대체",$I1048&gt;0),"지출 과목인데 수입에 적혔습니다",IF($K1048="","증빙을 고르십시오",IF($H1048="","적요를 적으십시오","")))))))))))</f>
        <v/>
      </c>
      <c r="M1048" s="39"/>
      <c r="O1048" s="11" t="str">
        <f aca="false">IF($B1048="","",YEAR($B1048)*100+MONTH($B1048))</f>
        <v/>
      </c>
      <c r="P1048" s="11" t="str">
        <f aca="false">IF($B1048="","",IF($E1048="대체",0,1))</f>
        <v/>
      </c>
    </row>
    <row r="1049" customFormat="false" ht="15" hidden="false" customHeight="false" outlineLevel="0" collapsed="false">
      <c r="A1049" s="36" t="str">
        <f aca="false">IF($B1049="","",COUNT($B$15:$B1049))</f>
        <v/>
      </c>
      <c r="B1049" s="37"/>
      <c r="C1049" s="38"/>
      <c r="D1049" s="20"/>
      <c r="E1049" s="36" t="str">
        <f aca="false">IF($D1049="","",IFERROR(INDEX('교육원 ④ 설정'!$A$6:$A$40,MATCH($D1049,'교육원 ④ 설정'!$B$6:$B$40,0)),"※없는 과목"))</f>
        <v/>
      </c>
      <c r="F1049" s="36" t="str">
        <f aca="false">IF($D1049="","",IFERROR(INDEX('교육원 ④ 설정'!$C$6:$C$40,MATCH($D1049,'교육원 ④ 설정'!$B$6:$B$40,0)),""))</f>
        <v/>
      </c>
      <c r="G1049" s="39"/>
      <c r="H1049" s="39"/>
      <c r="I1049" s="40"/>
      <c r="J1049" s="41"/>
      <c r="K1049" s="38"/>
      <c r="L1049" s="42" t="str">
        <f aca="false">IF($B1049="","",IF(AND(N($I1049)=0,N($J1049)=0),"금액이 없습니다",IF(AND($I1049&gt;0,$J1049&gt;0),"수입·지출 둘 다 적혔습니다",IF($C1049="","결제수단을 고르십시오",IF(ISNA(MATCH($C1049,'교육원 ③ 통장·카드'!$A$5:$A$11,0)),"③ 통장·카드에 없는 결제수단입니다",IF($D1049="","계정과목을 고르십시오",IF($E1049="※없는 과목","④ 설정에 없는 과목입니다",IF(AND($E1049="수입",$J1049&gt;0),"수입 과목인데 지출에 적혔습니다",IF(AND(LEFT($E1049,2)&lt;&gt;"수입",$E1049&lt;&gt;"대체",$I1049&gt;0),"지출 과목인데 수입에 적혔습니다",IF($K1049="","증빙을 고르십시오",IF($H1049="","적요를 적으십시오","")))))))))))</f>
        <v/>
      </c>
      <c r="M1049" s="39"/>
      <c r="O1049" s="11" t="str">
        <f aca="false">IF($B1049="","",YEAR($B1049)*100+MONTH($B1049))</f>
        <v/>
      </c>
      <c r="P1049" s="11" t="str">
        <f aca="false">IF($B1049="","",IF($E1049="대체",0,1))</f>
        <v/>
      </c>
    </row>
    <row r="1050" customFormat="false" ht="15" hidden="false" customHeight="false" outlineLevel="0" collapsed="false">
      <c r="A1050" s="36" t="str">
        <f aca="false">IF($B1050="","",COUNT($B$15:$B1050))</f>
        <v/>
      </c>
      <c r="B1050" s="37"/>
      <c r="C1050" s="38"/>
      <c r="D1050" s="20"/>
      <c r="E1050" s="36" t="str">
        <f aca="false">IF($D1050="","",IFERROR(INDEX('교육원 ④ 설정'!$A$6:$A$40,MATCH($D1050,'교육원 ④ 설정'!$B$6:$B$40,0)),"※없는 과목"))</f>
        <v/>
      </c>
      <c r="F1050" s="36" t="str">
        <f aca="false">IF($D1050="","",IFERROR(INDEX('교육원 ④ 설정'!$C$6:$C$40,MATCH($D1050,'교육원 ④ 설정'!$B$6:$B$40,0)),""))</f>
        <v/>
      </c>
      <c r="G1050" s="39"/>
      <c r="H1050" s="39"/>
      <c r="I1050" s="40"/>
      <c r="J1050" s="41"/>
      <c r="K1050" s="38"/>
      <c r="L1050" s="42" t="str">
        <f aca="false">IF($B1050="","",IF(AND(N($I1050)=0,N($J1050)=0),"금액이 없습니다",IF(AND($I1050&gt;0,$J1050&gt;0),"수입·지출 둘 다 적혔습니다",IF($C1050="","결제수단을 고르십시오",IF(ISNA(MATCH($C1050,'교육원 ③ 통장·카드'!$A$5:$A$11,0)),"③ 통장·카드에 없는 결제수단입니다",IF($D1050="","계정과목을 고르십시오",IF($E1050="※없는 과목","④ 설정에 없는 과목입니다",IF(AND($E1050="수입",$J1050&gt;0),"수입 과목인데 지출에 적혔습니다",IF(AND(LEFT($E1050,2)&lt;&gt;"수입",$E1050&lt;&gt;"대체",$I1050&gt;0),"지출 과목인데 수입에 적혔습니다",IF($K1050="","증빙을 고르십시오",IF($H1050="","적요를 적으십시오","")))))))))))</f>
        <v/>
      </c>
      <c r="M1050" s="39"/>
      <c r="O1050" s="11" t="str">
        <f aca="false">IF($B1050="","",YEAR($B1050)*100+MONTH($B1050))</f>
        <v/>
      </c>
      <c r="P1050" s="11" t="str">
        <f aca="false">IF($B1050="","",IF($E1050="대체",0,1))</f>
        <v/>
      </c>
    </row>
    <row r="1051" customFormat="false" ht="15" hidden="false" customHeight="false" outlineLevel="0" collapsed="false">
      <c r="A1051" s="36" t="str">
        <f aca="false">IF($B1051="","",COUNT($B$15:$B1051))</f>
        <v/>
      </c>
      <c r="B1051" s="37"/>
      <c r="C1051" s="38"/>
      <c r="D1051" s="20"/>
      <c r="E1051" s="36" t="str">
        <f aca="false">IF($D1051="","",IFERROR(INDEX('교육원 ④ 설정'!$A$6:$A$40,MATCH($D1051,'교육원 ④ 설정'!$B$6:$B$40,0)),"※없는 과목"))</f>
        <v/>
      </c>
      <c r="F1051" s="36" t="str">
        <f aca="false">IF($D1051="","",IFERROR(INDEX('교육원 ④ 설정'!$C$6:$C$40,MATCH($D1051,'교육원 ④ 설정'!$B$6:$B$40,0)),""))</f>
        <v/>
      </c>
      <c r="G1051" s="39"/>
      <c r="H1051" s="39"/>
      <c r="I1051" s="40"/>
      <c r="J1051" s="41"/>
      <c r="K1051" s="38"/>
      <c r="L1051" s="42" t="str">
        <f aca="false">IF($B1051="","",IF(AND(N($I1051)=0,N($J1051)=0),"금액이 없습니다",IF(AND($I1051&gt;0,$J1051&gt;0),"수입·지출 둘 다 적혔습니다",IF($C1051="","결제수단을 고르십시오",IF(ISNA(MATCH($C1051,'교육원 ③ 통장·카드'!$A$5:$A$11,0)),"③ 통장·카드에 없는 결제수단입니다",IF($D1051="","계정과목을 고르십시오",IF($E1051="※없는 과목","④ 설정에 없는 과목입니다",IF(AND($E1051="수입",$J1051&gt;0),"수입 과목인데 지출에 적혔습니다",IF(AND(LEFT($E1051,2)&lt;&gt;"수입",$E1051&lt;&gt;"대체",$I1051&gt;0),"지출 과목인데 수입에 적혔습니다",IF($K1051="","증빙을 고르십시오",IF($H1051="","적요를 적으십시오","")))))))))))</f>
        <v/>
      </c>
      <c r="M1051" s="39"/>
      <c r="O1051" s="11" t="str">
        <f aca="false">IF($B1051="","",YEAR($B1051)*100+MONTH($B1051))</f>
        <v/>
      </c>
      <c r="P1051" s="11" t="str">
        <f aca="false">IF($B1051="","",IF($E1051="대체",0,1))</f>
        <v/>
      </c>
    </row>
    <row r="1052" customFormat="false" ht="15" hidden="false" customHeight="false" outlineLevel="0" collapsed="false">
      <c r="A1052" s="36" t="str">
        <f aca="false">IF($B1052="","",COUNT($B$15:$B1052))</f>
        <v/>
      </c>
      <c r="B1052" s="37"/>
      <c r="C1052" s="38"/>
      <c r="D1052" s="20"/>
      <c r="E1052" s="36" t="str">
        <f aca="false">IF($D1052="","",IFERROR(INDEX('교육원 ④ 설정'!$A$6:$A$40,MATCH($D1052,'교육원 ④ 설정'!$B$6:$B$40,0)),"※없는 과목"))</f>
        <v/>
      </c>
      <c r="F1052" s="36" t="str">
        <f aca="false">IF($D1052="","",IFERROR(INDEX('교육원 ④ 설정'!$C$6:$C$40,MATCH($D1052,'교육원 ④ 설정'!$B$6:$B$40,0)),""))</f>
        <v/>
      </c>
      <c r="G1052" s="39"/>
      <c r="H1052" s="39"/>
      <c r="I1052" s="40"/>
      <c r="J1052" s="41"/>
      <c r="K1052" s="38"/>
      <c r="L1052" s="42" t="str">
        <f aca="false">IF($B1052="","",IF(AND(N($I1052)=0,N($J1052)=0),"금액이 없습니다",IF(AND($I1052&gt;0,$J1052&gt;0),"수입·지출 둘 다 적혔습니다",IF($C1052="","결제수단을 고르십시오",IF(ISNA(MATCH($C1052,'교육원 ③ 통장·카드'!$A$5:$A$11,0)),"③ 통장·카드에 없는 결제수단입니다",IF($D1052="","계정과목을 고르십시오",IF($E1052="※없는 과목","④ 설정에 없는 과목입니다",IF(AND($E1052="수입",$J1052&gt;0),"수입 과목인데 지출에 적혔습니다",IF(AND(LEFT($E1052,2)&lt;&gt;"수입",$E1052&lt;&gt;"대체",$I1052&gt;0),"지출 과목인데 수입에 적혔습니다",IF($K1052="","증빙을 고르십시오",IF($H1052="","적요를 적으십시오","")))))))))))</f>
        <v/>
      </c>
      <c r="M1052" s="39"/>
      <c r="O1052" s="11" t="str">
        <f aca="false">IF($B1052="","",YEAR($B1052)*100+MONTH($B1052))</f>
        <v/>
      </c>
      <c r="P1052" s="11" t="str">
        <f aca="false">IF($B1052="","",IF($E1052="대체",0,1))</f>
        <v/>
      </c>
    </row>
    <row r="1053" customFormat="false" ht="15" hidden="false" customHeight="false" outlineLevel="0" collapsed="false">
      <c r="A1053" s="36" t="str">
        <f aca="false">IF($B1053="","",COUNT($B$15:$B1053))</f>
        <v/>
      </c>
      <c r="B1053" s="37"/>
      <c r="C1053" s="38"/>
      <c r="D1053" s="20"/>
      <c r="E1053" s="36" t="str">
        <f aca="false">IF($D1053="","",IFERROR(INDEX('교육원 ④ 설정'!$A$6:$A$40,MATCH($D1053,'교육원 ④ 설정'!$B$6:$B$40,0)),"※없는 과목"))</f>
        <v/>
      </c>
      <c r="F1053" s="36" t="str">
        <f aca="false">IF($D1053="","",IFERROR(INDEX('교육원 ④ 설정'!$C$6:$C$40,MATCH($D1053,'교육원 ④ 설정'!$B$6:$B$40,0)),""))</f>
        <v/>
      </c>
      <c r="G1053" s="39"/>
      <c r="H1053" s="39"/>
      <c r="I1053" s="40"/>
      <c r="J1053" s="41"/>
      <c r="K1053" s="38"/>
      <c r="L1053" s="42" t="str">
        <f aca="false">IF($B1053="","",IF(AND(N($I1053)=0,N($J1053)=0),"금액이 없습니다",IF(AND($I1053&gt;0,$J1053&gt;0),"수입·지출 둘 다 적혔습니다",IF($C1053="","결제수단을 고르십시오",IF(ISNA(MATCH($C1053,'교육원 ③ 통장·카드'!$A$5:$A$11,0)),"③ 통장·카드에 없는 결제수단입니다",IF($D1053="","계정과목을 고르십시오",IF($E1053="※없는 과목","④ 설정에 없는 과목입니다",IF(AND($E1053="수입",$J1053&gt;0),"수입 과목인데 지출에 적혔습니다",IF(AND(LEFT($E1053,2)&lt;&gt;"수입",$E1053&lt;&gt;"대체",$I1053&gt;0),"지출 과목인데 수입에 적혔습니다",IF($K1053="","증빙을 고르십시오",IF($H1053="","적요를 적으십시오","")))))))))))</f>
        <v/>
      </c>
      <c r="M1053" s="39"/>
      <c r="O1053" s="11" t="str">
        <f aca="false">IF($B1053="","",YEAR($B1053)*100+MONTH($B1053))</f>
        <v/>
      </c>
      <c r="P1053" s="11" t="str">
        <f aca="false">IF($B1053="","",IF($E1053="대체",0,1))</f>
        <v/>
      </c>
    </row>
    <row r="1054" customFormat="false" ht="15" hidden="false" customHeight="false" outlineLevel="0" collapsed="false">
      <c r="A1054" s="36" t="str">
        <f aca="false">IF($B1054="","",COUNT($B$15:$B1054))</f>
        <v/>
      </c>
      <c r="B1054" s="37"/>
      <c r="C1054" s="38"/>
      <c r="D1054" s="20"/>
      <c r="E1054" s="36" t="str">
        <f aca="false">IF($D1054="","",IFERROR(INDEX('교육원 ④ 설정'!$A$6:$A$40,MATCH($D1054,'교육원 ④ 설정'!$B$6:$B$40,0)),"※없는 과목"))</f>
        <v/>
      </c>
      <c r="F1054" s="36" t="str">
        <f aca="false">IF($D1054="","",IFERROR(INDEX('교육원 ④ 설정'!$C$6:$C$40,MATCH($D1054,'교육원 ④ 설정'!$B$6:$B$40,0)),""))</f>
        <v/>
      </c>
      <c r="G1054" s="39"/>
      <c r="H1054" s="39"/>
      <c r="I1054" s="40"/>
      <c r="J1054" s="41"/>
      <c r="K1054" s="38"/>
      <c r="L1054" s="42" t="str">
        <f aca="false">IF($B1054="","",IF(AND(N($I1054)=0,N($J1054)=0),"금액이 없습니다",IF(AND($I1054&gt;0,$J1054&gt;0),"수입·지출 둘 다 적혔습니다",IF($C1054="","결제수단을 고르십시오",IF(ISNA(MATCH($C1054,'교육원 ③ 통장·카드'!$A$5:$A$11,0)),"③ 통장·카드에 없는 결제수단입니다",IF($D1054="","계정과목을 고르십시오",IF($E1054="※없는 과목","④ 설정에 없는 과목입니다",IF(AND($E1054="수입",$J1054&gt;0),"수입 과목인데 지출에 적혔습니다",IF(AND(LEFT($E1054,2)&lt;&gt;"수입",$E1054&lt;&gt;"대체",$I1054&gt;0),"지출 과목인데 수입에 적혔습니다",IF($K1054="","증빙을 고르십시오",IF($H1054="","적요를 적으십시오","")))))))))))</f>
        <v/>
      </c>
      <c r="M1054" s="39"/>
      <c r="O1054" s="11" t="str">
        <f aca="false">IF($B1054="","",YEAR($B1054)*100+MONTH($B1054))</f>
        <v/>
      </c>
      <c r="P1054" s="11" t="str">
        <f aca="false">IF($B1054="","",IF($E1054="대체",0,1))</f>
        <v/>
      </c>
    </row>
    <row r="1055" customFormat="false" ht="15" hidden="false" customHeight="false" outlineLevel="0" collapsed="false">
      <c r="A1055" s="36" t="str">
        <f aca="false">IF($B1055="","",COUNT($B$15:$B1055))</f>
        <v/>
      </c>
      <c r="B1055" s="37"/>
      <c r="C1055" s="38"/>
      <c r="D1055" s="20"/>
      <c r="E1055" s="36" t="str">
        <f aca="false">IF($D1055="","",IFERROR(INDEX('교육원 ④ 설정'!$A$6:$A$40,MATCH($D1055,'교육원 ④ 설정'!$B$6:$B$40,0)),"※없는 과목"))</f>
        <v/>
      </c>
      <c r="F1055" s="36" t="str">
        <f aca="false">IF($D1055="","",IFERROR(INDEX('교육원 ④ 설정'!$C$6:$C$40,MATCH($D1055,'교육원 ④ 설정'!$B$6:$B$40,0)),""))</f>
        <v/>
      </c>
      <c r="G1055" s="39"/>
      <c r="H1055" s="39"/>
      <c r="I1055" s="40"/>
      <c r="J1055" s="41"/>
      <c r="K1055" s="38"/>
      <c r="L1055" s="42" t="str">
        <f aca="false">IF($B1055="","",IF(AND(N($I1055)=0,N($J1055)=0),"금액이 없습니다",IF(AND($I1055&gt;0,$J1055&gt;0),"수입·지출 둘 다 적혔습니다",IF($C1055="","결제수단을 고르십시오",IF(ISNA(MATCH($C1055,'교육원 ③ 통장·카드'!$A$5:$A$11,0)),"③ 통장·카드에 없는 결제수단입니다",IF($D1055="","계정과목을 고르십시오",IF($E1055="※없는 과목","④ 설정에 없는 과목입니다",IF(AND($E1055="수입",$J1055&gt;0),"수입 과목인데 지출에 적혔습니다",IF(AND(LEFT($E1055,2)&lt;&gt;"수입",$E1055&lt;&gt;"대체",$I1055&gt;0),"지출 과목인데 수입에 적혔습니다",IF($K1055="","증빙을 고르십시오",IF($H1055="","적요를 적으십시오","")))))))))))</f>
        <v/>
      </c>
      <c r="M1055" s="39"/>
      <c r="O1055" s="11" t="str">
        <f aca="false">IF($B1055="","",YEAR($B1055)*100+MONTH($B1055))</f>
        <v/>
      </c>
      <c r="P1055" s="11" t="str">
        <f aca="false">IF($B1055="","",IF($E1055="대체",0,1))</f>
        <v/>
      </c>
    </row>
    <row r="1056" customFormat="false" ht="15" hidden="false" customHeight="false" outlineLevel="0" collapsed="false">
      <c r="A1056" s="36" t="str">
        <f aca="false">IF($B1056="","",COUNT($B$15:$B1056))</f>
        <v/>
      </c>
      <c r="B1056" s="37"/>
      <c r="C1056" s="38"/>
      <c r="D1056" s="20"/>
      <c r="E1056" s="36" t="str">
        <f aca="false">IF($D1056="","",IFERROR(INDEX('교육원 ④ 설정'!$A$6:$A$40,MATCH($D1056,'교육원 ④ 설정'!$B$6:$B$40,0)),"※없는 과목"))</f>
        <v/>
      </c>
      <c r="F1056" s="36" t="str">
        <f aca="false">IF($D1056="","",IFERROR(INDEX('교육원 ④ 설정'!$C$6:$C$40,MATCH($D1056,'교육원 ④ 설정'!$B$6:$B$40,0)),""))</f>
        <v/>
      </c>
      <c r="G1056" s="39"/>
      <c r="H1056" s="39"/>
      <c r="I1056" s="40"/>
      <c r="J1056" s="41"/>
      <c r="K1056" s="38"/>
      <c r="L1056" s="42" t="str">
        <f aca="false">IF($B1056="","",IF(AND(N($I1056)=0,N($J1056)=0),"금액이 없습니다",IF(AND($I1056&gt;0,$J1056&gt;0),"수입·지출 둘 다 적혔습니다",IF($C1056="","결제수단을 고르십시오",IF(ISNA(MATCH($C1056,'교육원 ③ 통장·카드'!$A$5:$A$11,0)),"③ 통장·카드에 없는 결제수단입니다",IF($D1056="","계정과목을 고르십시오",IF($E1056="※없는 과목","④ 설정에 없는 과목입니다",IF(AND($E1056="수입",$J1056&gt;0),"수입 과목인데 지출에 적혔습니다",IF(AND(LEFT($E1056,2)&lt;&gt;"수입",$E1056&lt;&gt;"대체",$I1056&gt;0),"지출 과목인데 수입에 적혔습니다",IF($K1056="","증빙을 고르십시오",IF($H1056="","적요를 적으십시오","")))))))))))</f>
        <v/>
      </c>
      <c r="M1056" s="39"/>
      <c r="O1056" s="11" t="str">
        <f aca="false">IF($B1056="","",YEAR($B1056)*100+MONTH($B1056))</f>
        <v/>
      </c>
      <c r="P1056" s="11" t="str">
        <f aca="false">IF($B1056="","",IF($E1056="대체",0,1))</f>
        <v/>
      </c>
    </row>
    <row r="1057" customFormat="false" ht="15" hidden="false" customHeight="false" outlineLevel="0" collapsed="false">
      <c r="A1057" s="36" t="str">
        <f aca="false">IF($B1057="","",COUNT($B$15:$B1057))</f>
        <v/>
      </c>
      <c r="B1057" s="37"/>
      <c r="C1057" s="38"/>
      <c r="D1057" s="20"/>
      <c r="E1057" s="36" t="str">
        <f aca="false">IF($D1057="","",IFERROR(INDEX('교육원 ④ 설정'!$A$6:$A$40,MATCH($D1057,'교육원 ④ 설정'!$B$6:$B$40,0)),"※없는 과목"))</f>
        <v/>
      </c>
      <c r="F1057" s="36" t="str">
        <f aca="false">IF($D1057="","",IFERROR(INDEX('교육원 ④ 설정'!$C$6:$C$40,MATCH($D1057,'교육원 ④ 설정'!$B$6:$B$40,0)),""))</f>
        <v/>
      </c>
      <c r="G1057" s="39"/>
      <c r="H1057" s="39"/>
      <c r="I1057" s="40"/>
      <c r="J1057" s="41"/>
      <c r="K1057" s="38"/>
      <c r="L1057" s="42" t="str">
        <f aca="false">IF($B1057="","",IF(AND(N($I1057)=0,N($J1057)=0),"금액이 없습니다",IF(AND($I1057&gt;0,$J1057&gt;0),"수입·지출 둘 다 적혔습니다",IF($C1057="","결제수단을 고르십시오",IF(ISNA(MATCH($C1057,'교육원 ③ 통장·카드'!$A$5:$A$11,0)),"③ 통장·카드에 없는 결제수단입니다",IF($D1057="","계정과목을 고르십시오",IF($E1057="※없는 과목","④ 설정에 없는 과목입니다",IF(AND($E1057="수입",$J1057&gt;0),"수입 과목인데 지출에 적혔습니다",IF(AND(LEFT($E1057,2)&lt;&gt;"수입",$E1057&lt;&gt;"대체",$I1057&gt;0),"지출 과목인데 수입에 적혔습니다",IF($K1057="","증빙을 고르십시오",IF($H1057="","적요를 적으십시오","")))))))))))</f>
        <v/>
      </c>
      <c r="M1057" s="39"/>
      <c r="O1057" s="11" t="str">
        <f aca="false">IF($B1057="","",YEAR($B1057)*100+MONTH($B1057))</f>
        <v/>
      </c>
      <c r="P1057" s="11" t="str">
        <f aca="false">IF($B1057="","",IF($E1057="대체",0,1))</f>
        <v/>
      </c>
    </row>
    <row r="1058" customFormat="false" ht="15" hidden="false" customHeight="false" outlineLevel="0" collapsed="false">
      <c r="A1058" s="36" t="str">
        <f aca="false">IF($B1058="","",COUNT($B$15:$B1058))</f>
        <v/>
      </c>
      <c r="B1058" s="37"/>
      <c r="C1058" s="38"/>
      <c r="D1058" s="20"/>
      <c r="E1058" s="36" t="str">
        <f aca="false">IF($D1058="","",IFERROR(INDEX('교육원 ④ 설정'!$A$6:$A$40,MATCH($D1058,'교육원 ④ 설정'!$B$6:$B$40,0)),"※없는 과목"))</f>
        <v/>
      </c>
      <c r="F1058" s="36" t="str">
        <f aca="false">IF($D1058="","",IFERROR(INDEX('교육원 ④ 설정'!$C$6:$C$40,MATCH($D1058,'교육원 ④ 설정'!$B$6:$B$40,0)),""))</f>
        <v/>
      </c>
      <c r="G1058" s="39"/>
      <c r="H1058" s="39"/>
      <c r="I1058" s="40"/>
      <c r="J1058" s="41"/>
      <c r="K1058" s="38"/>
      <c r="L1058" s="42" t="str">
        <f aca="false">IF($B1058="","",IF(AND(N($I1058)=0,N($J1058)=0),"금액이 없습니다",IF(AND($I1058&gt;0,$J1058&gt;0),"수입·지출 둘 다 적혔습니다",IF($C1058="","결제수단을 고르십시오",IF(ISNA(MATCH($C1058,'교육원 ③ 통장·카드'!$A$5:$A$11,0)),"③ 통장·카드에 없는 결제수단입니다",IF($D1058="","계정과목을 고르십시오",IF($E1058="※없는 과목","④ 설정에 없는 과목입니다",IF(AND($E1058="수입",$J1058&gt;0),"수입 과목인데 지출에 적혔습니다",IF(AND(LEFT($E1058,2)&lt;&gt;"수입",$E1058&lt;&gt;"대체",$I1058&gt;0),"지출 과목인데 수입에 적혔습니다",IF($K1058="","증빙을 고르십시오",IF($H1058="","적요를 적으십시오","")))))))))))</f>
        <v/>
      </c>
      <c r="M1058" s="39"/>
      <c r="O1058" s="11" t="str">
        <f aca="false">IF($B1058="","",YEAR($B1058)*100+MONTH($B1058))</f>
        <v/>
      </c>
      <c r="P1058" s="11" t="str">
        <f aca="false">IF($B1058="","",IF($E1058="대체",0,1))</f>
        <v/>
      </c>
    </row>
    <row r="1059" customFormat="false" ht="15" hidden="false" customHeight="false" outlineLevel="0" collapsed="false">
      <c r="A1059" s="36" t="str">
        <f aca="false">IF($B1059="","",COUNT($B$15:$B1059))</f>
        <v/>
      </c>
      <c r="B1059" s="37"/>
      <c r="C1059" s="38"/>
      <c r="D1059" s="20"/>
      <c r="E1059" s="36" t="str">
        <f aca="false">IF($D1059="","",IFERROR(INDEX('교육원 ④ 설정'!$A$6:$A$40,MATCH($D1059,'교육원 ④ 설정'!$B$6:$B$40,0)),"※없는 과목"))</f>
        <v/>
      </c>
      <c r="F1059" s="36" t="str">
        <f aca="false">IF($D1059="","",IFERROR(INDEX('교육원 ④ 설정'!$C$6:$C$40,MATCH($D1059,'교육원 ④ 설정'!$B$6:$B$40,0)),""))</f>
        <v/>
      </c>
      <c r="G1059" s="39"/>
      <c r="H1059" s="39"/>
      <c r="I1059" s="40"/>
      <c r="J1059" s="41"/>
      <c r="K1059" s="38"/>
      <c r="L1059" s="42" t="str">
        <f aca="false">IF($B1059="","",IF(AND(N($I1059)=0,N($J1059)=0),"금액이 없습니다",IF(AND($I1059&gt;0,$J1059&gt;0),"수입·지출 둘 다 적혔습니다",IF($C1059="","결제수단을 고르십시오",IF(ISNA(MATCH($C1059,'교육원 ③ 통장·카드'!$A$5:$A$11,0)),"③ 통장·카드에 없는 결제수단입니다",IF($D1059="","계정과목을 고르십시오",IF($E1059="※없는 과목","④ 설정에 없는 과목입니다",IF(AND($E1059="수입",$J1059&gt;0),"수입 과목인데 지출에 적혔습니다",IF(AND(LEFT($E1059,2)&lt;&gt;"수입",$E1059&lt;&gt;"대체",$I1059&gt;0),"지출 과목인데 수입에 적혔습니다",IF($K1059="","증빙을 고르십시오",IF($H1059="","적요를 적으십시오","")))))))))))</f>
        <v/>
      </c>
      <c r="M1059" s="39"/>
      <c r="O1059" s="11" t="str">
        <f aca="false">IF($B1059="","",YEAR($B1059)*100+MONTH($B1059))</f>
        <v/>
      </c>
      <c r="P1059" s="11" t="str">
        <f aca="false">IF($B1059="","",IF($E1059="대체",0,1))</f>
        <v/>
      </c>
    </row>
    <row r="1060" customFormat="false" ht="15" hidden="false" customHeight="false" outlineLevel="0" collapsed="false">
      <c r="A1060" s="36" t="str">
        <f aca="false">IF($B1060="","",COUNT($B$15:$B1060))</f>
        <v/>
      </c>
      <c r="B1060" s="37"/>
      <c r="C1060" s="38"/>
      <c r="D1060" s="20"/>
      <c r="E1060" s="36" t="str">
        <f aca="false">IF($D1060="","",IFERROR(INDEX('교육원 ④ 설정'!$A$6:$A$40,MATCH($D1060,'교육원 ④ 설정'!$B$6:$B$40,0)),"※없는 과목"))</f>
        <v/>
      </c>
      <c r="F1060" s="36" t="str">
        <f aca="false">IF($D1060="","",IFERROR(INDEX('교육원 ④ 설정'!$C$6:$C$40,MATCH($D1060,'교육원 ④ 설정'!$B$6:$B$40,0)),""))</f>
        <v/>
      </c>
      <c r="G1060" s="39"/>
      <c r="H1060" s="39"/>
      <c r="I1060" s="40"/>
      <c r="J1060" s="41"/>
      <c r="K1060" s="38"/>
      <c r="L1060" s="42" t="str">
        <f aca="false">IF($B1060="","",IF(AND(N($I1060)=0,N($J1060)=0),"금액이 없습니다",IF(AND($I1060&gt;0,$J1060&gt;0),"수입·지출 둘 다 적혔습니다",IF($C1060="","결제수단을 고르십시오",IF(ISNA(MATCH($C1060,'교육원 ③ 통장·카드'!$A$5:$A$11,0)),"③ 통장·카드에 없는 결제수단입니다",IF($D1060="","계정과목을 고르십시오",IF($E1060="※없는 과목","④ 설정에 없는 과목입니다",IF(AND($E1060="수입",$J1060&gt;0),"수입 과목인데 지출에 적혔습니다",IF(AND(LEFT($E1060,2)&lt;&gt;"수입",$E1060&lt;&gt;"대체",$I1060&gt;0),"지출 과목인데 수입에 적혔습니다",IF($K1060="","증빙을 고르십시오",IF($H1060="","적요를 적으십시오","")))))))))))</f>
        <v/>
      </c>
      <c r="M1060" s="39"/>
      <c r="O1060" s="11" t="str">
        <f aca="false">IF($B1060="","",YEAR($B1060)*100+MONTH($B1060))</f>
        <v/>
      </c>
      <c r="P1060" s="11" t="str">
        <f aca="false">IF($B1060="","",IF($E1060="대체",0,1))</f>
        <v/>
      </c>
    </row>
    <row r="1061" customFormat="false" ht="15" hidden="false" customHeight="false" outlineLevel="0" collapsed="false">
      <c r="A1061" s="36" t="str">
        <f aca="false">IF($B1061="","",COUNT($B$15:$B1061))</f>
        <v/>
      </c>
      <c r="B1061" s="37"/>
      <c r="C1061" s="38"/>
      <c r="D1061" s="20"/>
      <c r="E1061" s="36" t="str">
        <f aca="false">IF($D1061="","",IFERROR(INDEX('교육원 ④ 설정'!$A$6:$A$40,MATCH($D1061,'교육원 ④ 설정'!$B$6:$B$40,0)),"※없는 과목"))</f>
        <v/>
      </c>
      <c r="F1061" s="36" t="str">
        <f aca="false">IF($D1061="","",IFERROR(INDEX('교육원 ④ 설정'!$C$6:$C$40,MATCH($D1061,'교육원 ④ 설정'!$B$6:$B$40,0)),""))</f>
        <v/>
      </c>
      <c r="G1061" s="39"/>
      <c r="H1061" s="39"/>
      <c r="I1061" s="40"/>
      <c r="J1061" s="41"/>
      <c r="K1061" s="38"/>
      <c r="L1061" s="42" t="str">
        <f aca="false">IF($B1061="","",IF(AND(N($I1061)=0,N($J1061)=0),"금액이 없습니다",IF(AND($I1061&gt;0,$J1061&gt;0),"수입·지출 둘 다 적혔습니다",IF($C1061="","결제수단을 고르십시오",IF(ISNA(MATCH($C1061,'교육원 ③ 통장·카드'!$A$5:$A$11,0)),"③ 통장·카드에 없는 결제수단입니다",IF($D1061="","계정과목을 고르십시오",IF($E1061="※없는 과목","④ 설정에 없는 과목입니다",IF(AND($E1061="수입",$J1061&gt;0),"수입 과목인데 지출에 적혔습니다",IF(AND(LEFT($E1061,2)&lt;&gt;"수입",$E1061&lt;&gt;"대체",$I1061&gt;0),"지출 과목인데 수입에 적혔습니다",IF($K1061="","증빙을 고르십시오",IF($H1061="","적요를 적으십시오","")))))))))))</f>
        <v/>
      </c>
      <c r="M1061" s="39"/>
      <c r="O1061" s="11" t="str">
        <f aca="false">IF($B1061="","",YEAR($B1061)*100+MONTH($B1061))</f>
        <v/>
      </c>
      <c r="P1061" s="11" t="str">
        <f aca="false">IF($B1061="","",IF($E1061="대체",0,1))</f>
        <v/>
      </c>
    </row>
    <row r="1062" customFormat="false" ht="15" hidden="false" customHeight="false" outlineLevel="0" collapsed="false">
      <c r="A1062" s="36" t="str">
        <f aca="false">IF($B1062="","",COUNT($B$15:$B1062))</f>
        <v/>
      </c>
      <c r="B1062" s="37"/>
      <c r="C1062" s="38"/>
      <c r="D1062" s="20"/>
      <c r="E1062" s="36" t="str">
        <f aca="false">IF($D1062="","",IFERROR(INDEX('교육원 ④ 설정'!$A$6:$A$40,MATCH($D1062,'교육원 ④ 설정'!$B$6:$B$40,0)),"※없는 과목"))</f>
        <v/>
      </c>
      <c r="F1062" s="36" t="str">
        <f aca="false">IF($D1062="","",IFERROR(INDEX('교육원 ④ 설정'!$C$6:$C$40,MATCH($D1062,'교육원 ④ 설정'!$B$6:$B$40,0)),""))</f>
        <v/>
      </c>
      <c r="G1062" s="39"/>
      <c r="H1062" s="39"/>
      <c r="I1062" s="40"/>
      <c r="J1062" s="41"/>
      <c r="K1062" s="38"/>
      <c r="L1062" s="42" t="str">
        <f aca="false">IF($B1062="","",IF(AND(N($I1062)=0,N($J1062)=0),"금액이 없습니다",IF(AND($I1062&gt;0,$J1062&gt;0),"수입·지출 둘 다 적혔습니다",IF($C1062="","결제수단을 고르십시오",IF(ISNA(MATCH($C1062,'교육원 ③ 통장·카드'!$A$5:$A$11,0)),"③ 통장·카드에 없는 결제수단입니다",IF($D1062="","계정과목을 고르십시오",IF($E1062="※없는 과목","④ 설정에 없는 과목입니다",IF(AND($E1062="수입",$J1062&gt;0),"수입 과목인데 지출에 적혔습니다",IF(AND(LEFT($E1062,2)&lt;&gt;"수입",$E1062&lt;&gt;"대체",$I1062&gt;0),"지출 과목인데 수입에 적혔습니다",IF($K1062="","증빙을 고르십시오",IF($H1062="","적요를 적으십시오","")))))))))))</f>
        <v/>
      </c>
      <c r="M1062" s="39"/>
      <c r="O1062" s="11" t="str">
        <f aca="false">IF($B1062="","",YEAR($B1062)*100+MONTH($B1062))</f>
        <v/>
      </c>
      <c r="P1062" s="11" t="str">
        <f aca="false">IF($B1062="","",IF($E1062="대체",0,1))</f>
        <v/>
      </c>
    </row>
    <row r="1063" customFormat="false" ht="15" hidden="false" customHeight="false" outlineLevel="0" collapsed="false">
      <c r="A1063" s="36" t="str">
        <f aca="false">IF($B1063="","",COUNT($B$15:$B1063))</f>
        <v/>
      </c>
      <c r="B1063" s="37"/>
      <c r="C1063" s="38"/>
      <c r="D1063" s="20"/>
      <c r="E1063" s="36" t="str">
        <f aca="false">IF($D1063="","",IFERROR(INDEX('교육원 ④ 설정'!$A$6:$A$40,MATCH($D1063,'교육원 ④ 설정'!$B$6:$B$40,0)),"※없는 과목"))</f>
        <v/>
      </c>
      <c r="F1063" s="36" t="str">
        <f aca="false">IF($D1063="","",IFERROR(INDEX('교육원 ④ 설정'!$C$6:$C$40,MATCH($D1063,'교육원 ④ 설정'!$B$6:$B$40,0)),""))</f>
        <v/>
      </c>
      <c r="G1063" s="39"/>
      <c r="H1063" s="39"/>
      <c r="I1063" s="40"/>
      <c r="J1063" s="41"/>
      <c r="K1063" s="38"/>
      <c r="L1063" s="42" t="str">
        <f aca="false">IF($B1063="","",IF(AND(N($I1063)=0,N($J1063)=0),"금액이 없습니다",IF(AND($I1063&gt;0,$J1063&gt;0),"수입·지출 둘 다 적혔습니다",IF($C1063="","결제수단을 고르십시오",IF(ISNA(MATCH($C1063,'교육원 ③ 통장·카드'!$A$5:$A$11,0)),"③ 통장·카드에 없는 결제수단입니다",IF($D1063="","계정과목을 고르십시오",IF($E1063="※없는 과목","④ 설정에 없는 과목입니다",IF(AND($E1063="수입",$J1063&gt;0),"수입 과목인데 지출에 적혔습니다",IF(AND(LEFT($E1063,2)&lt;&gt;"수입",$E1063&lt;&gt;"대체",$I1063&gt;0),"지출 과목인데 수입에 적혔습니다",IF($K1063="","증빙을 고르십시오",IF($H1063="","적요를 적으십시오","")))))))))))</f>
        <v/>
      </c>
      <c r="M1063" s="39"/>
      <c r="O1063" s="11" t="str">
        <f aca="false">IF($B1063="","",YEAR($B1063)*100+MONTH($B1063))</f>
        <v/>
      </c>
      <c r="P1063" s="11" t="str">
        <f aca="false">IF($B1063="","",IF($E1063="대체",0,1))</f>
        <v/>
      </c>
    </row>
    <row r="1064" customFormat="false" ht="15" hidden="false" customHeight="false" outlineLevel="0" collapsed="false">
      <c r="A1064" s="36" t="str">
        <f aca="false">IF($B1064="","",COUNT($B$15:$B1064))</f>
        <v/>
      </c>
      <c r="B1064" s="37"/>
      <c r="C1064" s="38"/>
      <c r="D1064" s="20"/>
      <c r="E1064" s="36" t="str">
        <f aca="false">IF($D1064="","",IFERROR(INDEX('교육원 ④ 설정'!$A$6:$A$40,MATCH($D1064,'교육원 ④ 설정'!$B$6:$B$40,0)),"※없는 과목"))</f>
        <v/>
      </c>
      <c r="F1064" s="36" t="str">
        <f aca="false">IF($D1064="","",IFERROR(INDEX('교육원 ④ 설정'!$C$6:$C$40,MATCH($D1064,'교육원 ④ 설정'!$B$6:$B$40,0)),""))</f>
        <v/>
      </c>
      <c r="G1064" s="39"/>
      <c r="H1064" s="39"/>
      <c r="I1064" s="40"/>
      <c r="J1064" s="41"/>
      <c r="K1064" s="38"/>
      <c r="L1064" s="42" t="str">
        <f aca="false">IF($B1064="","",IF(AND(N($I1064)=0,N($J1064)=0),"금액이 없습니다",IF(AND($I1064&gt;0,$J1064&gt;0),"수입·지출 둘 다 적혔습니다",IF($C1064="","결제수단을 고르십시오",IF(ISNA(MATCH($C1064,'교육원 ③ 통장·카드'!$A$5:$A$11,0)),"③ 통장·카드에 없는 결제수단입니다",IF($D1064="","계정과목을 고르십시오",IF($E1064="※없는 과목","④ 설정에 없는 과목입니다",IF(AND($E1064="수입",$J1064&gt;0),"수입 과목인데 지출에 적혔습니다",IF(AND(LEFT($E1064,2)&lt;&gt;"수입",$E1064&lt;&gt;"대체",$I1064&gt;0),"지출 과목인데 수입에 적혔습니다",IF($K1064="","증빙을 고르십시오",IF($H1064="","적요를 적으십시오","")))))))))))</f>
        <v/>
      </c>
      <c r="M1064" s="39"/>
      <c r="O1064" s="11" t="str">
        <f aca="false">IF($B1064="","",YEAR($B1064)*100+MONTH($B1064))</f>
        <v/>
      </c>
      <c r="P1064" s="11" t="str">
        <f aca="false">IF($B1064="","",IF($E1064="대체",0,1))</f>
        <v/>
      </c>
    </row>
    <row r="1065" customFormat="false" ht="15" hidden="false" customHeight="false" outlineLevel="0" collapsed="false">
      <c r="A1065" s="36" t="str">
        <f aca="false">IF($B1065="","",COUNT($B$15:$B1065))</f>
        <v/>
      </c>
      <c r="B1065" s="37"/>
      <c r="C1065" s="38"/>
      <c r="D1065" s="20"/>
      <c r="E1065" s="36" t="str">
        <f aca="false">IF($D1065="","",IFERROR(INDEX('교육원 ④ 설정'!$A$6:$A$40,MATCH($D1065,'교육원 ④ 설정'!$B$6:$B$40,0)),"※없는 과목"))</f>
        <v/>
      </c>
      <c r="F1065" s="36" t="str">
        <f aca="false">IF($D1065="","",IFERROR(INDEX('교육원 ④ 설정'!$C$6:$C$40,MATCH($D1065,'교육원 ④ 설정'!$B$6:$B$40,0)),""))</f>
        <v/>
      </c>
      <c r="G1065" s="39"/>
      <c r="H1065" s="39"/>
      <c r="I1065" s="40"/>
      <c r="J1065" s="41"/>
      <c r="K1065" s="38"/>
      <c r="L1065" s="42" t="str">
        <f aca="false">IF($B1065="","",IF(AND(N($I1065)=0,N($J1065)=0),"금액이 없습니다",IF(AND($I1065&gt;0,$J1065&gt;0),"수입·지출 둘 다 적혔습니다",IF($C1065="","결제수단을 고르십시오",IF(ISNA(MATCH($C1065,'교육원 ③ 통장·카드'!$A$5:$A$11,0)),"③ 통장·카드에 없는 결제수단입니다",IF($D1065="","계정과목을 고르십시오",IF($E1065="※없는 과목","④ 설정에 없는 과목입니다",IF(AND($E1065="수입",$J1065&gt;0),"수입 과목인데 지출에 적혔습니다",IF(AND(LEFT($E1065,2)&lt;&gt;"수입",$E1065&lt;&gt;"대체",$I1065&gt;0),"지출 과목인데 수입에 적혔습니다",IF($K1065="","증빙을 고르십시오",IF($H1065="","적요를 적으십시오","")))))))))))</f>
        <v/>
      </c>
      <c r="M1065" s="39"/>
      <c r="O1065" s="11" t="str">
        <f aca="false">IF($B1065="","",YEAR($B1065)*100+MONTH($B1065))</f>
        <v/>
      </c>
      <c r="P1065" s="11" t="str">
        <f aca="false">IF($B1065="","",IF($E1065="대체",0,1))</f>
        <v/>
      </c>
    </row>
    <row r="1066" customFormat="false" ht="15" hidden="false" customHeight="false" outlineLevel="0" collapsed="false">
      <c r="A1066" s="36" t="str">
        <f aca="false">IF($B1066="","",COUNT($B$15:$B1066))</f>
        <v/>
      </c>
      <c r="B1066" s="37"/>
      <c r="C1066" s="38"/>
      <c r="D1066" s="20"/>
      <c r="E1066" s="36" t="str">
        <f aca="false">IF($D1066="","",IFERROR(INDEX('교육원 ④ 설정'!$A$6:$A$40,MATCH($D1066,'교육원 ④ 설정'!$B$6:$B$40,0)),"※없는 과목"))</f>
        <v/>
      </c>
      <c r="F1066" s="36" t="str">
        <f aca="false">IF($D1066="","",IFERROR(INDEX('교육원 ④ 설정'!$C$6:$C$40,MATCH($D1066,'교육원 ④ 설정'!$B$6:$B$40,0)),""))</f>
        <v/>
      </c>
      <c r="G1066" s="39"/>
      <c r="H1066" s="39"/>
      <c r="I1066" s="40"/>
      <c r="J1066" s="41"/>
      <c r="K1066" s="38"/>
      <c r="L1066" s="42" t="str">
        <f aca="false">IF($B1066="","",IF(AND(N($I1066)=0,N($J1066)=0),"금액이 없습니다",IF(AND($I1066&gt;0,$J1066&gt;0),"수입·지출 둘 다 적혔습니다",IF($C1066="","결제수단을 고르십시오",IF(ISNA(MATCH($C1066,'교육원 ③ 통장·카드'!$A$5:$A$11,0)),"③ 통장·카드에 없는 결제수단입니다",IF($D1066="","계정과목을 고르십시오",IF($E1066="※없는 과목","④ 설정에 없는 과목입니다",IF(AND($E1066="수입",$J1066&gt;0),"수입 과목인데 지출에 적혔습니다",IF(AND(LEFT($E1066,2)&lt;&gt;"수입",$E1066&lt;&gt;"대체",$I1066&gt;0),"지출 과목인데 수입에 적혔습니다",IF($K1066="","증빙을 고르십시오",IF($H1066="","적요를 적으십시오","")))))))))))</f>
        <v/>
      </c>
      <c r="M1066" s="39"/>
      <c r="O1066" s="11" t="str">
        <f aca="false">IF($B1066="","",YEAR($B1066)*100+MONTH($B1066))</f>
        <v/>
      </c>
      <c r="P1066" s="11" t="str">
        <f aca="false">IF($B1066="","",IF($E1066="대체",0,1))</f>
        <v/>
      </c>
    </row>
    <row r="1067" customFormat="false" ht="15" hidden="false" customHeight="false" outlineLevel="0" collapsed="false">
      <c r="A1067" s="36" t="str">
        <f aca="false">IF($B1067="","",COUNT($B$15:$B1067))</f>
        <v/>
      </c>
      <c r="B1067" s="37"/>
      <c r="C1067" s="38"/>
      <c r="D1067" s="20"/>
      <c r="E1067" s="36" t="str">
        <f aca="false">IF($D1067="","",IFERROR(INDEX('교육원 ④ 설정'!$A$6:$A$40,MATCH($D1067,'교육원 ④ 설정'!$B$6:$B$40,0)),"※없는 과목"))</f>
        <v/>
      </c>
      <c r="F1067" s="36" t="str">
        <f aca="false">IF($D1067="","",IFERROR(INDEX('교육원 ④ 설정'!$C$6:$C$40,MATCH($D1067,'교육원 ④ 설정'!$B$6:$B$40,0)),""))</f>
        <v/>
      </c>
      <c r="G1067" s="39"/>
      <c r="H1067" s="39"/>
      <c r="I1067" s="40"/>
      <c r="J1067" s="41"/>
      <c r="K1067" s="38"/>
      <c r="L1067" s="42" t="str">
        <f aca="false">IF($B1067="","",IF(AND(N($I1067)=0,N($J1067)=0),"금액이 없습니다",IF(AND($I1067&gt;0,$J1067&gt;0),"수입·지출 둘 다 적혔습니다",IF($C1067="","결제수단을 고르십시오",IF(ISNA(MATCH($C1067,'교육원 ③ 통장·카드'!$A$5:$A$11,0)),"③ 통장·카드에 없는 결제수단입니다",IF($D1067="","계정과목을 고르십시오",IF($E1067="※없는 과목","④ 설정에 없는 과목입니다",IF(AND($E1067="수입",$J1067&gt;0),"수입 과목인데 지출에 적혔습니다",IF(AND(LEFT($E1067,2)&lt;&gt;"수입",$E1067&lt;&gt;"대체",$I1067&gt;0),"지출 과목인데 수입에 적혔습니다",IF($K1067="","증빙을 고르십시오",IF($H1067="","적요를 적으십시오","")))))))))))</f>
        <v/>
      </c>
      <c r="M1067" s="39"/>
      <c r="O1067" s="11" t="str">
        <f aca="false">IF($B1067="","",YEAR($B1067)*100+MONTH($B1067))</f>
        <v/>
      </c>
      <c r="P1067" s="11" t="str">
        <f aca="false">IF($B1067="","",IF($E1067="대체",0,1))</f>
        <v/>
      </c>
    </row>
    <row r="1068" customFormat="false" ht="15" hidden="false" customHeight="false" outlineLevel="0" collapsed="false">
      <c r="A1068" s="36" t="str">
        <f aca="false">IF($B1068="","",COUNT($B$15:$B1068))</f>
        <v/>
      </c>
      <c r="B1068" s="37"/>
      <c r="C1068" s="38"/>
      <c r="D1068" s="20"/>
      <c r="E1068" s="36" t="str">
        <f aca="false">IF($D1068="","",IFERROR(INDEX('교육원 ④ 설정'!$A$6:$A$40,MATCH($D1068,'교육원 ④ 설정'!$B$6:$B$40,0)),"※없는 과목"))</f>
        <v/>
      </c>
      <c r="F1068" s="36" t="str">
        <f aca="false">IF($D1068="","",IFERROR(INDEX('교육원 ④ 설정'!$C$6:$C$40,MATCH($D1068,'교육원 ④ 설정'!$B$6:$B$40,0)),""))</f>
        <v/>
      </c>
      <c r="G1068" s="39"/>
      <c r="H1068" s="39"/>
      <c r="I1068" s="40"/>
      <c r="J1068" s="41"/>
      <c r="K1068" s="38"/>
      <c r="L1068" s="42" t="str">
        <f aca="false">IF($B1068="","",IF(AND(N($I1068)=0,N($J1068)=0),"금액이 없습니다",IF(AND($I1068&gt;0,$J1068&gt;0),"수입·지출 둘 다 적혔습니다",IF($C1068="","결제수단을 고르십시오",IF(ISNA(MATCH($C1068,'교육원 ③ 통장·카드'!$A$5:$A$11,0)),"③ 통장·카드에 없는 결제수단입니다",IF($D1068="","계정과목을 고르십시오",IF($E1068="※없는 과목","④ 설정에 없는 과목입니다",IF(AND($E1068="수입",$J1068&gt;0),"수입 과목인데 지출에 적혔습니다",IF(AND(LEFT($E1068,2)&lt;&gt;"수입",$E1068&lt;&gt;"대체",$I1068&gt;0),"지출 과목인데 수입에 적혔습니다",IF($K1068="","증빙을 고르십시오",IF($H1068="","적요를 적으십시오","")))))))))))</f>
        <v/>
      </c>
      <c r="M1068" s="39"/>
      <c r="O1068" s="11" t="str">
        <f aca="false">IF($B1068="","",YEAR($B1068)*100+MONTH($B1068))</f>
        <v/>
      </c>
      <c r="P1068" s="11" t="str">
        <f aca="false">IF($B1068="","",IF($E1068="대체",0,1))</f>
        <v/>
      </c>
    </row>
    <row r="1069" customFormat="false" ht="15" hidden="false" customHeight="false" outlineLevel="0" collapsed="false">
      <c r="A1069" s="36" t="str">
        <f aca="false">IF($B1069="","",COUNT($B$15:$B1069))</f>
        <v/>
      </c>
      <c r="B1069" s="37"/>
      <c r="C1069" s="38"/>
      <c r="D1069" s="20"/>
      <c r="E1069" s="36" t="str">
        <f aca="false">IF($D1069="","",IFERROR(INDEX('교육원 ④ 설정'!$A$6:$A$40,MATCH($D1069,'교육원 ④ 설정'!$B$6:$B$40,0)),"※없는 과목"))</f>
        <v/>
      </c>
      <c r="F1069" s="36" t="str">
        <f aca="false">IF($D1069="","",IFERROR(INDEX('교육원 ④ 설정'!$C$6:$C$40,MATCH($D1069,'교육원 ④ 설정'!$B$6:$B$40,0)),""))</f>
        <v/>
      </c>
      <c r="G1069" s="39"/>
      <c r="H1069" s="39"/>
      <c r="I1069" s="40"/>
      <c r="J1069" s="41"/>
      <c r="K1069" s="38"/>
      <c r="L1069" s="42" t="str">
        <f aca="false">IF($B1069="","",IF(AND(N($I1069)=0,N($J1069)=0),"금액이 없습니다",IF(AND($I1069&gt;0,$J1069&gt;0),"수입·지출 둘 다 적혔습니다",IF($C1069="","결제수단을 고르십시오",IF(ISNA(MATCH($C1069,'교육원 ③ 통장·카드'!$A$5:$A$11,0)),"③ 통장·카드에 없는 결제수단입니다",IF($D1069="","계정과목을 고르십시오",IF($E1069="※없는 과목","④ 설정에 없는 과목입니다",IF(AND($E1069="수입",$J1069&gt;0),"수입 과목인데 지출에 적혔습니다",IF(AND(LEFT($E1069,2)&lt;&gt;"수입",$E1069&lt;&gt;"대체",$I1069&gt;0),"지출 과목인데 수입에 적혔습니다",IF($K1069="","증빙을 고르십시오",IF($H1069="","적요를 적으십시오","")))))))))))</f>
        <v/>
      </c>
      <c r="M1069" s="39"/>
      <c r="O1069" s="11" t="str">
        <f aca="false">IF($B1069="","",YEAR($B1069)*100+MONTH($B1069))</f>
        <v/>
      </c>
      <c r="P1069" s="11" t="str">
        <f aca="false">IF($B1069="","",IF($E1069="대체",0,1))</f>
        <v/>
      </c>
    </row>
    <row r="1070" customFormat="false" ht="15" hidden="false" customHeight="false" outlineLevel="0" collapsed="false">
      <c r="A1070" s="36" t="str">
        <f aca="false">IF($B1070="","",COUNT($B$15:$B1070))</f>
        <v/>
      </c>
      <c r="B1070" s="37"/>
      <c r="C1070" s="38"/>
      <c r="D1070" s="20"/>
      <c r="E1070" s="36" t="str">
        <f aca="false">IF($D1070="","",IFERROR(INDEX('교육원 ④ 설정'!$A$6:$A$40,MATCH($D1070,'교육원 ④ 설정'!$B$6:$B$40,0)),"※없는 과목"))</f>
        <v/>
      </c>
      <c r="F1070" s="36" t="str">
        <f aca="false">IF($D1070="","",IFERROR(INDEX('교육원 ④ 설정'!$C$6:$C$40,MATCH($D1070,'교육원 ④ 설정'!$B$6:$B$40,0)),""))</f>
        <v/>
      </c>
      <c r="G1070" s="39"/>
      <c r="H1070" s="39"/>
      <c r="I1070" s="40"/>
      <c r="J1070" s="41"/>
      <c r="K1070" s="38"/>
      <c r="L1070" s="42" t="str">
        <f aca="false">IF($B1070="","",IF(AND(N($I1070)=0,N($J1070)=0),"금액이 없습니다",IF(AND($I1070&gt;0,$J1070&gt;0),"수입·지출 둘 다 적혔습니다",IF($C1070="","결제수단을 고르십시오",IF(ISNA(MATCH($C1070,'교육원 ③ 통장·카드'!$A$5:$A$11,0)),"③ 통장·카드에 없는 결제수단입니다",IF($D1070="","계정과목을 고르십시오",IF($E1070="※없는 과목","④ 설정에 없는 과목입니다",IF(AND($E1070="수입",$J1070&gt;0),"수입 과목인데 지출에 적혔습니다",IF(AND(LEFT($E1070,2)&lt;&gt;"수입",$E1070&lt;&gt;"대체",$I1070&gt;0),"지출 과목인데 수입에 적혔습니다",IF($K1070="","증빙을 고르십시오",IF($H1070="","적요를 적으십시오","")))))))))))</f>
        <v/>
      </c>
      <c r="M1070" s="39"/>
      <c r="O1070" s="11" t="str">
        <f aca="false">IF($B1070="","",YEAR($B1070)*100+MONTH($B1070))</f>
        <v/>
      </c>
      <c r="P1070" s="11" t="str">
        <f aca="false">IF($B1070="","",IF($E1070="대체",0,1))</f>
        <v/>
      </c>
    </row>
    <row r="1071" customFormat="false" ht="15" hidden="false" customHeight="false" outlineLevel="0" collapsed="false">
      <c r="A1071" s="36" t="str">
        <f aca="false">IF($B1071="","",COUNT($B$15:$B1071))</f>
        <v/>
      </c>
      <c r="B1071" s="37"/>
      <c r="C1071" s="38"/>
      <c r="D1071" s="20"/>
      <c r="E1071" s="36" t="str">
        <f aca="false">IF($D1071="","",IFERROR(INDEX('교육원 ④ 설정'!$A$6:$A$40,MATCH($D1071,'교육원 ④ 설정'!$B$6:$B$40,0)),"※없는 과목"))</f>
        <v/>
      </c>
      <c r="F1071" s="36" t="str">
        <f aca="false">IF($D1071="","",IFERROR(INDEX('교육원 ④ 설정'!$C$6:$C$40,MATCH($D1071,'교육원 ④ 설정'!$B$6:$B$40,0)),""))</f>
        <v/>
      </c>
      <c r="G1071" s="39"/>
      <c r="H1071" s="39"/>
      <c r="I1071" s="40"/>
      <c r="J1071" s="41"/>
      <c r="K1071" s="38"/>
      <c r="L1071" s="42" t="str">
        <f aca="false">IF($B1071="","",IF(AND(N($I1071)=0,N($J1071)=0),"금액이 없습니다",IF(AND($I1071&gt;0,$J1071&gt;0),"수입·지출 둘 다 적혔습니다",IF($C1071="","결제수단을 고르십시오",IF(ISNA(MATCH($C1071,'교육원 ③ 통장·카드'!$A$5:$A$11,0)),"③ 통장·카드에 없는 결제수단입니다",IF($D1071="","계정과목을 고르십시오",IF($E1071="※없는 과목","④ 설정에 없는 과목입니다",IF(AND($E1071="수입",$J1071&gt;0),"수입 과목인데 지출에 적혔습니다",IF(AND(LEFT($E1071,2)&lt;&gt;"수입",$E1071&lt;&gt;"대체",$I1071&gt;0),"지출 과목인데 수입에 적혔습니다",IF($K1071="","증빙을 고르십시오",IF($H1071="","적요를 적으십시오","")))))))))))</f>
        <v/>
      </c>
      <c r="M1071" s="39"/>
      <c r="O1071" s="11" t="str">
        <f aca="false">IF($B1071="","",YEAR($B1071)*100+MONTH($B1071))</f>
        <v/>
      </c>
      <c r="P1071" s="11" t="str">
        <f aca="false">IF($B1071="","",IF($E1071="대체",0,1))</f>
        <v/>
      </c>
    </row>
    <row r="1072" customFormat="false" ht="15" hidden="false" customHeight="false" outlineLevel="0" collapsed="false">
      <c r="A1072" s="36" t="str">
        <f aca="false">IF($B1072="","",COUNT($B$15:$B1072))</f>
        <v/>
      </c>
      <c r="B1072" s="37"/>
      <c r="C1072" s="38"/>
      <c r="D1072" s="20"/>
      <c r="E1072" s="36" t="str">
        <f aca="false">IF($D1072="","",IFERROR(INDEX('교육원 ④ 설정'!$A$6:$A$40,MATCH($D1072,'교육원 ④ 설정'!$B$6:$B$40,0)),"※없는 과목"))</f>
        <v/>
      </c>
      <c r="F1072" s="36" t="str">
        <f aca="false">IF($D1072="","",IFERROR(INDEX('교육원 ④ 설정'!$C$6:$C$40,MATCH($D1072,'교육원 ④ 설정'!$B$6:$B$40,0)),""))</f>
        <v/>
      </c>
      <c r="G1072" s="39"/>
      <c r="H1072" s="39"/>
      <c r="I1072" s="40"/>
      <c r="J1072" s="41"/>
      <c r="K1072" s="38"/>
      <c r="L1072" s="42" t="str">
        <f aca="false">IF($B1072="","",IF(AND(N($I1072)=0,N($J1072)=0),"금액이 없습니다",IF(AND($I1072&gt;0,$J1072&gt;0),"수입·지출 둘 다 적혔습니다",IF($C1072="","결제수단을 고르십시오",IF(ISNA(MATCH($C1072,'교육원 ③ 통장·카드'!$A$5:$A$11,0)),"③ 통장·카드에 없는 결제수단입니다",IF($D1072="","계정과목을 고르십시오",IF($E1072="※없는 과목","④ 설정에 없는 과목입니다",IF(AND($E1072="수입",$J1072&gt;0),"수입 과목인데 지출에 적혔습니다",IF(AND(LEFT($E1072,2)&lt;&gt;"수입",$E1072&lt;&gt;"대체",$I1072&gt;0),"지출 과목인데 수입에 적혔습니다",IF($K1072="","증빙을 고르십시오",IF($H1072="","적요를 적으십시오","")))))))))))</f>
        <v/>
      </c>
      <c r="M1072" s="39"/>
      <c r="O1072" s="11" t="str">
        <f aca="false">IF($B1072="","",YEAR($B1072)*100+MONTH($B1072))</f>
        <v/>
      </c>
      <c r="P1072" s="11" t="str">
        <f aca="false">IF($B1072="","",IF($E1072="대체",0,1))</f>
        <v/>
      </c>
    </row>
    <row r="1073" customFormat="false" ht="15" hidden="false" customHeight="false" outlineLevel="0" collapsed="false">
      <c r="A1073" s="36" t="str">
        <f aca="false">IF($B1073="","",COUNT($B$15:$B1073))</f>
        <v/>
      </c>
      <c r="B1073" s="37"/>
      <c r="C1073" s="38"/>
      <c r="D1073" s="20"/>
      <c r="E1073" s="36" t="str">
        <f aca="false">IF($D1073="","",IFERROR(INDEX('교육원 ④ 설정'!$A$6:$A$40,MATCH($D1073,'교육원 ④ 설정'!$B$6:$B$40,0)),"※없는 과목"))</f>
        <v/>
      </c>
      <c r="F1073" s="36" t="str">
        <f aca="false">IF($D1073="","",IFERROR(INDEX('교육원 ④ 설정'!$C$6:$C$40,MATCH($D1073,'교육원 ④ 설정'!$B$6:$B$40,0)),""))</f>
        <v/>
      </c>
      <c r="G1073" s="39"/>
      <c r="H1073" s="39"/>
      <c r="I1073" s="40"/>
      <c r="J1073" s="41"/>
      <c r="K1073" s="38"/>
      <c r="L1073" s="42" t="str">
        <f aca="false">IF($B1073="","",IF(AND(N($I1073)=0,N($J1073)=0),"금액이 없습니다",IF(AND($I1073&gt;0,$J1073&gt;0),"수입·지출 둘 다 적혔습니다",IF($C1073="","결제수단을 고르십시오",IF(ISNA(MATCH($C1073,'교육원 ③ 통장·카드'!$A$5:$A$11,0)),"③ 통장·카드에 없는 결제수단입니다",IF($D1073="","계정과목을 고르십시오",IF($E1073="※없는 과목","④ 설정에 없는 과목입니다",IF(AND($E1073="수입",$J1073&gt;0),"수입 과목인데 지출에 적혔습니다",IF(AND(LEFT($E1073,2)&lt;&gt;"수입",$E1073&lt;&gt;"대체",$I1073&gt;0),"지출 과목인데 수입에 적혔습니다",IF($K1073="","증빙을 고르십시오",IF($H1073="","적요를 적으십시오","")))))))))))</f>
        <v/>
      </c>
      <c r="M1073" s="39"/>
      <c r="O1073" s="11" t="str">
        <f aca="false">IF($B1073="","",YEAR($B1073)*100+MONTH($B1073))</f>
        <v/>
      </c>
      <c r="P1073" s="11" t="str">
        <f aca="false">IF($B1073="","",IF($E1073="대체",0,1))</f>
        <v/>
      </c>
    </row>
    <row r="1074" customFormat="false" ht="15" hidden="false" customHeight="false" outlineLevel="0" collapsed="false">
      <c r="A1074" s="36" t="str">
        <f aca="false">IF($B1074="","",COUNT($B$15:$B1074))</f>
        <v/>
      </c>
      <c r="B1074" s="37"/>
      <c r="C1074" s="38"/>
      <c r="D1074" s="20"/>
      <c r="E1074" s="36" t="str">
        <f aca="false">IF($D1074="","",IFERROR(INDEX('교육원 ④ 설정'!$A$6:$A$40,MATCH($D1074,'교육원 ④ 설정'!$B$6:$B$40,0)),"※없는 과목"))</f>
        <v/>
      </c>
      <c r="F1074" s="36" t="str">
        <f aca="false">IF($D1074="","",IFERROR(INDEX('교육원 ④ 설정'!$C$6:$C$40,MATCH($D1074,'교육원 ④ 설정'!$B$6:$B$40,0)),""))</f>
        <v/>
      </c>
      <c r="G1074" s="39"/>
      <c r="H1074" s="39"/>
      <c r="I1074" s="40"/>
      <c r="J1074" s="41"/>
      <c r="K1074" s="38"/>
      <c r="L1074" s="42" t="str">
        <f aca="false">IF($B1074="","",IF(AND(N($I1074)=0,N($J1074)=0),"금액이 없습니다",IF(AND($I1074&gt;0,$J1074&gt;0),"수입·지출 둘 다 적혔습니다",IF($C1074="","결제수단을 고르십시오",IF(ISNA(MATCH($C1074,'교육원 ③ 통장·카드'!$A$5:$A$11,0)),"③ 통장·카드에 없는 결제수단입니다",IF($D1074="","계정과목을 고르십시오",IF($E1074="※없는 과목","④ 설정에 없는 과목입니다",IF(AND($E1074="수입",$J1074&gt;0),"수입 과목인데 지출에 적혔습니다",IF(AND(LEFT($E1074,2)&lt;&gt;"수입",$E1074&lt;&gt;"대체",$I1074&gt;0),"지출 과목인데 수입에 적혔습니다",IF($K1074="","증빙을 고르십시오",IF($H1074="","적요를 적으십시오","")))))))))))</f>
        <v/>
      </c>
      <c r="M1074" s="39"/>
      <c r="O1074" s="11" t="str">
        <f aca="false">IF($B1074="","",YEAR($B1074)*100+MONTH($B1074))</f>
        <v/>
      </c>
      <c r="P1074" s="11" t="str">
        <f aca="false">IF($B1074="","",IF($E1074="대체",0,1))</f>
        <v/>
      </c>
    </row>
    <row r="1075" customFormat="false" ht="15" hidden="false" customHeight="false" outlineLevel="0" collapsed="false">
      <c r="A1075" s="36" t="str">
        <f aca="false">IF($B1075="","",COUNT($B$15:$B1075))</f>
        <v/>
      </c>
      <c r="B1075" s="37"/>
      <c r="C1075" s="38"/>
      <c r="D1075" s="20"/>
      <c r="E1075" s="36" t="str">
        <f aca="false">IF($D1075="","",IFERROR(INDEX('교육원 ④ 설정'!$A$6:$A$40,MATCH($D1075,'교육원 ④ 설정'!$B$6:$B$40,0)),"※없는 과목"))</f>
        <v/>
      </c>
      <c r="F1075" s="36" t="str">
        <f aca="false">IF($D1075="","",IFERROR(INDEX('교육원 ④ 설정'!$C$6:$C$40,MATCH($D1075,'교육원 ④ 설정'!$B$6:$B$40,0)),""))</f>
        <v/>
      </c>
      <c r="G1075" s="39"/>
      <c r="H1075" s="39"/>
      <c r="I1075" s="40"/>
      <c r="J1075" s="41"/>
      <c r="K1075" s="38"/>
      <c r="L1075" s="42" t="str">
        <f aca="false">IF($B1075="","",IF(AND(N($I1075)=0,N($J1075)=0),"금액이 없습니다",IF(AND($I1075&gt;0,$J1075&gt;0),"수입·지출 둘 다 적혔습니다",IF($C1075="","결제수단을 고르십시오",IF(ISNA(MATCH($C1075,'교육원 ③ 통장·카드'!$A$5:$A$11,0)),"③ 통장·카드에 없는 결제수단입니다",IF($D1075="","계정과목을 고르십시오",IF($E1075="※없는 과목","④ 설정에 없는 과목입니다",IF(AND($E1075="수입",$J1075&gt;0),"수입 과목인데 지출에 적혔습니다",IF(AND(LEFT($E1075,2)&lt;&gt;"수입",$E1075&lt;&gt;"대체",$I1075&gt;0),"지출 과목인데 수입에 적혔습니다",IF($K1075="","증빙을 고르십시오",IF($H1075="","적요를 적으십시오","")))))))))))</f>
        <v/>
      </c>
      <c r="M1075" s="39"/>
      <c r="O1075" s="11" t="str">
        <f aca="false">IF($B1075="","",YEAR($B1075)*100+MONTH($B1075))</f>
        <v/>
      </c>
      <c r="P1075" s="11" t="str">
        <f aca="false">IF($B1075="","",IF($E1075="대체",0,1))</f>
        <v/>
      </c>
    </row>
    <row r="1076" customFormat="false" ht="15" hidden="false" customHeight="false" outlineLevel="0" collapsed="false">
      <c r="A1076" s="36" t="str">
        <f aca="false">IF($B1076="","",COUNT($B$15:$B1076))</f>
        <v/>
      </c>
      <c r="B1076" s="37"/>
      <c r="C1076" s="38"/>
      <c r="D1076" s="20"/>
      <c r="E1076" s="36" t="str">
        <f aca="false">IF($D1076="","",IFERROR(INDEX('교육원 ④ 설정'!$A$6:$A$40,MATCH($D1076,'교육원 ④ 설정'!$B$6:$B$40,0)),"※없는 과목"))</f>
        <v/>
      </c>
      <c r="F1076" s="36" t="str">
        <f aca="false">IF($D1076="","",IFERROR(INDEX('교육원 ④ 설정'!$C$6:$C$40,MATCH($D1076,'교육원 ④ 설정'!$B$6:$B$40,0)),""))</f>
        <v/>
      </c>
      <c r="G1076" s="39"/>
      <c r="H1076" s="39"/>
      <c r="I1076" s="40"/>
      <c r="J1076" s="41"/>
      <c r="K1076" s="38"/>
      <c r="L1076" s="42" t="str">
        <f aca="false">IF($B1076="","",IF(AND(N($I1076)=0,N($J1076)=0),"금액이 없습니다",IF(AND($I1076&gt;0,$J1076&gt;0),"수입·지출 둘 다 적혔습니다",IF($C1076="","결제수단을 고르십시오",IF(ISNA(MATCH($C1076,'교육원 ③ 통장·카드'!$A$5:$A$11,0)),"③ 통장·카드에 없는 결제수단입니다",IF($D1076="","계정과목을 고르십시오",IF($E1076="※없는 과목","④ 설정에 없는 과목입니다",IF(AND($E1076="수입",$J1076&gt;0),"수입 과목인데 지출에 적혔습니다",IF(AND(LEFT($E1076,2)&lt;&gt;"수입",$E1076&lt;&gt;"대체",$I1076&gt;0),"지출 과목인데 수입에 적혔습니다",IF($K1076="","증빙을 고르십시오",IF($H1076="","적요를 적으십시오","")))))))))))</f>
        <v/>
      </c>
      <c r="M1076" s="39"/>
      <c r="O1076" s="11" t="str">
        <f aca="false">IF($B1076="","",YEAR($B1076)*100+MONTH($B1076))</f>
        <v/>
      </c>
      <c r="P1076" s="11" t="str">
        <f aca="false">IF($B1076="","",IF($E1076="대체",0,1))</f>
        <v/>
      </c>
    </row>
    <row r="1077" customFormat="false" ht="15" hidden="false" customHeight="false" outlineLevel="0" collapsed="false">
      <c r="A1077" s="36" t="str">
        <f aca="false">IF($B1077="","",COUNT($B$15:$B1077))</f>
        <v/>
      </c>
      <c r="B1077" s="37"/>
      <c r="C1077" s="38"/>
      <c r="D1077" s="20"/>
      <c r="E1077" s="36" t="str">
        <f aca="false">IF($D1077="","",IFERROR(INDEX('교육원 ④ 설정'!$A$6:$A$40,MATCH($D1077,'교육원 ④ 설정'!$B$6:$B$40,0)),"※없는 과목"))</f>
        <v/>
      </c>
      <c r="F1077" s="36" t="str">
        <f aca="false">IF($D1077="","",IFERROR(INDEX('교육원 ④ 설정'!$C$6:$C$40,MATCH($D1077,'교육원 ④ 설정'!$B$6:$B$40,0)),""))</f>
        <v/>
      </c>
      <c r="G1077" s="39"/>
      <c r="H1077" s="39"/>
      <c r="I1077" s="40"/>
      <c r="J1077" s="41"/>
      <c r="K1077" s="38"/>
      <c r="L1077" s="42" t="str">
        <f aca="false">IF($B1077="","",IF(AND(N($I1077)=0,N($J1077)=0),"금액이 없습니다",IF(AND($I1077&gt;0,$J1077&gt;0),"수입·지출 둘 다 적혔습니다",IF($C1077="","결제수단을 고르십시오",IF(ISNA(MATCH($C1077,'교육원 ③ 통장·카드'!$A$5:$A$11,0)),"③ 통장·카드에 없는 결제수단입니다",IF($D1077="","계정과목을 고르십시오",IF($E1077="※없는 과목","④ 설정에 없는 과목입니다",IF(AND($E1077="수입",$J1077&gt;0),"수입 과목인데 지출에 적혔습니다",IF(AND(LEFT($E1077,2)&lt;&gt;"수입",$E1077&lt;&gt;"대체",$I1077&gt;0),"지출 과목인데 수입에 적혔습니다",IF($K1077="","증빙을 고르십시오",IF($H1077="","적요를 적으십시오","")))))))))))</f>
        <v/>
      </c>
      <c r="M1077" s="39"/>
      <c r="O1077" s="11" t="str">
        <f aca="false">IF($B1077="","",YEAR($B1077)*100+MONTH($B1077))</f>
        <v/>
      </c>
      <c r="P1077" s="11" t="str">
        <f aca="false">IF($B1077="","",IF($E1077="대체",0,1))</f>
        <v/>
      </c>
    </row>
    <row r="1078" customFormat="false" ht="15" hidden="false" customHeight="false" outlineLevel="0" collapsed="false">
      <c r="A1078" s="36" t="str">
        <f aca="false">IF($B1078="","",COUNT($B$15:$B1078))</f>
        <v/>
      </c>
      <c r="B1078" s="37"/>
      <c r="C1078" s="38"/>
      <c r="D1078" s="20"/>
      <c r="E1078" s="36" t="str">
        <f aca="false">IF($D1078="","",IFERROR(INDEX('교육원 ④ 설정'!$A$6:$A$40,MATCH($D1078,'교육원 ④ 설정'!$B$6:$B$40,0)),"※없는 과목"))</f>
        <v/>
      </c>
      <c r="F1078" s="36" t="str">
        <f aca="false">IF($D1078="","",IFERROR(INDEX('교육원 ④ 설정'!$C$6:$C$40,MATCH($D1078,'교육원 ④ 설정'!$B$6:$B$40,0)),""))</f>
        <v/>
      </c>
      <c r="G1078" s="39"/>
      <c r="H1078" s="39"/>
      <c r="I1078" s="40"/>
      <c r="J1078" s="41"/>
      <c r="K1078" s="38"/>
      <c r="L1078" s="42" t="str">
        <f aca="false">IF($B1078="","",IF(AND(N($I1078)=0,N($J1078)=0),"금액이 없습니다",IF(AND($I1078&gt;0,$J1078&gt;0),"수입·지출 둘 다 적혔습니다",IF($C1078="","결제수단을 고르십시오",IF(ISNA(MATCH($C1078,'교육원 ③ 통장·카드'!$A$5:$A$11,0)),"③ 통장·카드에 없는 결제수단입니다",IF($D1078="","계정과목을 고르십시오",IF($E1078="※없는 과목","④ 설정에 없는 과목입니다",IF(AND($E1078="수입",$J1078&gt;0),"수입 과목인데 지출에 적혔습니다",IF(AND(LEFT($E1078,2)&lt;&gt;"수입",$E1078&lt;&gt;"대체",$I1078&gt;0),"지출 과목인데 수입에 적혔습니다",IF($K1078="","증빙을 고르십시오",IF($H1078="","적요를 적으십시오","")))))))))))</f>
        <v/>
      </c>
      <c r="M1078" s="39"/>
      <c r="O1078" s="11" t="str">
        <f aca="false">IF($B1078="","",YEAR($B1078)*100+MONTH($B1078))</f>
        <v/>
      </c>
      <c r="P1078" s="11" t="str">
        <f aca="false">IF($B1078="","",IF($E1078="대체",0,1))</f>
        <v/>
      </c>
    </row>
    <row r="1079" customFormat="false" ht="15" hidden="false" customHeight="false" outlineLevel="0" collapsed="false">
      <c r="A1079" s="36" t="str">
        <f aca="false">IF($B1079="","",COUNT($B$15:$B1079))</f>
        <v/>
      </c>
      <c r="B1079" s="37"/>
      <c r="C1079" s="38"/>
      <c r="D1079" s="20"/>
      <c r="E1079" s="36" t="str">
        <f aca="false">IF($D1079="","",IFERROR(INDEX('교육원 ④ 설정'!$A$6:$A$40,MATCH($D1079,'교육원 ④ 설정'!$B$6:$B$40,0)),"※없는 과목"))</f>
        <v/>
      </c>
      <c r="F1079" s="36" t="str">
        <f aca="false">IF($D1079="","",IFERROR(INDEX('교육원 ④ 설정'!$C$6:$C$40,MATCH($D1079,'교육원 ④ 설정'!$B$6:$B$40,0)),""))</f>
        <v/>
      </c>
      <c r="G1079" s="39"/>
      <c r="H1079" s="39"/>
      <c r="I1079" s="40"/>
      <c r="J1079" s="41"/>
      <c r="K1079" s="38"/>
      <c r="L1079" s="42" t="str">
        <f aca="false">IF($B1079="","",IF(AND(N($I1079)=0,N($J1079)=0),"금액이 없습니다",IF(AND($I1079&gt;0,$J1079&gt;0),"수입·지출 둘 다 적혔습니다",IF($C1079="","결제수단을 고르십시오",IF(ISNA(MATCH($C1079,'교육원 ③ 통장·카드'!$A$5:$A$11,0)),"③ 통장·카드에 없는 결제수단입니다",IF($D1079="","계정과목을 고르십시오",IF($E1079="※없는 과목","④ 설정에 없는 과목입니다",IF(AND($E1079="수입",$J1079&gt;0),"수입 과목인데 지출에 적혔습니다",IF(AND(LEFT($E1079,2)&lt;&gt;"수입",$E1079&lt;&gt;"대체",$I1079&gt;0),"지출 과목인데 수입에 적혔습니다",IF($K1079="","증빙을 고르십시오",IF($H1079="","적요를 적으십시오","")))))))))))</f>
        <v/>
      </c>
      <c r="M1079" s="39"/>
      <c r="O1079" s="11" t="str">
        <f aca="false">IF($B1079="","",YEAR($B1079)*100+MONTH($B1079))</f>
        <v/>
      </c>
      <c r="P1079" s="11" t="str">
        <f aca="false">IF($B1079="","",IF($E1079="대체",0,1))</f>
        <v/>
      </c>
    </row>
    <row r="1080" customFormat="false" ht="15" hidden="false" customHeight="false" outlineLevel="0" collapsed="false">
      <c r="A1080" s="36" t="str">
        <f aca="false">IF($B1080="","",COUNT($B$15:$B1080))</f>
        <v/>
      </c>
      <c r="B1080" s="37"/>
      <c r="C1080" s="38"/>
      <c r="D1080" s="20"/>
      <c r="E1080" s="36" t="str">
        <f aca="false">IF($D1080="","",IFERROR(INDEX('교육원 ④ 설정'!$A$6:$A$40,MATCH($D1080,'교육원 ④ 설정'!$B$6:$B$40,0)),"※없는 과목"))</f>
        <v/>
      </c>
      <c r="F1080" s="36" t="str">
        <f aca="false">IF($D1080="","",IFERROR(INDEX('교육원 ④ 설정'!$C$6:$C$40,MATCH($D1080,'교육원 ④ 설정'!$B$6:$B$40,0)),""))</f>
        <v/>
      </c>
      <c r="G1080" s="39"/>
      <c r="H1080" s="39"/>
      <c r="I1080" s="40"/>
      <c r="J1080" s="41"/>
      <c r="K1080" s="38"/>
      <c r="L1080" s="42" t="str">
        <f aca="false">IF($B1080="","",IF(AND(N($I1080)=0,N($J1080)=0),"금액이 없습니다",IF(AND($I1080&gt;0,$J1080&gt;0),"수입·지출 둘 다 적혔습니다",IF($C1080="","결제수단을 고르십시오",IF(ISNA(MATCH($C1080,'교육원 ③ 통장·카드'!$A$5:$A$11,0)),"③ 통장·카드에 없는 결제수단입니다",IF($D1080="","계정과목을 고르십시오",IF($E1080="※없는 과목","④ 설정에 없는 과목입니다",IF(AND($E1080="수입",$J1080&gt;0),"수입 과목인데 지출에 적혔습니다",IF(AND(LEFT($E1080,2)&lt;&gt;"수입",$E1080&lt;&gt;"대체",$I1080&gt;0),"지출 과목인데 수입에 적혔습니다",IF($K1080="","증빙을 고르십시오",IF($H1080="","적요를 적으십시오","")))))))))))</f>
        <v/>
      </c>
      <c r="M1080" s="39"/>
      <c r="O1080" s="11" t="str">
        <f aca="false">IF($B1080="","",YEAR($B1080)*100+MONTH($B1080))</f>
        <v/>
      </c>
      <c r="P1080" s="11" t="str">
        <f aca="false">IF($B1080="","",IF($E1080="대체",0,1))</f>
        <v/>
      </c>
    </row>
    <row r="1081" customFormat="false" ht="15" hidden="false" customHeight="false" outlineLevel="0" collapsed="false">
      <c r="A1081" s="36" t="str">
        <f aca="false">IF($B1081="","",COUNT($B$15:$B1081))</f>
        <v/>
      </c>
      <c r="B1081" s="37"/>
      <c r="C1081" s="38"/>
      <c r="D1081" s="20"/>
      <c r="E1081" s="36" t="str">
        <f aca="false">IF($D1081="","",IFERROR(INDEX('교육원 ④ 설정'!$A$6:$A$40,MATCH($D1081,'교육원 ④ 설정'!$B$6:$B$40,0)),"※없는 과목"))</f>
        <v/>
      </c>
      <c r="F1081" s="36" t="str">
        <f aca="false">IF($D1081="","",IFERROR(INDEX('교육원 ④ 설정'!$C$6:$C$40,MATCH($D1081,'교육원 ④ 설정'!$B$6:$B$40,0)),""))</f>
        <v/>
      </c>
      <c r="G1081" s="39"/>
      <c r="H1081" s="39"/>
      <c r="I1081" s="40"/>
      <c r="J1081" s="41"/>
      <c r="K1081" s="38"/>
      <c r="L1081" s="42" t="str">
        <f aca="false">IF($B1081="","",IF(AND(N($I1081)=0,N($J1081)=0),"금액이 없습니다",IF(AND($I1081&gt;0,$J1081&gt;0),"수입·지출 둘 다 적혔습니다",IF($C1081="","결제수단을 고르십시오",IF(ISNA(MATCH($C1081,'교육원 ③ 통장·카드'!$A$5:$A$11,0)),"③ 통장·카드에 없는 결제수단입니다",IF($D1081="","계정과목을 고르십시오",IF($E1081="※없는 과목","④ 설정에 없는 과목입니다",IF(AND($E1081="수입",$J1081&gt;0),"수입 과목인데 지출에 적혔습니다",IF(AND(LEFT($E1081,2)&lt;&gt;"수입",$E1081&lt;&gt;"대체",$I1081&gt;0),"지출 과목인데 수입에 적혔습니다",IF($K1081="","증빙을 고르십시오",IF($H1081="","적요를 적으십시오","")))))))))))</f>
        <v/>
      </c>
      <c r="M1081" s="39"/>
      <c r="O1081" s="11" t="str">
        <f aca="false">IF($B1081="","",YEAR($B1081)*100+MONTH($B1081))</f>
        <v/>
      </c>
      <c r="P1081" s="11" t="str">
        <f aca="false">IF($B1081="","",IF($E1081="대체",0,1))</f>
        <v/>
      </c>
    </row>
    <row r="1082" customFormat="false" ht="15" hidden="false" customHeight="false" outlineLevel="0" collapsed="false">
      <c r="A1082" s="36" t="str">
        <f aca="false">IF($B1082="","",COUNT($B$15:$B1082))</f>
        <v/>
      </c>
      <c r="B1082" s="37"/>
      <c r="C1082" s="38"/>
      <c r="D1082" s="20"/>
      <c r="E1082" s="36" t="str">
        <f aca="false">IF($D1082="","",IFERROR(INDEX('교육원 ④ 설정'!$A$6:$A$40,MATCH($D1082,'교육원 ④ 설정'!$B$6:$B$40,0)),"※없는 과목"))</f>
        <v/>
      </c>
      <c r="F1082" s="36" t="str">
        <f aca="false">IF($D1082="","",IFERROR(INDEX('교육원 ④ 설정'!$C$6:$C$40,MATCH($D1082,'교육원 ④ 설정'!$B$6:$B$40,0)),""))</f>
        <v/>
      </c>
      <c r="G1082" s="39"/>
      <c r="H1082" s="39"/>
      <c r="I1082" s="40"/>
      <c r="J1082" s="41"/>
      <c r="K1082" s="38"/>
      <c r="L1082" s="42" t="str">
        <f aca="false">IF($B1082="","",IF(AND(N($I1082)=0,N($J1082)=0),"금액이 없습니다",IF(AND($I1082&gt;0,$J1082&gt;0),"수입·지출 둘 다 적혔습니다",IF($C1082="","결제수단을 고르십시오",IF(ISNA(MATCH($C1082,'교육원 ③ 통장·카드'!$A$5:$A$11,0)),"③ 통장·카드에 없는 결제수단입니다",IF($D1082="","계정과목을 고르십시오",IF($E1082="※없는 과목","④ 설정에 없는 과목입니다",IF(AND($E1082="수입",$J1082&gt;0),"수입 과목인데 지출에 적혔습니다",IF(AND(LEFT($E1082,2)&lt;&gt;"수입",$E1082&lt;&gt;"대체",$I1082&gt;0),"지출 과목인데 수입에 적혔습니다",IF($K1082="","증빙을 고르십시오",IF($H1082="","적요를 적으십시오","")))))))))))</f>
        <v/>
      </c>
      <c r="M1082" s="39"/>
      <c r="O1082" s="11" t="str">
        <f aca="false">IF($B1082="","",YEAR($B1082)*100+MONTH($B1082))</f>
        <v/>
      </c>
      <c r="P1082" s="11" t="str">
        <f aca="false">IF($B1082="","",IF($E1082="대체",0,1))</f>
        <v/>
      </c>
    </row>
    <row r="1083" customFormat="false" ht="15" hidden="false" customHeight="false" outlineLevel="0" collapsed="false">
      <c r="A1083" s="36" t="str">
        <f aca="false">IF($B1083="","",COUNT($B$15:$B1083))</f>
        <v/>
      </c>
      <c r="B1083" s="37"/>
      <c r="C1083" s="38"/>
      <c r="D1083" s="20"/>
      <c r="E1083" s="36" t="str">
        <f aca="false">IF($D1083="","",IFERROR(INDEX('교육원 ④ 설정'!$A$6:$A$40,MATCH($D1083,'교육원 ④ 설정'!$B$6:$B$40,0)),"※없는 과목"))</f>
        <v/>
      </c>
      <c r="F1083" s="36" t="str">
        <f aca="false">IF($D1083="","",IFERROR(INDEX('교육원 ④ 설정'!$C$6:$C$40,MATCH($D1083,'교육원 ④ 설정'!$B$6:$B$40,0)),""))</f>
        <v/>
      </c>
      <c r="G1083" s="39"/>
      <c r="H1083" s="39"/>
      <c r="I1083" s="40"/>
      <c r="J1083" s="41"/>
      <c r="K1083" s="38"/>
      <c r="L1083" s="42" t="str">
        <f aca="false">IF($B1083="","",IF(AND(N($I1083)=0,N($J1083)=0),"금액이 없습니다",IF(AND($I1083&gt;0,$J1083&gt;0),"수입·지출 둘 다 적혔습니다",IF($C1083="","결제수단을 고르십시오",IF(ISNA(MATCH($C1083,'교육원 ③ 통장·카드'!$A$5:$A$11,0)),"③ 통장·카드에 없는 결제수단입니다",IF($D1083="","계정과목을 고르십시오",IF($E1083="※없는 과목","④ 설정에 없는 과목입니다",IF(AND($E1083="수입",$J1083&gt;0),"수입 과목인데 지출에 적혔습니다",IF(AND(LEFT($E1083,2)&lt;&gt;"수입",$E1083&lt;&gt;"대체",$I1083&gt;0),"지출 과목인데 수입에 적혔습니다",IF($K1083="","증빙을 고르십시오",IF($H1083="","적요를 적으십시오","")))))))))))</f>
        <v/>
      </c>
      <c r="M1083" s="39"/>
      <c r="O1083" s="11" t="str">
        <f aca="false">IF($B1083="","",YEAR($B1083)*100+MONTH($B1083))</f>
        <v/>
      </c>
      <c r="P1083" s="11" t="str">
        <f aca="false">IF($B1083="","",IF($E1083="대체",0,1))</f>
        <v/>
      </c>
    </row>
    <row r="1084" customFormat="false" ht="15" hidden="false" customHeight="false" outlineLevel="0" collapsed="false">
      <c r="A1084" s="36" t="str">
        <f aca="false">IF($B1084="","",COUNT($B$15:$B1084))</f>
        <v/>
      </c>
      <c r="B1084" s="37"/>
      <c r="C1084" s="38"/>
      <c r="D1084" s="20"/>
      <c r="E1084" s="36" t="str">
        <f aca="false">IF($D1084="","",IFERROR(INDEX('교육원 ④ 설정'!$A$6:$A$40,MATCH($D1084,'교육원 ④ 설정'!$B$6:$B$40,0)),"※없는 과목"))</f>
        <v/>
      </c>
      <c r="F1084" s="36" t="str">
        <f aca="false">IF($D1084="","",IFERROR(INDEX('교육원 ④ 설정'!$C$6:$C$40,MATCH($D1084,'교육원 ④ 설정'!$B$6:$B$40,0)),""))</f>
        <v/>
      </c>
      <c r="G1084" s="39"/>
      <c r="H1084" s="39"/>
      <c r="I1084" s="40"/>
      <c r="J1084" s="41"/>
      <c r="K1084" s="38"/>
      <c r="L1084" s="42" t="str">
        <f aca="false">IF($B1084="","",IF(AND(N($I1084)=0,N($J1084)=0),"금액이 없습니다",IF(AND($I1084&gt;0,$J1084&gt;0),"수입·지출 둘 다 적혔습니다",IF($C1084="","결제수단을 고르십시오",IF(ISNA(MATCH($C1084,'교육원 ③ 통장·카드'!$A$5:$A$11,0)),"③ 통장·카드에 없는 결제수단입니다",IF($D1084="","계정과목을 고르십시오",IF($E1084="※없는 과목","④ 설정에 없는 과목입니다",IF(AND($E1084="수입",$J1084&gt;0),"수입 과목인데 지출에 적혔습니다",IF(AND(LEFT($E1084,2)&lt;&gt;"수입",$E1084&lt;&gt;"대체",$I1084&gt;0),"지출 과목인데 수입에 적혔습니다",IF($K1084="","증빙을 고르십시오",IF($H1084="","적요를 적으십시오","")))))))))))</f>
        <v/>
      </c>
      <c r="M1084" s="39"/>
      <c r="O1084" s="11" t="str">
        <f aca="false">IF($B1084="","",YEAR($B1084)*100+MONTH($B1084))</f>
        <v/>
      </c>
      <c r="P1084" s="11" t="str">
        <f aca="false">IF($B1084="","",IF($E1084="대체",0,1))</f>
        <v/>
      </c>
    </row>
    <row r="1085" customFormat="false" ht="15" hidden="false" customHeight="false" outlineLevel="0" collapsed="false">
      <c r="A1085" s="36" t="str">
        <f aca="false">IF($B1085="","",COUNT($B$15:$B1085))</f>
        <v/>
      </c>
      <c r="B1085" s="37"/>
      <c r="C1085" s="38"/>
      <c r="D1085" s="20"/>
      <c r="E1085" s="36" t="str">
        <f aca="false">IF($D1085="","",IFERROR(INDEX('교육원 ④ 설정'!$A$6:$A$40,MATCH($D1085,'교육원 ④ 설정'!$B$6:$B$40,0)),"※없는 과목"))</f>
        <v/>
      </c>
      <c r="F1085" s="36" t="str">
        <f aca="false">IF($D1085="","",IFERROR(INDEX('교육원 ④ 설정'!$C$6:$C$40,MATCH($D1085,'교육원 ④ 설정'!$B$6:$B$40,0)),""))</f>
        <v/>
      </c>
      <c r="G1085" s="39"/>
      <c r="H1085" s="39"/>
      <c r="I1085" s="40"/>
      <c r="J1085" s="41"/>
      <c r="K1085" s="38"/>
      <c r="L1085" s="42" t="str">
        <f aca="false">IF($B1085="","",IF(AND(N($I1085)=0,N($J1085)=0),"금액이 없습니다",IF(AND($I1085&gt;0,$J1085&gt;0),"수입·지출 둘 다 적혔습니다",IF($C1085="","결제수단을 고르십시오",IF(ISNA(MATCH($C1085,'교육원 ③ 통장·카드'!$A$5:$A$11,0)),"③ 통장·카드에 없는 결제수단입니다",IF($D1085="","계정과목을 고르십시오",IF($E1085="※없는 과목","④ 설정에 없는 과목입니다",IF(AND($E1085="수입",$J1085&gt;0),"수입 과목인데 지출에 적혔습니다",IF(AND(LEFT($E1085,2)&lt;&gt;"수입",$E1085&lt;&gt;"대체",$I1085&gt;0),"지출 과목인데 수입에 적혔습니다",IF($K1085="","증빙을 고르십시오",IF($H1085="","적요를 적으십시오","")))))))))))</f>
        <v/>
      </c>
      <c r="M1085" s="39"/>
      <c r="O1085" s="11" t="str">
        <f aca="false">IF($B1085="","",YEAR($B1085)*100+MONTH($B1085))</f>
        <v/>
      </c>
      <c r="P1085" s="11" t="str">
        <f aca="false">IF($B1085="","",IF($E1085="대체",0,1))</f>
        <v/>
      </c>
    </row>
    <row r="1086" customFormat="false" ht="15" hidden="false" customHeight="false" outlineLevel="0" collapsed="false">
      <c r="A1086" s="36" t="str">
        <f aca="false">IF($B1086="","",COUNT($B$15:$B1086))</f>
        <v/>
      </c>
      <c r="B1086" s="37"/>
      <c r="C1086" s="38"/>
      <c r="D1086" s="20"/>
      <c r="E1086" s="36" t="str">
        <f aca="false">IF($D1086="","",IFERROR(INDEX('교육원 ④ 설정'!$A$6:$A$40,MATCH($D1086,'교육원 ④ 설정'!$B$6:$B$40,0)),"※없는 과목"))</f>
        <v/>
      </c>
      <c r="F1086" s="36" t="str">
        <f aca="false">IF($D1086="","",IFERROR(INDEX('교육원 ④ 설정'!$C$6:$C$40,MATCH($D1086,'교육원 ④ 설정'!$B$6:$B$40,0)),""))</f>
        <v/>
      </c>
      <c r="G1086" s="39"/>
      <c r="H1086" s="39"/>
      <c r="I1086" s="40"/>
      <c r="J1086" s="41"/>
      <c r="K1086" s="38"/>
      <c r="L1086" s="42" t="str">
        <f aca="false">IF($B1086="","",IF(AND(N($I1086)=0,N($J1086)=0),"금액이 없습니다",IF(AND($I1086&gt;0,$J1086&gt;0),"수입·지출 둘 다 적혔습니다",IF($C1086="","결제수단을 고르십시오",IF(ISNA(MATCH($C1086,'교육원 ③ 통장·카드'!$A$5:$A$11,0)),"③ 통장·카드에 없는 결제수단입니다",IF($D1086="","계정과목을 고르십시오",IF($E1086="※없는 과목","④ 설정에 없는 과목입니다",IF(AND($E1086="수입",$J1086&gt;0),"수입 과목인데 지출에 적혔습니다",IF(AND(LEFT($E1086,2)&lt;&gt;"수입",$E1086&lt;&gt;"대체",$I1086&gt;0),"지출 과목인데 수입에 적혔습니다",IF($K1086="","증빙을 고르십시오",IF($H1086="","적요를 적으십시오","")))))))))))</f>
        <v/>
      </c>
      <c r="M1086" s="39"/>
      <c r="O1086" s="11" t="str">
        <f aca="false">IF($B1086="","",YEAR($B1086)*100+MONTH($B1086))</f>
        <v/>
      </c>
      <c r="P1086" s="11" t="str">
        <f aca="false">IF($B1086="","",IF($E1086="대체",0,1))</f>
        <v/>
      </c>
    </row>
    <row r="1087" customFormat="false" ht="15" hidden="false" customHeight="false" outlineLevel="0" collapsed="false">
      <c r="A1087" s="36" t="str">
        <f aca="false">IF($B1087="","",COUNT($B$15:$B1087))</f>
        <v/>
      </c>
      <c r="B1087" s="37"/>
      <c r="C1087" s="38"/>
      <c r="D1087" s="20"/>
      <c r="E1087" s="36" t="str">
        <f aca="false">IF($D1087="","",IFERROR(INDEX('교육원 ④ 설정'!$A$6:$A$40,MATCH($D1087,'교육원 ④ 설정'!$B$6:$B$40,0)),"※없는 과목"))</f>
        <v/>
      </c>
      <c r="F1087" s="36" t="str">
        <f aca="false">IF($D1087="","",IFERROR(INDEX('교육원 ④ 설정'!$C$6:$C$40,MATCH($D1087,'교육원 ④ 설정'!$B$6:$B$40,0)),""))</f>
        <v/>
      </c>
      <c r="G1087" s="39"/>
      <c r="H1087" s="39"/>
      <c r="I1087" s="40"/>
      <c r="J1087" s="41"/>
      <c r="K1087" s="38"/>
      <c r="L1087" s="42" t="str">
        <f aca="false">IF($B1087="","",IF(AND(N($I1087)=0,N($J1087)=0),"금액이 없습니다",IF(AND($I1087&gt;0,$J1087&gt;0),"수입·지출 둘 다 적혔습니다",IF($C1087="","결제수단을 고르십시오",IF(ISNA(MATCH($C1087,'교육원 ③ 통장·카드'!$A$5:$A$11,0)),"③ 통장·카드에 없는 결제수단입니다",IF($D1087="","계정과목을 고르십시오",IF($E1087="※없는 과목","④ 설정에 없는 과목입니다",IF(AND($E1087="수입",$J1087&gt;0),"수입 과목인데 지출에 적혔습니다",IF(AND(LEFT($E1087,2)&lt;&gt;"수입",$E1087&lt;&gt;"대체",$I1087&gt;0),"지출 과목인데 수입에 적혔습니다",IF($K1087="","증빙을 고르십시오",IF($H1087="","적요를 적으십시오","")))))))))))</f>
        <v/>
      </c>
      <c r="M1087" s="39"/>
      <c r="O1087" s="11" t="str">
        <f aca="false">IF($B1087="","",YEAR($B1087)*100+MONTH($B1087))</f>
        <v/>
      </c>
      <c r="P1087" s="11" t="str">
        <f aca="false">IF($B1087="","",IF($E1087="대체",0,1))</f>
        <v/>
      </c>
    </row>
    <row r="1088" customFormat="false" ht="15" hidden="false" customHeight="false" outlineLevel="0" collapsed="false">
      <c r="A1088" s="36" t="str">
        <f aca="false">IF($B1088="","",COUNT($B$15:$B1088))</f>
        <v/>
      </c>
      <c r="B1088" s="37"/>
      <c r="C1088" s="38"/>
      <c r="D1088" s="20"/>
      <c r="E1088" s="36" t="str">
        <f aca="false">IF($D1088="","",IFERROR(INDEX('교육원 ④ 설정'!$A$6:$A$40,MATCH($D1088,'교육원 ④ 설정'!$B$6:$B$40,0)),"※없는 과목"))</f>
        <v/>
      </c>
      <c r="F1088" s="36" t="str">
        <f aca="false">IF($D1088="","",IFERROR(INDEX('교육원 ④ 설정'!$C$6:$C$40,MATCH($D1088,'교육원 ④ 설정'!$B$6:$B$40,0)),""))</f>
        <v/>
      </c>
      <c r="G1088" s="39"/>
      <c r="H1088" s="39"/>
      <c r="I1088" s="40"/>
      <c r="J1088" s="41"/>
      <c r="K1088" s="38"/>
      <c r="L1088" s="42" t="str">
        <f aca="false">IF($B1088="","",IF(AND(N($I1088)=0,N($J1088)=0),"금액이 없습니다",IF(AND($I1088&gt;0,$J1088&gt;0),"수입·지출 둘 다 적혔습니다",IF($C1088="","결제수단을 고르십시오",IF(ISNA(MATCH($C1088,'교육원 ③ 통장·카드'!$A$5:$A$11,0)),"③ 통장·카드에 없는 결제수단입니다",IF($D1088="","계정과목을 고르십시오",IF($E1088="※없는 과목","④ 설정에 없는 과목입니다",IF(AND($E1088="수입",$J1088&gt;0),"수입 과목인데 지출에 적혔습니다",IF(AND(LEFT($E1088,2)&lt;&gt;"수입",$E1088&lt;&gt;"대체",$I1088&gt;0),"지출 과목인데 수입에 적혔습니다",IF($K1088="","증빙을 고르십시오",IF($H1088="","적요를 적으십시오","")))))))))))</f>
        <v/>
      </c>
      <c r="M1088" s="39"/>
      <c r="O1088" s="11" t="str">
        <f aca="false">IF($B1088="","",YEAR($B1088)*100+MONTH($B1088))</f>
        <v/>
      </c>
      <c r="P1088" s="11" t="str">
        <f aca="false">IF($B1088="","",IF($E1088="대체",0,1))</f>
        <v/>
      </c>
    </row>
    <row r="1089" customFormat="false" ht="15" hidden="false" customHeight="false" outlineLevel="0" collapsed="false">
      <c r="A1089" s="36" t="str">
        <f aca="false">IF($B1089="","",COUNT($B$15:$B1089))</f>
        <v/>
      </c>
      <c r="B1089" s="37"/>
      <c r="C1089" s="38"/>
      <c r="D1089" s="20"/>
      <c r="E1089" s="36" t="str">
        <f aca="false">IF($D1089="","",IFERROR(INDEX('교육원 ④ 설정'!$A$6:$A$40,MATCH($D1089,'교육원 ④ 설정'!$B$6:$B$40,0)),"※없는 과목"))</f>
        <v/>
      </c>
      <c r="F1089" s="36" t="str">
        <f aca="false">IF($D1089="","",IFERROR(INDEX('교육원 ④ 설정'!$C$6:$C$40,MATCH($D1089,'교육원 ④ 설정'!$B$6:$B$40,0)),""))</f>
        <v/>
      </c>
      <c r="G1089" s="39"/>
      <c r="H1089" s="39"/>
      <c r="I1089" s="40"/>
      <c r="J1089" s="41"/>
      <c r="K1089" s="38"/>
      <c r="L1089" s="42" t="str">
        <f aca="false">IF($B1089="","",IF(AND(N($I1089)=0,N($J1089)=0),"금액이 없습니다",IF(AND($I1089&gt;0,$J1089&gt;0),"수입·지출 둘 다 적혔습니다",IF($C1089="","결제수단을 고르십시오",IF(ISNA(MATCH($C1089,'교육원 ③ 통장·카드'!$A$5:$A$11,0)),"③ 통장·카드에 없는 결제수단입니다",IF($D1089="","계정과목을 고르십시오",IF($E1089="※없는 과목","④ 설정에 없는 과목입니다",IF(AND($E1089="수입",$J1089&gt;0),"수입 과목인데 지출에 적혔습니다",IF(AND(LEFT($E1089,2)&lt;&gt;"수입",$E1089&lt;&gt;"대체",$I1089&gt;0),"지출 과목인데 수입에 적혔습니다",IF($K1089="","증빙을 고르십시오",IF($H1089="","적요를 적으십시오","")))))))))))</f>
        <v/>
      </c>
      <c r="M1089" s="39"/>
      <c r="O1089" s="11" t="str">
        <f aca="false">IF($B1089="","",YEAR($B1089)*100+MONTH($B1089))</f>
        <v/>
      </c>
      <c r="P1089" s="11" t="str">
        <f aca="false">IF($B1089="","",IF($E1089="대체",0,1))</f>
        <v/>
      </c>
    </row>
    <row r="1090" customFormat="false" ht="15" hidden="false" customHeight="false" outlineLevel="0" collapsed="false">
      <c r="A1090" s="36" t="str">
        <f aca="false">IF($B1090="","",COUNT($B$15:$B1090))</f>
        <v/>
      </c>
      <c r="B1090" s="37"/>
      <c r="C1090" s="38"/>
      <c r="D1090" s="20"/>
      <c r="E1090" s="36" t="str">
        <f aca="false">IF($D1090="","",IFERROR(INDEX('교육원 ④ 설정'!$A$6:$A$40,MATCH($D1090,'교육원 ④ 설정'!$B$6:$B$40,0)),"※없는 과목"))</f>
        <v/>
      </c>
      <c r="F1090" s="36" t="str">
        <f aca="false">IF($D1090="","",IFERROR(INDEX('교육원 ④ 설정'!$C$6:$C$40,MATCH($D1090,'교육원 ④ 설정'!$B$6:$B$40,0)),""))</f>
        <v/>
      </c>
      <c r="G1090" s="39"/>
      <c r="H1090" s="39"/>
      <c r="I1090" s="40"/>
      <c r="J1090" s="41"/>
      <c r="K1090" s="38"/>
      <c r="L1090" s="42" t="str">
        <f aca="false">IF($B1090="","",IF(AND(N($I1090)=0,N($J1090)=0),"금액이 없습니다",IF(AND($I1090&gt;0,$J1090&gt;0),"수입·지출 둘 다 적혔습니다",IF($C1090="","결제수단을 고르십시오",IF(ISNA(MATCH($C1090,'교육원 ③ 통장·카드'!$A$5:$A$11,0)),"③ 통장·카드에 없는 결제수단입니다",IF($D1090="","계정과목을 고르십시오",IF($E1090="※없는 과목","④ 설정에 없는 과목입니다",IF(AND($E1090="수입",$J1090&gt;0),"수입 과목인데 지출에 적혔습니다",IF(AND(LEFT($E1090,2)&lt;&gt;"수입",$E1090&lt;&gt;"대체",$I1090&gt;0),"지출 과목인데 수입에 적혔습니다",IF($K1090="","증빙을 고르십시오",IF($H1090="","적요를 적으십시오","")))))))))))</f>
        <v/>
      </c>
      <c r="M1090" s="39"/>
      <c r="O1090" s="11" t="str">
        <f aca="false">IF($B1090="","",YEAR($B1090)*100+MONTH($B1090))</f>
        <v/>
      </c>
      <c r="P1090" s="11" t="str">
        <f aca="false">IF($B1090="","",IF($E1090="대체",0,1))</f>
        <v/>
      </c>
    </row>
    <row r="1091" customFormat="false" ht="15" hidden="false" customHeight="false" outlineLevel="0" collapsed="false">
      <c r="A1091" s="36" t="str">
        <f aca="false">IF($B1091="","",COUNT($B$15:$B1091))</f>
        <v/>
      </c>
      <c r="B1091" s="37"/>
      <c r="C1091" s="38"/>
      <c r="D1091" s="20"/>
      <c r="E1091" s="36" t="str">
        <f aca="false">IF($D1091="","",IFERROR(INDEX('교육원 ④ 설정'!$A$6:$A$40,MATCH($D1091,'교육원 ④ 설정'!$B$6:$B$40,0)),"※없는 과목"))</f>
        <v/>
      </c>
      <c r="F1091" s="36" t="str">
        <f aca="false">IF($D1091="","",IFERROR(INDEX('교육원 ④ 설정'!$C$6:$C$40,MATCH($D1091,'교육원 ④ 설정'!$B$6:$B$40,0)),""))</f>
        <v/>
      </c>
      <c r="G1091" s="39"/>
      <c r="H1091" s="39"/>
      <c r="I1091" s="40"/>
      <c r="J1091" s="41"/>
      <c r="K1091" s="38"/>
      <c r="L1091" s="42" t="str">
        <f aca="false">IF($B1091="","",IF(AND(N($I1091)=0,N($J1091)=0),"금액이 없습니다",IF(AND($I1091&gt;0,$J1091&gt;0),"수입·지출 둘 다 적혔습니다",IF($C1091="","결제수단을 고르십시오",IF(ISNA(MATCH($C1091,'교육원 ③ 통장·카드'!$A$5:$A$11,0)),"③ 통장·카드에 없는 결제수단입니다",IF($D1091="","계정과목을 고르십시오",IF($E1091="※없는 과목","④ 설정에 없는 과목입니다",IF(AND($E1091="수입",$J1091&gt;0),"수입 과목인데 지출에 적혔습니다",IF(AND(LEFT($E1091,2)&lt;&gt;"수입",$E1091&lt;&gt;"대체",$I1091&gt;0),"지출 과목인데 수입에 적혔습니다",IF($K1091="","증빙을 고르십시오",IF($H1091="","적요를 적으십시오","")))))))))))</f>
        <v/>
      </c>
      <c r="M1091" s="39"/>
      <c r="O1091" s="11" t="str">
        <f aca="false">IF($B1091="","",YEAR($B1091)*100+MONTH($B1091))</f>
        <v/>
      </c>
      <c r="P1091" s="11" t="str">
        <f aca="false">IF($B1091="","",IF($E1091="대체",0,1))</f>
        <v/>
      </c>
    </row>
    <row r="1092" customFormat="false" ht="15" hidden="false" customHeight="false" outlineLevel="0" collapsed="false">
      <c r="A1092" s="36" t="str">
        <f aca="false">IF($B1092="","",COUNT($B$15:$B1092))</f>
        <v/>
      </c>
      <c r="B1092" s="37"/>
      <c r="C1092" s="38"/>
      <c r="D1092" s="20"/>
      <c r="E1092" s="36" t="str">
        <f aca="false">IF($D1092="","",IFERROR(INDEX('교육원 ④ 설정'!$A$6:$A$40,MATCH($D1092,'교육원 ④ 설정'!$B$6:$B$40,0)),"※없는 과목"))</f>
        <v/>
      </c>
      <c r="F1092" s="36" t="str">
        <f aca="false">IF($D1092="","",IFERROR(INDEX('교육원 ④ 설정'!$C$6:$C$40,MATCH($D1092,'교육원 ④ 설정'!$B$6:$B$40,0)),""))</f>
        <v/>
      </c>
      <c r="G1092" s="39"/>
      <c r="H1092" s="39"/>
      <c r="I1092" s="40"/>
      <c r="J1092" s="41"/>
      <c r="K1092" s="38"/>
      <c r="L1092" s="42" t="str">
        <f aca="false">IF($B1092="","",IF(AND(N($I1092)=0,N($J1092)=0),"금액이 없습니다",IF(AND($I1092&gt;0,$J1092&gt;0),"수입·지출 둘 다 적혔습니다",IF($C1092="","결제수단을 고르십시오",IF(ISNA(MATCH($C1092,'교육원 ③ 통장·카드'!$A$5:$A$11,0)),"③ 통장·카드에 없는 결제수단입니다",IF($D1092="","계정과목을 고르십시오",IF($E1092="※없는 과목","④ 설정에 없는 과목입니다",IF(AND($E1092="수입",$J1092&gt;0),"수입 과목인데 지출에 적혔습니다",IF(AND(LEFT($E1092,2)&lt;&gt;"수입",$E1092&lt;&gt;"대체",$I1092&gt;0),"지출 과목인데 수입에 적혔습니다",IF($K1092="","증빙을 고르십시오",IF($H1092="","적요를 적으십시오","")))))))))))</f>
        <v/>
      </c>
      <c r="M1092" s="39"/>
      <c r="O1092" s="11" t="str">
        <f aca="false">IF($B1092="","",YEAR($B1092)*100+MONTH($B1092))</f>
        <v/>
      </c>
      <c r="P1092" s="11" t="str">
        <f aca="false">IF($B1092="","",IF($E1092="대체",0,1))</f>
        <v/>
      </c>
    </row>
    <row r="1093" customFormat="false" ht="15" hidden="false" customHeight="false" outlineLevel="0" collapsed="false">
      <c r="A1093" s="36" t="str">
        <f aca="false">IF($B1093="","",COUNT($B$15:$B1093))</f>
        <v/>
      </c>
      <c r="B1093" s="37"/>
      <c r="C1093" s="38"/>
      <c r="D1093" s="20"/>
      <c r="E1093" s="36" t="str">
        <f aca="false">IF($D1093="","",IFERROR(INDEX('교육원 ④ 설정'!$A$6:$A$40,MATCH($D1093,'교육원 ④ 설정'!$B$6:$B$40,0)),"※없는 과목"))</f>
        <v/>
      </c>
      <c r="F1093" s="36" t="str">
        <f aca="false">IF($D1093="","",IFERROR(INDEX('교육원 ④ 설정'!$C$6:$C$40,MATCH($D1093,'교육원 ④ 설정'!$B$6:$B$40,0)),""))</f>
        <v/>
      </c>
      <c r="G1093" s="39"/>
      <c r="H1093" s="39"/>
      <c r="I1093" s="40"/>
      <c r="J1093" s="41"/>
      <c r="K1093" s="38"/>
      <c r="L1093" s="42" t="str">
        <f aca="false">IF($B1093="","",IF(AND(N($I1093)=0,N($J1093)=0),"금액이 없습니다",IF(AND($I1093&gt;0,$J1093&gt;0),"수입·지출 둘 다 적혔습니다",IF($C1093="","결제수단을 고르십시오",IF(ISNA(MATCH($C1093,'교육원 ③ 통장·카드'!$A$5:$A$11,0)),"③ 통장·카드에 없는 결제수단입니다",IF($D1093="","계정과목을 고르십시오",IF($E1093="※없는 과목","④ 설정에 없는 과목입니다",IF(AND($E1093="수입",$J1093&gt;0),"수입 과목인데 지출에 적혔습니다",IF(AND(LEFT($E1093,2)&lt;&gt;"수입",$E1093&lt;&gt;"대체",$I1093&gt;0),"지출 과목인데 수입에 적혔습니다",IF($K1093="","증빙을 고르십시오",IF($H1093="","적요를 적으십시오","")))))))))))</f>
        <v/>
      </c>
      <c r="M1093" s="39"/>
      <c r="O1093" s="11" t="str">
        <f aca="false">IF($B1093="","",YEAR($B1093)*100+MONTH($B1093))</f>
        <v/>
      </c>
      <c r="P1093" s="11" t="str">
        <f aca="false">IF($B1093="","",IF($E1093="대체",0,1))</f>
        <v/>
      </c>
    </row>
    <row r="1094" customFormat="false" ht="15" hidden="false" customHeight="false" outlineLevel="0" collapsed="false">
      <c r="A1094" s="36" t="str">
        <f aca="false">IF($B1094="","",COUNT($B$15:$B1094))</f>
        <v/>
      </c>
      <c r="B1094" s="37"/>
      <c r="C1094" s="38"/>
      <c r="D1094" s="20"/>
      <c r="E1094" s="36" t="str">
        <f aca="false">IF($D1094="","",IFERROR(INDEX('교육원 ④ 설정'!$A$6:$A$40,MATCH($D1094,'교육원 ④ 설정'!$B$6:$B$40,0)),"※없는 과목"))</f>
        <v/>
      </c>
      <c r="F1094" s="36" t="str">
        <f aca="false">IF($D1094="","",IFERROR(INDEX('교육원 ④ 설정'!$C$6:$C$40,MATCH($D1094,'교육원 ④ 설정'!$B$6:$B$40,0)),""))</f>
        <v/>
      </c>
      <c r="G1094" s="39"/>
      <c r="H1094" s="39"/>
      <c r="I1094" s="40"/>
      <c r="J1094" s="41"/>
      <c r="K1094" s="38"/>
      <c r="L1094" s="42" t="str">
        <f aca="false">IF($B1094="","",IF(AND(N($I1094)=0,N($J1094)=0),"금액이 없습니다",IF(AND($I1094&gt;0,$J1094&gt;0),"수입·지출 둘 다 적혔습니다",IF($C1094="","결제수단을 고르십시오",IF(ISNA(MATCH($C1094,'교육원 ③ 통장·카드'!$A$5:$A$11,0)),"③ 통장·카드에 없는 결제수단입니다",IF($D1094="","계정과목을 고르십시오",IF($E1094="※없는 과목","④ 설정에 없는 과목입니다",IF(AND($E1094="수입",$J1094&gt;0),"수입 과목인데 지출에 적혔습니다",IF(AND(LEFT($E1094,2)&lt;&gt;"수입",$E1094&lt;&gt;"대체",$I1094&gt;0),"지출 과목인데 수입에 적혔습니다",IF($K1094="","증빙을 고르십시오",IF($H1094="","적요를 적으십시오","")))))))))))</f>
        <v/>
      </c>
      <c r="M1094" s="39"/>
      <c r="O1094" s="11" t="str">
        <f aca="false">IF($B1094="","",YEAR($B1094)*100+MONTH($B1094))</f>
        <v/>
      </c>
      <c r="P1094" s="11" t="str">
        <f aca="false">IF($B1094="","",IF($E1094="대체",0,1))</f>
        <v/>
      </c>
    </row>
    <row r="1095" customFormat="false" ht="15" hidden="false" customHeight="false" outlineLevel="0" collapsed="false">
      <c r="A1095" s="36" t="str">
        <f aca="false">IF($B1095="","",COUNT($B$15:$B1095))</f>
        <v/>
      </c>
      <c r="B1095" s="37"/>
      <c r="C1095" s="38"/>
      <c r="D1095" s="20"/>
      <c r="E1095" s="36" t="str">
        <f aca="false">IF($D1095="","",IFERROR(INDEX('교육원 ④ 설정'!$A$6:$A$40,MATCH($D1095,'교육원 ④ 설정'!$B$6:$B$40,0)),"※없는 과목"))</f>
        <v/>
      </c>
      <c r="F1095" s="36" t="str">
        <f aca="false">IF($D1095="","",IFERROR(INDEX('교육원 ④ 설정'!$C$6:$C$40,MATCH($D1095,'교육원 ④ 설정'!$B$6:$B$40,0)),""))</f>
        <v/>
      </c>
      <c r="G1095" s="39"/>
      <c r="H1095" s="39"/>
      <c r="I1095" s="40"/>
      <c r="J1095" s="41"/>
      <c r="K1095" s="38"/>
      <c r="L1095" s="42" t="str">
        <f aca="false">IF($B1095="","",IF(AND(N($I1095)=0,N($J1095)=0),"금액이 없습니다",IF(AND($I1095&gt;0,$J1095&gt;0),"수입·지출 둘 다 적혔습니다",IF($C1095="","결제수단을 고르십시오",IF(ISNA(MATCH($C1095,'교육원 ③ 통장·카드'!$A$5:$A$11,0)),"③ 통장·카드에 없는 결제수단입니다",IF($D1095="","계정과목을 고르십시오",IF($E1095="※없는 과목","④ 설정에 없는 과목입니다",IF(AND($E1095="수입",$J1095&gt;0),"수입 과목인데 지출에 적혔습니다",IF(AND(LEFT($E1095,2)&lt;&gt;"수입",$E1095&lt;&gt;"대체",$I1095&gt;0),"지출 과목인데 수입에 적혔습니다",IF($K1095="","증빙을 고르십시오",IF($H1095="","적요를 적으십시오","")))))))))))</f>
        <v/>
      </c>
      <c r="M1095" s="39"/>
      <c r="O1095" s="11" t="str">
        <f aca="false">IF($B1095="","",YEAR($B1095)*100+MONTH($B1095))</f>
        <v/>
      </c>
      <c r="P1095" s="11" t="str">
        <f aca="false">IF($B1095="","",IF($E1095="대체",0,1))</f>
        <v/>
      </c>
    </row>
    <row r="1096" customFormat="false" ht="15" hidden="false" customHeight="false" outlineLevel="0" collapsed="false">
      <c r="A1096" s="36" t="str">
        <f aca="false">IF($B1096="","",COUNT($B$15:$B1096))</f>
        <v/>
      </c>
      <c r="B1096" s="37"/>
      <c r="C1096" s="38"/>
      <c r="D1096" s="20"/>
      <c r="E1096" s="36" t="str">
        <f aca="false">IF($D1096="","",IFERROR(INDEX('교육원 ④ 설정'!$A$6:$A$40,MATCH($D1096,'교육원 ④ 설정'!$B$6:$B$40,0)),"※없는 과목"))</f>
        <v/>
      </c>
      <c r="F1096" s="36" t="str">
        <f aca="false">IF($D1096="","",IFERROR(INDEX('교육원 ④ 설정'!$C$6:$C$40,MATCH($D1096,'교육원 ④ 설정'!$B$6:$B$40,0)),""))</f>
        <v/>
      </c>
      <c r="G1096" s="39"/>
      <c r="H1096" s="39"/>
      <c r="I1096" s="40"/>
      <c r="J1096" s="41"/>
      <c r="K1096" s="38"/>
      <c r="L1096" s="42" t="str">
        <f aca="false">IF($B1096="","",IF(AND(N($I1096)=0,N($J1096)=0),"금액이 없습니다",IF(AND($I1096&gt;0,$J1096&gt;0),"수입·지출 둘 다 적혔습니다",IF($C1096="","결제수단을 고르십시오",IF(ISNA(MATCH($C1096,'교육원 ③ 통장·카드'!$A$5:$A$11,0)),"③ 통장·카드에 없는 결제수단입니다",IF($D1096="","계정과목을 고르십시오",IF($E1096="※없는 과목","④ 설정에 없는 과목입니다",IF(AND($E1096="수입",$J1096&gt;0),"수입 과목인데 지출에 적혔습니다",IF(AND(LEFT($E1096,2)&lt;&gt;"수입",$E1096&lt;&gt;"대체",$I1096&gt;0),"지출 과목인데 수입에 적혔습니다",IF($K1096="","증빙을 고르십시오",IF($H1096="","적요를 적으십시오","")))))))))))</f>
        <v/>
      </c>
      <c r="M1096" s="39"/>
      <c r="O1096" s="11" t="str">
        <f aca="false">IF($B1096="","",YEAR($B1096)*100+MONTH($B1096))</f>
        <v/>
      </c>
      <c r="P1096" s="11" t="str">
        <f aca="false">IF($B1096="","",IF($E1096="대체",0,1))</f>
        <v/>
      </c>
    </row>
    <row r="1097" customFormat="false" ht="15" hidden="false" customHeight="false" outlineLevel="0" collapsed="false">
      <c r="A1097" s="36" t="str">
        <f aca="false">IF($B1097="","",COUNT($B$15:$B1097))</f>
        <v/>
      </c>
      <c r="B1097" s="37"/>
      <c r="C1097" s="38"/>
      <c r="D1097" s="20"/>
      <c r="E1097" s="36" t="str">
        <f aca="false">IF($D1097="","",IFERROR(INDEX('교육원 ④ 설정'!$A$6:$A$40,MATCH($D1097,'교육원 ④ 설정'!$B$6:$B$40,0)),"※없는 과목"))</f>
        <v/>
      </c>
      <c r="F1097" s="36" t="str">
        <f aca="false">IF($D1097="","",IFERROR(INDEX('교육원 ④ 설정'!$C$6:$C$40,MATCH($D1097,'교육원 ④ 설정'!$B$6:$B$40,0)),""))</f>
        <v/>
      </c>
      <c r="G1097" s="39"/>
      <c r="H1097" s="39"/>
      <c r="I1097" s="40"/>
      <c r="J1097" s="41"/>
      <c r="K1097" s="38"/>
      <c r="L1097" s="42" t="str">
        <f aca="false">IF($B1097="","",IF(AND(N($I1097)=0,N($J1097)=0),"금액이 없습니다",IF(AND($I1097&gt;0,$J1097&gt;0),"수입·지출 둘 다 적혔습니다",IF($C1097="","결제수단을 고르십시오",IF(ISNA(MATCH($C1097,'교육원 ③ 통장·카드'!$A$5:$A$11,0)),"③ 통장·카드에 없는 결제수단입니다",IF($D1097="","계정과목을 고르십시오",IF($E1097="※없는 과목","④ 설정에 없는 과목입니다",IF(AND($E1097="수입",$J1097&gt;0),"수입 과목인데 지출에 적혔습니다",IF(AND(LEFT($E1097,2)&lt;&gt;"수입",$E1097&lt;&gt;"대체",$I1097&gt;0),"지출 과목인데 수입에 적혔습니다",IF($K1097="","증빙을 고르십시오",IF($H1097="","적요를 적으십시오","")))))))))))</f>
        <v/>
      </c>
      <c r="M1097" s="39"/>
      <c r="O1097" s="11" t="str">
        <f aca="false">IF($B1097="","",YEAR($B1097)*100+MONTH($B1097))</f>
        <v/>
      </c>
      <c r="P1097" s="11" t="str">
        <f aca="false">IF($B1097="","",IF($E1097="대체",0,1))</f>
        <v/>
      </c>
    </row>
    <row r="1098" customFormat="false" ht="15" hidden="false" customHeight="false" outlineLevel="0" collapsed="false">
      <c r="A1098" s="36" t="str">
        <f aca="false">IF($B1098="","",COUNT($B$15:$B1098))</f>
        <v/>
      </c>
      <c r="B1098" s="37"/>
      <c r="C1098" s="38"/>
      <c r="D1098" s="20"/>
      <c r="E1098" s="36" t="str">
        <f aca="false">IF($D1098="","",IFERROR(INDEX('교육원 ④ 설정'!$A$6:$A$40,MATCH($D1098,'교육원 ④ 설정'!$B$6:$B$40,0)),"※없는 과목"))</f>
        <v/>
      </c>
      <c r="F1098" s="36" t="str">
        <f aca="false">IF($D1098="","",IFERROR(INDEX('교육원 ④ 설정'!$C$6:$C$40,MATCH($D1098,'교육원 ④ 설정'!$B$6:$B$40,0)),""))</f>
        <v/>
      </c>
      <c r="G1098" s="39"/>
      <c r="H1098" s="39"/>
      <c r="I1098" s="40"/>
      <c r="J1098" s="41"/>
      <c r="K1098" s="38"/>
      <c r="L1098" s="42" t="str">
        <f aca="false">IF($B1098="","",IF(AND(N($I1098)=0,N($J1098)=0),"금액이 없습니다",IF(AND($I1098&gt;0,$J1098&gt;0),"수입·지출 둘 다 적혔습니다",IF($C1098="","결제수단을 고르십시오",IF(ISNA(MATCH($C1098,'교육원 ③ 통장·카드'!$A$5:$A$11,0)),"③ 통장·카드에 없는 결제수단입니다",IF($D1098="","계정과목을 고르십시오",IF($E1098="※없는 과목","④ 설정에 없는 과목입니다",IF(AND($E1098="수입",$J1098&gt;0),"수입 과목인데 지출에 적혔습니다",IF(AND(LEFT($E1098,2)&lt;&gt;"수입",$E1098&lt;&gt;"대체",$I1098&gt;0),"지출 과목인데 수입에 적혔습니다",IF($K1098="","증빙을 고르십시오",IF($H1098="","적요를 적으십시오","")))))))))))</f>
        <v/>
      </c>
      <c r="M1098" s="39"/>
      <c r="O1098" s="11" t="str">
        <f aca="false">IF($B1098="","",YEAR($B1098)*100+MONTH($B1098))</f>
        <v/>
      </c>
      <c r="P1098" s="11" t="str">
        <f aca="false">IF($B1098="","",IF($E1098="대체",0,1))</f>
        <v/>
      </c>
    </row>
    <row r="1099" customFormat="false" ht="15" hidden="false" customHeight="false" outlineLevel="0" collapsed="false">
      <c r="A1099" s="36" t="str">
        <f aca="false">IF($B1099="","",COUNT($B$15:$B1099))</f>
        <v/>
      </c>
      <c r="B1099" s="37"/>
      <c r="C1099" s="38"/>
      <c r="D1099" s="20"/>
      <c r="E1099" s="36" t="str">
        <f aca="false">IF($D1099="","",IFERROR(INDEX('교육원 ④ 설정'!$A$6:$A$40,MATCH($D1099,'교육원 ④ 설정'!$B$6:$B$40,0)),"※없는 과목"))</f>
        <v/>
      </c>
      <c r="F1099" s="36" t="str">
        <f aca="false">IF($D1099="","",IFERROR(INDEX('교육원 ④ 설정'!$C$6:$C$40,MATCH($D1099,'교육원 ④ 설정'!$B$6:$B$40,0)),""))</f>
        <v/>
      </c>
      <c r="G1099" s="39"/>
      <c r="H1099" s="39"/>
      <c r="I1099" s="40"/>
      <c r="J1099" s="41"/>
      <c r="K1099" s="38"/>
      <c r="L1099" s="42" t="str">
        <f aca="false">IF($B1099="","",IF(AND(N($I1099)=0,N($J1099)=0),"금액이 없습니다",IF(AND($I1099&gt;0,$J1099&gt;0),"수입·지출 둘 다 적혔습니다",IF($C1099="","결제수단을 고르십시오",IF(ISNA(MATCH($C1099,'교육원 ③ 통장·카드'!$A$5:$A$11,0)),"③ 통장·카드에 없는 결제수단입니다",IF($D1099="","계정과목을 고르십시오",IF($E1099="※없는 과목","④ 설정에 없는 과목입니다",IF(AND($E1099="수입",$J1099&gt;0),"수입 과목인데 지출에 적혔습니다",IF(AND(LEFT($E1099,2)&lt;&gt;"수입",$E1099&lt;&gt;"대체",$I1099&gt;0),"지출 과목인데 수입에 적혔습니다",IF($K1099="","증빙을 고르십시오",IF($H1099="","적요를 적으십시오","")))))))))))</f>
        <v/>
      </c>
      <c r="M1099" s="39"/>
      <c r="O1099" s="11" t="str">
        <f aca="false">IF($B1099="","",YEAR($B1099)*100+MONTH($B1099))</f>
        <v/>
      </c>
      <c r="P1099" s="11" t="str">
        <f aca="false">IF($B1099="","",IF($E1099="대체",0,1))</f>
        <v/>
      </c>
    </row>
    <row r="1100" customFormat="false" ht="15" hidden="false" customHeight="false" outlineLevel="0" collapsed="false">
      <c r="A1100" s="36" t="str">
        <f aca="false">IF($B1100="","",COUNT($B$15:$B1100))</f>
        <v/>
      </c>
      <c r="B1100" s="37"/>
      <c r="C1100" s="38"/>
      <c r="D1100" s="20"/>
      <c r="E1100" s="36" t="str">
        <f aca="false">IF($D1100="","",IFERROR(INDEX('교육원 ④ 설정'!$A$6:$A$40,MATCH($D1100,'교육원 ④ 설정'!$B$6:$B$40,0)),"※없는 과목"))</f>
        <v/>
      </c>
      <c r="F1100" s="36" t="str">
        <f aca="false">IF($D1100="","",IFERROR(INDEX('교육원 ④ 설정'!$C$6:$C$40,MATCH($D1100,'교육원 ④ 설정'!$B$6:$B$40,0)),""))</f>
        <v/>
      </c>
      <c r="G1100" s="39"/>
      <c r="H1100" s="39"/>
      <c r="I1100" s="40"/>
      <c r="J1100" s="41"/>
      <c r="K1100" s="38"/>
      <c r="L1100" s="42" t="str">
        <f aca="false">IF($B1100="","",IF(AND(N($I1100)=0,N($J1100)=0),"금액이 없습니다",IF(AND($I1100&gt;0,$J1100&gt;0),"수입·지출 둘 다 적혔습니다",IF($C1100="","결제수단을 고르십시오",IF(ISNA(MATCH($C1100,'교육원 ③ 통장·카드'!$A$5:$A$11,0)),"③ 통장·카드에 없는 결제수단입니다",IF($D1100="","계정과목을 고르십시오",IF($E1100="※없는 과목","④ 설정에 없는 과목입니다",IF(AND($E1100="수입",$J1100&gt;0),"수입 과목인데 지출에 적혔습니다",IF(AND(LEFT($E1100,2)&lt;&gt;"수입",$E1100&lt;&gt;"대체",$I1100&gt;0),"지출 과목인데 수입에 적혔습니다",IF($K1100="","증빙을 고르십시오",IF($H1100="","적요를 적으십시오","")))))))))))</f>
        <v/>
      </c>
      <c r="M1100" s="39"/>
      <c r="O1100" s="11" t="str">
        <f aca="false">IF($B1100="","",YEAR($B1100)*100+MONTH($B1100))</f>
        <v/>
      </c>
      <c r="P1100" s="11" t="str">
        <f aca="false">IF($B1100="","",IF($E1100="대체",0,1))</f>
        <v/>
      </c>
    </row>
    <row r="1101" customFormat="false" ht="15" hidden="false" customHeight="false" outlineLevel="0" collapsed="false">
      <c r="A1101" s="36" t="str">
        <f aca="false">IF($B1101="","",COUNT($B$15:$B1101))</f>
        <v/>
      </c>
      <c r="B1101" s="37"/>
      <c r="C1101" s="38"/>
      <c r="D1101" s="20"/>
      <c r="E1101" s="36" t="str">
        <f aca="false">IF($D1101="","",IFERROR(INDEX('교육원 ④ 설정'!$A$6:$A$40,MATCH($D1101,'교육원 ④ 설정'!$B$6:$B$40,0)),"※없는 과목"))</f>
        <v/>
      </c>
      <c r="F1101" s="36" t="str">
        <f aca="false">IF($D1101="","",IFERROR(INDEX('교육원 ④ 설정'!$C$6:$C$40,MATCH($D1101,'교육원 ④ 설정'!$B$6:$B$40,0)),""))</f>
        <v/>
      </c>
      <c r="G1101" s="39"/>
      <c r="H1101" s="39"/>
      <c r="I1101" s="40"/>
      <c r="J1101" s="41"/>
      <c r="K1101" s="38"/>
      <c r="L1101" s="42" t="str">
        <f aca="false">IF($B1101="","",IF(AND(N($I1101)=0,N($J1101)=0),"금액이 없습니다",IF(AND($I1101&gt;0,$J1101&gt;0),"수입·지출 둘 다 적혔습니다",IF($C1101="","결제수단을 고르십시오",IF(ISNA(MATCH($C1101,'교육원 ③ 통장·카드'!$A$5:$A$11,0)),"③ 통장·카드에 없는 결제수단입니다",IF($D1101="","계정과목을 고르십시오",IF($E1101="※없는 과목","④ 설정에 없는 과목입니다",IF(AND($E1101="수입",$J1101&gt;0),"수입 과목인데 지출에 적혔습니다",IF(AND(LEFT($E1101,2)&lt;&gt;"수입",$E1101&lt;&gt;"대체",$I1101&gt;0),"지출 과목인데 수입에 적혔습니다",IF($K1101="","증빙을 고르십시오",IF($H1101="","적요를 적으십시오","")))))))))))</f>
        <v/>
      </c>
      <c r="M1101" s="39"/>
      <c r="O1101" s="11" t="str">
        <f aca="false">IF($B1101="","",YEAR($B1101)*100+MONTH($B1101))</f>
        <v/>
      </c>
      <c r="P1101" s="11" t="str">
        <f aca="false">IF($B1101="","",IF($E1101="대체",0,1))</f>
        <v/>
      </c>
    </row>
    <row r="1102" customFormat="false" ht="15" hidden="false" customHeight="false" outlineLevel="0" collapsed="false">
      <c r="A1102" s="36" t="str">
        <f aca="false">IF($B1102="","",COUNT($B$15:$B1102))</f>
        <v/>
      </c>
      <c r="B1102" s="37"/>
      <c r="C1102" s="38"/>
      <c r="D1102" s="20"/>
      <c r="E1102" s="36" t="str">
        <f aca="false">IF($D1102="","",IFERROR(INDEX('교육원 ④ 설정'!$A$6:$A$40,MATCH($D1102,'교육원 ④ 설정'!$B$6:$B$40,0)),"※없는 과목"))</f>
        <v/>
      </c>
      <c r="F1102" s="36" t="str">
        <f aca="false">IF($D1102="","",IFERROR(INDEX('교육원 ④ 설정'!$C$6:$C$40,MATCH($D1102,'교육원 ④ 설정'!$B$6:$B$40,0)),""))</f>
        <v/>
      </c>
      <c r="G1102" s="39"/>
      <c r="H1102" s="39"/>
      <c r="I1102" s="40"/>
      <c r="J1102" s="41"/>
      <c r="K1102" s="38"/>
      <c r="L1102" s="42" t="str">
        <f aca="false">IF($B1102="","",IF(AND(N($I1102)=0,N($J1102)=0),"금액이 없습니다",IF(AND($I1102&gt;0,$J1102&gt;0),"수입·지출 둘 다 적혔습니다",IF($C1102="","결제수단을 고르십시오",IF(ISNA(MATCH($C1102,'교육원 ③ 통장·카드'!$A$5:$A$11,0)),"③ 통장·카드에 없는 결제수단입니다",IF($D1102="","계정과목을 고르십시오",IF($E1102="※없는 과목","④ 설정에 없는 과목입니다",IF(AND($E1102="수입",$J1102&gt;0),"수입 과목인데 지출에 적혔습니다",IF(AND(LEFT($E1102,2)&lt;&gt;"수입",$E1102&lt;&gt;"대체",$I1102&gt;0),"지출 과목인데 수입에 적혔습니다",IF($K1102="","증빙을 고르십시오",IF($H1102="","적요를 적으십시오","")))))))))))</f>
        <v/>
      </c>
      <c r="M1102" s="39"/>
      <c r="O1102" s="11" t="str">
        <f aca="false">IF($B1102="","",YEAR($B1102)*100+MONTH($B1102))</f>
        <v/>
      </c>
      <c r="P1102" s="11" t="str">
        <f aca="false">IF($B1102="","",IF($E1102="대체",0,1))</f>
        <v/>
      </c>
    </row>
    <row r="1103" customFormat="false" ht="15" hidden="false" customHeight="false" outlineLevel="0" collapsed="false">
      <c r="A1103" s="36" t="str">
        <f aca="false">IF($B1103="","",COUNT($B$15:$B1103))</f>
        <v/>
      </c>
      <c r="B1103" s="37"/>
      <c r="C1103" s="38"/>
      <c r="D1103" s="20"/>
      <c r="E1103" s="36" t="str">
        <f aca="false">IF($D1103="","",IFERROR(INDEX('교육원 ④ 설정'!$A$6:$A$40,MATCH($D1103,'교육원 ④ 설정'!$B$6:$B$40,0)),"※없는 과목"))</f>
        <v/>
      </c>
      <c r="F1103" s="36" t="str">
        <f aca="false">IF($D1103="","",IFERROR(INDEX('교육원 ④ 설정'!$C$6:$C$40,MATCH($D1103,'교육원 ④ 설정'!$B$6:$B$40,0)),""))</f>
        <v/>
      </c>
      <c r="G1103" s="39"/>
      <c r="H1103" s="39"/>
      <c r="I1103" s="40"/>
      <c r="J1103" s="41"/>
      <c r="K1103" s="38"/>
      <c r="L1103" s="42" t="str">
        <f aca="false">IF($B1103="","",IF(AND(N($I1103)=0,N($J1103)=0),"금액이 없습니다",IF(AND($I1103&gt;0,$J1103&gt;0),"수입·지출 둘 다 적혔습니다",IF($C1103="","결제수단을 고르십시오",IF(ISNA(MATCH($C1103,'교육원 ③ 통장·카드'!$A$5:$A$11,0)),"③ 통장·카드에 없는 결제수단입니다",IF($D1103="","계정과목을 고르십시오",IF($E1103="※없는 과목","④ 설정에 없는 과목입니다",IF(AND($E1103="수입",$J1103&gt;0),"수입 과목인데 지출에 적혔습니다",IF(AND(LEFT($E1103,2)&lt;&gt;"수입",$E1103&lt;&gt;"대체",$I1103&gt;0),"지출 과목인데 수입에 적혔습니다",IF($K1103="","증빙을 고르십시오",IF($H1103="","적요를 적으십시오","")))))))))))</f>
        <v/>
      </c>
      <c r="M1103" s="39"/>
      <c r="O1103" s="11" t="str">
        <f aca="false">IF($B1103="","",YEAR($B1103)*100+MONTH($B1103))</f>
        <v/>
      </c>
      <c r="P1103" s="11" t="str">
        <f aca="false">IF($B1103="","",IF($E1103="대체",0,1))</f>
        <v/>
      </c>
    </row>
    <row r="1104" customFormat="false" ht="15" hidden="false" customHeight="false" outlineLevel="0" collapsed="false">
      <c r="A1104" s="36" t="str">
        <f aca="false">IF($B1104="","",COUNT($B$15:$B1104))</f>
        <v/>
      </c>
      <c r="B1104" s="37"/>
      <c r="C1104" s="38"/>
      <c r="D1104" s="20"/>
      <c r="E1104" s="36" t="str">
        <f aca="false">IF($D1104="","",IFERROR(INDEX('교육원 ④ 설정'!$A$6:$A$40,MATCH($D1104,'교육원 ④ 설정'!$B$6:$B$40,0)),"※없는 과목"))</f>
        <v/>
      </c>
      <c r="F1104" s="36" t="str">
        <f aca="false">IF($D1104="","",IFERROR(INDEX('교육원 ④ 설정'!$C$6:$C$40,MATCH($D1104,'교육원 ④ 설정'!$B$6:$B$40,0)),""))</f>
        <v/>
      </c>
      <c r="G1104" s="39"/>
      <c r="H1104" s="39"/>
      <c r="I1104" s="40"/>
      <c r="J1104" s="41"/>
      <c r="K1104" s="38"/>
      <c r="L1104" s="42" t="str">
        <f aca="false">IF($B1104="","",IF(AND(N($I1104)=0,N($J1104)=0),"금액이 없습니다",IF(AND($I1104&gt;0,$J1104&gt;0),"수입·지출 둘 다 적혔습니다",IF($C1104="","결제수단을 고르십시오",IF(ISNA(MATCH($C1104,'교육원 ③ 통장·카드'!$A$5:$A$11,0)),"③ 통장·카드에 없는 결제수단입니다",IF($D1104="","계정과목을 고르십시오",IF($E1104="※없는 과목","④ 설정에 없는 과목입니다",IF(AND($E1104="수입",$J1104&gt;0),"수입 과목인데 지출에 적혔습니다",IF(AND(LEFT($E1104,2)&lt;&gt;"수입",$E1104&lt;&gt;"대체",$I1104&gt;0),"지출 과목인데 수입에 적혔습니다",IF($K1104="","증빙을 고르십시오",IF($H1104="","적요를 적으십시오","")))))))))))</f>
        <v/>
      </c>
      <c r="M1104" s="39"/>
      <c r="O1104" s="11" t="str">
        <f aca="false">IF($B1104="","",YEAR($B1104)*100+MONTH($B1104))</f>
        <v/>
      </c>
      <c r="P1104" s="11" t="str">
        <f aca="false">IF($B1104="","",IF($E1104="대체",0,1))</f>
        <v/>
      </c>
    </row>
    <row r="1105" customFormat="false" ht="15" hidden="false" customHeight="false" outlineLevel="0" collapsed="false">
      <c r="A1105" s="36" t="str">
        <f aca="false">IF($B1105="","",COUNT($B$15:$B1105))</f>
        <v/>
      </c>
      <c r="B1105" s="37"/>
      <c r="C1105" s="38"/>
      <c r="D1105" s="20"/>
      <c r="E1105" s="36" t="str">
        <f aca="false">IF($D1105="","",IFERROR(INDEX('교육원 ④ 설정'!$A$6:$A$40,MATCH($D1105,'교육원 ④ 설정'!$B$6:$B$40,0)),"※없는 과목"))</f>
        <v/>
      </c>
      <c r="F1105" s="36" t="str">
        <f aca="false">IF($D1105="","",IFERROR(INDEX('교육원 ④ 설정'!$C$6:$C$40,MATCH($D1105,'교육원 ④ 설정'!$B$6:$B$40,0)),""))</f>
        <v/>
      </c>
      <c r="G1105" s="39"/>
      <c r="H1105" s="39"/>
      <c r="I1105" s="40"/>
      <c r="J1105" s="41"/>
      <c r="K1105" s="38"/>
      <c r="L1105" s="42" t="str">
        <f aca="false">IF($B1105="","",IF(AND(N($I1105)=0,N($J1105)=0),"금액이 없습니다",IF(AND($I1105&gt;0,$J1105&gt;0),"수입·지출 둘 다 적혔습니다",IF($C1105="","결제수단을 고르십시오",IF(ISNA(MATCH($C1105,'교육원 ③ 통장·카드'!$A$5:$A$11,0)),"③ 통장·카드에 없는 결제수단입니다",IF($D1105="","계정과목을 고르십시오",IF($E1105="※없는 과목","④ 설정에 없는 과목입니다",IF(AND($E1105="수입",$J1105&gt;0),"수입 과목인데 지출에 적혔습니다",IF(AND(LEFT($E1105,2)&lt;&gt;"수입",$E1105&lt;&gt;"대체",$I1105&gt;0),"지출 과목인데 수입에 적혔습니다",IF($K1105="","증빙을 고르십시오",IF($H1105="","적요를 적으십시오","")))))))))))</f>
        <v/>
      </c>
      <c r="M1105" s="39"/>
      <c r="O1105" s="11" t="str">
        <f aca="false">IF($B1105="","",YEAR($B1105)*100+MONTH($B1105))</f>
        <v/>
      </c>
      <c r="P1105" s="11" t="str">
        <f aca="false">IF($B1105="","",IF($E1105="대체",0,1))</f>
        <v/>
      </c>
    </row>
    <row r="1106" customFormat="false" ht="15" hidden="false" customHeight="false" outlineLevel="0" collapsed="false">
      <c r="A1106" s="36" t="str">
        <f aca="false">IF($B1106="","",COUNT($B$15:$B1106))</f>
        <v/>
      </c>
      <c r="B1106" s="37"/>
      <c r="C1106" s="38"/>
      <c r="D1106" s="20"/>
      <c r="E1106" s="36" t="str">
        <f aca="false">IF($D1106="","",IFERROR(INDEX('교육원 ④ 설정'!$A$6:$A$40,MATCH($D1106,'교육원 ④ 설정'!$B$6:$B$40,0)),"※없는 과목"))</f>
        <v/>
      </c>
      <c r="F1106" s="36" t="str">
        <f aca="false">IF($D1106="","",IFERROR(INDEX('교육원 ④ 설정'!$C$6:$C$40,MATCH($D1106,'교육원 ④ 설정'!$B$6:$B$40,0)),""))</f>
        <v/>
      </c>
      <c r="G1106" s="39"/>
      <c r="H1106" s="39"/>
      <c r="I1106" s="40"/>
      <c r="J1106" s="41"/>
      <c r="K1106" s="38"/>
      <c r="L1106" s="42" t="str">
        <f aca="false">IF($B1106="","",IF(AND(N($I1106)=0,N($J1106)=0),"금액이 없습니다",IF(AND($I1106&gt;0,$J1106&gt;0),"수입·지출 둘 다 적혔습니다",IF($C1106="","결제수단을 고르십시오",IF(ISNA(MATCH($C1106,'교육원 ③ 통장·카드'!$A$5:$A$11,0)),"③ 통장·카드에 없는 결제수단입니다",IF($D1106="","계정과목을 고르십시오",IF($E1106="※없는 과목","④ 설정에 없는 과목입니다",IF(AND($E1106="수입",$J1106&gt;0),"수입 과목인데 지출에 적혔습니다",IF(AND(LEFT($E1106,2)&lt;&gt;"수입",$E1106&lt;&gt;"대체",$I1106&gt;0),"지출 과목인데 수입에 적혔습니다",IF($K1106="","증빙을 고르십시오",IF($H1106="","적요를 적으십시오","")))))))))))</f>
        <v/>
      </c>
      <c r="M1106" s="39"/>
      <c r="O1106" s="11" t="str">
        <f aca="false">IF($B1106="","",YEAR($B1106)*100+MONTH($B1106))</f>
        <v/>
      </c>
      <c r="P1106" s="11" t="str">
        <f aca="false">IF($B1106="","",IF($E1106="대체",0,1))</f>
        <v/>
      </c>
    </row>
    <row r="1107" customFormat="false" ht="15" hidden="false" customHeight="false" outlineLevel="0" collapsed="false">
      <c r="A1107" s="36" t="str">
        <f aca="false">IF($B1107="","",COUNT($B$15:$B1107))</f>
        <v/>
      </c>
      <c r="B1107" s="37"/>
      <c r="C1107" s="38"/>
      <c r="D1107" s="20"/>
      <c r="E1107" s="36" t="str">
        <f aca="false">IF($D1107="","",IFERROR(INDEX('교육원 ④ 설정'!$A$6:$A$40,MATCH($D1107,'교육원 ④ 설정'!$B$6:$B$40,0)),"※없는 과목"))</f>
        <v/>
      </c>
      <c r="F1107" s="36" t="str">
        <f aca="false">IF($D1107="","",IFERROR(INDEX('교육원 ④ 설정'!$C$6:$C$40,MATCH($D1107,'교육원 ④ 설정'!$B$6:$B$40,0)),""))</f>
        <v/>
      </c>
      <c r="G1107" s="39"/>
      <c r="H1107" s="39"/>
      <c r="I1107" s="40"/>
      <c r="J1107" s="41"/>
      <c r="K1107" s="38"/>
      <c r="L1107" s="42" t="str">
        <f aca="false">IF($B1107="","",IF(AND(N($I1107)=0,N($J1107)=0),"금액이 없습니다",IF(AND($I1107&gt;0,$J1107&gt;0),"수입·지출 둘 다 적혔습니다",IF($C1107="","결제수단을 고르십시오",IF(ISNA(MATCH($C1107,'교육원 ③ 통장·카드'!$A$5:$A$11,0)),"③ 통장·카드에 없는 결제수단입니다",IF($D1107="","계정과목을 고르십시오",IF($E1107="※없는 과목","④ 설정에 없는 과목입니다",IF(AND($E1107="수입",$J1107&gt;0),"수입 과목인데 지출에 적혔습니다",IF(AND(LEFT($E1107,2)&lt;&gt;"수입",$E1107&lt;&gt;"대체",$I1107&gt;0),"지출 과목인데 수입에 적혔습니다",IF($K1107="","증빙을 고르십시오",IF($H1107="","적요를 적으십시오","")))))))))))</f>
        <v/>
      </c>
      <c r="M1107" s="39"/>
      <c r="O1107" s="11" t="str">
        <f aca="false">IF($B1107="","",YEAR($B1107)*100+MONTH($B1107))</f>
        <v/>
      </c>
      <c r="P1107" s="11" t="str">
        <f aca="false">IF($B1107="","",IF($E1107="대체",0,1))</f>
        <v/>
      </c>
    </row>
    <row r="1108" customFormat="false" ht="15" hidden="false" customHeight="false" outlineLevel="0" collapsed="false">
      <c r="A1108" s="36" t="str">
        <f aca="false">IF($B1108="","",COUNT($B$15:$B1108))</f>
        <v/>
      </c>
      <c r="B1108" s="37"/>
      <c r="C1108" s="38"/>
      <c r="D1108" s="20"/>
      <c r="E1108" s="36" t="str">
        <f aca="false">IF($D1108="","",IFERROR(INDEX('교육원 ④ 설정'!$A$6:$A$40,MATCH($D1108,'교육원 ④ 설정'!$B$6:$B$40,0)),"※없는 과목"))</f>
        <v/>
      </c>
      <c r="F1108" s="36" t="str">
        <f aca="false">IF($D1108="","",IFERROR(INDEX('교육원 ④ 설정'!$C$6:$C$40,MATCH($D1108,'교육원 ④ 설정'!$B$6:$B$40,0)),""))</f>
        <v/>
      </c>
      <c r="G1108" s="39"/>
      <c r="H1108" s="39"/>
      <c r="I1108" s="40"/>
      <c r="J1108" s="41"/>
      <c r="K1108" s="38"/>
      <c r="L1108" s="42" t="str">
        <f aca="false">IF($B1108="","",IF(AND(N($I1108)=0,N($J1108)=0),"금액이 없습니다",IF(AND($I1108&gt;0,$J1108&gt;0),"수입·지출 둘 다 적혔습니다",IF($C1108="","결제수단을 고르십시오",IF(ISNA(MATCH($C1108,'교육원 ③ 통장·카드'!$A$5:$A$11,0)),"③ 통장·카드에 없는 결제수단입니다",IF($D1108="","계정과목을 고르십시오",IF($E1108="※없는 과목","④ 설정에 없는 과목입니다",IF(AND($E1108="수입",$J1108&gt;0),"수입 과목인데 지출에 적혔습니다",IF(AND(LEFT($E1108,2)&lt;&gt;"수입",$E1108&lt;&gt;"대체",$I1108&gt;0),"지출 과목인데 수입에 적혔습니다",IF($K1108="","증빙을 고르십시오",IF($H1108="","적요를 적으십시오","")))))))))))</f>
        <v/>
      </c>
      <c r="M1108" s="39"/>
      <c r="O1108" s="11" t="str">
        <f aca="false">IF($B1108="","",YEAR($B1108)*100+MONTH($B1108))</f>
        <v/>
      </c>
      <c r="P1108" s="11" t="str">
        <f aca="false">IF($B1108="","",IF($E1108="대체",0,1))</f>
        <v/>
      </c>
    </row>
    <row r="1109" customFormat="false" ht="15" hidden="false" customHeight="false" outlineLevel="0" collapsed="false">
      <c r="A1109" s="36" t="str">
        <f aca="false">IF($B1109="","",COUNT($B$15:$B1109))</f>
        <v/>
      </c>
      <c r="B1109" s="37"/>
      <c r="C1109" s="38"/>
      <c r="D1109" s="20"/>
      <c r="E1109" s="36" t="str">
        <f aca="false">IF($D1109="","",IFERROR(INDEX('교육원 ④ 설정'!$A$6:$A$40,MATCH($D1109,'교육원 ④ 설정'!$B$6:$B$40,0)),"※없는 과목"))</f>
        <v/>
      </c>
      <c r="F1109" s="36" t="str">
        <f aca="false">IF($D1109="","",IFERROR(INDEX('교육원 ④ 설정'!$C$6:$C$40,MATCH($D1109,'교육원 ④ 설정'!$B$6:$B$40,0)),""))</f>
        <v/>
      </c>
      <c r="G1109" s="39"/>
      <c r="H1109" s="39"/>
      <c r="I1109" s="40"/>
      <c r="J1109" s="41"/>
      <c r="K1109" s="38"/>
      <c r="L1109" s="42" t="str">
        <f aca="false">IF($B1109="","",IF(AND(N($I1109)=0,N($J1109)=0),"금액이 없습니다",IF(AND($I1109&gt;0,$J1109&gt;0),"수입·지출 둘 다 적혔습니다",IF($C1109="","결제수단을 고르십시오",IF(ISNA(MATCH($C1109,'교육원 ③ 통장·카드'!$A$5:$A$11,0)),"③ 통장·카드에 없는 결제수단입니다",IF($D1109="","계정과목을 고르십시오",IF($E1109="※없는 과목","④ 설정에 없는 과목입니다",IF(AND($E1109="수입",$J1109&gt;0),"수입 과목인데 지출에 적혔습니다",IF(AND(LEFT($E1109,2)&lt;&gt;"수입",$E1109&lt;&gt;"대체",$I1109&gt;0),"지출 과목인데 수입에 적혔습니다",IF($K1109="","증빙을 고르십시오",IF($H1109="","적요를 적으십시오","")))))))))))</f>
        <v/>
      </c>
      <c r="M1109" s="39"/>
      <c r="O1109" s="11" t="str">
        <f aca="false">IF($B1109="","",YEAR($B1109)*100+MONTH($B1109))</f>
        <v/>
      </c>
      <c r="P1109" s="11" t="str">
        <f aca="false">IF($B1109="","",IF($E1109="대체",0,1))</f>
        <v/>
      </c>
    </row>
    <row r="1110" customFormat="false" ht="15" hidden="false" customHeight="false" outlineLevel="0" collapsed="false">
      <c r="A1110" s="36" t="str">
        <f aca="false">IF($B1110="","",COUNT($B$15:$B1110))</f>
        <v/>
      </c>
      <c r="B1110" s="37"/>
      <c r="C1110" s="38"/>
      <c r="D1110" s="20"/>
      <c r="E1110" s="36" t="str">
        <f aca="false">IF($D1110="","",IFERROR(INDEX('교육원 ④ 설정'!$A$6:$A$40,MATCH($D1110,'교육원 ④ 설정'!$B$6:$B$40,0)),"※없는 과목"))</f>
        <v/>
      </c>
      <c r="F1110" s="36" t="str">
        <f aca="false">IF($D1110="","",IFERROR(INDEX('교육원 ④ 설정'!$C$6:$C$40,MATCH($D1110,'교육원 ④ 설정'!$B$6:$B$40,0)),""))</f>
        <v/>
      </c>
      <c r="G1110" s="39"/>
      <c r="H1110" s="39"/>
      <c r="I1110" s="40"/>
      <c r="J1110" s="41"/>
      <c r="K1110" s="38"/>
      <c r="L1110" s="42" t="str">
        <f aca="false">IF($B1110="","",IF(AND(N($I1110)=0,N($J1110)=0),"금액이 없습니다",IF(AND($I1110&gt;0,$J1110&gt;0),"수입·지출 둘 다 적혔습니다",IF($C1110="","결제수단을 고르십시오",IF(ISNA(MATCH($C1110,'교육원 ③ 통장·카드'!$A$5:$A$11,0)),"③ 통장·카드에 없는 결제수단입니다",IF($D1110="","계정과목을 고르십시오",IF($E1110="※없는 과목","④ 설정에 없는 과목입니다",IF(AND($E1110="수입",$J1110&gt;0),"수입 과목인데 지출에 적혔습니다",IF(AND(LEFT($E1110,2)&lt;&gt;"수입",$E1110&lt;&gt;"대체",$I1110&gt;0),"지출 과목인데 수입에 적혔습니다",IF($K1110="","증빙을 고르십시오",IF($H1110="","적요를 적으십시오","")))))))))))</f>
        <v/>
      </c>
      <c r="M1110" s="39"/>
      <c r="O1110" s="11" t="str">
        <f aca="false">IF($B1110="","",YEAR($B1110)*100+MONTH($B1110))</f>
        <v/>
      </c>
      <c r="P1110" s="11" t="str">
        <f aca="false">IF($B1110="","",IF($E1110="대체",0,1))</f>
        <v/>
      </c>
    </row>
    <row r="1111" customFormat="false" ht="15" hidden="false" customHeight="false" outlineLevel="0" collapsed="false">
      <c r="A1111" s="36" t="str">
        <f aca="false">IF($B1111="","",COUNT($B$15:$B1111))</f>
        <v/>
      </c>
      <c r="B1111" s="37"/>
      <c r="C1111" s="38"/>
      <c r="D1111" s="20"/>
      <c r="E1111" s="36" t="str">
        <f aca="false">IF($D1111="","",IFERROR(INDEX('교육원 ④ 설정'!$A$6:$A$40,MATCH($D1111,'교육원 ④ 설정'!$B$6:$B$40,0)),"※없는 과목"))</f>
        <v/>
      </c>
      <c r="F1111" s="36" t="str">
        <f aca="false">IF($D1111="","",IFERROR(INDEX('교육원 ④ 설정'!$C$6:$C$40,MATCH($D1111,'교육원 ④ 설정'!$B$6:$B$40,0)),""))</f>
        <v/>
      </c>
      <c r="G1111" s="39"/>
      <c r="H1111" s="39"/>
      <c r="I1111" s="40"/>
      <c r="J1111" s="41"/>
      <c r="K1111" s="38"/>
      <c r="L1111" s="42" t="str">
        <f aca="false">IF($B1111="","",IF(AND(N($I1111)=0,N($J1111)=0),"금액이 없습니다",IF(AND($I1111&gt;0,$J1111&gt;0),"수입·지출 둘 다 적혔습니다",IF($C1111="","결제수단을 고르십시오",IF(ISNA(MATCH($C1111,'교육원 ③ 통장·카드'!$A$5:$A$11,0)),"③ 통장·카드에 없는 결제수단입니다",IF($D1111="","계정과목을 고르십시오",IF($E1111="※없는 과목","④ 설정에 없는 과목입니다",IF(AND($E1111="수입",$J1111&gt;0),"수입 과목인데 지출에 적혔습니다",IF(AND(LEFT($E1111,2)&lt;&gt;"수입",$E1111&lt;&gt;"대체",$I1111&gt;0),"지출 과목인데 수입에 적혔습니다",IF($K1111="","증빙을 고르십시오",IF($H1111="","적요를 적으십시오","")))))))))))</f>
        <v/>
      </c>
      <c r="M1111" s="39"/>
      <c r="O1111" s="11" t="str">
        <f aca="false">IF($B1111="","",YEAR($B1111)*100+MONTH($B1111))</f>
        <v/>
      </c>
      <c r="P1111" s="11" t="str">
        <f aca="false">IF($B1111="","",IF($E1111="대체",0,1))</f>
        <v/>
      </c>
    </row>
    <row r="1112" customFormat="false" ht="15" hidden="false" customHeight="false" outlineLevel="0" collapsed="false">
      <c r="A1112" s="36" t="str">
        <f aca="false">IF($B1112="","",COUNT($B$15:$B1112))</f>
        <v/>
      </c>
      <c r="B1112" s="37"/>
      <c r="C1112" s="38"/>
      <c r="D1112" s="20"/>
      <c r="E1112" s="36" t="str">
        <f aca="false">IF($D1112="","",IFERROR(INDEX('교육원 ④ 설정'!$A$6:$A$40,MATCH($D1112,'교육원 ④ 설정'!$B$6:$B$40,0)),"※없는 과목"))</f>
        <v/>
      </c>
      <c r="F1112" s="36" t="str">
        <f aca="false">IF($D1112="","",IFERROR(INDEX('교육원 ④ 설정'!$C$6:$C$40,MATCH($D1112,'교육원 ④ 설정'!$B$6:$B$40,0)),""))</f>
        <v/>
      </c>
      <c r="G1112" s="39"/>
      <c r="H1112" s="39"/>
      <c r="I1112" s="40"/>
      <c r="J1112" s="41"/>
      <c r="K1112" s="38"/>
      <c r="L1112" s="42" t="str">
        <f aca="false">IF($B1112="","",IF(AND(N($I1112)=0,N($J1112)=0),"금액이 없습니다",IF(AND($I1112&gt;0,$J1112&gt;0),"수입·지출 둘 다 적혔습니다",IF($C1112="","결제수단을 고르십시오",IF(ISNA(MATCH($C1112,'교육원 ③ 통장·카드'!$A$5:$A$11,0)),"③ 통장·카드에 없는 결제수단입니다",IF($D1112="","계정과목을 고르십시오",IF($E1112="※없는 과목","④ 설정에 없는 과목입니다",IF(AND($E1112="수입",$J1112&gt;0),"수입 과목인데 지출에 적혔습니다",IF(AND(LEFT($E1112,2)&lt;&gt;"수입",$E1112&lt;&gt;"대체",$I1112&gt;0),"지출 과목인데 수입에 적혔습니다",IF($K1112="","증빙을 고르십시오",IF($H1112="","적요를 적으십시오","")))))))))))</f>
        <v/>
      </c>
      <c r="M1112" s="39"/>
      <c r="O1112" s="11" t="str">
        <f aca="false">IF($B1112="","",YEAR($B1112)*100+MONTH($B1112))</f>
        <v/>
      </c>
      <c r="P1112" s="11" t="str">
        <f aca="false">IF($B1112="","",IF($E1112="대체",0,1))</f>
        <v/>
      </c>
    </row>
    <row r="1113" customFormat="false" ht="15" hidden="false" customHeight="false" outlineLevel="0" collapsed="false">
      <c r="A1113" s="36" t="str">
        <f aca="false">IF($B1113="","",COUNT($B$15:$B1113))</f>
        <v/>
      </c>
      <c r="B1113" s="37"/>
      <c r="C1113" s="38"/>
      <c r="D1113" s="20"/>
      <c r="E1113" s="36" t="str">
        <f aca="false">IF($D1113="","",IFERROR(INDEX('교육원 ④ 설정'!$A$6:$A$40,MATCH($D1113,'교육원 ④ 설정'!$B$6:$B$40,0)),"※없는 과목"))</f>
        <v/>
      </c>
      <c r="F1113" s="36" t="str">
        <f aca="false">IF($D1113="","",IFERROR(INDEX('교육원 ④ 설정'!$C$6:$C$40,MATCH($D1113,'교육원 ④ 설정'!$B$6:$B$40,0)),""))</f>
        <v/>
      </c>
      <c r="G1113" s="39"/>
      <c r="H1113" s="39"/>
      <c r="I1113" s="40"/>
      <c r="J1113" s="41"/>
      <c r="K1113" s="38"/>
      <c r="L1113" s="42" t="str">
        <f aca="false">IF($B1113="","",IF(AND(N($I1113)=0,N($J1113)=0),"금액이 없습니다",IF(AND($I1113&gt;0,$J1113&gt;0),"수입·지출 둘 다 적혔습니다",IF($C1113="","결제수단을 고르십시오",IF(ISNA(MATCH($C1113,'교육원 ③ 통장·카드'!$A$5:$A$11,0)),"③ 통장·카드에 없는 결제수단입니다",IF($D1113="","계정과목을 고르십시오",IF($E1113="※없는 과목","④ 설정에 없는 과목입니다",IF(AND($E1113="수입",$J1113&gt;0),"수입 과목인데 지출에 적혔습니다",IF(AND(LEFT($E1113,2)&lt;&gt;"수입",$E1113&lt;&gt;"대체",$I1113&gt;0),"지출 과목인데 수입에 적혔습니다",IF($K1113="","증빙을 고르십시오",IF($H1113="","적요를 적으십시오","")))))))))))</f>
        <v/>
      </c>
      <c r="M1113" s="39"/>
      <c r="O1113" s="11" t="str">
        <f aca="false">IF($B1113="","",YEAR($B1113)*100+MONTH($B1113))</f>
        <v/>
      </c>
      <c r="P1113" s="11" t="str">
        <f aca="false">IF($B1113="","",IF($E1113="대체",0,1))</f>
        <v/>
      </c>
    </row>
    <row r="1114" customFormat="false" ht="15" hidden="false" customHeight="false" outlineLevel="0" collapsed="false">
      <c r="A1114" s="36" t="str">
        <f aca="false">IF($B1114="","",COUNT($B$15:$B1114))</f>
        <v/>
      </c>
      <c r="B1114" s="37"/>
      <c r="C1114" s="38"/>
      <c r="D1114" s="20"/>
      <c r="E1114" s="36" t="str">
        <f aca="false">IF($D1114="","",IFERROR(INDEX('교육원 ④ 설정'!$A$6:$A$40,MATCH($D1114,'교육원 ④ 설정'!$B$6:$B$40,0)),"※없는 과목"))</f>
        <v/>
      </c>
      <c r="F1114" s="36" t="str">
        <f aca="false">IF($D1114="","",IFERROR(INDEX('교육원 ④ 설정'!$C$6:$C$40,MATCH($D1114,'교육원 ④ 설정'!$B$6:$B$40,0)),""))</f>
        <v/>
      </c>
      <c r="G1114" s="39"/>
      <c r="H1114" s="39"/>
      <c r="I1114" s="40"/>
      <c r="J1114" s="41"/>
      <c r="K1114" s="38"/>
      <c r="L1114" s="42" t="str">
        <f aca="false">IF($B1114="","",IF(AND(N($I1114)=0,N($J1114)=0),"금액이 없습니다",IF(AND($I1114&gt;0,$J1114&gt;0),"수입·지출 둘 다 적혔습니다",IF($C1114="","결제수단을 고르십시오",IF(ISNA(MATCH($C1114,'교육원 ③ 통장·카드'!$A$5:$A$11,0)),"③ 통장·카드에 없는 결제수단입니다",IF($D1114="","계정과목을 고르십시오",IF($E1114="※없는 과목","④ 설정에 없는 과목입니다",IF(AND($E1114="수입",$J1114&gt;0),"수입 과목인데 지출에 적혔습니다",IF(AND(LEFT($E1114,2)&lt;&gt;"수입",$E1114&lt;&gt;"대체",$I1114&gt;0),"지출 과목인데 수입에 적혔습니다",IF($K1114="","증빙을 고르십시오",IF($H1114="","적요를 적으십시오","")))))))))))</f>
        <v/>
      </c>
      <c r="M1114" s="39"/>
      <c r="O1114" s="11" t="str">
        <f aca="false">IF($B1114="","",YEAR($B1114)*100+MONTH($B1114))</f>
        <v/>
      </c>
      <c r="P1114" s="11" t="str">
        <f aca="false">IF($B1114="","",IF($E1114="대체",0,1))</f>
        <v/>
      </c>
    </row>
    <row r="1115" customFormat="false" ht="15" hidden="false" customHeight="false" outlineLevel="0" collapsed="false">
      <c r="A1115" s="36" t="str">
        <f aca="false">IF($B1115="","",COUNT($B$15:$B1115))</f>
        <v/>
      </c>
      <c r="B1115" s="37"/>
      <c r="C1115" s="38"/>
      <c r="D1115" s="20"/>
      <c r="E1115" s="36" t="str">
        <f aca="false">IF($D1115="","",IFERROR(INDEX('교육원 ④ 설정'!$A$6:$A$40,MATCH($D1115,'교육원 ④ 설정'!$B$6:$B$40,0)),"※없는 과목"))</f>
        <v/>
      </c>
      <c r="F1115" s="36" t="str">
        <f aca="false">IF($D1115="","",IFERROR(INDEX('교육원 ④ 설정'!$C$6:$C$40,MATCH($D1115,'교육원 ④ 설정'!$B$6:$B$40,0)),""))</f>
        <v/>
      </c>
      <c r="G1115" s="39"/>
      <c r="H1115" s="39"/>
      <c r="I1115" s="40"/>
      <c r="J1115" s="41"/>
      <c r="K1115" s="38"/>
      <c r="L1115" s="42" t="str">
        <f aca="false">IF($B1115="","",IF(AND(N($I1115)=0,N($J1115)=0),"금액이 없습니다",IF(AND($I1115&gt;0,$J1115&gt;0),"수입·지출 둘 다 적혔습니다",IF($C1115="","결제수단을 고르십시오",IF(ISNA(MATCH($C1115,'교육원 ③ 통장·카드'!$A$5:$A$11,0)),"③ 통장·카드에 없는 결제수단입니다",IF($D1115="","계정과목을 고르십시오",IF($E1115="※없는 과목","④ 설정에 없는 과목입니다",IF(AND($E1115="수입",$J1115&gt;0),"수입 과목인데 지출에 적혔습니다",IF(AND(LEFT($E1115,2)&lt;&gt;"수입",$E1115&lt;&gt;"대체",$I1115&gt;0),"지출 과목인데 수입에 적혔습니다",IF($K1115="","증빙을 고르십시오",IF($H1115="","적요를 적으십시오","")))))))))))</f>
        <v/>
      </c>
      <c r="M1115" s="39"/>
      <c r="O1115" s="11" t="str">
        <f aca="false">IF($B1115="","",YEAR($B1115)*100+MONTH($B1115))</f>
        <v/>
      </c>
      <c r="P1115" s="11" t="str">
        <f aca="false">IF($B1115="","",IF($E1115="대체",0,1))</f>
        <v/>
      </c>
    </row>
    <row r="1116" customFormat="false" ht="15" hidden="false" customHeight="false" outlineLevel="0" collapsed="false">
      <c r="A1116" s="36" t="str">
        <f aca="false">IF($B1116="","",COUNT($B$15:$B1116))</f>
        <v/>
      </c>
      <c r="B1116" s="37"/>
      <c r="C1116" s="38"/>
      <c r="D1116" s="20"/>
      <c r="E1116" s="36" t="str">
        <f aca="false">IF($D1116="","",IFERROR(INDEX('교육원 ④ 설정'!$A$6:$A$40,MATCH($D1116,'교육원 ④ 설정'!$B$6:$B$40,0)),"※없는 과목"))</f>
        <v/>
      </c>
      <c r="F1116" s="36" t="str">
        <f aca="false">IF($D1116="","",IFERROR(INDEX('교육원 ④ 설정'!$C$6:$C$40,MATCH($D1116,'교육원 ④ 설정'!$B$6:$B$40,0)),""))</f>
        <v/>
      </c>
      <c r="G1116" s="39"/>
      <c r="H1116" s="39"/>
      <c r="I1116" s="40"/>
      <c r="J1116" s="41"/>
      <c r="K1116" s="38"/>
      <c r="L1116" s="42" t="str">
        <f aca="false">IF($B1116="","",IF(AND(N($I1116)=0,N($J1116)=0),"금액이 없습니다",IF(AND($I1116&gt;0,$J1116&gt;0),"수입·지출 둘 다 적혔습니다",IF($C1116="","결제수단을 고르십시오",IF(ISNA(MATCH($C1116,'교육원 ③ 통장·카드'!$A$5:$A$11,0)),"③ 통장·카드에 없는 결제수단입니다",IF($D1116="","계정과목을 고르십시오",IF($E1116="※없는 과목","④ 설정에 없는 과목입니다",IF(AND($E1116="수입",$J1116&gt;0),"수입 과목인데 지출에 적혔습니다",IF(AND(LEFT($E1116,2)&lt;&gt;"수입",$E1116&lt;&gt;"대체",$I1116&gt;0),"지출 과목인데 수입에 적혔습니다",IF($K1116="","증빙을 고르십시오",IF($H1116="","적요를 적으십시오","")))))))))))</f>
        <v/>
      </c>
      <c r="M1116" s="39"/>
      <c r="O1116" s="11" t="str">
        <f aca="false">IF($B1116="","",YEAR($B1116)*100+MONTH($B1116))</f>
        <v/>
      </c>
      <c r="P1116" s="11" t="str">
        <f aca="false">IF($B1116="","",IF($E1116="대체",0,1))</f>
        <v/>
      </c>
    </row>
    <row r="1117" customFormat="false" ht="15" hidden="false" customHeight="false" outlineLevel="0" collapsed="false">
      <c r="A1117" s="36" t="str">
        <f aca="false">IF($B1117="","",COUNT($B$15:$B1117))</f>
        <v/>
      </c>
      <c r="B1117" s="37"/>
      <c r="C1117" s="38"/>
      <c r="D1117" s="20"/>
      <c r="E1117" s="36" t="str">
        <f aca="false">IF($D1117="","",IFERROR(INDEX('교육원 ④ 설정'!$A$6:$A$40,MATCH($D1117,'교육원 ④ 설정'!$B$6:$B$40,0)),"※없는 과목"))</f>
        <v/>
      </c>
      <c r="F1117" s="36" t="str">
        <f aca="false">IF($D1117="","",IFERROR(INDEX('교육원 ④ 설정'!$C$6:$C$40,MATCH($D1117,'교육원 ④ 설정'!$B$6:$B$40,0)),""))</f>
        <v/>
      </c>
      <c r="G1117" s="39"/>
      <c r="H1117" s="39"/>
      <c r="I1117" s="40"/>
      <c r="J1117" s="41"/>
      <c r="K1117" s="38"/>
      <c r="L1117" s="42" t="str">
        <f aca="false">IF($B1117="","",IF(AND(N($I1117)=0,N($J1117)=0),"금액이 없습니다",IF(AND($I1117&gt;0,$J1117&gt;0),"수입·지출 둘 다 적혔습니다",IF($C1117="","결제수단을 고르십시오",IF(ISNA(MATCH($C1117,'교육원 ③ 통장·카드'!$A$5:$A$11,0)),"③ 통장·카드에 없는 결제수단입니다",IF($D1117="","계정과목을 고르십시오",IF($E1117="※없는 과목","④ 설정에 없는 과목입니다",IF(AND($E1117="수입",$J1117&gt;0),"수입 과목인데 지출에 적혔습니다",IF(AND(LEFT($E1117,2)&lt;&gt;"수입",$E1117&lt;&gt;"대체",$I1117&gt;0),"지출 과목인데 수입에 적혔습니다",IF($K1117="","증빙을 고르십시오",IF($H1117="","적요를 적으십시오","")))))))))))</f>
        <v/>
      </c>
      <c r="M1117" s="39"/>
      <c r="O1117" s="11" t="str">
        <f aca="false">IF($B1117="","",YEAR($B1117)*100+MONTH($B1117))</f>
        <v/>
      </c>
      <c r="P1117" s="11" t="str">
        <f aca="false">IF($B1117="","",IF($E1117="대체",0,1))</f>
        <v/>
      </c>
    </row>
    <row r="1118" customFormat="false" ht="15" hidden="false" customHeight="false" outlineLevel="0" collapsed="false">
      <c r="A1118" s="36" t="str">
        <f aca="false">IF($B1118="","",COUNT($B$15:$B1118))</f>
        <v/>
      </c>
      <c r="B1118" s="37"/>
      <c r="C1118" s="38"/>
      <c r="D1118" s="20"/>
      <c r="E1118" s="36" t="str">
        <f aca="false">IF($D1118="","",IFERROR(INDEX('교육원 ④ 설정'!$A$6:$A$40,MATCH($D1118,'교육원 ④ 설정'!$B$6:$B$40,0)),"※없는 과목"))</f>
        <v/>
      </c>
      <c r="F1118" s="36" t="str">
        <f aca="false">IF($D1118="","",IFERROR(INDEX('교육원 ④ 설정'!$C$6:$C$40,MATCH($D1118,'교육원 ④ 설정'!$B$6:$B$40,0)),""))</f>
        <v/>
      </c>
      <c r="G1118" s="39"/>
      <c r="H1118" s="39"/>
      <c r="I1118" s="40"/>
      <c r="J1118" s="41"/>
      <c r="K1118" s="38"/>
      <c r="L1118" s="42" t="str">
        <f aca="false">IF($B1118="","",IF(AND(N($I1118)=0,N($J1118)=0),"금액이 없습니다",IF(AND($I1118&gt;0,$J1118&gt;0),"수입·지출 둘 다 적혔습니다",IF($C1118="","결제수단을 고르십시오",IF(ISNA(MATCH($C1118,'교육원 ③ 통장·카드'!$A$5:$A$11,0)),"③ 통장·카드에 없는 결제수단입니다",IF($D1118="","계정과목을 고르십시오",IF($E1118="※없는 과목","④ 설정에 없는 과목입니다",IF(AND($E1118="수입",$J1118&gt;0),"수입 과목인데 지출에 적혔습니다",IF(AND(LEFT($E1118,2)&lt;&gt;"수입",$E1118&lt;&gt;"대체",$I1118&gt;0),"지출 과목인데 수입에 적혔습니다",IF($K1118="","증빙을 고르십시오",IF($H1118="","적요를 적으십시오","")))))))))))</f>
        <v/>
      </c>
      <c r="M1118" s="39"/>
      <c r="O1118" s="11" t="str">
        <f aca="false">IF($B1118="","",YEAR($B1118)*100+MONTH($B1118))</f>
        <v/>
      </c>
      <c r="P1118" s="11" t="str">
        <f aca="false">IF($B1118="","",IF($E1118="대체",0,1))</f>
        <v/>
      </c>
    </row>
    <row r="1119" customFormat="false" ht="15" hidden="false" customHeight="false" outlineLevel="0" collapsed="false">
      <c r="A1119" s="36" t="str">
        <f aca="false">IF($B1119="","",COUNT($B$15:$B1119))</f>
        <v/>
      </c>
      <c r="B1119" s="37"/>
      <c r="C1119" s="38"/>
      <c r="D1119" s="20"/>
      <c r="E1119" s="36" t="str">
        <f aca="false">IF($D1119="","",IFERROR(INDEX('교육원 ④ 설정'!$A$6:$A$40,MATCH($D1119,'교육원 ④ 설정'!$B$6:$B$40,0)),"※없는 과목"))</f>
        <v/>
      </c>
      <c r="F1119" s="36" t="str">
        <f aca="false">IF($D1119="","",IFERROR(INDEX('교육원 ④ 설정'!$C$6:$C$40,MATCH($D1119,'교육원 ④ 설정'!$B$6:$B$40,0)),""))</f>
        <v/>
      </c>
      <c r="G1119" s="39"/>
      <c r="H1119" s="39"/>
      <c r="I1119" s="40"/>
      <c r="J1119" s="41"/>
      <c r="K1119" s="38"/>
      <c r="L1119" s="42" t="str">
        <f aca="false">IF($B1119="","",IF(AND(N($I1119)=0,N($J1119)=0),"금액이 없습니다",IF(AND($I1119&gt;0,$J1119&gt;0),"수입·지출 둘 다 적혔습니다",IF($C1119="","결제수단을 고르십시오",IF(ISNA(MATCH($C1119,'교육원 ③ 통장·카드'!$A$5:$A$11,0)),"③ 통장·카드에 없는 결제수단입니다",IF($D1119="","계정과목을 고르십시오",IF($E1119="※없는 과목","④ 설정에 없는 과목입니다",IF(AND($E1119="수입",$J1119&gt;0),"수입 과목인데 지출에 적혔습니다",IF(AND(LEFT($E1119,2)&lt;&gt;"수입",$E1119&lt;&gt;"대체",$I1119&gt;0),"지출 과목인데 수입에 적혔습니다",IF($K1119="","증빙을 고르십시오",IF($H1119="","적요를 적으십시오","")))))))))))</f>
        <v/>
      </c>
      <c r="M1119" s="39"/>
      <c r="O1119" s="11" t="str">
        <f aca="false">IF($B1119="","",YEAR($B1119)*100+MONTH($B1119))</f>
        <v/>
      </c>
      <c r="P1119" s="11" t="str">
        <f aca="false">IF($B1119="","",IF($E1119="대체",0,1))</f>
        <v/>
      </c>
    </row>
    <row r="1120" customFormat="false" ht="15" hidden="false" customHeight="false" outlineLevel="0" collapsed="false">
      <c r="A1120" s="36" t="str">
        <f aca="false">IF($B1120="","",COUNT($B$15:$B1120))</f>
        <v/>
      </c>
      <c r="B1120" s="37"/>
      <c r="C1120" s="38"/>
      <c r="D1120" s="20"/>
      <c r="E1120" s="36" t="str">
        <f aca="false">IF($D1120="","",IFERROR(INDEX('교육원 ④ 설정'!$A$6:$A$40,MATCH($D1120,'교육원 ④ 설정'!$B$6:$B$40,0)),"※없는 과목"))</f>
        <v/>
      </c>
      <c r="F1120" s="36" t="str">
        <f aca="false">IF($D1120="","",IFERROR(INDEX('교육원 ④ 설정'!$C$6:$C$40,MATCH($D1120,'교육원 ④ 설정'!$B$6:$B$40,0)),""))</f>
        <v/>
      </c>
      <c r="G1120" s="39"/>
      <c r="H1120" s="39"/>
      <c r="I1120" s="40"/>
      <c r="J1120" s="41"/>
      <c r="K1120" s="38"/>
      <c r="L1120" s="42" t="str">
        <f aca="false">IF($B1120="","",IF(AND(N($I1120)=0,N($J1120)=0),"금액이 없습니다",IF(AND($I1120&gt;0,$J1120&gt;0),"수입·지출 둘 다 적혔습니다",IF($C1120="","결제수단을 고르십시오",IF(ISNA(MATCH($C1120,'교육원 ③ 통장·카드'!$A$5:$A$11,0)),"③ 통장·카드에 없는 결제수단입니다",IF($D1120="","계정과목을 고르십시오",IF($E1120="※없는 과목","④ 설정에 없는 과목입니다",IF(AND($E1120="수입",$J1120&gt;0),"수입 과목인데 지출에 적혔습니다",IF(AND(LEFT($E1120,2)&lt;&gt;"수입",$E1120&lt;&gt;"대체",$I1120&gt;0),"지출 과목인데 수입에 적혔습니다",IF($K1120="","증빙을 고르십시오",IF($H1120="","적요를 적으십시오","")))))))))))</f>
        <v/>
      </c>
      <c r="M1120" s="39"/>
      <c r="O1120" s="11" t="str">
        <f aca="false">IF($B1120="","",YEAR($B1120)*100+MONTH($B1120))</f>
        <v/>
      </c>
      <c r="P1120" s="11" t="str">
        <f aca="false">IF($B1120="","",IF($E1120="대체",0,1))</f>
        <v/>
      </c>
    </row>
    <row r="1121" customFormat="false" ht="15" hidden="false" customHeight="false" outlineLevel="0" collapsed="false">
      <c r="A1121" s="36" t="str">
        <f aca="false">IF($B1121="","",COUNT($B$15:$B1121))</f>
        <v/>
      </c>
      <c r="B1121" s="37"/>
      <c r="C1121" s="38"/>
      <c r="D1121" s="20"/>
      <c r="E1121" s="36" t="str">
        <f aca="false">IF($D1121="","",IFERROR(INDEX('교육원 ④ 설정'!$A$6:$A$40,MATCH($D1121,'교육원 ④ 설정'!$B$6:$B$40,0)),"※없는 과목"))</f>
        <v/>
      </c>
      <c r="F1121" s="36" t="str">
        <f aca="false">IF($D1121="","",IFERROR(INDEX('교육원 ④ 설정'!$C$6:$C$40,MATCH($D1121,'교육원 ④ 설정'!$B$6:$B$40,0)),""))</f>
        <v/>
      </c>
      <c r="G1121" s="39"/>
      <c r="H1121" s="39"/>
      <c r="I1121" s="40"/>
      <c r="J1121" s="41"/>
      <c r="K1121" s="38"/>
      <c r="L1121" s="42" t="str">
        <f aca="false">IF($B1121="","",IF(AND(N($I1121)=0,N($J1121)=0),"금액이 없습니다",IF(AND($I1121&gt;0,$J1121&gt;0),"수입·지출 둘 다 적혔습니다",IF($C1121="","결제수단을 고르십시오",IF(ISNA(MATCH($C1121,'교육원 ③ 통장·카드'!$A$5:$A$11,0)),"③ 통장·카드에 없는 결제수단입니다",IF($D1121="","계정과목을 고르십시오",IF($E1121="※없는 과목","④ 설정에 없는 과목입니다",IF(AND($E1121="수입",$J1121&gt;0),"수입 과목인데 지출에 적혔습니다",IF(AND(LEFT($E1121,2)&lt;&gt;"수입",$E1121&lt;&gt;"대체",$I1121&gt;0),"지출 과목인데 수입에 적혔습니다",IF($K1121="","증빙을 고르십시오",IF($H1121="","적요를 적으십시오","")))))))))))</f>
        <v/>
      </c>
      <c r="M1121" s="39"/>
      <c r="O1121" s="11" t="str">
        <f aca="false">IF($B1121="","",YEAR($B1121)*100+MONTH($B1121))</f>
        <v/>
      </c>
      <c r="P1121" s="11" t="str">
        <f aca="false">IF($B1121="","",IF($E1121="대체",0,1))</f>
        <v/>
      </c>
    </row>
    <row r="1122" customFormat="false" ht="15" hidden="false" customHeight="false" outlineLevel="0" collapsed="false">
      <c r="A1122" s="36" t="str">
        <f aca="false">IF($B1122="","",COUNT($B$15:$B1122))</f>
        <v/>
      </c>
      <c r="B1122" s="37"/>
      <c r="C1122" s="38"/>
      <c r="D1122" s="20"/>
      <c r="E1122" s="36" t="str">
        <f aca="false">IF($D1122="","",IFERROR(INDEX('교육원 ④ 설정'!$A$6:$A$40,MATCH($D1122,'교육원 ④ 설정'!$B$6:$B$40,0)),"※없는 과목"))</f>
        <v/>
      </c>
      <c r="F1122" s="36" t="str">
        <f aca="false">IF($D1122="","",IFERROR(INDEX('교육원 ④ 설정'!$C$6:$C$40,MATCH($D1122,'교육원 ④ 설정'!$B$6:$B$40,0)),""))</f>
        <v/>
      </c>
      <c r="G1122" s="39"/>
      <c r="H1122" s="39"/>
      <c r="I1122" s="40"/>
      <c r="J1122" s="41"/>
      <c r="K1122" s="38"/>
      <c r="L1122" s="42" t="str">
        <f aca="false">IF($B1122="","",IF(AND(N($I1122)=0,N($J1122)=0),"금액이 없습니다",IF(AND($I1122&gt;0,$J1122&gt;0),"수입·지출 둘 다 적혔습니다",IF($C1122="","결제수단을 고르십시오",IF(ISNA(MATCH($C1122,'교육원 ③ 통장·카드'!$A$5:$A$11,0)),"③ 통장·카드에 없는 결제수단입니다",IF($D1122="","계정과목을 고르십시오",IF($E1122="※없는 과목","④ 설정에 없는 과목입니다",IF(AND($E1122="수입",$J1122&gt;0),"수입 과목인데 지출에 적혔습니다",IF(AND(LEFT($E1122,2)&lt;&gt;"수입",$E1122&lt;&gt;"대체",$I1122&gt;0),"지출 과목인데 수입에 적혔습니다",IF($K1122="","증빙을 고르십시오",IF($H1122="","적요를 적으십시오","")))))))))))</f>
        <v/>
      </c>
      <c r="M1122" s="39"/>
      <c r="O1122" s="11" t="str">
        <f aca="false">IF($B1122="","",YEAR($B1122)*100+MONTH($B1122))</f>
        <v/>
      </c>
      <c r="P1122" s="11" t="str">
        <f aca="false">IF($B1122="","",IF($E1122="대체",0,1))</f>
        <v/>
      </c>
    </row>
    <row r="1123" customFormat="false" ht="15" hidden="false" customHeight="false" outlineLevel="0" collapsed="false">
      <c r="A1123" s="36" t="str">
        <f aca="false">IF($B1123="","",COUNT($B$15:$B1123))</f>
        <v/>
      </c>
      <c r="B1123" s="37"/>
      <c r="C1123" s="38"/>
      <c r="D1123" s="20"/>
      <c r="E1123" s="36" t="str">
        <f aca="false">IF($D1123="","",IFERROR(INDEX('교육원 ④ 설정'!$A$6:$A$40,MATCH($D1123,'교육원 ④ 설정'!$B$6:$B$40,0)),"※없는 과목"))</f>
        <v/>
      </c>
      <c r="F1123" s="36" t="str">
        <f aca="false">IF($D1123="","",IFERROR(INDEX('교육원 ④ 설정'!$C$6:$C$40,MATCH($D1123,'교육원 ④ 설정'!$B$6:$B$40,0)),""))</f>
        <v/>
      </c>
      <c r="G1123" s="39"/>
      <c r="H1123" s="39"/>
      <c r="I1123" s="40"/>
      <c r="J1123" s="41"/>
      <c r="K1123" s="38"/>
      <c r="L1123" s="42" t="str">
        <f aca="false">IF($B1123="","",IF(AND(N($I1123)=0,N($J1123)=0),"금액이 없습니다",IF(AND($I1123&gt;0,$J1123&gt;0),"수입·지출 둘 다 적혔습니다",IF($C1123="","결제수단을 고르십시오",IF(ISNA(MATCH($C1123,'교육원 ③ 통장·카드'!$A$5:$A$11,0)),"③ 통장·카드에 없는 결제수단입니다",IF($D1123="","계정과목을 고르십시오",IF($E1123="※없는 과목","④ 설정에 없는 과목입니다",IF(AND($E1123="수입",$J1123&gt;0),"수입 과목인데 지출에 적혔습니다",IF(AND(LEFT($E1123,2)&lt;&gt;"수입",$E1123&lt;&gt;"대체",$I1123&gt;0),"지출 과목인데 수입에 적혔습니다",IF($K1123="","증빙을 고르십시오",IF($H1123="","적요를 적으십시오","")))))))))))</f>
        <v/>
      </c>
      <c r="M1123" s="39"/>
      <c r="O1123" s="11" t="str">
        <f aca="false">IF($B1123="","",YEAR($B1123)*100+MONTH($B1123))</f>
        <v/>
      </c>
      <c r="P1123" s="11" t="str">
        <f aca="false">IF($B1123="","",IF($E1123="대체",0,1))</f>
        <v/>
      </c>
    </row>
    <row r="1124" customFormat="false" ht="15" hidden="false" customHeight="false" outlineLevel="0" collapsed="false">
      <c r="A1124" s="36" t="str">
        <f aca="false">IF($B1124="","",COUNT($B$15:$B1124))</f>
        <v/>
      </c>
      <c r="B1124" s="37"/>
      <c r="C1124" s="38"/>
      <c r="D1124" s="20"/>
      <c r="E1124" s="36" t="str">
        <f aca="false">IF($D1124="","",IFERROR(INDEX('교육원 ④ 설정'!$A$6:$A$40,MATCH($D1124,'교육원 ④ 설정'!$B$6:$B$40,0)),"※없는 과목"))</f>
        <v/>
      </c>
      <c r="F1124" s="36" t="str">
        <f aca="false">IF($D1124="","",IFERROR(INDEX('교육원 ④ 설정'!$C$6:$C$40,MATCH($D1124,'교육원 ④ 설정'!$B$6:$B$40,0)),""))</f>
        <v/>
      </c>
      <c r="G1124" s="39"/>
      <c r="H1124" s="39"/>
      <c r="I1124" s="40"/>
      <c r="J1124" s="41"/>
      <c r="K1124" s="38"/>
      <c r="L1124" s="42" t="str">
        <f aca="false">IF($B1124="","",IF(AND(N($I1124)=0,N($J1124)=0),"금액이 없습니다",IF(AND($I1124&gt;0,$J1124&gt;0),"수입·지출 둘 다 적혔습니다",IF($C1124="","결제수단을 고르십시오",IF(ISNA(MATCH($C1124,'교육원 ③ 통장·카드'!$A$5:$A$11,0)),"③ 통장·카드에 없는 결제수단입니다",IF($D1124="","계정과목을 고르십시오",IF($E1124="※없는 과목","④ 설정에 없는 과목입니다",IF(AND($E1124="수입",$J1124&gt;0),"수입 과목인데 지출에 적혔습니다",IF(AND(LEFT($E1124,2)&lt;&gt;"수입",$E1124&lt;&gt;"대체",$I1124&gt;0),"지출 과목인데 수입에 적혔습니다",IF($K1124="","증빙을 고르십시오",IF($H1124="","적요를 적으십시오","")))))))))))</f>
        <v/>
      </c>
      <c r="M1124" s="39"/>
      <c r="O1124" s="11" t="str">
        <f aca="false">IF($B1124="","",YEAR($B1124)*100+MONTH($B1124))</f>
        <v/>
      </c>
      <c r="P1124" s="11" t="str">
        <f aca="false">IF($B1124="","",IF($E1124="대체",0,1))</f>
        <v/>
      </c>
    </row>
    <row r="1125" customFormat="false" ht="15" hidden="false" customHeight="false" outlineLevel="0" collapsed="false">
      <c r="A1125" s="36" t="str">
        <f aca="false">IF($B1125="","",COUNT($B$15:$B1125))</f>
        <v/>
      </c>
      <c r="B1125" s="37"/>
      <c r="C1125" s="38"/>
      <c r="D1125" s="20"/>
      <c r="E1125" s="36" t="str">
        <f aca="false">IF($D1125="","",IFERROR(INDEX('교육원 ④ 설정'!$A$6:$A$40,MATCH($D1125,'교육원 ④ 설정'!$B$6:$B$40,0)),"※없는 과목"))</f>
        <v/>
      </c>
      <c r="F1125" s="36" t="str">
        <f aca="false">IF($D1125="","",IFERROR(INDEX('교육원 ④ 설정'!$C$6:$C$40,MATCH($D1125,'교육원 ④ 설정'!$B$6:$B$40,0)),""))</f>
        <v/>
      </c>
      <c r="G1125" s="39"/>
      <c r="H1125" s="39"/>
      <c r="I1125" s="40"/>
      <c r="J1125" s="41"/>
      <c r="K1125" s="38"/>
      <c r="L1125" s="42" t="str">
        <f aca="false">IF($B1125="","",IF(AND(N($I1125)=0,N($J1125)=0),"금액이 없습니다",IF(AND($I1125&gt;0,$J1125&gt;0),"수입·지출 둘 다 적혔습니다",IF($C1125="","결제수단을 고르십시오",IF(ISNA(MATCH($C1125,'교육원 ③ 통장·카드'!$A$5:$A$11,0)),"③ 통장·카드에 없는 결제수단입니다",IF($D1125="","계정과목을 고르십시오",IF($E1125="※없는 과목","④ 설정에 없는 과목입니다",IF(AND($E1125="수입",$J1125&gt;0),"수입 과목인데 지출에 적혔습니다",IF(AND(LEFT($E1125,2)&lt;&gt;"수입",$E1125&lt;&gt;"대체",$I1125&gt;0),"지출 과목인데 수입에 적혔습니다",IF($K1125="","증빙을 고르십시오",IF($H1125="","적요를 적으십시오","")))))))))))</f>
        <v/>
      </c>
      <c r="M1125" s="39"/>
      <c r="O1125" s="11" t="str">
        <f aca="false">IF($B1125="","",YEAR($B1125)*100+MONTH($B1125))</f>
        <v/>
      </c>
      <c r="P1125" s="11" t="str">
        <f aca="false">IF($B1125="","",IF($E1125="대체",0,1))</f>
        <v/>
      </c>
    </row>
    <row r="1126" customFormat="false" ht="15" hidden="false" customHeight="false" outlineLevel="0" collapsed="false">
      <c r="A1126" s="36" t="str">
        <f aca="false">IF($B1126="","",COUNT($B$15:$B1126))</f>
        <v/>
      </c>
      <c r="B1126" s="37"/>
      <c r="C1126" s="38"/>
      <c r="D1126" s="20"/>
      <c r="E1126" s="36" t="str">
        <f aca="false">IF($D1126="","",IFERROR(INDEX('교육원 ④ 설정'!$A$6:$A$40,MATCH($D1126,'교육원 ④ 설정'!$B$6:$B$40,0)),"※없는 과목"))</f>
        <v/>
      </c>
      <c r="F1126" s="36" t="str">
        <f aca="false">IF($D1126="","",IFERROR(INDEX('교육원 ④ 설정'!$C$6:$C$40,MATCH($D1126,'교육원 ④ 설정'!$B$6:$B$40,0)),""))</f>
        <v/>
      </c>
      <c r="G1126" s="39"/>
      <c r="H1126" s="39"/>
      <c r="I1126" s="40"/>
      <c r="J1126" s="41"/>
      <c r="K1126" s="38"/>
      <c r="L1126" s="42" t="str">
        <f aca="false">IF($B1126="","",IF(AND(N($I1126)=0,N($J1126)=0),"금액이 없습니다",IF(AND($I1126&gt;0,$J1126&gt;0),"수입·지출 둘 다 적혔습니다",IF($C1126="","결제수단을 고르십시오",IF(ISNA(MATCH($C1126,'교육원 ③ 통장·카드'!$A$5:$A$11,0)),"③ 통장·카드에 없는 결제수단입니다",IF($D1126="","계정과목을 고르십시오",IF($E1126="※없는 과목","④ 설정에 없는 과목입니다",IF(AND($E1126="수입",$J1126&gt;0),"수입 과목인데 지출에 적혔습니다",IF(AND(LEFT($E1126,2)&lt;&gt;"수입",$E1126&lt;&gt;"대체",$I1126&gt;0),"지출 과목인데 수입에 적혔습니다",IF($K1126="","증빙을 고르십시오",IF($H1126="","적요를 적으십시오","")))))))))))</f>
        <v/>
      </c>
      <c r="M1126" s="39"/>
      <c r="O1126" s="11" t="str">
        <f aca="false">IF($B1126="","",YEAR($B1126)*100+MONTH($B1126))</f>
        <v/>
      </c>
      <c r="P1126" s="11" t="str">
        <f aca="false">IF($B1126="","",IF($E1126="대체",0,1))</f>
        <v/>
      </c>
    </row>
    <row r="1127" customFormat="false" ht="15" hidden="false" customHeight="false" outlineLevel="0" collapsed="false">
      <c r="A1127" s="36" t="str">
        <f aca="false">IF($B1127="","",COUNT($B$15:$B1127))</f>
        <v/>
      </c>
      <c r="B1127" s="37"/>
      <c r="C1127" s="38"/>
      <c r="D1127" s="20"/>
      <c r="E1127" s="36" t="str">
        <f aca="false">IF($D1127="","",IFERROR(INDEX('교육원 ④ 설정'!$A$6:$A$40,MATCH($D1127,'교육원 ④ 설정'!$B$6:$B$40,0)),"※없는 과목"))</f>
        <v/>
      </c>
      <c r="F1127" s="36" t="str">
        <f aca="false">IF($D1127="","",IFERROR(INDEX('교육원 ④ 설정'!$C$6:$C$40,MATCH($D1127,'교육원 ④ 설정'!$B$6:$B$40,0)),""))</f>
        <v/>
      </c>
      <c r="G1127" s="39"/>
      <c r="H1127" s="39"/>
      <c r="I1127" s="40"/>
      <c r="J1127" s="41"/>
      <c r="K1127" s="38"/>
      <c r="L1127" s="42" t="str">
        <f aca="false">IF($B1127="","",IF(AND(N($I1127)=0,N($J1127)=0),"금액이 없습니다",IF(AND($I1127&gt;0,$J1127&gt;0),"수입·지출 둘 다 적혔습니다",IF($C1127="","결제수단을 고르십시오",IF(ISNA(MATCH($C1127,'교육원 ③ 통장·카드'!$A$5:$A$11,0)),"③ 통장·카드에 없는 결제수단입니다",IF($D1127="","계정과목을 고르십시오",IF($E1127="※없는 과목","④ 설정에 없는 과목입니다",IF(AND($E1127="수입",$J1127&gt;0),"수입 과목인데 지출에 적혔습니다",IF(AND(LEFT($E1127,2)&lt;&gt;"수입",$E1127&lt;&gt;"대체",$I1127&gt;0),"지출 과목인데 수입에 적혔습니다",IF($K1127="","증빙을 고르십시오",IF($H1127="","적요를 적으십시오","")))))))))))</f>
        <v/>
      </c>
      <c r="M1127" s="39"/>
      <c r="O1127" s="11" t="str">
        <f aca="false">IF($B1127="","",YEAR($B1127)*100+MONTH($B1127))</f>
        <v/>
      </c>
      <c r="P1127" s="11" t="str">
        <f aca="false">IF($B1127="","",IF($E1127="대체",0,1))</f>
        <v/>
      </c>
    </row>
    <row r="1128" customFormat="false" ht="15" hidden="false" customHeight="false" outlineLevel="0" collapsed="false">
      <c r="A1128" s="36" t="str">
        <f aca="false">IF($B1128="","",COUNT($B$15:$B1128))</f>
        <v/>
      </c>
      <c r="B1128" s="37"/>
      <c r="C1128" s="38"/>
      <c r="D1128" s="20"/>
      <c r="E1128" s="36" t="str">
        <f aca="false">IF($D1128="","",IFERROR(INDEX('교육원 ④ 설정'!$A$6:$A$40,MATCH($D1128,'교육원 ④ 설정'!$B$6:$B$40,0)),"※없는 과목"))</f>
        <v/>
      </c>
      <c r="F1128" s="36" t="str">
        <f aca="false">IF($D1128="","",IFERROR(INDEX('교육원 ④ 설정'!$C$6:$C$40,MATCH($D1128,'교육원 ④ 설정'!$B$6:$B$40,0)),""))</f>
        <v/>
      </c>
      <c r="G1128" s="39"/>
      <c r="H1128" s="39"/>
      <c r="I1128" s="40"/>
      <c r="J1128" s="41"/>
      <c r="K1128" s="38"/>
      <c r="L1128" s="42" t="str">
        <f aca="false">IF($B1128="","",IF(AND(N($I1128)=0,N($J1128)=0),"금액이 없습니다",IF(AND($I1128&gt;0,$J1128&gt;0),"수입·지출 둘 다 적혔습니다",IF($C1128="","결제수단을 고르십시오",IF(ISNA(MATCH($C1128,'교육원 ③ 통장·카드'!$A$5:$A$11,0)),"③ 통장·카드에 없는 결제수단입니다",IF($D1128="","계정과목을 고르십시오",IF($E1128="※없는 과목","④ 설정에 없는 과목입니다",IF(AND($E1128="수입",$J1128&gt;0),"수입 과목인데 지출에 적혔습니다",IF(AND(LEFT($E1128,2)&lt;&gt;"수입",$E1128&lt;&gt;"대체",$I1128&gt;0),"지출 과목인데 수입에 적혔습니다",IF($K1128="","증빙을 고르십시오",IF($H1128="","적요를 적으십시오","")))))))))))</f>
        <v/>
      </c>
      <c r="M1128" s="39"/>
      <c r="O1128" s="11" t="str">
        <f aca="false">IF($B1128="","",YEAR($B1128)*100+MONTH($B1128))</f>
        <v/>
      </c>
      <c r="P1128" s="11" t="str">
        <f aca="false">IF($B1128="","",IF($E1128="대체",0,1))</f>
        <v/>
      </c>
    </row>
    <row r="1129" customFormat="false" ht="15" hidden="false" customHeight="false" outlineLevel="0" collapsed="false">
      <c r="A1129" s="36" t="str">
        <f aca="false">IF($B1129="","",COUNT($B$15:$B1129))</f>
        <v/>
      </c>
      <c r="B1129" s="37"/>
      <c r="C1129" s="38"/>
      <c r="D1129" s="20"/>
      <c r="E1129" s="36" t="str">
        <f aca="false">IF($D1129="","",IFERROR(INDEX('교육원 ④ 설정'!$A$6:$A$40,MATCH($D1129,'교육원 ④ 설정'!$B$6:$B$40,0)),"※없는 과목"))</f>
        <v/>
      </c>
      <c r="F1129" s="36" t="str">
        <f aca="false">IF($D1129="","",IFERROR(INDEX('교육원 ④ 설정'!$C$6:$C$40,MATCH($D1129,'교육원 ④ 설정'!$B$6:$B$40,0)),""))</f>
        <v/>
      </c>
      <c r="G1129" s="39"/>
      <c r="H1129" s="39"/>
      <c r="I1129" s="40"/>
      <c r="J1129" s="41"/>
      <c r="K1129" s="38"/>
      <c r="L1129" s="42" t="str">
        <f aca="false">IF($B1129="","",IF(AND(N($I1129)=0,N($J1129)=0),"금액이 없습니다",IF(AND($I1129&gt;0,$J1129&gt;0),"수입·지출 둘 다 적혔습니다",IF($C1129="","결제수단을 고르십시오",IF(ISNA(MATCH($C1129,'교육원 ③ 통장·카드'!$A$5:$A$11,0)),"③ 통장·카드에 없는 결제수단입니다",IF($D1129="","계정과목을 고르십시오",IF($E1129="※없는 과목","④ 설정에 없는 과목입니다",IF(AND($E1129="수입",$J1129&gt;0),"수입 과목인데 지출에 적혔습니다",IF(AND(LEFT($E1129,2)&lt;&gt;"수입",$E1129&lt;&gt;"대체",$I1129&gt;0),"지출 과목인데 수입에 적혔습니다",IF($K1129="","증빙을 고르십시오",IF($H1129="","적요를 적으십시오","")))))))))))</f>
        <v/>
      </c>
      <c r="M1129" s="39"/>
      <c r="O1129" s="11" t="str">
        <f aca="false">IF($B1129="","",YEAR($B1129)*100+MONTH($B1129))</f>
        <v/>
      </c>
      <c r="P1129" s="11" t="str">
        <f aca="false">IF($B1129="","",IF($E1129="대체",0,1))</f>
        <v/>
      </c>
    </row>
    <row r="1130" customFormat="false" ht="15" hidden="false" customHeight="false" outlineLevel="0" collapsed="false">
      <c r="A1130" s="36" t="str">
        <f aca="false">IF($B1130="","",COUNT($B$15:$B1130))</f>
        <v/>
      </c>
      <c r="B1130" s="37"/>
      <c r="C1130" s="38"/>
      <c r="D1130" s="20"/>
      <c r="E1130" s="36" t="str">
        <f aca="false">IF($D1130="","",IFERROR(INDEX('교육원 ④ 설정'!$A$6:$A$40,MATCH($D1130,'교육원 ④ 설정'!$B$6:$B$40,0)),"※없는 과목"))</f>
        <v/>
      </c>
      <c r="F1130" s="36" t="str">
        <f aca="false">IF($D1130="","",IFERROR(INDEX('교육원 ④ 설정'!$C$6:$C$40,MATCH($D1130,'교육원 ④ 설정'!$B$6:$B$40,0)),""))</f>
        <v/>
      </c>
      <c r="G1130" s="39"/>
      <c r="H1130" s="39"/>
      <c r="I1130" s="40"/>
      <c r="J1130" s="41"/>
      <c r="K1130" s="38"/>
      <c r="L1130" s="42" t="str">
        <f aca="false">IF($B1130="","",IF(AND(N($I1130)=0,N($J1130)=0),"금액이 없습니다",IF(AND($I1130&gt;0,$J1130&gt;0),"수입·지출 둘 다 적혔습니다",IF($C1130="","결제수단을 고르십시오",IF(ISNA(MATCH($C1130,'교육원 ③ 통장·카드'!$A$5:$A$11,0)),"③ 통장·카드에 없는 결제수단입니다",IF($D1130="","계정과목을 고르십시오",IF($E1130="※없는 과목","④ 설정에 없는 과목입니다",IF(AND($E1130="수입",$J1130&gt;0),"수입 과목인데 지출에 적혔습니다",IF(AND(LEFT($E1130,2)&lt;&gt;"수입",$E1130&lt;&gt;"대체",$I1130&gt;0),"지출 과목인데 수입에 적혔습니다",IF($K1130="","증빙을 고르십시오",IF($H1130="","적요를 적으십시오","")))))))))))</f>
        <v/>
      </c>
      <c r="M1130" s="39"/>
      <c r="O1130" s="11" t="str">
        <f aca="false">IF($B1130="","",YEAR($B1130)*100+MONTH($B1130))</f>
        <v/>
      </c>
      <c r="P1130" s="11" t="str">
        <f aca="false">IF($B1130="","",IF($E1130="대체",0,1))</f>
        <v/>
      </c>
    </row>
    <row r="1131" customFormat="false" ht="15" hidden="false" customHeight="false" outlineLevel="0" collapsed="false">
      <c r="A1131" s="36" t="str">
        <f aca="false">IF($B1131="","",COUNT($B$15:$B1131))</f>
        <v/>
      </c>
      <c r="B1131" s="37"/>
      <c r="C1131" s="38"/>
      <c r="D1131" s="20"/>
      <c r="E1131" s="36" t="str">
        <f aca="false">IF($D1131="","",IFERROR(INDEX('교육원 ④ 설정'!$A$6:$A$40,MATCH($D1131,'교육원 ④ 설정'!$B$6:$B$40,0)),"※없는 과목"))</f>
        <v/>
      </c>
      <c r="F1131" s="36" t="str">
        <f aca="false">IF($D1131="","",IFERROR(INDEX('교육원 ④ 설정'!$C$6:$C$40,MATCH($D1131,'교육원 ④ 설정'!$B$6:$B$40,0)),""))</f>
        <v/>
      </c>
      <c r="G1131" s="39"/>
      <c r="H1131" s="39"/>
      <c r="I1131" s="40"/>
      <c r="J1131" s="41"/>
      <c r="K1131" s="38"/>
      <c r="L1131" s="42" t="str">
        <f aca="false">IF($B1131="","",IF(AND(N($I1131)=0,N($J1131)=0),"금액이 없습니다",IF(AND($I1131&gt;0,$J1131&gt;0),"수입·지출 둘 다 적혔습니다",IF($C1131="","결제수단을 고르십시오",IF(ISNA(MATCH($C1131,'교육원 ③ 통장·카드'!$A$5:$A$11,0)),"③ 통장·카드에 없는 결제수단입니다",IF($D1131="","계정과목을 고르십시오",IF($E1131="※없는 과목","④ 설정에 없는 과목입니다",IF(AND($E1131="수입",$J1131&gt;0),"수입 과목인데 지출에 적혔습니다",IF(AND(LEFT($E1131,2)&lt;&gt;"수입",$E1131&lt;&gt;"대체",$I1131&gt;0),"지출 과목인데 수입에 적혔습니다",IF($K1131="","증빙을 고르십시오",IF($H1131="","적요를 적으십시오","")))))))))))</f>
        <v/>
      </c>
      <c r="M1131" s="39"/>
      <c r="O1131" s="11" t="str">
        <f aca="false">IF($B1131="","",YEAR($B1131)*100+MONTH($B1131))</f>
        <v/>
      </c>
      <c r="P1131" s="11" t="str">
        <f aca="false">IF($B1131="","",IF($E1131="대체",0,1))</f>
        <v/>
      </c>
    </row>
    <row r="1132" customFormat="false" ht="15" hidden="false" customHeight="false" outlineLevel="0" collapsed="false">
      <c r="A1132" s="36" t="str">
        <f aca="false">IF($B1132="","",COUNT($B$15:$B1132))</f>
        <v/>
      </c>
      <c r="B1132" s="37"/>
      <c r="C1132" s="38"/>
      <c r="D1132" s="20"/>
      <c r="E1132" s="36" t="str">
        <f aca="false">IF($D1132="","",IFERROR(INDEX('교육원 ④ 설정'!$A$6:$A$40,MATCH($D1132,'교육원 ④ 설정'!$B$6:$B$40,0)),"※없는 과목"))</f>
        <v/>
      </c>
      <c r="F1132" s="36" t="str">
        <f aca="false">IF($D1132="","",IFERROR(INDEX('교육원 ④ 설정'!$C$6:$C$40,MATCH($D1132,'교육원 ④ 설정'!$B$6:$B$40,0)),""))</f>
        <v/>
      </c>
      <c r="G1132" s="39"/>
      <c r="H1132" s="39"/>
      <c r="I1132" s="40"/>
      <c r="J1132" s="41"/>
      <c r="K1132" s="38"/>
      <c r="L1132" s="42" t="str">
        <f aca="false">IF($B1132="","",IF(AND(N($I1132)=0,N($J1132)=0),"금액이 없습니다",IF(AND($I1132&gt;0,$J1132&gt;0),"수입·지출 둘 다 적혔습니다",IF($C1132="","결제수단을 고르십시오",IF(ISNA(MATCH($C1132,'교육원 ③ 통장·카드'!$A$5:$A$11,0)),"③ 통장·카드에 없는 결제수단입니다",IF($D1132="","계정과목을 고르십시오",IF($E1132="※없는 과목","④ 설정에 없는 과목입니다",IF(AND($E1132="수입",$J1132&gt;0),"수입 과목인데 지출에 적혔습니다",IF(AND(LEFT($E1132,2)&lt;&gt;"수입",$E1132&lt;&gt;"대체",$I1132&gt;0),"지출 과목인데 수입에 적혔습니다",IF($K1132="","증빙을 고르십시오",IF($H1132="","적요를 적으십시오","")))))))))))</f>
        <v/>
      </c>
      <c r="M1132" s="39"/>
      <c r="O1132" s="11" t="str">
        <f aca="false">IF($B1132="","",YEAR($B1132)*100+MONTH($B1132))</f>
        <v/>
      </c>
      <c r="P1132" s="11" t="str">
        <f aca="false">IF($B1132="","",IF($E1132="대체",0,1))</f>
        <v/>
      </c>
    </row>
    <row r="1133" customFormat="false" ht="15" hidden="false" customHeight="false" outlineLevel="0" collapsed="false">
      <c r="A1133" s="36" t="str">
        <f aca="false">IF($B1133="","",COUNT($B$15:$B1133))</f>
        <v/>
      </c>
      <c r="B1133" s="37"/>
      <c r="C1133" s="38"/>
      <c r="D1133" s="20"/>
      <c r="E1133" s="36" t="str">
        <f aca="false">IF($D1133="","",IFERROR(INDEX('교육원 ④ 설정'!$A$6:$A$40,MATCH($D1133,'교육원 ④ 설정'!$B$6:$B$40,0)),"※없는 과목"))</f>
        <v/>
      </c>
      <c r="F1133" s="36" t="str">
        <f aca="false">IF($D1133="","",IFERROR(INDEX('교육원 ④ 설정'!$C$6:$C$40,MATCH($D1133,'교육원 ④ 설정'!$B$6:$B$40,0)),""))</f>
        <v/>
      </c>
      <c r="G1133" s="39"/>
      <c r="H1133" s="39"/>
      <c r="I1133" s="40"/>
      <c r="J1133" s="41"/>
      <c r="K1133" s="38"/>
      <c r="L1133" s="42" t="str">
        <f aca="false">IF($B1133="","",IF(AND(N($I1133)=0,N($J1133)=0),"금액이 없습니다",IF(AND($I1133&gt;0,$J1133&gt;0),"수입·지출 둘 다 적혔습니다",IF($C1133="","결제수단을 고르십시오",IF(ISNA(MATCH($C1133,'교육원 ③ 통장·카드'!$A$5:$A$11,0)),"③ 통장·카드에 없는 결제수단입니다",IF($D1133="","계정과목을 고르십시오",IF($E1133="※없는 과목","④ 설정에 없는 과목입니다",IF(AND($E1133="수입",$J1133&gt;0),"수입 과목인데 지출에 적혔습니다",IF(AND(LEFT($E1133,2)&lt;&gt;"수입",$E1133&lt;&gt;"대체",$I1133&gt;0),"지출 과목인데 수입에 적혔습니다",IF($K1133="","증빙을 고르십시오",IF($H1133="","적요를 적으십시오","")))))))))))</f>
        <v/>
      </c>
      <c r="M1133" s="39"/>
      <c r="O1133" s="11" t="str">
        <f aca="false">IF($B1133="","",YEAR($B1133)*100+MONTH($B1133))</f>
        <v/>
      </c>
      <c r="P1133" s="11" t="str">
        <f aca="false">IF($B1133="","",IF($E1133="대체",0,1))</f>
        <v/>
      </c>
    </row>
    <row r="1134" customFormat="false" ht="15" hidden="false" customHeight="false" outlineLevel="0" collapsed="false">
      <c r="A1134" s="36" t="str">
        <f aca="false">IF($B1134="","",COUNT($B$15:$B1134))</f>
        <v/>
      </c>
      <c r="B1134" s="37"/>
      <c r="C1134" s="38"/>
      <c r="D1134" s="20"/>
      <c r="E1134" s="36" t="str">
        <f aca="false">IF($D1134="","",IFERROR(INDEX('교육원 ④ 설정'!$A$6:$A$40,MATCH($D1134,'교육원 ④ 설정'!$B$6:$B$40,0)),"※없는 과목"))</f>
        <v/>
      </c>
      <c r="F1134" s="36" t="str">
        <f aca="false">IF($D1134="","",IFERROR(INDEX('교육원 ④ 설정'!$C$6:$C$40,MATCH($D1134,'교육원 ④ 설정'!$B$6:$B$40,0)),""))</f>
        <v/>
      </c>
      <c r="G1134" s="39"/>
      <c r="H1134" s="39"/>
      <c r="I1134" s="40"/>
      <c r="J1134" s="41"/>
      <c r="K1134" s="38"/>
      <c r="L1134" s="42" t="str">
        <f aca="false">IF($B1134="","",IF(AND(N($I1134)=0,N($J1134)=0),"금액이 없습니다",IF(AND($I1134&gt;0,$J1134&gt;0),"수입·지출 둘 다 적혔습니다",IF($C1134="","결제수단을 고르십시오",IF(ISNA(MATCH($C1134,'교육원 ③ 통장·카드'!$A$5:$A$11,0)),"③ 통장·카드에 없는 결제수단입니다",IF($D1134="","계정과목을 고르십시오",IF($E1134="※없는 과목","④ 설정에 없는 과목입니다",IF(AND($E1134="수입",$J1134&gt;0),"수입 과목인데 지출에 적혔습니다",IF(AND(LEFT($E1134,2)&lt;&gt;"수입",$E1134&lt;&gt;"대체",$I1134&gt;0),"지출 과목인데 수입에 적혔습니다",IF($K1134="","증빙을 고르십시오",IF($H1134="","적요를 적으십시오","")))))))))))</f>
        <v/>
      </c>
      <c r="M1134" s="39"/>
      <c r="O1134" s="11" t="str">
        <f aca="false">IF($B1134="","",YEAR($B1134)*100+MONTH($B1134))</f>
        <v/>
      </c>
      <c r="P1134" s="11" t="str">
        <f aca="false">IF($B1134="","",IF($E1134="대체",0,1))</f>
        <v/>
      </c>
    </row>
    <row r="1135" customFormat="false" ht="15" hidden="false" customHeight="false" outlineLevel="0" collapsed="false">
      <c r="A1135" s="36" t="str">
        <f aca="false">IF($B1135="","",COUNT($B$15:$B1135))</f>
        <v/>
      </c>
      <c r="B1135" s="37"/>
      <c r="C1135" s="38"/>
      <c r="D1135" s="20"/>
      <c r="E1135" s="36" t="str">
        <f aca="false">IF($D1135="","",IFERROR(INDEX('교육원 ④ 설정'!$A$6:$A$40,MATCH($D1135,'교육원 ④ 설정'!$B$6:$B$40,0)),"※없는 과목"))</f>
        <v/>
      </c>
      <c r="F1135" s="36" t="str">
        <f aca="false">IF($D1135="","",IFERROR(INDEX('교육원 ④ 설정'!$C$6:$C$40,MATCH($D1135,'교육원 ④ 설정'!$B$6:$B$40,0)),""))</f>
        <v/>
      </c>
      <c r="G1135" s="39"/>
      <c r="H1135" s="39"/>
      <c r="I1135" s="40"/>
      <c r="J1135" s="41"/>
      <c r="K1135" s="38"/>
      <c r="L1135" s="42" t="str">
        <f aca="false">IF($B1135="","",IF(AND(N($I1135)=0,N($J1135)=0),"금액이 없습니다",IF(AND($I1135&gt;0,$J1135&gt;0),"수입·지출 둘 다 적혔습니다",IF($C1135="","결제수단을 고르십시오",IF(ISNA(MATCH($C1135,'교육원 ③ 통장·카드'!$A$5:$A$11,0)),"③ 통장·카드에 없는 결제수단입니다",IF($D1135="","계정과목을 고르십시오",IF($E1135="※없는 과목","④ 설정에 없는 과목입니다",IF(AND($E1135="수입",$J1135&gt;0),"수입 과목인데 지출에 적혔습니다",IF(AND(LEFT($E1135,2)&lt;&gt;"수입",$E1135&lt;&gt;"대체",$I1135&gt;0),"지출 과목인데 수입에 적혔습니다",IF($K1135="","증빙을 고르십시오",IF($H1135="","적요를 적으십시오","")))))))))))</f>
        <v/>
      </c>
      <c r="M1135" s="39"/>
      <c r="O1135" s="11" t="str">
        <f aca="false">IF($B1135="","",YEAR($B1135)*100+MONTH($B1135))</f>
        <v/>
      </c>
      <c r="P1135" s="11" t="str">
        <f aca="false">IF($B1135="","",IF($E1135="대체",0,1))</f>
        <v/>
      </c>
    </row>
    <row r="1136" customFormat="false" ht="15" hidden="false" customHeight="false" outlineLevel="0" collapsed="false">
      <c r="A1136" s="36" t="str">
        <f aca="false">IF($B1136="","",COUNT($B$15:$B1136))</f>
        <v/>
      </c>
      <c r="B1136" s="37"/>
      <c r="C1136" s="38"/>
      <c r="D1136" s="20"/>
      <c r="E1136" s="36" t="str">
        <f aca="false">IF($D1136="","",IFERROR(INDEX('교육원 ④ 설정'!$A$6:$A$40,MATCH($D1136,'교육원 ④ 설정'!$B$6:$B$40,0)),"※없는 과목"))</f>
        <v/>
      </c>
      <c r="F1136" s="36" t="str">
        <f aca="false">IF($D1136="","",IFERROR(INDEX('교육원 ④ 설정'!$C$6:$C$40,MATCH($D1136,'교육원 ④ 설정'!$B$6:$B$40,0)),""))</f>
        <v/>
      </c>
      <c r="G1136" s="39"/>
      <c r="H1136" s="39"/>
      <c r="I1136" s="40"/>
      <c r="J1136" s="41"/>
      <c r="K1136" s="38"/>
      <c r="L1136" s="42" t="str">
        <f aca="false">IF($B1136="","",IF(AND(N($I1136)=0,N($J1136)=0),"금액이 없습니다",IF(AND($I1136&gt;0,$J1136&gt;0),"수입·지출 둘 다 적혔습니다",IF($C1136="","결제수단을 고르십시오",IF(ISNA(MATCH($C1136,'교육원 ③ 통장·카드'!$A$5:$A$11,0)),"③ 통장·카드에 없는 결제수단입니다",IF($D1136="","계정과목을 고르십시오",IF($E1136="※없는 과목","④ 설정에 없는 과목입니다",IF(AND($E1136="수입",$J1136&gt;0),"수입 과목인데 지출에 적혔습니다",IF(AND(LEFT($E1136,2)&lt;&gt;"수입",$E1136&lt;&gt;"대체",$I1136&gt;0),"지출 과목인데 수입에 적혔습니다",IF($K1136="","증빙을 고르십시오",IF($H1136="","적요를 적으십시오","")))))))))))</f>
        <v/>
      </c>
      <c r="M1136" s="39"/>
      <c r="O1136" s="11" t="str">
        <f aca="false">IF($B1136="","",YEAR($B1136)*100+MONTH($B1136))</f>
        <v/>
      </c>
      <c r="P1136" s="11" t="str">
        <f aca="false">IF($B1136="","",IF($E1136="대체",0,1))</f>
        <v/>
      </c>
    </row>
    <row r="1137" customFormat="false" ht="15" hidden="false" customHeight="false" outlineLevel="0" collapsed="false">
      <c r="A1137" s="36" t="str">
        <f aca="false">IF($B1137="","",COUNT($B$15:$B1137))</f>
        <v/>
      </c>
      <c r="B1137" s="37"/>
      <c r="C1137" s="38"/>
      <c r="D1137" s="20"/>
      <c r="E1137" s="36" t="str">
        <f aca="false">IF($D1137="","",IFERROR(INDEX('교육원 ④ 설정'!$A$6:$A$40,MATCH($D1137,'교육원 ④ 설정'!$B$6:$B$40,0)),"※없는 과목"))</f>
        <v/>
      </c>
      <c r="F1137" s="36" t="str">
        <f aca="false">IF($D1137="","",IFERROR(INDEX('교육원 ④ 설정'!$C$6:$C$40,MATCH($D1137,'교육원 ④ 설정'!$B$6:$B$40,0)),""))</f>
        <v/>
      </c>
      <c r="G1137" s="39"/>
      <c r="H1137" s="39"/>
      <c r="I1137" s="40"/>
      <c r="J1137" s="41"/>
      <c r="K1137" s="38"/>
      <c r="L1137" s="42" t="str">
        <f aca="false">IF($B1137="","",IF(AND(N($I1137)=0,N($J1137)=0),"금액이 없습니다",IF(AND($I1137&gt;0,$J1137&gt;0),"수입·지출 둘 다 적혔습니다",IF($C1137="","결제수단을 고르십시오",IF(ISNA(MATCH($C1137,'교육원 ③ 통장·카드'!$A$5:$A$11,0)),"③ 통장·카드에 없는 결제수단입니다",IF($D1137="","계정과목을 고르십시오",IF($E1137="※없는 과목","④ 설정에 없는 과목입니다",IF(AND($E1137="수입",$J1137&gt;0),"수입 과목인데 지출에 적혔습니다",IF(AND(LEFT($E1137,2)&lt;&gt;"수입",$E1137&lt;&gt;"대체",$I1137&gt;0),"지출 과목인데 수입에 적혔습니다",IF($K1137="","증빙을 고르십시오",IF($H1137="","적요를 적으십시오","")))))))))))</f>
        <v/>
      </c>
      <c r="M1137" s="39"/>
      <c r="O1137" s="11" t="str">
        <f aca="false">IF($B1137="","",YEAR($B1137)*100+MONTH($B1137))</f>
        <v/>
      </c>
      <c r="P1137" s="11" t="str">
        <f aca="false">IF($B1137="","",IF($E1137="대체",0,1))</f>
        <v/>
      </c>
    </row>
    <row r="1138" customFormat="false" ht="15" hidden="false" customHeight="false" outlineLevel="0" collapsed="false">
      <c r="A1138" s="36" t="str">
        <f aca="false">IF($B1138="","",COUNT($B$15:$B1138))</f>
        <v/>
      </c>
      <c r="B1138" s="37"/>
      <c r="C1138" s="38"/>
      <c r="D1138" s="20"/>
      <c r="E1138" s="36" t="str">
        <f aca="false">IF($D1138="","",IFERROR(INDEX('교육원 ④ 설정'!$A$6:$A$40,MATCH($D1138,'교육원 ④ 설정'!$B$6:$B$40,0)),"※없는 과목"))</f>
        <v/>
      </c>
      <c r="F1138" s="36" t="str">
        <f aca="false">IF($D1138="","",IFERROR(INDEX('교육원 ④ 설정'!$C$6:$C$40,MATCH($D1138,'교육원 ④ 설정'!$B$6:$B$40,0)),""))</f>
        <v/>
      </c>
      <c r="G1138" s="39"/>
      <c r="H1138" s="39"/>
      <c r="I1138" s="40"/>
      <c r="J1138" s="41"/>
      <c r="K1138" s="38"/>
      <c r="L1138" s="42" t="str">
        <f aca="false">IF($B1138="","",IF(AND(N($I1138)=0,N($J1138)=0),"금액이 없습니다",IF(AND($I1138&gt;0,$J1138&gt;0),"수입·지출 둘 다 적혔습니다",IF($C1138="","결제수단을 고르십시오",IF(ISNA(MATCH($C1138,'교육원 ③ 통장·카드'!$A$5:$A$11,0)),"③ 통장·카드에 없는 결제수단입니다",IF($D1138="","계정과목을 고르십시오",IF($E1138="※없는 과목","④ 설정에 없는 과목입니다",IF(AND($E1138="수입",$J1138&gt;0),"수입 과목인데 지출에 적혔습니다",IF(AND(LEFT($E1138,2)&lt;&gt;"수입",$E1138&lt;&gt;"대체",$I1138&gt;0),"지출 과목인데 수입에 적혔습니다",IF($K1138="","증빙을 고르십시오",IF($H1138="","적요를 적으십시오","")))))))))))</f>
        <v/>
      </c>
      <c r="M1138" s="39"/>
      <c r="O1138" s="11" t="str">
        <f aca="false">IF($B1138="","",YEAR($B1138)*100+MONTH($B1138))</f>
        <v/>
      </c>
      <c r="P1138" s="11" t="str">
        <f aca="false">IF($B1138="","",IF($E1138="대체",0,1))</f>
        <v/>
      </c>
    </row>
    <row r="1139" customFormat="false" ht="15" hidden="false" customHeight="false" outlineLevel="0" collapsed="false">
      <c r="A1139" s="36" t="str">
        <f aca="false">IF($B1139="","",COUNT($B$15:$B1139))</f>
        <v/>
      </c>
      <c r="B1139" s="37"/>
      <c r="C1139" s="38"/>
      <c r="D1139" s="20"/>
      <c r="E1139" s="36" t="str">
        <f aca="false">IF($D1139="","",IFERROR(INDEX('교육원 ④ 설정'!$A$6:$A$40,MATCH($D1139,'교육원 ④ 설정'!$B$6:$B$40,0)),"※없는 과목"))</f>
        <v/>
      </c>
      <c r="F1139" s="36" t="str">
        <f aca="false">IF($D1139="","",IFERROR(INDEX('교육원 ④ 설정'!$C$6:$C$40,MATCH($D1139,'교육원 ④ 설정'!$B$6:$B$40,0)),""))</f>
        <v/>
      </c>
      <c r="G1139" s="39"/>
      <c r="H1139" s="39"/>
      <c r="I1139" s="40"/>
      <c r="J1139" s="41"/>
      <c r="K1139" s="38"/>
      <c r="L1139" s="42" t="str">
        <f aca="false">IF($B1139="","",IF(AND(N($I1139)=0,N($J1139)=0),"금액이 없습니다",IF(AND($I1139&gt;0,$J1139&gt;0),"수입·지출 둘 다 적혔습니다",IF($C1139="","결제수단을 고르십시오",IF(ISNA(MATCH($C1139,'교육원 ③ 통장·카드'!$A$5:$A$11,0)),"③ 통장·카드에 없는 결제수단입니다",IF($D1139="","계정과목을 고르십시오",IF($E1139="※없는 과목","④ 설정에 없는 과목입니다",IF(AND($E1139="수입",$J1139&gt;0),"수입 과목인데 지출에 적혔습니다",IF(AND(LEFT($E1139,2)&lt;&gt;"수입",$E1139&lt;&gt;"대체",$I1139&gt;0),"지출 과목인데 수입에 적혔습니다",IF($K1139="","증빙을 고르십시오",IF($H1139="","적요를 적으십시오","")))))))))))</f>
        <v/>
      </c>
      <c r="M1139" s="39"/>
      <c r="O1139" s="11" t="str">
        <f aca="false">IF($B1139="","",YEAR($B1139)*100+MONTH($B1139))</f>
        <v/>
      </c>
      <c r="P1139" s="11" t="str">
        <f aca="false">IF($B1139="","",IF($E1139="대체",0,1))</f>
        <v/>
      </c>
    </row>
    <row r="1140" customFormat="false" ht="15" hidden="false" customHeight="false" outlineLevel="0" collapsed="false">
      <c r="A1140" s="36" t="str">
        <f aca="false">IF($B1140="","",COUNT($B$15:$B1140))</f>
        <v/>
      </c>
      <c r="B1140" s="37"/>
      <c r="C1140" s="38"/>
      <c r="D1140" s="20"/>
      <c r="E1140" s="36" t="str">
        <f aca="false">IF($D1140="","",IFERROR(INDEX('교육원 ④ 설정'!$A$6:$A$40,MATCH($D1140,'교육원 ④ 설정'!$B$6:$B$40,0)),"※없는 과목"))</f>
        <v/>
      </c>
      <c r="F1140" s="36" t="str">
        <f aca="false">IF($D1140="","",IFERROR(INDEX('교육원 ④ 설정'!$C$6:$C$40,MATCH($D1140,'교육원 ④ 설정'!$B$6:$B$40,0)),""))</f>
        <v/>
      </c>
      <c r="G1140" s="39"/>
      <c r="H1140" s="39"/>
      <c r="I1140" s="40"/>
      <c r="J1140" s="41"/>
      <c r="K1140" s="38"/>
      <c r="L1140" s="42" t="str">
        <f aca="false">IF($B1140="","",IF(AND(N($I1140)=0,N($J1140)=0),"금액이 없습니다",IF(AND($I1140&gt;0,$J1140&gt;0),"수입·지출 둘 다 적혔습니다",IF($C1140="","결제수단을 고르십시오",IF(ISNA(MATCH($C1140,'교육원 ③ 통장·카드'!$A$5:$A$11,0)),"③ 통장·카드에 없는 결제수단입니다",IF($D1140="","계정과목을 고르십시오",IF($E1140="※없는 과목","④ 설정에 없는 과목입니다",IF(AND($E1140="수입",$J1140&gt;0),"수입 과목인데 지출에 적혔습니다",IF(AND(LEFT($E1140,2)&lt;&gt;"수입",$E1140&lt;&gt;"대체",$I1140&gt;0),"지출 과목인데 수입에 적혔습니다",IF($K1140="","증빙을 고르십시오",IF($H1140="","적요를 적으십시오","")))))))))))</f>
        <v/>
      </c>
      <c r="M1140" s="39"/>
      <c r="O1140" s="11" t="str">
        <f aca="false">IF($B1140="","",YEAR($B1140)*100+MONTH($B1140))</f>
        <v/>
      </c>
      <c r="P1140" s="11" t="str">
        <f aca="false">IF($B1140="","",IF($E1140="대체",0,1))</f>
        <v/>
      </c>
    </row>
    <row r="1141" customFormat="false" ht="15" hidden="false" customHeight="false" outlineLevel="0" collapsed="false">
      <c r="A1141" s="36" t="str">
        <f aca="false">IF($B1141="","",COUNT($B$15:$B1141))</f>
        <v/>
      </c>
      <c r="B1141" s="37"/>
      <c r="C1141" s="38"/>
      <c r="D1141" s="20"/>
      <c r="E1141" s="36" t="str">
        <f aca="false">IF($D1141="","",IFERROR(INDEX('교육원 ④ 설정'!$A$6:$A$40,MATCH($D1141,'교육원 ④ 설정'!$B$6:$B$40,0)),"※없는 과목"))</f>
        <v/>
      </c>
      <c r="F1141" s="36" t="str">
        <f aca="false">IF($D1141="","",IFERROR(INDEX('교육원 ④ 설정'!$C$6:$C$40,MATCH($D1141,'교육원 ④ 설정'!$B$6:$B$40,0)),""))</f>
        <v/>
      </c>
      <c r="G1141" s="39"/>
      <c r="H1141" s="39"/>
      <c r="I1141" s="40"/>
      <c r="J1141" s="41"/>
      <c r="K1141" s="38"/>
      <c r="L1141" s="42" t="str">
        <f aca="false">IF($B1141="","",IF(AND(N($I1141)=0,N($J1141)=0),"금액이 없습니다",IF(AND($I1141&gt;0,$J1141&gt;0),"수입·지출 둘 다 적혔습니다",IF($C1141="","결제수단을 고르십시오",IF(ISNA(MATCH($C1141,'교육원 ③ 통장·카드'!$A$5:$A$11,0)),"③ 통장·카드에 없는 결제수단입니다",IF($D1141="","계정과목을 고르십시오",IF($E1141="※없는 과목","④ 설정에 없는 과목입니다",IF(AND($E1141="수입",$J1141&gt;0),"수입 과목인데 지출에 적혔습니다",IF(AND(LEFT($E1141,2)&lt;&gt;"수입",$E1141&lt;&gt;"대체",$I1141&gt;0),"지출 과목인데 수입에 적혔습니다",IF($K1141="","증빙을 고르십시오",IF($H1141="","적요를 적으십시오","")))))))))))</f>
        <v/>
      </c>
      <c r="M1141" s="39"/>
      <c r="O1141" s="11" t="str">
        <f aca="false">IF($B1141="","",YEAR($B1141)*100+MONTH($B1141))</f>
        <v/>
      </c>
      <c r="P1141" s="11" t="str">
        <f aca="false">IF($B1141="","",IF($E1141="대체",0,1))</f>
        <v/>
      </c>
    </row>
    <row r="1142" customFormat="false" ht="15" hidden="false" customHeight="false" outlineLevel="0" collapsed="false">
      <c r="A1142" s="36" t="str">
        <f aca="false">IF($B1142="","",COUNT($B$15:$B1142))</f>
        <v/>
      </c>
      <c r="B1142" s="37"/>
      <c r="C1142" s="38"/>
      <c r="D1142" s="20"/>
      <c r="E1142" s="36" t="str">
        <f aca="false">IF($D1142="","",IFERROR(INDEX('교육원 ④ 설정'!$A$6:$A$40,MATCH($D1142,'교육원 ④ 설정'!$B$6:$B$40,0)),"※없는 과목"))</f>
        <v/>
      </c>
      <c r="F1142" s="36" t="str">
        <f aca="false">IF($D1142="","",IFERROR(INDEX('교육원 ④ 설정'!$C$6:$C$40,MATCH($D1142,'교육원 ④ 설정'!$B$6:$B$40,0)),""))</f>
        <v/>
      </c>
      <c r="G1142" s="39"/>
      <c r="H1142" s="39"/>
      <c r="I1142" s="40"/>
      <c r="J1142" s="41"/>
      <c r="K1142" s="38"/>
      <c r="L1142" s="42" t="str">
        <f aca="false">IF($B1142="","",IF(AND(N($I1142)=0,N($J1142)=0),"금액이 없습니다",IF(AND($I1142&gt;0,$J1142&gt;0),"수입·지출 둘 다 적혔습니다",IF($C1142="","결제수단을 고르십시오",IF(ISNA(MATCH($C1142,'교육원 ③ 통장·카드'!$A$5:$A$11,0)),"③ 통장·카드에 없는 결제수단입니다",IF($D1142="","계정과목을 고르십시오",IF($E1142="※없는 과목","④ 설정에 없는 과목입니다",IF(AND($E1142="수입",$J1142&gt;0),"수입 과목인데 지출에 적혔습니다",IF(AND(LEFT($E1142,2)&lt;&gt;"수입",$E1142&lt;&gt;"대체",$I1142&gt;0),"지출 과목인데 수입에 적혔습니다",IF($K1142="","증빙을 고르십시오",IF($H1142="","적요를 적으십시오","")))))))))))</f>
        <v/>
      </c>
      <c r="M1142" s="39"/>
      <c r="O1142" s="11" t="str">
        <f aca="false">IF($B1142="","",YEAR($B1142)*100+MONTH($B1142))</f>
        <v/>
      </c>
      <c r="P1142" s="11" t="str">
        <f aca="false">IF($B1142="","",IF($E1142="대체",0,1))</f>
        <v/>
      </c>
    </row>
    <row r="1143" customFormat="false" ht="15" hidden="false" customHeight="false" outlineLevel="0" collapsed="false">
      <c r="A1143" s="36" t="str">
        <f aca="false">IF($B1143="","",COUNT($B$15:$B1143))</f>
        <v/>
      </c>
      <c r="B1143" s="37"/>
      <c r="C1143" s="38"/>
      <c r="D1143" s="20"/>
      <c r="E1143" s="36" t="str">
        <f aca="false">IF($D1143="","",IFERROR(INDEX('교육원 ④ 설정'!$A$6:$A$40,MATCH($D1143,'교육원 ④ 설정'!$B$6:$B$40,0)),"※없는 과목"))</f>
        <v/>
      </c>
      <c r="F1143" s="36" t="str">
        <f aca="false">IF($D1143="","",IFERROR(INDEX('교육원 ④ 설정'!$C$6:$C$40,MATCH($D1143,'교육원 ④ 설정'!$B$6:$B$40,0)),""))</f>
        <v/>
      </c>
      <c r="G1143" s="39"/>
      <c r="H1143" s="39"/>
      <c r="I1143" s="40"/>
      <c r="J1143" s="41"/>
      <c r="K1143" s="38"/>
      <c r="L1143" s="42" t="str">
        <f aca="false">IF($B1143="","",IF(AND(N($I1143)=0,N($J1143)=0),"금액이 없습니다",IF(AND($I1143&gt;0,$J1143&gt;0),"수입·지출 둘 다 적혔습니다",IF($C1143="","결제수단을 고르십시오",IF(ISNA(MATCH($C1143,'교육원 ③ 통장·카드'!$A$5:$A$11,0)),"③ 통장·카드에 없는 결제수단입니다",IF($D1143="","계정과목을 고르십시오",IF($E1143="※없는 과목","④ 설정에 없는 과목입니다",IF(AND($E1143="수입",$J1143&gt;0),"수입 과목인데 지출에 적혔습니다",IF(AND(LEFT($E1143,2)&lt;&gt;"수입",$E1143&lt;&gt;"대체",$I1143&gt;0),"지출 과목인데 수입에 적혔습니다",IF($K1143="","증빙을 고르십시오",IF($H1143="","적요를 적으십시오","")))))))))))</f>
        <v/>
      </c>
      <c r="M1143" s="39"/>
      <c r="O1143" s="11" t="str">
        <f aca="false">IF($B1143="","",YEAR($B1143)*100+MONTH($B1143))</f>
        <v/>
      </c>
      <c r="P1143" s="11" t="str">
        <f aca="false">IF($B1143="","",IF($E1143="대체",0,1))</f>
        <v/>
      </c>
    </row>
    <row r="1144" customFormat="false" ht="15" hidden="false" customHeight="false" outlineLevel="0" collapsed="false">
      <c r="A1144" s="36" t="str">
        <f aca="false">IF($B1144="","",COUNT($B$15:$B1144))</f>
        <v/>
      </c>
      <c r="B1144" s="37"/>
      <c r="C1144" s="38"/>
      <c r="D1144" s="20"/>
      <c r="E1144" s="36" t="str">
        <f aca="false">IF($D1144="","",IFERROR(INDEX('교육원 ④ 설정'!$A$6:$A$40,MATCH($D1144,'교육원 ④ 설정'!$B$6:$B$40,0)),"※없는 과목"))</f>
        <v/>
      </c>
      <c r="F1144" s="36" t="str">
        <f aca="false">IF($D1144="","",IFERROR(INDEX('교육원 ④ 설정'!$C$6:$C$40,MATCH($D1144,'교육원 ④ 설정'!$B$6:$B$40,0)),""))</f>
        <v/>
      </c>
      <c r="G1144" s="39"/>
      <c r="H1144" s="39"/>
      <c r="I1144" s="40"/>
      <c r="J1144" s="41"/>
      <c r="K1144" s="38"/>
      <c r="L1144" s="42" t="str">
        <f aca="false">IF($B1144="","",IF(AND(N($I1144)=0,N($J1144)=0),"금액이 없습니다",IF(AND($I1144&gt;0,$J1144&gt;0),"수입·지출 둘 다 적혔습니다",IF($C1144="","결제수단을 고르십시오",IF(ISNA(MATCH($C1144,'교육원 ③ 통장·카드'!$A$5:$A$11,0)),"③ 통장·카드에 없는 결제수단입니다",IF($D1144="","계정과목을 고르십시오",IF($E1144="※없는 과목","④ 설정에 없는 과목입니다",IF(AND($E1144="수입",$J1144&gt;0),"수입 과목인데 지출에 적혔습니다",IF(AND(LEFT($E1144,2)&lt;&gt;"수입",$E1144&lt;&gt;"대체",$I1144&gt;0),"지출 과목인데 수입에 적혔습니다",IF($K1144="","증빙을 고르십시오",IF($H1144="","적요를 적으십시오","")))))))))))</f>
        <v/>
      </c>
      <c r="M1144" s="39"/>
      <c r="O1144" s="11" t="str">
        <f aca="false">IF($B1144="","",YEAR($B1144)*100+MONTH($B1144))</f>
        <v/>
      </c>
      <c r="P1144" s="11" t="str">
        <f aca="false">IF($B1144="","",IF($E1144="대체",0,1))</f>
        <v/>
      </c>
    </row>
    <row r="1145" customFormat="false" ht="15" hidden="false" customHeight="false" outlineLevel="0" collapsed="false">
      <c r="A1145" s="36" t="str">
        <f aca="false">IF($B1145="","",COUNT($B$15:$B1145))</f>
        <v/>
      </c>
      <c r="B1145" s="37"/>
      <c r="C1145" s="38"/>
      <c r="D1145" s="20"/>
      <c r="E1145" s="36" t="str">
        <f aca="false">IF($D1145="","",IFERROR(INDEX('교육원 ④ 설정'!$A$6:$A$40,MATCH($D1145,'교육원 ④ 설정'!$B$6:$B$40,0)),"※없는 과목"))</f>
        <v/>
      </c>
      <c r="F1145" s="36" t="str">
        <f aca="false">IF($D1145="","",IFERROR(INDEX('교육원 ④ 설정'!$C$6:$C$40,MATCH($D1145,'교육원 ④ 설정'!$B$6:$B$40,0)),""))</f>
        <v/>
      </c>
      <c r="G1145" s="39"/>
      <c r="H1145" s="39"/>
      <c r="I1145" s="40"/>
      <c r="J1145" s="41"/>
      <c r="K1145" s="38"/>
      <c r="L1145" s="42" t="str">
        <f aca="false">IF($B1145="","",IF(AND(N($I1145)=0,N($J1145)=0),"금액이 없습니다",IF(AND($I1145&gt;0,$J1145&gt;0),"수입·지출 둘 다 적혔습니다",IF($C1145="","결제수단을 고르십시오",IF(ISNA(MATCH($C1145,'교육원 ③ 통장·카드'!$A$5:$A$11,0)),"③ 통장·카드에 없는 결제수단입니다",IF($D1145="","계정과목을 고르십시오",IF($E1145="※없는 과목","④ 설정에 없는 과목입니다",IF(AND($E1145="수입",$J1145&gt;0),"수입 과목인데 지출에 적혔습니다",IF(AND(LEFT($E1145,2)&lt;&gt;"수입",$E1145&lt;&gt;"대체",$I1145&gt;0),"지출 과목인데 수입에 적혔습니다",IF($K1145="","증빙을 고르십시오",IF($H1145="","적요를 적으십시오","")))))))))))</f>
        <v/>
      </c>
      <c r="M1145" s="39"/>
      <c r="O1145" s="11" t="str">
        <f aca="false">IF($B1145="","",YEAR($B1145)*100+MONTH($B1145))</f>
        <v/>
      </c>
      <c r="P1145" s="11" t="str">
        <f aca="false">IF($B1145="","",IF($E1145="대체",0,1))</f>
        <v/>
      </c>
    </row>
    <row r="1146" customFormat="false" ht="15" hidden="false" customHeight="false" outlineLevel="0" collapsed="false">
      <c r="A1146" s="36" t="str">
        <f aca="false">IF($B1146="","",COUNT($B$15:$B1146))</f>
        <v/>
      </c>
      <c r="B1146" s="37"/>
      <c r="C1146" s="38"/>
      <c r="D1146" s="20"/>
      <c r="E1146" s="36" t="str">
        <f aca="false">IF($D1146="","",IFERROR(INDEX('교육원 ④ 설정'!$A$6:$A$40,MATCH($D1146,'교육원 ④ 설정'!$B$6:$B$40,0)),"※없는 과목"))</f>
        <v/>
      </c>
      <c r="F1146" s="36" t="str">
        <f aca="false">IF($D1146="","",IFERROR(INDEX('교육원 ④ 설정'!$C$6:$C$40,MATCH($D1146,'교육원 ④ 설정'!$B$6:$B$40,0)),""))</f>
        <v/>
      </c>
      <c r="G1146" s="39"/>
      <c r="H1146" s="39"/>
      <c r="I1146" s="40"/>
      <c r="J1146" s="41"/>
      <c r="K1146" s="38"/>
      <c r="L1146" s="42" t="str">
        <f aca="false">IF($B1146="","",IF(AND(N($I1146)=0,N($J1146)=0),"금액이 없습니다",IF(AND($I1146&gt;0,$J1146&gt;0),"수입·지출 둘 다 적혔습니다",IF($C1146="","결제수단을 고르십시오",IF(ISNA(MATCH($C1146,'교육원 ③ 통장·카드'!$A$5:$A$11,0)),"③ 통장·카드에 없는 결제수단입니다",IF($D1146="","계정과목을 고르십시오",IF($E1146="※없는 과목","④ 설정에 없는 과목입니다",IF(AND($E1146="수입",$J1146&gt;0),"수입 과목인데 지출에 적혔습니다",IF(AND(LEFT($E1146,2)&lt;&gt;"수입",$E1146&lt;&gt;"대체",$I1146&gt;0),"지출 과목인데 수입에 적혔습니다",IF($K1146="","증빙을 고르십시오",IF($H1146="","적요를 적으십시오","")))))))))))</f>
        <v/>
      </c>
      <c r="M1146" s="39"/>
      <c r="O1146" s="11" t="str">
        <f aca="false">IF($B1146="","",YEAR($B1146)*100+MONTH($B1146))</f>
        <v/>
      </c>
      <c r="P1146" s="11" t="str">
        <f aca="false">IF($B1146="","",IF($E1146="대체",0,1))</f>
        <v/>
      </c>
    </row>
    <row r="1147" customFormat="false" ht="15" hidden="false" customHeight="false" outlineLevel="0" collapsed="false">
      <c r="A1147" s="36" t="str">
        <f aca="false">IF($B1147="","",COUNT($B$15:$B1147))</f>
        <v/>
      </c>
      <c r="B1147" s="37"/>
      <c r="C1147" s="38"/>
      <c r="D1147" s="20"/>
      <c r="E1147" s="36" t="str">
        <f aca="false">IF($D1147="","",IFERROR(INDEX('교육원 ④ 설정'!$A$6:$A$40,MATCH($D1147,'교육원 ④ 설정'!$B$6:$B$40,0)),"※없는 과목"))</f>
        <v/>
      </c>
      <c r="F1147" s="36" t="str">
        <f aca="false">IF($D1147="","",IFERROR(INDEX('교육원 ④ 설정'!$C$6:$C$40,MATCH($D1147,'교육원 ④ 설정'!$B$6:$B$40,0)),""))</f>
        <v/>
      </c>
      <c r="G1147" s="39"/>
      <c r="H1147" s="39"/>
      <c r="I1147" s="40"/>
      <c r="J1147" s="41"/>
      <c r="K1147" s="38"/>
      <c r="L1147" s="42" t="str">
        <f aca="false">IF($B1147="","",IF(AND(N($I1147)=0,N($J1147)=0),"금액이 없습니다",IF(AND($I1147&gt;0,$J1147&gt;0),"수입·지출 둘 다 적혔습니다",IF($C1147="","결제수단을 고르십시오",IF(ISNA(MATCH($C1147,'교육원 ③ 통장·카드'!$A$5:$A$11,0)),"③ 통장·카드에 없는 결제수단입니다",IF($D1147="","계정과목을 고르십시오",IF($E1147="※없는 과목","④ 설정에 없는 과목입니다",IF(AND($E1147="수입",$J1147&gt;0),"수입 과목인데 지출에 적혔습니다",IF(AND(LEFT($E1147,2)&lt;&gt;"수입",$E1147&lt;&gt;"대체",$I1147&gt;0),"지출 과목인데 수입에 적혔습니다",IF($K1147="","증빙을 고르십시오",IF($H1147="","적요를 적으십시오","")))))))))))</f>
        <v/>
      </c>
      <c r="M1147" s="39"/>
      <c r="O1147" s="11" t="str">
        <f aca="false">IF($B1147="","",YEAR($B1147)*100+MONTH($B1147))</f>
        <v/>
      </c>
      <c r="P1147" s="11" t="str">
        <f aca="false">IF($B1147="","",IF($E1147="대체",0,1))</f>
        <v/>
      </c>
    </row>
    <row r="1148" customFormat="false" ht="15" hidden="false" customHeight="false" outlineLevel="0" collapsed="false">
      <c r="A1148" s="36" t="str">
        <f aca="false">IF($B1148="","",COUNT($B$15:$B1148))</f>
        <v/>
      </c>
      <c r="B1148" s="37"/>
      <c r="C1148" s="38"/>
      <c r="D1148" s="20"/>
      <c r="E1148" s="36" t="str">
        <f aca="false">IF($D1148="","",IFERROR(INDEX('교육원 ④ 설정'!$A$6:$A$40,MATCH($D1148,'교육원 ④ 설정'!$B$6:$B$40,0)),"※없는 과목"))</f>
        <v/>
      </c>
      <c r="F1148" s="36" t="str">
        <f aca="false">IF($D1148="","",IFERROR(INDEX('교육원 ④ 설정'!$C$6:$C$40,MATCH($D1148,'교육원 ④ 설정'!$B$6:$B$40,0)),""))</f>
        <v/>
      </c>
      <c r="G1148" s="39"/>
      <c r="H1148" s="39"/>
      <c r="I1148" s="40"/>
      <c r="J1148" s="41"/>
      <c r="K1148" s="38"/>
      <c r="L1148" s="42" t="str">
        <f aca="false">IF($B1148="","",IF(AND(N($I1148)=0,N($J1148)=0),"금액이 없습니다",IF(AND($I1148&gt;0,$J1148&gt;0),"수입·지출 둘 다 적혔습니다",IF($C1148="","결제수단을 고르십시오",IF(ISNA(MATCH($C1148,'교육원 ③ 통장·카드'!$A$5:$A$11,0)),"③ 통장·카드에 없는 결제수단입니다",IF($D1148="","계정과목을 고르십시오",IF($E1148="※없는 과목","④ 설정에 없는 과목입니다",IF(AND($E1148="수입",$J1148&gt;0),"수입 과목인데 지출에 적혔습니다",IF(AND(LEFT($E1148,2)&lt;&gt;"수입",$E1148&lt;&gt;"대체",$I1148&gt;0),"지출 과목인데 수입에 적혔습니다",IF($K1148="","증빙을 고르십시오",IF($H1148="","적요를 적으십시오","")))))))))))</f>
        <v/>
      </c>
      <c r="M1148" s="39"/>
      <c r="O1148" s="11" t="str">
        <f aca="false">IF($B1148="","",YEAR($B1148)*100+MONTH($B1148))</f>
        <v/>
      </c>
      <c r="P1148" s="11" t="str">
        <f aca="false">IF($B1148="","",IF($E1148="대체",0,1))</f>
        <v/>
      </c>
    </row>
    <row r="1149" customFormat="false" ht="15" hidden="false" customHeight="false" outlineLevel="0" collapsed="false">
      <c r="A1149" s="36" t="str">
        <f aca="false">IF($B1149="","",COUNT($B$15:$B1149))</f>
        <v/>
      </c>
      <c r="B1149" s="37"/>
      <c r="C1149" s="38"/>
      <c r="D1149" s="20"/>
      <c r="E1149" s="36" t="str">
        <f aca="false">IF($D1149="","",IFERROR(INDEX('교육원 ④ 설정'!$A$6:$A$40,MATCH($D1149,'교육원 ④ 설정'!$B$6:$B$40,0)),"※없는 과목"))</f>
        <v/>
      </c>
      <c r="F1149" s="36" t="str">
        <f aca="false">IF($D1149="","",IFERROR(INDEX('교육원 ④ 설정'!$C$6:$C$40,MATCH($D1149,'교육원 ④ 설정'!$B$6:$B$40,0)),""))</f>
        <v/>
      </c>
      <c r="G1149" s="39"/>
      <c r="H1149" s="39"/>
      <c r="I1149" s="40"/>
      <c r="J1149" s="41"/>
      <c r="K1149" s="38"/>
      <c r="L1149" s="42" t="str">
        <f aca="false">IF($B1149="","",IF(AND(N($I1149)=0,N($J1149)=0),"금액이 없습니다",IF(AND($I1149&gt;0,$J1149&gt;0),"수입·지출 둘 다 적혔습니다",IF($C1149="","결제수단을 고르십시오",IF(ISNA(MATCH($C1149,'교육원 ③ 통장·카드'!$A$5:$A$11,0)),"③ 통장·카드에 없는 결제수단입니다",IF($D1149="","계정과목을 고르십시오",IF($E1149="※없는 과목","④ 설정에 없는 과목입니다",IF(AND($E1149="수입",$J1149&gt;0),"수입 과목인데 지출에 적혔습니다",IF(AND(LEFT($E1149,2)&lt;&gt;"수입",$E1149&lt;&gt;"대체",$I1149&gt;0),"지출 과목인데 수입에 적혔습니다",IF($K1149="","증빙을 고르십시오",IF($H1149="","적요를 적으십시오","")))))))))))</f>
        <v/>
      </c>
      <c r="M1149" s="39"/>
      <c r="O1149" s="11" t="str">
        <f aca="false">IF($B1149="","",YEAR($B1149)*100+MONTH($B1149))</f>
        <v/>
      </c>
      <c r="P1149" s="11" t="str">
        <f aca="false">IF($B1149="","",IF($E1149="대체",0,1))</f>
        <v/>
      </c>
    </row>
    <row r="1150" customFormat="false" ht="15" hidden="false" customHeight="false" outlineLevel="0" collapsed="false">
      <c r="A1150" s="36" t="str">
        <f aca="false">IF($B1150="","",COUNT($B$15:$B1150))</f>
        <v/>
      </c>
      <c r="B1150" s="37"/>
      <c r="C1150" s="38"/>
      <c r="D1150" s="20"/>
      <c r="E1150" s="36" t="str">
        <f aca="false">IF($D1150="","",IFERROR(INDEX('교육원 ④ 설정'!$A$6:$A$40,MATCH($D1150,'교육원 ④ 설정'!$B$6:$B$40,0)),"※없는 과목"))</f>
        <v/>
      </c>
      <c r="F1150" s="36" t="str">
        <f aca="false">IF($D1150="","",IFERROR(INDEX('교육원 ④ 설정'!$C$6:$C$40,MATCH($D1150,'교육원 ④ 설정'!$B$6:$B$40,0)),""))</f>
        <v/>
      </c>
      <c r="G1150" s="39"/>
      <c r="H1150" s="39"/>
      <c r="I1150" s="40"/>
      <c r="J1150" s="41"/>
      <c r="K1150" s="38"/>
      <c r="L1150" s="42" t="str">
        <f aca="false">IF($B1150="","",IF(AND(N($I1150)=0,N($J1150)=0),"금액이 없습니다",IF(AND($I1150&gt;0,$J1150&gt;0),"수입·지출 둘 다 적혔습니다",IF($C1150="","결제수단을 고르십시오",IF(ISNA(MATCH($C1150,'교육원 ③ 통장·카드'!$A$5:$A$11,0)),"③ 통장·카드에 없는 결제수단입니다",IF($D1150="","계정과목을 고르십시오",IF($E1150="※없는 과목","④ 설정에 없는 과목입니다",IF(AND($E1150="수입",$J1150&gt;0),"수입 과목인데 지출에 적혔습니다",IF(AND(LEFT($E1150,2)&lt;&gt;"수입",$E1150&lt;&gt;"대체",$I1150&gt;0),"지출 과목인데 수입에 적혔습니다",IF($K1150="","증빙을 고르십시오",IF($H1150="","적요를 적으십시오","")))))))))))</f>
        <v/>
      </c>
      <c r="M1150" s="39"/>
      <c r="O1150" s="11" t="str">
        <f aca="false">IF($B1150="","",YEAR($B1150)*100+MONTH($B1150))</f>
        <v/>
      </c>
      <c r="P1150" s="11" t="str">
        <f aca="false">IF($B1150="","",IF($E1150="대체",0,1))</f>
        <v/>
      </c>
    </row>
    <row r="1151" customFormat="false" ht="15" hidden="false" customHeight="false" outlineLevel="0" collapsed="false">
      <c r="A1151" s="36" t="str">
        <f aca="false">IF($B1151="","",COUNT($B$15:$B1151))</f>
        <v/>
      </c>
      <c r="B1151" s="37"/>
      <c r="C1151" s="38"/>
      <c r="D1151" s="20"/>
      <c r="E1151" s="36" t="str">
        <f aca="false">IF($D1151="","",IFERROR(INDEX('교육원 ④ 설정'!$A$6:$A$40,MATCH($D1151,'교육원 ④ 설정'!$B$6:$B$40,0)),"※없는 과목"))</f>
        <v/>
      </c>
      <c r="F1151" s="36" t="str">
        <f aca="false">IF($D1151="","",IFERROR(INDEX('교육원 ④ 설정'!$C$6:$C$40,MATCH($D1151,'교육원 ④ 설정'!$B$6:$B$40,0)),""))</f>
        <v/>
      </c>
      <c r="G1151" s="39"/>
      <c r="H1151" s="39"/>
      <c r="I1151" s="40"/>
      <c r="J1151" s="41"/>
      <c r="K1151" s="38"/>
      <c r="L1151" s="42" t="str">
        <f aca="false">IF($B1151="","",IF(AND(N($I1151)=0,N($J1151)=0),"금액이 없습니다",IF(AND($I1151&gt;0,$J1151&gt;0),"수입·지출 둘 다 적혔습니다",IF($C1151="","결제수단을 고르십시오",IF(ISNA(MATCH($C1151,'교육원 ③ 통장·카드'!$A$5:$A$11,0)),"③ 통장·카드에 없는 결제수단입니다",IF($D1151="","계정과목을 고르십시오",IF($E1151="※없는 과목","④ 설정에 없는 과목입니다",IF(AND($E1151="수입",$J1151&gt;0),"수입 과목인데 지출에 적혔습니다",IF(AND(LEFT($E1151,2)&lt;&gt;"수입",$E1151&lt;&gt;"대체",$I1151&gt;0),"지출 과목인데 수입에 적혔습니다",IF($K1151="","증빙을 고르십시오",IF($H1151="","적요를 적으십시오","")))))))))))</f>
        <v/>
      </c>
      <c r="M1151" s="39"/>
      <c r="O1151" s="11" t="str">
        <f aca="false">IF($B1151="","",YEAR($B1151)*100+MONTH($B1151))</f>
        <v/>
      </c>
      <c r="P1151" s="11" t="str">
        <f aca="false">IF($B1151="","",IF($E1151="대체",0,1))</f>
        <v/>
      </c>
    </row>
    <row r="1152" customFormat="false" ht="15" hidden="false" customHeight="false" outlineLevel="0" collapsed="false">
      <c r="A1152" s="36" t="str">
        <f aca="false">IF($B1152="","",COUNT($B$15:$B1152))</f>
        <v/>
      </c>
      <c r="B1152" s="37"/>
      <c r="C1152" s="38"/>
      <c r="D1152" s="20"/>
      <c r="E1152" s="36" t="str">
        <f aca="false">IF($D1152="","",IFERROR(INDEX('교육원 ④ 설정'!$A$6:$A$40,MATCH($D1152,'교육원 ④ 설정'!$B$6:$B$40,0)),"※없는 과목"))</f>
        <v/>
      </c>
      <c r="F1152" s="36" t="str">
        <f aca="false">IF($D1152="","",IFERROR(INDEX('교육원 ④ 설정'!$C$6:$C$40,MATCH($D1152,'교육원 ④ 설정'!$B$6:$B$40,0)),""))</f>
        <v/>
      </c>
      <c r="G1152" s="39"/>
      <c r="H1152" s="39"/>
      <c r="I1152" s="40"/>
      <c r="J1152" s="41"/>
      <c r="K1152" s="38"/>
      <c r="L1152" s="42" t="str">
        <f aca="false">IF($B1152="","",IF(AND(N($I1152)=0,N($J1152)=0),"금액이 없습니다",IF(AND($I1152&gt;0,$J1152&gt;0),"수입·지출 둘 다 적혔습니다",IF($C1152="","결제수단을 고르십시오",IF(ISNA(MATCH($C1152,'교육원 ③ 통장·카드'!$A$5:$A$11,0)),"③ 통장·카드에 없는 결제수단입니다",IF($D1152="","계정과목을 고르십시오",IF($E1152="※없는 과목","④ 설정에 없는 과목입니다",IF(AND($E1152="수입",$J1152&gt;0),"수입 과목인데 지출에 적혔습니다",IF(AND(LEFT($E1152,2)&lt;&gt;"수입",$E1152&lt;&gt;"대체",$I1152&gt;0),"지출 과목인데 수입에 적혔습니다",IF($K1152="","증빙을 고르십시오",IF($H1152="","적요를 적으십시오","")))))))))))</f>
        <v/>
      </c>
      <c r="M1152" s="39"/>
      <c r="O1152" s="11" t="str">
        <f aca="false">IF($B1152="","",YEAR($B1152)*100+MONTH($B1152))</f>
        <v/>
      </c>
      <c r="P1152" s="11" t="str">
        <f aca="false">IF($B1152="","",IF($E1152="대체",0,1))</f>
        <v/>
      </c>
    </row>
    <row r="1153" customFormat="false" ht="15" hidden="false" customHeight="false" outlineLevel="0" collapsed="false">
      <c r="A1153" s="36" t="str">
        <f aca="false">IF($B1153="","",COUNT($B$15:$B1153))</f>
        <v/>
      </c>
      <c r="B1153" s="37"/>
      <c r="C1153" s="38"/>
      <c r="D1153" s="20"/>
      <c r="E1153" s="36" t="str">
        <f aca="false">IF($D1153="","",IFERROR(INDEX('교육원 ④ 설정'!$A$6:$A$40,MATCH($D1153,'교육원 ④ 설정'!$B$6:$B$40,0)),"※없는 과목"))</f>
        <v/>
      </c>
      <c r="F1153" s="36" t="str">
        <f aca="false">IF($D1153="","",IFERROR(INDEX('교육원 ④ 설정'!$C$6:$C$40,MATCH($D1153,'교육원 ④ 설정'!$B$6:$B$40,0)),""))</f>
        <v/>
      </c>
      <c r="G1153" s="39"/>
      <c r="H1153" s="39"/>
      <c r="I1153" s="40"/>
      <c r="J1153" s="41"/>
      <c r="K1153" s="38"/>
      <c r="L1153" s="42" t="str">
        <f aca="false">IF($B1153="","",IF(AND(N($I1153)=0,N($J1153)=0),"금액이 없습니다",IF(AND($I1153&gt;0,$J1153&gt;0),"수입·지출 둘 다 적혔습니다",IF($C1153="","결제수단을 고르십시오",IF(ISNA(MATCH($C1153,'교육원 ③ 통장·카드'!$A$5:$A$11,0)),"③ 통장·카드에 없는 결제수단입니다",IF($D1153="","계정과목을 고르십시오",IF($E1153="※없는 과목","④ 설정에 없는 과목입니다",IF(AND($E1153="수입",$J1153&gt;0),"수입 과목인데 지출에 적혔습니다",IF(AND(LEFT($E1153,2)&lt;&gt;"수입",$E1153&lt;&gt;"대체",$I1153&gt;0),"지출 과목인데 수입에 적혔습니다",IF($K1153="","증빙을 고르십시오",IF($H1153="","적요를 적으십시오","")))))))))))</f>
        <v/>
      </c>
      <c r="M1153" s="39"/>
      <c r="O1153" s="11" t="str">
        <f aca="false">IF($B1153="","",YEAR($B1153)*100+MONTH($B1153))</f>
        <v/>
      </c>
      <c r="P1153" s="11" t="str">
        <f aca="false">IF($B1153="","",IF($E1153="대체",0,1))</f>
        <v/>
      </c>
    </row>
    <row r="1154" customFormat="false" ht="15" hidden="false" customHeight="false" outlineLevel="0" collapsed="false">
      <c r="A1154" s="36" t="str">
        <f aca="false">IF($B1154="","",COUNT($B$15:$B1154))</f>
        <v/>
      </c>
      <c r="B1154" s="37"/>
      <c r="C1154" s="38"/>
      <c r="D1154" s="20"/>
      <c r="E1154" s="36" t="str">
        <f aca="false">IF($D1154="","",IFERROR(INDEX('교육원 ④ 설정'!$A$6:$A$40,MATCH($D1154,'교육원 ④ 설정'!$B$6:$B$40,0)),"※없는 과목"))</f>
        <v/>
      </c>
      <c r="F1154" s="36" t="str">
        <f aca="false">IF($D1154="","",IFERROR(INDEX('교육원 ④ 설정'!$C$6:$C$40,MATCH($D1154,'교육원 ④ 설정'!$B$6:$B$40,0)),""))</f>
        <v/>
      </c>
      <c r="G1154" s="39"/>
      <c r="H1154" s="39"/>
      <c r="I1154" s="40"/>
      <c r="J1154" s="41"/>
      <c r="K1154" s="38"/>
      <c r="L1154" s="42" t="str">
        <f aca="false">IF($B1154="","",IF(AND(N($I1154)=0,N($J1154)=0),"금액이 없습니다",IF(AND($I1154&gt;0,$J1154&gt;0),"수입·지출 둘 다 적혔습니다",IF($C1154="","결제수단을 고르십시오",IF(ISNA(MATCH($C1154,'교육원 ③ 통장·카드'!$A$5:$A$11,0)),"③ 통장·카드에 없는 결제수단입니다",IF($D1154="","계정과목을 고르십시오",IF($E1154="※없는 과목","④ 설정에 없는 과목입니다",IF(AND($E1154="수입",$J1154&gt;0),"수입 과목인데 지출에 적혔습니다",IF(AND(LEFT($E1154,2)&lt;&gt;"수입",$E1154&lt;&gt;"대체",$I1154&gt;0),"지출 과목인데 수입에 적혔습니다",IF($K1154="","증빙을 고르십시오",IF($H1154="","적요를 적으십시오","")))))))))))</f>
        <v/>
      </c>
      <c r="M1154" s="39"/>
      <c r="O1154" s="11" t="str">
        <f aca="false">IF($B1154="","",YEAR($B1154)*100+MONTH($B1154))</f>
        <v/>
      </c>
      <c r="P1154" s="11" t="str">
        <f aca="false">IF($B1154="","",IF($E1154="대체",0,1))</f>
        <v/>
      </c>
    </row>
    <row r="1155" customFormat="false" ht="15" hidden="false" customHeight="false" outlineLevel="0" collapsed="false">
      <c r="A1155" s="36" t="str">
        <f aca="false">IF($B1155="","",COUNT($B$15:$B1155))</f>
        <v/>
      </c>
      <c r="B1155" s="37"/>
      <c r="C1155" s="38"/>
      <c r="D1155" s="20"/>
      <c r="E1155" s="36" t="str">
        <f aca="false">IF($D1155="","",IFERROR(INDEX('교육원 ④ 설정'!$A$6:$A$40,MATCH($D1155,'교육원 ④ 설정'!$B$6:$B$40,0)),"※없는 과목"))</f>
        <v/>
      </c>
      <c r="F1155" s="36" t="str">
        <f aca="false">IF($D1155="","",IFERROR(INDEX('교육원 ④ 설정'!$C$6:$C$40,MATCH($D1155,'교육원 ④ 설정'!$B$6:$B$40,0)),""))</f>
        <v/>
      </c>
      <c r="G1155" s="39"/>
      <c r="H1155" s="39"/>
      <c r="I1155" s="40"/>
      <c r="J1155" s="41"/>
      <c r="K1155" s="38"/>
      <c r="L1155" s="42" t="str">
        <f aca="false">IF($B1155="","",IF(AND(N($I1155)=0,N($J1155)=0),"금액이 없습니다",IF(AND($I1155&gt;0,$J1155&gt;0),"수입·지출 둘 다 적혔습니다",IF($C1155="","결제수단을 고르십시오",IF(ISNA(MATCH($C1155,'교육원 ③ 통장·카드'!$A$5:$A$11,0)),"③ 통장·카드에 없는 결제수단입니다",IF($D1155="","계정과목을 고르십시오",IF($E1155="※없는 과목","④ 설정에 없는 과목입니다",IF(AND($E1155="수입",$J1155&gt;0),"수입 과목인데 지출에 적혔습니다",IF(AND(LEFT($E1155,2)&lt;&gt;"수입",$E1155&lt;&gt;"대체",$I1155&gt;0),"지출 과목인데 수입에 적혔습니다",IF($K1155="","증빙을 고르십시오",IF($H1155="","적요를 적으십시오","")))))))))))</f>
        <v/>
      </c>
      <c r="M1155" s="39"/>
      <c r="O1155" s="11" t="str">
        <f aca="false">IF($B1155="","",YEAR($B1155)*100+MONTH($B1155))</f>
        <v/>
      </c>
      <c r="P1155" s="11" t="str">
        <f aca="false">IF($B1155="","",IF($E1155="대체",0,1))</f>
        <v/>
      </c>
    </row>
    <row r="1156" customFormat="false" ht="15" hidden="false" customHeight="false" outlineLevel="0" collapsed="false">
      <c r="A1156" s="36" t="str">
        <f aca="false">IF($B1156="","",COUNT($B$15:$B1156))</f>
        <v/>
      </c>
      <c r="B1156" s="37"/>
      <c r="C1156" s="38"/>
      <c r="D1156" s="20"/>
      <c r="E1156" s="36" t="str">
        <f aca="false">IF($D1156="","",IFERROR(INDEX('교육원 ④ 설정'!$A$6:$A$40,MATCH($D1156,'교육원 ④ 설정'!$B$6:$B$40,0)),"※없는 과목"))</f>
        <v/>
      </c>
      <c r="F1156" s="36" t="str">
        <f aca="false">IF($D1156="","",IFERROR(INDEX('교육원 ④ 설정'!$C$6:$C$40,MATCH($D1156,'교육원 ④ 설정'!$B$6:$B$40,0)),""))</f>
        <v/>
      </c>
      <c r="G1156" s="39"/>
      <c r="H1156" s="39"/>
      <c r="I1156" s="40"/>
      <c r="J1156" s="41"/>
      <c r="K1156" s="38"/>
      <c r="L1156" s="42" t="str">
        <f aca="false">IF($B1156="","",IF(AND(N($I1156)=0,N($J1156)=0),"금액이 없습니다",IF(AND($I1156&gt;0,$J1156&gt;0),"수입·지출 둘 다 적혔습니다",IF($C1156="","결제수단을 고르십시오",IF(ISNA(MATCH($C1156,'교육원 ③ 통장·카드'!$A$5:$A$11,0)),"③ 통장·카드에 없는 결제수단입니다",IF($D1156="","계정과목을 고르십시오",IF($E1156="※없는 과목","④ 설정에 없는 과목입니다",IF(AND($E1156="수입",$J1156&gt;0),"수입 과목인데 지출에 적혔습니다",IF(AND(LEFT($E1156,2)&lt;&gt;"수입",$E1156&lt;&gt;"대체",$I1156&gt;0),"지출 과목인데 수입에 적혔습니다",IF($K1156="","증빙을 고르십시오",IF($H1156="","적요를 적으십시오","")))))))))))</f>
        <v/>
      </c>
      <c r="M1156" s="39"/>
      <c r="O1156" s="11" t="str">
        <f aca="false">IF($B1156="","",YEAR($B1156)*100+MONTH($B1156))</f>
        <v/>
      </c>
      <c r="P1156" s="11" t="str">
        <f aca="false">IF($B1156="","",IF($E1156="대체",0,1))</f>
        <v/>
      </c>
    </row>
    <row r="1157" customFormat="false" ht="15" hidden="false" customHeight="false" outlineLevel="0" collapsed="false">
      <c r="A1157" s="36" t="str">
        <f aca="false">IF($B1157="","",COUNT($B$15:$B1157))</f>
        <v/>
      </c>
      <c r="B1157" s="37"/>
      <c r="C1157" s="38"/>
      <c r="D1157" s="20"/>
      <c r="E1157" s="36" t="str">
        <f aca="false">IF($D1157="","",IFERROR(INDEX('교육원 ④ 설정'!$A$6:$A$40,MATCH($D1157,'교육원 ④ 설정'!$B$6:$B$40,0)),"※없는 과목"))</f>
        <v/>
      </c>
      <c r="F1157" s="36" t="str">
        <f aca="false">IF($D1157="","",IFERROR(INDEX('교육원 ④ 설정'!$C$6:$C$40,MATCH($D1157,'교육원 ④ 설정'!$B$6:$B$40,0)),""))</f>
        <v/>
      </c>
      <c r="G1157" s="39"/>
      <c r="H1157" s="39"/>
      <c r="I1157" s="40"/>
      <c r="J1157" s="41"/>
      <c r="K1157" s="38"/>
      <c r="L1157" s="42" t="str">
        <f aca="false">IF($B1157="","",IF(AND(N($I1157)=0,N($J1157)=0),"금액이 없습니다",IF(AND($I1157&gt;0,$J1157&gt;0),"수입·지출 둘 다 적혔습니다",IF($C1157="","결제수단을 고르십시오",IF(ISNA(MATCH($C1157,'교육원 ③ 통장·카드'!$A$5:$A$11,0)),"③ 통장·카드에 없는 결제수단입니다",IF($D1157="","계정과목을 고르십시오",IF($E1157="※없는 과목","④ 설정에 없는 과목입니다",IF(AND($E1157="수입",$J1157&gt;0),"수입 과목인데 지출에 적혔습니다",IF(AND(LEFT($E1157,2)&lt;&gt;"수입",$E1157&lt;&gt;"대체",$I1157&gt;0),"지출 과목인데 수입에 적혔습니다",IF($K1157="","증빙을 고르십시오",IF($H1157="","적요를 적으십시오","")))))))))))</f>
        <v/>
      </c>
      <c r="M1157" s="39"/>
      <c r="O1157" s="11" t="str">
        <f aca="false">IF($B1157="","",YEAR($B1157)*100+MONTH($B1157))</f>
        <v/>
      </c>
      <c r="P1157" s="11" t="str">
        <f aca="false">IF($B1157="","",IF($E1157="대체",0,1))</f>
        <v/>
      </c>
    </row>
    <row r="1158" customFormat="false" ht="15" hidden="false" customHeight="false" outlineLevel="0" collapsed="false">
      <c r="A1158" s="36" t="str">
        <f aca="false">IF($B1158="","",COUNT($B$15:$B1158))</f>
        <v/>
      </c>
      <c r="B1158" s="37"/>
      <c r="C1158" s="38"/>
      <c r="D1158" s="20"/>
      <c r="E1158" s="36" t="str">
        <f aca="false">IF($D1158="","",IFERROR(INDEX('교육원 ④ 설정'!$A$6:$A$40,MATCH($D1158,'교육원 ④ 설정'!$B$6:$B$40,0)),"※없는 과목"))</f>
        <v/>
      </c>
      <c r="F1158" s="36" t="str">
        <f aca="false">IF($D1158="","",IFERROR(INDEX('교육원 ④ 설정'!$C$6:$C$40,MATCH($D1158,'교육원 ④ 설정'!$B$6:$B$40,0)),""))</f>
        <v/>
      </c>
      <c r="G1158" s="39"/>
      <c r="H1158" s="39"/>
      <c r="I1158" s="40"/>
      <c r="J1158" s="41"/>
      <c r="K1158" s="38"/>
      <c r="L1158" s="42" t="str">
        <f aca="false">IF($B1158="","",IF(AND(N($I1158)=0,N($J1158)=0),"금액이 없습니다",IF(AND($I1158&gt;0,$J1158&gt;0),"수입·지출 둘 다 적혔습니다",IF($C1158="","결제수단을 고르십시오",IF(ISNA(MATCH($C1158,'교육원 ③ 통장·카드'!$A$5:$A$11,0)),"③ 통장·카드에 없는 결제수단입니다",IF($D1158="","계정과목을 고르십시오",IF($E1158="※없는 과목","④ 설정에 없는 과목입니다",IF(AND($E1158="수입",$J1158&gt;0),"수입 과목인데 지출에 적혔습니다",IF(AND(LEFT($E1158,2)&lt;&gt;"수입",$E1158&lt;&gt;"대체",$I1158&gt;0),"지출 과목인데 수입에 적혔습니다",IF($K1158="","증빙을 고르십시오",IF($H1158="","적요를 적으십시오","")))))))))))</f>
        <v/>
      </c>
      <c r="M1158" s="39"/>
      <c r="O1158" s="11" t="str">
        <f aca="false">IF($B1158="","",YEAR($B1158)*100+MONTH($B1158))</f>
        <v/>
      </c>
      <c r="P1158" s="11" t="str">
        <f aca="false">IF($B1158="","",IF($E1158="대체",0,1))</f>
        <v/>
      </c>
    </row>
    <row r="1159" customFormat="false" ht="15" hidden="false" customHeight="false" outlineLevel="0" collapsed="false">
      <c r="A1159" s="36" t="str">
        <f aca="false">IF($B1159="","",COUNT($B$15:$B1159))</f>
        <v/>
      </c>
      <c r="B1159" s="37"/>
      <c r="C1159" s="38"/>
      <c r="D1159" s="20"/>
      <c r="E1159" s="36" t="str">
        <f aca="false">IF($D1159="","",IFERROR(INDEX('교육원 ④ 설정'!$A$6:$A$40,MATCH($D1159,'교육원 ④ 설정'!$B$6:$B$40,0)),"※없는 과목"))</f>
        <v/>
      </c>
      <c r="F1159" s="36" t="str">
        <f aca="false">IF($D1159="","",IFERROR(INDEX('교육원 ④ 설정'!$C$6:$C$40,MATCH($D1159,'교육원 ④ 설정'!$B$6:$B$40,0)),""))</f>
        <v/>
      </c>
      <c r="G1159" s="39"/>
      <c r="H1159" s="39"/>
      <c r="I1159" s="40"/>
      <c r="J1159" s="41"/>
      <c r="K1159" s="38"/>
      <c r="L1159" s="42" t="str">
        <f aca="false">IF($B1159="","",IF(AND(N($I1159)=0,N($J1159)=0),"금액이 없습니다",IF(AND($I1159&gt;0,$J1159&gt;0),"수입·지출 둘 다 적혔습니다",IF($C1159="","결제수단을 고르십시오",IF(ISNA(MATCH($C1159,'교육원 ③ 통장·카드'!$A$5:$A$11,0)),"③ 통장·카드에 없는 결제수단입니다",IF($D1159="","계정과목을 고르십시오",IF($E1159="※없는 과목","④ 설정에 없는 과목입니다",IF(AND($E1159="수입",$J1159&gt;0),"수입 과목인데 지출에 적혔습니다",IF(AND(LEFT($E1159,2)&lt;&gt;"수입",$E1159&lt;&gt;"대체",$I1159&gt;0),"지출 과목인데 수입에 적혔습니다",IF($K1159="","증빙을 고르십시오",IF($H1159="","적요를 적으십시오","")))))))))))</f>
        <v/>
      </c>
      <c r="M1159" s="39"/>
      <c r="O1159" s="11" t="str">
        <f aca="false">IF($B1159="","",YEAR($B1159)*100+MONTH($B1159))</f>
        <v/>
      </c>
      <c r="P1159" s="11" t="str">
        <f aca="false">IF($B1159="","",IF($E1159="대체",0,1))</f>
        <v/>
      </c>
    </row>
    <row r="1160" customFormat="false" ht="15" hidden="false" customHeight="false" outlineLevel="0" collapsed="false">
      <c r="A1160" s="36" t="str">
        <f aca="false">IF($B1160="","",COUNT($B$15:$B1160))</f>
        <v/>
      </c>
      <c r="B1160" s="37"/>
      <c r="C1160" s="38"/>
      <c r="D1160" s="20"/>
      <c r="E1160" s="36" t="str">
        <f aca="false">IF($D1160="","",IFERROR(INDEX('교육원 ④ 설정'!$A$6:$A$40,MATCH($D1160,'교육원 ④ 설정'!$B$6:$B$40,0)),"※없는 과목"))</f>
        <v/>
      </c>
      <c r="F1160" s="36" t="str">
        <f aca="false">IF($D1160="","",IFERROR(INDEX('교육원 ④ 설정'!$C$6:$C$40,MATCH($D1160,'교육원 ④ 설정'!$B$6:$B$40,0)),""))</f>
        <v/>
      </c>
      <c r="G1160" s="39"/>
      <c r="H1160" s="39"/>
      <c r="I1160" s="40"/>
      <c r="J1160" s="41"/>
      <c r="K1160" s="38"/>
      <c r="L1160" s="42" t="str">
        <f aca="false">IF($B1160="","",IF(AND(N($I1160)=0,N($J1160)=0),"금액이 없습니다",IF(AND($I1160&gt;0,$J1160&gt;0),"수입·지출 둘 다 적혔습니다",IF($C1160="","결제수단을 고르십시오",IF(ISNA(MATCH($C1160,'교육원 ③ 통장·카드'!$A$5:$A$11,0)),"③ 통장·카드에 없는 결제수단입니다",IF($D1160="","계정과목을 고르십시오",IF($E1160="※없는 과목","④ 설정에 없는 과목입니다",IF(AND($E1160="수입",$J1160&gt;0),"수입 과목인데 지출에 적혔습니다",IF(AND(LEFT($E1160,2)&lt;&gt;"수입",$E1160&lt;&gt;"대체",$I1160&gt;0),"지출 과목인데 수입에 적혔습니다",IF($K1160="","증빙을 고르십시오",IF($H1160="","적요를 적으십시오","")))))))))))</f>
        <v/>
      </c>
      <c r="M1160" s="39"/>
      <c r="O1160" s="11" t="str">
        <f aca="false">IF($B1160="","",YEAR($B1160)*100+MONTH($B1160))</f>
        <v/>
      </c>
      <c r="P1160" s="11" t="str">
        <f aca="false">IF($B1160="","",IF($E1160="대체",0,1))</f>
        <v/>
      </c>
    </row>
    <row r="1161" customFormat="false" ht="15" hidden="false" customHeight="false" outlineLevel="0" collapsed="false">
      <c r="A1161" s="36" t="str">
        <f aca="false">IF($B1161="","",COUNT($B$15:$B1161))</f>
        <v/>
      </c>
      <c r="B1161" s="37"/>
      <c r="C1161" s="38"/>
      <c r="D1161" s="20"/>
      <c r="E1161" s="36" t="str">
        <f aca="false">IF($D1161="","",IFERROR(INDEX('교육원 ④ 설정'!$A$6:$A$40,MATCH($D1161,'교육원 ④ 설정'!$B$6:$B$40,0)),"※없는 과목"))</f>
        <v/>
      </c>
      <c r="F1161" s="36" t="str">
        <f aca="false">IF($D1161="","",IFERROR(INDEX('교육원 ④ 설정'!$C$6:$C$40,MATCH($D1161,'교육원 ④ 설정'!$B$6:$B$40,0)),""))</f>
        <v/>
      </c>
      <c r="G1161" s="39"/>
      <c r="H1161" s="39"/>
      <c r="I1161" s="40"/>
      <c r="J1161" s="41"/>
      <c r="K1161" s="38"/>
      <c r="L1161" s="42" t="str">
        <f aca="false">IF($B1161="","",IF(AND(N($I1161)=0,N($J1161)=0),"금액이 없습니다",IF(AND($I1161&gt;0,$J1161&gt;0),"수입·지출 둘 다 적혔습니다",IF($C1161="","결제수단을 고르십시오",IF(ISNA(MATCH($C1161,'교육원 ③ 통장·카드'!$A$5:$A$11,0)),"③ 통장·카드에 없는 결제수단입니다",IF($D1161="","계정과목을 고르십시오",IF($E1161="※없는 과목","④ 설정에 없는 과목입니다",IF(AND($E1161="수입",$J1161&gt;0),"수입 과목인데 지출에 적혔습니다",IF(AND(LEFT($E1161,2)&lt;&gt;"수입",$E1161&lt;&gt;"대체",$I1161&gt;0),"지출 과목인데 수입에 적혔습니다",IF($K1161="","증빙을 고르십시오",IF($H1161="","적요를 적으십시오","")))))))))))</f>
        <v/>
      </c>
      <c r="M1161" s="39"/>
      <c r="O1161" s="11" t="str">
        <f aca="false">IF($B1161="","",YEAR($B1161)*100+MONTH($B1161))</f>
        <v/>
      </c>
      <c r="P1161" s="11" t="str">
        <f aca="false">IF($B1161="","",IF($E1161="대체",0,1))</f>
        <v/>
      </c>
    </row>
    <row r="1162" customFormat="false" ht="15" hidden="false" customHeight="false" outlineLevel="0" collapsed="false">
      <c r="A1162" s="36" t="str">
        <f aca="false">IF($B1162="","",COUNT($B$15:$B1162))</f>
        <v/>
      </c>
      <c r="B1162" s="37"/>
      <c r="C1162" s="38"/>
      <c r="D1162" s="20"/>
      <c r="E1162" s="36" t="str">
        <f aca="false">IF($D1162="","",IFERROR(INDEX('교육원 ④ 설정'!$A$6:$A$40,MATCH($D1162,'교육원 ④ 설정'!$B$6:$B$40,0)),"※없는 과목"))</f>
        <v/>
      </c>
      <c r="F1162" s="36" t="str">
        <f aca="false">IF($D1162="","",IFERROR(INDEX('교육원 ④ 설정'!$C$6:$C$40,MATCH($D1162,'교육원 ④ 설정'!$B$6:$B$40,0)),""))</f>
        <v/>
      </c>
      <c r="G1162" s="39"/>
      <c r="H1162" s="39"/>
      <c r="I1162" s="40"/>
      <c r="J1162" s="41"/>
      <c r="K1162" s="38"/>
      <c r="L1162" s="42" t="str">
        <f aca="false">IF($B1162="","",IF(AND(N($I1162)=0,N($J1162)=0),"금액이 없습니다",IF(AND($I1162&gt;0,$J1162&gt;0),"수입·지출 둘 다 적혔습니다",IF($C1162="","결제수단을 고르십시오",IF(ISNA(MATCH($C1162,'교육원 ③ 통장·카드'!$A$5:$A$11,0)),"③ 통장·카드에 없는 결제수단입니다",IF($D1162="","계정과목을 고르십시오",IF($E1162="※없는 과목","④ 설정에 없는 과목입니다",IF(AND($E1162="수입",$J1162&gt;0),"수입 과목인데 지출에 적혔습니다",IF(AND(LEFT($E1162,2)&lt;&gt;"수입",$E1162&lt;&gt;"대체",$I1162&gt;0),"지출 과목인데 수입에 적혔습니다",IF($K1162="","증빙을 고르십시오",IF($H1162="","적요를 적으십시오","")))))))))))</f>
        <v/>
      </c>
      <c r="M1162" s="39"/>
      <c r="O1162" s="11" t="str">
        <f aca="false">IF($B1162="","",YEAR($B1162)*100+MONTH($B1162))</f>
        <v/>
      </c>
      <c r="P1162" s="11" t="str">
        <f aca="false">IF($B1162="","",IF($E1162="대체",0,1))</f>
        <v/>
      </c>
    </row>
    <row r="1163" customFormat="false" ht="15" hidden="false" customHeight="false" outlineLevel="0" collapsed="false">
      <c r="A1163" s="36" t="str">
        <f aca="false">IF($B1163="","",COUNT($B$15:$B1163))</f>
        <v/>
      </c>
      <c r="B1163" s="37"/>
      <c r="C1163" s="38"/>
      <c r="D1163" s="20"/>
      <c r="E1163" s="36" t="str">
        <f aca="false">IF($D1163="","",IFERROR(INDEX('교육원 ④ 설정'!$A$6:$A$40,MATCH($D1163,'교육원 ④ 설정'!$B$6:$B$40,0)),"※없는 과목"))</f>
        <v/>
      </c>
      <c r="F1163" s="36" t="str">
        <f aca="false">IF($D1163="","",IFERROR(INDEX('교육원 ④ 설정'!$C$6:$C$40,MATCH($D1163,'교육원 ④ 설정'!$B$6:$B$40,0)),""))</f>
        <v/>
      </c>
      <c r="G1163" s="39"/>
      <c r="H1163" s="39"/>
      <c r="I1163" s="40"/>
      <c r="J1163" s="41"/>
      <c r="K1163" s="38"/>
      <c r="L1163" s="42" t="str">
        <f aca="false">IF($B1163="","",IF(AND(N($I1163)=0,N($J1163)=0),"금액이 없습니다",IF(AND($I1163&gt;0,$J1163&gt;0),"수입·지출 둘 다 적혔습니다",IF($C1163="","결제수단을 고르십시오",IF(ISNA(MATCH($C1163,'교육원 ③ 통장·카드'!$A$5:$A$11,0)),"③ 통장·카드에 없는 결제수단입니다",IF($D1163="","계정과목을 고르십시오",IF($E1163="※없는 과목","④ 설정에 없는 과목입니다",IF(AND($E1163="수입",$J1163&gt;0),"수입 과목인데 지출에 적혔습니다",IF(AND(LEFT($E1163,2)&lt;&gt;"수입",$E1163&lt;&gt;"대체",$I1163&gt;0),"지출 과목인데 수입에 적혔습니다",IF($K1163="","증빙을 고르십시오",IF($H1163="","적요를 적으십시오","")))))))))))</f>
        <v/>
      </c>
      <c r="M1163" s="39"/>
      <c r="O1163" s="11" t="str">
        <f aca="false">IF($B1163="","",YEAR($B1163)*100+MONTH($B1163))</f>
        <v/>
      </c>
      <c r="P1163" s="11" t="str">
        <f aca="false">IF($B1163="","",IF($E1163="대체",0,1))</f>
        <v/>
      </c>
    </row>
    <row r="1164" customFormat="false" ht="15" hidden="false" customHeight="false" outlineLevel="0" collapsed="false">
      <c r="A1164" s="36" t="str">
        <f aca="false">IF($B1164="","",COUNT($B$15:$B1164))</f>
        <v/>
      </c>
      <c r="B1164" s="37"/>
      <c r="C1164" s="38"/>
      <c r="D1164" s="20"/>
      <c r="E1164" s="36" t="str">
        <f aca="false">IF($D1164="","",IFERROR(INDEX('교육원 ④ 설정'!$A$6:$A$40,MATCH($D1164,'교육원 ④ 설정'!$B$6:$B$40,0)),"※없는 과목"))</f>
        <v/>
      </c>
      <c r="F1164" s="36" t="str">
        <f aca="false">IF($D1164="","",IFERROR(INDEX('교육원 ④ 설정'!$C$6:$C$40,MATCH($D1164,'교육원 ④ 설정'!$B$6:$B$40,0)),""))</f>
        <v/>
      </c>
      <c r="G1164" s="39"/>
      <c r="H1164" s="39"/>
      <c r="I1164" s="40"/>
      <c r="J1164" s="41"/>
      <c r="K1164" s="38"/>
      <c r="L1164" s="42" t="str">
        <f aca="false">IF($B1164="","",IF(AND(N($I1164)=0,N($J1164)=0),"금액이 없습니다",IF(AND($I1164&gt;0,$J1164&gt;0),"수입·지출 둘 다 적혔습니다",IF($C1164="","결제수단을 고르십시오",IF(ISNA(MATCH($C1164,'교육원 ③ 통장·카드'!$A$5:$A$11,0)),"③ 통장·카드에 없는 결제수단입니다",IF($D1164="","계정과목을 고르십시오",IF($E1164="※없는 과목","④ 설정에 없는 과목입니다",IF(AND($E1164="수입",$J1164&gt;0),"수입 과목인데 지출에 적혔습니다",IF(AND(LEFT($E1164,2)&lt;&gt;"수입",$E1164&lt;&gt;"대체",$I1164&gt;0),"지출 과목인데 수입에 적혔습니다",IF($K1164="","증빙을 고르십시오",IF($H1164="","적요를 적으십시오","")))))))))))</f>
        <v/>
      </c>
      <c r="M1164" s="39"/>
      <c r="O1164" s="11" t="str">
        <f aca="false">IF($B1164="","",YEAR($B1164)*100+MONTH($B1164))</f>
        <v/>
      </c>
      <c r="P1164" s="11" t="str">
        <f aca="false">IF($B1164="","",IF($E1164="대체",0,1))</f>
        <v/>
      </c>
    </row>
    <row r="1165" customFormat="false" ht="15" hidden="false" customHeight="false" outlineLevel="0" collapsed="false">
      <c r="A1165" s="36" t="str">
        <f aca="false">IF($B1165="","",COUNT($B$15:$B1165))</f>
        <v/>
      </c>
      <c r="B1165" s="37"/>
      <c r="C1165" s="38"/>
      <c r="D1165" s="20"/>
      <c r="E1165" s="36" t="str">
        <f aca="false">IF($D1165="","",IFERROR(INDEX('교육원 ④ 설정'!$A$6:$A$40,MATCH($D1165,'교육원 ④ 설정'!$B$6:$B$40,0)),"※없는 과목"))</f>
        <v/>
      </c>
      <c r="F1165" s="36" t="str">
        <f aca="false">IF($D1165="","",IFERROR(INDEX('교육원 ④ 설정'!$C$6:$C$40,MATCH($D1165,'교육원 ④ 설정'!$B$6:$B$40,0)),""))</f>
        <v/>
      </c>
      <c r="G1165" s="39"/>
      <c r="H1165" s="39"/>
      <c r="I1165" s="40"/>
      <c r="J1165" s="41"/>
      <c r="K1165" s="38"/>
      <c r="L1165" s="42" t="str">
        <f aca="false">IF($B1165="","",IF(AND(N($I1165)=0,N($J1165)=0),"금액이 없습니다",IF(AND($I1165&gt;0,$J1165&gt;0),"수입·지출 둘 다 적혔습니다",IF($C1165="","결제수단을 고르십시오",IF(ISNA(MATCH($C1165,'교육원 ③ 통장·카드'!$A$5:$A$11,0)),"③ 통장·카드에 없는 결제수단입니다",IF($D1165="","계정과목을 고르십시오",IF($E1165="※없는 과목","④ 설정에 없는 과목입니다",IF(AND($E1165="수입",$J1165&gt;0),"수입 과목인데 지출에 적혔습니다",IF(AND(LEFT($E1165,2)&lt;&gt;"수입",$E1165&lt;&gt;"대체",$I1165&gt;0),"지출 과목인데 수입에 적혔습니다",IF($K1165="","증빙을 고르십시오",IF($H1165="","적요를 적으십시오","")))))))))))</f>
        <v/>
      </c>
      <c r="M1165" s="39"/>
      <c r="O1165" s="11" t="str">
        <f aca="false">IF($B1165="","",YEAR($B1165)*100+MONTH($B1165))</f>
        <v/>
      </c>
      <c r="P1165" s="11" t="str">
        <f aca="false">IF($B1165="","",IF($E1165="대체",0,1))</f>
        <v/>
      </c>
    </row>
    <row r="1166" customFormat="false" ht="15" hidden="false" customHeight="false" outlineLevel="0" collapsed="false">
      <c r="A1166" s="36" t="str">
        <f aca="false">IF($B1166="","",COUNT($B$15:$B1166))</f>
        <v/>
      </c>
      <c r="B1166" s="37"/>
      <c r="C1166" s="38"/>
      <c r="D1166" s="20"/>
      <c r="E1166" s="36" t="str">
        <f aca="false">IF($D1166="","",IFERROR(INDEX('교육원 ④ 설정'!$A$6:$A$40,MATCH($D1166,'교육원 ④ 설정'!$B$6:$B$40,0)),"※없는 과목"))</f>
        <v/>
      </c>
      <c r="F1166" s="36" t="str">
        <f aca="false">IF($D1166="","",IFERROR(INDEX('교육원 ④ 설정'!$C$6:$C$40,MATCH($D1166,'교육원 ④ 설정'!$B$6:$B$40,0)),""))</f>
        <v/>
      </c>
      <c r="G1166" s="39"/>
      <c r="H1166" s="39"/>
      <c r="I1166" s="40"/>
      <c r="J1166" s="41"/>
      <c r="K1166" s="38"/>
      <c r="L1166" s="42" t="str">
        <f aca="false">IF($B1166="","",IF(AND(N($I1166)=0,N($J1166)=0),"금액이 없습니다",IF(AND($I1166&gt;0,$J1166&gt;0),"수입·지출 둘 다 적혔습니다",IF($C1166="","결제수단을 고르십시오",IF(ISNA(MATCH($C1166,'교육원 ③ 통장·카드'!$A$5:$A$11,0)),"③ 통장·카드에 없는 결제수단입니다",IF($D1166="","계정과목을 고르십시오",IF($E1166="※없는 과목","④ 설정에 없는 과목입니다",IF(AND($E1166="수입",$J1166&gt;0),"수입 과목인데 지출에 적혔습니다",IF(AND(LEFT($E1166,2)&lt;&gt;"수입",$E1166&lt;&gt;"대체",$I1166&gt;0),"지출 과목인데 수입에 적혔습니다",IF($K1166="","증빙을 고르십시오",IF($H1166="","적요를 적으십시오","")))))))))))</f>
        <v/>
      </c>
      <c r="M1166" s="39"/>
      <c r="O1166" s="11" t="str">
        <f aca="false">IF($B1166="","",YEAR($B1166)*100+MONTH($B1166))</f>
        <v/>
      </c>
      <c r="P1166" s="11" t="str">
        <f aca="false">IF($B1166="","",IF($E1166="대체",0,1))</f>
        <v/>
      </c>
    </row>
    <row r="1167" customFormat="false" ht="15" hidden="false" customHeight="false" outlineLevel="0" collapsed="false">
      <c r="A1167" s="36" t="str">
        <f aca="false">IF($B1167="","",COUNT($B$15:$B1167))</f>
        <v/>
      </c>
      <c r="B1167" s="37"/>
      <c r="C1167" s="38"/>
      <c r="D1167" s="20"/>
      <c r="E1167" s="36" t="str">
        <f aca="false">IF($D1167="","",IFERROR(INDEX('교육원 ④ 설정'!$A$6:$A$40,MATCH($D1167,'교육원 ④ 설정'!$B$6:$B$40,0)),"※없는 과목"))</f>
        <v/>
      </c>
      <c r="F1167" s="36" t="str">
        <f aca="false">IF($D1167="","",IFERROR(INDEX('교육원 ④ 설정'!$C$6:$C$40,MATCH($D1167,'교육원 ④ 설정'!$B$6:$B$40,0)),""))</f>
        <v/>
      </c>
      <c r="G1167" s="39"/>
      <c r="H1167" s="39"/>
      <c r="I1167" s="40"/>
      <c r="J1167" s="41"/>
      <c r="K1167" s="38"/>
      <c r="L1167" s="42" t="str">
        <f aca="false">IF($B1167="","",IF(AND(N($I1167)=0,N($J1167)=0),"금액이 없습니다",IF(AND($I1167&gt;0,$J1167&gt;0),"수입·지출 둘 다 적혔습니다",IF($C1167="","결제수단을 고르십시오",IF(ISNA(MATCH($C1167,'교육원 ③ 통장·카드'!$A$5:$A$11,0)),"③ 통장·카드에 없는 결제수단입니다",IF($D1167="","계정과목을 고르십시오",IF($E1167="※없는 과목","④ 설정에 없는 과목입니다",IF(AND($E1167="수입",$J1167&gt;0),"수입 과목인데 지출에 적혔습니다",IF(AND(LEFT($E1167,2)&lt;&gt;"수입",$E1167&lt;&gt;"대체",$I1167&gt;0),"지출 과목인데 수입에 적혔습니다",IF($K1167="","증빙을 고르십시오",IF($H1167="","적요를 적으십시오","")))))))))))</f>
        <v/>
      </c>
      <c r="M1167" s="39"/>
      <c r="O1167" s="11" t="str">
        <f aca="false">IF($B1167="","",YEAR($B1167)*100+MONTH($B1167))</f>
        <v/>
      </c>
      <c r="P1167" s="11" t="str">
        <f aca="false">IF($B1167="","",IF($E1167="대체",0,1))</f>
        <v/>
      </c>
    </row>
    <row r="1168" customFormat="false" ht="15" hidden="false" customHeight="false" outlineLevel="0" collapsed="false">
      <c r="A1168" s="36" t="str">
        <f aca="false">IF($B1168="","",COUNT($B$15:$B1168))</f>
        <v/>
      </c>
      <c r="B1168" s="37"/>
      <c r="C1168" s="38"/>
      <c r="D1168" s="20"/>
      <c r="E1168" s="36" t="str">
        <f aca="false">IF($D1168="","",IFERROR(INDEX('교육원 ④ 설정'!$A$6:$A$40,MATCH($D1168,'교육원 ④ 설정'!$B$6:$B$40,0)),"※없는 과목"))</f>
        <v/>
      </c>
      <c r="F1168" s="36" t="str">
        <f aca="false">IF($D1168="","",IFERROR(INDEX('교육원 ④ 설정'!$C$6:$C$40,MATCH($D1168,'교육원 ④ 설정'!$B$6:$B$40,0)),""))</f>
        <v/>
      </c>
      <c r="G1168" s="39"/>
      <c r="H1168" s="39"/>
      <c r="I1168" s="40"/>
      <c r="J1168" s="41"/>
      <c r="K1168" s="38"/>
      <c r="L1168" s="42" t="str">
        <f aca="false">IF($B1168="","",IF(AND(N($I1168)=0,N($J1168)=0),"금액이 없습니다",IF(AND($I1168&gt;0,$J1168&gt;0),"수입·지출 둘 다 적혔습니다",IF($C1168="","결제수단을 고르십시오",IF(ISNA(MATCH($C1168,'교육원 ③ 통장·카드'!$A$5:$A$11,0)),"③ 통장·카드에 없는 결제수단입니다",IF($D1168="","계정과목을 고르십시오",IF($E1168="※없는 과목","④ 설정에 없는 과목입니다",IF(AND($E1168="수입",$J1168&gt;0),"수입 과목인데 지출에 적혔습니다",IF(AND(LEFT($E1168,2)&lt;&gt;"수입",$E1168&lt;&gt;"대체",$I1168&gt;0),"지출 과목인데 수입에 적혔습니다",IF($K1168="","증빙을 고르십시오",IF($H1168="","적요를 적으십시오","")))))))))))</f>
        <v/>
      </c>
      <c r="M1168" s="39"/>
      <c r="O1168" s="11" t="str">
        <f aca="false">IF($B1168="","",YEAR($B1168)*100+MONTH($B1168))</f>
        <v/>
      </c>
      <c r="P1168" s="11" t="str">
        <f aca="false">IF($B1168="","",IF($E1168="대체",0,1))</f>
        <v/>
      </c>
    </row>
    <row r="1169" customFormat="false" ht="15" hidden="false" customHeight="false" outlineLevel="0" collapsed="false">
      <c r="A1169" s="36" t="str">
        <f aca="false">IF($B1169="","",COUNT($B$15:$B1169))</f>
        <v/>
      </c>
      <c r="B1169" s="37"/>
      <c r="C1169" s="38"/>
      <c r="D1169" s="20"/>
      <c r="E1169" s="36" t="str">
        <f aca="false">IF($D1169="","",IFERROR(INDEX('교육원 ④ 설정'!$A$6:$A$40,MATCH($D1169,'교육원 ④ 설정'!$B$6:$B$40,0)),"※없는 과목"))</f>
        <v/>
      </c>
      <c r="F1169" s="36" t="str">
        <f aca="false">IF($D1169="","",IFERROR(INDEX('교육원 ④ 설정'!$C$6:$C$40,MATCH($D1169,'교육원 ④ 설정'!$B$6:$B$40,0)),""))</f>
        <v/>
      </c>
      <c r="G1169" s="39"/>
      <c r="H1169" s="39"/>
      <c r="I1169" s="40"/>
      <c r="J1169" s="41"/>
      <c r="K1169" s="38"/>
      <c r="L1169" s="42" t="str">
        <f aca="false">IF($B1169="","",IF(AND(N($I1169)=0,N($J1169)=0),"금액이 없습니다",IF(AND($I1169&gt;0,$J1169&gt;0),"수입·지출 둘 다 적혔습니다",IF($C1169="","결제수단을 고르십시오",IF(ISNA(MATCH($C1169,'교육원 ③ 통장·카드'!$A$5:$A$11,0)),"③ 통장·카드에 없는 결제수단입니다",IF($D1169="","계정과목을 고르십시오",IF($E1169="※없는 과목","④ 설정에 없는 과목입니다",IF(AND($E1169="수입",$J1169&gt;0),"수입 과목인데 지출에 적혔습니다",IF(AND(LEFT($E1169,2)&lt;&gt;"수입",$E1169&lt;&gt;"대체",$I1169&gt;0),"지출 과목인데 수입에 적혔습니다",IF($K1169="","증빙을 고르십시오",IF($H1169="","적요를 적으십시오","")))))))))))</f>
        <v/>
      </c>
      <c r="M1169" s="39"/>
      <c r="O1169" s="11" t="str">
        <f aca="false">IF($B1169="","",YEAR($B1169)*100+MONTH($B1169))</f>
        <v/>
      </c>
      <c r="P1169" s="11" t="str">
        <f aca="false">IF($B1169="","",IF($E1169="대체",0,1))</f>
        <v/>
      </c>
    </row>
    <row r="1170" customFormat="false" ht="15" hidden="false" customHeight="false" outlineLevel="0" collapsed="false">
      <c r="A1170" s="36" t="str">
        <f aca="false">IF($B1170="","",COUNT($B$15:$B1170))</f>
        <v/>
      </c>
      <c r="B1170" s="37"/>
      <c r="C1170" s="38"/>
      <c r="D1170" s="20"/>
      <c r="E1170" s="36" t="str">
        <f aca="false">IF($D1170="","",IFERROR(INDEX('교육원 ④ 설정'!$A$6:$A$40,MATCH($D1170,'교육원 ④ 설정'!$B$6:$B$40,0)),"※없는 과목"))</f>
        <v/>
      </c>
      <c r="F1170" s="36" t="str">
        <f aca="false">IF($D1170="","",IFERROR(INDEX('교육원 ④ 설정'!$C$6:$C$40,MATCH($D1170,'교육원 ④ 설정'!$B$6:$B$40,0)),""))</f>
        <v/>
      </c>
      <c r="G1170" s="39"/>
      <c r="H1170" s="39"/>
      <c r="I1170" s="40"/>
      <c r="J1170" s="41"/>
      <c r="K1170" s="38"/>
      <c r="L1170" s="42" t="str">
        <f aca="false">IF($B1170="","",IF(AND(N($I1170)=0,N($J1170)=0),"금액이 없습니다",IF(AND($I1170&gt;0,$J1170&gt;0),"수입·지출 둘 다 적혔습니다",IF($C1170="","결제수단을 고르십시오",IF(ISNA(MATCH($C1170,'교육원 ③ 통장·카드'!$A$5:$A$11,0)),"③ 통장·카드에 없는 결제수단입니다",IF($D1170="","계정과목을 고르십시오",IF($E1170="※없는 과목","④ 설정에 없는 과목입니다",IF(AND($E1170="수입",$J1170&gt;0),"수입 과목인데 지출에 적혔습니다",IF(AND(LEFT($E1170,2)&lt;&gt;"수입",$E1170&lt;&gt;"대체",$I1170&gt;0),"지출 과목인데 수입에 적혔습니다",IF($K1170="","증빙을 고르십시오",IF($H1170="","적요를 적으십시오","")))))))))))</f>
        <v/>
      </c>
      <c r="M1170" s="39"/>
      <c r="O1170" s="11" t="str">
        <f aca="false">IF($B1170="","",YEAR($B1170)*100+MONTH($B1170))</f>
        <v/>
      </c>
      <c r="P1170" s="11" t="str">
        <f aca="false">IF($B1170="","",IF($E1170="대체",0,1))</f>
        <v/>
      </c>
    </row>
    <row r="1171" customFormat="false" ht="15" hidden="false" customHeight="false" outlineLevel="0" collapsed="false">
      <c r="A1171" s="36" t="str">
        <f aca="false">IF($B1171="","",COUNT($B$15:$B1171))</f>
        <v/>
      </c>
      <c r="B1171" s="37"/>
      <c r="C1171" s="38"/>
      <c r="D1171" s="20"/>
      <c r="E1171" s="36" t="str">
        <f aca="false">IF($D1171="","",IFERROR(INDEX('교육원 ④ 설정'!$A$6:$A$40,MATCH($D1171,'교육원 ④ 설정'!$B$6:$B$40,0)),"※없는 과목"))</f>
        <v/>
      </c>
      <c r="F1171" s="36" t="str">
        <f aca="false">IF($D1171="","",IFERROR(INDEX('교육원 ④ 설정'!$C$6:$C$40,MATCH($D1171,'교육원 ④ 설정'!$B$6:$B$40,0)),""))</f>
        <v/>
      </c>
      <c r="G1171" s="39"/>
      <c r="H1171" s="39"/>
      <c r="I1171" s="40"/>
      <c r="J1171" s="41"/>
      <c r="K1171" s="38"/>
      <c r="L1171" s="42" t="str">
        <f aca="false">IF($B1171="","",IF(AND(N($I1171)=0,N($J1171)=0),"금액이 없습니다",IF(AND($I1171&gt;0,$J1171&gt;0),"수입·지출 둘 다 적혔습니다",IF($C1171="","결제수단을 고르십시오",IF(ISNA(MATCH($C1171,'교육원 ③ 통장·카드'!$A$5:$A$11,0)),"③ 통장·카드에 없는 결제수단입니다",IF($D1171="","계정과목을 고르십시오",IF($E1171="※없는 과목","④ 설정에 없는 과목입니다",IF(AND($E1171="수입",$J1171&gt;0),"수입 과목인데 지출에 적혔습니다",IF(AND(LEFT($E1171,2)&lt;&gt;"수입",$E1171&lt;&gt;"대체",$I1171&gt;0),"지출 과목인데 수입에 적혔습니다",IF($K1171="","증빙을 고르십시오",IF($H1171="","적요를 적으십시오","")))))))))))</f>
        <v/>
      </c>
      <c r="M1171" s="39"/>
      <c r="O1171" s="11" t="str">
        <f aca="false">IF($B1171="","",YEAR($B1171)*100+MONTH($B1171))</f>
        <v/>
      </c>
      <c r="P1171" s="11" t="str">
        <f aca="false">IF($B1171="","",IF($E1171="대체",0,1))</f>
        <v/>
      </c>
    </row>
    <row r="1172" customFormat="false" ht="15" hidden="false" customHeight="false" outlineLevel="0" collapsed="false">
      <c r="A1172" s="36" t="str">
        <f aca="false">IF($B1172="","",COUNT($B$15:$B1172))</f>
        <v/>
      </c>
      <c r="B1172" s="37"/>
      <c r="C1172" s="38"/>
      <c r="D1172" s="20"/>
      <c r="E1172" s="36" t="str">
        <f aca="false">IF($D1172="","",IFERROR(INDEX('교육원 ④ 설정'!$A$6:$A$40,MATCH($D1172,'교육원 ④ 설정'!$B$6:$B$40,0)),"※없는 과목"))</f>
        <v/>
      </c>
      <c r="F1172" s="36" t="str">
        <f aca="false">IF($D1172="","",IFERROR(INDEX('교육원 ④ 설정'!$C$6:$C$40,MATCH($D1172,'교육원 ④ 설정'!$B$6:$B$40,0)),""))</f>
        <v/>
      </c>
      <c r="G1172" s="39"/>
      <c r="H1172" s="39"/>
      <c r="I1172" s="40"/>
      <c r="J1172" s="41"/>
      <c r="K1172" s="38"/>
      <c r="L1172" s="42" t="str">
        <f aca="false">IF($B1172="","",IF(AND(N($I1172)=0,N($J1172)=0),"금액이 없습니다",IF(AND($I1172&gt;0,$J1172&gt;0),"수입·지출 둘 다 적혔습니다",IF($C1172="","결제수단을 고르십시오",IF(ISNA(MATCH($C1172,'교육원 ③ 통장·카드'!$A$5:$A$11,0)),"③ 통장·카드에 없는 결제수단입니다",IF($D1172="","계정과목을 고르십시오",IF($E1172="※없는 과목","④ 설정에 없는 과목입니다",IF(AND($E1172="수입",$J1172&gt;0),"수입 과목인데 지출에 적혔습니다",IF(AND(LEFT($E1172,2)&lt;&gt;"수입",$E1172&lt;&gt;"대체",$I1172&gt;0),"지출 과목인데 수입에 적혔습니다",IF($K1172="","증빙을 고르십시오",IF($H1172="","적요를 적으십시오","")))))))))))</f>
        <v/>
      </c>
      <c r="M1172" s="39"/>
      <c r="O1172" s="11" t="str">
        <f aca="false">IF($B1172="","",YEAR($B1172)*100+MONTH($B1172))</f>
        <v/>
      </c>
      <c r="P1172" s="11" t="str">
        <f aca="false">IF($B1172="","",IF($E1172="대체",0,1))</f>
        <v/>
      </c>
    </row>
    <row r="1173" customFormat="false" ht="15" hidden="false" customHeight="false" outlineLevel="0" collapsed="false">
      <c r="A1173" s="36" t="str">
        <f aca="false">IF($B1173="","",COUNT($B$15:$B1173))</f>
        <v/>
      </c>
      <c r="B1173" s="37"/>
      <c r="C1173" s="38"/>
      <c r="D1173" s="20"/>
      <c r="E1173" s="36" t="str">
        <f aca="false">IF($D1173="","",IFERROR(INDEX('교육원 ④ 설정'!$A$6:$A$40,MATCH($D1173,'교육원 ④ 설정'!$B$6:$B$40,0)),"※없는 과목"))</f>
        <v/>
      </c>
      <c r="F1173" s="36" t="str">
        <f aca="false">IF($D1173="","",IFERROR(INDEX('교육원 ④ 설정'!$C$6:$C$40,MATCH($D1173,'교육원 ④ 설정'!$B$6:$B$40,0)),""))</f>
        <v/>
      </c>
      <c r="G1173" s="39"/>
      <c r="H1173" s="39"/>
      <c r="I1173" s="40"/>
      <c r="J1173" s="41"/>
      <c r="K1173" s="38"/>
      <c r="L1173" s="42" t="str">
        <f aca="false">IF($B1173="","",IF(AND(N($I1173)=0,N($J1173)=0),"금액이 없습니다",IF(AND($I1173&gt;0,$J1173&gt;0),"수입·지출 둘 다 적혔습니다",IF($C1173="","결제수단을 고르십시오",IF(ISNA(MATCH($C1173,'교육원 ③ 통장·카드'!$A$5:$A$11,0)),"③ 통장·카드에 없는 결제수단입니다",IF($D1173="","계정과목을 고르십시오",IF($E1173="※없는 과목","④ 설정에 없는 과목입니다",IF(AND($E1173="수입",$J1173&gt;0),"수입 과목인데 지출에 적혔습니다",IF(AND(LEFT($E1173,2)&lt;&gt;"수입",$E1173&lt;&gt;"대체",$I1173&gt;0),"지출 과목인데 수입에 적혔습니다",IF($K1173="","증빙을 고르십시오",IF($H1173="","적요를 적으십시오","")))))))))))</f>
        <v/>
      </c>
      <c r="M1173" s="39"/>
      <c r="O1173" s="11" t="str">
        <f aca="false">IF($B1173="","",YEAR($B1173)*100+MONTH($B1173))</f>
        <v/>
      </c>
      <c r="P1173" s="11" t="str">
        <f aca="false">IF($B1173="","",IF($E1173="대체",0,1))</f>
        <v/>
      </c>
    </row>
    <row r="1174" customFormat="false" ht="15" hidden="false" customHeight="false" outlineLevel="0" collapsed="false">
      <c r="A1174" s="36" t="str">
        <f aca="false">IF($B1174="","",COUNT($B$15:$B1174))</f>
        <v/>
      </c>
      <c r="B1174" s="37"/>
      <c r="C1174" s="38"/>
      <c r="D1174" s="20"/>
      <c r="E1174" s="36" t="str">
        <f aca="false">IF($D1174="","",IFERROR(INDEX('교육원 ④ 설정'!$A$6:$A$40,MATCH($D1174,'교육원 ④ 설정'!$B$6:$B$40,0)),"※없는 과목"))</f>
        <v/>
      </c>
      <c r="F1174" s="36" t="str">
        <f aca="false">IF($D1174="","",IFERROR(INDEX('교육원 ④ 설정'!$C$6:$C$40,MATCH($D1174,'교육원 ④ 설정'!$B$6:$B$40,0)),""))</f>
        <v/>
      </c>
      <c r="G1174" s="39"/>
      <c r="H1174" s="39"/>
      <c r="I1174" s="40"/>
      <c r="J1174" s="41"/>
      <c r="K1174" s="38"/>
      <c r="L1174" s="42" t="str">
        <f aca="false">IF($B1174="","",IF(AND(N($I1174)=0,N($J1174)=0),"금액이 없습니다",IF(AND($I1174&gt;0,$J1174&gt;0),"수입·지출 둘 다 적혔습니다",IF($C1174="","결제수단을 고르십시오",IF(ISNA(MATCH($C1174,'교육원 ③ 통장·카드'!$A$5:$A$11,0)),"③ 통장·카드에 없는 결제수단입니다",IF($D1174="","계정과목을 고르십시오",IF($E1174="※없는 과목","④ 설정에 없는 과목입니다",IF(AND($E1174="수입",$J1174&gt;0),"수입 과목인데 지출에 적혔습니다",IF(AND(LEFT($E1174,2)&lt;&gt;"수입",$E1174&lt;&gt;"대체",$I1174&gt;0),"지출 과목인데 수입에 적혔습니다",IF($K1174="","증빙을 고르십시오",IF($H1174="","적요를 적으십시오","")))))))))))</f>
        <v/>
      </c>
      <c r="M1174" s="39"/>
      <c r="O1174" s="11" t="str">
        <f aca="false">IF($B1174="","",YEAR($B1174)*100+MONTH($B1174))</f>
        <v/>
      </c>
      <c r="P1174" s="11" t="str">
        <f aca="false">IF($B1174="","",IF($E1174="대체",0,1))</f>
        <v/>
      </c>
    </row>
    <row r="1175" customFormat="false" ht="15" hidden="false" customHeight="false" outlineLevel="0" collapsed="false">
      <c r="A1175" s="36" t="str">
        <f aca="false">IF($B1175="","",COUNT($B$15:$B1175))</f>
        <v/>
      </c>
      <c r="B1175" s="37"/>
      <c r="C1175" s="38"/>
      <c r="D1175" s="20"/>
      <c r="E1175" s="36" t="str">
        <f aca="false">IF($D1175="","",IFERROR(INDEX('교육원 ④ 설정'!$A$6:$A$40,MATCH($D1175,'교육원 ④ 설정'!$B$6:$B$40,0)),"※없는 과목"))</f>
        <v/>
      </c>
      <c r="F1175" s="36" t="str">
        <f aca="false">IF($D1175="","",IFERROR(INDEX('교육원 ④ 설정'!$C$6:$C$40,MATCH($D1175,'교육원 ④ 설정'!$B$6:$B$40,0)),""))</f>
        <v/>
      </c>
      <c r="G1175" s="39"/>
      <c r="H1175" s="39"/>
      <c r="I1175" s="40"/>
      <c r="J1175" s="41"/>
      <c r="K1175" s="38"/>
      <c r="L1175" s="42" t="str">
        <f aca="false">IF($B1175="","",IF(AND(N($I1175)=0,N($J1175)=0),"금액이 없습니다",IF(AND($I1175&gt;0,$J1175&gt;0),"수입·지출 둘 다 적혔습니다",IF($C1175="","결제수단을 고르십시오",IF(ISNA(MATCH($C1175,'교육원 ③ 통장·카드'!$A$5:$A$11,0)),"③ 통장·카드에 없는 결제수단입니다",IF($D1175="","계정과목을 고르십시오",IF($E1175="※없는 과목","④ 설정에 없는 과목입니다",IF(AND($E1175="수입",$J1175&gt;0),"수입 과목인데 지출에 적혔습니다",IF(AND(LEFT($E1175,2)&lt;&gt;"수입",$E1175&lt;&gt;"대체",$I1175&gt;0),"지출 과목인데 수입에 적혔습니다",IF($K1175="","증빙을 고르십시오",IF($H1175="","적요를 적으십시오","")))))))))))</f>
        <v/>
      </c>
      <c r="M1175" s="39"/>
      <c r="O1175" s="11" t="str">
        <f aca="false">IF($B1175="","",YEAR($B1175)*100+MONTH($B1175))</f>
        <v/>
      </c>
      <c r="P1175" s="11" t="str">
        <f aca="false">IF($B1175="","",IF($E1175="대체",0,1))</f>
        <v/>
      </c>
    </row>
    <row r="1176" customFormat="false" ht="15" hidden="false" customHeight="false" outlineLevel="0" collapsed="false">
      <c r="A1176" s="36" t="str">
        <f aca="false">IF($B1176="","",COUNT($B$15:$B1176))</f>
        <v/>
      </c>
      <c r="B1176" s="37"/>
      <c r="C1176" s="38"/>
      <c r="D1176" s="20"/>
      <c r="E1176" s="36" t="str">
        <f aca="false">IF($D1176="","",IFERROR(INDEX('교육원 ④ 설정'!$A$6:$A$40,MATCH($D1176,'교육원 ④ 설정'!$B$6:$B$40,0)),"※없는 과목"))</f>
        <v/>
      </c>
      <c r="F1176" s="36" t="str">
        <f aca="false">IF($D1176="","",IFERROR(INDEX('교육원 ④ 설정'!$C$6:$C$40,MATCH($D1176,'교육원 ④ 설정'!$B$6:$B$40,0)),""))</f>
        <v/>
      </c>
      <c r="G1176" s="39"/>
      <c r="H1176" s="39"/>
      <c r="I1176" s="40"/>
      <c r="J1176" s="41"/>
      <c r="K1176" s="38"/>
      <c r="L1176" s="42" t="str">
        <f aca="false">IF($B1176="","",IF(AND(N($I1176)=0,N($J1176)=0),"금액이 없습니다",IF(AND($I1176&gt;0,$J1176&gt;0),"수입·지출 둘 다 적혔습니다",IF($C1176="","결제수단을 고르십시오",IF(ISNA(MATCH($C1176,'교육원 ③ 통장·카드'!$A$5:$A$11,0)),"③ 통장·카드에 없는 결제수단입니다",IF($D1176="","계정과목을 고르십시오",IF($E1176="※없는 과목","④ 설정에 없는 과목입니다",IF(AND($E1176="수입",$J1176&gt;0),"수입 과목인데 지출에 적혔습니다",IF(AND(LEFT($E1176,2)&lt;&gt;"수입",$E1176&lt;&gt;"대체",$I1176&gt;0),"지출 과목인데 수입에 적혔습니다",IF($K1176="","증빙을 고르십시오",IF($H1176="","적요를 적으십시오","")))))))))))</f>
        <v/>
      </c>
      <c r="M1176" s="39"/>
      <c r="O1176" s="11" t="str">
        <f aca="false">IF($B1176="","",YEAR($B1176)*100+MONTH($B1176))</f>
        <v/>
      </c>
      <c r="P1176" s="11" t="str">
        <f aca="false">IF($B1176="","",IF($E1176="대체",0,1))</f>
        <v/>
      </c>
    </row>
    <row r="1177" customFormat="false" ht="15" hidden="false" customHeight="false" outlineLevel="0" collapsed="false">
      <c r="A1177" s="36" t="str">
        <f aca="false">IF($B1177="","",COUNT($B$15:$B1177))</f>
        <v/>
      </c>
      <c r="B1177" s="37"/>
      <c r="C1177" s="38"/>
      <c r="D1177" s="20"/>
      <c r="E1177" s="36" t="str">
        <f aca="false">IF($D1177="","",IFERROR(INDEX('교육원 ④ 설정'!$A$6:$A$40,MATCH($D1177,'교육원 ④ 설정'!$B$6:$B$40,0)),"※없는 과목"))</f>
        <v/>
      </c>
      <c r="F1177" s="36" t="str">
        <f aca="false">IF($D1177="","",IFERROR(INDEX('교육원 ④ 설정'!$C$6:$C$40,MATCH($D1177,'교육원 ④ 설정'!$B$6:$B$40,0)),""))</f>
        <v/>
      </c>
      <c r="G1177" s="39"/>
      <c r="H1177" s="39"/>
      <c r="I1177" s="40"/>
      <c r="J1177" s="41"/>
      <c r="K1177" s="38"/>
      <c r="L1177" s="42" t="str">
        <f aca="false">IF($B1177="","",IF(AND(N($I1177)=0,N($J1177)=0),"금액이 없습니다",IF(AND($I1177&gt;0,$J1177&gt;0),"수입·지출 둘 다 적혔습니다",IF($C1177="","결제수단을 고르십시오",IF(ISNA(MATCH($C1177,'교육원 ③ 통장·카드'!$A$5:$A$11,0)),"③ 통장·카드에 없는 결제수단입니다",IF($D1177="","계정과목을 고르십시오",IF($E1177="※없는 과목","④ 설정에 없는 과목입니다",IF(AND($E1177="수입",$J1177&gt;0),"수입 과목인데 지출에 적혔습니다",IF(AND(LEFT($E1177,2)&lt;&gt;"수입",$E1177&lt;&gt;"대체",$I1177&gt;0),"지출 과목인데 수입에 적혔습니다",IF($K1177="","증빙을 고르십시오",IF($H1177="","적요를 적으십시오","")))))))))))</f>
        <v/>
      </c>
      <c r="M1177" s="39"/>
      <c r="O1177" s="11" t="str">
        <f aca="false">IF($B1177="","",YEAR($B1177)*100+MONTH($B1177))</f>
        <v/>
      </c>
      <c r="P1177" s="11" t="str">
        <f aca="false">IF($B1177="","",IF($E1177="대체",0,1))</f>
        <v/>
      </c>
    </row>
    <row r="1178" customFormat="false" ht="15" hidden="false" customHeight="false" outlineLevel="0" collapsed="false">
      <c r="A1178" s="36" t="str">
        <f aca="false">IF($B1178="","",COUNT($B$15:$B1178))</f>
        <v/>
      </c>
      <c r="B1178" s="37"/>
      <c r="C1178" s="38"/>
      <c r="D1178" s="20"/>
      <c r="E1178" s="36" t="str">
        <f aca="false">IF($D1178="","",IFERROR(INDEX('교육원 ④ 설정'!$A$6:$A$40,MATCH($D1178,'교육원 ④ 설정'!$B$6:$B$40,0)),"※없는 과목"))</f>
        <v/>
      </c>
      <c r="F1178" s="36" t="str">
        <f aca="false">IF($D1178="","",IFERROR(INDEX('교육원 ④ 설정'!$C$6:$C$40,MATCH($D1178,'교육원 ④ 설정'!$B$6:$B$40,0)),""))</f>
        <v/>
      </c>
      <c r="G1178" s="39"/>
      <c r="H1178" s="39"/>
      <c r="I1178" s="40"/>
      <c r="J1178" s="41"/>
      <c r="K1178" s="38"/>
      <c r="L1178" s="42" t="str">
        <f aca="false">IF($B1178="","",IF(AND(N($I1178)=0,N($J1178)=0),"금액이 없습니다",IF(AND($I1178&gt;0,$J1178&gt;0),"수입·지출 둘 다 적혔습니다",IF($C1178="","결제수단을 고르십시오",IF(ISNA(MATCH($C1178,'교육원 ③ 통장·카드'!$A$5:$A$11,0)),"③ 통장·카드에 없는 결제수단입니다",IF($D1178="","계정과목을 고르십시오",IF($E1178="※없는 과목","④ 설정에 없는 과목입니다",IF(AND($E1178="수입",$J1178&gt;0),"수입 과목인데 지출에 적혔습니다",IF(AND(LEFT($E1178,2)&lt;&gt;"수입",$E1178&lt;&gt;"대체",$I1178&gt;0),"지출 과목인데 수입에 적혔습니다",IF($K1178="","증빙을 고르십시오",IF($H1178="","적요를 적으십시오","")))))))))))</f>
        <v/>
      </c>
      <c r="M1178" s="39"/>
      <c r="O1178" s="11" t="str">
        <f aca="false">IF($B1178="","",YEAR($B1178)*100+MONTH($B1178))</f>
        <v/>
      </c>
      <c r="P1178" s="11" t="str">
        <f aca="false">IF($B1178="","",IF($E1178="대체",0,1))</f>
        <v/>
      </c>
    </row>
    <row r="1179" customFormat="false" ht="15" hidden="false" customHeight="false" outlineLevel="0" collapsed="false">
      <c r="A1179" s="36" t="str">
        <f aca="false">IF($B1179="","",COUNT($B$15:$B1179))</f>
        <v/>
      </c>
      <c r="B1179" s="37"/>
      <c r="C1179" s="38"/>
      <c r="D1179" s="20"/>
      <c r="E1179" s="36" t="str">
        <f aca="false">IF($D1179="","",IFERROR(INDEX('교육원 ④ 설정'!$A$6:$A$40,MATCH($D1179,'교육원 ④ 설정'!$B$6:$B$40,0)),"※없는 과목"))</f>
        <v/>
      </c>
      <c r="F1179" s="36" t="str">
        <f aca="false">IF($D1179="","",IFERROR(INDEX('교육원 ④ 설정'!$C$6:$C$40,MATCH($D1179,'교육원 ④ 설정'!$B$6:$B$40,0)),""))</f>
        <v/>
      </c>
      <c r="G1179" s="39"/>
      <c r="H1179" s="39"/>
      <c r="I1179" s="40"/>
      <c r="J1179" s="41"/>
      <c r="K1179" s="38"/>
      <c r="L1179" s="42" t="str">
        <f aca="false">IF($B1179="","",IF(AND(N($I1179)=0,N($J1179)=0),"금액이 없습니다",IF(AND($I1179&gt;0,$J1179&gt;0),"수입·지출 둘 다 적혔습니다",IF($C1179="","결제수단을 고르십시오",IF(ISNA(MATCH($C1179,'교육원 ③ 통장·카드'!$A$5:$A$11,0)),"③ 통장·카드에 없는 결제수단입니다",IF($D1179="","계정과목을 고르십시오",IF($E1179="※없는 과목","④ 설정에 없는 과목입니다",IF(AND($E1179="수입",$J1179&gt;0),"수입 과목인데 지출에 적혔습니다",IF(AND(LEFT($E1179,2)&lt;&gt;"수입",$E1179&lt;&gt;"대체",$I1179&gt;0),"지출 과목인데 수입에 적혔습니다",IF($K1179="","증빙을 고르십시오",IF($H1179="","적요를 적으십시오","")))))))))))</f>
        <v/>
      </c>
      <c r="M1179" s="39"/>
      <c r="O1179" s="11" t="str">
        <f aca="false">IF($B1179="","",YEAR($B1179)*100+MONTH($B1179))</f>
        <v/>
      </c>
      <c r="P1179" s="11" t="str">
        <f aca="false">IF($B1179="","",IF($E1179="대체",0,1))</f>
        <v/>
      </c>
    </row>
    <row r="1180" customFormat="false" ht="15" hidden="false" customHeight="false" outlineLevel="0" collapsed="false">
      <c r="A1180" s="36" t="str">
        <f aca="false">IF($B1180="","",COUNT($B$15:$B1180))</f>
        <v/>
      </c>
      <c r="B1180" s="37"/>
      <c r="C1180" s="38"/>
      <c r="D1180" s="20"/>
      <c r="E1180" s="36" t="str">
        <f aca="false">IF($D1180="","",IFERROR(INDEX('교육원 ④ 설정'!$A$6:$A$40,MATCH($D1180,'교육원 ④ 설정'!$B$6:$B$40,0)),"※없는 과목"))</f>
        <v/>
      </c>
      <c r="F1180" s="36" t="str">
        <f aca="false">IF($D1180="","",IFERROR(INDEX('교육원 ④ 설정'!$C$6:$C$40,MATCH($D1180,'교육원 ④ 설정'!$B$6:$B$40,0)),""))</f>
        <v/>
      </c>
      <c r="G1180" s="39"/>
      <c r="H1180" s="39"/>
      <c r="I1180" s="40"/>
      <c r="J1180" s="41"/>
      <c r="K1180" s="38"/>
      <c r="L1180" s="42" t="str">
        <f aca="false">IF($B1180="","",IF(AND(N($I1180)=0,N($J1180)=0),"금액이 없습니다",IF(AND($I1180&gt;0,$J1180&gt;0),"수입·지출 둘 다 적혔습니다",IF($C1180="","결제수단을 고르십시오",IF(ISNA(MATCH($C1180,'교육원 ③ 통장·카드'!$A$5:$A$11,0)),"③ 통장·카드에 없는 결제수단입니다",IF($D1180="","계정과목을 고르십시오",IF($E1180="※없는 과목","④ 설정에 없는 과목입니다",IF(AND($E1180="수입",$J1180&gt;0),"수입 과목인데 지출에 적혔습니다",IF(AND(LEFT($E1180,2)&lt;&gt;"수입",$E1180&lt;&gt;"대체",$I1180&gt;0),"지출 과목인데 수입에 적혔습니다",IF($K1180="","증빙을 고르십시오",IF($H1180="","적요를 적으십시오","")))))))))))</f>
        <v/>
      </c>
      <c r="M1180" s="39"/>
      <c r="O1180" s="11" t="str">
        <f aca="false">IF($B1180="","",YEAR($B1180)*100+MONTH($B1180))</f>
        <v/>
      </c>
      <c r="P1180" s="11" t="str">
        <f aca="false">IF($B1180="","",IF($E1180="대체",0,1))</f>
        <v/>
      </c>
    </row>
    <row r="1181" customFormat="false" ht="15" hidden="false" customHeight="false" outlineLevel="0" collapsed="false">
      <c r="A1181" s="36" t="str">
        <f aca="false">IF($B1181="","",COUNT($B$15:$B1181))</f>
        <v/>
      </c>
      <c r="B1181" s="37"/>
      <c r="C1181" s="38"/>
      <c r="D1181" s="20"/>
      <c r="E1181" s="36" t="str">
        <f aca="false">IF($D1181="","",IFERROR(INDEX('교육원 ④ 설정'!$A$6:$A$40,MATCH($D1181,'교육원 ④ 설정'!$B$6:$B$40,0)),"※없는 과목"))</f>
        <v/>
      </c>
      <c r="F1181" s="36" t="str">
        <f aca="false">IF($D1181="","",IFERROR(INDEX('교육원 ④ 설정'!$C$6:$C$40,MATCH($D1181,'교육원 ④ 설정'!$B$6:$B$40,0)),""))</f>
        <v/>
      </c>
      <c r="G1181" s="39"/>
      <c r="H1181" s="39"/>
      <c r="I1181" s="40"/>
      <c r="J1181" s="41"/>
      <c r="K1181" s="38"/>
      <c r="L1181" s="42" t="str">
        <f aca="false">IF($B1181="","",IF(AND(N($I1181)=0,N($J1181)=0),"금액이 없습니다",IF(AND($I1181&gt;0,$J1181&gt;0),"수입·지출 둘 다 적혔습니다",IF($C1181="","결제수단을 고르십시오",IF(ISNA(MATCH($C1181,'교육원 ③ 통장·카드'!$A$5:$A$11,0)),"③ 통장·카드에 없는 결제수단입니다",IF($D1181="","계정과목을 고르십시오",IF($E1181="※없는 과목","④ 설정에 없는 과목입니다",IF(AND($E1181="수입",$J1181&gt;0),"수입 과목인데 지출에 적혔습니다",IF(AND(LEFT($E1181,2)&lt;&gt;"수입",$E1181&lt;&gt;"대체",$I1181&gt;0),"지출 과목인데 수입에 적혔습니다",IF($K1181="","증빙을 고르십시오",IF($H1181="","적요를 적으십시오","")))))))))))</f>
        <v/>
      </c>
      <c r="M1181" s="39"/>
      <c r="O1181" s="11" t="str">
        <f aca="false">IF($B1181="","",YEAR($B1181)*100+MONTH($B1181))</f>
        <v/>
      </c>
      <c r="P1181" s="11" t="str">
        <f aca="false">IF($B1181="","",IF($E1181="대체",0,1))</f>
        <v/>
      </c>
    </row>
    <row r="1182" customFormat="false" ht="15" hidden="false" customHeight="false" outlineLevel="0" collapsed="false">
      <c r="A1182" s="36" t="str">
        <f aca="false">IF($B1182="","",COUNT($B$15:$B1182))</f>
        <v/>
      </c>
      <c r="B1182" s="37"/>
      <c r="C1182" s="38"/>
      <c r="D1182" s="20"/>
      <c r="E1182" s="36" t="str">
        <f aca="false">IF($D1182="","",IFERROR(INDEX('교육원 ④ 설정'!$A$6:$A$40,MATCH($D1182,'교육원 ④ 설정'!$B$6:$B$40,0)),"※없는 과목"))</f>
        <v/>
      </c>
      <c r="F1182" s="36" t="str">
        <f aca="false">IF($D1182="","",IFERROR(INDEX('교육원 ④ 설정'!$C$6:$C$40,MATCH($D1182,'교육원 ④ 설정'!$B$6:$B$40,0)),""))</f>
        <v/>
      </c>
      <c r="G1182" s="39"/>
      <c r="H1182" s="39"/>
      <c r="I1182" s="40"/>
      <c r="J1182" s="41"/>
      <c r="K1182" s="38"/>
      <c r="L1182" s="42" t="str">
        <f aca="false">IF($B1182="","",IF(AND(N($I1182)=0,N($J1182)=0),"금액이 없습니다",IF(AND($I1182&gt;0,$J1182&gt;0),"수입·지출 둘 다 적혔습니다",IF($C1182="","결제수단을 고르십시오",IF(ISNA(MATCH($C1182,'교육원 ③ 통장·카드'!$A$5:$A$11,0)),"③ 통장·카드에 없는 결제수단입니다",IF($D1182="","계정과목을 고르십시오",IF($E1182="※없는 과목","④ 설정에 없는 과목입니다",IF(AND($E1182="수입",$J1182&gt;0),"수입 과목인데 지출에 적혔습니다",IF(AND(LEFT($E1182,2)&lt;&gt;"수입",$E1182&lt;&gt;"대체",$I1182&gt;0),"지출 과목인데 수입에 적혔습니다",IF($K1182="","증빙을 고르십시오",IF($H1182="","적요를 적으십시오","")))))))))))</f>
        <v/>
      </c>
      <c r="M1182" s="39"/>
      <c r="O1182" s="11" t="str">
        <f aca="false">IF($B1182="","",YEAR($B1182)*100+MONTH($B1182))</f>
        <v/>
      </c>
      <c r="P1182" s="11" t="str">
        <f aca="false">IF($B1182="","",IF($E1182="대체",0,1))</f>
        <v/>
      </c>
    </row>
    <row r="1183" customFormat="false" ht="15" hidden="false" customHeight="false" outlineLevel="0" collapsed="false">
      <c r="A1183" s="36" t="str">
        <f aca="false">IF($B1183="","",COUNT($B$15:$B1183))</f>
        <v/>
      </c>
      <c r="B1183" s="37"/>
      <c r="C1183" s="38"/>
      <c r="D1183" s="20"/>
      <c r="E1183" s="36" t="str">
        <f aca="false">IF($D1183="","",IFERROR(INDEX('교육원 ④ 설정'!$A$6:$A$40,MATCH($D1183,'교육원 ④ 설정'!$B$6:$B$40,0)),"※없는 과목"))</f>
        <v/>
      </c>
      <c r="F1183" s="36" t="str">
        <f aca="false">IF($D1183="","",IFERROR(INDEX('교육원 ④ 설정'!$C$6:$C$40,MATCH($D1183,'교육원 ④ 설정'!$B$6:$B$40,0)),""))</f>
        <v/>
      </c>
      <c r="G1183" s="39"/>
      <c r="H1183" s="39"/>
      <c r="I1183" s="40"/>
      <c r="J1183" s="41"/>
      <c r="K1183" s="38"/>
      <c r="L1183" s="42" t="str">
        <f aca="false">IF($B1183="","",IF(AND(N($I1183)=0,N($J1183)=0),"금액이 없습니다",IF(AND($I1183&gt;0,$J1183&gt;0),"수입·지출 둘 다 적혔습니다",IF($C1183="","결제수단을 고르십시오",IF(ISNA(MATCH($C1183,'교육원 ③ 통장·카드'!$A$5:$A$11,0)),"③ 통장·카드에 없는 결제수단입니다",IF($D1183="","계정과목을 고르십시오",IF($E1183="※없는 과목","④ 설정에 없는 과목입니다",IF(AND($E1183="수입",$J1183&gt;0),"수입 과목인데 지출에 적혔습니다",IF(AND(LEFT($E1183,2)&lt;&gt;"수입",$E1183&lt;&gt;"대체",$I1183&gt;0),"지출 과목인데 수입에 적혔습니다",IF($K1183="","증빙을 고르십시오",IF($H1183="","적요를 적으십시오","")))))))))))</f>
        <v/>
      </c>
      <c r="M1183" s="39"/>
      <c r="O1183" s="11" t="str">
        <f aca="false">IF($B1183="","",YEAR($B1183)*100+MONTH($B1183))</f>
        <v/>
      </c>
      <c r="P1183" s="11" t="str">
        <f aca="false">IF($B1183="","",IF($E1183="대체",0,1))</f>
        <v/>
      </c>
    </row>
    <row r="1184" customFormat="false" ht="15" hidden="false" customHeight="false" outlineLevel="0" collapsed="false">
      <c r="A1184" s="36" t="str">
        <f aca="false">IF($B1184="","",COUNT($B$15:$B1184))</f>
        <v/>
      </c>
      <c r="B1184" s="37"/>
      <c r="C1184" s="38"/>
      <c r="D1184" s="20"/>
      <c r="E1184" s="36" t="str">
        <f aca="false">IF($D1184="","",IFERROR(INDEX('교육원 ④ 설정'!$A$6:$A$40,MATCH($D1184,'교육원 ④ 설정'!$B$6:$B$40,0)),"※없는 과목"))</f>
        <v/>
      </c>
      <c r="F1184" s="36" t="str">
        <f aca="false">IF($D1184="","",IFERROR(INDEX('교육원 ④ 설정'!$C$6:$C$40,MATCH($D1184,'교육원 ④ 설정'!$B$6:$B$40,0)),""))</f>
        <v/>
      </c>
      <c r="G1184" s="39"/>
      <c r="H1184" s="39"/>
      <c r="I1184" s="40"/>
      <c r="J1184" s="41"/>
      <c r="K1184" s="38"/>
      <c r="L1184" s="42" t="str">
        <f aca="false">IF($B1184="","",IF(AND(N($I1184)=0,N($J1184)=0),"금액이 없습니다",IF(AND($I1184&gt;0,$J1184&gt;0),"수입·지출 둘 다 적혔습니다",IF($C1184="","결제수단을 고르십시오",IF(ISNA(MATCH($C1184,'교육원 ③ 통장·카드'!$A$5:$A$11,0)),"③ 통장·카드에 없는 결제수단입니다",IF($D1184="","계정과목을 고르십시오",IF($E1184="※없는 과목","④ 설정에 없는 과목입니다",IF(AND($E1184="수입",$J1184&gt;0),"수입 과목인데 지출에 적혔습니다",IF(AND(LEFT($E1184,2)&lt;&gt;"수입",$E1184&lt;&gt;"대체",$I1184&gt;0),"지출 과목인데 수입에 적혔습니다",IF($K1184="","증빙을 고르십시오",IF($H1184="","적요를 적으십시오","")))))))))))</f>
        <v/>
      </c>
      <c r="M1184" s="39"/>
      <c r="O1184" s="11" t="str">
        <f aca="false">IF($B1184="","",YEAR($B1184)*100+MONTH($B1184))</f>
        <v/>
      </c>
      <c r="P1184" s="11" t="str">
        <f aca="false">IF($B1184="","",IF($E1184="대체",0,1))</f>
        <v/>
      </c>
    </row>
    <row r="1185" customFormat="false" ht="15" hidden="false" customHeight="false" outlineLevel="0" collapsed="false">
      <c r="A1185" s="36" t="str">
        <f aca="false">IF($B1185="","",COUNT($B$15:$B1185))</f>
        <v/>
      </c>
      <c r="B1185" s="37"/>
      <c r="C1185" s="38"/>
      <c r="D1185" s="20"/>
      <c r="E1185" s="36" t="str">
        <f aca="false">IF($D1185="","",IFERROR(INDEX('교육원 ④ 설정'!$A$6:$A$40,MATCH($D1185,'교육원 ④ 설정'!$B$6:$B$40,0)),"※없는 과목"))</f>
        <v/>
      </c>
      <c r="F1185" s="36" t="str">
        <f aca="false">IF($D1185="","",IFERROR(INDEX('교육원 ④ 설정'!$C$6:$C$40,MATCH($D1185,'교육원 ④ 설정'!$B$6:$B$40,0)),""))</f>
        <v/>
      </c>
      <c r="G1185" s="39"/>
      <c r="H1185" s="39"/>
      <c r="I1185" s="40"/>
      <c r="J1185" s="41"/>
      <c r="K1185" s="38"/>
      <c r="L1185" s="42" t="str">
        <f aca="false">IF($B1185="","",IF(AND(N($I1185)=0,N($J1185)=0),"금액이 없습니다",IF(AND($I1185&gt;0,$J1185&gt;0),"수입·지출 둘 다 적혔습니다",IF($C1185="","결제수단을 고르십시오",IF(ISNA(MATCH($C1185,'교육원 ③ 통장·카드'!$A$5:$A$11,0)),"③ 통장·카드에 없는 결제수단입니다",IF($D1185="","계정과목을 고르십시오",IF($E1185="※없는 과목","④ 설정에 없는 과목입니다",IF(AND($E1185="수입",$J1185&gt;0),"수입 과목인데 지출에 적혔습니다",IF(AND(LEFT($E1185,2)&lt;&gt;"수입",$E1185&lt;&gt;"대체",$I1185&gt;0),"지출 과목인데 수입에 적혔습니다",IF($K1185="","증빙을 고르십시오",IF($H1185="","적요를 적으십시오","")))))))))))</f>
        <v/>
      </c>
      <c r="M1185" s="39"/>
      <c r="O1185" s="11" t="str">
        <f aca="false">IF($B1185="","",YEAR($B1185)*100+MONTH($B1185))</f>
        <v/>
      </c>
      <c r="P1185" s="11" t="str">
        <f aca="false">IF($B1185="","",IF($E1185="대체",0,1))</f>
        <v/>
      </c>
    </row>
    <row r="1186" customFormat="false" ht="15" hidden="false" customHeight="false" outlineLevel="0" collapsed="false">
      <c r="A1186" s="36" t="str">
        <f aca="false">IF($B1186="","",COUNT($B$15:$B1186))</f>
        <v/>
      </c>
      <c r="B1186" s="37"/>
      <c r="C1186" s="38"/>
      <c r="D1186" s="20"/>
      <c r="E1186" s="36" t="str">
        <f aca="false">IF($D1186="","",IFERROR(INDEX('교육원 ④ 설정'!$A$6:$A$40,MATCH($D1186,'교육원 ④ 설정'!$B$6:$B$40,0)),"※없는 과목"))</f>
        <v/>
      </c>
      <c r="F1186" s="36" t="str">
        <f aca="false">IF($D1186="","",IFERROR(INDEX('교육원 ④ 설정'!$C$6:$C$40,MATCH($D1186,'교육원 ④ 설정'!$B$6:$B$40,0)),""))</f>
        <v/>
      </c>
      <c r="G1186" s="39"/>
      <c r="H1186" s="39"/>
      <c r="I1186" s="40"/>
      <c r="J1186" s="41"/>
      <c r="K1186" s="38"/>
      <c r="L1186" s="42" t="str">
        <f aca="false">IF($B1186="","",IF(AND(N($I1186)=0,N($J1186)=0),"금액이 없습니다",IF(AND($I1186&gt;0,$J1186&gt;0),"수입·지출 둘 다 적혔습니다",IF($C1186="","결제수단을 고르십시오",IF(ISNA(MATCH($C1186,'교육원 ③ 통장·카드'!$A$5:$A$11,0)),"③ 통장·카드에 없는 결제수단입니다",IF($D1186="","계정과목을 고르십시오",IF($E1186="※없는 과목","④ 설정에 없는 과목입니다",IF(AND($E1186="수입",$J1186&gt;0),"수입 과목인데 지출에 적혔습니다",IF(AND(LEFT($E1186,2)&lt;&gt;"수입",$E1186&lt;&gt;"대체",$I1186&gt;0),"지출 과목인데 수입에 적혔습니다",IF($K1186="","증빙을 고르십시오",IF($H1186="","적요를 적으십시오","")))))))))))</f>
        <v/>
      </c>
      <c r="M1186" s="39"/>
      <c r="O1186" s="11" t="str">
        <f aca="false">IF($B1186="","",YEAR($B1186)*100+MONTH($B1186))</f>
        <v/>
      </c>
      <c r="P1186" s="11" t="str">
        <f aca="false">IF($B1186="","",IF($E1186="대체",0,1))</f>
        <v/>
      </c>
    </row>
    <row r="1187" customFormat="false" ht="15" hidden="false" customHeight="false" outlineLevel="0" collapsed="false">
      <c r="A1187" s="36" t="str">
        <f aca="false">IF($B1187="","",COUNT($B$15:$B1187))</f>
        <v/>
      </c>
      <c r="B1187" s="37"/>
      <c r="C1187" s="38"/>
      <c r="D1187" s="20"/>
      <c r="E1187" s="36" t="str">
        <f aca="false">IF($D1187="","",IFERROR(INDEX('교육원 ④ 설정'!$A$6:$A$40,MATCH($D1187,'교육원 ④ 설정'!$B$6:$B$40,0)),"※없는 과목"))</f>
        <v/>
      </c>
      <c r="F1187" s="36" t="str">
        <f aca="false">IF($D1187="","",IFERROR(INDEX('교육원 ④ 설정'!$C$6:$C$40,MATCH($D1187,'교육원 ④ 설정'!$B$6:$B$40,0)),""))</f>
        <v/>
      </c>
      <c r="G1187" s="39"/>
      <c r="H1187" s="39"/>
      <c r="I1187" s="40"/>
      <c r="J1187" s="41"/>
      <c r="K1187" s="38"/>
      <c r="L1187" s="42" t="str">
        <f aca="false">IF($B1187="","",IF(AND(N($I1187)=0,N($J1187)=0),"금액이 없습니다",IF(AND($I1187&gt;0,$J1187&gt;0),"수입·지출 둘 다 적혔습니다",IF($C1187="","결제수단을 고르십시오",IF(ISNA(MATCH($C1187,'교육원 ③ 통장·카드'!$A$5:$A$11,0)),"③ 통장·카드에 없는 결제수단입니다",IF($D1187="","계정과목을 고르십시오",IF($E1187="※없는 과목","④ 설정에 없는 과목입니다",IF(AND($E1187="수입",$J1187&gt;0),"수입 과목인데 지출에 적혔습니다",IF(AND(LEFT($E1187,2)&lt;&gt;"수입",$E1187&lt;&gt;"대체",$I1187&gt;0),"지출 과목인데 수입에 적혔습니다",IF($K1187="","증빙을 고르십시오",IF($H1187="","적요를 적으십시오","")))))))))))</f>
        <v/>
      </c>
      <c r="M1187" s="39"/>
      <c r="O1187" s="11" t="str">
        <f aca="false">IF($B1187="","",YEAR($B1187)*100+MONTH($B1187))</f>
        <v/>
      </c>
      <c r="P1187" s="11" t="str">
        <f aca="false">IF($B1187="","",IF($E1187="대체",0,1))</f>
        <v/>
      </c>
    </row>
    <row r="1188" customFormat="false" ht="15" hidden="false" customHeight="false" outlineLevel="0" collapsed="false">
      <c r="A1188" s="36" t="str">
        <f aca="false">IF($B1188="","",COUNT($B$15:$B1188))</f>
        <v/>
      </c>
      <c r="B1188" s="37"/>
      <c r="C1188" s="38"/>
      <c r="D1188" s="20"/>
      <c r="E1188" s="36" t="str">
        <f aca="false">IF($D1188="","",IFERROR(INDEX('교육원 ④ 설정'!$A$6:$A$40,MATCH($D1188,'교육원 ④ 설정'!$B$6:$B$40,0)),"※없는 과목"))</f>
        <v/>
      </c>
      <c r="F1188" s="36" t="str">
        <f aca="false">IF($D1188="","",IFERROR(INDEX('교육원 ④ 설정'!$C$6:$C$40,MATCH($D1188,'교육원 ④ 설정'!$B$6:$B$40,0)),""))</f>
        <v/>
      </c>
      <c r="G1188" s="39"/>
      <c r="H1188" s="39"/>
      <c r="I1188" s="40"/>
      <c r="J1188" s="41"/>
      <c r="K1188" s="38"/>
      <c r="L1188" s="42" t="str">
        <f aca="false">IF($B1188="","",IF(AND(N($I1188)=0,N($J1188)=0),"금액이 없습니다",IF(AND($I1188&gt;0,$J1188&gt;0),"수입·지출 둘 다 적혔습니다",IF($C1188="","결제수단을 고르십시오",IF(ISNA(MATCH($C1188,'교육원 ③ 통장·카드'!$A$5:$A$11,0)),"③ 통장·카드에 없는 결제수단입니다",IF($D1188="","계정과목을 고르십시오",IF($E1188="※없는 과목","④ 설정에 없는 과목입니다",IF(AND($E1188="수입",$J1188&gt;0),"수입 과목인데 지출에 적혔습니다",IF(AND(LEFT($E1188,2)&lt;&gt;"수입",$E1188&lt;&gt;"대체",$I1188&gt;0),"지출 과목인데 수입에 적혔습니다",IF($K1188="","증빙을 고르십시오",IF($H1188="","적요를 적으십시오","")))))))))))</f>
        <v/>
      </c>
      <c r="M1188" s="39"/>
      <c r="O1188" s="11" t="str">
        <f aca="false">IF($B1188="","",YEAR($B1188)*100+MONTH($B1188))</f>
        <v/>
      </c>
      <c r="P1188" s="11" t="str">
        <f aca="false">IF($B1188="","",IF($E1188="대체",0,1))</f>
        <v/>
      </c>
    </row>
    <row r="1189" customFormat="false" ht="15" hidden="false" customHeight="false" outlineLevel="0" collapsed="false">
      <c r="A1189" s="36" t="str">
        <f aca="false">IF($B1189="","",COUNT($B$15:$B1189))</f>
        <v/>
      </c>
      <c r="B1189" s="37"/>
      <c r="C1189" s="38"/>
      <c r="D1189" s="20"/>
      <c r="E1189" s="36" t="str">
        <f aca="false">IF($D1189="","",IFERROR(INDEX('교육원 ④ 설정'!$A$6:$A$40,MATCH($D1189,'교육원 ④ 설정'!$B$6:$B$40,0)),"※없는 과목"))</f>
        <v/>
      </c>
      <c r="F1189" s="36" t="str">
        <f aca="false">IF($D1189="","",IFERROR(INDEX('교육원 ④ 설정'!$C$6:$C$40,MATCH($D1189,'교육원 ④ 설정'!$B$6:$B$40,0)),""))</f>
        <v/>
      </c>
      <c r="G1189" s="39"/>
      <c r="H1189" s="39"/>
      <c r="I1189" s="40"/>
      <c r="J1189" s="41"/>
      <c r="K1189" s="38"/>
      <c r="L1189" s="42" t="str">
        <f aca="false">IF($B1189="","",IF(AND(N($I1189)=0,N($J1189)=0),"금액이 없습니다",IF(AND($I1189&gt;0,$J1189&gt;0),"수입·지출 둘 다 적혔습니다",IF($C1189="","결제수단을 고르십시오",IF(ISNA(MATCH($C1189,'교육원 ③ 통장·카드'!$A$5:$A$11,0)),"③ 통장·카드에 없는 결제수단입니다",IF($D1189="","계정과목을 고르십시오",IF($E1189="※없는 과목","④ 설정에 없는 과목입니다",IF(AND($E1189="수입",$J1189&gt;0),"수입 과목인데 지출에 적혔습니다",IF(AND(LEFT($E1189,2)&lt;&gt;"수입",$E1189&lt;&gt;"대체",$I1189&gt;0),"지출 과목인데 수입에 적혔습니다",IF($K1189="","증빙을 고르십시오",IF($H1189="","적요를 적으십시오","")))))))))))</f>
        <v/>
      </c>
      <c r="M1189" s="39"/>
      <c r="O1189" s="11" t="str">
        <f aca="false">IF($B1189="","",YEAR($B1189)*100+MONTH($B1189))</f>
        <v/>
      </c>
      <c r="P1189" s="11" t="str">
        <f aca="false">IF($B1189="","",IF($E1189="대체",0,1))</f>
        <v/>
      </c>
    </row>
    <row r="1190" customFormat="false" ht="15" hidden="false" customHeight="false" outlineLevel="0" collapsed="false">
      <c r="A1190" s="36" t="str">
        <f aca="false">IF($B1190="","",COUNT($B$15:$B1190))</f>
        <v/>
      </c>
      <c r="B1190" s="37"/>
      <c r="C1190" s="38"/>
      <c r="D1190" s="20"/>
      <c r="E1190" s="36" t="str">
        <f aca="false">IF($D1190="","",IFERROR(INDEX('교육원 ④ 설정'!$A$6:$A$40,MATCH($D1190,'교육원 ④ 설정'!$B$6:$B$40,0)),"※없는 과목"))</f>
        <v/>
      </c>
      <c r="F1190" s="36" t="str">
        <f aca="false">IF($D1190="","",IFERROR(INDEX('교육원 ④ 설정'!$C$6:$C$40,MATCH($D1190,'교육원 ④ 설정'!$B$6:$B$40,0)),""))</f>
        <v/>
      </c>
      <c r="G1190" s="39"/>
      <c r="H1190" s="39"/>
      <c r="I1190" s="40"/>
      <c r="J1190" s="41"/>
      <c r="K1190" s="38"/>
      <c r="L1190" s="42" t="str">
        <f aca="false">IF($B1190="","",IF(AND(N($I1190)=0,N($J1190)=0),"금액이 없습니다",IF(AND($I1190&gt;0,$J1190&gt;0),"수입·지출 둘 다 적혔습니다",IF($C1190="","결제수단을 고르십시오",IF(ISNA(MATCH($C1190,'교육원 ③ 통장·카드'!$A$5:$A$11,0)),"③ 통장·카드에 없는 결제수단입니다",IF($D1190="","계정과목을 고르십시오",IF($E1190="※없는 과목","④ 설정에 없는 과목입니다",IF(AND($E1190="수입",$J1190&gt;0),"수입 과목인데 지출에 적혔습니다",IF(AND(LEFT($E1190,2)&lt;&gt;"수입",$E1190&lt;&gt;"대체",$I1190&gt;0),"지출 과목인데 수입에 적혔습니다",IF($K1190="","증빙을 고르십시오",IF($H1190="","적요를 적으십시오","")))))))))))</f>
        <v/>
      </c>
      <c r="M1190" s="39"/>
      <c r="O1190" s="11" t="str">
        <f aca="false">IF($B1190="","",YEAR($B1190)*100+MONTH($B1190))</f>
        <v/>
      </c>
      <c r="P1190" s="11" t="str">
        <f aca="false">IF($B1190="","",IF($E1190="대체",0,1))</f>
        <v/>
      </c>
    </row>
    <row r="1191" customFormat="false" ht="15" hidden="false" customHeight="false" outlineLevel="0" collapsed="false">
      <c r="A1191" s="36" t="str">
        <f aca="false">IF($B1191="","",COUNT($B$15:$B1191))</f>
        <v/>
      </c>
      <c r="B1191" s="37"/>
      <c r="C1191" s="38"/>
      <c r="D1191" s="20"/>
      <c r="E1191" s="36" t="str">
        <f aca="false">IF($D1191="","",IFERROR(INDEX('교육원 ④ 설정'!$A$6:$A$40,MATCH($D1191,'교육원 ④ 설정'!$B$6:$B$40,0)),"※없는 과목"))</f>
        <v/>
      </c>
      <c r="F1191" s="36" t="str">
        <f aca="false">IF($D1191="","",IFERROR(INDEX('교육원 ④ 설정'!$C$6:$C$40,MATCH($D1191,'교육원 ④ 설정'!$B$6:$B$40,0)),""))</f>
        <v/>
      </c>
      <c r="G1191" s="39"/>
      <c r="H1191" s="39"/>
      <c r="I1191" s="40"/>
      <c r="J1191" s="41"/>
      <c r="K1191" s="38"/>
      <c r="L1191" s="42" t="str">
        <f aca="false">IF($B1191="","",IF(AND(N($I1191)=0,N($J1191)=0),"금액이 없습니다",IF(AND($I1191&gt;0,$J1191&gt;0),"수입·지출 둘 다 적혔습니다",IF($C1191="","결제수단을 고르십시오",IF(ISNA(MATCH($C1191,'교육원 ③ 통장·카드'!$A$5:$A$11,0)),"③ 통장·카드에 없는 결제수단입니다",IF($D1191="","계정과목을 고르십시오",IF($E1191="※없는 과목","④ 설정에 없는 과목입니다",IF(AND($E1191="수입",$J1191&gt;0),"수입 과목인데 지출에 적혔습니다",IF(AND(LEFT($E1191,2)&lt;&gt;"수입",$E1191&lt;&gt;"대체",$I1191&gt;0),"지출 과목인데 수입에 적혔습니다",IF($K1191="","증빙을 고르십시오",IF($H1191="","적요를 적으십시오","")))))))))))</f>
        <v/>
      </c>
      <c r="M1191" s="39"/>
      <c r="O1191" s="11" t="str">
        <f aca="false">IF($B1191="","",YEAR($B1191)*100+MONTH($B1191))</f>
        <v/>
      </c>
      <c r="P1191" s="11" t="str">
        <f aca="false">IF($B1191="","",IF($E1191="대체",0,1))</f>
        <v/>
      </c>
    </row>
    <row r="1192" customFormat="false" ht="15" hidden="false" customHeight="false" outlineLevel="0" collapsed="false">
      <c r="A1192" s="36" t="str">
        <f aca="false">IF($B1192="","",COUNT($B$15:$B1192))</f>
        <v/>
      </c>
      <c r="B1192" s="37"/>
      <c r="C1192" s="38"/>
      <c r="D1192" s="20"/>
      <c r="E1192" s="36" t="str">
        <f aca="false">IF($D1192="","",IFERROR(INDEX('교육원 ④ 설정'!$A$6:$A$40,MATCH($D1192,'교육원 ④ 설정'!$B$6:$B$40,0)),"※없는 과목"))</f>
        <v/>
      </c>
      <c r="F1192" s="36" t="str">
        <f aca="false">IF($D1192="","",IFERROR(INDEX('교육원 ④ 설정'!$C$6:$C$40,MATCH($D1192,'교육원 ④ 설정'!$B$6:$B$40,0)),""))</f>
        <v/>
      </c>
      <c r="G1192" s="39"/>
      <c r="H1192" s="39"/>
      <c r="I1192" s="40"/>
      <c r="J1192" s="41"/>
      <c r="K1192" s="38"/>
      <c r="L1192" s="42" t="str">
        <f aca="false">IF($B1192="","",IF(AND(N($I1192)=0,N($J1192)=0),"금액이 없습니다",IF(AND($I1192&gt;0,$J1192&gt;0),"수입·지출 둘 다 적혔습니다",IF($C1192="","결제수단을 고르십시오",IF(ISNA(MATCH($C1192,'교육원 ③ 통장·카드'!$A$5:$A$11,0)),"③ 통장·카드에 없는 결제수단입니다",IF($D1192="","계정과목을 고르십시오",IF($E1192="※없는 과목","④ 설정에 없는 과목입니다",IF(AND($E1192="수입",$J1192&gt;0),"수입 과목인데 지출에 적혔습니다",IF(AND(LEFT($E1192,2)&lt;&gt;"수입",$E1192&lt;&gt;"대체",$I1192&gt;0),"지출 과목인데 수입에 적혔습니다",IF($K1192="","증빙을 고르십시오",IF($H1192="","적요를 적으십시오","")))))))))))</f>
        <v/>
      </c>
      <c r="M1192" s="39"/>
      <c r="O1192" s="11" t="str">
        <f aca="false">IF($B1192="","",YEAR($B1192)*100+MONTH($B1192))</f>
        <v/>
      </c>
      <c r="P1192" s="11" t="str">
        <f aca="false">IF($B1192="","",IF($E1192="대체",0,1))</f>
        <v/>
      </c>
    </row>
    <row r="1193" customFormat="false" ht="15" hidden="false" customHeight="false" outlineLevel="0" collapsed="false">
      <c r="A1193" s="36" t="str">
        <f aca="false">IF($B1193="","",COUNT($B$15:$B1193))</f>
        <v/>
      </c>
      <c r="B1193" s="37"/>
      <c r="C1193" s="38"/>
      <c r="D1193" s="20"/>
      <c r="E1193" s="36" t="str">
        <f aca="false">IF($D1193="","",IFERROR(INDEX('교육원 ④ 설정'!$A$6:$A$40,MATCH($D1193,'교육원 ④ 설정'!$B$6:$B$40,0)),"※없는 과목"))</f>
        <v/>
      </c>
      <c r="F1193" s="36" t="str">
        <f aca="false">IF($D1193="","",IFERROR(INDEX('교육원 ④ 설정'!$C$6:$C$40,MATCH($D1193,'교육원 ④ 설정'!$B$6:$B$40,0)),""))</f>
        <v/>
      </c>
      <c r="G1193" s="39"/>
      <c r="H1193" s="39"/>
      <c r="I1193" s="40"/>
      <c r="J1193" s="41"/>
      <c r="K1193" s="38"/>
      <c r="L1193" s="42" t="str">
        <f aca="false">IF($B1193="","",IF(AND(N($I1193)=0,N($J1193)=0),"금액이 없습니다",IF(AND($I1193&gt;0,$J1193&gt;0),"수입·지출 둘 다 적혔습니다",IF($C1193="","결제수단을 고르십시오",IF(ISNA(MATCH($C1193,'교육원 ③ 통장·카드'!$A$5:$A$11,0)),"③ 통장·카드에 없는 결제수단입니다",IF($D1193="","계정과목을 고르십시오",IF($E1193="※없는 과목","④ 설정에 없는 과목입니다",IF(AND($E1193="수입",$J1193&gt;0),"수입 과목인데 지출에 적혔습니다",IF(AND(LEFT($E1193,2)&lt;&gt;"수입",$E1193&lt;&gt;"대체",$I1193&gt;0),"지출 과목인데 수입에 적혔습니다",IF($K1193="","증빙을 고르십시오",IF($H1193="","적요를 적으십시오","")))))))))))</f>
        <v/>
      </c>
      <c r="M1193" s="39"/>
      <c r="O1193" s="11" t="str">
        <f aca="false">IF($B1193="","",YEAR($B1193)*100+MONTH($B1193))</f>
        <v/>
      </c>
      <c r="P1193" s="11" t="str">
        <f aca="false">IF($B1193="","",IF($E1193="대체",0,1))</f>
        <v/>
      </c>
    </row>
    <row r="1194" customFormat="false" ht="15" hidden="false" customHeight="false" outlineLevel="0" collapsed="false">
      <c r="A1194" s="36" t="str">
        <f aca="false">IF($B1194="","",COUNT($B$15:$B1194))</f>
        <v/>
      </c>
      <c r="B1194" s="37"/>
      <c r="C1194" s="38"/>
      <c r="D1194" s="20"/>
      <c r="E1194" s="36" t="str">
        <f aca="false">IF($D1194="","",IFERROR(INDEX('교육원 ④ 설정'!$A$6:$A$40,MATCH($D1194,'교육원 ④ 설정'!$B$6:$B$40,0)),"※없는 과목"))</f>
        <v/>
      </c>
      <c r="F1194" s="36" t="str">
        <f aca="false">IF($D1194="","",IFERROR(INDEX('교육원 ④ 설정'!$C$6:$C$40,MATCH($D1194,'교육원 ④ 설정'!$B$6:$B$40,0)),""))</f>
        <v/>
      </c>
      <c r="G1194" s="39"/>
      <c r="H1194" s="39"/>
      <c r="I1194" s="40"/>
      <c r="J1194" s="41"/>
      <c r="K1194" s="38"/>
      <c r="L1194" s="42" t="str">
        <f aca="false">IF($B1194="","",IF(AND(N($I1194)=0,N($J1194)=0),"금액이 없습니다",IF(AND($I1194&gt;0,$J1194&gt;0),"수입·지출 둘 다 적혔습니다",IF($C1194="","결제수단을 고르십시오",IF(ISNA(MATCH($C1194,'교육원 ③ 통장·카드'!$A$5:$A$11,0)),"③ 통장·카드에 없는 결제수단입니다",IF($D1194="","계정과목을 고르십시오",IF($E1194="※없는 과목","④ 설정에 없는 과목입니다",IF(AND($E1194="수입",$J1194&gt;0),"수입 과목인데 지출에 적혔습니다",IF(AND(LEFT($E1194,2)&lt;&gt;"수입",$E1194&lt;&gt;"대체",$I1194&gt;0),"지출 과목인데 수입에 적혔습니다",IF($K1194="","증빙을 고르십시오",IF($H1194="","적요를 적으십시오","")))))))))))</f>
        <v/>
      </c>
      <c r="M1194" s="39"/>
      <c r="O1194" s="11" t="str">
        <f aca="false">IF($B1194="","",YEAR($B1194)*100+MONTH($B1194))</f>
        <v/>
      </c>
      <c r="P1194" s="11" t="str">
        <f aca="false">IF($B1194="","",IF($E1194="대체",0,1))</f>
        <v/>
      </c>
    </row>
    <row r="1195" customFormat="false" ht="15" hidden="false" customHeight="false" outlineLevel="0" collapsed="false">
      <c r="A1195" s="36" t="str">
        <f aca="false">IF($B1195="","",COUNT($B$15:$B1195))</f>
        <v/>
      </c>
      <c r="B1195" s="37"/>
      <c r="C1195" s="38"/>
      <c r="D1195" s="20"/>
      <c r="E1195" s="36" t="str">
        <f aca="false">IF($D1195="","",IFERROR(INDEX('교육원 ④ 설정'!$A$6:$A$40,MATCH($D1195,'교육원 ④ 설정'!$B$6:$B$40,0)),"※없는 과목"))</f>
        <v/>
      </c>
      <c r="F1195" s="36" t="str">
        <f aca="false">IF($D1195="","",IFERROR(INDEX('교육원 ④ 설정'!$C$6:$C$40,MATCH($D1195,'교육원 ④ 설정'!$B$6:$B$40,0)),""))</f>
        <v/>
      </c>
      <c r="G1195" s="39"/>
      <c r="H1195" s="39"/>
      <c r="I1195" s="40"/>
      <c r="J1195" s="41"/>
      <c r="K1195" s="38"/>
      <c r="L1195" s="42" t="str">
        <f aca="false">IF($B1195="","",IF(AND(N($I1195)=0,N($J1195)=0),"금액이 없습니다",IF(AND($I1195&gt;0,$J1195&gt;0),"수입·지출 둘 다 적혔습니다",IF($C1195="","결제수단을 고르십시오",IF(ISNA(MATCH($C1195,'교육원 ③ 통장·카드'!$A$5:$A$11,0)),"③ 통장·카드에 없는 결제수단입니다",IF($D1195="","계정과목을 고르십시오",IF($E1195="※없는 과목","④ 설정에 없는 과목입니다",IF(AND($E1195="수입",$J1195&gt;0),"수입 과목인데 지출에 적혔습니다",IF(AND(LEFT($E1195,2)&lt;&gt;"수입",$E1195&lt;&gt;"대체",$I1195&gt;0),"지출 과목인데 수입에 적혔습니다",IF($K1195="","증빙을 고르십시오",IF($H1195="","적요를 적으십시오","")))))))))))</f>
        <v/>
      </c>
      <c r="M1195" s="39"/>
      <c r="O1195" s="11" t="str">
        <f aca="false">IF($B1195="","",YEAR($B1195)*100+MONTH($B1195))</f>
        <v/>
      </c>
      <c r="P1195" s="11" t="str">
        <f aca="false">IF($B1195="","",IF($E1195="대체",0,1))</f>
        <v/>
      </c>
    </row>
    <row r="1196" customFormat="false" ht="15" hidden="false" customHeight="false" outlineLevel="0" collapsed="false">
      <c r="A1196" s="36" t="str">
        <f aca="false">IF($B1196="","",COUNT($B$15:$B1196))</f>
        <v/>
      </c>
      <c r="B1196" s="37"/>
      <c r="C1196" s="38"/>
      <c r="D1196" s="20"/>
      <c r="E1196" s="36" t="str">
        <f aca="false">IF($D1196="","",IFERROR(INDEX('교육원 ④ 설정'!$A$6:$A$40,MATCH($D1196,'교육원 ④ 설정'!$B$6:$B$40,0)),"※없는 과목"))</f>
        <v/>
      </c>
      <c r="F1196" s="36" t="str">
        <f aca="false">IF($D1196="","",IFERROR(INDEX('교육원 ④ 설정'!$C$6:$C$40,MATCH($D1196,'교육원 ④ 설정'!$B$6:$B$40,0)),""))</f>
        <v/>
      </c>
      <c r="G1196" s="39"/>
      <c r="H1196" s="39"/>
      <c r="I1196" s="40"/>
      <c r="J1196" s="41"/>
      <c r="K1196" s="38"/>
      <c r="L1196" s="42" t="str">
        <f aca="false">IF($B1196="","",IF(AND(N($I1196)=0,N($J1196)=0),"금액이 없습니다",IF(AND($I1196&gt;0,$J1196&gt;0),"수입·지출 둘 다 적혔습니다",IF($C1196="","결제수단을 고르십시오",IF(ISNA(MATCH($C1196,'교육원 ③ 통장·카드'!$A$5:$A$11,0)),"③ 통장·카드에 없는 결제수단입니다",IF($D1196="","계정과목을 고르십시오",IF($E1196="※없는 과목","④ 설정에 없는 과목입니다",IF(AND($E1196="수입",$J1196&gt;0),"수입 과목인데 지출에 적혔습니다",IF(AND(LEFT($E1196,2)&lt;&gt;"수입",$E1196&lt;&gt;"대체",$I1196&gt;0),"지출 과목인데 수입에 적혔습니다",IF($K1196="","증빙을 고르십시오",IF($H1196="","적요를 적으십시오","")))))))))))</f>
        <v/>
      </c>
      <c r="M1196" s="39"/>
      <c r="O1196" s="11" t="str">
        <f aca="false">IF($B1196="","",YEAR($B1196)*100+MONTH($B1196))</f>
        <v/>
      </c>
      <c r="P1196" s="11" t="str">
        <f aca="false">IF($B1196="","",IF($E1196="대체",0,1))</f>
        <v/>
      </c>
    </row>
    <row r="1197" customFormat="false" ht="15" hidden="false" customHeight="false" outlineLevel="0" collapsed="false">
      <c r="A1197" s="36" t="str">
        <f aca="false">IF($B1197="","",COUNT($B$15:$B1197))</f>
        <v/>
      </c>
      <c r="B1197" s="37"/>
      <c r="C1197" s="38"/>
      <c r="D1197" s="20"/>
      <c r="E1197" s="36" t="str">
        <f aca="false">IF($D1197="","",IFERROR(INDEX('교육원 ④ 설정'!$A$6:$A$40,MATCH($D1197,'교육원 ④ 설정'!$B$6:$B$40,0)),"※없는 과목"))</f>
        <v/>
      </c>
      <c r="F1197" s="36" t="str">
        <f aca="false">IF($D1197="","",IFERROR(INDEX('교육원 ④ 설정'!$C$6:$C$40,MATCH($D1197,'교육원 ④ 설정'!$B$6:$B$40,0)),""))</f>
        <v/>
      </c>
      <c r="G1197" s="39"/>
      <c r="H1197" s="39"/>
      <c r="I1197" s="40"/>
      <c r="J1197" s="41"/>
      <c r="K1197" s="38"/>
      <c r="L1197" s="42" t="str">
        <f aca="false">IF($B1197="","",IF(AND(N($I1197)=0,N($J1197)=0),"금액이 없습니다",IF(AND($I1197&gt;0,$J1197&gt;0),"수입·지출 둘 다 적혔습니다",IF($C1197="","결제수단을 고르십시오",IF(ISNA(MATCH($C1197,'교육원 ③ 통장·카드'!$A$5:$A$11,0)),"③ 통장·카드에 없는 결제수단입니다",IF($D1197="","계정과목을 고르십시오",IF($E1197="※없는 과목","④ 설정에 없는 과목입니다",IF(AND($E1197="수입",$J1197&gt;0),"수입 과목인데 지출에 적혔습니다",IF(AND(LEFT($E1197,2)&lt;&gt;"수입",$E1197&lt;&gt;"대체",$I1197&gt;0),"지출 과목인데 수입에 적혔습니다",IF($K1197="","증빙을 고르십시오",IF($H1197="","적요를 적으십시오","")))))))))))</f>
        <v/>
      </c>
      <c r="M1197" s="39"/>
      <c r="O1197" s="11" t="str">
        <f aca="false">IF($B1197="","",YEAR($B1197)*100+MONTH($B1197))</f>
        <v/>
      </c>
      <c r="P1197" s="11" t="str">
        <f aca="false">IF($B1197="","",IF($E1197="대체",0,1))</f>
        <v/>
      </c>
    </row>
    <row r="1198" customFormat="false" ht="15" hidden="false" customHeight="false" outlineLevel="0" collapsed="false">
      <c r="A1198" s="36" t="str">
        <f aca="false">IF($B1198="","",COUNT($B$15:$B1198))</f>
        <v/>
      </c>
      <c r="B1198" s="37"/>
      <c r="C1198" s="38"/>
      <c r="D1198" s="20"/>
      <c r="E1198" s="36" t="str">
        <f aca="false">IF($D1198="","",IFERROR(INDEX('교육원 ④ 설정'!$A$6:$A$40,MATCH($D1198,'교육원 ④ 설정'!$B$6:$B$40,0)),"※없는 과목"))</f>
        <v/>
      </c>
      <c r="F1198" s="36" t="str">
        <f aca="false">IF($D1198="","",IFERROR(INDEX('교육원 ④ 설정'!$C$6:$C$40,MATCH($D1198,'교육원 ④ 설정'!$B$6:$B$40,0)),""))</f>
        <v/>
      </c>
      <c r="G1198" s="39"/>
      <c r="H1198" s="39"/>
      <c r="I1198" s="40"/>
      <c r="J1198" s="41"/>
      <c r="K1198" s="38"/>
      <c r="L1198" s="42" t="str">
        <f aca="false">IF($B1198="","",IF(AND(N($I1198)=0,N($J1198)=0),"금액이 없습니다",IF(AND($I1198&gt;0,$J1198&gt;0),"수입·지출 둘 다 적혔습니다",IF($C1198="","결제수단을 고르십시오",IF(ISNA(MATCH($C1198,'교육원 ③ 통장·카드'!$A$5:$A$11,0)),"③ 통장·카드에 없는 결제수단입니다",IF($D1198="","계정과목을 고르십시오",IF($E1198="※없는 과목","④ 설정에 없는 과목입니다",IF(AND($E1198="수입",$J1198&gt;0),"수입 과목인데 지출에 적혔습니다",IF(AND(LEFT($E1198,2)&lt;&gt;"수입",$E1198&lt;&gt;"대체",$I1198&gt;0),"지출 과목인데 수입에 적혔습니다",IF($K1198="","증빙을 고르십시오",IF($H1198="","적요를 적으십시오","")))))))))))</f>
        <v/>
      </c>
      <c r="M1198" s="39"/>
      <c r="O1198" s="11" t="str">
        <f aca="false">IF($B1198="","",YEAR($B1198)*100+MONTH($B1198))</f>
        <v/>
      </c>
      <c r="P1198" s="11" t="str">
        <f aca="false">IF($B1198="","",IF($E1198="대체",0,1))</f>
        <v/>
      </c>
    </row>
    <row r="1199" customFormat="false" ht="15" hidden="false" customHeight="false" outlineLevel="0" collapsed="false">
      <c r="A1199" s="36" t="str">
        <f aca="false">IF($B1199="","",COUNT($B$15:$B1199))</f>
        <v/>
      </c>
      <c r="B1199" s="37"/>
      <c r="C1199" s="38"/>
      <c r="D1199" s="20"/>
      <c r="E1199" s="36" t="str">
        <f aca="false">IF($D1199="","",IFERROR(INDEX('교육원 ④ 설정'!$A$6:$A$40,MATCH($D1199,'교육원 ④ 설정'!$B$6:$B$40,0)),"※없는 과목"))</f>
        <v/>
      </c>
      <c r="F1199" s="36" t="str">
        <f aca="false">IF($D1199="","",IFERROR(INDEX('교육원 ④ 설정'!$C$6:$C$40,MATCH($D1199,'교육원 ④ 설정'!$B$6:$B$40,0)),""))</f>
        <v/>
      </c>
      <c r="G1199" s="39"/>
      <c r="H1199" s="39"/>
      <c r="I1199" s="40"/>
      <c r="J1199" s="41"/>
      <c r="K1199" s="38"/>
      <c r="L1199" s="42" t="str">
        <f aca="false">IF($B1199="","",IF(AND(N($I1199)=0,N($J1199)=0),"금액이 없습니다",IF(AND($I1199&gt;0,$J1199&gt;0),"수입·지출 둘 다 적혔습니다",IF($C1199="","결제수단을 고르십시오",IF(ISNA(MATCH($C1199,'교육원 ③ 통장·카드'!$A$5:$A$11,0)),"③ 통장·카드에 없는 결제수단입니다",IF($D1199="","계정과목을 고르십시오",IF($E1199="※없는 과목","④ 설정에 없는 과목입니다",IF(AND($E1199="수입",$J1199&gt;0),"수입 과목인데 지출에 적혔습니다",IF(AND(LEFT($E1199,2)&lt;&gt;"수입",$E1199&lt;&gt;"대체",$I1199&gt;0),"지출 과목인데 수입에 적혔습니다",IF($K1199="","증빙을 고르십시오",IF($H1199="","적요를 적으십시오","")))))))))))</f>
        <v/>
      </c>
      <c r="M1199" s="39"/>
      <c r="O1199" s="11" t="str">
        <f aca="false">IF($B1199="","",YEAR($B1199)*100+MONTH($B1199))</f>
        <v/>
      </c>
      <c r="P1199" s="11" t="str">
        <f aca="false">IF($B1199="","",IF($E1199="대체",0,1))</f>
        <v/>
      </c>
    </row>
    <row r="1200" customFormat="false" ht="15" hidden="false" customHeight="false" outlineLevel="0" collapsed="false">
      <c r="A1200" s="36" t="str">
        <f aca="false">IF($B1200="","",COUNT($B$15:$B1200))</f>
        <v/>
      </c>
      <c r="B1200" s="37"/>
      <c r="C1200" s="38"/>
      <c r="D1200" s="20"/>
      <c r="E1200" s="36" t="str">
        <f aca="false">IF($D1200="","",IFERROR(INDEX('교육원 ④ 설정'!$A$6:$A$40,MATCH($D1200,'교육원 ④ 설정'!$B$6:$B$40,0)),"※없는 과목"))</f>
        <v/>
      </c>
      <c r="F1200" s="36" t="str">
        <f aca="false">IF($D1200="","",IFERROR(INDEX('교육원 ④ 설정'!$C$6:$C$40,MATCH($D1200,'교육원 ④ 설정'!$B$6:$B$40,0)),""))</f>
        <v/>
      </c>
      <c r="G1200" s="39"/>
      <c r="H1200" s="39"/>
      <c r="I1200" s="40"/>
      <c r="J1200" s="41"/>
      <c r="K1200" s="38"/>
      <c r="L1200" s="42" t="str">
        <f aca="false">IF($B1200="","",IF(AND(N($I1200)=0,N($J1200)=0),"금액이 없습니다",IF(AND($I1200&gt;0,$J1200&gt;0),"수입·지출 둘 다 적혔습니다",IF($C1200="","결제수단을 고르십시오",IF(ISNA(MATCH($C1200,'교육원 ③ 통장·카드'!$A$5:$A$11,0)),"③ 통장·카드에 없는 결제수단입니다",IF($D1200="","계정과목을 고르십시오",IF($E1200="※없는 과목","④ 설정에 없는 과목입니다",IF(AND($E1200="수입",$J1200&gt;0),"수입 과목인데 지출에 적혔습니다",IF(AND(LEFT($E1200,2)&lt;&gt;"수입",$E1200&lt;&gt;"대체",$I1200&gt;0),"지출 과목인데 수입에 적혔습니다",IF($K1200="","증빙을 고르십시오",IF($H1200="","적요를 적으십시오","")))))))))))</f>
        <v/>
      </c>
      <c r="M1200" s="39"/>
      <c r="O1200" s="11" t="str">
        <f aca="false">IF($B1200="","",YEAR($B1200)*100+MONTH($B1200))</f>
        <v/>
      </c>
      <c r="P1200" s="11" t="str">
        <f aca="false">IF($B1200="","",IF($E1200="대체",0,1))</f>
        <v/>
      </c>
    </row>
    <row r="1201" customFormat="false" ht="15" hidden="false" customHeight="false" outlineLevel="0" collapsed="false">
      <c r="A1201" s="36" t="str">
        <f aca="false">IF($B1201="","",COUNT($B$15:$B1201))</f>
        <v/>
      </c>
      <c r="B1201" s="37"/>
      <c r="C1201" s="38"/>
      <c r="D1201" s="20"/>
      <c r="E1201" s="36" t="str">
        <f aca="false">IF($D1201="","",IFERROR(INDEX('교육원 ④ 설정'!$A$6:$A$40,MATCH($D1201,'교육원 ④ 설정'!$B$6:$B$40,0)),"※없는 과목"))</f>
        <v/>
      </c>
      <c r="F1201" s="36" t="str">
        <f aca="false">IF($D1201="","",IFERROR(INDEX('교육원 ④ 설정'!$C$6:$C$40,MATCH($D1201,'교육원 ④ 설정'!$B$6:$B$40,0)),""))</f>
        <v/>
      </c>
      <c r="G1201" s="39"/>
      <c r="H1201" s="39"/>
      <c r="I1201" s="40"/>
      <c r="J1201" s="41"/>
      <c r="K1201" s="38"/>
      <c r="L1201" s="42" t="str">
        <f aca="false">IF($B1201="","",IF(AND(N($I1201)=0,N($J1201)=0),"금액이 없습니다",IF(AND($I1201&gt;0,$J1201&gt;0),"수입·지출 둘 다 적혔습니다",IF($C1201="","결제수단을 고르십시오",IF(ISNA(MATCH($C1201,'교육원 ③ 통장·카드'!$A$5:$A$11,0)),"③ 통장·카드에 없는 결제수단입니다",IF($D1201="","계정과목을 고르십시오",IF($E1201="※없는 과목","④ 설정에 없는 과목입니다",IF(AND($E1201="수입",$J1201&gt;0),"수입 과목인데 지출에 적혔습니다",IF(AND(LEFT($E1201,2)&lt;&gt;"수입",$E1201&lt;&gt;"대체",$I1201&gt;0),"지출 과목인데 수입에 적혔습니다",IF($K1201="","증빙을 고르십시오",IF($H1201="","적요를 적으십시오","")))))))))))</f>
        <v/>
      </c>
      <c r="M1201" s="39"/>
      <c r="O1201" s="11" t="str">
        <f aca="false">IF($B1201="","",YEAR($B1201)*100+MONTH($B1201))</f>
        <v/>
      </c>
      <c r="P1201" s="11" t="str">
        <f aca="false">IF($B1201="","",IF($E1201="대체",0,1))</f>
        <v/>
      </c>
    </row>
    <row r="1202" customFormat="false" ht="15" hidden="false" customHeight="false" outlineLevel="0" collapsed="false">
      <c r="A1202" s="36" t="str">
        <f aca="false">IF($B1202="","",COUNT($B$15:$B1202))</f>
        <v/>
      </c>
      <c r="B1202" s="37"/>
      <c r="C1202" s="38"/>
      <c r="D1202" s="20"/>
      <c r="E1202" s="36" t="str">
        <f aca="false">IF($D1202="","",IFERROR(INDEX('교육원 ④ 설정'!$A$6:$A$40,MATCH($D1202,'교육원 ④ 설정'!$B$6:$B$40,0)),"※없는 과목"))</f>
        <v/>
      </c>
      <c r="F1202" s="36" t="str">
        <f aca="false">IF($D1202="","",IFERROR(INDEX('교육원 ④ 설정'!$C$6:$C$40,MATCH($D1202,'교육원 ④ 설정'!$B$6:$B$40,0)),""))</f>
        <v/>
      </c>
      <c r="G1202" s="39"/>
      <c r="H1202" s="39"/>
      <c r="I1202" s="40"/>
      <c r="J1202" s="41"/>
      <c r="K1202" s="38"/>
      <c r="L1202" s="42" t="str">
        <f aca="false">IF($B1202="","",IF(AND(N($I1202)=0,N($J1202)=0),"금액이 없습니다",IF(AND($I1202&gt;0,$J1202&gt;0),"수입·지출 둘 다 적혔습니다",IF($C1202="","결제수단을 고르십시오",IF(ISNA(MATCH($C1202,'교육원 ③ 통장·카드'!$A$5:$A$11,0)),"③ 통장·카드에 없는 결제수단입니다",IF($D1202="","계정과목을 고르십시오",IF($E1202="※없는 과목","④ 설정에 없는 과목입니다",IF(AND($E1202="수입",$J1202&gt;0),"수입 과목인데 지출에 적혔습니다",IF(AND(LEFT($E1202,2)&lt;&gt;"수입",$E1202&lt;&gt;"대체",$I1202&gt;0),"지출 과목인데 수입에 적혔습니다",IF($K1202="","증빙을 고르십시오",IF($H1202="","적요를 적으십시오","")))))))))))</f>
        <v/>
      </c>
      <c r="M1202" s="39"/>
      <c r="O1202" s="11" t="str">
        <f aca="false">IF($B1202="","",YEAR($B1202)*100+MONTH($B1202))</f>
        <v/>
      </c>
      <c r="P1202" s="11" t="str">
        <f aca="false">IF($B1202="","",IF($E1202="대체",0,1))</f>
        <v/>
      </c>
    </row>
    <row r="1203" customFormat="false" ht="15" hidden="false" customHeight="false" outlineLevel="0" collapsed="false">
      <c r="A1203" s="36" t="str">
        <f aca="false">IF($B1203="","",COUNT($B$15:$B1203))</f>
        <v/>
      </c>
      <c r="B1203" s="37"/>
      <c r="C1203" s="38"/>
      <c r="D1203" s="20"/>
      <c r="E1203" s="36" t="str">
        <f aca="false">IF($D1203="","",IFERROR(INDEX('교육원 ④ 설정'!$A$6:$A$40,MATCH($D1203,'교육원 ④ 설정'!$B$6:$B$40,0)),"※없는 과목"))</f>
        <v/>
      </c>
      <c r="F1203" s="36" t="str">
        <f aca="false">IF($D1203="","",IFERROR(INDEX('교육원 ④ 설정'!$C$6:$C$40,MATCH($D1203,'교육원 ④ 설정'!$B$6:$B$40,0)),""))</f>
        <v/>
      </c>
      <c r="G1203" s="39"/>
      <c r="H1203" s="39"/>
      <c r="I1203" s="40"/>
      <c r="J1203" s="41"/>
      <c r="K1203" s="38"/>
      <c r="L1203" s="42" t="str">
        <f aca="false">IF($B1203="","",IF(AND(N($I1203)=0,N($J1203)=0),"금액이 없습니다",IF(AND($I1203&gt;0,$J1203&gt;0),"수입·지출 둘 다 적혔습니다",IF($C1203="","결제수단을 고르십시오",IF(ISNA(MATCH($C1203,'교육원 ③ 통장·카드'!$A$5:$A$11,0)),"③ 통장·카드에 없는 결제수단입니다",IF($D1203="","계정과목을 고르십시오",IF($E1203="※없는 과목","④ 설정에 없는 과목입니다",IF(AND($E1203="수입",$J1203&gt;0),"수입 과목인데 지출에 적혔습니다",IF(AND(LEFT($E1203,2)&lt;&gt;"수입",$E1203&lt;&gt;"대체",$I1203&gt;0),"지출 과목인데 수입에 적혔습니다",IF($K1203="","증빙을 고르십시오",IF($H1203="","적요를 적으십시오","")))))))))))</f>
        <v/>
      </c>
      <c r="M1203" s="39"/>
      <c r="O1203" s="11" t="str">
        <f aca="false">IF($B1203="","",YEAR($B1203)*100+MONTH($B1203))</f>
        <v/>
      </c>
      <c r="P1203" s="11" t="str">
        <f aca="false">IF($B1203="","",IF($E1203="대체",0,1))</f>
        <v/>
      </c>
    </row>
    <row r="1204" customFormat="false" ht="15" hidden="false" customHeight="false" outlineLevel="0" collapsed="false">
      <c r="A1204" s="36" t="str">
        <f aca="false">IF($B1204="","",COUNT($B$15:$B1204))</f>
        <v/>
      </c>
      <c r="B1204" s="37"/>
      <c r="C1204" s="38"/>
      <c r="D1204" s="20"/>
      <c r="E1204" s="36" t="str">
        <f aca="false">IF($D1204="","",IFERROR(INDEX('교육원 ④ 설정'!$A$6:$A$40,MATCH($D1204,'교육원 ④ 설정'!$B$6:$B$40,0)),"※없는 과목"))</f>
        <v/>
      </c>
      <c r="F1204" s="36" t="str">
        <f aca="false">IF($D1204="","",IFERROR(INDEX('교육원 ④ 설정'!$C$6:$C$40,MATCH($D1204,'교육원 ④ 설정'!$B$6:$B$40,0)),""))</f>
        <v/>
      </c>
      <c r="G1204" s="39"/>
      <c r="H1204" s="39"/>
      <c r="I1204" s="40"/>
      <c r="J1204" s="41"/>
      <c r="K1204" s="38"/>
      <c r="L1204" s="42" t="str">
        <f aca="false">IF($B1204="","",IF(AND(N($I1204)=0,N($J1204)=0),"금액이 없습니다",IF(AND($I1204&gt;0,$J1204&gt;0),"수입·지출 둘 다 적혔습니다",IF($C1204="","결제수단을 고르십시오",IF(ISNA(MATCH($C1204,'교육원 ③ 통장·카드'!$A$5:$A$11,0)),"③ 통장·카드에 없는 결제수단입니다",IF($D1204="","계정과목을 고르십시오",IF($E1204="※없는 과목","④ 설정에 없는 과목입니다",IF(AND($E1204="수입",$J1204&gt;0),"수입 과목인데 지출에 적혔습니다",IF(AND(LEFT($E1204,2)&lt;&gt;"수입",$E1204&lt;&gt;"대체",$I1204&gt;0),"지출 과목인데 수입에 적혔습니다",IF($K1204="","증빙을 고르십시오",IF($H1204="","적요를 적으십시오","")))))))))))</f>
        <v/>
      </c>
      <c r="M1204" s="39"/>
      <c r="O1204" s="11" t="str">
        <f aca="false">IF($B1204="","",YEAR($B1204)*100+MONTH($B1204))</f>
        <v/>
      </c>
      <c r="P1204" s="11" t="str">
        <f aca="false">IF($B1204="","",IF($E1204="대체",0,1))</f>
        <v/>
      </c>
    </row>
    <row r="1205" customFormat="false" ht="15" hidden="false" customHeight="false" outlineLevel="0" collapsed="false">
      <c r="A1205" s="36" t="str">
        <f aca="false">IF($B1205="","",COUNT($B$15:$B1205))</f>
        <v/>
      </c>
      <c r="B1205" s="37"/>
      <c r="C1205" s="38"/>
      <c r="D1205" s="20"/>
      <c r="E1205" s="36" t="str">
        <f aca="false">IF($D1205="","",IFERROR(INDEX('교육원 ④ 설정'!$A$6:$A$40,MATCH($D1205,'교육원 ④ 설정'!$B$6:$B$40,0)),"※없는 과목"))</f>
        <v/>
      </c>
      <c r="F1205" s="36" t="str">
        <f aca="false">IF($D1205="","",IFERROR(INDEX('교육원 ④ 설정'!$C$6:$C$40,MATCH($D1205,'교육원 ④ 설정'!$B$6:$B$40,0)),""))</f>
        <v/>
      </c>
      <c r="G1205" s="39"/>
      <c r="H1205" s="39"/>
      <c r="I1205" s="40"/>
      <c r="J1205" s="41"/>
      <c r="K1205" s="38"/>
      <c r="L1205" s="42" t="str">
        <f aca="false">IF($B1205="","",IF(AND(N($I1205)=0,N($J1205)=0),"금액이 없습니다",IF(AND($I1205&gt;0,$J1205&gt;0),"수입·지출 둘 다 적혔습니다",IF($C1205="","결제수단을 고르십시오",IF(ISNA(MATCH($C1205,'교육원 ③ 통장·카드'!$A$5:$A$11,0)),"③ 통장·카드에 없는 결제수단입니다",IF($D1205="","계정과목을 고르십시오",IF($E1205="※없는 과목","④ 설정에 없는 과목입니다",IF(AND($E1205="수입",$J1205&gt;0),"수입 과목인데 지출에 적혔습니다",IF(AND(LEFT($E1205,2)&lt;&gt;"수입",$E1205&lt;&gt;"대체",$I1205&gt;0),"지출 과목인데 수입에 적혔습니다",IF($K1205="","증빙을 고르십시오",IF($H1205="","적요를 적으십시오","")))))))))))</f>
        <v/>
      </c>
      <c r="M1205" s="39"/>
      <c r="O1205" s="11" t="str">
        <f aca="false">IF($B1205="","",YEAR($B1205)*100+MONTH($B1205))</f>
        <v/>
      </c>
      <c r="P1205" s="11" t="str">
        <f aca="false">IF($B1205="","",IF($E1205="대체",0,1))</f>
        <v/>
      </c>
    </row>
    <row r="1206" customFormat="false" ht="15" hidden="false" customHeight="false" outlineLevel="0" collapsed="false">
      <c r="A1206" s="36" t="str">
        <f aca="false">IF($B1206="","",COUNT($B$15:$B1206))</f>
        <v/>
      </c>
      <c r="B1206" s="37"/>
      <c r="C1206" s="38"/>
      <c r="D1206" s="20"/>
      <c r="E1206" s="36" t="str">
        <f aca="false">IF($D1206="","",IFERROR(INDEX('교육원 ④ 설정'!$A$6:$A$40,MATCH($D1206,'교육원 ④ 설정'!$B$6:$B$40,0)),"※없는 과목"))</f>
        <v/>
      </c>
      <c r="F1206" s="36" t="str">
        <f aca="false">IF($D1206="","",IFERROR(INDEX('교육원 ④ 설정'!$C$6:$C$40,MATCH($D1206,'교육원 ④ 설정'!$B$6:$B$40,0)),""))</f>
        <v/>
      </c>
      <c r="G1206" s="39"/>
      <c r="H1206" s="39"/>
      <c r="I1206" s="40"/>
      <c r="J1206" s="41"/>
      <c r="K1206" s="38"/>
      <c r="L1206" s="42" t="str">
        <f aca="false">IF($B1206="","",IF(AND(N($I1206)=0,N($J1206)=0),"금액이 없습니다",IF(AND($I1206&gt;0,$J1206&gt;0),"수입·지출 둘 다 적혔습니다",IF($C1206="","결제수단을 고르십시오",IF(ISNA(MATCH($C1206,'교육원 ③ 통장·카드'!$A$5:$A$11,0)),"③ 통장·카드에 없는 결제수단입니다",IF($D1206="","계정과목을 고르십시오",IF($E1206="※없는 과목","④ 설정에 없는 과목입니다",IF(AND($E1206="수입",$J1206&gt;0),"수입 과목인데 지출에 적혔습니다",IF(AND(LEFT($E1206,2)&lt;&gt;"수입",$E1206&lt;&gt;"대체",$I1206&gt;0),"지출 과목인데 수입에 적혔습니다",IF($K1206="","증빙을 고르십시오",IF($H1206="","적요를 적으십시오","")))))))))))</f>
        <v/>
      </c>
      <c r="M1206" s="39"/>
      <c r="O1206" s="11" t="str">
        <f aca="false">IF($B1206="","",YEAR($B1206)*100+MONTH($B1206))</f>
        <v/>
      </c>
      <c r="P1206" s="11" t="str">
        <f aca="false">IF($B1206="","",IF($E1206="대체",0,1))</f>
        <v/>
      </c>
    </row>
    <row r="1207" customFormat="false" ht="15" hidden="false" customHeight="false" outlineLevel="0" collapsed="false">
      <c r="A1207" s="36" t="str">
        <f aca="false">IF($B1207="","",COUNT($B$15:$B1207))</f>
        <v/>
      </c>
      <c r="B1207" s="37"/>
      <c r="C1207" s="38"/>
      <c r="D1207" s="20"/>
      <c r="E1207" s="36" t="str">
        <f aca="false">IF($D1207="","",IFERROR(INDEX('교육원 ④ 설정'!$A$6:$A$40,MATCH($D1207,'교육원 ④ 설정'!$B$6:$B$40,0)),"※없는 과목"))</f>
        <v/>
      </c>
      <c r="F1207" s="36" t="str">
        <f aca="false">IF($D1207="","",IFERROR(INDEX('교육원 ④ 설정'!$C$6:$C$40,MATCH($D1207,'교육원 ④ 설정'!$B$6:$B$40,0)),""))</f>
        <v/>
      </c>
      <c r="G1207" s="39"/>
      <c r="H1207" s="39"/>
      <c r="I1207" s="40"/>
      <c r="J1207" s="41"/>
      <c r="K1207" s="38"/>
      <c r="L1207" s="42" t="str">
        <f aca="false">IF($B1207="","",IF(AND(N($I1207)=0,N($J1207)=0),"금액이 없습니다",IF(AND($I1207&gt;0,$J1207&gt;0),"수입·지출 둘 다 적혔습니다",IF($C1207="","결제수단을 고르십시오",IF(ISNA(MATCH($C1207,'교육원 ③ 통장·카드'!$A$5:$A$11,0)),"③ 통장·카드에 없는 결제수단입니다",IF($D1207="","계정과목을 고르십시오",IF($E1207="※없는 과목","④ 설정에 없는 과목입니다",IF(AND($E1207="수입",$J1207&gt;0),"수입 과목인데 지출에 적혔습니다",IF(AND(LEFT($E1207,2)&lt;&gt;"수입",$E1207&lt;&gt;"대체",$I1207&gt;0),"지출 과목인데 수입에 적혔습니다",IF($K1207="","증빙을 고르십시오",IF($H1207="","적요를 적으십시오","")))))))))))</f>
        <v/>
      </c>
      <c r="M1207" s="39"/>
      <c r="O1207" s="11" t="str">
        <f aca="false">IF($B1207="","",YEAR($B1207)*100+MONTH($B1207))</f>
        <v/>
      </c>
      <c r="P1207" s="11" t="str">
        <f aca="false">IF($B1207="","",IF($E1207="대체",0,1))</f>
        <v/>
      </c>
    </row>
    <row r="1208" customFormat="false" ht="15" hidden="false" customHeight="false" outlineLevel="0" collapsed="false">
      <c r="A1208" s="36" t="str">
        <f aca="false">IF($B1208="","",COUNT($B$15:$B1208))</f>
        <v/>
      </c>
      <c r="B1208" s="37"/>
      <c r="C1208" s="38"/>
      <c r="D1208" s="20"/>
      <c r="E1208" s="36" t="str">
        <f aca="false">IF($D1208="","",IFERROR(INDEX('교육원 ④ 설정'!$A$6:$A$40,MATCH($D1208,'교육원 ④ 설정'!$B$6:$B$40,0)),"※없는 과목"))</f>
        <v/>
      </c>
      <c r="F1208" s="36" t="str">
        <f aca="false">IF($D1208="","",IFERROR(INDEX('교육원 ④ 설정'!$C$6:$C$40,MATCH($D1208,'교육원 ④ 설정'!$B$6:$B$40,0)),""))</f>
        <v/>
      </c>
      <c r="G1208" s="39"/>
      <c r="H1208" s="39"/>
      <c r="I1208" s="40"/>
      <c r="J1208" s="41"/>
      <c r="K1208" s="38"/>
      <c r="L1208" s="42" t="str">
        <f aca="false">IF($B1208="","",IF(AND(N($I1208)=0,N($J1208)=0),"금액이 없습니다",IF(AND($I1208&gt;0,$J1208&gt;0),"수입·지출 둘 다 적혔습니다",IF($C1208="","결제수단을 고르십시오",IF(ISNA(MATCH($C1208,'교육원 ③ 통장·카드'!$A$5:$A$11,0)),"③ 통장·카드에 없는 결제수단입니다",IF($D1208="","계정과목을 고르십시오",IF($E1208="※없는 과목","④ 설정에 없는 과목입니다",IF(AND($E1208="수입",$J1208&gt;0),"수입 과목인데 지출에 적혔습니다",IF(AND(LEFT($E1208,2)&lt;&gt;"수입",$E1208&lt;&gt;"대체",$I1208&gt;0),"지출 과목인데 수입에 적혔습니다",IF($K1208="","증빙을 고르십시오",IF($H1208="","적요를 적으십시오","")))))))))))</f>
        <v/>
      </c>
      <c r="M1208" s="39"/>
      <c r="O1208" s="11" t="str">
        <f aca="false">IF($B1208="","",YEAR($B1208)*100+MONTH($B1208))</f>
        <v/>
      </c>
      <c r="P1208" s="11" t="str">
        <f aca="false">IF($B1208="","",IF($E1208="대체",0,1))</f>
        <v/>
      </c>
    </row>
    <row r="1209" customFormat="false" ht="15" hidden="false" customHeight="false" outlineLevel="0" collapsed="false">
      <c r="A1209" s="36" t="str">
        <f aca="false">IF($B1209="","",COUNT($B$15:$B1209))</f>
        <v/>
      </c>
      <c r="B1209" s="37"/>
      <c r="C1209" s="38"/>
      <c r="D1209" s="20"/>
      <c r="E1209" s="36" t="str">
        <f aca="false">IF($D1209="","",IFERROR(INDEX('교육원 ④ 설정'!$A$6:$A$40,MATCH($D1209,'교육원 ④ 설정'!$B$6:$B$40,0)),"※없는 과목"))</f>
        <v/>
      </c>
      <c r="F1209" s="36" t="str">
        <f aca="false">IF($D1209="","",IFERROR(INDEX('교육원 ④ 설정'!$C$6:$C$40,MATCH($D1209,'교육원 ④ 설정'!$B$6:$B$40,0)),""))</f>
        <v/>
      </c>
      <c r="G1209" s="39"/>
      <c r="H1209" s="39"/>
      <c r="I1209" s="40"/>
      <c r="J1209" s="41"/>
      <c r="K1209" s="38"/>
      <c r="L1209" s="42" t="str">
        <f aca="false">IF($B1209="","",IF(AND(N($I1209)=0,N($J1209)=0),"금액이 없습니다",IF(AND($I1209&gt;0,$J1209&gt;0),"수입·지출 둘 다 적혔습니다",IF($C1209="","결제수단을 고르십시오",IF(ISNA(MATCH($C1209,'교육원 ③ 통장·카드'!$A$5:$A$11,0)),"③ 통장·카드에 없는 결제수단입니다",IF($D1209="","계정과목을 고르십시오",IF($E1209="※없는 과목","④ 설정에 없는 과목입니다",IF(AND($E1209="수입",$J1209&gt;0),"수입 과목인데 지출에 적혔습니다",IF(AND(LEFT($E1209,2)&lt;&gt;"수입",$E1209&lt;&gt;"대체",$I1209&gt;0),"지출 과목인데 수입에 적혔습니다",IF($K1209="","증빙을 고르십시오",IF($H1209="","적요를 적으십시오","")))))))))))</f>
        <v/>
      </c>
      <c r="M1209" s="39"/>
      <c r="O1209" s="11" t="str">
        <f aca="false">IF($B1209="","",YEAR($B1209)*100+MONTH($B1209))</f>
        <v/>
      </c>
      <c r="P1209" s="11" t="str">
        <f aca="false">IF($B1209="","",IF($E1209="대체",0,1))</f>
        <v/>
      </c>
    </row>
    <row r="1210" customFormat="false" ht="15" hidden="false" customHeight="false" outlineLevel="0" collapsed="false">
      <c r="A1210" s="36" t="str">
        <f aca="false">IF($B1210="","",COUNT($B$15:$B1210))</f>
        <v/>
      </c>
      <c r="B1210" s="37"/>
      <c r="C1210" s="38"/>
      <c r="D1210" s="20"/>
      <c r="E1210" s="36" t="str">
        <f aca="false">IF($D1210="","",IFERROR(INDEX('교육원 ④ 설정'!$A$6:$A$40,MATCH($D1210,'교육원 ④ 설정'!$B$6:$B$40,0)),"※없는 과목"))</f>
        <v/>
      </c>
      <c r="F1210" s="36" t="str">
        <f aca="false">IF($D1210="","",IFERROR(INDEX('교육원 ④ 설정'!$C$6:$C$40,MATCH($D1210,'교육원 ④ 설정'!$B$6:$B$40,0)),""))</f>
        <v/>
      </c>
      <c r="G1210" s="39"/>
      <c r="H1210" s="39"/>
      <c r="I1210" s="40"/>
      <c r="J1210" s="41"/>
      <c r="K1210" s="38"/>
      <c r="L1210" s="42" t="str">
        <f aca="false">IF($B1210="","",IF(AND(N($I1210)=0,N($J1210)=0),"금액이 없습니다",IF(AND($I1210&gt;0,$J1210&gt;0),"수입·지출 둘 다 적혔습니다",IF($C1210="","결제수단을 고르십시오",IF(ISNA(MATCH($C1210,'교육원 ③ 통장·카드'!$A$5:$A$11,0)),"③ 통장·카드에 없는 결제수단입니다",IF($D1210="","계정과목을 고르십시오",IF($E1210="※없는 과목","④ 설정에 없는 과목입니다",IF(AND($E1210="수입",$J1210&gt;0),"수입 과목인데 지출에 적혔습니다",IF(AND(LEFT($E1210,2)&lt;&gt;"수입",$E1210&lt;&gt;"대체",$I1210&gt;0),"지출 과목인데 수입에 적혔습니다",IF($K1210="","증빙을 고르십시오",IF($H1210="","적요를 적으십시오","")))))))))))</f>
        <v/>
      </c>
      <c r="M1210" s="39"/>
      <c r="O1210" s="11" t="str">
        <f aca="false">IF($B1210="","",YEAR($B1210)*100+MONTH($B1210))</f>
        <v/>
      </c>
      <c r="P1210" s="11" t="str">
        <f aca="false">IF($B1210="","",IF($E1210="대체",0,1))</f>
        <v/>
      </c>
    </row>
    <row r="1211" customFormat="false" ht="15" hidden="false" customHeight="false" outlineLevel="0" collapsed="false">
      <c r="A1211" s="36" t="str">
        <f aca="false">IF($B1211="","",COUNT($B$15:$B1211))</f>
        <v/>
      </c>
      <c r="B1211" s="37"/>
      <c r="C1211" s="38"/>
      <c r="D1211" s="20"/>
      <c r="E1211" s="36" t="str">
        <f aca="false">IF($D1211="","",IFERROR(INDEX('교육원 ④ 설정'!$A$6:$A$40,MATCH($D1211,'교육원 ④ 설정'!$B$6:$B$40,0)),"※없는 과목"))</f>
        <v/>
      </c>
      <c r="F1211" s="36" t="str">
        <f aca="false">IF($D1211="","",IFERROR(INDEX('교육원 ④ 설정'!$C$6:$C$40,MATCH($D1211,'교육원 ④ 설정'!$B$6:$B$40,0)),""))</f>
        <v/>
      </c>
      <c r="G1211" s="39"/>
      <c r="H1211" s="39"/>
      <c r="I1211" s="40"/>
      <c r="J1211" s="41"/>
      <c r="K1211" s="38"/>
      <c r="L1211" s="42" t="str">
        <f aca="false">IF($B1211="","",IF(AND(N($I1211)=0,N($J1211)=0),"금액이 없습니다",IF(AND($I1211&gt;0,$J1211&gt;0),"수입·지출 둘 다 적혔습니다",IF($C1211="","결제수단을 고르십시오",IF(ISNA(MATCH($C1211,'교육원 ③ 통장·카드'!$A$5:$A$11,0)),"③ 통장·카드에 없는 결제수단입니다",IF($D1211="","계정과목을 고르십시오",IF($E1211="※없는 과목","④ 설정에 없는 과목입니다",IF(AND($E1211="수입",$J1211&gt;0),"수입 과목인데 지출에 적혔습니다",IF(AND(LEFT($E1211,2)&lt;&gt;"수입",$E1211&lt;&gt;"대체",$I1211&gt;0),"지출 과목인데 수입에 적혔습니다",IF($K1211="","증빙을 고르십시오",IF($H1211="","적요를 적으십시오","")))))))))))</f>
        <v/>
      </c>
      <c r="M1211" s="39"/>
      <c r="O1211" s="11" t="str">
        <f aca="false">IF($B1211="","",YEAR($B1211)*100+MONTH($B1211))</f>
        <v/>
      </c>
      <c r="P1211" s="11" t="str">
        <f aca="false">IF($B1211="","",IF($E1211="대체",0,1))</f>
        <v/>
      </c>
    </row>
    <row r="1212" customFormat="false" ht="15" hidden="false" customHeight="false" outlineLevel="0" collapsed="false">
      <c r="A1212" s="36" t="str">
        <f aca="false">IF($B1212="","",COUNT($B$15:$B1212))</f>
        <v/>
      </c>
      <c r="B1212" s="37"/>
      <c r="C1212" s="38"/>
      <c r="D1212" s="20"/>
      <c r="E1212" s="36" t="str">
        <f aca="false">IF($D1212="","",IFERROR(INDEX('교육원 ④ 설정'!$A$6:$A$40,MATCH($D1212,'교육원 ④ 설정'!$B$6:$B$40,0)),"※없는 과목"))</f>
        <v/>
      </c>
      <c r="F1212" s="36" t="str">
        <f aca="false">IF($D1212="","",IFERROR(INDEX('교육원 ④ 설정'!$C$6:$C$40,MATCH($D1212,'교육원 ④ 설정'!$B$6:$B$40,0)),""))</f>
        <v/>
      </c>
      <c r="G1212" s="39"/>
      <c r="H1212" s="39"/>
      <c r="I1212" s="40"/>
      <c r="J1212" s="41"/>
      <c r="K1212" s="38"/>
      <c r="L1212" s="42" t="str">
        <f aca="false">IF($B1212="","",IF(AND(N($I1212)=0,N($J1212)=0),"금액이 없습니다",IF(AND($I1212&gt;0,$J1212&gt;0),"수입·지출 둘 다 적혔습니다",IF($C1212="","결제수단을 고르십시오",IF(ISNA(MATCH($C1212,'교육원 ③ 통장·카드'!$A$5:$A$11,0)),"③ 통장·카드에 없는 결제수단입니다",IF($D1212="","계정과목을 고르십시오",IF($E1212="※없는 과목","④ 설정에 없는 과목입니다",IF(AND($E1212="수입",$J1212&gt;0),"수입 과목인데 지출에 적혔습니다",IF(AND(LEFT($E1212,2)&lt;&gt;"수입",$E1212&lt;&gt;"대체",$I1212&gt;0),"지출 과목인데 수입에 적혔습니다",IF($K1212="","증빙을 고르십시오",IF($H1212="","적요를 적으십시오","")))))))))))</f>
        <v/>
      </c>
      <c r="M1212" s="39"/>
      <c r="O1212" s="11" t="str">
        <f aca="false">IF($B1212="","",YEAR($B1212)*100+MONTH($B1212))</f>
        <v/>
      </c>
      <c r="P1212" s="11" t="str">
        <f aca="false">IF($B1212="","",IF($E1212="대체",0,1))</f>
        <v/>
      </c>
    </row>
    <row r="1213" customFormat="false" ht="15" hidden="false" customHeight="false" outlineLevel="0" collapsed="false">
      <c r="A1213" s="36" t="str">
        <f aca="false">IF($B1213="","",COUNT($B$15:$B1213))</f>
        <v/>
      </c>
      <c r="B1213" s="37"/>
      <c r="C1213" s="38"/>
      <c r="D1213" s="20"/>
      <c r="E1213" s="36" t="str">
        <f aca="false">IF($D1213="","",IFERROR(INDEX('교육원 ④ 설정'!$A$6:$A$40,MATCH($D1213,'교육원 ④ 설정'!$B$6:$B$40,0)),"※없는 과목"))</f>
        <v/>
      </c>
      <c r="F1213" s="36" t="str">
        <f aca="false">IF($D1213="","",IFERROR(INDEX('교육원 ④ 설정'!$C$6:$C$40,MATCH($D1213,'교육원 ④ 설정'!$B$6:$B$40,0)),""))</f>
        <v/>
      </c>
      <c r="G1213" s="39"/>
      <c r="H1213" s="39"/>
      <c r="I1213" s="40"/>
      <c r="J1213" s="41"/>
      <c r="K1213" s="38"/>
      <c r="L1213" s="42" t="str">
        <f aca="false">IF($B1213="","",IF(AND(N($I1213)=0,N($J1213)=0),"금액이 없습니다",IF(AND($I1213&gt;0,$J1213&gt;0),"수입·지출 둘 다 적혔습니다",IF($C1213="","결제수단을 고르십시오",IF(ISNA(MATCH($C1213,'교육원 ③ 통장·카드'!$A$5:$A$11,0)),"③ 통장·카드에 없는 결제수단입니다",IF($D1213="","계정과목을 고르십시오",IF($E1213="※없는 과목","④ 설정에 없는 과목입니다",IF(AND($E1213="수입",$J1213&gt;0),"수입 과목인데 지출에 적혔습니다",IF(AND(LEFT($E1213,2)&lt;&gt;"수입",$E1213&lt;&gt;"대체",$I1213&gt;0),"지출 과목인데 수입에 적혔습니다",IF($K1213="","증빙을 고르십시오",IF($H1213="","적요를 적으십시오","")))))))))))</f>
        <v/>
      </c>
      <c r="M1213" s="39"/>
      <c r="O1213" s="11" t="str">
        <f aca="false">IF($B1213="","",YEAR($B1213)*100+MONTH($B1213))</f>
        <v/>
      </c>
      <c r="P1213" s="11" t="str">
        <f aca="false">IF($B1213="","",IF($E1213="대체",0,1))</f>
        <v/>
      </c>
    </row>
    <row r="1214" customFormat="false" ht="15" hidden="false" customHeight="false" outlineLevel="0" collapsed="false">
      <c r="A1214" s="36" t="str">
        <f aca="false">IF($B1214="","",COUNT($B$15:$B1214))</f>
        <v/>
      </c>
      <c r="B1214" s="37"/>
      <c r="C1214" s="38"/>
      <c r="D1214" s="20"/>
      <c r="E1214" s="36" t="str">
        <f aca="false">IF($D1214="","",IFERROR(INDEX('교육원 ④ 설정'!$A$6:$A$40,MATCH($D1214,'교육원 ④ 설정'!$B$6:$B$40,0)),"※없는 과목"))</f>
        <v/>
      </c>
      <c r="F1214" s="36" t="str">
        <f aca="false">IF($D1214="","",IFERROR(INDEX('교육원 ④ 설정'!$C$6:$C$40,MATCH($D1214,'교육원 ④ 설정'!$B$6:$B$40,0)),""))</f>
        <v/>
      </c>
      <c r="G1214" s="39"/>
      <c r="H1214" s="39"/>
      <c r="I1214" s="40"/>
      <c r="J1214" s="41"/>
      <c r="K1214" s="38"/>
      <c r="L1214" s="42" t="str">
        <f aca="false">IF($B1214="","",IF(AND(N($I1214)=0,N($J1214)=0),"금액이 없습니다",IF(AND($I1214&gt;0,$J1214&gt;0),"수입·지출 둘 다 적혔습니다",IF($C1214="","결제수단을 고르십시오",IF(ISNA(MATCH($C1214,'교육원 ③ 통장·카드'!$A$5:$A$11,0)),"③ 통장·카드에 없는 결제수단입니다",IF($D1214="","계정과목을 고르십시오",IF($E1214="※없는 과목","④ 설정에 없는 과목입니다",IF(AND($E1214="수입",$J1214&gt;0),"수입 과목인데 지출에 적혔습니다",IF(AND(LEFT($E1214,2)&lt;&gt;"수입",$E1214&lt;&gt;"대체",$I1214&gt;0),"지출 과목인데 수입에 적혔습니다",IF($K1214="","증빙을 고르십시오",IF($H1214="","적요를 적으십시오","")))))))))))</f>
        <v/>
      </c>
      <c r="M1214" s="39"/>
      <c r="O1214" s="11" t="str">
        <f aca="false">IF($B1214="","",YEAR($B1214)*100+MONTH($B1214))</f>
        <v/>
      </c>
      <c r="P1214" s="11" t="str">
        <f aca="false">IF($B1214="","",IF($E1214="대체",0,1))</f>
        <v/>
      </c>
    </row>
    <row r="1215" customFormat="false" ht="15" hidden="false" customHeight="false" outlineLevel="0" collapsed="false">
      <c r="A1215" s="36" t="str">
        <f aca="false">IF($B1215="","",COUNT($B$15:$B1215))</f>
        <v/>
      </c>
      <c r="B1215" s="37"/>
      <c r="C1215" s="38"/>
      <c r="D1215" s="20"/>
      <c r="E1215" s="36" t="str">
        <f aca="false">IF($D1215="","",IFERROR(INDEX('교육원 ④ 설정'!$A$6:$A$40,MATCH($D1215,'교육원 ④ 설정'!$B$6:$B$40,0)),"※없는 과목"))</f>
        <v/>
      </c>
      <c r="F1215" s="36" t="str">
        <f aca="false">IF($D1215="","",IFERROR(INDEX('교육원 ④ 설정'!$C$6:$C$40,MATCH($D1215,'교육원 ④ 설정'!$B$6:$B$40,0)),""))</f>
        <v/>
      </c>
      <c r="G1215" s="39"/>
      <c r="H1215" s="39"/>
      <c r="I1215" s="40"/>
      <c r="J1215" s="41"/>
      <c r="K1215" s="38"/>
      <c r="L1215" s="42" t="str">
        <f aca="false">IF($B1215="","",IF(AND(N($I1215)=0,N($J1215)=0),"금액이 없습니다",IF(AND($I1215&gt;0,$J1215&gt;0),"수입·지출 둘 다 적혔습니다",IF($C1215="","결제수단을 고르십시오",IF(ISNA(MATCH($C1215,'교육원 ③ 통장·카드'!$A$5:$A$11,0)),"③ 통장·카드에 없는 결제수단입니다",IF($D1215="","계정과목을 고르십시오",IF($E1215="※없는 과목","④ 설정에 없는 과목입니다",IF(AND($E1215="수입",$J1215&gt;0),"수입 과목인데 지출에 적혔습니다",IF(AND(LEFT($E1215,2)&lt;&gt;"수입",$E1215&lt;&gt;"대체",$I1215&gt;0),"지출 과목인데 수입에 적혔습니다",IF($K1215="","증빙을 고르십시오",IF($H1215="","적요를 적으십시오","")))))))))))</f>
        <v/>
      </c>
      <c r="M1215" s="39"/>
      <c r="O1215" s="11" t="str">
        <f aca="false">IF($B1215="","",YEAR($B1215)*100+MONTH($B1215))</f>
        <v/>
      </c>
      <c r="P1215" s="11" t="str">
        <f aca="false">IF($B1215="","",IF($E1215="대체",0,1))</f>
        <v/>
      </c>
    </row>
    <row r="1216" customFormat="false" ht="15" hidden="false" customHeight="false" outlineLevel="0" collapsed="false">
      <c r="A1216" s="36" t="str">
        <f aca="false">IF($B1216="","",COUNT($B$15:$B1216))</f>
        <v/>
      </c>
      <c r="B1216" s="37"/>
      <c r="C1216" s="38"/>
      <c r="D1216" s="20"/>
      <c r="E1216" s="36" t="str">
        <f aca="false">IF($D1216="","",IFERROR(INDEX('교육원 ④ 설정'!$A$6:$A$40,MATCH($D1216,'교육원 ④ 설정'!$B$6:$B$40,0)),"※없는 과목"))</f>
        <v/>
      </c>
      <c r="F1216" s="36" t="str">
        <f aca="false">IF($D1216="","",IFERROR(INDEX('교육원 ④ 설정'!$C$6:$C$40,MATCH($D1216,'교육원 ④ 설정'!$B$6:$B$40,0)),""))</f>
        <v/>
      </c>
      <c r="G1216" s="39"/>
      <c r="H1216" s="39"/>
      <c r="I1216" s="40"/>
      <c r="J1216" s="41"/>
      <c r="K1216" s="38"/>
      <c r="L1216" s="42" t="str">
        <f aca="false">IF($B1216="","",IF(AND(N($I1216)=0,N($J1216)=0),"금액이 없습니다",IF(AND($I1216&gt;0,$J1216&gt;0),"수입·지출 둘 다 적혔습니다",IF($C1216="","결제수단을 고르십시오",IF(ISNA(MATCH($C1216,'교육원 ③ 통장·카드'!$A$5:$A$11,0)),"③ 통장·카드에 없는 결제수단입니다",IF($D1216="","계정과목을 고르십시오",IF($E1216="※없는 과목","④ 설정에 없는 과목입니다",IF(AND($E1216="수입",$J1216&gt;0),"수입 과목인데 지출에 적혔습니다",IF(AND(LEFT($E1216,2)&lt;&gt;"수입",$E1216&lt;&gt;"대체",$I1216&gt;0),"지출 과목인데 수입에 적혔습니다",IF($K1216="","증빙을 고르십시오",IF($H1216="","적요를 적으십시오","")))))))))))</f>
        <v/>
      </c>
      <c r="M1216" s="39"/>
      <c r="O1216" s="11" t="str">
        <f aca="false">IF($B1216="","",YEAR($B1216)*100+MONTH($B1216))</f>
        <v/>
      </c>
      <c r="P1216" s="11" t="str">
        <f aca="false">IF($B1216="","",IF($E1216="대체",0,1))</f>
        <v/>
      </c>
    </row>
    <row r="1217" customFormat="false" ht="15" hidden="false" customHeight="false" outlineLevel="0" collapsed="false">
      <c r="A1217" s="36" t="str">
        <f aca="false">IF($B1217="","",COUNT($B$15:$B1217))</f>
        <v/>
      </c>
      <c r="B1217" s="37"/>
      <c r="C1217" s="38"/>
      <c r="D1217" s="20"/>
      <c r="E1217" s="36" t="str">
        <f aca="false">IF($D1217="","",IFERROR(INDEX('교육원 ④ 설정'!$A$6:$A$40,MATCH($D1217,'교육원 ④ 설정'!$B$6:$B$40,0)),"※없는 과목"))</f>
        <v/>
      </c>
      <c r="F1217" s="36" t="str">
        <f aca="false">IF($D1217="","",IFERROR(INDEX('교육원 ④ 설정'!$C$6:$C$40,MATCH($D1217,'교육원 ④ 설정'!$B$6:$B$40,0)),""))</f>
        <v/>
      </c>
      <c r="G1217" s="39"/>
      <c r="H1217" s="39"/>
      <c r="I1217" s="40"/>
      <c r="J1217" s="41"/>
      <c r="K1217" s="38"/>
      <c r="L1217" s="42" t="str">
        <f aca="false">IF($B1217="","",IF(AND(N($I1217)=0,N($J1217)=0),"금액이 없습니다",IF(AND($I1217&gt;0,$J1217&gt;0),"수입·지출 둘 다 적혔습니다",IF($C1217="","결제수단을 고르십시오",IF(ISNA(MATCH($C1217,'교육원 ③ 통장·카드'!$A$5:$A$11,0)),"③ 통장·카드에 없는 결제수단입니다",IF($D1217="","계정과목을 고르십시오",IF($E1217="※없는 과목","④ 설정에 없는 과목입니다",IF(AND($E1217="수입",$J1217&gt;0),"수입 과목인데 지출에 적혔습니다",IF(AND(LEFT($E1217,2)&lt;&gt;"수입",$E1217&lt;&gt;"대체",$I1217&gt;0),"지출 과목인데 수입에 적혔습니다",IF($K1217="","증빙을 고르십시오",IF($H1217="","적요를 적으십시오","")))))))))))</f>
        <v/>
      </c>
      <c r="M1217" s="39"/>
      <c r="O1217" s="11" t="str">
        <f aca="false">IF($B1217="","",YEAR($B1217)*100+MONTH($B1217))</f>
        <v/>
      </c>
      <c r="P1217" s="11" t="str">
        <f aca="false">IF($B1217="","",IF($E1217="대체",0,1))</f>
        <v/>
      </c>
    </row>
    <row r="1218" customFormat="false" ht="15" hidden="false" customHeight="false" outlineLevel="0" collapsed="false">
      <c r="A1218" s="36" t="str">
        <f aca="false">IF($B1218="","",COUNT($B$15:$B1218))</f>
        <v/>
      </c>
      <c r="B1218" s="37"/>
      <c r="C1218" s="38"/>
      <c r="D1218" s="20"/>
      <c r="E1218" s="36" t="str">
        <f aca="false">IF($D1218="","",IFERROR(INDEX('교육원 ④ 설정'!$A$6:$A$40,MATCH($D1218,'교육원 ④ 설정'!$B$6:$B$40,0)),"※없는 과목"))</f>
        <v/>
      </c>
      <c r="F1218" s="36" t="str">
        <f aca="false">IF($D1218="","",IFERROR(INDEX('교육원 ④ 설정'!$C$6:$C$40,MATCH($D1218,'교육원 ④ 설정'!$B$6:$B$40,0)),""))</f>
        <v/>
      </c>
      <c r="G1218" s="39"/>
      <c r="H1218" s="39"/>
      <c r="I1218" s="40"/>
      <c r="J1218" s="41"/>
      <c r="K1218" s="38"/>
      <c r="L1218" s="42" t="str">
        <f aca="false">IF($B1218="","",IF(AND(N($I1218)=0,N($J1218)=0),"금액이 없습니다",IF(AND($I1218&gt;0,$J1218&gt;0),"수입·지출 둘 다 적혔습니다",IF($C1218="","결제수단을 고르십시오",IF(ISNA(MATCH($C1218,'교육원 ③ 통장·카드'!$A$5:$A$11,0)),"③ 통장·카드에 없는 결제수단입니다",IF($D1218="","계정과목을 고르십시오",IF($E1218="※없는 과목","④ 설정에 없는 과목입니다",IF(AND($E1218="수입",$J1218&gt;0),"수입 과목인데 지출에 적혔습니다",IF(AND(LEFT($E1218,2)&lt;&gt;"수입",$E1218&lt;&gt;"대체",$I1218&gt;0),"지출 과목인데 수입에 적혔습니다",IF($K1218="","증빙을 고르십시오",IF($H1218="","적요를 적으십시오","")))))))))))</f>
        <v/>
      </c>
      <c r="M1218" s="39"/>
      <c r="O1218" s="11" t="str">
        <f aca="false">IF($B1218="","",YEAR($B1218)*100+MONTH($B1218))</f>
        <v/>
      </c>
      <c r="P1218" s="11" t="str">
        <f aca="false">IF($B1218="","",IF($E1218="대체",0,1))</f>
        <v/>
      </c>
    </row>
    <row r="1219" customFormat="false" ht="15" hidden="false" customHeight="false" outlineLevel="0" collapsed="false">
      <c r="A1219" s="36" t="str">
        <f aca="false">IF($B1219="","",COUNT($B$15:$B1219))</f>
        <v/>
      </c>
      <c r="B1219" s="37"/>
      <c r="C1219" s="38"/>
      <c r="D1219" s="20"/>
      <c r="E1219" s="36" t="str">
        <f aca="false">IF($D1219="","",IFERROR(INDEX('교육원 ④ 설정'!$A$6:$A$40,MATCH($D1219,'교육원 ④ 설정'!$B$6:$B$40,0)),"※없는 과목"))</f>
        <v/>
      </c>
      <c r="F1219" s="36" t="str">
        <f aca="false">IF($D1219="","",IFERROR(INDEX('교육원 ④ 설정'!$C$6:$C$40,MATCH($D1219,'교육원 ④ 설정'!$B$6:$B$40,0)),""))</f>
        <v/>
      </c>
      <c r="G1219" s="39"/>
      <c r="H1219" s="39"/>
      <c r="I1219" s="40"/>
      <c r="J1219" s="41"/>
      <c r="K1219" s="38"/>
      <c r="L1219" s="42" t="str">
        <f aca="false">IF($B1219="","",IF(AND(N($I1219)=0,N($J1219)=0),"금액이 없습니다",IF(AND($I1219&gt;0,$J1219&gt;0),"수입·지출 둘 다 적혔습니다",IF($C1219="","결제수단을 고르십시오",IF(ISNA(MATCH($C1219,'교육원 ③ 통장·카드'!$A$5:$A$11,0)),"③ 통장·카드에 없는 결제수단입니다",IF($D1219="","계정과목을 고르십시오",IF($E1219="※없는 과목","④ 설정에 없는 과목입니다",IF(AND($E1219="수입",$J1219&gt;0),"수입 과목인데 지출에 적혔습니다",IF(AND(LEFT($E1219,2)&lt;&gt;"수입",$E1219&lt;&gt;"대체",$I1219&gt;0),"지출 과목인데 수입에 적혔습니다",IF($K1219="","증빙을 고르십시오",IF($H1219="","적요를 적으십시오","")))))))))))</f>
        <v/>
      </c>
      <c r="M1219" s="39"/>
      <c r="O1219" s="11" t="str">
        <f aca="false">IF($B1219="","",YEAR($B1219)*100+MONTH($B1219))</f>
        <v/>
      </c>
      <c r="P1219" s="11" t="str">
        <f aca="false">IF($B1219="","",IF($E1219="대체",0,1))</f>
        <v/>
      </c>
    </row>
    <row r="1220" customFormat="false" ht="15" hidden="false" customHeight="false" outlineLevel="0" collapsed="false">
      <c r="A1220" s="36" t="str">
        <f aca="false">IF($B1220="","",COUNT($B$15:$B1220))</f>
        <v/>
      </c>
      <c r="B1220" s="37"/>
      <c r="C1220" s="38"/>
      <c r="D1220" s="20"/>
      <c r="E1220" s="36" t="str">
        <f aca="false">IF($D1220="","",IFERROR(INDEX('교육원 ④ 설정'!$A$6:$A$40,MATCH($D1220,'교육원 ④ 설정'!$B$6:$B$40,0)),"※없는 과목"))</f>
        <v/>
      </c>
      <c r="F1220" s="36" t="str">
        <f aca="false">IF($D1220="","",IFERROR(INDEX('교육원 ④ 설정'!$C$6:$C$40,MATCH($D1220,'교육원 ④ 설정'!$B$6:$B$40,0)),""))</f>
        <v/>
      </c>
      <c r="G1220" s="39"/>
      <c r="H1220" s="39"/>
      <c r="I1220" s="40"/>
      <c r="J1220" s="41"/>
      <c r="K1220" s="38"/>
      <c r="L1220" s="42" t="str">
        <f aca="false">IF($B1220="","",IF(AND(N($I1220)=0,N($J1220)=0),"금액이 없습니다",IF(AND($I1220&gt;0,$J1220&gt;0),"수입·지출 둘 다 적혔습니다",IF($C1220="","결제수단을 고르십시오",IF(ISNA(MATCH($C1220,'교육원 ③ 통장·카드'!$A$5:$A$11,0)),"③ 통장·카드에 없는 결제수단입니다",IF($D1220="","계정과목을 고르십시오",IF($E1220="※없는 과목","④ 설정에 없는 과목입니다",IF(AND($E1220="수입",$J1220&gt;0),"수입 과목인데 지출에 적혔습니다",IF(AND(LEFT($E1220,2)&lt;&gt;"수입",$E1220&lt;&gt;"대체",$I1220&gt;0),"지출 과목인데 수입에 적혔습니다",IF($K1220="","증빙을 고르십시오",IF($H1220="","적요를 적으십시오","")))))))))))</f>
        <v/>
      </c>
      <c r="M1220" s="39"/>
      <c r="O1220" s="11" t="str">
        <f aca="false">IF($B1220="","",YEAR($B1220)*100+MONTH($B1220))</f>
        <v/>
      </c>
      <c r="P1220" s="11" t="str">
        <f aca="false">IF($B1220="","",IF($E1220="대체",0,1))</f>
        <v/>
      </c>
    </row>
    <row r="1221" customFormat="false" ht="15" hidden="false" customHeight="false" outlineLevel="0" collapsed="false">
      <c r="A1221" s="36" t="str">
        <f aca="false">IF($B1221="","",COUNT($B$15:$B1221))</f>
        <v/>
      </c>
      <c r="B1221" s="37"/>
      <c r="C1221" s="38"/>
      <c r="D1221" s="20"/>
      <c r="E1221" s="36" t="str">
        <f aca="false">IF($D1221="","",IFERROR(INDEX('교육원 ④ 설정'!$A$6:$A$40,MATCH($D1221,'교육원 ④ 설정'!$B$6:$B$40,0)),"※없는 과목"))</f>
        <v/>
      </c>
      <c r="F1221" s="36" t="str">
        <f aca="false">IF($D1221="","",IFERROR(INDEX('교육원 ④ 설정'!$C$6:$C$40,MATCH($D1221,'교육원 ④ 설정'!$B$6:$B$40,0)),""))</f>
        <v/>
      </c>
      <c r="G1221" s="39"/>
      <c r="H1221" s="39"/>
      <c r="I1221" s="40"/>
      <c r="J1221" s="41"/>
      <c r="K1221" s="38"/>
      <c r="L1221" s="42" t="str">
        <f aca="false">IF($B1221="","",IF(AND(N($I1221)=0,N($J1221)=0),"금액이 없습니다",IF(AND($I1221&gt;0,$J1221&gt;0),"수입·지출 둘 다 적혔습니다",IF($C1221="","결제수단을 고르십시오",IF(ISNA(MATCH($C1221,'교육원 ③ 통장·카드'!$A$5:$A$11,0)),"③ 통장·카드에 없는 결제수단입니다",IF($D1221="","계정과목을 고르십시오",IF($E1221="※없는 과목","④ 설정에 없는 과목입니다",IF(AND($E1221="수입",$J1221&gt;0),"수입 과목인데 지출에 적혔습니다",IF(AND(LEFT($E1221,2)&lt;&gt;"수입",$E1221&lt;&gt;"대체",$I1221&gt;0),"지출 과목인데 수입에 적혔습니다",IF($K1221="","증빙을 고르십시오",IF($H1221="","적요를 적으십시오","")))))))))))</f>
        <v/>
      </c>
      <c r="M1221" s="39"/>
      <c r="O1221" s="11" t="str">
        <f aca="false">IF($B1221="","",YEAR($B1221)*100+MONTH($B1221))</f>
        <v/>
      </c>
      <c r="P1221" s="11" t="str">
        <f aca="false">IF($B1221="","",IF($E1221="대체",0,1))</f>
        <v/>
      </c>
    </row>
    <row r="1222" customFormat="false" ht="15" hidden="false" customHeight="false" outlineLevel="0" collapsed="false">
      <c r="A1222" s="36" t="str">
        <f aca="false">IF($B1222="","",COUNT($B$15:$B1222))</f>
        <v/>
      </c>
      <c r="B1222" s="37"/>
      <c r="C1222" s="38"/>
      <c r="D1222" s="20"/>
      <c r="E1222" s="36" t="str">
        <f aca="false">IF($D1222="","",IFERROR(INDEX('교육원 ④ 설정'!$A$6:$A$40,MATCH($D1222,'교육원 ④ 설정'!$B$6:$B$40,0)),"※없는 과목"))</f>
        <v/>
      </c>
      <c r="F1222" s="36" t="str">
        <f aca="false">IF($D1222="","",IFERROR(INDEX('교육원 ④ 설정'!$C$6:$C$40,MATCH($D1222,'교육원 ④ 설정'!$B$6:$B$40,0)),""))</f>
        <v/>
      </c>
      <c r="G1222" s="39"/>
      <c r="H1222" s="39"/>
      <c r="I1222" s="40"/>
      <c r="J1222" s="41"/>
      <c r="K1222" s="38"/>
      <c r="L1222" s="42" t="str">
        <f aca="false">IF($B1222="","",IF(AND(N($I1222)=0,N($J1222)=0),"금액이 없습니다",IF(AND($I1222&gt;0,$J1222&gt;0),"수입·지출 둘 다 적혔습니다",IF($C1222="","결제수단을 고르십시오",IF(ISNA(MATCH($C1222,'교육원 ③ 통장·카드'!$A$5:$A$11,0)),"③ 통장·카드에 없는 결제수단입니다",IF($D1222="","계정과목을 고르십시오",IF($E1222="※없는 과목","④ 설정에 없는 과목입니다",IF(AND($E1222="수입",$J1222&gt;0),"수입 과목인데 지출에 적혔습니다",IF(AND(LEFT($E1222,2)&lt;&gt;"수입",$E1222&lt;&gt;"대체",$I1222&gt;0),"지출 과목인데 수입에 적혔습니다",IF($K1222="","증빙을 고르십시오",IF($H1222="","적요를 적으십시오","")))))))))))</f>
        <v/>
      </c>
      <c r="M1222" s="39"/>
      <c r="O1222" s="11" t="str">
        <f aca="false">IF($B1222="","",YEAR($B1222)*100+MONTH($B1222))</f>
        <v/>
      </c>
      <c r="P1222" s="11" t="str">
        <f aca="false">IF($B1222="","",IF($E1222="대체",0,1))</f>
        <v/>
      </c>
    </row>
    <row r="1223" customFormat="false" ht="15" hidden="false" customHeight="false" outlineLevel="0" collapsed="false">
      <c r="A1223" s="36" t="str">
        <f aca="false">IF($B1223="","",COUNT($B$15:$B1223))</f>
        <v/>
      </c>
      <c r="B1223" s="37"/>
      <c r="C1223" s="38"/>
      <c r="D1223" s="20"/>
      <c r="E1223" s="36" t="str">
        <f aca="false">IF($D1223="","",IFERROR(INDEX('교육원 ④ 설정'!$A$6:$A$40,MATCH($D1223,'교육원 ④ 설정'!$B$6:$B$40,0)),"※없는 과목"))</f>
        <v/>
      </c>
      <c r="F1223" s="36" t="str">
        <f aca="false">IF($D1223="","",IFERROR(INDEX('교육원 ④ 설정'!$C$6:$C$40,MATCH($D1223,'교육원 ④ 설정'!$B$6:$B$40,0)),""))</f>
        <v/>
      </c>
      <c r="G1223" s="39"/>
      <c r="H1223" s="39"/>
      <c r="I1223" s="40"/>
      <c r="J1223" s="41"/>
      <c r="K1223" s="38"/>
      <c r="L1223" s="42" t="str">
        <f aca="false">IF($B1223="","",IF(AND(N($I1223)=0,N($J1223)=0),"금액이 없습니다",IF(AND($I1223&gt;0,$J1223&gt;0),"수입·지출 둘 다 적혔습니다",IF($C1223="","결제수단을 고르십시오",IF(ISNA(MATCH($C1223,'교육원 ③ 통장·카드'!$A$5:$A$11,0)),"③ 통장·카드에 없는 결제수단입니다",IF($D1223="","계정과목을 고르십시오",IF($E1223="※없는 과목","④ 설정에 없는 과목입니다",IF(AND($E1223="수입",$J1223&gt;0),"수입 과목인데 지출에 적혔습니다",IF(AND(LEFT($E1223,2)&lt;&gt;"수입",$E1223&lt;&gt;"대체",$I1223&gt;0),"지출 과목인데 수입에 적혔습니다",IF($K1223="","증빙을 고르십시오",IF($H1223="","적요를 적으십시오","")))))))))))</f>
        <v/>
      </c>
      <c r="M1223" s="39"/>
      <c r="O1223" s="11" t="str">
        <f aca="false">IF($B1223="","",YEAR($B1223)*100+MONTH($B1223))</f>
        <v/>
      </c>
      <c r="P1223" s="11" t="str">
        <f aca="false">IF($B1223="","",IF($E1223="대체",0,1))</f>
        <v/>
      </c>
    </row>
    <row r="1224" customFormat="false" ht="15" hidden="false" customHeight="false" outlineLevel="0" collapsed="false">
      <c r="A1224" s="36" t="str">
        <f aca="false">IF($B1224="","",COUNT($B$15:$B1224))</f>
        <v/>
      </c>
      <c r="B1224" s="37"/>
      <c r="C1224" s="38"/>
      <c r="D1224" s="20"/>
      <c r="E1224" s="36" t="str">
        <f aca="false">IF($D1224="","",IFERROR(INDEX('교육원 ④ 설정'!$A$6:$A$40,MATCH($D1224,'교육원 ④ 설정'!$B$6:$B$40,0)),"※없는 과목"))</f>
        <v/>
      </c>
      <c r="F1224" s="36" t="str">
        <f aca="false">IF($D1224="","",IFERROR(INDEX('교육원 ④ 설정'!$C$6:$C$40,MATCH($D1224,'교육원 ④ 설정'!$B$6:$B$40,0)),""))</f>
        <v/>
      </c>
      <c r="G1224" s="39"/>
      <c r="H1224" s="39"/>
      <c r="I1224" s="40"/>
      <c r="J1224" s="41"/>
      <c r="K1224" s="38"/>
      <c r="L1224" s="42" t="str">
        <f aca="false">IF($B1224="","",IF(AND(N($I1224)=0,N($J1224)=0),"금액이 없습니다",IF(AND($I1224&gt;0,$J1224&gt;0),"수입·지출 둘 다 적혔습니다",IF($C1224="","결제수단을 고르십시오",IF(ISNA(MATCH($C1224,'교육원 ③ 통장·카드'!$A$5:$A$11,0)),"③ 통장·카드에 없는 결제수단입니다",IF($D1224="","계정과목을 고르십시오",IF($E1224="※없는 과목","④ 설정에 없는 과목입니다",IF(AND($E1224="수입",$J1224&gt;0),"수입 과목인데 지출에 적혔습니다",IF(AND(LEFT($E1224,2)&lt;&gt;"수입",$E1224&lt;&gt;"대체",$I1224&gt;0),"지출 과목인데 수입에 적혔습니다",IF($K1224="","증빙을 고르십시오",IF($H1224="","적요를 적으십시오","")))))))))))</f>
        <v/>
      </c>
      <c r="M1224" s="39"/>
      <c r="O1224" s="11" t="str">
        <f aca="false">IF($B1224="","",YEAR($B1224)*100+MONTH($B1224))</f>
        <v/>
      </c>
      <c r="P1224" s="11" t="str">
        <f aca="false">IF($B1224="","",IF($E1224="대체",0,1))</f>
        <v/>
      </c>
    </row>
    <row r="1225" customFormat="false" ht="15" hidden="false" customHeight="false" outlineLevel="0" collapsed="false">
      <c r="A1225" s="36" t="str">
        <f aca="false">IF($B1225="","",COUNT($B$15:$B1225))</f>
        <v/>
      </c>
      <c r="B1225" s="37"/>
      <c r="C1225" s="38"/>
      <c r="D1225" s="20"/>
      <c r="E1225" s="36" t="str">
        <f aca="false">IF($D1225="","",IFERROR(INDEX('교육원 ④ 설정'!$A$6:$A$40,MATCH($D1225,'교육원 ④ 설정'!$B$6:$B$40,0)),"※없는 과목"))</f>
        <v/>
      </c>
      <c r="F1225" s="36" t="str">
        <f aca="false">IF($D1225="","",IFERROR(INDEX('교육원 ④ 설정'!$C$6:$C$40,MATCH($D1225,'교육원 ④ 설정'!$B$6:$B$40,0)),""))</f>
        <v/>
      </c>
      <c r="G1225" s="39"/>
      <c r="H1225" s="39"/>
      <c r="I1225" s="40"/>
      <c r="J1225" s="41"/>
      <c r="K1225" s="38"/>
      <c r="L1225" s="42" t="str">
        <f aca="false">IF($B1225="","",IF(AND(N($I1225)=0,N($J1225)=0),"금액이 없습니다",IF(AND($I1225&gt;0,$J1225&gt;0),"수입·지출 둘 다 적혔습니다",IF($C1225="","결제수단을 고르십시오",IF(ISNA(MATCH($C1225,'교육원 ③ 통장·카드'!$A$5:$A$11,0)),"③ 통장·카드에 없는 결제수단입니다",IF($D1225="","계정과목을 고르십시오",IF($E1225="※없는 과목","④ 설정에 없는 과목입니다",IF(AND($E1225="수입",$J1225&gt;0),"수입 과목인데 지출에 적혔습니다",IF(AND(LEFT($E1225,2)&lt;&gt;"수입",$E1225&lt;&gt;"대체",$I1225&gt;0),"지출 과목인데 수입에 적혔습니다",IF($K1225="","증빙을 고르십시오",IF($H1225="","적요를 적으십시오","")))))))))))</f>
        <v/>
      </c>
      <c r="M1225" s="39"/>
      <c r="O1225" s="11" t="str">
        <f aca="false">IF($B1225="","",YEAR($B1225)*100+MONTH($B1225))</f>
        <v/>
      </c>
      <c r="P1225" s="11" t="str">
        <f aca="false">IF($B1225="","",IF($E1225="대체",0,1))</f>
        <v/>
      </c>
    </row>
    <row r="1226" customFormat="false" ht="15" hidden="false" customHeight="false" outlineLevel="0" collapsed="false">
      <c r="A1226" s="36" t="str">
        <f aca="false">IF($B1226="","",COUNT($B$15:$B1226))</f>
        <v/>
      </c>
      <c r="B1226" s="37"/>
      <c r="C1226" s="38"/>
      <c r="D1226" s="20"/>
      <c r="E1226" s="36" t="str">
        <f aca="false">IF($D1226="","",IFERROR(INDEX('교육원 ④ 설정'!$A$6:$A$40,MATCH($D1226,'교육원 ④ 설정'!$B$6:$B$40,0)),"※없는 과목"))</f>
        <v/>
      </c>
      <c r="F1226" s="36" t="str">
        <f aca="false">IF($D1226="","",IFERROR(INDEX('교육원 ④ 설정'!$C$6:$C$40,MATCH($D1226,'교육원 ④ 설정'!$B$6:$B$40,0)),""))</f>
        <v/>
      </c>
      <c r="G1226" s="39"/>
      <c r="H1226" s="39"/>
      <c r="I1226" s="40"/>
      <c r="J1226" s="41"/>
      <c r="K1226" s="38"/>
      <c r="L1226" s="42" t="str">
        <f aca="false">IF($B1226="","",IF(AND(N($I1226)=0,N($J1226)=0),"금액이 없습니다",IF(AND($I1226&gt;0,$J1226&gt;0),"수입·지출 둘 다 적혔습니다",IF($C1226="","결제수단을 고르십시오",IF(ISNA(MATCH($C1226,'교육원 ③ 통장·카드'!$A$5:$A$11,0)),"③ 통장·카드에 없는 결제수단입니다",IF($D1226="","계정과목을 고르십시오",IF($E1226="※없는 과목","④ 설정에 없는 과목입니다",IF(AND($E1226="수입",$J1226&gt;0),"수입 과목인데 지출에 적혔습니다",IF(AND(LEFT($E1226,2)&lt;&gt;"수입",$E1226&lt;&gt;"대체",$I1226&gt;0),"지출 과목인데 수입에 적혔습니다",IF($K1226="","증빙을 고르십시오",IF($H1226="","적요를 적으십시오","")))))))))))</f>
        <v/>
      </c>
      <c r="M1226" s="39"/>
      <c r="O1226" s="11" t="str">
        <f aca="false">IF($B1226="","",YEAR($B1226)*100+MONTH($B1226))</f>
        <v/>
      </c>
      <c r="P1226" s="11" t="str">
        <f aca="false">IF($B1226="","",IF($E1226="대체",0,1))</f>
        <v/>
      </c>
    </row>
    <row r="1227" customFormat="false" ht="15" hidden="false" customHeight="false" outlineLevel="0" collapsed="false">
      <c r="A1227" s="36" t="str">
        <f aca="false">IF($B1227="","",COUNT($B$15:$B1227))</f>
        <v/>
      </c>
      <c r="B1227" s="37"/>
      <c r="C1227" s="38"/>
      <c r="D1227" s="20"/>
      <c r="E1227" s="36" t="str">
        <f aca="false">IF($D1227="","",IFERROR(INDEX('교육원 ④ 설정'!$A$6:$A$40,MATCH($D1227,'교육원 ④ 설정'!$B$6:$B$40,0)),"※없는 과목"))</f>
        <v/>
      </c>
      <c r="F1227" s="36" t="str">
        <f aca="false">IF($D1227="","",IFERROR(INDEX('교육원 ④ 설정'!$C$6:$C$40,MATCH($D1227,'교육원 ④ 설정'!$B$6:$B$40,0)),""))</f>
        <v/>
      </c>
      <c r="G1227" s="39"/>
      <c r="H1227" s="39"/>
      <c r="I1227" s="40"/>
      <c r="J1227" s="41"/>
      <c r="K1227" s="38"/>
      <c r="L1227" s="42" t="str">
        <f aca="false">IF($B1227="","",IF(AND(N($I1227)=0,N($J1227)=0),"금액이 없습니다",IF(AND($I1227&gt;0,$J1227&gt;0),"수입·지출 둘 다 적혔습니다",IF($C1227="","결제수단을 고르십시오",IF(ISNA(MATCH($C1227,'교육원 ③ 통장·카드'!$A$5:$A$11,0)),"③ 통장·카드에 없는 결제수단입니다",IF($D1227="","계정과목을 고르십시오",IF($E1227="※없는 과목","④ 설정에 없는 과목입니다",IF(AND($E1227="수입",$J1227&gt;0),"수입 과목인데 지출에 적혔습니다",IF(AND(LEFT($E1227,2)&lt;&gt;"수입",$E1227&lt;&gt;"대체",$I1227&gt;0),"지출 과목인데 수입에 적혔습니다",IF($K1227="","증빙을 고르십시오",IF($H1227="","적요를 적으십시오","")))))))))))</f>
        <v/>
      </c>
      <c r="M1227" s="39"/>
      <c r="O1227" s="11" t="str">
        <f aca="false">IF($B1227="","",YEAR($B1227)*100+MONTH($B1227))</f>
        <v/>
      </c>
      <c r="P1227" s="11" t="str">
        <f aca="false">IF($B1227="","",IF($E1227="대체",0,1))</f>
        <v/>
      </c>
    </row>
    <row r="1228" customFormat="false" ht="15" hidden="false" customHeight="false" outlineLevel="0" collapsed="false">
      <c r="A1228" s="36" t="str">
        <f aca="false">IF($B1228="","",COUNT($B$15:$B1228))</f>
        <v/>
      </c>
      <c r="B1228" s="37"/>
      <c r="C1228" s="38"/>
      <c r="D1228" s="20"/>
      <c r="E1228" s="36" t="str">
        <f aca="false">IF($D1228="","",IFERROR(INDEX('교육원 ④ 설정'!$A$6:$A$40,MATCH($D1228,'교육원 ④ 설정'!$B$6:$B$40,0)),"※없는 과목"))</f>
        <v/>
      </c>
      <c r="F1228" s="36" t="str">
        <f aca="false">IF($D1228="","",IFERROR(INDEX('교육원 ④ 설정'!$C$6:$C$40,MATCH($D1228,'교육원 ④ 설정'!$B$6:$B$40,0)),""))</f>
        <v/>
      </c>
      <c r="G1228" s="39"/>
      <c r="H1228" s="39"/>
      <c r="I1228" s="40"/>
      <c r="J1228" s="41"/>
      <c r="K1228" s="38"/>
      <c r="L1228" s="42" t="str">
        <f aca="false">IF($B1228="","",IF(AND(N($I1228)=0,N($J1228)=0),"금액이 없습니다",IF(AND($I1228&gt;0,$J1228&gt;0),"수입·지출 둘 다 적혔습니다",IF($C1228="","결제수단을 고르십시오",IF(ISNA(MATCH($C1228,'교육원 ③ 통장·카드'!$A$5:$A$11,0)),"③ 통장·카드에 없는 결제수단입니다",IF($D1228="","계정과목을 고르십시오",IF($E1228="※없는 과목","④ 설정에 없는 과목입니다",IF(AND($E1228="수입",$J1228&gt;0),"수입 과목인데 지출에 적혔습니다",IF(AND(LEFT($E1228,2)&lt;&gt;"수입",$E1228&lt;&gt;"대체",$I1228&gt;0),"지출 과목인데 수입에 적혔습니다",IF($K1228="","증빙을 고르십시오",IF($H1228="","적요를 적으십시오","")))))))))))</f>
        <v/>
      </c>
      <c r="M1228" s="39"/>
      <c r="O1228" s="11" t="str">
        <f aca="false">IF($B1228="","",YEAR($B1228)*100+MONTH($B1228))</f>
        <v/>
      </c>
      <c r="P1228" s="11" t="str">
        <f aca="false">IF($B1228="","",IF($E1228="대체",0,1))</f>
        <v/>
      </c>
    </row>
    <row r="1229" customFormat="false" ht="15" hidden="false" customHeight="false" outlineLevel="0" collapsed="false">
      <c r="A1229" s="36" t="str">
        <f aca="false">IF($B1229="","",COUNT($B$15:$B1229))</f>
        <v/>
      </c>
      <c r="B1229" s="37"/>
      <c r="C1229" s="38"/>
      <c r="D1229" s="20"/>
      <c r="E1229" s="36" t="str">
        <f aca="false">IF($D1229="","",IFERROR(INDEX('교육원 ④ 설정'!$A$6:$A$40,MATCH($D1229,'교육원 ④ 설정'!$B$6:$B$40,0)),"※없는 과목"))</f>
        <v/>
      </c>
      <c r="F1229" s="36" t="str">
        <f aca="false">IF($D1229="","",IFERROR(INDEX('교육원 ④ 설정'!$C$6:$C$40,MATCH($D1229,'교육원 ④ 설정'!$B$6:$B$40,0)),""))</f>
        <v/>
      </c>
      <c r="G1229" s="39"/>
      <c r="H1229" s="39"/>
      <c r="I1229" s="40"/>
      <c r="J1229" s="41"/>
      <c r="K1229" s="38"/>
      <c r="L1229" s="42" t="str">
        <f aca="false">IF($B1229="","",IF(AND(N($I1229)=0,N($J1229)=0),"금액이 없습니다",IF(AND($I1229&gt;0,$J1229&gt;0),"수입·지출 둘 다 적혔습니다",IF($C1229="","결제수단을 고르십시오",IF(ISNA(MATCH($C1229,'교육원 ③ 통장·카드'!$A$5:$A$11,0)),"③ 통장·카드에 없는 결제수단입니다",IF($D1229="","계정과목을 고르십시오",IF($E1229="※없는 과목","④ 설정에 없는 과목입니다",IF(AND($E1229="수입",$J1229&gt;0),"수입 과목인데 지출에 적혔습니다",IF(AND(LEFT($E1229,2)&lt;&gt;"수입",$E1229&lt;&gt;"대체",$I1229&gt;0),"지출 과목인데 수입에 적혔습니다",IF($K1229="","증빙을 고르십시오",IF($H1229="","적요를 적으십시오","")))))))))))</f>
        <v/>
      </c>
      <c r="M1229" s="39"/>
      <c r="O1229" s="11" t="str">
        <f aca="false">IF($B1229="","",YEAR($B1229)*100+MONTH($B1229))</f>
        <v/>
      </c>
      <c r="P1229" s="11" t="str">
        <f aca="false">IF($B1229="","",IF($E1229="대체",0,1))</f>
        <v/>
      </c>
    </row>
    <row r="1230" customFormat="false" ht="15" hidden="false" customHeight="false" outlineLevel="0" collapsed="false">
      <c r="A1230" s="36" t="str">
        <f aca="false">IF($B1230="","",COUNT($B$15:$B1230))</f>
        <v/>
      </c>
      <c r="B1230" s="37"/>
      <c r="C1230" s="38"/>
      <c r="D1230" s="20"/>
      <c r="E1230" s="36" t="str">
        <f aca="false">IF($D1230="","",IFERROR(INDEX('교육원 ④ 설정'!$A$6:$A$40,MATCH($D1230,'교육원 ④ 설정'!$B$6:$B$40,0)),"※없는 과목"))</f>
        <v/>
      </c>
      <c r="F1230" s="36" t="str">
        <f aca="false">IF($D1230="","",IFERROR(INDEX('교육원 ④ 설정'!$C$6:$C$40,MATCH($D1230,'교육원 ④ 설정'!$B$6:$B$40,0)),""))</f>
        <v/>
      </c>
      <c r="G1230" s="39"/>
      <c r="H1230" s="39"/>
      <c r="I1230" s="40"/>
      <c r="J1230" s="41"/>
      <c r="K1230" s="38"/>
      <c r="L1230" s="42" t="str">
        <f aca="false">IF($B1230="","",IF(AND(N($I1230)=0,N($J1230)=0),"금액이 없습니다",IF(AND($I1230&gt;0,$J1230&gt;0),"수입·지출 둘 다 적혔습니다",IF($C1230="","결제수단을 고르십시오",IF(ISNA(MATCH($C1230,'교육원 ③ 통장·카드'!$A$5:$A$11,0)),"③ 통장·카드에 없는 결제수단입니다",IF($D1230="","계정과목을 고르십시오",IF($E1230="※없는 과목","④ 설정에 없는 과목입니다",IF(AND($E1230="수입",$J1230&gt;0),"수입 과목인데 지출에 적혔습니다",IF(AND(LEFT($E1230,2)&lt;&gt;"수입",$E1230&lt;&gt;"대체",$I1230&gt;0),"지출 과목인데 수입에 적혔습니다",IF($K1230="","증빙을 고르십시오",IF($H1230="","적요를 적으십시오","")))))))))))</f>
        <v/>
      </c>
      <c r="M1230" s="39"/>
      <c r="O1230" s="11" t="str">
        <f aca="false">IF($B1230="","",YEAR($B1230)*100+MONTH($B1230))</f>
        <v/>
      </c>
      <c r="P1230" s="11" t="str">
        <f aca="false">IF($B1230="","",IF($E1230="대체",0,1))</f>
        <v/>
      </c>
    </row>
    <row r="1231" customFormat="false" ht="15" hidden="false" customHeight="false" outlineLevel="0" collapsed="false">
      <c r="A1231" s="36" t="str">
        <f aca="false">IF($B1231="","",COUNT($B$15:$B1231))</f>
        <v/>
      </c>
      <c r="B1231" s="37"/>
      <c r="C1231" s="38"/>
      <c r="D1231" s="20"/>
      <c r="E1231" s="36" t="str">
        <f aca="false">IF($D1231="","",IFERROR(INDEX('교육원 ④ 설정'!$A$6:$A$40,MATCH($D1231,'교육원 ④ 설정'!$B$6:$B$40,0)),"※없는 과목"))</f>
        <v/>
      </c>
      <c r="F1231" s="36" t="str">
        <f aca="false">IF($D1231="","",IFERROR(INDEX('교육원 ④ 설정'!$C$6:$C$40,MATCH($D1231,'교육원 ④ 설정'!$B$6:$B$40,0)),""))</f>
        <v/>
      </c>
      <c r="G1231" s="39"/>
      <c r="H1231" s="39"/>
      <c r="I1231" s="40"/>
      <c r="J1231" s="41"/>
      <c r="K1231" s="38"/>
      <c r="L1231" s="42" t="str">
        <f aca="false">IF($B1231="","",IF(AND(N($I1231)=0,N($J1231)=0),"금액이 없습니다",IF(AND($I1231&gt;0,$J1231&gt;0),"수입·지출 둘 다 적혔습니다",IF($C1231="","결제수단을 고르십시오",IF(ISNA(MATCH($C1231,'교육원 ③ 통장·카드'!$A$5:$A$11,0)),"③ 통장·카드에 없는 결제수단입니다",IF($D1231="","계정과목을 고르십시오",IF($E1231="※없는 과목","④ 설정에 없는 과목입니다",IF(AND($E1231="수입",$J1231&gt;0),"수입 과목인데 지출에 적혔습니다",IF(AND(LEFT($E1231,2)&lt;&gt;"수입",$E1231&lt;&gt;"대체",$I1231&gt;0),"지출 과목인데 수입에 적혔습니다",IF($K1231="","증빙을 고르십시오",IF($H1231="","적요를 적으십시오","")))))))))))</f>
        <v/>
      </c>
      <c r="M1231" s="39"/>
      <c r="O1231" s="11" t="str">
        <f aca="false">IF($B1231="","",YEAR($B1231)*100+MONTH($B1231))</f>
        <v/>
      </c>
      <c r="P1231" s="11" t="str">
        <f aca="false">IF($B1231="","",IF($E1231="대체",0,1))</f>
        <v/>
      </c>
    </row>
    <row r="1232" customFormat="false" ht="15" hidden="false" customHeight="false" outlineLevel="0" collapsed="false">
      <c r="A1232" s="36" t="str">
        <f aca="false">IF($B1232="","",COUNT($B$15:$B1232))</f>
        <v/>
      </c>
      <c r="B1232" s="37"/>
      <c r="C1232" s="38"/>
      <c r="D1232" s="20"/>
      <c r="E1232" s="36" t="str">
        <f aca="false">IF($D1232="","",IFERROR(INDEX('교육원 ④ 설정'!$A$6:$A$40,MATCH($D1232,'교육원 ④ 설정'!$B$6:$B$40,0)),"※없는 과목"))</f>
        <v/>
      </c>
      <c r="F1232" s="36" t="str">
        <f aca="false">IF($D1232="","",IFERROR(INDEX('교육원 ④ 설정'!$C$6:$C$40,MATCH($D1232,'교육원 ④ 설정'!$B$6:$B$40,0)),""))</f>
        <v/>
      </c>
      <c r="G1232" s="39"/>
      <c r="H1232" s="39"/>
      <c r="I1232" s="40"/>
      <c r="J1232" s="41"/>
      <c r="K1232" s="38"/>
      <c r="L1232" s="42" t="str">
        <f aca="false">IF($B1232="","",IF(AND(N($I1232)=0,N($J1232)=0),"금액이 없습니다",IF(AND($I1232&gt;0,$J1232&gt;0),"수입·지출 둘 다 적혔습니다",IF($C1232="","결제수단을 고르십시오",IF(ISNA(MATCH($C1232,'교육원 ③ 통장·카드'!$A$5:$A$11,0)),"③ 통장·카드에 없는 결제수단입니다",IF($D1232="","계정과목을 고르십시오",IF($E1232="※없는 과목","④ 설정에 없는 과목입니다",IF(AND($E1232="수입",$J1232&gt;0),"수입 과목인데 지출에 적혔습니다",IF(AND(LEFT($E1232,2)&lt;&gt;"수입",$E1232&lt;&gt;"대체",$I1232&gt;0),"지출 과목인데 수입에 적혔습니다",IF($K1232="","증빙을 고르십시오",IF($H1232="","적요를 적으십시오","")))))))))))</f>
        <v/>
      </c>
      <c r="M1232" s="39"/>
      <c r="O1232" s="11" t="str">
        <f aca="false">IF($B1232="","",YEAR($B1232)*100+MONTH($B1232))</f>
        <v/>
      </c>
      <c r="P1232" s="11" t="str">
        <f aca="false">IF($B1232="","",IF($E1232="대체",0,1))</f>
        <v/>
      </c>
    </row>
    <row r="1233" customFormat="false" ht="15" hidden="false" customHeight="false" outlineLevel="0" collapsed="false">
      <c r="A1233" s="36" t="str">
        <f aca="false">IF($B1233="","",COUNT($B$15:$B1233))</f>
        <v/>
      </c>
      <c r="B1233" s="37"/>
      <c r="C1233" s="38"/>
      <c r="D1233" s="20"/>
      <c r="E1233" s="36" t="str">
        <f aca="false">IF($D1233="","",IFERROR(INDEX('교육원 ④ 설정'!$A$6:$A$40,MATCH($D1233,'교육원 ④ 설정'!$B$6:$B$40,0)),"※없는 과목"))</f>
        <v/>
      </c>
      <c r="F1233" s="36" t="str">
        <f aca="false">IF($D1233="","",IFERROR(INDEX('교육원 ④ 설정'!$C$6:$C$40,MATCH($D1233,'교육원 ④ 설정'!$B$6:$B$40,0)),""))</f>
        <v/>
      </c>
      <c r="G1233" s="39"/>
      <c r="H1233" s="39"/>
      <c r="I1233" s="40"/>
      <c r="J1233" s="41"/>
      <c r="K1233" s="38"/>
      <c r="L1233" s="42" t="str">
        <f aca="false">IF($B1233="","",IF(AND(N($I1233)=0,N($J1233)=0),"금액이 없습니다",IF(AND($I1233&gt;0,$J1233&gt;0),"수입·지출 둘 다 적혔습니다",IF($C1233="","결제수단을 고르십시오",IF(ISNA(MATCH($C1233,'교육원 ③ 통장·카드'!$A$5:$A$11,0)),"③ 통장·카드에 없는 결제수단입니다",IF($D1233="","계정과목을 고르십시오",IF($E1233="※없는 과목","④ 설정에 없는 과목입니다",IF(AND($E1233="수입",$J1233&gt;0),"수입 과목인데 지출에 적혔습니다",IF(AND(LEFT($E1233,2)&lt;&gt;"수입",$E1233&lt;&gt;"대체",$I1233&gt;0),"지출 과목인데 수입에 적혔습니다",IF($K1233="","증빙을 고르십시오",IF($H1233="","적요를 적으십시오","")))))))))))</f>
        <v/>
      </c>
      <c r="M1233" s="39"/>
      <c r="O1233" s="11" t="str">
        <f aca="false">IF($B1233="","",YEAR($B1233)*100+MONTH($B1233))</f>
        <v/>
      </c>
      <c r="P1233" s="11" t="str">
        <f aca="false">IF($B1233="","",IF($E1233="대체",0,1))</f>
        <v/>
      </c>
    </row>
    <row r="1234" customFormat="false" ht="15" hidden="false" customHeight="false" outlineLevel="0" collapsed="false">
      <c r="A1234" s="36" t="str">
        <f aca="false">IF($B1234="","",COUNT($B$15:$B1234))</f>
        <v/>
      </c>
      <c r="B1234" s="37"/>
      <c r="C1234" s="38"/>
      <c r="D1234" s="20"/>
      <c r="E1234" s="36" t="str">
        <f aca="false">IF($D1234="","",IFERROR(INDEX('교육원 ④ 설정'!$A$6:$A$40,MATCH($D1234,'교육원 ④ 설정'!$B$6:$B$40,0)),"※없는 과목"))</f>
        <v/>
      </c>
      <c r="F1234" s="36" t="str">
        <f aca="false">IF($D1234="","",IFERROR(INDEX('교육원 ④ 설정'!$C$6:$C$40,MATCH($D1234,'교육원 ④ 설정'!$B$6:$B$40,0)),""))</f>
        <v/>
      </c>
      <c r="G1234" s="39"/>
      <c r="H1234" s="39"/>
      <c r="I1234" s="40"/>
      <c r="J1234" s="41"/>
      <c r="K1234" s="38"/>
      <c r="L1234" s="42" t="str">
        <f aca="false">IF($B1234="","",IF(AND(N($I1234)=0,N($J1234)=0),"금액이 없습니다",IF(AND($I1234&gt;0,$J1234&gt;0),"수입·지출 둘 다 적혔습니다",IF($C1234="","결제수단을 고르십시오",IF(ISNA(MATCH($C1234,'교육원 ③ 통장·카드'!$A$5:$A$11,0)),"③ 통장·카드에 없는 결제수단입니다",IF($D1234="","계정과목을 고르십시오",IF($E1234="※없는 과목","④ 설정에 없는 과목입니다",IF(AND($E1234="수입",$J1234&gt;0),"수입 과목인데 지출에 적혔습니다",IF(AND(LEFT($E1234,2)&lt;&gt;"수입",$E1234&lt;&gt;"대체",$I1234&gt;0),"지출 과목인데 수입에 적혔습니다",IF($K1234="","증빙을 고르십시오",IF($H1234="","적요를 적으십시오","")))))))))))</f>
        <v/>
      </c>
      <c r="M1234" s="39"/>
      <c r="O1234" s="11" t="str">
        <f aca="false">IF($B1234="","",YEAR($B1234)*100+MONTH($B1234))</f>
        <v/>
      </c>
      <c r="P1234" s="11" t="str">
        <f aca="false">IF($B1234="","",IF($E1234="대체",0,1))</f>
        <v/>
      </c>
    </row>
    <row r="1235" customFormat="false" ht="15" hidden="false" customHeight="false" outlineLevel="0" collapsed="false">
      <c r="A1235" s="36" t="str">
        <f aca="false">IF($B1235="","",COUNT($B$15:$B1235))</f>
        <v/>
      </c>
      <c r="B1235" s="37"/>
      <c r="C1235" s="38"/>
      <c r="D1235" s="20"/>
      <c r="E1235" s="36" t="str">
        <f aca="false">IF($D1235="","",IFERROR(INDEX('교육원 ④ 설정'!$A$6:$A$40,MATCH($D1235,'교육원 ④ 설정'!$B$6:$B$40,0)),"※없는 과목"))</f>
        <v/>
      </c>
      <c r="F1235" s="36" t="str">
        <f aca="false">IF($D1235="","",IFERROR(INDEX('교육원 ④ 설정'!$C$6:$C$40,MATCH($D1235,'교육원 ④ 설정'!$B$6:$B$40,0)),""))</f>
        <v/>
      </c>
      <c r="G1235" s="39"/>
      <c r="H1235" s="39"/>
      <c r="I1235" s="40"/>
      <c r="J1235" s="41"/>
      <c r="K1235" s="38"/>
      <c r="L1235" s="42" t="str">
        <f aca="false">IF($B1235="","",IF(AND(N($I1235)=0,N($J1235)=0),"금액이 없습니다",IF(AND($I1235&gt;0,$J1235&gt;0),"수입·지출 둘 다 적혔습니다",IF($C1235="","결제수단을 고르십시오",IF(ISNA(MATCH($C1235,'교육원 ③ 통장·카드'!$A$5:$A$11,0)),"③ 통장·카드에 없는 결제수단입니다",IF($D1235="","계정과목을 고르십시오",IF($E1235="※없는 과목","④ 설정에 없는 과목입니다",IF(AND($E1235="수입",$J1235&gt;0),"수입 과목인데 지출에 적혔습니다",IF(AND(LEFT($E1235,2)&lt;&gt;"수입",$E1235&lt;&gt;"대체",$I1235&gt;0),"지출 과목인데 수입에 적혔습니다",IF($K1235="","증빙을 고르십시오",IF($H1235="","적요를 적으십시오","")))))))))))</f>
        <v/>
      </c>
      <c r="M1235" s="39"/>
      <c r="O1235" s="11" t="str">
        <f aca="false">IF($B1235="","",YEAR($B1235)*100+MONTH($B1235))</f>
        <v/>
      </c>
      <c r="P1235" s="11" t="str">
        <f aca="false">IF($B1235="","",IF($E1235="대체",0,1))</f>
        <v/>
      </c>
    </row>
    <row r="1236" customFormat="false" ht="15" hidden="false" customHeight="false" outlineLevel="0" collapsed="false">
      <c r="A1236" s="36" t="str">
        <f aca="false">IF($B1236="","",COUNT($B$15:$B1236))</f>
        <v/>
      </c>
      <c r="B1236" s="37"/>
      <c r="C1236" s="38"/>
      <c r="D1236" s="20"/>
      <c r="E1236" s="36" t="str">
        <f aca="false">IF($D1236="","",IFERROR(INDEX('교육원 ④ 설정'!$A$6:$A$40,MATCH($D1236,'교육원 ④ 설정'!$B$6:$B$40,0)),"※없는 과목"))</f>
        <v/>
      </c>
      <c r="F1236" s="36" t="str">
        <f aca="false">IF($D1236="","",IFERROR(INDEX('교육원 ④ 설정'!$C$6:$C$40,MATCH($D1236,'교육원 ④ 설정'!$B$6:$B$40,0)),""))</f>
        <v/>
      </c>
      <c r="G1236" s="39"/>
      <c r="H1236" s="39"/>
      <c r="I1236" s="40"/>
      <c r="J1236" s="41"/>
      <c r="K1236" s="38"/>
      <c r="L1236" s="42" t="str">
        <f aca="false">IF($B1236="","",IF(AND(N($I1236)=0,N($J1236)=0),"금액이 없습니다",IF(AND($I1236&gt;0,$J1236&gt;0),"수입·지출 둘 다 적혔습니다",IF($C1236="","결제수단을 고르십시오",IF(ISNA(MATCH($C1236,'교육원 ③ 통장·카드'!$A$5:$A$11,0)),"③ 통장·카드에 없는 결제수단입니다",IF($D1236="","계정과목을 고르십시오",IF($E1236="※없는 과목","④ 설정에 없는 과목입니다",IF(AND($E1236="수입",$J1236&gt;0),"수입 과목인데 지출에 적혔습니다",IF(AND(LEFT($E1236,2)&lt;&gt;"수입",$E1236&lt;&gt;"대체",$I1236&gt;0),"지출 과목인데 수입에 적혔습니다",IF($K1236="","증빙을 고르십시오",IF($H1236="","적요를 적으십시오","")))))))))))</f>
        <v/>
      </c>
      <c r="M1236" s="39"/>
      <c r="O1236" s="11" t="str">
        <f aca="false">IF($B1236="","",YEAR($B1236)*100+MONTH($B1236))</f>
        <v/>
      </c>
      <c r="P1236" s="11" t="str">
        <f aca="false">IF($B1236="","",IF($E1236="대체",0,1))</f>
        <v/>
      </c>
    </row>
    <row r="1237" customFormat="false" ht="15" hidden="false" customHeight="false" outlineLevel="0" collapsed="false">
      <c r="A1237" s="36" t="str">
        <f aca="false">IF($B1237="","",COUNT($B$15:$B1237))</f>
        <v/>
      </c>
      <c r="B1237" s="37"/>
      <c r="C1237" s="38"/>
      <c r="D1237" s="20"/>
      <c r="E1237" s="36" t="str">
        <f aca="false">IF($D1237="","",IFERROR(INDEX('교육원 ④ 설정'!$A$6:$A$40,MATCH($D1237,'교육원 ④ 설정'!$B$6:$B$40,0)),"※없는 과목"))</f>
        <v/>
      </c>
      <c r="F1237" s="36" t="str">
        <f aca="false">IF($D1237="","",IFERROR(INDEX('교육원 ④ 설정'!$C$6:$C$40,MATCH($D1237,'교육원 ④ 설정'!$B$6:$B$40,0)),""))</f>
        <v/>
      </c>
      <c r="G1237" s="39"/>
      <c r="H1237" s="39"/>
      <c r="I1237" s="40"/>
      <c r="J1237" s="41"/>
      <c r="K1237" s="38"/>
      <c r="L1237" s="42" t="str">
        <f aca="false">IF($B1237="","",IF(AND(N($I1237)=0,N($J1237)=0),"금액이 없습니다",IF(AND($I1237&gt;0,$J1237&gt;0),"수입·지출 둘 다 적혔습니다",IF($C1237="","결제수단을 고르십시오",IF(ISNA(MATCH($C1237,'교육원 ③ 통장·카드'!$A$5:$A$11,0)),"③ 통장·카드에 없는 결제수단입니다",IF($D1237="","계정과목을 고르십시오",IF($E1237="※없는 과목","④ 설정에 없는 과목입니다",IF(AND($E1237="수입",$J1237&gt;0),"수입 과목인데 지출에 적혔습니다",IF(AND(LEFT($E1237,2)&lt;&gt;"수입",$E1237&lt;&gt;"대체",$I1237&gt;0),"지출 과목인데 수입에 적혔습니다",IF($K1237="","증빙을 고르십시오",IF($H1237="","적요를 적으십시오","")))))))))))</f>
        <v/>
      </c>
      <c r="M1237" s="39"/>
      <c r="O1237" s="11" t="str">
        <f aca="false">IF($B1237="","",YEAR($B1237)*100+MONTH($B1237))</f>
        <v/>
      </c>
      <c r="P1237" s="11" t="str">
        <f aca="false">IF($B1237="","",IF($E1237="대체",0,1))</f>
        <v/>
      </c>
    </row>
    <row r="1238" customFormat="false" ht="15" hidden="false" customHeight="false" outlineLevel="0" collapsed="false">
      <c r="A1238" s="36" t="str">
        <f aca="false">IF($B1238="","",COUNT($B$15:$B1238))</f>
        <v/>
      </c>
      <c r="B1238" s="37"/>
      <c r="C1238" s="38"/>
      <c r="D1238" s="20"/>
      <c r="E1238" s="36" t="str">
        <f aca="false">IF($D1238="","",IFERROR(INDEX('교육원 ④ 설정'!$A$6:$A$40,MATCH($D1238,'교육원 ④ 설정'!$B$6:$B$40,0)),"※없는 과목"))</f>
        <v/>
      </c>
      <c r="F1238" s="36" t="str">
        <f aca="false">IF($D1238="","",IFERROR(INDEX('교육원 ④ 설정'!$C$6:$C$40,MATCH($D1238,'교육원 ④ 설정'!$B$6:$B$40,0)),""))</f>
        <v/>
      </c>
      <c r="G1238" s="39"/>
      <c r="H1238" s="39"/>
      <c r="I1238" s="40"/>
      <c r="J1238" s="41"/>
      <c r="K1238" s="38"/>
      <c r="L1238" s="42" t="str">
        <f aca="false">IF($B1238="","",IF(AND(N($I1238)=0,N($J1238)=0),"금액이 없습니다",IF(AND($I1238&gt;0,$J1238&gt;0),"수입·지출 둘 다 적혔습니다",IF($C1238="","결제수단을 고르십시오",IF(ISNA(MATCH($C1238,'교육원 ③ 통장·카드'!$A$5:$A$11,0)),"③ 통장·카드에 없는 결제수단입니다",IF($D1238="","계정과목을 고르십시오",IF($E1238="※없는 과목","④ 설정에 없는 과목입니다",IF(AND($E1238="수입",$J1238&gt;0),"수입 과목인데 지출에 적혔습니다",IF(AND(LEFT($E1238,2)&lt;&gt;"수입",$E1238&lt;&gt;"대체",$I1238&gt;0),"지출 과목인데 수입에 적혔습니다",IF($K1238="","증빙을 고르십시오",IF($H1238="","적요를 적으십시오","")))))))))))</f>
        <v/>
      </c>
      <c r="M1238" s="39"/>
      <c r="O1238" s="11" t="str">
        <f aca="false">IF($B1238="","",YEAR($B1238)*100+MONTH($B1238))</f>
        <v/>
      </c>
      <c r="P1238" s="11" t="str">
        <f aca="false">IF($B1238="","",IF($E1238="대체",0,1))</f>
        <v/>
      </c>
    </row>
    <row r="1239" customFormat="false" ht="15" hidden="false" customHeight="false" outlineLevel="0" collapsed="false">
      <c r="A1239" s="36" t="str">
        <f aca="false">IF($B1239="","",COUNT($B$15:$B1239))</f>
        <v/>
      </c>
      <c r="B1239" s="37"/>
      <c r="C1239" s="38"/>
      <c r="D1239" s="20"/>
      <c r="E1239" s="36" t="str">
        <f aca="false">IF($D1239="","",IFERROR(INDEX('교육원 ④ 설정'!$A$6:$A$40,MATCH($D1239,'교육원 ④ 설정'!$B$6:$B$40,0)),"※없는 과목"))</f>
        <v/>
      </c>
      <c r="F1239" s="36" t="str">
        <f aca="false">IF($D1239="","",IFERROR(INDEX('교육원 ④ 설정'!$C$6:$C$40,MATCH($D1239,'교육원 ④ 설정'!$B$6:$B$40,0)),""))</f>
        <v/>
      </c>
      <c r="G1239" s="39"/>
      <c r="H1239" s="39"/>
      <c r="I1239" s="40"/>
      <c r="J1239" s="41"/>
      <c r="K1239" s="38"/>
      <c r="L1239" s="42" t="str">
        <f aca="false">IF($B1239="","",IF(AND(N($I1239)=0,N($J1239)=0),"금액이 없습니다",IF(AND($I1239&gt;0,$J1239&gt;0),"수입·지출 둘 다 적혔습니다",IF($C1239="","결제수단을 고르십시오",IF(ISNA(MATCH($C1239,'교육원 ③ 통장·카드'!$A$5:$A$11,0)),"③ 통장·카드에 없는 결제수단입니다",IF($D1239="","계정과목을 고르십시오",IF($E1239="※없는 과목","④ 설정에 없는 과목입니다",IF(AND($E1239="수입",$J1239&gt;0),"수입 과목인데 지출에 적혔습니다",IF(AND(LEFT($E1239,2)&lt;&gt;"수입",$E1239&lt;&gt;"대체",$I1239&gt;0),"지출 과목인데 수입에 적혔습니다",IF($K1239="","증빙을 고르십시오",IF($H1239="","적요를 적으십시오","")))))))))))</f>
        <v/>
      </c>
      <c r="M1239" s="39"/>
      <c r="O1239" s="11" t="str">
        <f aca="false">IF($B1239="","",YEAR($B1239)*100+MONTH($B1239))</f>
        <v/>
      </c>
      <c r="P1239" s="11" t="str">
        <f aca="false">IF($B1239="","",IF($E1239="대체",0,1))</f>
        <v/>
      </c>
    </row>
    <row r="1240" customFormat="false" ht="15" hidden="false" customHeight="false" outlineLevel="0" collapsed="false">
      <c r="A1240" s="36" t="str">
        <f aca="false">IF($B1240="","",COUNT($B$15:$B1240))</f>
        <v/>
      </c>
      <c r="B1240" s="37"/>
      <c r="C1240" s="38"/>
      <c r="D1240" s="20"/>
      <c r="E1240" s="36" t="str">
        <f aca="false">IF($D1240="","",IFERROR(INDEX('교육원 ④ 설정'!$A$6:$A$40,MATCH($D1240,'교육원 ④ 설정'!$B$6:$B$40,0)),"※없는 과목"))</f>
        <v/>
      </c>
      <c r="F1240" s="36" t="str">
        <f aca="false">IF($D1240="","",IFERROR(INDEX('교육원 ④ 설정'!$C$6:$C$40,MATCH($D1240,'교육원 ④ 설정'!$B$6:$B$40,0)),""))</f>
        <v/>
      </c>
      <c r="G1240" s="39"/>
      <c r="H1240" s="39"/>
      <c r="I1240" s="40"/>
      <c r="J1240" s="41"/>
      <c r="K1240" s="38"/>
      <c r="L1240" s="42" t="str">
        <f aca="false">IF($B1240="","",IF(AND(N($I1240)=0,N($J1240)=0),"금액이 없습니다",IF(AND($I1240&gt;0,$J1240&gt;0),"수입·지출 둘 다 적혔습니다",IF($C1240="","결제수단을 고르십시오",IF(ISNA(MATCH($C1240,'교육원 ③ 통장·카드'!$A$5:$A$11,0)),"③ 통장·카드에 없는 결제수단입니다",IF($D1240="","계정과목을 고르십시오",IF($E1240="※없는 과목","④ 설정에 없는 과목입니다",IF(AND($E1240="수입",$J1240&gt;0),"수입 과목인데 지출에 적혔습니다",IF(AND(LEFT($E1240,2)&lt;&gt;"수입",$E1240&lt;&gt;"대체",$I1240&gt;0),"지출 과목인데 수입에 적혔습니다",IF($K1240="","증빙을 고르십시오",IF($H1240="","적요를 적으십시오","")))))))))))</f>
        <v/>
      </c>
      <c r="M1240" s="39"/>
      <c r="O1240" s="11" t="str">
        <f aca="false">IF($B1240="","",YEAR($B1240)*100+MONTH($B1240))</f>
        <v/>
      </c>
      <c r="P1240" s="11" t="str">
        <f aca="false">IF($B1240="","",IF($E1240="대체",0,1))</f>
        <v/>
      </c>
    </row>
    <row r="1241" customFormat="false" ht="15" hidden="false" customHeight="false" outlineLevel="0" collapsed="false">
      <c r="A1241" s="36" t="str">
        <f aca="false">IF($B1241="","",COUNT($B$15:$B1241))</f>
        <v/>
      </c>
      <c r="B1241" s="37"/>
      <c r="C1241" s="38"/>
      <c r="D1241" s="20"/>
      <c r="E1241" s="36" t="str">
        <f aca="false">IF($D1241="","",IFERROR(INDEX('교육원 ④ 설정'!$A$6:$A$40,MATCH($D1241,'교육원 ④ 설정'!$B$6:$B$40,0)),"※없는 과목"))</f>
        <v/>
      </c>
      <c r="F1241" s="36" t="str">
        <f aca="false">IF($D1241="","",IFERROR(INDEX('교육원 ④ 설정'!$C$6:$C$40,MATCH($D1241,'교육원 ④ 설정'!$B$6:$B$40,0)),""))</f>
        <v/>
      </c>
      <c r="G1241" s="39"/>
      <c r="H1241" s="39"/>
      <c r="I1241" s="40"/>
      <c r="J1241" s="41"/>
      <c r="K1241" s="38"/>
      <c r="L1241" s="42" t="str">
        <f aca="false">IF($B1241="","",IF(AND(N($I1241)=0,N($J1241)=0),"금액이 없습니다",IF(AND($I1241&gt;0,$J1241&gt;0),"수입·지출 둘 다 적혔습니다",IF($C1241="","결제수단을 고르십시오",IF(ISNA(MATCH($C1241,'교육원 ③ 통장·카드'!$A$5:$A$11,0)),"③ 통장·카드에 없는 결제수단입니다",IF($D1241="","계정과목을 고르십시오",IF($E1241="※없는 과목","④ 설정에 없는 과목입니다",IF(AND($E1241="수입",$J1241&gt;0),"수입 과목인데 지출에 적혔습니다",IF(AND(LEFT($E1241,2)&lt;&gt;"수입",$E1241&lt;&gt;"대체",$I1241&gt;0),"지출 과목인데 수입에 적혔습니다",IF($K1241="","증빙을 고르십시오",IF($H1241="","적요를 적으십시오","")))))))))))</f>
        <v/>
      </c>
      <c r="M1241" s="39"/>
      <c r="O1241" s="11" t="str">
        <f aca="false">IF($B1241="","",YEAR($B1241)*100+MONTH($B1241))</f>
        <v/>
      </c>
      <c r="P1241" s="11" t="str">
        <f aca="false">IF($B1241="","",IF($E1241="대체",0,1))</f>
        <v/>
      </c>
    </row>
    <row r="1242" customFormat="false" ht="15" hidden="false" customHeight="false" outlineLevel="0" collapsed="false">
      <c r="A1242" s="36" t="str">
        <f aca="false">IF($B1242="","",COUNT($B$15:$B1242))</f>
        <v/>
      </c>
      <c r="B1242" s="37"/>
      <c r="C1242" s="38"/>
      <c r="D1242" s="20"/>
      <c r="E1242" s="36" t="str">
        <f aca="false">IF($D1242="","",IFERROR(INDEX('교육원 ④ 설정'!$A$6:$A$40,MATCH($D1242,'교육원 ④ 설정'!$B$6:$B$40,0)),"※없는 과목"))</f>
        <v/>
      </c>
      <c r="F1242" s="36" t="str">
        <f aca="false">IF($D1242="","",IFERROR(INDEX('교육원 ④ 설정'!$C$6:$C$40,MATCH($D1242,'교육원 ④ 설정'!$B$6:$B$40,0)),""))</f>
        <v/>
      </c>
      <c r="G1242" s="39"/>
      <c r="H1242" s="39"/>
      <c r="I1242" s="40"/>
      <c r="J1242" s="41"/>
      <c r="K1242" s="38"/>
      <c r="L1242" s="42" t="str">
        <f aca="false">IF($B1242="","",IF(AND(N($I1242)=0,N($J1242)=0),"금액이 없습니다",IF(AND($I1242&gt;0,$J1242&gt;0),"수입·지출 둘 다 적혔습니다",IF($C1242="","결제수단을 고르십시오",IF(ISNA(MATCH($C1242,'교육원 ③ 통장·카드'!$A$5:$A$11,0)),"③ 통장·카드에 없는 결제수단입니다",IF($D1242="","계정과목을 고르십시오",IF($E1242="※없는 과목","④ 설정에 없는 과목입니다",IF(AND($E1242="수입",$J1242&gt;0),"수입 과목인데 지출에 적혔습니다",IF(AND(LEFT($E1242,2)&lt;&gt;"수입",$E1242&lt;&gt;"대체",$I1242&gt;0),"지출 과목인데 수입에 적혔습니다",IF($K1242="","증빙을 고르십시오",IF($H1242="","적요를 적으십시오","")))))))))))</f>
        <v/>
      </c>
      <c r="M1242" s="39"/>
      <c r="O1242" s="11" t="str">
        <f aca="false">IF($B1242="","",YEAR($B1242)*100+MONTH($B1242))</f>
        <v/>
      </c>
      <c r="P1242" s="11" t="str">
        <f aca="false">IF($B1242="","",IF($E1242="대체",0,1))</f>
        <v/>
      </c>
    </row>
    <row r="1243" customFormat="false" ht="15" hidden="false" customHeight="false" outlineLevel="0" collapsed="false">
      <c r="A1243" s="36" t="str">
        <f aca="false">IF($B1243="","",COUNT($B$15:$B1243))</f>
        <v/>
      </c>
      <c r="B1243" s="37"/>
      <c r="C1243" s="38"/>
      <c r="D1243" s="20"/>
      <c r="E1243" s="36" t="str">
        <f aca="false">IF($D1243="","",IFERROR(INDEX('교육원 ④ 설정'!$A$6:$A$40,MATCH($D1243,'교육원 ④ 설정'!$B$6:$B$40,0)),"※없는 과목"))</f>
        <v/>
      </c>
      <c r="F1243" s="36" t="str">
        <f aca="false">IF($D1243="","",IFERROR(INDEX('교육원 ④ 설정'!$C$6:$C$40,MATCH($D1243,'교육원 ④ 설정'!$B$6:$B$40,0)),""))</f>
        <v/>
      </c>
      <c r="G1243" s="39"/>
      <c r="H1243" s="39"/>
      <c r="I1243" s="40"/>
      <c r="J1243" s="41"/>
      <c r="K1243" s="38"/>
      <c r="L1243" s="42" t="str">
        <f aca="false">IF($B1243="","",IF(AND(N($I1243)=0,N($J1243)=0),"금액이 없습니다",IF(AND($I1243&gt;0,$J1243&gt;0),"수입·지출 둘 다 적혔습니다",IF($C1243="","결제수단을 고르십시오",IF(ISNA(MATCH($C1243,'교육원 ③ 통장·카드'!$A$5:$A$11,0)),"③ 통장·카드에 없는 결제수단입니다",IF($D1243="","계정과목을 고르십시오",IF($E1243="※없는 과목","④ 설정에 없는 과목입니다",IF(AND($E1243="수입",$J1243&gt;0),"수입 과목인데 지출에 적혔습니다",IF(AND(LEFT($E1243,2)&lt;&gt;"수입",$E1243&lt;&gt;"대체",$I1243&gt;0),"지출 과목인데 수입에 적혔습니다",IF($K1243="","증빙을 고르십시오",IF($H1243="","적요를 적으십시오","")))))))))))</f>
        <v/>
      </c>
      <c r="M1243" s="39"/>
      <c r="O1243" s="11" t="str">
        <f aca="false">IF($B1243="","",YEAR($B1243)*100+MONTH($B1243))</f>
        <v/>
      </c>
      <c r="P1243" s="11" t="str">
        <f aca="false">IF($B1243="","",IF($E1243="대체",0,1))</f>
        <v/>
      </c>
    </row>
    <row r="1244" customFormat="false" ht="15" hidden="false" customHeight="false" outlineLevel="0" collapsed="false">
      <c r="A1244" s="36" t="str">
        <f aca="false">IF($B1244="","",COUNT($B$15:$B1244))</f>
        <v/>
      </c>
      <c r="B1244" s="37"/>
      <c r="C1244" s="38"/>
      <c r="D1244" s="20"/>
      <c r="E1244" s="36" t="str">
        <f aca="false">IF($D1244="","",IFERROR(INDEX('교육원 ④ 설정'!$A$6:$A$40,MATCH($D1244,'교육원 ④ 설정'!$B$6:$B$40,0)),"※없는 과목"))</f>
        <v/>
      </c>
      <c r="F1244" s="36" t="str">
        <f aca="false">IF($D1244="","",IFERROR(INDEX('교육원 ④ 설정'!$C$6:$C$40,MATCH($D1244,'교육원 ④ 설정'!$B$6:$B$40,0)),""))</f>
        <v/>
      </c>
      <c r="G1244" s="39"/>
      <c r="H1244" s="39"/>
      <c r="I1244" s="40"/>
      <c r="J1244" s="41"/>
      <c r="K1244" s="38"/>
      <c r="L1244" s="42" t="str">
        <f aca="false">IF($B1244="","",IF(AND(N($I1244)=0,N($J1244)=0),"금액이 없습니다",IF(AND($I1244&gt;0,$J1244&gt;0),"수입·지출 둘 다 적혔습니다",IF($C1244="","결제수단을 고르십시오",IF(ISNA(MATCH($C1244,'교육원 ③ 통장·카드'!$A$5:$A$11,0)),"③ 통장·카드에 없는 결제수단입니다",IF($D1244="","계정과목을 고르십시오",IF($E1244="※없는 과목","④ 설정에 없는 과목입니다",IF(AND($E1244="수입",$J1244&gt;0),"수입 과목인데 지출에 적혔습니다",IF(AND(LEFT($E1244,2)&lt;&gt;"수입",$E1244&lt;&gt;"대체",$I1244&gt;0),"지출 과목인데 수입에 적혔습니다",IF($K1244="","증빙을 고르십시오",IF($H1244="","적요를 적으십시오","")))))))))))</f>
        <v/>
      </c>
      <c r="M1244" s="39"/>
      <c r="O1244" s="11" t="str">
        <f aca="false">IF($B1244="","",YEAR($B1244)*100+MONTH($B1244))</f>
        <v/>
      </c>
      <c r="P1244" s="11" t="str">
        <f aca="false">IF($B1244="","",IF($E1244="대체",0,1))</f>
        <v/>
      </c>
    </row>
    <row r="1245" customFormat="false" ht="15" hidden="false" customHeight="false" outlineLevel="0" collapsed="false">
      <c r="A1245" s="36" t="str">
        <f aca="false">IF($B1245="","",COUNT($B$15:$B1245))</f>
        <v/>
      </c>
      <c r="B1245" s="37"/>
      <c r="C1245" s="38"/>
      <c r="D1245" s="20"/>
      <c r="E1245" s="36" t="str">
        <f aca="false">IF($D1245="","",IFERROR(INDEX('교육원 ④ 설정'!$A$6:$A$40,MATCH($D1245,'교육원 ④ 설정'!$B$6:$B$40,0)),"※없는 과목"))</f>
        <v/>
      </c>
      <c r="F1245" s="36" t="str">
        <f aca="false">IF($D1245="","",IFERROR(INDEX('교육원 ④ 설정'!$C$6:$C$40,MATCH($D1245,'교육원 ④ 설정'!$B$6:$B$40,0)),""))</f>
        <v/>
      </c>
      <c r="G1245" s="39"/>
      <c r="H1245" s="39"/>
      <c r="I1245" s="40"/>
      <c r="J1245" s="41"/>
      <c r="K1245" s="38"/>
      <c r="L1245" s="42" t="str">
        <f aca="false">IF($B1245="","",IF(AND(N($I1245)=0,N($J1245)=0),"금액이 없습니다",IF(AND($I1245&gt;0,$J1245&gt;0),"수입·지출 둘 다 적혔습니다",IF($C1245="","결제수단을 고르십시오",IF(ISNA(MATCH($C1245,'교육원 ③ 통장·카드'!$A$5:$A$11,0)),"③ 통장·카드에 없는 결제수단입니다",IF($D1245="","계정과목을 고르십시오",IF($E1245="※없는 과목","④ 설정에 없는 과목입니다",IF(AND($E1245="수입",$J1245&gt;0),"수입 과목인데 지출에 적혔습니다",IF(AND(LEFT($E1245,2)&lt;&gt;"수입",$E1245&lt;&gt;"대체",$I1245&gt;0),"지출 과목인데 수입에 적혔습니다",IF($K1245="","증빙을 고르십시오",IF($H1245="","적요를 적으십시오","")))))))))))</f>
        <v/>
      </c>
      <c r="M1245" s="39"/>
      <c r="O1245" s="11" t="str">
        <f aca="false">IF($B1245="","",YEAR($B1245)*100+MONTH($B1245))</f>
        <v/>
      </c>
      <c r="P1245" s="11" t="str">
        <f aca="false">IF($B1245="","",IF($E1245="대체",0,1))</f>
        <v/>
      </c>
    </row>
    <row r="1246" customFormat="false" ht="15" hidden="false" customHeight="false" outlineLevel="0" collapsed="false">
      <c r="A1246" s="36" t="str">
        <f aca="false">IF($B1246="","",COUNT($B$15:$B1246))</f>
        <v/>
      </c>
      <c r="B1246" s="37"/>
      <c r="C1246" s="38"/>
      <c r="D1246" s="20"/>
      <c r="E1246" s="36" t="str">
        <f aca="false">IF($D1246="","",IFERROR(INDEX('교육원 ④ 설정'!$A$6:$A$40,MATCH($D1246,'교육원 ④ 설정'!$B$6:$B$40,0)),"※없는 과목"))</f>
        <v/>
      </c>
      <c r="F1246" s="36" t="str">
        <f aca="false">IF($D1246="","",IFERROR(INDEX('교육원 ④ 설정'!$C$6:$C$40,MATCH($D1246,'교육원 ④ 설정'!$B$6:$B$40,0)),""))</f>
        <v/>
      </c>
      <c r="G1246" s="39"/>
      <c r="H1246" s="39"/>
      <c r="I1246" s="40"/>
      <c r="J1246" s="41"/>
      <c r="K1246" s="38"/>
      <c r="L1246" s="42" t="str">
        <f aca="false">IF($B1246="","",IF(AND(N($I1246)=0,N($J1246)=0),"금액이 없습니다",IF(AND($I1246&gt;0,$J1246&gt;0),"수입·지출 둘 다 적혔습니다",IF($C1246="","결제수단을 고르십시오",IF(ISNA(MATCH($C1246,'교육원 ③ 통장·카드'!$A$5:$A$11,0)),"③ 통장·카드에 없는 결제수단입니다",IF($D1246="","계정과목을 고르십시오",IF($E1246="※없는 과목","④ 설정에 없는 과목입니다",IF(AND($E1246="수입",$J1246&gt;0),"수입 과목인데 지출에 적혔습니다",IF(AND(LEFT($E1246,2)&lt;&gt;"수입",$E1246&lt;&gt;"대체",$I1246&gt;0),"지출 과목인데 수입에 적혔습니다",IF($K1246="","증빙을 고르십시오",IF($H1246="","적요를 적으십시오","")))))))))))</f>
        <v/>
      </c>
      <c r="M1246" s="39"/>
      <c r="O1246" s="11" t="str">
        <f aca="false">IF($B1246="","",YEAR($B1246)*100+MONTH($B1246))</f>
        <v/>
      </c>
      <c r="P1246" s="11" t="str">
        <f aca="false">IF($B1246="","",IF($E1246="대체",0,1))</f>
        <v/>
      </c>
    </row>
    <row r="1247" customFormat="false" ht="15" hidden="false" customHeight="false" outlineLevel="0" collapsed="false">
      <c r="A1247" s="36" t="str">
        <f aca="false">IF($B1247="","",COUNT($B$15:$B1247))</f>
        <v/>
      </c>
      <c r="B1247" s="37"/>
      <c r="C1247" s="38"/>
      <c r="D1247" s="20"/>
      <c r="E1247" s="36" t="str">
        <f aca="false">IF($D1247="","",IFERROR(INDEX('교육원 ④ 설정'!$A$6:$A$40,MATCH($D1247,'교육원 ④ 설정'!$B$6:$B$40,0)),"※없는 과목"))</f>
        <v/>
      </c>
      <c r="F1247" s="36" t="str">
        <f aca="false">IF($D1247="","",IFERROR(INDEX('교육원 ④ 설정'!$C$6:$C$40,MATCH($D1247,'교육원 ④ 설정'!$B$6:$B$40,0)),""))</f>
        <v/>
      </c>
      <c r="G1247" s="39"/>
      <c r="H1247" s="39"/>
      <c r="I1247" s="40"/>
      <c r="J1247" s="41"/>
      <c r="K1247" s="38"/>
      <c r="L1247" s="42" t="str">
        <f aca="false">IF($B1247="","",IF(AND(N($I1247)=0,N($J1247)=0),"금액이 없습니다",IF(AND($I1247&gt;0,$J1247&gt;0),"수입·지출 둘 다 적혔습니다",IF($C1247="","결제수단을 고르십시오",IF(ISNA(MATCH($C1247,'교육원 ③ 통장·카드'!$A$5:$A$11,0)),"③ 통장·카드에 없는 결제수단입니다",IF($D1247="","계정과목을 고르십시오",IF($E1247="※없는 과목","④ 설정에 없는 과목입니다",IF(AND($E1247="수입",$J1247&gt;0),"수입 과목인데 지출에 적혔습니다",IF(AND(LEFT($E1247,2)&lt;&gt;"수입",$E1247&lt;&gt;"대체",$I1247&gt;0),"지출 과목인데 수입에 적혔습니다",IF($K1247="","증빙을 고르십시오",IF($H1247="","적요를 적으십시오","")))))))))))</f>
        <v/>
      </c>
      <c r="M1247" s="39"/>
      <c r="O1247" s="11" t="str">
        <f aca="false">IF($B1247="","",YEAR($B1247)*100+MONTH($B1247))</f>
        <v/>
      </c>
      <c r="P1247" s="11" t="str">
        <f aca="false">IF($B1247="","",IF($E1247="대체",0,1))</f>
        <v/>
      </c>
    </row>
    <row r="1248" customFormat="false" ht="15" hidden="false" customHeight="false" outlineLevel="0" collapsed="false">
      <c r="A1248" s="36" t="str">
        <f aca="false">IF($B1248="","",COUNT($B$15:$B1248))</f>
        <v/>
      </c>
      <c r="B1248" s="37"/>
      <c r="C1248" s="38"/>
      <c r="D1248" s="20"/>
      <c r="E1248" s="36" t="str">
        <f aca="false">IF($D1248="","",IFERROR(INDEX('교육원 ④ 설정'!$A$6:$A$40,MATCH($D1248,'교육원 ④ 설정'!$B$6:$B$40,0)),"※없는 과목"))</f>
        <v/>
      </c>
      <c r="F1248" s="36" t="str">
        <f aca="false">IF($D1248="","",IFERROR(INDEX('교육원 ④ 설정'!$C$6:$C$40,MATCH($D1248,'교육원 ④ 설정'!$B$6:$B$40,0)),""))</f>
        <v/>
      </c>
      <c r="G1248" s="39"/>
      <c r="H1248" s="39"/>
      <c r="I1248" s="40"/>
      <c r="J1248" s="41"/>
      <c r="K1248" s="38"/>
      <c r="L1248" s="42" t="str">
        <f aca="false">IF($B1248="","",IF(AND(N($I1248)=0,N($J1248)=0),"금액이 없습니다",IF(AND($I1248&gt;0,$J1248&gt;0),"수입·지출 둘 다 적혔습니다",IF($C1248="","결제수단을 고르십시오",IF(ISNA(MATCH($C1248,'교육원 ③ 통장·카드'!$A$5:$A$11,0)),"③ 통장·카드에 없는 결제수단입니다",IF($D1248="","계정과목을 고르십시오",IF($E1248="※없는 과목","④ 설정에 없는 과목입니다",IF(AND($E1248="수입",$J1248&gt;0),"수입 과목인데 지출에 적혔습니다",IF(AND(LEFT($E1248,2)&lt;&gt;"수입",$E1248&lt;&gt;"대체",$I1248&gt;0),"지출 과목인데 수입에 적혔습니다",IF($K1248="","증빙을 고르십시오",IF($H1248="","적요를 적으십시오","")))))))))))</f>
        <v/>
      </c>
      <c r="M1248" s="39"/>
      <c r="O1248" s="11" t="str">
        <f aca="false">IF($B1248="","",YEAR($B1248)*100+MONTH($B1248))</f>
        <v/>
      </c>
      <c r="P1248" s="11" t="str">
        <f aca="false">IF($B1248="","",IF($E1248="대체",0,1))</f>
        <v/>
      </c>
    </row>
    <row r="1249" customFormat="false" ht="15" hidden="false" customHeight="false" outlineLevel="0" collapsed="false">
      <c r="A1249" s="36" t="str">
        <f aca="false">IF($B1249="","",COUNT($B$15:$B1249))</f>
        <v/>
      </c>
      <c r="B1249" s="37"/>
      <c r="C1249" s="38"/>
      <c r="D1249" s="20"/>
      <c r="E1249" s="36" t="str">
        <f aca="false">IF($D1249="","",IFERROR(INDEX('교육원 ④ 설정'!$A$6:$A$40,MATCH($D1249,'교육원 ④ 설정'!$B$6:$B$40,0)),"※없는 과목"))</f>
        <v/>
      </c>
      <c r="F1249" s="36" t="str">
        <f aca="false">IF($D1249="","",IFERROR(INDEX('교육원 ④ 설정'!$C$6:$C$40,MATCH($D1249,'교육원 ④ 설정'!$B$6:$B$40,0)),""))</f>
        <v/>
      </c>
      <c r="G1249" s="39"/>
      <c r="H1249" s="39"/>
      <c r="I1249" s="40"/>
      <c r="J1249" s="41"/>
      <c r="K1249" s="38"/>
      <c r="L1249" s="42" t="str">
        <f aca="false">IF($B1249="","",IF(AND(N($I1249)=0,N($J1249)=0),"금액이 없습니다",IF(AND($I1249&gt;0,$J1249&gt;0),"수입·지출 둘 다 적혔습니다",IF($C1249="","결제수단을 고르십시오",IF(ISNA(MATCH($C1249,'교육원 ③ 통장·카드'!$A$5:$A$11,0)),"③ 통장·카드에 없는 결제수단입니다",IF($D1249="","계정과목을 고르십시오",IF($E1249="※없는 과목","④ 설정에 없는 과목입니다",IF(AND($E1249="수입",$J1249&gt;0),"수입 과목인데 지출에 적혔습니다",IF(AND(LEFT($E1249,2)&lt;&gt;"수입",$E1249&lt;&gt;"대체",$I1249&gt;0),"지출 과목인데 수입에 적혔습니다",IF($K1249="","증빙을 고르십시오",IF($H1249="","적요를 적으십시오","")))))))))))</f>
        <v/>
      </c>
      <c r="M1249" s="39"/>
      <c r="O1249" s="11" t="str">
        <f aca="false">IF($B1249="","",YEAR($B1249)*100+MONTH($B1249))</f>
        <v/>
      </c>
      <c r="P1249" s="11" t="str">
        <f aca="false">IF($B1249="","",IF($E1249="대체",0,1))</f>
        <v/>
      </c>
    </row>
    <row r="1250" customFormat="false" ht="15" hidden="false" customHeight="false" outlineLevel="0" collapsed="false">
      <c r="A1250" s="36" t="str">
        <f aca="false">IF($B1250="","",COUNT($B$15:$B1250))</f>
        <v/>
      </c>
      <c r="B1250" s="37"/>
      <c r="C1250" s="38"/>
      <c r="D1250" s="20"/>
      <c r="E1250" s="36" t="str">
        <f aca="false">IF($D1250="","",IFERROR(INDEX('교육원 ④ 설정'!$A$6:$A$40,MATCH($D1250,'교육원 ④ 설정'!$B$6:$B$40,0)),"※없는 과목"))</f>
        <v/>
      </c>
      <c r="F1250" s="36" t="str">
        <f aca="false">IF($D1250="","",IFERROR(INDEX('교육원 ④ 설정'!$C$6:$C$40,MATCH($D1250,'교육원 ④ 설정'!$B$6:$B$40,0)),""))</f>
        <v/>
      </c>
      <c r="G1250" s="39"/>
      <c r="H1250" s="39"/>
      <c r="I1250" s="40"/>
      <c r="J1250" s="41"/>
      <c r="K1250" s="38"/>
      <c r="L1250" s="42" t="str">
        <f aca="false">IF($B1250="","",IF(AND(N($I1250)=0,N($J1250)=0),"금액이 없습니다",IF(AND($I1250&gt;0,$J1250&gt;0),"수입·지출 둘 다 적혔습니다",IF($C1250="","결제수단을 고르십시오",IF(ISNA(MATCH($C1250,'교육원 ③ 통장·카드'!$A$5:$A$11,0)),"③ 통장·카드에 없는 결제수단입니다",IF($D1250="","계정과목을 고르십시오",IF($E1250="※없는 과목","④ 설정에 없는 과목입니다",IF(AND($E1250="수입",$J1250&gt;0),"수입 과목인데 지출에 적혔습니다",IF(AND(LEFT($E1250,2)&lt;&gt;"수입",$E1250&lt;&gt;"대체",$I1250&gt;0),"지출 과목인데 수입에 적혔습니다",IF($K1250="","증빙을 고르십시오",IF($H1250="","적요를 적으십시오","")))))))))))</f>
        <v/>
      </c>
      <c r="M1250" s="39"/>
      <c r="O1250" s="11" t="str">
        <f aca="false">IF($B1250="","",YEAR($B1250)*100+MONTH($B1250))</f>
        <v/>
      </c>
      <c r="P1250" s="11" t="str">
        <f aca="false">IF($B1250="","",IF($E1250="대체",0,1))</f>
        <v/>
      </c>
    </row>
    <row r="1251" customFormat="false" ht="15" hidden="false" customHeight="false" outlineLevel="0" collapsed="false">
      <c r="A1251" s="36" t="str">
        <f aca="false">IF($B1251="","",COUNT($B$15:$B1251))</f>
        <v/>
      </c>
      <c r="B1251" s="37"/>
      <c r="C1251" s="38"/>
      <c r="D1251" s="20"/>
      <c r="E1251" s="36" t="str">
        <f aca="false">IF($D1251="","",IFERROR(INDEX('교육원 ④ 설정'!$A$6:$A$40,MATCH($D1251,'교육원 ④ 설정'!$B$6:$B$40,0)),"※없는 과목"))</f>
        <v/>
      </c>
      <c r="F1251" s="36" t="str">
        <f aca="false">IF($D1251="","",IFERROR(INDEX('교육원 ④ 설정'!$C$6:$C$40,MATCH($D1251,'교육원 ④ 설정'!$B$6:$B$40,0)),""))</f>
        <v/>
      </c>
      <c r="G1251" s="39"/>
      <c r="H1251" s="39"/>
      <c r="I1251" s="40"/>
      <c r="J1251" s="41"/>
      <c r="K1251" s="38"/>
      <c r="L1251" s="42" t="str">
        <f aca="false">IF($B1251="","",IF(AND(N($I1251)=0,N($J1251)=0),"금액이 없습니다",IF(AND($I1251&gt;0,$J1251&gt;0),"수입·지출 둘 다 적혔습니다",IF($C1251="","결제수단을 고르십시오",IF(ISNA(MATCH($C1251,'교육원 ③ 통장·카드'!$A$5:$A$11,0)),"③ 통장·카드에 없는 결제수단입니다",IF($D1251="","계정과목을 고르십시오",IF($E1251="※없는 과목","④ 설정에 없는 과목입니다",IF(AND($E1251="수입",$J1251&gt;0),"수입 과목인데 지출에 적혔습니다",IF(AND(LEFT($E1251,2)&lt;&gt;"수입",$E1251&lt;&gt;"대체",$I1251&gt;0),"지출 과목인데 수입에 적혔습니다",IF($K1251="","증빙을 고르십시오",IF($H1251="","적요를 적으십시오","")))))))))))</f>
        <v/>
      </c>
      <c r="M1251" s="39"/>
      <c r="O1251" s="11" t="str">
        <f aca="false">IF($B1251="","",YEAR($B1251)*100+MONTH($B1251))</f>
        <v/>
      </c>
      <c r="P1251" s="11" t="str">
        <f aca="false">IF($B1251="","",IF($E1251="대체",0,1))</f>
        <v/>
      </c>
    </row>
    <row r="1252" customFormat="false" ht="15" hidden="false" customHeight="false" outlineLevel="0" collapsed="false">
      <c r="A1252" s="36" t="str">
        <f aca="false">IF($B1252="","",COUNT($B$15:$B1252))</f>
        <v/>
      </c>
      <c r="B1252" s="37"/>
      <c r="C1252" s="38"/>
      <c r="D1252" s="20"/>
      <c r="E1252" s="36" t="str">
        <f aca="false">IF($D1252="","",IFERROR(INDEX('교육원 ④ 설정'!$A$6:$A$40,MATCH($D1252,'교육원 ④ 설정'!$B$6:$B$40,0)),"※없는 과목"))</f>
        <v/>
      </c>
      <c r="F1252" s="36" t="str">
        <f aca="false">IF($D1252="","",IFERROR(INDEX('교육원 ④ 설정'!$C$6:$C$40,MATCH($D1252,'교육원 ④ 설정'!$B$6:$B$40,0)),""))</f>
        <v/>
      </c>
      <c r="G1252" s="39"/>
      <c r="H1252" s="39"/>
      <c r="I1252" s="40"/>
      <c r="J1252" s="41"/>
      <c r="K1252" s="38"/>
      <c r="L1252" s="42" t="str">
        <f aca="false">IF($B1252="","",IF(AND(N($I1252)=0,N($J1252)=0),"금액이 없습니다",IF(AND($I1252&gt;0,$J1252&gt;0),"수입·지출 둘 다 적혔습니다",IF($C1252="","결제수단을 고르십시오",IF(ISNA(MATCH($C1252,'교육원 ③ 통장·카드'!$A$5:$A$11,0)),"③ 통장·카드에 없는 결제수단입니다",IF($D1252="","계정과목을 고르십시오",IF($E1252="※없는 과목","④ 설정에 없는 과목입니다",IF(AND($E1252="수입",$J1252&gt;0),"수입 과목인데 지출에 적혔습니다",IF(AND(LEFT($E1252,2)&lt;&gt;"수입",$E1252&lt;&gt;"대체",$I1252&gt;0),"지출 과목인데 수입에 적혔습니다",IF($K1252="","증빙을 고르십시오",IF($H1252="","적요를 적으십시오","")))))))))))</f>
        <v/>
      </c>
      <c r="M1252" s="39"/>
      <c r="O1252" s="11" t="str">
        <f aca="false">IF($B1252="","",YEAR($B1252)*100+MONTH($B1252))</f>
        <v/>
      </c>
      <c r="P1252" s="11" t="str">
        <f aca="false">IF($B1252="","",IF($E1252="대체",0,1))</f>
        <v/>
      </c>
    </row>
    <row r="1253" customFormat="false" ht="15" hidden="false" customHeight="false" outlineLevel="0" collapsed="false">
      <c r="A1253" s="36" t="str">
        <f aca="false">IF($B1253="","",COUNT($B$15:$B1253))</f>
        <v/>
      </c>
      <c r="B1253" s="37"/>
      <c r="C1253" s="38"/>
      <c r="D1253" s="20"/>
      <c r="E1253" s="36" t="str">
        <f aca="false">IF($D1253="","",IFERROR(INDEX('교육원 ④ 설정'!$A$6:$A$40,MATCH($D1253,'교육원 ④ 설정'!$B$6:$B$40,0)),"※없는 과목"))</f>
        <v/>
      </c>
      <c r="F1253" s="36" t="str">
        <f aca="false">IF($D1253="","",IFERROR(INDEX('교육원 ④ 설정'!$C$6:$C$40,MATCH($D1253,'교육원 ④ 설정'!$B$6:$B$40,0)),""))</f>
        <v/>
      </c>
      <c r="G1253" s="39"/>
      <c r="H1253" s="39"/>
      <c r="I1253" s="40"/>
      <c r="J1253" s="41"/>
      <c r="K1253" s="38"/>
      <c r="L1253" s="42" t="str">
        <f aca="false">IF($B1253="","",IF(AND(N($I1253)=0,N($J1253)=0),"금액이 없습니다",IF(AND($I1253&gt;0,$J1253&gt;0),"수입·지출 둘 다 적혔습니다",IF($C1253="","결제수단을 고르십시오",IF(ISNA(MATCH($C1253,'교육원 ③ 통장·카드'!$A$5:$A$11,0)),"③ 통장·카드에 없는 결제수단입니다",IF($D1253="","계정과목을 고르십시오",IF($E1253="※없는 과목","④ 설정에 없는 과목입니다",IF(AND($E1253="수입",$J1253&gt;0),"수입 과목인데 지출에 적혔습니다",IF(AND(LEFT($E1253,2)&lt;&gt;"수입",$E1253&lt;&gt;"대체",$I1253&gt;0),"지출 과목인데 수입에 적혔습니다",IF($K1253="","증빙을 고르십시오",IF($H1253="","적요를 적으십시오","")))))))))))</f>
        <v/>
      </c>
      <c r="M1253" s="39"/>
      <c r="O1253" s="11" t="str">
        <f aca="false">IF($B1253="","",YEAR($B1253)*100+MONTH($B1253))</f>
        <v/>
      </c>
      <c r="P1253" s="11" t="str">
        <f aca="false">IF($B1253="","",IF($E1253="대체",0,1))</f>
        <v/>
      </c>
    </row>
    <row r="1254" customFormat="false" ht="15" hidden="false" customHeight="false" outlineLevel="0" collapsed="false">
      <c r="A1254" s="36" t="str">
        <f aca="false">IF($B1254="","",COUNT($B$15:$B1254))</f>
        <v/>
      </c>
      <c r="B1254" s="37"/>
      <c r="C1254" s="38"/>
      <c r="D1254" s="20"/>
      <c r="E1254" s="36" t="str">
        <f aca="false">IF($D1254="","",IFERROR(INDEX('교육원 ④ 설정'!$A$6:$A$40,MATCH($D1254,'교육원 ④ 설정'!$B$6:$B$40,0)),"※없는 과목"))</f>
        <v/>
      </c>
      <c r="F1254" s="36" t="str">
        <f aca="false">IF($D1254="","",IFERROR(INDEX('교육원 ④ 설정'!$C$6:$C$40,MATCH($D1254,'교육원 ④ 설정'!$B$6:$B$40,0)),""))</f>
        <v/>
      </c>
      <c r="G1254" s="39"/>
      <c r="H1254" s="39"/>
      <c r="I1254" s="40"/>
      <c r="J1254" s="41"/>
      <c r="K1254" s="38"/>
      <c r="L1254" s="42" t="str">
        <f aca="false">IF($B1254="","",IF(AND(N($I1254)=0,N($J1254)=0),"금액이 없습니다",IF(AND($I1254&gt;0,$J1254&gt;0),"수입·지출 둘 다 적혔습니다",IF($C1254="","결제수단을 고르십시오",IF(ISNA(MATCH($C1254,'교육원 ③ 통장·카드'!$A$5:$A$11,0)),"③ 통장·카드에 없는 결제수단입니다",IF($D1254="","계정과목을 고르십시오",IF($E1254="※없는 과목","④ 설정에 없는 과목입니다",IF(AND($E1254="수입",$J1254&gt;0),"수입 과목인데 지출에 적혔습니다",IF(AND(LEFT($E1254,2)&lt;&gt;"수입",$E1254&lt;&gt;"대체",$I1254&gt;0),"지출 과목인데 수입에 적혔습니다",IF($K1254="","증빙을 고르십시오",IF($H1254="","적요를 적으십시오","")))))))))))</f>
        <v/>
      </c>
      <c r="M1254" s="39"/>
      <c r="O1254" s="11" t="str">
        <f aca="false">IF($B1254="","",YEAR($B1254)*100+MONTH($B1254))</f>
        <v/>
      </c>
      <c r="P1254" s="11" t="str">
        <f aca="false">IF($B1254="","",IF($E1254="대체",0,1))</f>
        <v/>
      </c>
    </row>
    <row r="1255" customFormat="false" ht="15" hidden="false" customHeight="false" outlineLevel="0" collapsed="false">
      <c r="A1255" s="36" t="str">
        <f aca="false">IF($B1255="","",COUNT($B$15:$B1255))</f>
        <v/>
      </c>
      <c r="B1255" s="37"/>
      <c r="C1255" s="38"/>
      <c r="D1255" s="20"/>
      <c r="E1255" s="36" t="str">
        <f aca="false">IF($D1255="","",IFERROR(INDEX('교육원 ④ 설정'!$A$6:$A$40,MATCH($D1255,'교육원 ④ 설정'!$B$6:$B$40,0)),"※없는 과목"))</f>
        <v/>
      </c>
      <c r="F1255" s="36" t="str">
        <f aca="false">IF($D1255="","",IFERROR(INDEX('교육원 ④ 설정'!$C$6:$C$40,MATCH($D1255,'교육원 ④ 설정'!$B$6:$B$40,0)),""))</f>
        <v/>
      </c>
      <c r="G1255" s="39"/>
      <c r="H1255" s="39"/>
      <c r="I1255" s="40"/>
      <c r="J1255" s="41"/>
      <c r="K1255" s="38"/>
      <c r="L1255" s="42" t="str">
        <f aca="false">IF($B1255="","",IF(AND(N($I1255)=0,N($J1255)=0),"금액이 없습니다",IF(AND($I1255&gt;0,$J1255&gt;0),"수입·지출 둘 다 적혔습니다",IF($C1255="","결제수단을 고르십시오",IF(ISNA(MATCH($C1255,'교육원 ③ 통장·카드'!$A$5:$A$11,0)),"③ 통장·카드에 없는 결제수단입니다",IF($D1255="","계정과목을 고르십시오",IF($E1255="※없는 과목","④ 설정에 없는 과목입니다",IF(AND($E1255="수입",$J1255&gt;0),"수입 과목인데 지출에 적혔습니다",IF(AND(LEFT($E1255,2)&lt;&gt;"수입",$E1255&lt;&gt;"대체",$I1255&gt;0),"지출 과목인데 수입에 적혔습니다",IF($K1255="","증빙을 고르십시오",IF($H1255="","적요를 적으십시오","")))))))))))</f>
        <v/>
      </c>
      <c r="M1255" s="39"/>
      <c r="O1255" s="11" t="str">
        <f aca="false">IF($B1255="","",YEAR($B1255)*100+MONTH($B1255))</f>
        <v/>
      </c>
      <c r="P1255" s="11" t="str">
        <f aca="false">IF($B1255="","",IF($E1255="대체",0,1))</f>
        <v/>
      </c>
    </row>
    <row r="1256" customFormat="false" ht="15" hidden="false" customHeight="false" outlineLevel="0" collapsed="false">
      <c r="A1256" s="36" t="str">
        <f aca="false">IF($B1256="","",COUNT($B$15:$B1256))</f>
        <v/>
      </c>
      <c r="B1256" s="37"/>
      <c r="C1256" s="38"/>
      <c r="D1256" s="20"/>
      <c r="E1256" s="36" t="str">
        <f aca="false">IF($D1256="","",IFERROR(INDEX('교육원 ④ 설정'!$A$6:$A$40,MATCH($D1256,'교육원 ④ 설정'!$B$6:$B$40,0)),"※없는 과목"))</f>
        <v/>
      </c>
      <c r="F1256" s="36" t="str">
        <f aca="false">IF($D1256="","",IFERROR(INDEX('교육원 ④ 설정'!$C$6:$C$40,MATCH($D1256,'교육원 ④ 설정'!$B$6:$B$40,0)),""))</f>
        <v/>
      </c>
      <c r="G1256" s="39"/>
      <c r="H1256" s="39"/>
      <c r="I1256" s="40"/>
      <c r="J1256" s="41"/>
      <c r="K1256" s="38"/>
      <c r="L1256" s="42" t="str">
        <f aca="false">IF($B1256="","",IF(AND(N($I1256)=0,N($J1256)=0),"금액이 없습니다",IF(AND($I1256&gt;0,$J1256&gt;0),"수입·지출 둘 다 적혔습니다",IF($C1256="","결제수단을 고르십시오",IF(ISNA(MATCH($C1256,'교육원 ③ 통장·카드'!$A$5:$A$11,0)),"③ 통장·카드에 없는 결제수단입니다",IF($D1256="","계정과목을 고르십시오",IF($E1256="※없는 과목","④ 설정에 없는 과목입니다",IF(AND($E1256="수입",$J1256&gt;0),"수입 과목인데 지출에 적혔습니다",IF(AND(LEFT($E1256,2)&lt;&gt;"수입",$E1256&lt;&gt;"대체",$I1256&gt;0),"지출 과목인데 수입에 적혔습니다",IF($K1256="","증빙을 고르십시오",IF($H1256="","적요를 적으십시오","")))))))))))</f>
        <v/>
      </c>
      <c r="M1256" s="39"/>
      <c r="O1256" s="11" t="str">
        <f aca="false">IF($B1256="","",YEAR($B1256)*100+MONTH($B1256))</f>
        <v/>
      </c>
      <c r="P1256" s="11" t="str">
        <f aca="false">IF($B1256="","",IF($E1256="대체",0,1))</f>
        <v/>
      </c>
    </row>
    <row r="1257" customFormat="false" ht="15" hidden="false" customHeight="false" outlineLevel="0" collapsed="false">
      <c r="A1257" s="36" t="str">
        <f aca="false">IF($B1257="","",COUNT($B$15:$B1257))</f>
        <v/>
      </c>
      <c r="B1257" s="37"/>
      <c r="C1257" s="38"/>
      <c r="D1257" s="20"/>
      <c r="E1257" s="36" t="str">
        <f aca="false">IF($D1257="","",IFERROR(INDEX('교육원 ④ 설정'!$A$6:$A$40,MATCH($D1257,'교육원 ④ 설정'!$B$6:$B$40,0)),"※없는 과목"))</f>
        <v/>
      </c>
      <c r="F1257" s="36" t="str">
        <f aca="false">IF($D1257="","",IFERROR(INDEX('교육원 ④ 설정'!$C$6:$C$40,MATCH($D1257,'교육원 ④ 설정'!$B$6:$B$40,0)),""))</f>
        <v/>
      </c>
      <c r="G1257" s="39"/>
      <c r="H1257" s="39"/>
      <c r="I1257" s="40"/>
      <c r="J1257" s="41"/>
      <c r="K1257" s="38"/>
      <c r="L1257" s="42" t="str">
        <f aca="false">IF($B1257="","",IF(AND(N($I1257)=0,N($J1257)=0),"금액이 없습니다",IF(AND($I1257&gt;0,$J1257&gt;0),"수입·지출 둘 다 적혔습니다",IF($C1257="","결제수단을 고르십시오",IF(ISNA(MATCH($C1257,'교육원 ③ 통장·카드'!$A$5:$A$11,0)),"③ 통장·카드에 없는 결제수단입니다",IF($D1257="","계정과목을 고르십시오",IF($E1257="※없는 과목","④ 설정에 없는 과목입니다",IF(AND($E1257="수입",$J1257&gt;0),"수입 과목인데 지출에 적혔습니다",IF(AND(LEFT($E1257,2)&lt;&gt;"수입",$E1257&lt;&gt;"대체",$I1257&gt;0),"지출 과목인데 수입에 적혔습니다",IF($K1257="","증빙을 고르십시오",IF($H1257="","적요를 적으십시오","")))))))))))</f>
        <v/>
      </c>
      <c r="M1257" s="39"/>
      <c r="O1257" s="11" t="str">
        <f aca="false">IF($B1257="","",YEAR($B1257)*100+MONTH($B1257))</f>
        <v/>
      </c>
      <c r="P1257" s="11" t="str">
        <f aca="false">IF($B1257="","",IF($E1257="대체",0,1))</f>
        <v/>
      </c>
    </row>
    <row r="1258" customFormat="false" ht="15" hidden="false" customHeight="false" outlineLevel="0" collapsed="false">
      <c r="A1258" s="36" t="str">
        <f aca="false">IF($B1258="","",COUNT($B$15:$B1258))</f>
        <v/>
      </c>
      <c r="B1258" s="37"/>
      <c r="C1258" s="38"/>
      <c r="D1258" s="20"/>
      <c r="E1258" s="36" t="str">
        <f aca="false">IF($D1258="","",IFERROR(INDEX('교육원 ④ 설정'!$A$6:$A$40,MATCH($D1258,'교육원 ④ 설정'!$B$6:$B$40,0)),"※없는 과목"))</f>
        <v/>
      </c>
      <c r="F1258" s="36" t="str">
        <f aca="false">IF($D1258="","",IFERROR(INDEX('교육원 ④ 설정'!$C$6:$C$40,MATCH($D1258,'교육원 ④ 설정'!$B$6:$B$40,0)),""))</f>
        <v/>
      </c>
      <c r="G1258" s="39"/>
      <c r="H1258" s="39"/>
      <c r="I1258" s="40"/>
      <c r="J1258" s="41"/>
      <c r="K1258" s="38"/>
      <c r="L1258" s="42" t="str">
        <f aca="false">IF($B1258="","",IF(AND(N($I1258)=0,N($J1258)=0),"금액이 없습니다",IF(AND($I1258&gt;0,$J1258&gt;0),"수입·지출 둘 다 적혔습니다",IF($C1258="","결제수단을 고르십시오",IF(ISNA(MATCH($C1258,'교육원 ③ 통장·카드'!$A$5:$A$11,0)),"③ 통장·카드에 없는 결제수단입니다",IF($D1258="","계정과목을 고르십시오",IF($E1258="※없는 과목","④ 설정에 없는 과목입니다",IF(AND($E1258="수입",$J1258&gt;0),"수입 과목인데 지출에 적혔습니다",IF(AND(LEFT($E1258,2)&lt;&gt;"수입",$E1258&lt;&gt;"대체",$I1258&gt;0),"지출 과목인데 수입에 적혔습니다",IF($K1258="","증빙을 고르십시오",IF($H1258="","적요를 적으십시오","")))))))))))</f>
        <v/>
      </c>
      <c r="M1258" s="39"/>
      <c r="O1258" s="11" t="str">
        <f aca="false">IF($B1258="","",YEAR($B1258)*100+MONTH($B1258))</f>
        <v/>
      </c>
      <c r="P1258" s="11" t="str">
        <f aca="false">IF($B1258="","",IF($E1258="대체",0,1))</f>
        <v/>
      </c>
    </row>
    <row r="1259" customFormat="false" ht="15" hidden="false" customHeight="false" outlineLevel="0" collapsed="false">
      <c r="A1259" s="36" t="str">
        <f aca="false">IF($B1259="","",COUNT($B$15:$B1259))</f>
        <v/>
      </c>
      <c r="B1259" s="37"/>
      <c r="C1259" s="38"/>
      <c r="D1259" s="20"/>
      <c r="E1259" s="36" t="str">
        <f aca="false">IF($D1259="","",IFERROR(INDEX('교육원 ④ 설정'!$A$6:$A$40,MATCH($D1259,'교육원 ④ 설정'!$B$6:$B$40,0)),"※없는 과목"))</f>
        <v/>
      </c>
      <c r="F1259" s="36" t="str">
        <f aca="false">IF($D1259="","",IFERROR(INDEX('교육원 ④ 설정'!$C$6:$C$40,MATCH($D1259,'교육원 ④ 설정'!$B$6:$B$40,0)),""))</f>
        <v/>
      </c>
      <c r="G1259" s="39"/>
      <c r="H1259" s="39"/>
      <c r="I1259" s="40"/>
      <c r="J1259" s="41"/>
      <c r="K1259" s="38"/>
      <c r="L1259" s="42" t="str">
        <f aca="false">IF($B1259="","",IF(AND(N($I1259)=0,N($J1259)=0),"금액이 없습니다",IF(AND($I1259&gt;0,$J1259&gt;0),"수입·지출 둘 다 적혔습니다",IF($C1259="","결제수단을 고르십시오",IF(ISNA(MATCH($C1259,'교육원 ③ 통장·카드'!$A$5:$A$11,0)),"③ 통장·카드에 없는 결제수단입니다",IF($D1259="","계정과목을 고르십시오",IF($E1259="※없는 과목","④ 설정에 없는 과목입니다",IF(AND($E1259="수입",$J1259&gt;0),"수입 과목인데 지출에 적혔습니다",IF(AND(LEFT($E1259,2)&lt;&gt;"수입",$E1259&lt;&gt;"대체",$I1259&gt;0),"지출 과목인데 수입에 적혔습니다",IF($K1259="","증빙을 고르십시오",IF($H1259="","적요를 적으십시오","")))))))))))</f>
        <v/>
      </c>
      <c r="M1259" s="39"/>
      <c r="O1259" s="11" t="str">
        <f aca="false">IF($B1259="","",YEAR($B1259)*100+MONTH($B1259))</f>
        <v/>
      </c>
      <c r="P1259" s="11" t="str">
        <f aca="false">IF($B1259="","",IF($E1259="대체",0,1))</f>
        <v/>
      </c>
    </row>
    <row r="1260" customFormat="false" ht="15" hidden="false" customHeight="false" outlineLevel="0" collapsed="false">
      <c r="A1260" s="36" t="str">
        <f aca="false">IF($B1260="","",COUNT($B$15:$B1260))</f>
        <v/>
      </c>
      <c r="B1260" s="37"/>
      <c r="C1260" s="38"/>
      <c r="D1260" s="20"/>
      <c r="E1260" s="36" t="str">
        <f aca="false">IF($D1260="","",IFERROR(INDEX('교육원 ④ 설정'!$A$6:$A$40,MATCH($D1260,'교육원 ④ 설정'!$B$6:$B$40,0)),"※없는 과목"))</f>
        <v/>
      </c>
      <c r="F1260" s="36" t="str">
        <f aca="false">IF($D1260="","",IFERROR(INDEX('교육원 ④ 설정'!$C$6:$C$40,MATCH($D1260,'교육원 ④ 설정'!$B$6:$B$40,0)),""))</f>
        <v/>
      </c>
      <c r="G1260" s="39"/>
      <c r="H1260" s="39"/>
      <c r="I1260" s="40"/>
      <c r="J1260" s="41"/>
      <c r="K1260" s="38"/>
      <c r="L1260" s="42" t="str">
        <f aca="false">IF($B1260="","",IF(AND(N($I1260)=0,N($J1260)=0),"금액이 없습니다",IF(AND($I1260&gt;0,$J1260&gt;0),"수입·지출 둘 다 적혔습니다",IF($C1260="","결제수단을 고르십시오",IF(ISNA(MATCH($C1260,'교육원 ③ 통장·카드'!$A$5:$A$11,0)),"③ 통장·카드에 없는 결제수단입니다",IF($D1260="","계정과목을 고르십시오",IF($E1260="※없는 과목","④ 설정에 없는 과목입니다",IF(AND($E1260="수입",$J1260&gt;0),"수입 과목인데 지출에 적혔습니다",IF(AND(LEFT($E1260,2)&lt;&gt;"수입",$E1260&lt;&gt;"대체",$I1260&gt;0),"지출 과목인데 수입에 적혔습니다",IF($K1260="","증빙을 고르십시오",IF($H1260="","적요를 적으십시오","")))))))))))</f>
        <v/>
      </c>
      <c r="M1260" s="39"/>
      <c r="O1260" s="11" t="str">
        <f aca="false">IF($B1260="","",YEAR($B1260)*100+MONTH($B1260))</f>
        <v/>
      </c>
      <c r="P1260" s="11" t="str">
        <f aca="false">IF($B1260="","",IF($E1260="대체",0,1))</f>
        <v/>
      </c>
    </row>
    <row r="1261" customFormat="false" ht="15" hidden="false" customHeight="false" outlineLevel="0" collapsed="false">
      <c r="A1261" s="36" t="str">
        <f aca="false">IF($B1261="","",COUNT($B$15:$B1261))</f>
        <v/>
      </c>
      <c r="B1261" s="37"/>
      <c r="C1261" s="38"/>
      <c r="D1261" s="20"/>
      <c r="E1261" s="36" t="str">
        <f aca="false">IF($D1261="","",IFERROR(INDEX('교육원 ④ 설정'!$A$6:$A$40,MATCH($D1261,'교육원 ④ 설정'!$B$6:$B$40,0)),"※없는 과목"))</f>
        <v/>
      </c>
      <c r="F1261" s="36" t="str">
        <f aca="false">IF($D1261="","",IFERROR(INDEX('교육원 ④ 설정'!$C$6:$C$40,MATCH($D1261,'교육원 ④ 설정'!$B$6:$B$40,0)),""))</f>
        <v/>
      </c>
      <c r="G1261" s="39"/>
      <c r="H1261" s="39"/>
      <c r="I1261" s="40"/>
      <c r="J1261" s="41"/>
      <c r="K1261" s="38"/>
      <c r="L1261" s="42" t="str">
        <f aca="false">IF($B1261="","",IF(AND(N($I1261)=0,N($J1261)=0),"금액이 없습니다",IF(AND($I1261&gt;0,$J1261&gt;0),"수입·지출 둘 다 적혔습니다",IF($C1261="","결제수단을 고르십시오",IF(ISNA(MATCH($C1261,'교육원 ③ 통장·카드'!$A$5:$A$11,0)),"③ 통장·카드에 없는 결제수단입니다",IF($D1261="","계정과목을 고르십시오",IF($E1261="※없는 과목","④ 설정에 없는 과목입니다",IF(AND($E1261="수입",$J1261&gt;0),"수입 과목인데 지출에 적혔습니다",IF(AND(LEFT($E1261,2)&lt;&gt;"수입",$E1261&lt;&gt;"대체",$I1261&gt;0),"지출 과목인데 수입에 적혔습니다",IF($K1261="","증빙을 고르십시오",IF($H1261="","적요를 적으십시오","")))))))))))</f>
        <v/>
      </c>
      <c r="M1261" s="39"/>
      <c r="O1261" s="11" t="str">
        <f aca="false">IF($B1261="","",YEAR($B1261)*100+MONTH($B1261))</f>
        <v/>
      </c>
      <c r="P1261" s="11" t="str">
        <f aca="false">IF($B1261="","",IF($E1261="대체",0,1))</f>
        <v/>
      </c>
    </row>
    <row r="1262" customFormat="false" ht="15" hidden="false" customHeight="false" outlineLevel="0" collapsed="false">
      <c r="A1262" s="36" t="str">
        <f aca="false">IF($B1262="","",COUNT($B$15:$B1262))</f>
        <v/>
      </c>
      <c r="B1262" s="37"/>
      <c r="C1262" s="38"/>
      <c r="D1262" s="20"/>
      <c r="E1262" s="36" t="str">
        <f aca="false">IF($D1262="","",IFERROR(INDEX('교육원 ④ 설정'!$A$6:$A$40,MATCH($D1262,'교육원 ④ 설정'!$B$6:$B$40,0)),"※없는 과목"))</f>
        <v/>
      </c>
      <c r="F1262" s="36" t="str">
        <f aca="false">IF($D1262="","",IFERROR(INDEX('교육원 ④ 설정'!$C$6:$C$40,MATCH($D1262,'교육원 ④ 설정'!$B$6:$B$40,0)),""))</f>
        <v/>
      </c>
      <c r="G1262" s="39"/>
      <c r="H1262" s="39"/>
      <c r="I1262" s="40"/>
      <c r="J1262" s="41"/>
      <c r="K1262" s="38"/>
      <c r="L1262" s="42" t="str">
        <f aca="false">IF($B1262="","",IF(AND(N($I1262)=0,N($J1262)=0),"금액이 없습니다",IF(AND($I1262&gt;0,$J1262&gt;0),"수입·지출 둘 다 적혔습니다",IF($C1262="","결제수단을 고르십시오",IF(ISNA(MATCH($C1262,'교육원 ③ 통장·카드'!$A$5:$A$11,0)),"③ 통장·카드에 없는 결제수단입니다",IF($D1262="","계정과목을 고르십시오",IF($E1262="※없는 과목","④ 설정에 없는 과목입니다",IF(AND($E1262="수입",$J1262&gt;0),"수입 과목인데 지출에 적혔습니다",IF(AND(LEFT($E1262,2)&lt;&gt;"수입",$E1262&lt;&gt;"대체",$I1262&gt;0),"지출 과목인데 수입에 적혔습니다",IF($K1262="","증빙을 고르십시오",IF($H1262="","적요를 적으십시오","")))))))))))</f>
        <v/>
      </c>
      <c r="M1262" s="39"/>
      <c r="O1262" s="11" t="str">
        <f aca="false">IF($B1262="","",YEAR($B1262)*100+MONTH($B1262))</f>
        <v/>
      </c>
      <c r="P1262" s="11" t="str">
        <f aca="false">IF($B1262="","",IF($E1262="대체",0,1))</f>
        <v/>
      </c>
    </row>
    <row r="1263" customFormat="false" ht="15" hidden="false" customHeight="false" outlineLevel="0" collapsed="false">
      <c r="A1263" s="36" t="str">
        <f aca="false">IF($B1263="","",COUNT($B$15:$B1263))</f>
        <v/>
      </c>
      <c r="B1263" s="37"/>
      <c r="C1263" s="38"/>
      <c r="D1263" s="20"/>
      <c r="E1263" s="36" t="str">
        <f aca="false">IF($D1263="","",IFERROR(INDEX('교육원 ④ 설정'!$A$6:$A$40,MATCH($D1263,'교육원 ④ 설정'!$B$6:$B$40,0)),"※없는 과목"))</f>
        <v/>
      </c>
      <c r="F1263" s="36" t="str">
        <f aca="false">IF($D1263="","",IFERROR(INDEX('교육원 ④ 설정'!$C$6:$C$40,MATCH($D1263,'교육원 ④ 설정'!$B$6:$B$40,0)),""))</f>
        <v/>
      </c>
      <c r="G1263" s="39"/>
      <c r="H1263" s="39"/>
      <c r="I1263" s="40"/>
      <c r="J1263" s="41"/>
      <c r="K1263" s="38"/>
      <c r="L1263" s="42" t="str">
        <f aca="false">IF($B1263="","",IF(AND(N($I1263)=0,N($J1263)=0),"금액이 없습니다",IF(AND($I1263&gt;0,$J1263&gt;0),"수입·지출 둘 다 적혔습니다",IF($C1263="","결제수단을 고르십시오",IF(ISNA(MATCH($C1263,'교육원 ③ 통장·카드'!$A$5:$A$11,0)),"③ 통장·카드에 없는 결제수단입니다",IF($D1263="","계정과목을 고르십시오",IF($E1263="※없는 과목","④ 설정에 없는 과목입니다",IF(AND($E1263="수입",$J1263&gt;0),"수입 과목인데 지출에 적혔습니다",IF(AND(LEFT($E1263,2)&lt;&gt;"수입",$E1263&lt;&gt;"대체",$I1263&gt;0),"지출 과목인데 수입에 적혔습니다",IF($K1263="","증빙을 고르십시오",IF($H1263="","적요를 적으십시오","")))))))))))</f>
        <v/>
      </c>
      <c r="M1263" s="39"/>
      <c r="O1263" s="11" t="str">
        <f aca="false">IF($B1263="","",YEAR($B1263)*100+MONTH($B1263))</f>
        <v/>
      </c>
      <c r="P1263" s="11" t="str">
        <f aca="false">IF($B1263="","",IF($E1263="대체",0,1))</f>
        <v/>
      </c>
    </row>
    <row r="1264" customFormat="false" ht="15" hidden="false" customHeight="false" outlineLevel="0" collapsed="false">
      <c r="A1264" s="36" t="str">
        <f aca="false">IF($B1264="","",COUNT($B$15:$B1264))</f>
        <v/>
      </c>
      <c r="B1264" s="37"/>
      <c r="C1264" s="38"/>
      <c r="D1264" s="20"/>
      <c r="E1264" s="36" t="str">
        <f aca="false">IF($D1264="","",IFERROR(INDEX('교육원 ④ 설정'!$A$6:$A$40,MATCH($D1264,'교육원 ④ 설정'!$B$6:$B$40,0)),"※없는 과목"))</f>
        <v/>
      </c>
      <c r="F1264" s="36" t="str">
        <f aca="false">IF($D1264="","",IFERROR(INDEX('교육원 ④ 설정'!$C$6:$C$40,MATCH($D1264,'교육원 ④ 설정'!$B$6:$B$40,0)),""))</f>
        <v/>
      </c>
      <c r="G1264" s="39"/>
      <c r="H1264" s="39"/>
      <c r="I1264" s="40"/>
      <c r="J1264" s="41"/>
      <c r="K1264" s="38"/>
      <c r="L1264" s="42" t="str">
        <f aca="false">IF($B1264="","",IF(AND(N($I1264)=0,N($J1264)=0),"금액이 없습니다",IF(AND($I1264&gt;0,$J1264&gt;0),"수입·지출 둘 다 적혔습니다",IF($C1264="","결제수단을 고르십시오",IF(ISNA(MATCH($C1264,'교육원 ③ 통장·카드'!$A$5:$A$11,0)),"③ 통장·카드에 없는 결제수단입니다",IF($D1264="","계정과목을 고르십시오",IF($E1264="※없는 과목","④ 설정에 없는 과목입니다",IF(AND($E1264="수입",$J1264&gt;0),"수입 과목인데 지출에 적혔습니다",IF(AND(LEFT($E1264,2)&lt;&gt;"수입",$E1264&lt;&gt;"대체",$I1264&gt;0),"지출 과목인데 수입에 적혔습니다",IF($K1264="","증빙을 고르십시오",IF($H1264="","적요를 적으십시오","")))))))))))</f>
        <v/>
      </c>
      <c r="M1264" s="39"/>
      <c r="O1264" s="11" t="str">
        <f aca="false">IF($B1264="","",YEAR($B1264)*100+MONTH($B1264))</f>
        <v/>
      </c>
      <c r="P1264" s="11" t="str">
        <f aca="false">IF($B1264="","",IF($E1264="대체",0,1))</f>
        <v/>
      </c>
    </row>
    <row r="1265" customFormat="false" ht="15" hidden="false" customHeight="false" outlineLevel="0" collapsed="false">
      <c r="A1265" s="36" t="str">
        <f aca="false">IF($B1265="","",COUNT($B$15:$B1265))</f>
        <v/>
      </c>
      <c r="B1265" s="37"/>
      <c r="C1265" s="38"/>
      <c r="D1265" s="20"/>
      <c r="E1265" s="36" t="str">
        <f aca="false">IF($D1265="","",IFERROR(INDEX('교육원 ④ 설정'!$A$6:$A$40,MATCH($D1265,'교육원 ④ 설정'!$B$6:$B$40,0)),"※없는 과목"))</f>
        <v/>
      </c>
      <c r="F1265" s="36" t="str">
        <f aca="false">IF($D1265="","",IFERROR(INDEX('교육원 ④ 설정'!$C$6:$C$40,MATCH($D1265,'교육원 ④ 설정'!$B$6:$B$40,0)),""))</f>
        <v/>
      </c>
      <c r="G1265" s="39"/>
      <c r="H1265" s="39"/>
      <c r="I1265" s="40"/>
      <c r="J1265" s="41"/>
      <c r="K1265" s="38"/>
      <c r="L1265" s="42" t="str">
        <f aca="false">IF($B1265="","",IF(AND(N($I1265)=0,N($J1265)=0),"금액이 없습니다",IF(AND($I1265&gt;0,$J1265&gt;0),"수입·지출 둘 다 적혔습니다",IF($C1265="","결제수단을 고르십시오",IF(ISNA(MATCH($C1265,'교육원 ③ 통장·카드'!$A$5:$A$11,0)),"③ 통장·카드에 없는 결제수단입니다",IF($D1265="","계정과목을 고르십시오",IF($E1265="※없는 과목","④ 설정에 없는 과목입니다",IF(AND($E1265="수입",$J1265&gt;0),"수입 과목인데 지출에 적혔습니다",IF(AND(LEFT($E1265,2)&lt;&gt;"수입",$E1265&lt;&gt;"대체",$I1265&gt;0),"지출 과목인데 수입에 적혔습니다",IF($K1265="","증빙을 고르십시오",IF($H1265="","적요를 적으십시오","")))))))))))</f>
        <v/>
      </c>
      <c r="M1265" s="39"/>
      <c r="O1265" s="11" t="str">
        <f aca="false">IF($B1265="","",YEAR($B1265)*100+MONTH($B1265))</f>
        <v/>
      </c>
      <c r="P1265" s="11" t="str">
        <f aca="false">IF($B1265="","",IF($E1265="대체",0,1))</f>
        <v/>
      </c>
    </row>
    <row r="1266" customFormat="false" ht="15" hidden="false" customHeight="false" outlineLevel="0" collapsed="false">
      <c r="A1266" s="36" t="str">
        <f aca="false">IF($B1266="","",COUNT($B$15:$B1266))</f>
        <v/>
      </c>
      <c r="B1266" s="37"/>
      <c r="C1266" s="38"/>
      <c r="D1266" s="20"/>
      <c r="E1266" s="36" t="str">
        <f aca="false">IF($D1266="","",IFERROR(INDEX('교육원 ④ 설정'!$A$6:$A$40,MATCH($D1266,'교육원 ④ 설정'!$B$6:$B$40,0)),"※없는 과목"))</f>
        <v/>
      </c>
      <c r="F1266" s="36" t="str">
        <f aca="false">IF($D1266="","",IFERROR(INDEX('교육원 ④ 설정'!$C$6:$C$40,MATCH($D1266,'교육원 ④ 설정'!$B$6:$B$40,0)),""))</f>
        <v/>
      </c>
      <c r="G1266" s="39"/>
      <c r="H1266" s="39"/>
      <c r="I1266" s="40"/>
      <c r="J1266" s="41"/>
      <c r="K1266" s="38"/>
      <c r="L1266" s="42" t="str">
        <f aca="false">IF($B1266="","",IF(AND(N($I1266)=0,N($J1266)=0),"금액이 없습니다",IF(AND($I1266&gt;0,$J1266&gt;0),"수입·지출 둘 다 적혔습니다",IF($C1266="","결제수단을 고르십시오",IF(ISNA(MATCH($C1266,'교육원 ③ 통장·카드'!$A$5:$A$11,0)),"③ 통장·카드에 없는 결제수단입니다",IF($D1266="","계정과목을 고르십시오",IF($E1266="※없는 과목","④ 설정에 없는 과목입니다",IF(AND($E1266="수입",$J1266&gt;0),"수입 과목인데 지출에 적혔습니다",IF(AND(LEFT($E1266,2)&lt;&gt;"수입",$E1266&lt;&gt;"대체",$I1266&gt;0),"지출 과목인데 수입에 적혔습니다",IF($K1266="","증빙을 고르십시오",IF($H1266="","적요를 적으십시오","")))))))))))</f>
        <v/>
      </c>
      <c r="M1266" s="39"/>
      <c r="O1266" s="11" t="str">
        <f aca="false">IF($B1266="","",YEAR($B1266)*100+MONTH($B1266))</f>
        <v/>
      </c>
      <c r="P1266" s="11" t="str">
        <f aca="false">IF($B1266="","",IF($E1266="대체",0,1))</f>
        <v/>
      </c>
    </row>
    <row r="1267" customFormat="false" ht="15" hidden="false" customHeight="false" outlineLevel="0" collapsed="false">
      <c r="A1267" s="36" t="str">
        <f aca="false">IF($B1267="","",COUNT($B$15:$B1267))</f>
        <v/>
      </c>
      <c r="B1267" s="37"/>
      <c r="C1267" s="38"/>
      <c r="D1267" s="20"/>
      <c r="E1267" s="36" t="str">
        <f aca="false">IF($D1267="","",IFERROR(INDEX('교육원 ④ 설정'!$A$6:$A$40,MATCH($D1267,'교육원 ④ 설정'!$B$6:$B$40,0)),"※없는 과목"))</f>
        <v/>
      </c>
      <c r="F1267" s="36" t="str">
        <f aca="false">IF($D1267="","",IFERROR(INDEX('교육원 ④ 설정'!$C$6:$C$40,MATCH($D1267,'교육원 ④ 설정'!$B$6:$B$40,0)),""))</f>
        <v/>
      </c>
      <c r="G1267" s="39"/>
      <c r="H1267" s="39"/>
      <c r="I1267" s="40"/>
      <c r="J1267" s="41"/>
      <c r="K1267" s="38"/>
      <c r="L1267" s="42" t="str">
        <f aca="false">IF($B1267="","",IF(AND(N($I1267)=0,N($J1267)=0),"금액이 없습니다",IF(AND($I1267&gt;0,$J1267&gt;0),"수입·지출 둘 다 적혔습니다",IF($C1267="","결제수단을 고르십시오",IF(ISNA(MATCH($C1267,'교육원 ③ 통장·카드'!$A$5:$A$11,0)),"③ 통장·카드에 없는 결제수단입니다",IF($D1267="","계정과목을 고르십시오",IF($E1267="※없는 과목","④ 설정에 없는 과목입니다",IF(AND($E1267="수입",$J1267&gt;0),"수입 과목인데 지출에 적혔습니다",IF(AND(LEFT($E1267,2)&lt;&gt;"수입",$E1267&lt;&gt;"대체",$I1267&gt;0),"지출 과목인데 수입에 적혔습니다",IF($K1267="","증빙을 고르십시오",IF($H1267="","적요를 적으십시오","")))))))))))</f>
        <v/>
      </c>
      <c r="M1267" s="39"/>
      <c r="O1267" s="11" t="str">
        <f aca="false">IF($B1267="","",YEAR($B1267)*100+MONTH($B1267))</f>
        <v/>
      </c>
      <c r="P1267" s="11" t="str">
        <f aca="false">IF($B1267="","",IF($E1267="대체",0,1))</f>
        <v/>
      </c>
    </row>
    <row r="1268" customFormat="false" ht="15" hidden="false" customHeight="false" outlineLevel="0" collapsed="false">
      <c r="A1268" s="36" t="str">
        <f aca="false">IF($B1268="","",COUNT($B$15:$B1268))</f>
        <v/>
      </c>
      <c r="B1268" s="37"/>
      <c r="C1268" s="38"/>
      <c r="D1268" s="20"/>
      <c r="E1268" s="36" t="str">
        <f aca="false">IF($D1268="","",IFERROR(INDEX('교육원 ④ 설정'!$A$6:$A$40,MATCH($D1268,'교육원 ④ 설정'!$B$6:$B$40,0)),"※없는 과목"))</f>
        <v/>
      </c>
      <c r="F1268" s="36" t="str">
        <f aca="false">IF($D1268="","",IFERROR(INDEX('교육원 ④ 설정'!$C$6:$C$40,MATCH($D1268,'교육원 ④ 설정'!$B$6:$B$40,0)),""))</f>
        <v/>
      </c>
      <c r="G1268" s="39"/>
      <c r="H1268" s="39"/>
      <c r="I1268" s="40"/>
      <c r="J1268" s="41"/>
      <c r="K1268" s="38"/>
      <c r="L1268" s="42" t="str">
        <f aca="false">IF($B1268="","",IF(AND(N($I1268)=0,N($J1268)=0),"금액이 없습니다",IF(AND($I1268&gt;0,$J1268&gt;0),"수입·지출 둘 다 적혔습니다",IF($C1268="","결제수단을 고르십시오",IF(ISNA(MATCH($C1268,'교육원 ③ 통장·카드'!$A$5:$A$11,0)),"③ 통장·카드에 없는 결제수단입니다",IF($D1268="","계정과목을 고르십시오",IF($E1268="※없는 과목","④ 설정에 없는 과목입니다",IF(AND($E1268="수입",$J1268&gt;0),"수입 과목인데 지출에 적혔습니다",IF(AND(LEFT($E1268,2)&lt;&gt;"수입",$E1268&lt;&gt;"대체",$I1268&gt;0),"지출 과목인데 수입에 적혔습니다",IF($K1268="","증빙을 고르십시오",IF($H1268="","적요를 적으십시오","")))))))))))</f>
        <v/>
      </c>
      <c r="M1268" s="39"/>
      <c r="O1268" s="11" t="str">
        <f aca="false">IF($B1268="","",YEAR($B1268)*100+MONTH($B1268))</f>
        <v/>
      </c>
      <c r="P1268" s="11" t="str">
        <f aca="false">IF($B1268="","",IF($E1268="대체",0,1))</f>
        <v/>
      </c>
    </row>
    <row r="1269" customFormat="false" ht="15" hidden="false" customHeight="false" outlineLevel="0" collapsed="false">
      <c r="A1269" s="36" t="str">
        <f aca="false">IF($B1269="","",COUNT($B$15:$B1269))</f>
        <v/>
      </c>
      <c r="B1269" s="37"/>
      <c r="C1269" s="38"/>
      <c r="D1269" s="20"/>
      <c r="E1269" s="36" t="str">
        <f aca="false">IF($D1269="","",IFERROR(INDEX('교육원 ④ 설정'!$A$6:$A$40,MATCH($D1269,'교육원 ④ 설정'!$B$6:$B$40,0)),"※없는 과목"))</f>
        <v/>
      </c>
      <c r="F1269" s="36" t="str">
        <f aca="false">IF($D1269="","",IFERROR(INDEX('교육원 ④ 설정'!$C$6:$C$40,MATCH($D1269,'교육원 ④ 설정'!$B$6:$B$40,0)),""))</f>
        <v/>
      </c>
      <c r="G1269" s="39"/>
      <c r="H1269" s="39"/>
      <c r="I1269" s="40"/>
      <c r="J1269" s="41"/>
      <c r="K1269" s="38"/>
      <c r="L1269" s="42" t="str">
        <f aca="false">IF($B1269="","",IF(AND(N($I1269)=0,N($J1269)=0),"금액이 없습니다",IF(AND($I1269&gt;0,$J1269&gt;0),"수입·지출 둘 다 적혔습니다",IF($C1269="","결제수단을 고르십시오",IF(ISNA(MATCH($C1269,'교육원 ③ 통장·카드'!$A$5:$A$11,0)),"③ 통장·카드에 없는 결제수단입니다",IF($D1269="","계정과목을 고르십시오",IF($E1269="※없는 과목","④ 설정에 없는 과목입니다",IF(AND($E1269="수입",$J1269&gt;0),"수입 과목인데 지출에 적혔습니다",IF(AND(LEFT($E1269,2)&lt;&gt;"수입",$E1269&lt;&gt;"대체",$I1269&gt;0),"지출 과목인데 수입에 적혔습니다",IF($K1269="","증빙을 고르십시오",IF($H1269="","적요를 적으십시오","")))))))))))</f>
        <v/>
      </c>
      <c r="M1269" s="39"/>
      <c r="O1269" s="11" t="str">
        <f aca="false">IF($B1269="","",YEAR($B1269)*100+MONTH($B1269))</f>
        <v/>
      </c>
      <c r="P1269" s="11" t="str">
        <f aca="false">IF($B1269="","",IF($E1269="대체",0,1))</f>
        <v/>
      </c>
    </row>
    <row r="1270" customFormat="false" ht="15" hidden="false" customHeight="false" outlineLevel="0" collapsed="false">
      <c r="A1270" s="36" t="str">
        <f aca="false">IF($B1270="","",COUNT($B$15:$B1270))</f>
        <v/>
      </c>
      <c r="B1270" s="37"/>
      <c r="C1270" s="38"/>
      <c r="D1270" s="20"/>
      <c r="E1270" s="36" t="str">
        <f aca="false">IF($D1270="","",IFERROR(INDEX('교육원 ④ 설정'!$A$6:$A$40,MATCH($D1270,'교육원 ④ 설정'!$B$6:$B$40,0)),"※없는 과목"))</f>
        <v/>
      </c>
      <c r="F1270" s="36" t="str">
        <f aca="false">IF($D1270="","",IFERROR(INDEX('교육원 ④ 설정'!$C$6:$C$40,MATCH($D1270,'교육원 ④ 설정'!$B$6:$B$40,0)),""))</f>
        <v/>
      </c>
      <c r="G1270" s="39"/>
      <c r="H1270" s="39"/>
      <c r="I1270" s="40"/>
      <c r="J1270" s="41"/>
      <c r="K1270" s="38"/>
      <c r="L1270" s="42" t="str">
        <f aca="false">IF($B1270="","",IF(AND(N($I1270)=0,N($J1270)=0),"금액이 없습니다",IF(AND($I1270&gt;0,$J1270&gt;0),"수입·지출 둘 다 적혔습니다",IF($C1270="","결제수단을 고르십시오",IF(ISNA(MATCH($C1270,'교육원 ③ 통장·카드'!$A$5:$A$11,0)),"③ 통장·카드에 없는 결제수단입니다",IF($D1270="","계정과목을 고르십시오",IF($E1270="※없는 과목","④ 설정에 없는 과목입니다",IF(AND($E1270="수입",$J1270&gt;0),"수입 과목인데 지출에 적혔습니다",IF(AND(LEFT($E1270,2)&lt;&gt;"수입",$E1270&lt;&gt;"대체",$I1270&gt;0),"지출 과목인데 수입에 적혔습니다",IF($K1270="","증빙을 고르십시오",IF($H1270="","적요를 적으십시오","")))))))))))</f>
        <v/>
      </c>
      <c r="M1270" s="39"/>
      <c r="O1270" s="11" t="str">
        <f aca="false">IF($B1270="","",YEAR($B1270)*100+MONTH($B1270))</f>
        <v/>
      </c>
      <c r="P1270" s="11" t="str">
        <f aca="false">IF($B1270="","",IF($E1270="대체",0,1))</f>
        <v/>
      </c>
    </row>
    <row r="1271" customFormat="false" ht="15" hidden="false" customHeight="false" outlineLevel="0" collapsed="false">
      <c r="A1271" s="36" t="str">
        <f aca="false">IF($B1271="","",COUNT($B$15:$B1271))</f>
        <v/>
      </c>
      <c r="B1271" s="37"/>
      <c r="C1271" s="38"/>
      <c r="D1271" s="20"/>
      <c r="E1271" s="36" t="str">
        <f aca="false">IF($D1271="","",IFERROR(INDEX('교육원 ④ 설정'!$A$6:$A$40,MATCH($D1271,'교육원 ④ 설정'!$B$6:$B$40,0)),"※없는 과목"))</f>
        <v/>
      </c>
      <c r="F1271" s="36" t="str">
        <f aca="false">IF($D1271="","",IFERROR(INDEX('교육원 ④ 설정'!$C$6:$C$40,MATCH($D1271,'교육원 ④ 설정'!$B$6:$B$40,0)),""))</f>
        <v/>
      </c>
      <c r="G1271" s="39"/>
      <c r="H1271" s="39"/>
      <c r="I1271" s="40"/>
      <c r="J1271" s="41"/>
      <c r="K1271" s="38"/>
      <c r="L1271" s="42" t="str">
        <f aca="false">IF($B1271="","",IF(AND(N($I1271)=0,N($J1271)=0),"금액이 없습니다",IF(AND($I1271&gt;0,$J1271&gt;0),"수입·지출 둘 다 적혔습니다",IF($C1271="","결제수단을 고르십시오",IF(ISNA(MATCH($C1271,'교육원 ③ 통장·카드'!$A$5:$A$11,0)),"③ 통장·카드에 없는 결제수단입니다",IF($D1271="","계정과목을 고르십시오",IF($E1271="※없는 과목","④ 설정에 없는 과목입니다",IF(AND($E1271="수입",$J1271&gt;0),"수입 과목인데 지출에 적혔습니다",IF(AND(LEFT($E1271,2)&lt;&gt;"수입",$E1271&lt;&gt;"대체",$I1271&gt;0),"지출 과목인데 수입에 적혔습니다",IF($K1271="","증빙을 고르십시오",IF($H1271="","적요를 적으십시오","")))))))))))</f>
        <v/>
      </c>
      <c r="M1271" s="39"/>
      <c r="O1271" s="11" t="str">
        <f aca="false">IF($B1271="","",YEAR($B1271)*100+MONTH($B1271))</f>
        <v/>
      </c>
      <c r="P1271" s="11" t="str">
        <f aca="false">IF($B1271="","",IF($E1271="대체",0,1))</f>
        <v/>
      </c>
    </row>
    <row r="1272" customFormat="false" ht="15" hidden="false" customHeight="false" outlineLevel="0" collapsed="false">
      <c r="A1272" s="36" t="str">
        <f aca="false">IF($B1272="","",COUNT($B$15:$B1272))</f>
        <v/>
      </c>
      <c r="B1272" s="37"/>
      <c r="C1272" s="38"/>
      <c r="D1272" s="20"/>
      <c r="E1272" s="36" t="str">
        <f aca="false">IF($D1272="","",IFERROR(INDEX('교육원 ④ 설정'!$A$6:$A$40,MATCH($D1272,'교육원 ④ 설정'!$B$6:$B$40,0)),"※없는 과목"))</f>
        <v/>
      </c>
      <c r="F1272" s="36" t="str">
        <f aca="false">IF($D1272="","",IFERROR(INDEX('교육원 ④ 설정'!$C$6:$C$40,MATCH($D1272,'교육원 ④ 설정'!$B$6:$B$40,0)),""))</f>
        <v/>
      </c>
      <c r="G1272" s="39"/>
      <c r="H1272" s="39"/>
      <c r="I1272" s="40"/>
      <c r="J1272" s="41"/>
      <c r="K1272" s="38"/>
      <c r="L1272" s="42" t="str">
        <f aca="false">IF($B1272="","",IF(AND(N($I1272)=0,N($J1272)=0),"금액이 없습니다",IF(AND($I1272&gt;0,$J1272&gt;0),"수입·지출 둘 다 적혔습니다",IF($C1272="","결제수단을 고르십시오",IF(ISNA(MATCH($C1272,'교육원 ③ 통장·카드'!$A$5:$A$11,0)),"③ 통장·카드에 없는 결제수단입니다",IF($D1272="","계정과목을 고르십시오",IF($E1272="※없는 과목","④ 설정에 없는 과목입니다",IF(AND($E1272="수입",$J1272&gt;0),"수입 과목인데 지출에 적혔습니다",IF(AND(LEFT($E1272,2)&lt;&gt;"수입",$E1272&lt;&gt;"대체",$I1272&gt;0),"지출 과목인데 수입에 적혔습니다",IF($K1272="","증빙을 고르십시오",IF($H1272="","적요를 적으십시오","")))))))))))</f>
        <v/>
      </c>
      <c r="M1272" s="39"/>
      <c r="O1272" s="11" t="str">
        <f aca="false">IF($B1272="","",YEAR($B1272)*100+MONTH($B1272))</f>
        <v/>
      </c>
      <c r="P1272" s="11" t="str">
        <f aca="false">IF($B1272="","",IF($E1272="대체",0,1))</f>
        <v/>
      </c>
    </row>
    <row r="1273" customFormat="false" ht="15" hidden="false" customHeight="false" outlineLevel="0" collapsed="false">
      <c r="A1273" s="36" t="str">
        <f aca="false">IF($B1273="","",COUNT($B$15:$B1273))</f>
        <v/>
      </c>
      <c r="B1273" s="37"/>
      <c r="C1273" s="38"/>
      <c r="D1273" s="20"/>
      <c r="E1273" s="36" t="str">
        <f aca="false">IF($D1273="","",IFERROR(INDEX('교육원 ④ 설정'!$A$6:$A$40,MATCH($D1273,'교육원 ④ 설정'!$B$6:$B$40,0)),"※없는 과목"))</f>
        <v/>
      </c>
      <c r="F1273" s="36" t="str">
        <f aca="false">IF($D1273="","",IFERROR(INDEX('교육원 ④ 설정'!$C$6:$C$40,MATCH($D1273,'교육원 ④ 설정'!$B$6:$B$40,0)),""))</f>
        <v/>
      </c>
      <c r="G1273" s="39"/>
      <c r="H1273" s="39"/>
      <c r="I1273" s="40"/>
      <c r="J1273" s="41"/>
      <c r="K1273" s="38"/>
      <c r="L1273" s="42" t="str">
        <f aca="false">IF($B1273="","",IF(AND(N($I1273)=0,N($J1273)=0),"금액이 없습니다",IF(AND($I1273&gt;0,$J1273&gt;0),"수입·지출 둘 다 적혔습니다",IF($C1273="","결제수단을 고르십시오",IF(ISNA(MATCH($C1273,'교육원 ③ 통장·카드'!$A$5:$A$11,0)),"③ 통장·카드에 없는 결제수단입니다",IF($D1273="","계정과목을 고르십시오",IF($E1273="※없는 과목","④ 설정에 없는 과목입니다",IF(AND($E1273="수입",$J1273&gt;0),"수입 과목인데 지출에 적혔습니다",IF(AND(LEFT($E1273,2)&lt;&gt;"수입",$E1273&lt;&gt;"대체",$I1273&gt;0),"지출 과목인데 수입에 적혔습니다",IF($K1273="","증빙을 고르십시오",IF($H1273="","적요를 적으십시오","")))))))))))</f>
        <v/>
      </c>
      <c r="M1273" s="39"/>
      <c r="O1273" s="11" t="str">
        <f aca="false">IF($B1273="","",YEAR($B1273)*100+MONTH($B1273))</f>
        <v/>
      </c>
      <c r="P1273" s="11" t="str">
        <f aca="false">IF($B1273="","",IF($E1273="대체",0,1))</f>
        <v/>
      </c>
    </row>
    <row r="1274" customFormat="false" ht="15" hidden="false" customHeight="false" outlineLevel="0" collapsed="false">
      <c r="A1274" s="36" t="str">
        <f aca="false">IF($B1274="","",COUNT($B$15:$B1274))</f>
        <v/>
      </c>
      <c r="B1274" s="37"/>
      <c r="C1274" s="38"/>
      <c r="D1274" s="20"/>
      <c r="E1274" s="36" t="str">
        <f aca="false">IF($D1274="","",IFERROR(INDEX('교육원 ④ 설정'!$A$6:$A$40,MATCH($D1274,'교육원 ④ 설정'!$B$6:$B$40,0)),"※없는 과목"))</f>
        <v/>
      </c>
      <c r="F1274" s="36" t="str">
        <f aca="false">IF($D1274="","",IFERROR(INDEX('교육원 ④ 설정'!$C$6:$C$40,MATCH($D1274,'교육원 ④ 설정'!$B$6:$B$40,0)),""))</f>
        <v/>
      </c>
      <c r="G1274" s="39"/>
      <c r="H1274" s="39"/>
      <c r="I1274" s="40"/>
      <c r="J1274" s="41"/>
      <c r="K1274" s="38"/>
      <c r="L1274" s="42" t="str">
        <f aca="false">IF($B1274="","",IF(AND(N($I1274)=0,N($J1274)=0),"금액이 없습니다",IF(AND($I1274&gt;0,$J1274&gt;0),"수입·지출 둘 다 적혔습니다",IF($C1274="","결제수단을 고르십시오",IF(ISNA(MATCH($C1274,'교육원 ③ 통장·카드'!$A$5:$A$11,0)),"③ 통장·카드에 없는 결제수단입니다",IF($D1274="","계정과목을 고르십시오",IF($E1274="※없는 과목","④ 설정에 없는 과목입니다",IF(AND($E1274="수입",$J1274&gt;0),"수입 과목인데 지출에 적혔습니다",IF(AND(LEFT($E1274,2)&lt;&gt;"수입",$E1274&lt;&gt;"대체",$I1274&gt;0),"지출 과목인데 수입에 적혔습니다",IF($K1274="","증빙을 고르십시오",IF($H1274="","적요를 적으십시오","")))))))))))</f>
        <v/>
      </c>
      <c r="M1274" s="39"/>
      <c r="O1274" s="11" t="str">
        <f aca="false">IF($B1274="","",YEAR($B1274)*100+MONTH($B1274))</f>
        <v/>
      </c>
      <c r="P1274" s="11" t="str">
        <f aca="false">IF($B1274="","",IF($E1274="대체",0,1))</f>
        <v/>
      </c>
    </row>
    <row r="1275" customFormat="false" ht="15" hidden="false" customHeight="false" outlineLevel="0" collapsed="false">
      <c r="A1275" s="36" t="str">
        <f aca="false">IF($B1275="","",COUNT($B$15:$B1275))</f>
        <v/>
      </c>
      <c r="B1275" s="37"/>
      <c r="C1275" s="38"/>
      <c r="D1275" s="20"/>
      <c r="E1275" s="36" t="str">
        <f aca="false">IF($D1275="","",IFERROR(INDEX('교육원 ④ 설정'!$A$6:$A$40,MATCH($D1275,'교육원 ④ 설정'!$B$6:$B$40,0)),"※없는 과목"))</f>
        <v/>
      </c>
      <c r="F1275" s="36" t="str">
        <f aca="false">IF($D1275="","",IFERROR(INDEX('교육원 ④ 설정'!$C$6:$C$40,MATCH($D1275,'교육원 ④ 설정'!$B$6:$B$40,0)),""))</f>
        <v/>
      </c>
      <c r="G1275" s="39"/>
      <c r="H1275" s="39"/>
      <c r="I1275" s="40"/>
      <c r="J1275" s="41"/>
      <c r="K1275" s="38"/>
      <c r="L1275" s="42" t="str">
        <f aca="false">IF($B1275="","",IF(AND(N($I1275)=0,N($J1275)=0),"금액이 없습니다",IF(AND($I1275&gt;0,$J1275&gt;0),"수입·지출 둘 다 적혔습니다",IF($C1275="","결제수단을 고르십시오",IF(ISNA(MATCH($C1275,'교육원 ③ 통장·카드'!$A$5:$A$11,0)),"③ 통장·카드에 없는 결제수단입니다",IF($D1275="","계정과목을 고르십시오",IF($E1275="※없는 과목","④ 설정에 없는 과목입니다",IF(AND($E1275="수입",$J1275&gt;0),"수입 과목인데 지출에 적혔습니다",IF(AND(LEFT($E1275,2)&lt;&gt;"수입",$E1275&lt;&gt;"대체",$I1275&gt;0),"지출 과목인데 수입에 적혔습니다",IF($K1275="","증빙을 고르십시오",IF($H1275="","적요를 적으십시오","")))))))))))</f>
        <v/>
      </c>
      <c r="M1275" s="39"/>
      <c r="O1275" s="11" t="str">
        <f aca="false">IF($B1275="","",YEAR($B1275)*100+MONTH($B1275))</f>
        <v/>
      </c>
      <c r="P1275" s="11" t="str">
        <f aca="false">IF($B1275="","",IF($E1275="대체",0,1))</f>
        <v/>
      </c>
    </row>
    <row r="1276" customFormat="false" ht="15" hidden="false" customHeight="false" outlineLevel="0" collapsed="false">
      <c r="A1276" s="36" t="str">
        <f aca="false">IF($B1276="","",COUNT($B$15:$B1276))</f>
        <v/>
      </c>
      <c r="B1276" s="37"/>
      <c r="C1276" s="38"/>
      <c r="D1276" s="20"/>
      <c r="E1276" s="36" t="str">
        <f aca="false">IF($D1276="","",IFERROR(INDEX('교육원 ④ 설정'!$A$6:$A$40,MATCH($D1276,'교육원 ④ 설정'!$B$6:$B$40,0)),"※없는 과목"))</f>
        <v/>
      </c>
      <c r="F1276" s="36" t="str">
        <f aca="false">IF($D1276="","",IFERROR(INDEX('교육원 ④ 설정'!$C$6:$C$40,MATCH($D1276,'교육원 ④ 설정'!$B$6:$B$40,0)),""))</f>
        <v/>
      </c>
      <c r="G1276" s="39"/>
      <c r="H1276" s="39"/>
      <c r="I1276" s="40"/>
      <c r="J1276" s="41"/>
      <c r="K1276" s="38"/>
      <c r="L1276" s="42" t="str">
        <f aca="false">IF($B1276="","",IF(AND(N($I1276)=0,N($J1276)=0),"금액이 없습니다",IF(AND($I1276&gt;0,$J1276&gt;0),"수입·지출 둘 다 적혔습니다",IF($C1276="","결제수단을 고르십시오",IF(ISNA(MATCH($C1276,'교육원 ③ 통장·카드'!$A$5:$A$11,0)),"③ 통장·카드에 없는 결제수단입니다",IF($D1276="","계정과목을 고르십시오",IF($E1276="※없는 과목","④ 설정에 없는 과목입니다",IF(AND($E1276="수입",$J1276&gt;0),"수입 과목인데 지출에 적혔습니다",IF(AND(LEFT($E1276,2)&lt;&gt;"수입",$E1276&lt;&gt;"대체",$I1276&gt;0),"지출 과목인데 수입에 적혔습니다",IF($K1276="","증빙을 고르십시오",IF($H1276="","적요를 적으십시오","")))))))))))</f>
        <v/>
      </c>
      <c r="M1276" s="39"/>
      <c r="O1276" s="11" t="str">
        <f aca="false">IF($B1276="","",YEAR($B1276)*100+MONTH($B1276))</f>
        <v/>
      </c>
      <c r="P1276" s="11" t="str">
        <f aca="false">IF($B1276="","",IF($E1276="대체",0,1))</f>
        <v/>
      </c>
    </row>
    <row r="1277" customFormat="false" ht="15" hidden="false" customHeight="false" outlineLevel="0" collapsed="false">
      <c r="A1277" s="36" t="str">
        <f aca="false">IF($B1277="","",COUNT($B$15:$B1277))</f>
        <v/>
      </c>
      <c r="B1277" s="37"/>
      <c r="C1277" s="38"/>
      <c r="D1277" s="20"/>
      <c r="E1277" s="36" t="str">
        <f aca="false">IF($D1277="","",IFERROR(INDEX('교육원 ④ 설정'!$A$6:$A$40,MATCH($D1277,'교육원 ④ 설정'!$B$6:$B$40,0)),"※없는 과목"))</f>
        <v/>
      </c>
      <c r="F1277" s="36" t="str">
        <f aca="false">IF($D1277="","",IFERROR(INDEX('교육원 ④ 설정'!$C$6:$C$40,MATCH($D1277,'교육원 ④ 설정'!$B$6:$B$40,0)),""))</f>
        <v/>
      </c>
      <c r="G1277" s="39"/>
      <c r="H1277" s="39"/>
      <c r="I1277" s="40"/>
      <c r="J1277" s="41"/>
      <c r="K1277" s="38"/>
      <c r="L1277" s="42" t="str">
        <f aca="false">IF($B1277="","",IF(AND(N($I1277)=0,N($J1277)=0),"금액이 없습니다",IF(AND($I1277&gt;0,$J1277&gt;0),"수입·지출 둘 다 적혔습니다",IF($C1277="","결제수단을 고르십시오",IF(ISNA(MATCH($C1277,'교육원 ③ 통장·카드'!$A$5:$A$11,0)),"③ 통장·카드에 없는 결제수단입니다",IF($D1277="","계정과목을 고르십시오",IF($E1277="※없는 과목","④ 설정에 없는 과목입니다",IF(AND($E1277="수입",$J1277&gt;0),"수입 과목인데 지출에 적혔습니다",IF(AND(LEFT($E1277,2)&lt;&gt;"수입",$E1277&lt;&gt;"대체",$I1277&gt;0),"지출 과목인데 수입에 적혔습니다",IF($K1277="","증빙을 고르십시오",IF($H1277="","적요를 적으십시오","")))))))))))</f>
        <v/>
      </c>
      <c r="M1277" s="39"/>
      <c r="O1277" s="11" t="str">
        <f aca="false">IF($B1277="","",YEAR($B1277)*100+MONTH($B1277))</f>
        <v/>
      </c>
      <c r="P1277" s="11" t="str">
        <f aca="false">IF($B1277="","",IF($E1277="대체",0,1))</f>
        <v/>
      </c>
    </row>
    <row r="1278" customFormat="false" ht="15" hidden="false" customHeight="false" outlineLevel="0" collapsed="false">
      <c r="A1278" s="36" t="str">
        <f aca="false">IF($B1278="","",COUNT($B$15:$B1278))</f>
        <v/>
      </c>
      <c r="B1278" s="37"/>
      <c r="C1278" s="38"/>
      <c r="D1278" s="20"/>
      <c r="E1278" s="36" t="str">
        <f aca="false">IF($D1278="","",IFERROR(INDEX('교육원 ④ 설정'!$A$6:$A$40,MATCH($D1278,'교육원 ④ 설정'!$B$6:$B$40,0)),"※없는 과목"))</f>
        <v/>
      </c>
      <c r="F1278" s="36" t="str">
        <f aca="false">IF($D1278="","",IFERROR(INDEX('교육원 ④ 설정'!$C$6:$C$40,MATCH($D1278,'교육원 ④ 설정'!$B$6:$B$40,0)),""))</f>
        <v/>
      </c>
      <c r="G1278" s="39"/>
      <c r="H1278" s="39"/>
      <c r="I1278" s="40"/>
      <c r="J1278" s="41"/>
      <c r="K1278" s="38"/>
      <c r="L1278" s="42" t="str">
        <f aca="false">IF($B1278="","",IF(AND(N($I1278)=0,N($J1278)=0),"금액이 없습니다",IF(AND($I1278&gt;0,$J1278&gt;0),"수입·지출 둘 다 적혔습니다",IF($C1278="","결제수단을 고르십시오",IF(ISNA(MATCH($C1278,'교육원 ③ 통장·카드'!$A$5:$A$11,0)),"③ 통장·카드에 없는 결제수단입니다",IF($D1278="","계정과목을 고르십시오",IF($E1278="※없는 과목","④ 설정에 없는 과목입니다",IF(AND($E1278="수입",$J1278&gt;0),"수입 과목인데 지출에 적혔습니다",IF(AND(LEFT($E1278,2)&lt;&gt;"수입",$E1278&lt;&gt;"대체",$I1278&gt;0),"지출 과목인데 수입에 적혔습니다",IF($K1278="","증빙을 고르십시오",IF($H1278="","적요를 적으십시오","")))))))))))</f>
        <v/>
      </c>
      <c r="M1278" s="39"/>
      <c r="O1278" s="11" t="str">
        <f aca="false">IF($B1278="","",YEAR($B1278)*100+MONTH($B1278))</f>
        <v/>
      </c>
      <c r="P1278" s="11" t="str">
        <f aca="false">IF($B1278="","",IF($E1278="대체",0,1))</f>
        <v/>
      </c>
    </row>
    <row r="1279" customFormat="false" ht="15" hidden="false" customHeight="false" outlineLevel="0" collapsed="false">
      <c r="A1279" s="36" t="str">
        <f aca="false">IF($B1279="","",COUNT($B$15:$B1279))</f>
        <v/>
      </c>
      <c r="B1279" s="37"/>
      <c r="C1279" s="38"/>
      <c r="D1279" s="20"/>
      <c r="E1279" s="36" t="str">
        <f aca="false">IF($D1279="","",IFERROR(INDEX('교육원 ④ 설정'!$A$6:$A$40,MATCH($D1279,'교육원 ④ 설정'!$B$6:$B$40,0)),"※없는 과목"))</f>
        <v/>
      </c>
      <c r="F1279" s="36" t="str">
        <f aca="false">IF($D1279="","",IFERROR(INDEX('교육원 ④ 설정'!$C$6:$C$40,MATCH($D1279,'교육원 ④ 설정'!$B$6:$B$40,0)),""))</f>
        <v/>
      </c>
      <c r="G1279" s="39"/>
      <c r="H1279" s="39"/>
      <c r="I1279" s="40"/>
      <c r="J1279" s="41"/>
      <c r="K1279" s="38"/>
      <c r="L1279" s="42" t="str">
        <f aca="false">IF($B1279="","",IF(AND(N($I1279)=0,N($J1279)=0),"금액이 없습니다",IF(AND($I1279&gt;0,$J1279&gt;0),"수입·지출 둘 다 적혔습니다",IF($C1279="","결제수단을 고르십시오",IF(ISNA(MATCH($C1279,'교육원 ③ 통장·카드'!$A$5:$A$11,0)),"③ 통장·카드에 없는 결제수단입니다",IF($D1279="","계정과목을 고르십시오",IF($E1279="※없는 과목","④ 설정에 없는 과목입니다",IF(AND($E1279="수입",$J1279&gt;0),"수입 과목인데 지출에 적혔습니다",IF(AND(LEFT($E1279,2)&lt;&gt;"수입",$E1279&lt;&gt;"대체",$I1279&gt;0),"지출 과목인데 수입에 적혔습니다",IF($K1279="","증빙을 고르십시오",IF($H1279="","적요를 적으십시오","")))))))))))</f>
        <v/>
      </c>
      <c r="M1279" s="39"/>
      <c r="O1279" s="11" t="str">
        <f aca="false">IF($B1279="","",YEAR($B1279)*100+MONTH($B1279))</f>
        <v/>
      </c>
      <c r="P1279" s="11" t="str">
        <f aca="false">IF($B1279="","",IF($E1279="대체",0,1))</f>
        <v/>
      </c>
    </row>
    <row r="1280" customFormat="false" ht="15" hidden="false" customHeight="false" outlineLevel="0" collapsed="false">
      <c r="A1280" s="36" t="str">
        <f aca="false">IF($B1280="","",COUNT($B$15:$B1280))</f>
        <v/>
      </c>
      <c r="B1280" s="37"/>
      <c r="C1280" s="38"/>
      <c r="D1280" s="20"/>
      <c r="E1280" s="36" t="str">
        <f aca="false">IF($D1280="","",IFERROR(INDEX('교육원 ④ 설정'!$A$6:$A$40,MATCH($D1280,'교육원 ④ 설정'!$B$6:$B$40,0)),"※없는 과목"))</f>
        <v/>
      </c>
      <c r="F1280" s="36" t="str">
        <f aca="false">IF($D1280="","",IFERROR(INDEX('교육원 ④ 설정'!$C$6:$C$40,MATCH($D1280,'교육원 ④ 설정'!$B$6:$B$40,0)),""))</f>
        <v/>
      </c>
      <c r="G1280" s="39"/>
      <c r="H1280" s="39"/>
      <c r="I1280" s="40"/>
      <c r="J1280" s="41"/>
      <c r="K1280" s="38"/>
      <c r="L1280" s="42" t="str">
        <f aca="false">IF($B1280="","",IF(AND(N($I1280)=0,N($J1280)=0),"금액이 없습니다",IF(AND($I1280&gt;0,$J1280&gt;0),"수입·지출 둘 다 적혔습니다",IF($C1280="","결제수단을 고르십시오",IF(ISNA(MATCH($C1280,'교육원 ③ 통장·카드'!$A$5:$A$11,0)),"③ 통장·카드에 없는 결제수단입니다",IF($D1280="","계정과목을 고르십시오",IF($E1280="※없는 과목","④ 설정에 없는 과목입니다",IF(AND($E1280="수입",$J1280&gt;0),"수입 과목인데 지출에 적혔습니다",IF(AND(LEFT($E1280,2)&lt;&gt;"수입",$E1280&lt;&gt;"대체",$I1280&gt;0),"지출 과목인데 수입에 적혔습니다",IF($K1280="","증빙을 고르십시오",IF($H1280="","적요를 적으십시오","")))))))))))</f>
        <v/>
      </c>
      <c r="M1280" s="39"/>
      <c r="O1280" s="11" t="str">
        <f aca="false">IF($B1280="","",YEAR($B1280)*100+MONTH($B1280))</f>
        <v/>
      </c>
      <c r="P1280" s="11" t="str">
        <f aca="false">IF($B1280="","",IF($E1280="대체",0,1))</f>
        <v/>
      </c>
    </row>
    <row r="1281" customFormat="false" ht="15" hidden="false" customHeight="false" outlineLevel="0" collapsed="false">
      <c r="A1281" s="36" t="str">
        <f aca="false">IF($B1281="","",COUNT($B$15:$B1281))</f>
        <v/>
      </c>
      <c r="B1281" s="37"/>
      <c r="C1281" s="38"/>
      <c r="D1281" s="20"/>
      <c r="E1281" s="36" t="str">
        <f aca="false">IF($D1281="","",IFERROR(INDEX('교육원 ④ 설정'!$A$6:$A$40,MATCH($D1281,'교육원 ④ 설정'!$B$6:$B$40,0)),"※없는 과목"))</f>
        <v/>
      </c>
      <c r="F1281" s="36" t="str">
        <f aca="false">IF($D1281="","",IFERROR(INDEX('교육원 ④ 설정'!$C$6:$C$40,MATCH($D1281,'교육원 ④ 설정'!$B$6:$B$40,0)),""))</f>
        <v/>
      </c>
      <c r="G1281" s="39"/>
      <c r="H1281" s="39"/>
      <c r="I1281" s="40"/>
      <c r="J1281" s="41"/>
      <c r="K1281" s="38"/>
      <c r="L1281" s="42" t="str">
        <f aca="false">IF($B1281="","",IF(AND(N($I1281)=0,N($J1281)=0),"금액이 없습니다",IF(AND($I1281&gt;0,$J1281&gt;0),"수입·지출 둘 다 적혔습니다",IF($C1281="","결제수단을 고르십시오",IF(ISNA(MATCH($C1281,'교육원 ③ 통장·카드'!$A$5:$A$11,0)),"③ 통장·카드에 없는 결제수단입니다",IF($D1281="","계정과목을 고르십시오",IF($E1281="※없는 과목","④ 설정에 없는 과목입니다",IF(AND($E1281="수입",$J1281&gt;0),"수입 과목인데 지출에 적혔습니다",IF(AND(LEFT($E1281,2)&lt;&gt;"수입",$E1281&lt;&gt;"대체",$I1281&gt;0),"지출 과목인데 수입에 적혔습니다",IF($K1281="","증빙을 고르십시오",IF($H1281="","적요를 적으십시오","")))))))))))</f>
        <v/>
      </c>
      <c r="M1281" s="39"/>
      <c r="O1281" s="11" t="str">
        <f aca="false">IF($B1281="","",YEAR($B1281)*100+MONTH($B1281))</f>
        <v/>
      </c>
      <c r="P1281" s="11" t="str">
        <f aca="false">IF($B1281="","",IF($E1281="대체",0,1))</f>
        <v/>
      </c>
    </row>
    <row r="1282" customFormat="false" ht="15" hidden="false" customHeight="false" outlineLevel="0" collapsed="false">
      <c r="A1282" s="36" t="str">
        <f aca="false">IF($B1282="","",COUNT($B$15:$B1282))</f>
        <v/>
      </c>
      <c r="B1282" s="37"/>
      <c r="C1282" s="38"/>
      <c r="D1282" s="20"/>
      <c r="E1282" s="36" t="str">
        <f aca="false">IF($D1282="","",IFERROR(INDEX('교육원 ④ 설정'!$A$6:$A$40,MATCH($D1282,'교육원 ④ 설정'!$B$6:$B$40,0)),"※없는 과목"))</f>
        <v/>
      </c>
      <c r="F1282" s="36" t="str">
        <f aca="false">IF($D1282="","",IFERROR(INDEX('교육원 ④ 설정'!$C$6:$C$40,MATCH($D1282,'교육원 ④ 설정'!$B$6:$B$40,0)),""))</f>
        <v/>
      </c>
      <c r="G1282" s="39"/>
      <c r="H1282" s="39"/>
      <c r="I1282" s="40"/>
      <c r="J1282" s="41"/>
      <c r="K1282" s="38"/>
      <c r="L1282" s="42" t="str">
        <f aca="false">IF($B1282="","",IF(AND(N($I1282)=0,N($J1282)=0),"금액이 없습니다",IF(AND($I1282&gt;0,$J1282&gt;0),"수입·지출 둘 다 적혔습니다",IF($C1282="","결제수단을 고르십시오",IF(ISNA(MATCH($C1282,'교육원 ③ 통장·카드'!$A$5:$A$11,0)),"③ 통장·카드에 없는 결제수단입니다",IF($D1282="","계정과목을 고르십시오",IF($E1282="※없는 과목","④ 설정에 없는 과목입니다",IF(AND($E1282="수입",$J1282&gt;0),"수입 과목인데 지출에 적혔습니다",IF(AND(LEFT($E1282,2)&lt;&gt;"수입",$E1282&lt;&gt;"대체",$I1282&gt;0),"지출 과목인데 수입에 적혔습니다",IF($K1282="","증빙을 고르십시오",IF($H1282="","적요를 적으십시오","")))))))))))</f>
        <v/>
      </c>
      <c r="M1282" s="39"/>
      <c r="O1282" s="11" t="str">
        <f aca="false">IF($B1282="","",YEAR($B1282)*100+MONTH($B1282))</f>
        <v/>
      </c>
      <c r="P1282" s="11" t="str">
        <f aca="false">IF($B1282="","",IF($E1282="대체",0,1))</f>
        <v/>
      </c>
    </row>
    <row r="1283" customFormat="false" ht="15" hidden="false" customHeight="false" outlineLevel="0" collapsed="false">
      <c r="A1283" s="36" t="str">
        <f aca="false">IF($B1283="","",COUNT($B$15:$B1283))</f>
        <v/>
      </c>
      <c r="B1283" s="37"/>
      <c r="C1283" s="38"/>
      <c r="D1283" s="20"/>
      <c r="E1283" s="36" t="str">
        <f aca="false">IF($D1283="","",IFERROR(INDEX('교육원 ④ 설정'!$A$6:$A$40,MATCH($D1283,'교육원 ④ 설정'!$B$6:$B$40,0)),"※없는 과목"))</f>
        <v/>
      </c>
      <c r="F1283" s="36" t="str">
        <f aca="false">IF($D1283="","",IFERROR(INDEX('교육원 ④ 설정'!$C$6:$C$40,MATCH($D1283,'교육원 ④ 설정'!$B$6:$B$40,0)),""))</f>
        <v/>
      </c>
      <c r="G1283" s="39"/>
      <c r="H1283" s="39"/>
      <c r="I1283" s="40"/>
      <c r="J1283" s="41"/>
      <c r="K1283" s="38"/>
      <c r="L1283" s="42" t="str">
        <f aca="false">IF($B1283="","",IF(AND(N($I1283)=0,N($J1283)=0),"금액이 없습니다",IF(AND($I1283&gt;0,$J1283&gt;0),"수입·지출 둘 다 적혔습니다",IF($C1283="","결제수단을 고르십시오",IF(ISNA(MATCH($C1283,'교육원 ③ 통장·카드'!$A$5:$A$11,0)),"③ 통장·카드에 없는 결제수단입니다",IF($D1283="","계정과목을 고르십시오",IF($E1283="※없는 과목","④ 설정에 없는 과목입니다",IF(AND($E1283="수입",$J1283&gt;0),"수입 과목인데 지출에 적혔습니다",IF(AND(LEFT($E1283,2)&lt;&gt;"수입",$E1283&lt;&gt;"대체",$I1283&gt;0),"지출 과목인데 수입에 적혔습니다",IF($K1283="","증빙을 고르십시오",IF($H1283="","적요를 적으십시오","")))))))))))</f>
        <v/>
      </c>
      <c r="M1283" s="39"/>
      <c r="O1283" s="11" t="str">
        <f aca="false">IF($B1283="","",YEAR($B1283)*100+MONTH($B1283))</f>
        <v/>
      </c>
      <c r="P1283" s="11" t="str">
        <f aca="false">IF($B1283="","",IF($E1283="대체",0,1))</f>
        <v/>
      </c>
    </row>
    <row r="1284" customFormat="false" ht="15" hidden="false" customHeight="false" outlineLevel="0" collapsed="false">
      <c r="A1284" s="36" t="str">
        <f aca="false">IF($B1284="","",COUNT($B$15:$B1284))</f>
        <v/>
      </c>
      <c r="B1284" s="37"/>
      <c r="C1284" s="38"/>
      <c r="D1284" s="20"/>
      <c r="E1284" s="36" t="str">
        <f aca="false">IF($D1284="","",IFERROR(INDEX('교육원 ④ 설정'!$A$6:$A$40,MATCH($D1284,'교육원 ④ 설정'!$B$6:$B$40,0)),"※없는 과목"))</f>
        <v/>
      </c>
      <c r="F1284" s="36" t="str">
        <f aca="false">IF($D1284="","",IFERROR(INDEX('교육원 ④ 설정'!$C$6:$C$40,MATCH($D1284,'교육원 ④ 설정'!$B$6:$B$40,0)),""))</f>
        <v/>
      </c>
      <c r="G1284" s="39"/>
      <c r="H1284" s="39"/>
      <c r="I1284" s="40"/>
      <c r="J1284" s="41"/>
      <c r="K1284" s="38"/>
      <c r="L1284" s="42" t="str">
        <f aca="false">IF($B1284="","",IF(AND(N($I1284)=0,N($J1284)=0),"금액이 없습니다",IF(AND($I1284&gt;0,$J1284&gt;0),"수입·지출 둘 다 적혔습니다",IF($C1284="","결제수단을 고르십시오",IF(ISNA(MATCH($C1284,'교육원 ③ 통장·카드'!$A$5:$A$11,0)),"③ 통장·카드에 없는 결제수단입니다",IF($D1284="","계정과목을 고르십시오",IF($E1284="※없는 과목","④ 설정에 없는 과목입니다",IF(AND($E1284="수입",$J1284&gt;0),"수입 과목인데 지출에 적혔습니다",IF(AND(LEFT($E1284,2)&lt;&gt;"수입",$E1284&lt;&gt;"대체",$I1284&gt;0),"지출 과목인데 수입에 적혔습니다",IF($K1284="","증빙을 고르십시오",IF($H1284="","적요를 적으십시오","")))))))))))</f>
        <v/>
      </c>
      <c r="M1284" s="39"/>
      <c r="O1284" s="11" t="str">
        <f aca="false">IF($B1284="","",YEAR($B1284)*100+MONTH($B1284))</f>
        <v/>
      </c>
      <c r="P1284" s="11" t="str">
        <f aca="false">IF($B1284="","",IF($E1284="대체",0,1))</f>
        <v/>
      </c>
    </row>
    <row r="1285" customFormat="false" ht="15" hidden="false" customHeight="false" outlineLevel="0" collapsed="false">
      <c r="A1285" s="36" t="str">
        <f aca="false">IF($B1285="","",COUNT($B$15:$B1285))</f>
        <v/>
      </c>
      <c r="B1285" s="37"/>
      <c r="C1285" s="38"/>
      <c r="D1285" s="20"/>
      <c r="E1285" s="36" t="str">
        <f aca="false">IF($D1285="","",IFERROR(INDEX('교육원 ④ 설정'!$A$6:$A$40,MATCH($D1285,'교육원 ④ 설정'!$B$6:$B$40,0)),"※없는 과목"))</f>
        <v/>
      </c>
      <c r="F1285" s="36" t="str">
        <f aca="false">IF($D1285="","",IFERROR(INDEX('교육원 ④ 설정'!$C$6:$C$40,MATCH($D1285,'교육원 ④ 설정'!$B$6:$B$40,0)),""))</f>
        <v/>
      </c>
      <c r="G1285" s="39"/>
      <c r="H1285" s="39"/>
      <c r="I1285" s="40"/>
      <c r="J1285" s="41"/>
      <c r="K1285" s="38"/>
      <c r="L1285" s="42" t="str">
        <f aca="false">IF($B1285="","",IF(AND(N($I1285)=0,N($J1285)=0),"금액이 없습니다",IF(AND($I1285&gt;0,$J1285&gt;0),"수입·지출 둘 다 적혔습니다",IF($C1285="","결제수단을 고르십시오",IF(ISNA(MATCH($C1285,'교육원 ③ 통장·카드'!$A$5:$A$11,0)),"③ 통장·카드에 없는 결제수단입니다",IF($D1285="","계정과목을 고르십시오",IF($E1285="※없는 과목","④ 설정에 없는 과목입니다",IF(AND($E1285="수입",$J1285&gt;0),"수입 과목인데 지출에 적혔습니다",IF(AND(LEFT($E1285,2)&lt;&gt;"수입",$E1285&lt;&gt;"대체",$I1285&gt;0),"지출 과목인데 수입에 적혔습니다",IF($K1285="","증빙을 고르십시오",IF($H1285="","적요를 적으십시오","")))))))))))</f>
        <v/>
      </c>
      <c r="M1285" s="39"/>
      <c r="O1285" s="11" t="str">
        <f aca="false">IF($B1285="","",YEAR($B1285)*100+MONTH($B1285))</f>
        <v/>
      </c>
      <c r="P1285" s="11" t="str">
        <f aca="false">IF($B1285="","",IF($E1285="대체",0,1))</f>
        <v/>
      </c>
    </row>
    <row r="1286" customFormat="false" ht="15" hidden="false" customHeight="false" outlineLevel="0" collapsed="false">
      <c r="A1286" s="36" t="str">
        <f aca="false">IF($B1286="","",COUNT($B$15:$B1286))</f>
        <v/>
      </c>
      <c r="B1286" s="37"/>
      <c r="C1286" s="38"/>
      <c r="D1286" s="20"/>
      <c r="E1286" s="36" t="str">
        <f aca="false">IF($D1286="","",IFERROR(INDEX('교육원 ④ 설정'!$A$6:$A$40,MATCH($D1286,'교육원 ④ 설정'!$B$6:$B$40,0)),"※없는 과목"))</f>
        <v/>
      </c>
      <c r="F1286" s="36" t="str">
        <f aca="false">IF($D1286="","",IFERROR(INDEX('교육원 ④ 설정'!$C$6:$C$40,MATCH($D1286,'교육원 ④ 설정'!$B$6:$B$40,0)),""))</f>
        <v/>
      </c>
      <c r="G1286" s="39"/>
      <c r="H1286" s="39"/>
      <c r="I1286" s="40"/>
      <c r="J1286" s="41"/>
      <c r="K1286" s="38"/>
      <c r="L1286" s="42" t="str">
        <f aca="false">IF($B1286="","",IF(AND(N($I1286)=0,N($J1286)=0),"금액이 없습니다",IF(AND($I1286&gt;0,$J1286&gt;0),"수입·지출 둘 다 적혔습니다",IF($C1286="","결제수단을 고르십시오",IF(ISNA(MATCH($C1286,'교육원 ③ 통장·카드'!$A$5:$A$11,0)),"③ 통장·카드에 없는 결제수단입니다",IF($D1286="","계정과목을 고르십시오",IF($E1286="※없는 과목","④ 설정에 없는 과목입니다",IF(AND($E1286="수입",$J1286&gt;0),"수입 과목인데 지출에 적혔습니다",IF(AND(LEFT($E1286,2)&lt;&gt;"수입",$E1286&lt;&gt;"대체",$I1286&gt;0),"지출 과목인데 수입에 적혔습니다",IF($K1286="","증빙을 고르십시오",IF($H1286="","적요를 적으십시오","")))))))))))</f>
        <v/>
      </c>
      <c r="M1286" s="39"/>
      <c r="O1286" s="11" t="str">
        <f aca="false">IF($B1286="","",YEAR($B1286)*100+MONTH($B1286))</f>
        <v/>
      </c>
      <c r="P1286" s="11" t="str">
        <f aca="false">IF($B1286="","",IF($E1286="대체",0,1))</f>
        <v/>
      </c>
    </row>
    <row r="1287" customFormat="false" ht="15" hidden="false" customHeight="false" outlineLevel="0" collapsed="false">
      <c r="A1287" s="36" t="str">
        <f aca="false">IF($B1287="","",COUNT($B$15:$B1287))</f>
        <v/>
      </c>
      <c r="B1287" s="37"/>
      <c r="C1287" s="38"/>
      <c r="D1287" s="20"/>
      <c r="E1287" s="36" t="str">
        <f aca="false">IF($D1287="","",IFERROR(INDEX('교육원 ④ 설정'!$A$6:$A$40,MATCH($D1287,'교육원 ④ 설정'!$B$6:$B$40,0)),"※없는 과목"))</f>
        <v/>
      </c>
      <c r="F1287" s="36" t="str">
        <f aca="false">IF($D1287="","",IFERROR(INDEX('교육원 ④ 설정'!$C$6:$C$40,MATCH($D1287,'교육원 ④ 설정'!$B$6:$B$40,0)),""))</f>
        <v/>
      </c>
      <c r="G1287" s="39"/>
      <c r="H1287" s="39"/>
      <c r="I1287" s="40"/>
      <c r="J1287" s="41"/>
      <c r="K1287" s="38"/>
      <c r="L1287" s="42" t="str">
        <f aca="false">IF($B1287="","",IF(AND(N($I1287)=0,N($J1287)=0),"금액이 없습니다",IF(AND($I1287&gt;0,$J1287&gt;0),"수입·지출 둘 다 적혔습니다",IF($C1287="","결제수단을 고르십시오",IF(ISNA(MATCH($C1287,'교육원 ③ 통장·카드'!$A$5:$A$11,0)),"③ 통장·카드에 없는 결제수단입니다",IF($D1287="","계정과목을 고르십시오",IF($E1287="※없는 과목","④ 설정에 없는 과목입니다",IF(AND($E1287="수입",$J1287&gt;0),"수입 과목인데 지출에 적혔습니다",IF(AND(LEFT($E1287,2)&lt;&gt;"수입",$E1287&lt;&gt;"대체",$I1287&gt;0),"지출 과목인데 수입에 적혔습니다",IF($K1287="","증빙을 고르십시오",IF($H1287="","적요를 적으십시오","")))))))))))</f>
        <v/>
      </c>
      <c r="M1287" s="39"/>
      <c r="O1287" s="11" t="str">
        <f aca="false">IF($B1287="","",YEAR($B1287)*100+MONTH($B1287))</f>
        <v/>
      </c>
      <c r="P1287" s="11" t="str">
        <f aca="false">IF($B1287="","",IF($E1287="대체",0,1))</f>
        <v/>
      </c>
    </row>
    <row r="1288" customFormat="false" ht="15" hidden="false" customHeight="false" outlineLevel="0" collapsed="false">
      <c r="A1288" s="36" t="str">
        <f aca="false">IF($B1288="","",COUNT($B$15:$B1288))</f>
        <v/>
      </c>
      <c r="B1288" s="37"/>
      <c r="C1288" s="38"/>
      <c r="D1288" s="20"/>
      <c r="E1288" s="36" t="str">
        <f aca="false">IF($D1288="","",IFERROR(INDEX('교육원 ④ 설정'!$A$6:$A$40,MATCH($D1288,'교육원 ④ 설정'!$B$6:$B$40,0)),"※없는 과목"))</f>
        <v/>
      </c>
      <c r="F1288" s="36" t="str">
        <f aca="false">IF($D1288="","",IFERROR(INDEX('교육원 ④ 설정'!$C$6:$C$40,MATCH($D1288,'교육원 ④ 설정'!$B$6:$B$40,0)),""))</f>
        <v/>
      </c>
      <c r="G1288" s="39"/>
      <c r="H1288" s="39"/>
      <c r="I1288" s="40"/>
      <c r="J1288" s="41"/>
      <c r="K1288" s="38"/>
      <c r="L1288" s="42" t="str">
        <f aca="false">IF($B1288="","",IF(AND(N($I1288)=0,N($J1288)=0),"금액이 없습니다",IF(AND($I1288&gt;0,$J1288&gt;0),"수입·지출 둘 다 적혔습니다",IF($C1288="","결제수단을 고르십시오",IF(ISNA(MATCH($C1288,'교육원 ③ 통장·카드'!$A$5:$A$11,0)),"③ 통장·카드에 없는 결제수단입니다",IF($D1288="","계정과목을 고르십시오",IF($E1288="※없는 과목","④ 설정에 없는 과목입니다",IF(AND($E1288="수입",$J1288&gt;0),"수입 과목인데 지출에 적혔습니다",IF(AND(LEFT($E1288,2)&lt;&gt;"수입",$E1288&lt;&gt;"대체",$I1288&gt;0),"지출 과목인데 수입에 적혔습니다",IF($K1288="","증빙을 고르십시오",IF($H1288="","적요를 적으십시오","")))))))))))</f>
        <v/>
      </c>
      <c r="M1288" s="39"/>
      <c r="O1288" s="11" t="str">
        <f aca="false">IF($B1288="","",YEAR($B1288)*100+MONTH($B1288))</f>
        <v/>
      </c>
      <c r="P1288" s="11" t="str">
        <f aca="false">IF($B1288="","",IF($E1288="대체",0,1))</f>
        <v/>
      </c>
    </row>
    <row r="1289" customFormat="false" ht="15" hidden="false" customHeight="false" outlineLevel="0" collapsed="false">
      <c r="A1289" s="36" t="str">
        <f aca="false">IF($B1289="","",COUNT($B$15:$B1289))</f>
        <v/>
      </c>
      <c r="B1289" s="37"/>
      <c r="C1289" s="38"/>
      <c r="D1289" s="20"/>
      <c r="E1289" s="36" t="str">
        <f aca="false">IF($D1289="","",IFERROR(INDEX('교육원 ④ 설정'!$A$6:$A$40,MATCH($D1289,'교육원 ④ 설정'!$B$6:$B$40,0)),"※없는 과목"))</f>
        <v/>
      </c>
      <c r="F1289" s="36" t="str">
        <f aca="false">IF($D1289="","",IFERROR(INDEX('교육원 ④ 설정'!$C$6:$C$40,MATCH($D1289,'교육원 ④ 설정'!$B$6:$B$40,0)),""))</f>
        <v/>
      </c>
      <c r="G1289" s="39"/>
      <c r="H1289" s="39"/>
      <c r="I1289" s="40"/>
      <c r="J1289" s="41"/>
      <c r="K1289" s="38"/>
      <c r="L1289" s="42" t="str">
        <f aca="false">IF($B1289="","",IF(AND(N($I1289)=0,N($J1289)=0),"금액이 없습니다",IF(AND($I1289&gt;0,$J1289&gt;0),"수입·지출 둘 다 적혔습니다",IF($C1289="","결제수단을 고르십시오",IF(ISNA(MATCH($C1289,'교육원 ③ 통장·카드'!$A$5:$A$11,0)),"③ 통장·카드에 없는 결제수단입니다",IF($D1289="","계정과목을 고르십시오",IF($E1289="※없는 과목","④ 설정에 없는 과목입니다",IF(AND($E1289="수입",$J1289&gt;0),"수입 과목인데 지출에 적혔습니다",IF(AND(LEFT($E1289,2)&lt;&gt;"수입",$E1289&lt;&gt;"대체",$I1289&gt;0),"지출 과목인데 수입에 적혔습니다",IF($K1289="","증빙을 고르십시오",IF($H1289="","적요를 적으십시오","")))))))))))</f>
        <v/>
      </c>
      <c r="M1289" s="39"/>
      <c r="O1289" s="11" t="str">
        <f aca="false">IF($B1289="","",YEAR($B1289)*100+MONTH($B1289))</f>
        <v/>
      </c>
      <c r="P1289" s="11" t="str">
        <f aca="false">IF($B1289="","",IF($E1289="대체",0,1))</f>
        <v/>
      </c>
    </row>
    <row r="1290" customFormat="false" ht="15" hidden="false" customHeight="false" outlineLevel="0" collapsed="false">
      <c r="A1290" s="36" t="str">
        <f aca="false">IF($B1290="","",COUNT($B$15:$B1290))</f>
        <v/>
      </c>
      <c r="B1290" s="37"/>
      <c r="C1290" s="38"/>
      <c r="D1290" s="20"/>
      <c r="E1290" s="36" t="str">
        <f aca="false">IF($D1290="","",IFERROR(INDEX('교육원 ④ 설정'!$A$6:$A$40,MATCH($D1290,'교육원 ④ 설정'!$B$6:$B$40,0)),"※없는 과목"))</f>
        <v/>
      </c>
      <c r="F1290" s="36" t="str">
        <f aca="false">IF($D1290="","",IFERROR(INDEX('교육원 ④ 설정'!$C$6:$C$40,MATCH($D1290,'교육원 ④ 설정'!$B$6:$B$40,0)),""))</f>
        <v/>
      </c>
      <c r="G1290" s="39"/>
      <c r="H1290" s="39"/>
      <c r="I1290" s="40"/>
      <c r="J1290" s="41"/>
      <c r="K1290" s="38"/>
      <c r="L1290" s="42" t="str">
        <f aca="false">IF($B1290="","",IF(AND(N($I1290)=0,N($J1290)=0),"금액이 없습니다",IF(AND($I1290&gt;0,$J1290&gt;0),"수입·지출 둘 다 적혔습니다",IF($C1290="","결제수단을 고르십시오",IF(ISNA(MATCH($C1290,'교육원 ③ 통장·카드'!$A$5:$A$11,0)),"③ 통장·카드에 없는 결제수단입니다",IF($D1290="","계정과목을 고르십시오",IF($E1290="※없는 과목","④ 설정에 없는 과목입니다",IF(AND($E1290="수입",$J1290&gt;0),"수입 과목인데 지출에 적혔습니다",IF(AND(LEFT($E1290,2)&lt;&gt;"수입",$E1290&lt;&gt;"대체",$I1290&gt;0),"지출 과목인데 수입에 적혔습니다",IF($K1290="","증빙을 고르십시오",IF($H1290="","적요를 적으십시오","")))))))))))</f>
        <v/>
      </c>
      <c r="M1290" s="39"/>
      <c r="O1290" s="11" t="str">
        <f aca="false">IF($B1290="","",YEAR($B1290)*100+MONTH($B1290))</f>
        <v/>
      </c>
      <c r="P1290" s="11" t="str">
        <f aca="false">IF($B1290="","",IF($E1290="대체",0,1))</f>
        <v/>
      </c>
    </row>
    <row r="1291" customFormat="false" ht="15" hidden="false" customHeight="false" outlineLevel="0" collapsed="false">
      <c r="A1291" s="36" t="str">
        <f aca="false">IF($B1291="","",COUNT($B$15:$B1291))</f>
        <v/>
      </c>
      <c r="B1291" s="37"/>
      <c r="C1291" s="38"/>
      <c r="D1291" s="20"/>
      <c r="E1291" s="36" t="str">
        <f aca="false">IF($D1291="","",IFERROR(INDEX('교육원 ④ 설정'!$A$6:$A$40,MATCH($D1291,'교육원 ④ 설정'!$B$6:$B$40,0)),"※없는 과목"))</f>
        <v/>
      </c>
      <c r="F1291" s="36" t="str">
        <f aca="false">IF($D1291="","",IFERROR(INDEX('교육원 ④ 설정'!$C$6:$C$40,MATCH($D1291,'교육원 ④ 설정'!$B$6:$B$40,0)),""))</f>
        <v/>
      </c>
      <c r="G1291" s="39"/>
      <c r="H1291" s="39"/>
      <c r="I1291" s="40"/>
      <c r="J1291" s="41"/>
      <c r="K1291" s="38"/>
      <c r="L1291" s="42" t="str">
        <f aca="false">IF($B1291="","",IF(AND(N($I1291)=0,N($J1291)=0),"금액이 없습니다",IF(AND($I1291&gt;0,$J1291&gt;0),"수입·지출 둘 다 적혔습니다",IF($C1291="","결제수단을 고르십시오",IF(ISNA(MATCH($C1291,'교육원 ③ 통장·카드'!$A$5:$A$11,0)),"③ 통장·카드에 없는 결제수단입니다",IF($D1291="","계정과목을 고르십시오",IF($E1291="※없는 과목","④ 설정에 없는 과목입니다",IF(AND($E1291="수입",$J1291&gt;0),"수입 과목인데 지출에 적혔습니다",IF(AND(LEFT($E1291,2)&lt;&gt;"수입",$E1291&lt;&gt;"대체",$I1291&gt;0),"지출 과목인데 수입에 적혔습니다",IF($K1291="","증빙을 고르십시오",IF($H1291="","적요를 적으십시오","")))))))))))</f>
        <v/>
      </c>
      <c r="M1291" s="39"/>
      <c r="O1291" s="11" t="str">
        <f aca="false">IF($B1291="","",YEAR($B1291)*100+MONTH($B1291))</f>
        <v/>
      </c>
      <c r="P1291" s="11" t="str">
        <f aca="false">IF($B1291="","",IF($E1291="대체",0,1))</f>
        <v/>
      </c>
    </row>
    <row r="1292" customFormat="false" ht="15" hidden="false" customHeight="false" outlineLevel="0" collapsed="false">
      <c r="A1292" s="36" t="str">
        <f aca="false">IF($B1292="","",COUNT($B$15:$B1292))</f>
        <v/>
      </c>
      <c r="B1292" s="37"/>
      <c r="C1292" s="38"/>
      <c r="D1292" s="20"/>
      <c r="E1292" s="36" t="str">
        <f aca="false">IF($D1292="","",IFERROR(INDEX('교육원 ④ 설정'!$A$6:$A$40,MATCH($D1292,'교육원 ④ 설정'!$B$6:$B$40,0)),"※없는 과목"))</f>
        <v/>
      </c>
      <c r="F1292" s="36" t="str">
        <f aca="false">IF($D1292="","",IFERROR(INDEX('교육원 ④ 설정'!$C$6:$C$40,MATCH($D1292,'교육원 ④ 설정'!$B$6:$B$40,0)),""))</f>
        <v/>
      </c>
      <c r="G1292" s="39"/>
      <c r="H1292" s="39"/>
      <c r="I1292" s="40"/>
      <c r="J1292" s="41"/>
      <c r="K1292" s="38"/>
      <c r="L1292" s="42" t="str">
        <f aca="false">IF($B1292="","",IF(AND(N($I1292)=0,N($J1292)=0),"금액이 없습니다",IF(AND($I1292&gt;0,$J1292&gt;0),"수입·지출 둘 다 적혔습니다",IF($C1292="","결제수단을 고르십시오",IF(ISNA(MATCH($C1292,'교육원 ③ 통장·카드'!$A$5:$A$11,0)),"③ 통장·카드에 없는 결제수단입니다",IF($D1292="","계정과목을 고르십시오",IF($E1292="※없는 과목","④ 설정에 없는 과목입니다",IF(AND($E1292="수입",$J1292&gt;0),"수입 과목인데 지출에 적혔습니다",IF(AND(LEFT($E1292,2)&lt;&gt;"수입",$E1292&lt;&gt;"대체",$I1292&gt;0),"지출 과목인데 수입에 적혔습니다",IF($K1292="","증빙을 고르십시오",IF($H1292="","적요를 적으십시오","")))))))))))</f>
        <v/>
      </c>
      <c r="M1292" s="39"/>
      <c r="O1292" s="11" t="str">
        <f aca="false">IF($B1292="","",YEAR($B1292)*100+MONTH($B1292))</f>
        <v/>
      </c>
      <c r="P1292" s="11" t="str">
        <f aca="false">IF($B1292="","",IF($E1292="대체",0,1))</f>
        <v/>
      </c>
    </row>
    <row r="1293" customFormat="false" ht="15" hidden="false" customHeight="false" outlineLevel="0" collapsed="false">
      <c r="A1293" s="36" t="str">
        <f aca="false">IF($B1293="","",COUNT($B$15:$B1293))</f>
        <v/>
      </c>
      <c r="B1293" s="37"/>
      <c r="C1293" s="38"/>
      <c r="D1293" s="20"/>
      <c r="E1293" s="36" t="str">
        <f aca="false">IF($D1293="","",IFERROR(INDEX('교육원 ④ 설정'!$A$6:$A$40,MATCH($D1293,'교육원 ④ 설정'!$B$6:$B$40,0)),"※없는 과목"))</f>
        <v/>
      </c>
      <c r="F1293" s="36" t="str">
        <f aca="false">IF($D1293="","",IFERROR(INDEX('교육원 ④ 설정'!$C$6:$C$40,MATCH($D1293,'교육원 ④ 설정'!$B$6:$B$40,0)),""))</f>
        <v/>
      </c>
      <c r="G1293" s="39"/>
      <c r="H1293" s="39"/>
      <c r="I1293" s="40"/>
      <c r="J1293" s="41"/>
      <c r="K1293" s="38"/>
      <c r="L1293" s="42" t="str">
        <f aca="false">IF($B1293="","",IF(AND(N($I1293)=0,N($J1293)=0),"금액이 없습니다",IF(AND($I1293&gt;0,$J1293&gt;0),"수입·지출 둘 다 적혔습니다",IF($C1293="","결제수단을 고르십시오",IF(ISNA(MATCH($C1293,'교육원 ③ 통장·카드'!$A$5:$A$11,0)),"③ 통장·카드에 없는 결제수단입니다",IF($D1293="","계정과목을 고르십시오",IF($E1293="※없는 과목","④ 설정에 없는 과목입니다",IF(AND($E1293="수입",$J1293&gt;0),"수입 과목인데 지출에 적혔습니다",IF(AND(LEFT($E1293,2)&lt;&gt;"수입",$E1293&lt;&gt;"대체",$I1293&gt;0),"지출 과목인데 수입에 적혔습니다",IF($K1293="","증빙을 고르십시오",IF($H1293="","적요를 적으십시오","")))))))))))</f>
        <v/>
      </c>
      <c r="M1293" s="39"/>
      <c r="O1293" s="11" t="str">
        <f aca="false">IF($B1293="","",YEAR($B1293)*100+MONTH($B1293))</f>
        <v/>
      </c>
      <c r="P1293" s="11" t="str">
        <f aca="false">IF($B1293="","",IF($E1293="대체",0,1))</f>
        <v/>
      </c>
    </row>
    <row r="1294" customFormat="false" ht="15" hidden="false" customHeight="false" outlineLevel="0" collapsed="false">
      <c r="A1294" s="36" t="str">
        <f aca="false">IF($B1294="","",COUNT($B$15:$B1294))</f>
        <v/>
      </c>
      <c r="B1294" s="37"/>
      <c r="C1294" s="38"/>
      <c r="D1294" s="20"/>
      <c r="E1294" s="36" t="str">
        <f aca="false">IF($D1294="","",IFERROR(INDEX('교육원 ④ 설정'!$A$6:$A$40,MATCH($D1294,'교육원 ④ 설정'!$B$6:$B$40,0)),"※없는 과목"))</f>
        <v/>
      </c>
      <c r="F1294" s="36" t="str">
        <f aca="false">IF($D1294="","",IFERROR(INDEX('교육원 ④ 설정'!$C$6:$C$40,MATCH($D1294,'교육원 ④ 설정'!$B$6:$B$40,0)),""))</f>
        <v/>
      </c>
      <c r="G1294" s="39"/>
      <c r="H1294" s="39"/>
      <c r="I1294" s="40"/>
      <c r="J1294" s="41"/>
      <c r="K1294" s="38"/>
      <c r="L1294" s="42" t="str">
        <f aca="false">IF($B1294="","",IF(AND(N($I1294)=0,N($J1294)=0),"금액이 없습니다",IF(AND($I1294&gt;0,$J1294&gt;0),"수입·지출 둘 다 적혔습니다",IF($C1294="","결제수단을 고르십시오",IF(ISNA(MATCH($C1294,'교육원 ③ 통장·카드'!$A$5:$A$11,0)),"③ 통장·카드에 없는 결제수단입니다",IF($D1294="","계정과목을 고르십시오",IF($E1294="※없는 과목","④ 설정에 없는 과목입니다",IF(AND($E1294="수입",$J1294&gt;0),"수입 과목인데 지출에 적혔습니다",IF(AND(LEFT($E1294,2)&lt;&gt;"수입",$E1294&lt;&gt;"대체",$I1294&gt;0),"지출 과목인데 수입에 적혔습니다",IF($K1294="","증빙을 고르십시오",IF($H1294="","적요를 적으십시오","")))))))))))</f>
        <v/>
      </c>
      <c r="M1294" s="39"/>
      <c r="O1294" s="11" t="str">
        <f aca="false">IF($B1294="","",YEAR($B1294)*100+MONTH($B1294))</f>
        <v/>
      </c>
      <c r="P1294" s="11" t="str">
        <f aca="false">IF($B1294="","",IF($E1294="대체",0,1))</f>
        <v/>
      </c>
    </row>
    <row r="1295" customFormat="false" ht="15" hidden="false" customHeight="false" outlineLevel="0" collapsed="false">
      <c r="A1295" s="36" t="str">
        <f aca="false">IF($B1295="","",COUNT($B$15:$B1295))</f>
        <v/>
      </c>
      <c r="B1295" s="37"/>
      <c r="C1295" s="38"/>
      <c r="D1295" s="20"/>
      <c r="E1295" s="36" t="str">
        <f aca="false">IF($D1295="","",IFERROR(INDEX('교육원 ④ 설정'!$A$6:$A$40,MATCH($D1295,'교육원 ④ 설정'!$B$6:$B$40,0)),"※없는 과목"))</f>
        <v/>
      </c>
      <c r="F1295" s="36" t="str">
        <f aca="false">IF($D1295="","",IFERROR(INDEX('교육원 ④ 설정'!$C$6:$C$40,MATCH($D1295,'교육원 ④ 설정'!$B$6:$B$40,0)),""))</f>
        <v/>
      </c>
      <c r="G1295" s="39"/>
      <c r="H1295" s="39"/>
      <c r="I1295" s="40"/>
      <c r="J1295" s="41"/>
      <c r="K1295" s="38"/>
      <c r="L1295" s="42" t="str">
        <f aca="false">IF($B1295="","",IF(AND(N($I1295)=0,N($J1295)=0),"금액이 없습니다",IF(AND($I1295&gt;0,$J1295&gt;0),"수입·지출 둘 다 적혔습니다",IF($C1295="","결제수단을 고르십시오",IF(ISNA(MATCH($C1295,'교육원 ③ 통장·카드'!$A$5:$A$11,0)),"③ 통장·카드에 없는 결제수단입니다",IF($D1295="","계정과목을 고르십시오",IF($E1295="※없는 과목","④ 설정에 없는 과목입니다",IF(AND($E1295="수입",$J1295&gt;0),"수입 과목인데 지출에 적혔습니다",IF(AND(LEFT($E1295,2)&lt;&gt;"수입",$E1295&lt;&gt;"대체",$I1295&gt;0),"지출 과목인데 수입에 적혔습니다",IF($K1295="","증빙을 고르십시오",IF($H1295="","적요를 적으십시오","")))))))))))</f>
        <v/>
      </c>
      <c r="M1295" s="39"/>
      <c r="O1295" s="11" t="str">
        <f aca="false">IF($B1295="","",YEAR($B1295)*100+MONTH($B1295))</f>
        <v/>
      </c>
      <c r="P1295" s="11" t="str">
        <f aca="false">IF($B1295="","",IF($E1295="대체",0,1))</f>
        <v/>
      </c>
    </row>
    <row r="1296" customFormat="false" ht="15" hidden="false" customHeight="false" outlineLevel="0" collapsed="false">
      <c r="A1296" s="36" t="str">
        <f aca="false">IF($B1296="","",COUNT($B$15:$B1296))</f>
        <v/>
      </c>
      <c r="B1296" s="37"/>
      <c r="C1296" s="38"/>
      <c r="D1296" s="20"/>
      <c r="E1296" s="36" t="str">
        <f aca="false">IF($D1296="","",IFERROR(INDEX('교육원 ④ 설정'!$A$6:$A$40,MATCH($D1296,'교육원 ④ 설정'!$B$6:$B$40,0)),"※없는 과목"))</f>
        <v/>
      </c>
      <c r="F1296" s="36" t="str">
        <f aca="false">IF($D1296="","",IFERROR(INDEX('교육원 ④ 설정'!$C$6:$C$40,MATCH($D1296,'교육원 ④ 설정'!$B$6:$B$40,0)),""))</f>
        <v/>
      </c>
      <c r="G1296" s="39"/>
      <c r="H1296" s="39"/>
      <c r="I1296" s="40"/>
      <c r="J1296" s="41"/>
      <c r="K1296" s="38"/>
      <c r="L1296" s="42" t="str">
        <f aca="false">IF($B1296="","",IF(AND(N($I1296)=0,N($J1296)=0),"금액이 없습니다",IF(AND($I1296&gt;0,$J1296&gt;0),"수입·지출 둘 다 적혔습니다",IF($C1296="","결제수단을 고르십시오",IF(ISNA(MATCH($C1296,'교육원 ③ 통장·카드'!$A$5:$A$11,0)),"③ 통장·카드에 없는 결제수단입니다",IF($D1296="","계정과목을 고르십시오",IF($E1296="※없는 과목","④ 설정에 없는 과목입니다",IF(AND($E1296="수입",$J1296&gt;0),"수입 과목인데 지출에 적혔습니다",IF(AND(LEFT($E1296,2)&lt;&gt;"수입",$E1296&lt;&gt;"대체",$I1296&gt;0),"지출 과목인데 수입에 적혔습니다",IF($K1296="","증빙을 고르십시오",IF($H1296="","적요를 적으십시오","")))))))))))</f>
        <v/>
      </c>
      <c r="M1296" s="39"/>
      <c r="O1296" s="11" t="str">
        <f aca="false">IF($B1296="","",YEAR($B1296)*100+MONTH($B1296))</f>
        <v/>
      </c>
      <c r="P1296" s="11" t="str">
        <f aca="false">IF($B1296="","",IF($E1296="대체",0,1))</f>
        <v/>
      </c>
    </row>
    <row r="1297" customFormat="false" ht="15" hidden="false" customHeight="false" outlineLevel="0" collapsed="false">
      <c r="A1297" s="36" t="str">
        <f aca="false">IF($B1297="","",COUNT($B$15:$B1297))</f>
        <v/>
      </c>
      <c r="B1297" s="37"/>
      <c r="C1297" s="38"/>
      <c r="D1297" s="20"/>
      <c r="E1297" s="36" t="str">
        <f aca="false">IF($D1297="","",IFERROR(INDEX('교육원 ④ 설정'!$A$6:$A$40,MATCH($D1297,'교육원 ④ 설정'!$B$6:$B$40,0)),"※없는 과목"))</f>
        <v/>
      </c>
      <c r="F1297" s="36" t="str">
        <f aca="false">IF($D1297="","",IFERROR(INDEX('교육원 ④ 설정'!$C$6:$C$40,MATCH($D1297,'교육원 ④ 설정'!$B$6:$B$40,0)),""))</f>
        <v/>
      </c>
      <c r="G1297" s="39"/>
      <c r="H1297" s="39"/>
      <c r="I1297" s="40"/>
      <c r="J1297" s="41"/>
      <c r="K1297" s="38"/>
      <c r="L1297" s="42" t="str">
        <f aca="false">IF($B1297="","",IF(AND(N($I1297)=0,N($J1297)=0),"금액이 없습니다",IF(AND($I1297&gt;0,$J1297&gt;0),"수입·지출 둘 다 적혔습니다",IF($C1297="","결제수단을 고르십시오",IF(ISNA(MATCH($C1297,'교육원 ③ 통장·카드'!$A$5:$A$11,0)),"③ 통장·카드에 없는 결제수단입니다",IF($D1297="","계정과목을 고르십시오",IF($E1297="※없는 과목","④ 설정에 없는 과목입니다",IF(AND($E1297="수입",$J1297&gt;0),"수입 과목인데 지출에 적혔습니다",IF(AND(LEFT($E1297,2)&lt;&gt;"수입",$E1297&lt;&gt;"대체",$I1297&gt;0),"지출 과목인데 수입에 적혔습니다",IF($K1297="","증빙을 고르십시오",IF($H1297="","적요를 적으십시오","")))))))))))</f>
        <v/>
      </c>
      <c r="M1297" s="39"/>
      <c r="O1297" s="11" t="str">
        <f aca="false">IF($B1297="","",YEAR($B1297)*100+MONTH($B1297))</f>
        <v/>
      </c>
      <c r="P1297" s="11" t="str">
        <f aca="false">IF($B1297="","",IF($E1297="대체",0,1))</f>
        <v/>
      </c>
    </row>
    <row r="1298" customFormat="false" ht="15" hidden="false" customHeight="false" outlineLevel="0" collapsed="false">
      <c r="A1298" s="36" t="str">
        <f aca="false">IF($B1298="","",COUNT($B$15:$B1298))</f>
        <v/>
      </c>
      <c r="B1298" s="37"/>
      <c r="C1298" s="38"/>
      <c r="D1298" s="20"/>
      <c r="E1298" s="36" t="str">
        <f aca="false">IF($D1298="","",IFERROR(INDEX('교육원 ④ 설정'!$A$6:$A$40,MATCH($D1298,'교육원 ④ 설정'!$B$6:$B$40,0)),"※없는 과목"))</f>
        <v/>
      </c>
      <c r="F1298" s="36" t="str">
        <f aca="false">IF($D1298="","",IFERROR(INDEX('교육원 ④ 설정'!$C$6:$C$40,MATCH($D1298,'교육원 ④ 설정'!$B$6:$B$40,0)),""))</f>
        <v/>
      </c>
      <c r="G1298" s="39"/>
      <c r="H1298" s="39"/>
      <c r="I1298" s="40"/>
      <c r="J1298" s="41"/>
      <c r="K1298" s="38"/>
      <c r="L1298" s="42" t="str">
        <f aca="false">IF($B1298="","",IF(AND(N($I1298)=0,N($J1298)=0),"금액이 없습니다",IF(AND($I1298&gt;0,$J1298&gt;0),"수입·지출 둘 다 적혔습니다",IF($C1298="","결제수단을 고르십시오",IF(ISNA(MATCH($C1298,'교육원 ③ 통장·카드'!$A$5:$A$11,0)),"③ 통장·카드에 없는 결제수단입니다",IF($D1298="","계정과목을 고르십시오",IF($E1298="※없는 과목","④ 설정에 없는 과목입니다",IF(AND($E1298="수입",$J1298&gt;0),"수입 과목인데 지출에 적혔습니다",IF(AND(LEFT($E1298,2)&lt;&gt;"수입",$E1298&lt;&gt;"대체",$I1298&gt;0),"지출 과목인데 수입에 적혔습니다",IF($K1298="","증빙을 고르십시오",IF($H1298="","적요를 적으십시오","")))))))))))</f>
        <v/>
      </c>
      <c r="M1298" s="39"/>
      <c r="O1298" s="11" t="str">
        <f aca="false">IF($B1298="","",YEAR($B1298)*100+MONTH($B1298))</f>
        <v/>
      </c>
      <c r="P1298" s="11" t="str">
        <f aca="false">IF($B1298="","",IF($E1298="대체",0,1))</f>
        <v/>
      </c>
    </row>
    <row r="1299" customFormat="false" ht="15" hidden="false" customHeight="false" outlineLevel="0" collapsed="false">
      <c r="A1299" s="36" t="str">
        <f aca="false">IF($B1299="","",COUNT($B$15:$B1299))</f>
        <v/>
      </c>
      <c r="B1299" s="37"/>
      <c r="C1299" s="38"/>
      <c r="D1299" s="20"/>
      <c r="E1299" s="36" t="str">
        <f aca="false">IF($D1299="","",IFERROR(INDEX('교육원 ④ 설정'!$A$6:$A$40,MATCH($D1299,'교육원 ④ 설정'!$B$6:$B$40,0)),"※없는 과목"))</f>
        <v/>
      </c>
      <c r="F1299" s="36" t="str">
        <f aca="false">IF($D1299="","",IFERROR(INDEX('교육원 ④ 설정'!$C$6:$C$40,MATCH($D1299,'교육원 ④ 설정'!$B$6:$B$40,0)),""))</f>
        <v/>
      </c>
      <c r="G1299" s="39"/>
      <c r="H1299" s="39"/>
      <c r="I1299" s="40"/>
      <c r="J1299" s="41"/>
      <c r="K1299" s="38"/>
      <c r="L1299" s="42" t="str">
        <f aca="false">IF($B1299="","",IF(AND(N($I1299)=0,N($J1299)=0),"금액이 없습니다",IF(AND($I1299&gt;0,$J1299&gt;0),"수입·지출 둘 다 적혔습니다",IF($C1299="","결제수단을 고르십시오",IF(ISNA(MATCH($C1299,'교육원 ③ 통장·카드'!$A$5:$A$11,0)),"③ 통장·카드에 없는 결제수단입니다",IF($D1299="","계정과목을 고르십시오",IF($E1299="※없는 과목","④ 설정에 없는 과목입니다",IF(AND($E1299="수입",$J1299&gt;0),"수입 과목인데 지출에 적혔습니다",IF(AND(LEFT($E1299,2)&lt;&gt;"수입",$E1299&lt;&gt;"대체",$I1299&gt;0),"지출 과목인데 수입에 적혔습니다",IF($K1299="","증빙을 고르십시오",IF($H1299="","적요를 적으십시오","")))))))))))</f>
        <v/>
      </c>
      <c r="M1299" s="39"/>
      <c r="O1299" s="11" t="str">
        <f aca="false">IF($B1299="","",YEAR($B1299)*100+MONTH($B1299))</f>
        <v/>
      </c>
      <c r="P1299" s="11" t="str">
        <f aca="false">IF($B1299="","",IF($E1299="대체",0,1))</f>
        <v/>
      </c>
    </row>
    <row r="1300" customFormat="false" ht="15" hidden="false" customHeight="false" outlineLevel="0" collapsed="false">
      <c r="A1300" s="36" t="str">
        <f aca="false">IF($B1300="","",COUNT($B$15:$B1300))</f>
        <v/>
      </c>
      <c r="B1300" s="37"/>
      <c r="C1300" s="38"/>
      <c r="D1300" s="20"/>
      <c r="E1300" s="36" t="str">
        <f aca="false">IF($D1300="","",IFERROR(INDEX('교육원 ④ 설정'!$A$6:$A$40,MATCH($D1300,'교육원 ④ 설정'!$B$6:$B$40,0)),"※없는 과목"))</f>
        <v/>
      </c>
      <c r="F1300" s="36" t="str">
        <f aca="false">IF($D1300="","",IFERROR(INDEX('교육원 ④ 설정'!$C$6:$C$40,MATCH($D1300,'교육원 ④ 설정'!$B$6:$B$40,0)),""))</f>
        <v/>
      </c>
      <c r="G1300" s="39"/>
      <c r="H1300" s="39"/>
      <c r="I1300" s="40"/>
      <c r="J1300" s="41"/>
      <c r="K1300" s="38"/>
      <c r="L1300" s="42" t="str">
        <f aca="false">IF($B1300="","",IF(AND(N($I1300)=0,N($J1300)=0),"금액이 없습니다",IF(AND($I1300&gt;0,$J1300&gt;0),"수입·지출 둘 다 적혔습니다",IF($C1300="","결제수단을 고르십시오",IF(ISNA(MATCH($C1300,'교육원 ③ 통장·카드'!$A$5:$A$11,0)),"③ 통장·카드에 없는 결제수단입니다",IF($D1300="","계정과목을 고르십시오",IF($E1300="※없는 과목","④ 설정에 없는 과목입니다",IF(AND($E1300="수입",$J1300&gt;0),"수입 과목인데 지출에 적혔습니다",IF(AND(LEFT($E1300,2)&lt;&gt;"수입",$E1300&lt;&gt;"대체",$I1300&gt;0),"지출 과목인데 수입에 적혔습니다",IF($K1300="","증빙을 고르십시오",IF($H1300="","적요를 적으십시오","")))))))))))</f>
        <v/>
      </c>
      <c r="M1300" s="39"/>
      <c r="O1300" s="11" t="str">
        <f aca="false">IF($B1300="","",YEAR($B1300)*100+MONTH($B1300))</f>
        <v/>
      </c>
      <c r="P1300" s="11" t="str">
        <f aca="false">IF($B1300="","",IF($E1300="대체",0,1))</f>
        <v/>
      </c>
    </row>
    <row r="1301" customFormat="false" ht="15" hidden="false" customHeight="false" outlineLevel="0" collapsed="false">
      <c r="A1301" s="36" t="str">
        <f aca="false">IF($B1301="","",COUNT($B$15:$B1301))</f>
        <v/>
      </c>
      <c r="B1301" s="37"/>
      <c r="C1301" s="38"/>
      <c r="D1301" s="20"/>
      <c r="E1301" s="36" t="str">
        <f aca="false">IF($D1301="","",IFERROR(INDEX('교육원 ④ 설정'!$A$6:$A$40,MATCH($D1301,'교육원 ④ 설정'!$B$6:$B$40,0)),"※없는 과목"))</f>
        <v/>
      </c>
      <c r="F1301" s="36" t="str">
        <f aca="false">IF($D1301="","",IFERROR(INDEX('교육원 ④ 설정'!$C$6:$C$40,MATCH($D1301,'교육원 ④ 설정'!$B$6:$B$40,0)),""))</f>
        <v/>
      </c>
      <c r="G1301" s="39"/>
      <c r="H1301" s="39"/>
      <c r="I1301" s="40"/>
      <c r="J1301" s="41"/>
      <c r="K1301" s="38"/>
      <c r="L1301" s="42" t="str">
        <f aca="false">IF($B1301="","",IF(AND(N($I1301)=0,N($J1301)=0),"금액이 없습니다",IF(AND($I1301&gt;0,$J1301&gt;0),"수입·지출 둘 다 적혔습니다",IF($C1301="","결제수단을 고르십시오",IF(ISNA(MATCH($C1301,'교육원 ③ 통장·카드'!$A$5:$A$11,0)),"③ 통장·카드에 없는 결제수단입니다",IF($D1301="","계정과목을 고르십시오",IF($E1301="※없는 과목","④ 설정에 없는 과목입니다",IF(AND($E1301="수입",$J1301&gt;0),"수입 과목인데 지출에 적혔습니다",IF(AND(LEFT($E1301,2)&lt;&gt;"수입",$E1301&lt;&gt;"대체",$I1301&gt;0),"지출 과목인데 수입에 적혔습니다",IF($K1301="","증빙을 고르십시오",IF($H1301="","적요를 적으십시오","")))))))))))</f>
        <v/>
      </c>
      <c r="M1301" s="39"/>
      <c r="O1301" s="11" t="str">
        <f aca="false">IF($B1301="","",YEAR($B1301)*100+MONTH($B1301))</f>
        <v/>
      </c>
      <c r="P1301" s="11" t="str">
        <f aca="false">IF($B1301="","",IF($E1301="대체",0,1))</f>
        <v/>
      </c>
    </row>
    <row r="1302" customFormat="false" ht="15" hidden="false" customHeight="false" outlineLevel="0" collapsed="false">
      <c r="A1302" s="36" t="str">
        <f aca="false">IF($B1302="","",COUNT($B$15:$B1302))</f>
        <v/>
      </c>
      <c r="B1302" s="37"/>
      <c r="C1302" s="38"/>
      <c r="D1302" s="20"/>
      <c r="E1302" s="36" t="str">
        <f aca="false">IF($D1302="","",IFERROR(INDEX('교육원 ④ 설정'!$A$6:$A$40,MATCH($D1302,'교육원 ④ 설정'!$B$6:$B$40,0)),"※없는 과목"))</f>
        <v/>
      </c>
      <c r="F1302" s="36" t="str">
        <f aca="false">IF($D1302="","",IFERROR(INDEX('교육원 ④ 설정'!$C$6:$C$40,MATCH($D1302,'교육원 ④ 설정'!$B$6:$B$40,0)),""))</f>
        <v/>
      </c>
      <c r="G1302" s="39"/>
      <c r="H1302" s="39"/>
      <c r="I1302" s="40"/>
      <c r="J1302" s="41"/>
      <c r="K1302" s="38"/>
      <c r="L1302" s="42" t="str">
        <f aca="false">IF($B1302="","",IF(AND(N($I1302)=0,N($J1302)=0),"금액이 없습니다",IF(AND($I1302&gt;0,$J1302&gt;0),"수입·지출 둘 다 적혔습니다",IF($C1302="","결제수단을 고르십시오",IF(ISNA(MATCH($C1302,'교육원 ③ 통장·카드'!$A$5:$A$11,0)),"③ 통장·카드에 없는 결제수단입니다",IF($D1302="","계정과목을 고르십시오",IF($E1302="※없는 과목","④ 설정에 없는 과목입니다",IF(AND($E1302="수입",$J1302&gt;0),"수입 과목인데 지출에 적혔습니다",IF(AND(LEFT($E1302,2)&lt;&gt;"수입",$E1302&lt;&gt;"대체",$I1302&gt;0),"지출 과목인데 수입에 적혔습니다",IF($K1302="","증빙을 고르십시오",IF($H1302="","적요를 적으십시오","")))))))))))</f>
        <v/>
      </c>
      <c r="M1302" s="39"/>
      <c r="O1302" s="11" t="str">
        <f aca="false">IF($B1302="","",YEAR($B1302)*100+MONTH($B1302))</f>
        <v/>
      </c>
      <c r="P1302" s="11" t="str">
        <f aca="false">IF($B1302="","",IF($E1302="대체",0,1))</f>
        <v/>
      </c>
    </row>
    <row r="1303" customFormat="false" ht="15" hidden="false" customHeight="false" outlineLevel="0" collapsed="false">
      <c r="A1303" s="36" t="str">
        <f aca="false">IF($B1303="","",COUNT($B$15:$B1303))</f>
        <v/>
      </c>
      <c r="B1303" s="37"/>
      <c r="C1303" s="38"/>
      <c r="D1303" s="20"/>
      <c r="E1303" s="36" t="str">
        <f aca="false">IF($D1303="","",IFERROR(INDEX('교육원 ④ 설정'!$A$6:$A$40,MATCH($D1303,'교육원 ④ 설정'!$B$6:$B$40,0)),"※없는 과목"))</f>
        <v/>
      </c>
      <c r="F1303" s="36" t="str">
        <f aca="false">IF($D1303="","",IFERROR(INDEX('교육원 ④ 설정'!$C$6:$C$40,MATCH($D1303,'교육원 ④ 설정'!$B$6:$B$40,0)),""))</f>
        <v/>
      </c>
      <c r="G1303" s="39"/>
      <c r="H1303" s="39"/>
      <c r="I1303" s="40"/>
      <c r="J1303" s="41"/>
      <c r="K1303" s="38"/>
      <c r="L1303" s="42" t="str">
        <f aca="false">IF($B1303="","",IF(AND(N($I1303)=0,N($J1303)=0),"금액이 없습니다",IF(AND($I1303&gt;0,$J1303&gt;0),"수입·지출 둘 다 적혔습니다",IF($C1303="","결제수단을 고르십시오",IF(ISNA(MATCH($C1303,'교육원 ③ 통장·카드'!$A$5:$A$11,0)),"③ 통장·카드에 없는 결제수단입니다",IF($D1303="","계정과목을 고르십시오",IF($E1303="※없는 과목","④ 설정에 없는 과목입니다",IF(AND($E1303="수입",$J1303&gt;0),"수입 과목인데 지출에 적혔습니다",IF(AND(LEFT($E1303,2)&lt;&gt;"수입",$E1303&lt;&gt;"대체",$I1303&gt;0),"지출 과목인데 수입에 적혔습니다",IF($K1303="","증빙을 고르십시오",IF($H1303="","적요를 적으십시오","")))))))))))</f>
        <v/>
      </c>
      <c r="M1303" s="39"/>
      <c r="O1303" s="11" t="str">
        <f aca="false">IF($B1303="","",YEAR($B1303)*100+MONTH($B1303))</f>
        <v/>
      </c>
      <c r="P1303" s="11" t="str">
        <f aca="false">IF($B1303="","",IF($E1303="대체",0,1))</f>
        <v/>
      </c>
    </row>
    <row r="1304" customFormat="false" ht="15" hidden="false" customHeight="false" outlineLevel="0" collapsed="false">
      <c r="A1304" s="36" t="str">
        <f aca="false">IF($B1304="","",COUNT($B$15:$B1304))</f>
        <v/>
      </c>
      <c r="B1304" s="37"/>
      <c r="C1304" s="38"/>
      <c r="D1304" s="20"/>
      <c r="E1304" s="36" t="str">
        <f aca="false">IF($D1304="","",IFERROR(INDEX('교육원 ④ 설정'!$A$6:$A$40,MATCH($D1304,'교육원 ④ 설정'!$B$6:$B$40,0)),"※없는 과목"))</f>
        <v/>
      </c>
      <c r="F1304" s="36" t="str">
        <f aca="false">IF($D1304="","",IFERROR(INDEX('교육원 ④ 설정'!$C$6:$C$40,MATCH($D1304,'교육원 ④ 설정'!$B$6:$B$40,0)),""))</f>
        <v/>
      </c>
      <c r="G1304" s="39"/>
      <c r="H1304" s="39"/>
      <c r="I1304" s="40"/>
      <c r="J1304" s="41"/>
      <c r="K1304" s="38"/>
      <c r="L1304" s="42" t="str">
        <f aca="false">IF($B1304="","",IF(AND(N($I1304)=0,N($J1304)=0),"금액이 없습니다",IF(AND($I1304&gt;0,$J1304&gt;0),"수입·지출 둘 다 적혔습니다",IF($C1304="","결제수단을 고르십시오",IF(ISNA(MATCH($C1304,'교육원 ③ 통장·카드'!$A$5:$A$11,0)),"③ 통장·카드에 없는 결제수단입니다",IF($D1304="","계정과목을 고르십시오",IF($E1304="※없는 과목","④ 설정에 없는 과목입니다",IF(AND($E1304="수입",$J1304&gt;0),"수입 과목인데 지출에 적혔습니다",IF(AND(LEFT($E1304,2)&lt;&gt;"수입",$E1304&lt;&gt;"대체",$I1304&gt;0),"지출 과목인데 수입에 적혔습니다",IF($K1304="","증빙을 고르십시오",IF($H1304="","적요를 적으십시오","")))))))))))</f>
        <v/>
      </c>
      <c r="M1304" s="39"/>
      <c r="O1304" s="11" t="str">
        <f aca="false">IF($B1304="","",YEAR($B1304)*100+MONTH($B1304))</f>
        <v/>
      </c>
      <c r="P1304" s="11" t="str">
        <f aca="false">IF($B1304="","",IF($E1304="대체",0,1))</f>
        <v/>
      </c>
    </row>
    <row r="1305" customFormat="false" ht="15" hidden="false" customHeight="false" outlineLevel="0" collapsed="false">
      <c r="A1305" s="36" t="str">
        <f aca="false">IF($B1305="","",COUNT($B$15:$B1305))</f>
        <v/>
      </c>
      <c r="B1305" s="37"/>
      <c r="C1305" s="38"/>
      <c r="D1305" s="20"/>
      <c r="E1305" s="36" t="str">
        <f aca="false">IF($D1305="","",IFERROR(INDEX('교육원 ④ 설정'!$A$6:$A$40,MATCH($D1305,'교육원 ④ 설정'!$B$6:$B$40,0)),"※없는 과목"))</f>
        <v/>
      </c>
      <c r="F1305" s="36" t="str">
        <f aca="false">IF($D1305="","",IFERROR(INDEX('교육원 ④ 설정'!$C$6:$C$40,MATCH($D1305,'교육원 ④ 설정'!$B$6:$B$40,0)),""))</f>
        <v/>
      </c>
      <c r="G1305" s="39"/>
      <c r="H1305" s="39"/>
      <c r="I1305" s="40"/>
      <c r="J1305" s="41"/>
      <c r="K1305" s="38"/>
      <c r="L1305" s="42" t="str">
        <f aca="false">IF($B1305="","",IF(AND(N($I1305)=0,N($J1305)=0),"금액이 없습니다",IF(AND($I1305&gt;0,$J1305&gt;0),"수입·지출 둘 다 적혔습니다",IF($C1305="","결제수단을 고르십시오",IF(ISNA(MATCH($C1305,'교육원 ③ 통장·카드'!$A$5:$A$11,0)),"③ 통장·카드에 없는 결제수단입니다",IF($D1305="","계정과목을 고르십시오",IF($E1305="※없는 과목","④ 설정에 없는 과목입니다",IF(AND($E1305="수입",$J1305&gt;0),"수입 과목인데 지출에 적혔습니다",IF(AND(LEFT($E1305,2)&lt;&gt;"수입",$E1305&lt;&gt;"대체",$I1305&gt;0),"지출 과목인데 수입에 적혔습니다",IF($K1305="","증빙을 고르십시오",IF($H1305="","적요를 적으십시오","")))))))))))</f>
        <v/>
      </c>
      <c r="M1305" s="39"/>
      <c r="O1305" s="11" t="str">
        <f aca="false">IF($B1305="","",YEAR($B1305)*100+MONTH($B1305))</f>
        <v/>
      </c>
      <c r="P1305" s="11" t="str">
        <f aca="false">IF($B1305="","",IF($E1305="대체",0,1))</f>
        <v/>
      </c>
    </row>
    <row r="1306" customFormat="false" ht="15" hidden="false" customHeight="false" outlineLevel="0" collapsed="false">
      <c r="A1306" s="36" t="str">
        <f aca="false">IF($B1306="","",COUNT($B$15:$B1306))</f>
        <v/>
      </c>
      <c r="B1306" s="37"/>
      <c r="C1306" s="38"/>
      <c r="D1306" s="20"/>
      <c r="E1306" s="36" t="str">
        <f aca="false">IF($D1306="","",IFERROR(INDEX('교육원 ④ 설정'!$A$6:$A$40,MATCH($D1306,'교육원 ④ 설정'!$B$6:$B$40,0)),"※없는 과목"))</f>
        <v/>
      </c>
      <c r="F1306" s="36" t="str">
        <f aca="false">IF($D1306="","",IFERROR(INDEX('교육원 ④ 설정'!$C$6:$C$40,MATCH($D1306,'교육원 ④ 설정'!$B$6:$B$40,0)),""))</f>
        <v/>
      </c>
      <c r="G1306" s="39"/>
      <c r="H1306" s="39"/>
      <c r="I1306" s="40"/>
      <c r="J1306" s="41"/>
      <c r="K1306" s="38"/>
      <c r="L1306" s="42" t="str">
        <f aca="false">IF($B1306="","",IF(AND(N($I1306)=0,N($J1306)=0),"금액이 없습니다",IF(AND($I1306&gt;0,$J1306&gt;0),"수입·지출 둘 다 적혔습니다",IF($C1306="","결제수단을 고르십시오",IF(ISNA(MATCH($C1306,'교육원 ③ 통장·카드'!$A$5:$A$11,0)),"③ 통장·카드에 없는 결제수단입니다",IF($D1306="","계정과목을 고르십시오",IF($E1306="※없는 과목","④ 설정에 없는 과목입니다",IF(AND($E1306="수입",$J1306&gt;0),"수입 과목인데 지출에 적혔습니다",IF(AND(LEFT($E1306,2)&lt;&gt;"수입",$E1306&lt;&gt;"대체",$I1306&gt;0),"지출 과목인데 수입에 적혔습니다",IF($K1306="","증빙을 고르십시오",IF($H1306="","적요를 적으십시오","")))))))))))</f>
        <v/>
      </c>
      <c r="M1306" s="39"/>
      <c r="O1306" s="11" t="str">
        <f aca="false">IF($B1306="","",YEAR($B1306)*100+MONTH($B1306))</f>
        <v/>
      </c>
      <c r="P1306" s="11" t="str">
        <f aca="false">IF($B1306="","",IF($E1306="대체",0,1))</f>
        <v/>
      </c>
    </row>
    <row r="1307" customFormat="false" ht="15" hidden="false" customHeight="false" outlineLevel="0" collapsed="false">
      <c r="A1307" s="36" t="str">
        <f aca="false">IF($B1307="","",COUNT($B$15:$B1307))</f>
        <v/>
      </c>
      <c r="B1307" s="37"/>
      <c r="C1307" s="38"/>
      <c r="D1307" s="20"/>
      <c r="E1307" s="36" t="str">
        <f aca="false">IF($D1307="","",IFERROR(INDEX('교육원 ④ 설정'!$A$6:$A$40,MATCH($D1307,'교육원 ④ 설정'!$B$6:$B$40,0)),"※없는 과목"))</f>
        <v/>
      </c>
      <c r="F1307" s="36" t="str">
        <f aca="false">IF($D1307="","",IFERROR(INDEX('교육원 ④ 설정'!$C$6:$C$40,MATCH($D1307,'교육원 ④ 설정'!$B$6:$B$40,0)),""))</f>
        <v/>
      </c>
      <c r="G1307" s="39"/>
      <c r="H1307" s="39"/>
      <c r="I1307" s="40"/>
      <c r="J1307" s="41"/>
      <c r="K1307" s="38"/>
      <c r="L1307" s="42" t="str">
        <f aca="false">IF($B1307="","",IF(AND(N($I1307)=0,N($J1307)=0),"금액이 없습니다",IF(AND($I1307&gt;0,$J1307&gt;0),"수입·지출 둘 다 적혔습니다",IF($C1307="","결제수단을 고르십시오",IF(ISNA(MATCH($C1307,'교육원 ③ 통장·카드'!$A$5:$A$11,0)),"③ 통장·카드에 없는 결제수단입니다",IF($D1307="","계정과목을 고르십시오",IF($E1307="※없는 과목","④ 설정에 없는 과목입니다",IF(AND($E1307="수입",$J1307&gt;0),"수입 과목인데 지출에 적혔습니다",IF(AND(LEFT($E1307,2)&lt;&gt;"수입",$E1307&lt;&gt;"대체",$I1307&gt;0),"지출 과목인데 수입에 적혔습니다",IF($K1307="","증빙을 고르십시오",IF($H1307="","적요를 적으십시오","")))))))))))</f>
        <v/>
      </c>
      <c r="M1307" s="39"/>
      <c r="O1307" s="11" t="str">
        <f aca="false">IF($B1307="","",YEAR($B1307)*100+MONTH($B1307))</f>
        <v/>
      </c>
      <c r="P1307" s="11" t="str">
        <f aca="false">IF($B1307="","",IF($E1307="대체",0,1))</f>
        <v/>
      </c>
    </row>
    <row r="1308" customFormat="false" ht="15" hidden="false" customHeight="false" outlineLevel="0" collapsed="false">
      <c r="A1308" s="36" t="str">
        <f aca="false">IF($B1308="","",COUNT($B$15:$B1308))</f>
        <v/>
      </c>
      <c r="B1308" s="37"/>
      <c r="C1308" s="38"/>
      <c r="D1308" s="20"/>
      <c r="E1308" s="36" t="str">
        <f aca="false">IF($D1308="","",IFERROR(INDEX('교육원 ④ 설정'!$A$6:$A$40,MATCH($D1308,'교육원 ④ 설정'!$B$6:$B$40,0)),"※없는 과목"))</f>
        <v/>
      </c>
      <c r="F1308" s="36" t="str">
        <f aca="false">IF($D1308="","",IFERROR(INDEX('교육원 ④ 설정'!$C$6:$C$40,MATCH($D1308,'교육원 ④ 설정'!$B$6:$B$40,0)),""))</f>
        <v/>
      </c>
      <c r="G1308" s="39"/>
      <c r="H1308" s="39"/>
      <c r="I1308" s="40"/>
      <c r="J1308" s="41"/>
      <c r="K1308" s="38"/>
      <c r="L1308" s="42" t="str">
        <f aca="false">IF($B1308="","",IF(AND(N($I1308)=0,N($J1308)=0),"금액이 없습니다",IF(AND($I1308&gt;0,$J1308&gt;0),"수입·지출 둘 다 적혔습니다",IF($C1308="","결제수단을 고르십시오",IF(ISNA(MATCH($C1308,'교육원 ③ 통장·카드'!$A$5:$A$11,0)),"③ 통장·카드에 없는 결제수단입니다",IF($D1308="","계정과목을 고르십시오",IF($E1308="※없는 과목","④ 설정에 없는 과목입니다",IF(AND($E1308="수입",$J1308&gt;0),"수입 과목인데 지출에 적혔습니다",IF(AND(LEFT($E1308,2)&lt;&gt;"수입",$E1308&lt;&gt;"대체",$I1308&gt;0),"지출 과목인데 수입에 적혔습니다",IF($K1308="","증빙을 고르십시오",IF($H1308="","적요를 적으십시오","")))))))))))</f>
        <v/>
      </c>
      <c r="M1308" s="39"/>
      <c r="O1308" s="11" t="str">
        <f aca="false">IF($B1308="","",YEAR($B1308)*100+MONTH($B1308))</f>
        <v/>
      </c>
      <c r="P1308" s="11" t="str">
        <f aca="false">IF($B1308="","",IF($E1308="대체",0,1))</f>
        <v/>
      </c>
    </row>
    <row r="1309" customFormat="false" ht="15" hidden="false" customHeight="false" outlineLevel="0" collapsed="false">
      <c r="A1309" s="36" t="str">
        <f aca="false">IF($B1309="","",COUNT($B$15:$B1309))</f>
        <v/>
      </c>
      <c r="B1309" s="37"/>
      <c r="C1309" s="38"/>
      <c r="D1309" s="20"/>
      <c r="E1309" s="36" t="str">
        <f aca="false">IF($D1309="","",IFERROR(INDEX('교육원 ④ 설정'!$A$6:$A$40,MATCH($D1309,'교육원 ④ 설정'!$B$6:$B$40,0)),"※없는 과목"))</f>
        <v/>
      </c>
      <c r="F1309" s="36" t="str">
        <f aca="false">IF($D1309="","",IFERROR(INDEX('교육원 ④ 설정'!$C$6:$C$40,MATCH($D1309,'교육원 ④ 설정'!$B$6:$B$40,0)),""))</f>
        <v/>
      </c>
      <c r="G1309" s="39"/>
      <c r="H1309" s="39"/>
      <c r="I1309" s="40"/>
      <c r="J1309" s="41"/>
      <c r="K1309" s="38"/>
      <c r="L1309" s="42" t="str">
        <f aca="false">IF($B1309="","",IF(AND(N($I1309)=0,N($J1309)=0),"금액이 없습니다",IF(AND($I1309&gt;0,$J1309&gt;0),"수입·지출 둘 다 적혔습니다",IF($C1309="","결제수단을 고르십시오",IF(ISNA(MATCH($C1309,'교육원 ③ 통장·카드'!$A$5:$A$11,0)),"③ 통장·카드에 없는 결제수단입니다",IF($D1309="","계정과목을 고르십시오",IF($E1309="※없는 과목","④ 설정에 없는 과목입니다",IF(AND($E1309="수입",$J1309&gt;0),"수입 과목인데 지출에 적혔습니다",IF(AND(LEFT($E1309,2)&lt;&gt;"수입",$E1309&lt;&gt;"대체",$I1309&gt;0),"지출 과목인데 수입에 적혔습니다",IF($K1309="","증빙을 고르십시오",IF($H1309="","적요를 적으십시오","")))))))))))</f>
        <v/>
      </c>
      <c r="M1309" s="39"/>
      <c r="O1309" s="11" t="str">
        <f aca="false">IF($B1309="","",YEAR($B1309)*100+MONTH($B1309))</f>
        <v/>
      </c>
      <c r="P1309" s="11" t="str">
        <f aca="false">IF($B1309="","",IF($E1309="대체",0,1))</f>
        <v/>
      </c>
    </row>
    <row r="1310" customFormat="false" ht="15" hidden="false" customHeight="false" outlineLevel="0" collapsed="false">
      <c r="A1310" s="36" t="str">
        <f aca="false">IF($B1310="","",COUNT($B$15:$B1310))</f>
        <v/>
      </c>
      <c r="B1310" s="37"/>
      <c r="C1310" s="38"/>
      <c r="D1310" s="20"/>
      <c r="E1310" s="36" t="str">
        <f aca="false">IF($D1310="","",IFERROR(INDEX('교육원 ④ 설정'!$A$6:$A$40,MATCH($D1310,'교육원 ④ 설정'!$B$6:$B$40,0)),"※없는 과목"))</f>
        <v/>
      </c>
      <c r="F1310" s="36" t="str">
        <f aca="false">IF($D1310="","",IFERROR(INDEX('교육원 ④ 설정'!$C$6:$C$40,MATCH($D1310,'교육원 ④ 설정'!$B$6:$B$40,0)),""))</f>
        <v/>
      </c>
      <c r="G1310" s="39"/>
      <c r="H1310" s="39"/>
      <c r="I1310" s="40"/>
      <c r="J1310" s="41"/>
      <c r="K1310" s="38"/>
      <c r="L1310" s="42" t="str">
        <f aca="false">IF($B1310="","",IF(AND(N($I1310)=0,N($J1310)=0),"금액이 없습니다",IF(AND($I1310&gt;0,$J1310&gt;0),"수입·지출 둘 다 적혔습니다",IF($C1310="","결제수단을 고르십시오",IF(ISNA(MATCH($C1310,'교육원 ③ 통장·카드'!$A$5:$A$11,0)),"③ 통장·카드에 없는 결제수단입니다",IF($D1310="","계정과목을 고르십시오",IF($E1310="※없는 과목","④ 설정에 없는 과목입니다",IF(AND($E1310="수입",$J1310&gt;0),"수입 과목인데 지출에 적혔습니다",IF(AND(LEFT($E1310,2)&lt;&gt;"수입",$E1310&lt;&gt;"대체",$I1310&gt;0),"지출 과목인데 수입에 적혔습니다",IF($K1310="","증빙을 고르십시오",IF($H1310="","적요를 적으십시오","")))))))))))</f>
        <v/>
      </c>
      <c r="M1310" s="39"/>
      <c r="O1310" s="11" t="str">
        <f aca="false">IF($B1310="","",YEAR($B1310)*100+MONTH($B1310))</f>
        <v/>
      </c>
      <c r="P1310" s="11" t="str">
        <f aca="false">IF($B1310="","",IF($E1310="대체",0,1))</f>
        <v/>
      </c>
    </row>
    <row r="1311" customFormat="false" ht="15" hidden="false" customHeight="false" outlineLevel="0" collapsed="false">
      <c r="A1311" s="36" t="str">
        <f aca="false">IF($B1311="","",COUNT($B$15:$B1311))</f>
        <v/>
      </c>
      <c r="B1311" s="37"/>
      <c r="C1311" s="38"/>
      <c r="D1311" s="20"/>
      <c r="E1311" s="36" t="str">
        <f aca="false">IF($D1311="","",IFERROR(INDEX('교육원 ④ 설정'!$A$6:$A$40,MATCH($D1311,'교육원 ④ 설정'!$B$6:$B$40,0)),"※없는 과목"))</f>
        <v/>
      </c>
      <c r="F1311" s="36" t="str">
        <f aca="false">IF($D1311="","",IFERROR(INDEX('교육원 ④ 설정'!$C$6:$C$40,MATCH($D1311,'교육원 ④ 설정'!$B$6:$B$40,0)),""))</f>
        <v/>
      </c>
      <c r="G1311" s="39"/>
      <c r="H1311" s="39"/>
      <c r="I1311" s="40"/>
      <c r="J1311" s="41"/>
      <c r="K1311" s="38"/>
      <c r="L1311" s="42" t="str">
        <f aca="false">IF($B1311="","",IF(AND(N($I1311)=0,N($J1311)=0),"금액이 없습니다",IF(AND($I1311&gt;0,$J1311&gt;0),"수입·지출 둘 다 적혔습니다",IF($C1311="","결제수단을 고르십시오",IF(ISNA(MATCH($C1311,'교육원 ③ 통장·카드'!$A$5:$A$11,0)),"③ 통장·카드에 없는 결제수단입니다",IF($D1311="","계정과목을 고르십시오",IF($E1311="※없는 과목","④ 설정에 없는 과목입니다",IF(AND($E1311="수입",$J1311&gt;0),"수입 과목인데 지출에 적혔습니다",IF(AND(LEFT($E1311,2)&lt;&gt;"수입",$E1311&lt;&gt;"대체",$I1311&gt;0),"지출 과목인데 수입에 적혔습니다",IF($K1311="","증빙을 고르십시오",IF($H1311="","적요를 적으십시오","")))))))))))</f>
        <v/>
      </c>
      <c r="M1311" s="39"/>
      <c r="O1311" s="11" t="str">
        <f aca="false">IF($B1311="","",YEAR($B1311)*100+MONTH($B1311))</f>
        <v/>
      </c>
      <c r="P1311" s="11" t="str">
        <f aca="false">IF($B1311="","",IF($E1311="대체",0,1))</f>
        <v/>
      </c>
    </row>
    <row r="1312" customFormat="false" ht="15" hidden="false" customHeight="false" outlineLevel="0" collapsed="false">
      <c r="A1312" s="36" t="str">
        <f aca="false">IF($B1312="","",COUNT($B$15:$B1312))</f>
        <v/>
      </c>
      <c r="B1312" s="37"/>
      <c r="C1312" s="38"/>
      <c r="D1312" s="20"/>
      <c r="E1312" s="36" t="str">
        <f aca="false">IF($D1312="","",IFERROR(INDEX('교육원 ④ 설정'!$A$6:$A$40,MATCH($D1312,'교육원 ④ 설정'!$B$6:$B$40,0)),"※없는 과목"))</f>
        <v/>
      </c>
      <c r="F1312" s="36" t="str">
        <f aca="false">IF($D1312="","",IFERROR(INDEX('교육원 ④ 설정'!$C$6:$C$40,MATCH($D1312,'교육원 ④ 설정'!$B$6:$B$40,0)),""))</f>
        <v/>
      </c>
      <c r="G1312" s="39"/>
      <c r="H1312" s="39"/>
      <c r="I1312" s="40"/>
      <c r="J1312" s="41"/>
      <c r="K1312" s="38"/>
      <c r="L1312" s="42" t="str">
        <f aca="false">IF($B1312="","",IF(AND(N($I1312)=0,N($J1312)=0),"금액이 없습니다",IF(AND($I1312&gt;0,$J1312&gt;0),"수입·지출 둘 다 적혔습니다",IF($C1312="","결제수단을 고르십시오",IF(ISNA(MATCH($C1312,'교육원 ③ 통장·카드'!$A$5:$A$11,0)),"③ 통장·카드에 없는 결제수단입니다",IF($D1312="","계정과목을 고르십시오",IF($E1312="※없는 과목","④ 설정에 없는 과목입니다",IF(AND($E1312="수입",$J1312&gt;0),"수입 과목인데 지출에 적혔습니다",IF(AND(LEFT($E1312,2)&lt;&gt;"수입",$E1312&lt;&gt;"대체",$I1312&gt;0),"지출 과목인데 수입에 적혔습니다",IF($K1312="","증빙을 고르십시오",IF($H1312="","적요를 적으십시오","")))))))))))</f>
        <v/>
      </c>
      <c r="M1312" s="39"/>
      <c r="O1312" s="11" t="str">
        <f aca="false">IF($B1312="","",YEAR($B1312)*100+MONTH($B1312))</f>
        <v/>
      </c>
      <c r="P1312" s="11" t="str">
        <f aca="false">IF($B1312="","",IF($E1312="대체",0,1))</f>
        <v/>
      </c>
    </row>
    <row r="1313" customFormat="false" ht="15" hidden="false" customHeight="false" outlineLevel="0" collapsed="false">
      <c r="A1313" s="36" t="str">
        <f aca="false">IF($B1313="","",COUNT($B$15:$B1313))</f>
        <v/>
      </c>
      <c r="B1313" s="37"/>
      <c r="C1313" s="38"/>
      <c r="D1313" s="20"/>
      <c r="E1313" s="36" t="str">
        <f aca="false">IF($D1313="","",IFERROR(INDEX('교육원 ④ 설정'!$A$6:$A$40,MATCH($D1313,'교육원 ④ 설정'!$B$6:$B$40,0)),"※없는 과목"))</f>
        <v/>
      </c>
      <c r="F1313" s="36" t="str">
        <f aca="false">IF($D1313="","",IFERROR(INDEX('교육원 ④ 설정'!$C$6:$C$40,MATCH($D1313,'교육원 ④ 설정'!$B$6:$B$40,0)),""))</f>
        <v/>
      </c>
      <c r="G1313" s="39"/>
      <c r="H1313" s="39"/>
      <c r="I1313" s="40"/>
      <c r="J1313" s="41"/>
      <c r="K1313" s="38"/>
      <c r="L1313" s="42" t="str">
        <f aca="false">IF($B1313="","",IF(AND(N($I1313)=0,N($J1313)=0),"금액이 없습니다",IF(AND($I1313&gt;0,$J1313&gt;0),"수입·지출 둘 다 적혔습니다",IF($C1313="","결제수단을 고르십시오",IF(ISNA(MATCH($C1313,'교육원 ③ 통장·카드'!$A$5:$A$11,0)),"③ 통장·카드에 없는 결제수단입니다",IF($D1313="","계정과목을 고르십시오",IF($E1313="※없는 과목","④ 설정에 없는 과목입니다",IF(AND($E1313="수입",$J1313&gt;0),"수입 과목인데 지출에 적혔습니다",IF(AND(LEFT($E1313,2)&lt;&gt;"수입",$E1313&lt;&gt;"대체",$I1313&gt;0),"지출 과목인데 수입에 적혔습니다",IF($K1313="","증빙을 고르십시오",IF($H1313="","적요를 적으십시오","")))))))))))</f>
        <v/>
      </c>
      <c r="M1313" s="39"/>
      <c r="O1313" s="11" t="str">
        <f aca="false">IF($B1313="","",YEAR($B1313)*100+MONTH($B1313))</f>
        <v/>
      </c>
      <c r="P1313" s="11" t="str">
        <f aca="false">IF($B1313="","",IF($E1313="대체",0,1))</f>
        <v/>
      </c>
    </row>
    <row r="1314" customFormat="false" ht="15" hidden="false" customHeight="false" outlineLevel="0" collapsed="false">
      <c r="A1314" s="36" t="str">
        <f aca="false">IF($B1314="","",COUNT($B$15:$B1314))</f>
        <v/>
      </c>
      <c r="B1314" s="37"/>
      <c r="C1314" s="38"/>
      <c r="D1314" s="20"/>
      <c r="E1314" s="36" t="str">
        <f aca="false">IF($D1314="","",IFERROR(INDEX('교육원 ④ 설정'!$A$6:$A$40,MATCH($D1314,'교육원 ④ 설정'!$B$6:$B$40,0)),"※없는 과목"))</f>
        <v/>
      </c>
      <c r="F1314" s="36" t="str">
        <f aca="false">IF($D1314="","",IFERROR(INDEX('교육원 ④ 설정'!$C$6:$C$40,MATCH($D1314,'교육원 ④ 설정'!$B$6:$B$40,0)),""))</f>
        <v/>
      </c>
      <c r="G1314" s="39"/>
      <c r="H1314" s="39"/>
      <c r="I1314" s="40"/>
      <c r="J1314" s="41"/>
      <c r="K1314" s="38"/>
      <c r="L1314" s="42" t="str">
        <f aca="false">IF($B1314="","",IF(AND(N($I1314)=0,N($J1314)=0),"금액이 없습니다",IF(AND($I1314&gt;0,$J1314&gt;0),"수입·지출 둘 다 적혔습니다",IF($C1314="","결제수단을 고르십시오",IF(ISNA(MATCH($C1314,'교육원 ③ 통장·카드'!$A$5:$A$11,0)),"③ 통장·카드에 없는 결제수단입니다",IF($D1314="","계정과목을 고르십시오",IF($E1314="※없는 과목","④ 설정에 없는 과목입니다",IF(AND($E1314="수입",$J1314&gt;0),"수입 과목인데 지출에 적혔습니다",IF(AND(LEFT($E1314,2)&lt;&gt;"수입",$E1314&lt;&gt;"대체",$I1314&gt;0),"지출 과목인데 수입에 적혔습니다",IF($K1314="","증빙을 고르십시오",IF($H1314="","적요를 적으십시오","")))))))))))</f>
        <v/>
      </c>
      <c r="M1314" s="39"/>
      <c r="O1314" s="11" t="str">
        <f aca="false">IF($B1314="","",YEAR($B1314)*100+MONTH($B1314))</f>
        <v/>
      </c>
      <c r="P1314" s="11" t="str">
        <f aca="false">IF($B1314="","",IF($E1314="대체",0,1))</f>
        <v/>
      </c>
    </row>
    <row r="1315" customFormat="false" ht="15" hidden="false" customHeight="false" outlineLevel="0" collapsed="false">
      <c r="A1315" s="36" t="str">
        <f aca="false">IF($B1315="","",COUNT($B$15:$B1315))</f>
        <v/>
      </c>
      <c r="B1315" s="37"/>
      <c r="C1315" s="38"/>
      <c r="D1315" s="20"/>
      <c r="E1315" s="36" t="str">
        <f aca="false">IF($D1315="","",IFERROR(INDEX('교육원 ④ 설정'!$A$6:$A$40,MATCH($D1315,'교육원 ④ 설정'!$B$6:$B$40,0)),"※없는 과목"))</f>
        <v/>
      </c>
      <c r="F1315" s="36" t="str">
        <f aca="false">IF($D1315="","",IFERROR(INDEX('교육원 ④ 설정'!$C$6:$C$40,MATCH($D1315,'교육원 ④ 설정'!$B$6:$B$40,0)),""))</f>
        <v/>
      </c>
      <c r="G1315" s="39"/>
      <c r="H1315" s="39"/>
      <c r="I1315" s="40"/>
      <c r="J1315" s="41"/>
      <c r="K1315" s="38"/>
      <c r="L1315" s="42" t="str">
        <f aca="false">IF($B1315="","",IF(AND(N($I1315)=0,N($J1315)=0),"금액이 없습니다",IF(AND($I1315&gt;0,$J1315&gt;0),"수입·지출 둘 다 적혔습니다",IF($C1315="","결제수단을 고르십시오",IF(ISNA(MATCH($C1315,'교육원 ③ 통장·카드'!$A$5:$A$11,0)),"③ 통장·카드에 없는 결제수단입니다",IF($D1315="","계정과목을 고르십시오",IF($E1315="※없는 과목","④ 설정에 없는 과목입니다",IF(AND($E1315="수입",$J1315&gt;0),"수입 과목인데 지출에 적혔습니다",IF(AND(LEFT($E1315,2)&lt;&gt;"수입",$E1315&lt;&gt;"대체",$I1315&gt;0),"지출 과목인데 수입에 적혔습니다",IF($K1315="","증빙을 고르십시오",IF($H1315="","적요를 적으십시오","")))))))))))</f>
        <v/>
      </c>
      <c r="M1315" s="39"/>
      <c r="O1315" s="11" t="str">
        <f aca="false">IF($B1315="","",YEAR($B1315)*100+MONTH($B1315))</f>
        <v/>
      </c>
      <c r="P1315" s="11" t="str">
        <f aca="false">IF($B1315="","",IF($E1315="대체",0,1))</f>
        <v/>
      </c>
    </row>
    <row r="1316" customFormat="false" ht="15" hidden="false" customHeight="false" outlineLevel="0" collapsed="false">
      <c r="A1316" s="36" t="str">
        <f aca="false">IF($B1316="","",COUNT($B$15:$B1316))</f>
        <v/>
      </c>
      <c r="B1316" s="37"/>
      <c r="C1316" s="38"/>
      <c r="D1316" s="20"/>
      <c r="E1316" s="36" t="str">
        <f aca="false">IF($D1316="","",IFERROR(INDEX('교육원 ④ 설정'!$A$6:$A$40,MATCH($D1316,'교육원 ④ 설정'!$B$6:$B$40,0)),"※없는 과목"))</f>
        <v/>
      </c>
      <c r="F1316" s="36" t="str">
        <f aca="false">IF($D1316="","",IFERROR(INDEX('교육원 ④ 설정'!$C$6:$C$40,MATCH($D1316,'교육원 ④ 설정'!$B$6:$B$40,0)),""))</f>
        <v/>
      </c>
      <c r="G1316" s="39"/>
      <c r="H1316" s="39"/>
      <c r="I1316" s="40"/>
      <c r="J1316" s="41"/>
      <c r="K1316" s="38"/>
      <c r="L1316" s="42" t="str">
        <f aca="false">IF($B1316="","",IF(AND(N($I1316)=0,N($J1316)=0),"금액이 없습니다",IF(AND($I1316&gt;0,$J1316&gt;0),"수입·지출 둘 다 적혔습니다",IF($C1316="","결제수단을 고르십시오",IF(ISNA(MATCH($C1316,'교육원 ③ 통장·카드'!$A$5:$A$11,0)),"③ 통장·카드에 없는 결제수단입니다",IF($D1316="","계정과목을 고르십시오",IF($E1316="※없는 과목","④ 설정에 없는 과목입니다",IF(AND($E1316="수입",$J1316&gt;0),"수입 과목인데 지출에 적혔습니다",IF(AND(LEFT($E1316,2)&lt;&gt;"수입",$E1316&lt;&gt;"대체",$I1316&gt;0),"지출 과목인데 수입에 적혔습니다",IF($K1316="","증빙을 고르십시오",IF($H1316="","적요를 적으십시오","")))))))))))</f>
        <v/>
      </c>
      <c r="M1316" s="39"/>
      <c r="O1316" s="11" t="str">
        <f aca="false">IF($B1316="","",YEAR($B1316)*100+MONTH($B1316))</f>
        <v/>
      </c>
      <c r="P1316" s="11" t="str">
        <f aca="false">IF($B1316="","",IF($E1316="대체",0,1))</f>
        <v/>
      </c>
    </row>
    <row r="1317" customFormat="false" ht="15" hidden="false" customHeight="false" outlineLevel="0" collapsed="false">
      <c r="A1317" s="36" t="str">
        <f aca="false">IF($B1317="","",COUNT($B$15:$B1317))</f>
        <v/>
      </c>
      <c r="B1317" s="37"/>
      <c r="C1317" s="38"/>
      <c r="D1317" s="20"/>
      <c r="E1317" s="36" t="str">
        <f aca="false">IF($D1317="","",IFERROR(INDEX('교육원 ④ 설정'!$A$6:$A$40,MATCH($D1317,'교육원 ④ 설정'!$B$6:$B$40,0)),"※없는 과목"))</f>
        <v/>
      </c>
      <c r="F1317" s="36" t="str">
        <f aca="false">IF($D1317="","",IFERROR(INDEX('교육원 ④ 설정'!$C$6:$C$40,MATCH($D1317,'교육원 ④ 설정'!$B$6:$B$40,0)),""))</f>
        <v/>
      </c>
      <c r="G1317" s="39"/>
      <c r="H1317" s="39"/>
      <c r="I1317" s="40"/>
      <c r="J1317" s="41"/>
      <c r="K1317" s="38"/>
      <c r="L1317" s="42" t="str">
        <f aca="false">IF($B1317="","",IF(AND(N($I1317)=0,N($J1317)=0),"금액이 없습니다",IF(AND($I1317&gt;0,$J1317&gt;0),"수입·지출 둘 다 적혔습니다",IF($C1317="","결제수단을 고르십시오",IF(ISNA(MATCH($C1317,'교육원 ③ 통장·카드'!$A$5:$A$11,0)),"③ 통장·카드에 없는 결제수단입니다",IF($D1317="","계정과목을 고르십시오",IF($E1317="※없는 과목","④ 설정에 없는 과목입니다",IF(AND($E1317="수입",$J1317&gt;0),"수입 과목인데 지출에 적혔습니다",IF(AND(LEFT($E1317,2)&lt;&gt;"수입",$E1317&lt;&gt;"대체",$I1317&gt;0),"지출 과목인데 수입에 적혔습니다",IF($K1317="","증빙을 고르십시오",IF($H1317="","적요를 적으십시오","")))))))))))</f>
        <v/>
      </c>
      <c r="M1317" s="39"/>
      <c r="O1317" s="11" t="str">
        <f aca="false">IF($B1317="","",YEAR($B1317)*100+MONTH($B1317))</f>
        <v/>
      </c>
      <c r="P1317" s="11" t="str">
        <f aca="false">IF($B1317="","",IF($E1317="대체",0,1))</f>
        <v/>
      </c>
    </row>
    <row r="1318" customFormat="false" ht="15" hidden="false" customHeight="false" outlineLevel="0" collapsed="false">
      <c r="A1318" s="36" t="str">
        <f aca="false">IF($B1318="","",COUNT($B$15:$B1318))</f>
        <v/>
      </c>
      <c r="B1318" s="37"/>
      <c r="C1318" s="38"/>
      <c r="D1318" s="20"/>
      <c r="E1318" s="36" t="str">
        <f aca="false">IF($D1318="","",IFERROR(INDEX('교육원 ④ 설정'!$A$6:$A$40,MATCH($D1318,'교육원 ④ 설정'!$B$6:$B$40,0)),"※없는 과목"))</f>
        <v/>
      </c>
      <c r="F1318" s="36" t="str">
        <f aca="false">IF($D1318="","",IFERROR(INDEX('교육원 ④ 설정'!$C$6:$C$40,MATCH($D1318,'교육원 ④ 설정'!$B$6:$B$40,0)),""))</f>
        <v/>
      </c>
      <c r="G1318" s="39"/>
      <c r="H1318" s="39"/>
      <c r="I1318" s="40"/>
      <c r="J1318" s="41"/>
      <c r="K1318" s="38"/>
      <c r="L1318" s="42" t="str">
        <f aca="false">IF($B1318="","",IF(AND(N($I1318)=0,N($J1318)=0),"금액이 없습니다",IF(AND($I1318&gt;0,$J1318&gt;0),"수입·지출 둘 다 적혔습니다",IF($C1318="","결제수단을 고르십시오",IF(ISNA(MATCH($C1318,'교육원 ③ 통장·카드'!$A$5:$A$11,0)),"③ 통장·카드에 없는 결제수단입니다",IF($D1318="","계정과목을 고르십시오",IF($E1318="※없는 과목","④ 설정에 없는 과목입니다",IF(AND($E1318="수입",$J1318&gt;0),"수입 과목인데 지출에 적혔습니다",IF(AND(LEFT($E1318,2)&lt;&gt;"수입",$E1318&lt;&gt;"대체",$I1318&gt;0),"지출 과목인데 수입에 적혔습니다",IF($K1318="","증빙을 고르십시오",IF($H1318="","적요를 적으십시오","")))))))))))</f>
        <v/>
      </c>
      <c r="M1318" s="39"/>
      <c r="O1318" s="11" t="str">
        <f aca="false">IF($B1318="","",YEAR($B1318)*100+MONTH($B1318))</f>
        <v/>
      </c>
      <c r="P1318" s="11" t="str">
        <f aca="false">IF($B1318="","",IF($E1318="대체",0,1))</f>
        <v/>
      </c>
    </row>
    <row r="1319" customFormat="false" ht="15" hidden="false" customHeight="false" outlineLevel="0" collapsed="false">
      <c r="A1319" s="36" t="str">
        <f aca="false">IF($B1319="","",COUNT($B$15:$B1319))</f>
        <v/>
      </c>
      <c r="B1319" s="37"/>
      <c r="C1319" s="38"/>
      <c r="D1319" s="20"/>
      <c r="E1319" s="36" t="str">
        <f aca="false">IF($D1319="","",IFERROR(INDEX('교육원 ④ 설정'!$A$6:$A$40,MATCH($D1319,'교육원 ④ 설정'!$B$6:$B$40,0)),"※없는 과목"))</f>
        <v/>
      </c>
      <c r="F1319" s="36" t="str">
        <f aca="false">IF($D1319="","",IFERROR(INDEX('교육원 ④ 설정'!$C$6:$C$40,MATCH($D1319,'교육원 ④ 설정'!$B$6:$B$40,0)),""))</f>
        <v/>
      </c>
      <c r="G1319" s="39"/>
      <c r="H1319" s="39"/>
      <c r="I1319" s="40"/>
      <c r="J1319" s="41"/>
      <c r="K1319" s="38"/>
      <c r="L1319" s="42" t="str">
        <f aca="false">IF($B1319="","",IF(AND(N($I1319)=0,N($J1319)=0),"금액이 없습니다",IF(AND($I1319&gt;0,$J1319&gt;0),"수입·지출 둘 다 적혔습니다",IF($C1319="","결제수단을 고르십시오",IF(ISNA(MATCH($C1319,'교육원 ③ 통장·카드'!$A$5:$A$11,0)),"③ 통장·카드에 없는 결제수단입니다",IF($D1319="","계정과목을 고르십시오",IF($E1319="※없는 과목","④ 설정에 없는 과목입니다",IF(AND($E1319="수입",$J1319&gt;0),"수입 과목인데 지출에 적혔습니다",IF(AND(LEFT($E1319,2)&lt;&gt;"수입",$E1319&lt;&gt;"대체",$I1319&gt;0),"지출 과목인데 수입에 적혔습니다",IF($K1319="","증빙을 고르십시오",IF($H1319="","적요를 적으십시오","")))))))))))</f>
        <v/>
      </c>
      <c r="M1319" s="39"/>
      <c r="O1319" s="11" t="str">
        <f aca="false">IF($B1319="","",YEAR($B1319)*100+MONTH($B1319))</f>
        <v/>
      </c>
      <c r="P1319" s="11" t="str">
        <f aca="false">IF($B1319="","",IF($E1319="대체",0,1))</f>
        <v/>
      </c>
    </row>
    <row r="1320" customFormat="false" ht="15" hidden="false" customHeight="false" outlineLevel="0" collapsed="false">
      <c r="A1320" s="36" t="str">
        <f aca="false">IF($B1320="","",COUNT($B$15:$B1320))</f>
        <v/>
      </c>
      <c r="B1320" s="37"/>
      <c r="C1320" s="38"/>
      <c r="D1320" s="20"/>
      <c r="E1320" s="36" t="str">
        <f aca="false">IF($D1320="","",IFERROR(INDEX('교육원 ④ 설정'!$A$6:$A$40,MATCH($D1320,'교육원 ④ 설정'!$B$6:$B$40,0)),"※없는 과목"))</f>
        <v/>
      </c>
      <c r="F1320" s="36" t="str">
        <f aca="false">IF($D1320="","",IFERROR(INDEX('교육원 ④ 설정'!$C$6:$C$40,MATCH($D1320,'교육원 ④ 설정'!$B$6:$B$40,0)),""))</f>
        <v/>
      </c>
      <c r="G1320" s="39"/>
      <c r="H1320" s="39"/>
      <c r="I1320" s="40"/>
      <c r="J1320" s="41"/>
      <c r="K1320" s="38"/>
      <c r="L1320" s="42" t="str">
        <f aca="false">IF($B1320="","",IF(AND(N($I1320)=0,N($J1320)=0),"금액이 없습니다",IF(AND($I1320&gt;0,$J1320&gt;0),"수입·지출 둘 다 적혔습니다",IF($C1320="","결제수단을 고르십시오",IF(ISNA(MATCH($C1320,'교육원 ③ 통장·카드'!$A$5:$A$11,0)),"③ 통장·카드에 없는 결제수단입니다",IF($D1320="","계정과목을 고르십시오",IF($E1320="※없는 과목","④ 설정에 없는 과목입니다",IF(AND($E1320="수입",$J1320&gt;0),"수입 과목인데 지출에 적혔습니다",IF(AND(LEFT($E1320,2)&lt;&gt;"수입",$E1320&lt;&gt;"대체",$I1320&gt;0),"지출 과목인데 수입에 적혔습니다",IF($K1320="","증빙을 고르십시오",IF($H1320="","적요를 적으십시오","")))))))))))</f>
        <v/>
      </c>
      <c r="M1320" s="39"/>
      <c r="O1320" s="11" t="str">
        <f aca="false">IF($B1320="","",YEAR($B1320)*100+MONTH($B1320))</f>
        <v/>
      </c>
      <c r="P1320" s="11" t="str">
        <f aca="false">IF($B1320="","",IF($E1320="대체",0,1))</f>
        <v/>
      </c>
    </row>
    <row r="1321" customFormat="false" ht="15" hidden="false" customHeight="false" outlineLevel="0" collapsed="false">
      <c r="A1321" s="36" t="str">
        <f aca="false">IF($B1321="","",COUNT($B$15:$B1321))</f>
        <v/>
      </c>
      <c r="B1321" s="37"/>
      <c r="C1321" s="38"/>
      <c r="D1321" s="20"/>
      <c r="E1321" s="36" t="str">
        <f aca="false">IF($D1321="","",IFERROR(INDEX('교육원 ④ 설정'!$A$6:$A$40,MATCH($D1321,'교육원 ④ 설정'!$B$6:$B$40,0)),"※없는 과목"))</f>
        <v/>
      </c>
      <c r="F1321" s="36" t="str">
        <f aca="false">IF($D1321="","",IFERROR(INDEX('교육원 ④ 설정'!$C$6:$C$40,MATCH($D1321,'교육원 ④ 설정'!$B$6:$B$40,0)),""))</f>
        <v/>
      </c>
      <c r="G1321" s="39"/>
      <c r="H1321" s="39"/>
      <c r="I1321" s="40"/>
      <c r="J1321" s="41"/>
      <c r="K1321" s="38"/>
      <c r="L1321" s="42" t="str">
        <f aca="false">IF($B1321="","",IF(AND(N($I1321)=0,N($J1321)=0),"금액이 없습니다",IF(AND($I1321&gt;0,$J1321&gt;0),"수입·지출 둘 다 적혔습니다",IF($C1321="","결제수단을 고르십시오",IF(ISNA(MATCH($C1321,'교육원 ③ 통장·카드'!$A$5:$A$11,0)),"③ 통장·카드에 없는 결제수단입니다",IF($D1321="","계정과목을 고르십시오",IF($E1321="※없는 과목","④ 설정에 없는 과목입니다",IF(AND($E1321="수입",$J1321&gt;0),"수입 과목인데 지출에 적혔습니다",IF(AND(LEFT($E1321,2)&lt;&gt;"수입",$E1321&lt;&gt;"대체",$I1321&gt;0),"지출 과목인데 수입에 적혔습니다",IF($K1321="","증빙을 고르십시오",IF($H1321="","적요를 적으십시오","")))))))))))</f>
        <v/>
      </c>
      <c r="M1321" s="39"/>
      <c r="O1321" s="11" t="str">
        <f aca="false">IF($B1321="","",YEAR($B1321)*100+MONTH($B1321))</f>
        <v/>
      </c>
      <c r="P1321" s="11" t="str">
        <f aca="false">IF($B1321="","",IF($E1321="대체",0,1))</f>
        <v/>
      </c>
    </row>
    <row r="1322" customFormat="false" ht="15" hidden="false" customHeight="false" outlineLevel="0" collapsed="false">
      <c r="A1322" s="36" t="str">
        <f aca="false">IF($B1322="","",COUNT($B$15:$B1322))</f>
        <v/>
      </c>
      <c r="B1322" s="37"/>
      <c r="C1322" s="38"/>
      <c r="D1322" s="20"/>
      <c r="E1322" s="36" t="str">
        <f aca="false">IF($D1322="","",IFERROR(INDEX('교육원 ④ 설정'!$A$6:$A$40,MATCH($D1322,'교육원 ④ 설정'!$B$6:$B$40,0)),"※없는 과목"))</f>
        <v/>
      </c>
      <c r="F1322" s="36" t="str">
        <f aca="false">IF($D1322="","",IFERROR(INDEX('교육원 ④ 설정'!$C$6:$C$40,MATCH($D1322,'교육원 ④ 설정'!$B$6:$B$40,0)),""))</f>
        <v/>
      </c>
      <c r="G1322" s="39"/>
      <c r="H1322" s="39"/>
      <c r="I1322" s="40"/>
      <c r="J1322" s="41"/>
      <c r="K1322" s="38"/>
      <c r="L1322" s="42" t="str">
        <f aca="false">IF($B1322="","",IF(AND(N($I1322)=0,N($J1322)=0),"금액이 없습니다",IF(AND($I1322&gt;0,$J1322&gt;0),"수입·지출 둘 다 적혔습니다",IF($C1322="","결제수단을 고르십시오",IF(ISNA(MATCH($C1322,'교육원 ③ 통장·카드'!$A$5:$A$11,0)),"③ 통장·카드에 없는 결제수단입니다",IF($D1322="","계정과목을 고르십시오",IF($E1322="※없는 과목","④ 설정에 없는 과목입니다",IF(AND($E1322="수입",$J1322&gt;0),"수입 과목인데 지출에 적혔습니다",IF(AND(LEFT($E1322,2)&lt;&gt;"수입",$E1322&lt;&gt;"대체",$I1322&gt;0),"지출 과목인데 수입에 적혔습니다",IF($K1322="","증빙을 고르십시오",IF($H1322="","적요를 적으십시오","")))))))))))</f>
        <v/>
      </c>
      <c r="M1322" s="39"/>
      <c r="O1322" s="11" t="str">
        <f aca="false">IF($B1322="","",YEAR($B1322)*100+MONTH($B1322))</f>
        <v/>
      </c>
      <c r="P1322" s="11" t="str">
        <f aca="false">IF($B1322="","",IF($E1322="대체",0,1))</f>
        <v/>
      </c>
    </row>
    <row r="1323" customFormat="false" ht="15" hidden="false" customHeight="false" outlineLevel="0" collapsed="false">
      <c r="A1323" s="36" t="str">
        <f aca="false">IF($B1323="","",COUNT($B$15:$B1323))</f>
        <v/>
      </c>
      <c r="B1323" s="37"/>
      <c r="C1323" s="38"/>
      <c r="D1323" s="20"/>
      <c r="E1323" s="36" t="str">
        <f aca="false">IF($D1323="","",IFERROR(INDEX('교육원 ④ 설정'!$A$6:$A$40,MATCH($D1323,'교육원 ④ 설정'!$B$6:$B$40,0)),"※없는 과목"))</f>
        <v/>
      </c>
      <c r="F1323" s="36" t="str">
        <f aca="false">IF($D1323="","",IFERROR(INDEX('교육원 ④ 설정'!$C$6:$C$40,MATCH($D1323,'교육원 ④ 설정'!$B$6:$B$40,0)),""))</f>
        <v/>
      </c>
      <c r="G1323" s="39"/>
      <c r="H1323" s="39"/>
      <c r="I1323" s="40"/>
      <c r="J1323" s="41"/>
      <c r="K1323" s="38"/>
      <c r="L1323" s="42" t="str">
        <f aca="false">IF($B1323="","",IF(AND(N($I1323)=0,N($J1323)=0),"금액이 없습니다",IF(AND($I1323&gt;0,$J1323&gt;0),"수입·지출 둘 다 적혔습니다",IF($C1323="","결제수단을 고르십시오",IF(ISNA(MATCH($C1323,'교육원 ③ 통장·카드'!$A$5:$A$11,0)),"③ 통장·카드에 없는 결제수단입니다",IF($D1323="","계정과목을 고르십시오",IF($E1323="※없는 과목","④ 설정에 없는 과목입니다",IF(AND($E1323="수입",$J1323&gt;0),"수입 과목인데 지출에 적혔습니다",IF(AND(LEFT($E1323,2)&lt;&gt;"수입",$E1323&lt;&gt;"대체",$I1323&gt;0),"지출 과목인데 수입에 적혔습니다",IF($K1323="","증빙을 고르십시오",IF($H1323="","적요를 적으십시오","")))))))))))</f>
        <v/>
      </c>
      <c r="M1323" s="39"/>
      <c r="O1323" s="11" t="str">
        <f aca="false">IF($B1323="","",YEAR($B1323)*100+MONTH($B1323))</f>
        <v/>
      </c>
      <c r="P1323" s="11" t="str">
        <f aca="false">IF($B1323="","",IF($E1323="대체",0,1))</f>
        <v/>
      </c>
    </row>
    <row r="1324" customFormat="false" ht="15" hidden="false" customHeight="false" outlineLevel="0" collapsed="false">
      <c r="A1324" s="36" t="str">
        <f aca="false">IF($B1324="","",COUNT($B$15:$B1324))</f>
        <v/>
      </c>
      <c r="B1324" s="37"/>
      <c r="C1324" s="38"/>
      <c r="D1324" s="20"/>
      <c r="E1324" s="36" t="str">
        <f aca="false">IF($D1324="","",IFERROR(INDEX('교육원 ④ 설정'!$A$6:$A$40,MATCH($D1324,'교육원 ④ 설정'!$B$6:$B$40,0)),"※없는 과목"))</f>
        <v/>
      </c>
      <c r="F1324" s="36" t="str">
        <f aca="false">IF($D1324="","",IFERROR(INDEX('교육원 ④ 설정'!$C$6:$C$40,MATCH($D1324,'교육원 ④ 설정'!$B$6:$B$40,0)),""))</f>
        <v/>
      </c>
      <c r="G1324" s="39"/>
      <c r="H1324" s="39"/>
      <c r="I1324" s="40"/>
      <c r="J1324" s="41"/>
      <c r="K1324" s="38"/>
      <c r="L1324" s="42" t="str">
        <f aca="false">IF($B1324="","",IF(AND(N($I1324)=0,N($J1324)=0),"금액이 없습니다",IF(AND($I1324&gt;0,$J1324&gt;0),"수입·지출 둘 다 적혔습니다",IF($C1324="","결제수단을 고르십시오",IF(ISNA(MATCH($C1324,'교육원 ③ 통장·카드'!$A$5:$A$11,0)),"③ 통장·카드에 없는 결제수단입니다",IF($D1324="","계정과목을 고르십시오",IF($E1324="※없는 과목","④ 설정에 없는 과목입니다",IF(AND($E1324="수입",$J1324&gt;0),"수입 과목인데 지출에 적혔습니다",IF(AND(LEFT($E1324,2)&lt;&gt;"수입",$E1324&lt;&gt;"대체",$I1324&gt;0),"지출 과목인데 수입에 적혔습니다",IF($K1324="","증빙을 고르십시오",IF($H1324="","적요를 적으십시오","")))))))))))</f>
        <v/>
      </c>
      <c r="M1324" s="39"/>
      <c r="O1324" s="11" t="str">
        <f aca="false">IF($B1324="","",YEAR($B1324)*100+MONTH($B1324))</f>
        <v/>
      </c>
      <c r="P1324" s="11" t="str">
        <f aca="false">IF($B1324="","",IF($E1324="대체",0,1))</f>
        <v/>
      </c>
    </row>
    <row r="1325" customFormat="false" ht="15" hidden="false" customHeight="false" outlineLevel="0" collapsed="false">
      <c r="A1325" s="36" t="str">
        <f aca="false">IF($B1325="","",COUNT($B$15:$B1325))</f>
        <v/>
      </c>
      <c r="B1325" s="37"/>
      <c r="C1325" s="38"/>
      <c r="D1325" s="20"/>
      <c r="E1325" s="36" t="str">
        <f aca="false">IF($D1325="","",IFERROR(INDEX('교육원 ④ 설정'!$A$6:$A$40,MATCH($D1325,'교육원 ④ 설정'!$B$6:$B$40,0)),"※없는 과목"))</f>
        <v/>
      </c>
      <c r="F1325" s="36" t="str">
        <f aca="false">IF($D1325="","",IFERROR(INDEX('교육원 ④ 설정'!$C$6:$C$40,MATCH($D1325,'교육원 ④ 설정'!$B$6:$B$40,0)),""))</f>
        <v/>
      </c>
      <c r="G1325" s="39"/>
      <c r="H1325" s="39"/>
      <c r="I1325" s="40"/>
      <c r="J1325" s="41"/>
      <c r="K1325" s="38"/>
      <c r="L1325" s="42" t="str">
        <f aca="false">IF($B1325="","",IF(AND(N($I1325)=0,N($J1325)=0),"금액이 없습니다",IF(AND($I1325&gt;0,$J1325&gt;0),"수입·지출 둘 다 적혔습니다",IF($C1325="","결제수단을 고르십시오",IF(ISNA(MATCH($C1325,'교육원 ③ 통장·카드'!$A$5:$A$11,0)),"③ 통장·카드에 없는 결제수단입니다",IF($D1325="","계정과목을 고르십시오",IF($E1325="※없는 과목","④ 설정에 없는 과목입니다",IF(AND($E1325="수입",$J1325&gt;0),"수입 과목인데 지출에 적혔습니다",IF(AND(LEFT($E1325,2)&lt;&gt;"수입",$E1325&lt;&gt;"대체",$I1325&gt;0),"지출 과목인데 수입에 적혔습니다",IF($K1325="","증빙을 고르십시오",IF($H1325="","적요를 적으십시오","")))))))))))</f>
        <v/>
      </c>
      <c r="M1325" s="39"/>
      <c r="O1325" s="11" t="str">
        <f aca="false">IF($B1325="","",YEAR($B1325)*100+MONTH($B1325))</f>
        <v/>
      </c>
      <c r="P1325" s="11" t="str">
        <f aca="false">IF($B1325="","",IF($E1325="대체",0,1))</f>
        <v/>
      </c>
    </row>
    <row r="1326" customFormat="false" ht="15" hidden="false" customHeight="false" outlineLevel="0" collapsed="false">
      <c r="A1326" s="36" t="str">
        <f aca="false">IF($B1326="","",COUNT($B$15:$B1326))</f>
        <v/>
      </c>
      <c r="B1326" s="37"/>
      <c r="C1326" s="38"/>
      <c r="D1326" s="20"/>
      <c r="E1326" s="36" t="str">
        <f aca="false">IF($D1326="","",IFERROR(INDEX('교육원 ④ 설정'!$A$6:$A$40,MATCH($D1326,'교육원 ④ 설정'!$B$6:$B$40,0)),"※없는 과목"))</f>
        <v/>
      </c>
      <c r="F1326" s="36" t="str">
        <f aca="false">IF($D1326="","",IFERROR(INDEX('교육원 ④ 설정'!$C$6:$C$40,MATCH($D1326,'교육원 ④ 설정'!$B$6:$B$40,0)),""))</f>
        <v/>
      </c>
      <c r="G1326" s="39"/>
      <c r="H1326" s="39"/>
      <c r="I1326" s="40"/>
      <c r="J1326" s="41"/>
      <c r="K1326" s="38"/>
      <c r="L1326" s="42" t="str">
        <f aca="false">IF($B1326="","",IF(AND(N($I1326)=0,N($J1326)=0),"금액이 없습니다",IF(AND($I1326&gt;0,$J1326&gt;0),"수입·지출 둘 다 적혔습니다",IF($C1326="","결제수단을 고르십시오",IF(ISNA(MATCH($C1326,'교육원 ③ 통장·카드'!$A$5:$A$11,0)),"③ 통장·카드에 없는 결제수단입니다",IF($D1326="","계정과목을 고르십시오",IF($E1326="※없는 과목","④ 설정에 없는 과목입니다",IF(AND($E1326="수입",$J1326&gt;0),"수입 과목인데 지출에 적혔습니다",IF(AND(LEFT($E1326,2)&lt;&gt;"수입",$E1326&lt;&gt;"대체",$I1326&gt;0),"지출 과목인데 수입에 적혔습니다",IF($K1326="","증빙을 고르십시오",IF($H1326="","적요를 적으십시오","")))))))))))</f>
        <v/>
      </c>
      <c r="M1326" s="39"/>
      <c r="O1326" s="11" t="str">
        <f aca="false">IF($B1326="","",YEAR($B1326)*100+MONTH($B1326))</f>
        <v/>
      </c>
      <c r="P1326" s="11" t="str">
        <f aca="false">IF($B1326="","",IF($E1326="대체",0,1))</f>
        <v/>
      </c>
    </row>
    <row r="1327" customFormat="false" ht="15" hidden="false" customHeight="false" outlineLevel="0" collapsed="false">
      <c r="A1327" s="36" t="str">
        <f aca="false">IF($B1327="","",COUNT($B$15:$B1327))</f>
        <v/>
      </c>
      <c r="B1327" s="37"/>
      <c r="C1327" s="38"/>
      <c r="D1327" s="20"/>
      <c r="E1327" s="36" t="str">
        <f aca="false">IF($D1327="","",IFERROR(INDEX('교육원 ④ 설정'!$A$6:$A$40,MATCH($D1327,'교육원 ④ 설정'!$B$6:$B$40,0)),"※없는 과목"))</f>
        <v/>
      </c>
      <c r="F1327" s="36" t="str">
        <f aca="false">IF($D1327="","",IFERROR(INDEX('교육원 ④ 설정'!$C$6:$C$40,MATCH($D1327,'교육원 ④ 설정'!$B$6:$B$40,0)),""))</f>
        <v/>
      </c>
      <c r="G1327" s="39"/>
      <c r="H1327" s="39"/>
      <c r="I1327" s="40"/>
      <c r="J1327" s="41"/>
      <c r="K1327" s="38"/>
      <c r="L1327" s="42" t="str">
        <f aca="false">IF($B1327="","",IF(AND(N($I1327)=0,N($J1327)=0),"금액이 없습니다",IF(AND($I1327&gt;0,$J1327&gt;0),"수입·지출 둘 다 적혔습니다",IF($C1327="","결제수단을 고르십시오",IF(ISNA(MATCH($C1327,'교육원 ③ 통장·카드'!$A$5:$A$11,0)),"③ 통장·카드에 없는 결제수단입니다",IF($D1327="","계정과목을 고르십시오",IF($E1327="※없는 과목","④ 설정에 없는 과목입니다",IF(AND($E1327="수입",$J1327&gt;0),"수입 과목인데 지출에 적혔습니다",IF(AND(LEFT($E1327,2)&lt;&gt;"수입",$E1327&lt;&gt;"대체",$I1327&gt;0),"지출 과목인데 수입에 적혔습니다",IF($K1327="","증빙을 고르십시오",IF($H1327="","적요를 적으십시오","")))))))))))</f>
        <v/>
      </c>
      <c r="M1327" s="39"/>
      <c r="O1327" s="11" t="str">
        <f aca="false">IF($B1327="","",YEAR($B1327)*100+MONTH($B1327))</f>
        <v/>
      </c>
      <c r="P1327" s="11" t="str">
        <f aca="false">IF($B1327="","",IF($E1327="대체",0,1))</f>
        <v/>
      </c>
    </row>
    <row r="1328" customFormat="false" ht="15" hidden="false" customHeight="false" outlineLevel="0" collapsed="false">
      <c r="A1328" s="36" t="str">
        <f aca="false">IF($B1328="","",COUNT($B$15:$B1328))</f>
        <v/>
      </c>
      <c r="B1328" s="37"/>
      <c r="C1328" s="38"/>
      <c r="D1328" s="20"/>
      <c r="E1328" s="36" t="str">
        <f aca="false">IF($D1328="","",IFERROR(INDEX('교육원 ④ 설정'!$A$6:$A$40,MATCH($D1328,'교육원 ④ 설정'!$B$6:$B$40,0)),"※없는 과목"))</f>
        <v/>
      </c>
      <c r="F1328" s="36" t="str">
        <f aca="false">IF($D1328="","",IFERROR(INDEX('교육원 ④ 설정'!$C$6:$C$40,MATCH($D1328,'교육원 ④ 설정'!$B$6:$B$40,0)),""))</f>
        <v/>
      </c>
      <c r="G1328" s="39"/>
      <c r="H1328" s="39"/>
      <c r="I1328" s="40"/>
      <c r="J1328" s="41"/>
      <c r="K1328" s="38"/>
      <c r="L1328" s="42" t="str">
        <f aca="false">IF($B1328="","",IF(AND(N($I1328)=0,N($J1328)=0),"금액이 없습니다",IF(AND($I1328&gt;0,$J1328&gt;0),"수입·지출 둘 다 적혔습니다",IF($C1328="","결제수단을 고르십시오",IF(ISNA(MATCH($C1328,'교육원 ③ 통장·카드'!$A$5:$A$11,0)),"③ 통장·카드에 없는 결제수단입니다",IF($D1328="","계정과목을 고르십시오",IF($E1328="※없는 과목","④ 설정에 없는 과목입니다",IF(AND($E1328="수입",$J1328&gt;0),"수입 과목인데 지출에 적혔습니다",IF(AND(LEFT($E1328,2)&lt;&gt;"수입",$E1328&lt;&gt;"대체",$I1328&gt;0),"지출 과목인데 수입에 적혔습니다",IF($K1328="","증빙을 고르십시오",IF($H1328="","적요를 적으십시오","")))))))))))</f>
        <v/>
      </c>
      <c r="M1328" s="39"/>
      <c r="O1328" s="11" t="str">
        <f aca="false">IF($B1328="","",YEAR($B1328)*100+MONTH($B1328))</f>
        <v/>
      </c>
      <c r="P1328" s="11" t="str">
        <f aca="false">IF($B1328="","",IF($E1328="대체",0,1))</f>
        <v/>
      </c>
    </row>
    <row r="1329" customFormat="false" ht="15" hidden="false" customHeight="false" outlineLevel="0" collapsed="false">
      <c r="A1329" s="36" t="str">
        <f aca="false">IF($B1329="","",COUNT($B$15:$B1329))</f>
        <v/>
      </c>
      <c r="B1329" s="37"/>
      <c r="C1329" s="38"/>
      <c r="D1329" s="20"/>
      <c r="E1329" s="36" t="str">
        <f aca="false">IF($D1329="","",IFERROR(INDEX('교육원 ④ 설정'!$A$6:$A$40,MATCH($D1329,'교육원 ④ 설정'!$B$6:$B$40,0)),"※없는 과목"))</f>
        <v/>
      </c>
      <c r="F1329" s="36" t="str">
        <f aca="false">IF($D1329="","",IFERROR(INDEX('교육원 ④ 설정'!$C$6:$C$40,MATCH($D1329,'교육원 ④ 설정'!$B$6:$B$40,0)),""))</f>
        <v/>
      </c>
      <c r="G1329" s="39"/>
      <c r="H1329" s="39"/>
      <c r="I1329" s="40"/>
      <c r="J1329" s="41"/>
      <c r="K1329" s="38"/>
      <c r="L1329" s="42" t="str">
        <f aca="false">IF($B1329="","",IF(AND(N($I1329)=0,N($J1329)=0),"금액이 없습니다",IF(AND($I1329&gt;0,$J1329&gt;0),"수입·지출 둘 다 적혔습니다",IF($C1329="","결제수단을 고르십시오",IF(ISNA(MATCH($C1329,'교육원 ③ 통장·카드'!$A$5:$A$11,0)),"③ 통장·카드에 없는 결제수단입니다",IF($D1329="","계정과목을 고르십시오",IF($E1329="※없는 과목","④ 설정에 없는 과목입니다",IF(AND($E1329="수입",$J1329&gt;0),"수입 과목인데 지출에 적혔습니다",IF(AND(LEFT($E1329,2)&lt;&gt;"수입",$E1329&lt;&gt;"대체",$I1329&gt;0),"지출 과목인데 수입에 적혔습니다",IF($K1329="","증빙을 고르십시오",IF($H1329="","적요를 적으십시오","")))))))))))</f>
        <v/>
      </c>
      <c r="M1329" s="39"/>
      <c r="O1329" s="11" t="str">
        <f aca="false">IF($B1329="","",YEAR($B1329)*100+MONTH($B1329))</f>
        <v/>
      </c>
      <c r="P1329" s="11" t="str">
        <f aca="false">IF($B1329="","",IF($E1329="대체",0,1))</f>
        <v/>
      </c>
    </row>
    <row r="1330" customFormat="false" ht="15" hidden="false" customHeight="false" outlineLevel="0" collapsed="false">
      <c r="A1330" s="36" t="str">
        <f aca="false">IF($B1330="","",COUNT($B$15:$B1330))</f>
        <v/>
      </c>
      <c r="B1330" s="37"/>
      <c r="C1330" s="38"/>
      <c r="D1330" s="20"/>
      <c r="E1330" s="36" t="str">
        <f aca="false">IF($D1330="","",IFERROR(INDEX('교육원 ④ 설정'!$A$6:$A$40,MATCH($D1330,'교육원 ④ 설정'!$B$6:$B$40,0)),"※없는 과목"))</f>
        <v/>
      </c>
      <c r="F1330" s="36" t="str">
        <f aca="false">IF($D1330="","",IFERROR(INDEX('교육원 ④ 설정'!$C$6:$C$40,MATCH($D1330,'교육원 ④ 설정'!$B$6:$B$40,0)),""))</f>
        <v/>
      </c>
      <c r="G1330" s="39"/>
      <c r="H1330" s="39"/>
      <c r="I1330" s="40"/>
      <c r="J1330" s="41"/>
      <c r="K1330" s="38"/>
      <c r="L1330" s="42" t="str">
        <f aca="false">IF($B1330="","",IF(AND(N($I1330)=0,N($J1330)=0),"금액이 없습니다",IF(AND($I1330&gt;0,$J1330&gt;0),"수입·지출 둘 다 적혔습니다",IF($C1330="","결제수단을 고르십시오",IF(ISNA(MATCH($C1330,'교육원 ③ 통장·카드'!$A$5:$A$11,0)),"③ 통장·카드에 없는 결제수단입니다",IF($D1330="","계정과목을 고르십시오",IF($E1330="※없는 과목","④ 설정에 없는 과목입니다",IF(AND($E1330="수입",$J1330&gt;0),"수입 과목인데 지출에 적혔습니다",IF(AND(LEFT($E1330,2)&lt;&gt;"수입",$E1330&lt;&gt;"대체",$I1330&gt;0),"지출 과목인데 수입에 적혔습니다",IF($K1330="","증빙을 고르십시오",IF($H1330="","적요를 적으십시오","")))))))))))</f>
        <v/>
      </c>
      <c r="M1330" s="39"/>
      <c r="O1330" s="11" t="str">
        <f aca="false">IF($B1330="","",YEAR($B1330)*100+MONTH($B1330))</f>
        <v/>
      </c>
      <c r="P1330" s="11" t="str">
        <f aca="false">IF($B1330="","",IF($E1330="대체",0,1))</f>
        <v/>
      </c>
    </row>
    <row r="1331" customFormat="false" ht="15" hidden="false" customHeight="false" outlineLevel="0" collapsed="false">
      <c r="A1331" s="36" t="str">
        <f aca="false">IF($B1331="","",COUNT($B$15:$B1331))</f>
        <v/>
      </c>
      <c r="B1331" s="37"/>
      <c r="C1331" s="38"/>
      <c r="D1331" s="20"/>
      <c r="E1331" s="36" t="str">
        <f aca="false">IF($D1331="","",IFERROR(INDEX('교육원 ④ 설정'!$A$6:$A$40,MATCH($D1331,'교육원 ④ 설정'!$B$6:$B$40,0)),"※없는 과목"))</f>
        <v/>
      </c>
      <c r="F1331" s="36" t="str">
        <f aca="false">IF($D1331="","",IFERROR(INDEX('교육원 ④ 설정'!$C$6:$C$40,MATCH($D1331,'교육원 ④ 설정'!$B$6:$B$40,0)),""))</f>
        <v/>
      </c>
      <c r="G1331" s="39"/>
      <c r="H1331" s="39"/>
      <c r="I1331" s="40"/>
      <c r="J1331" s="41"/>
      <c r="K1331" s="38"/>
      <c r="L1331" s="42" t="str">
        <f aca="false">IF($B1331="","",IF(AND(N($I1331)=0,N($J1331)=0),"금액이 없습니다",IF(AND($I1331&gt;0,$J1331&gt;0),"수입·지출 둘 다 적혔습니다",IF($C1331="","결제수단을 고르십시오",IF(ISNA(MATCH($C1331,'교육원 ③ 통장·카드'!$A$5:$A$11,0)),"③ 통장·카드에 없는 결제수단입니다",IF($D1331="","계정과목을 고르십시오",IF($E1331="※없는 과목","④ 설정에 없는 과목입니다",IF(AND($E1331="수입",$J1331&gt;0),"수입 과목인데 지출에 적혔습니다",IF(AND(LEFT($E1331,2)&lt;&gt;"수입",$E1331&lt;&gt;"대체",$I1331&gt;0),"지출 과목인데 수입에 적혔습니다",IF($K1331="","증빙을 고르십시오",IF($H1331="","적요를 적으십시오","")))))))))))</f>
        <v/>
      </c>
      <c r="M1331" s="39"/>
      <c r="O1331" s="11" t="str">
        <f aca="false">IF($B1331="","",YEAR($B1331)*100+MONTH($B1331))</f>
        <v/>
      </c>
      <c r="P1331" s="11" t="str">
        <f aca="false">IF($B1331="","",IF($E1331="대체",0,1))</f>
        <v/>
      </c>
    </row>
    <row r="1332" customFormat="false" ht="15" hidden="false" customHeight="false" outlineLevel="0" collapsed="false">
      <c r="A1332" s="36" t="str">
        <f aca="false">IF($B1332="","",COUNT($B$15:$B1332))</f>
        <v/>
      </c>
      <c r="B1332" s="37"/>
      <c r="C1332" s="38"/>
      <c r="D1332" s="20"/>
      <c r="E1332" s="36" t="str">
        <f aca="false">IF($D1332="","",IFERROR(INDEX('교육원 ④ 설정'!$A$6:$A$40,MATCH($D1332,'교육원 ④ 설정'!$B$6:$B$40,0)),"※없는 과목"))</f>
        <v/>
      </c>
      <c r="F1332" s="36" t="str">
        <f aca="false">IF($D1332="","",IFERROR(INDEX('교육원 ④ 설정'!$C$6:$C$40,MATCH($D1332,'교육원 ④ 설정'!$B$6:$B$40,0)),""))</f>
        <v/>
      </c>
      <c r="G1332" s="39"/>
      <c r="H1332" s="39"/>
      <c r="I1332" s="40"/>
      <c r="J1332" s="41"/>
      <c r="K1332" s="38"/>
      <c r="L1332" s="42" t="str">
        <f aca="false">IF($B1332="","",IF(AND(N($I1332)=0,N($J1332)=0),"금액이 없습니다",IF(AND($I1332&gt;0,$J1332&gt;0),"수입·지출 둘 다 적혔습니다",IF($C1332="","결제수단을 고르십시오",IF(ISNA(MATCH($C1332,'교육원 ③ 통장·카드'!$A$5:$A$11,0)),"③ 통장·카드에 없는 결제수단입니다",IF($D1332="","계정과목을 고르십시오",IF($E1332="※없는 과목","④ 설정에 없는 과목입니다",IF(AND($E1332="수입",$J1332&gt;0),"수입 과목인데 지출에 적혔습니다",IF(AND(LEFT($E1332,2)&lt;&gt;"수입",$E1332&lt;&gt;"대체",$I1332&gt;0),"지출 과목인데 수입에 적혔습니다",IF($K1332="","증빙을 고르십시오",IF($H1332="","적요를 적으십시오","")))))))))))</f>
        <v/>
      </c>
      <c r="M1332" s="39"/>
      <c r="O1332" s="11" t="str">
        <f aca="false">IF($B1332="","",YEAR($B1332)*100+MONTH($B1332))</f>
        <v/>
      </c>
      <c r="P1332" s="11" t="str">
        <f aca="false">IF($B1332="","",IF($E1332="대체",0,1))</f>
        <v/>
      </c>
    </row>
    <row r="1333" customFormat="false" ht="15" hidden="false" customHeight="false" outlineLevel="0" collapsed="false">
      <c r="A1333" s="36" t="str">
        <f aca="false">IF($B1333="","",COUNT($B$15:$B1333))</f>
        <v/>
      </c>
      <c r="B1333" s="37"/>
      <c r="C1333" s="38"/>
      <c r="D1333" s="20"/>
      <c r="E1333" s="36" t="str">
        <f aca="false">IF($D1333="","",IFERROR(INDEX('교육원 ④ 설정'!$A$6:$A$40,MATCH($D1333,'교육원 ④ 설정'!$B$6:$B$40,0)),"※없는 과목"))</f>
        <v/>
      </c>
      <c r="F1333" s="36" t="str">
        <f aca="false">IF($D1333="","",IFERROR(INDEX('교육원 ④ 설정'!$C$6:$C$40,MATCH($D1333,'교육원 ④ 설정'!$B$6:$B$40,0)),""))</f>
        <v/>
      </c>
      <c r="G1333" s="39"/>
      <c r="H1333" s="39"/>
      <c r="I1333" s="40"/>
      <c r="J1333" s="41"/>
      <c r="K1333" s="38"/>
      <c r="L1333" s="42" t="str">
        <f aca="false">IF($B1333="","",IF(AND(N($I1333)=0,N($J1333)=0),"금액이 없습니다",IF(AND($I1333&gt;0,$J1333&gt;0),"수입·지출 둘 다 적혔습니다",IF($C1333="","결제수단을 고르십시오",IF(ISNA(MATCH($C1333,'교육원 ③ 통장·카드'!$A$5:$A$11,0)),"③ 통장·카드에 없는 결제수단입니다",IF($D1333="","계정과목을 고르십시오",IF($E1333="※없는 과목","④ 설정에 없는 과목입니다",IF(AND($E1333="수입",$J1333&gt;0),"수입 과목인데 지출에 적혔습니다",IF(AND(LEFT($E1333,2)&lt;&gt;"수입",$E1333&lt;&gt;"대체",$I1333&gt;0),"지출 과목인데 수입에 적혔습니다",IF($K1333="","증빙을 고르십시오",IF($H1333="","적요를 적으십시오","")))))))))))</f>
        <v/>
      </c>
      <c r="M1333" s="39"/>
      <c r="O1333" s="11" t="str">
        <f aca="false">IF($B1333="","",YEAR($B1333)*100+MONTH($B1333))</f>
        <v/>
      </c>
      <c r="P1333" s="11" t="str">
        <f aca="false">IF($B1333="","",IF($E1333="대체",0,1))</f>
        <v/>
      </c>
    </row>
    <row r="1334" customFormat="false" ht="15" hidden="false" customHeight="false" outlineLevel="0" collapsed="false">
      <c r="A1334" s="36" t="str">
        <f aca="false">IF($B1334="","",COUNT($B$15:$B1334))</f>
        <v/>
      </c>
      <c r="B1334" s="37"/>
      <c r="C1334" s="38"/>
      <c r="D1334" s="20"/>
      <c r="E1334" s="36" t="str">
        <f aca="false">IF($D1334="","",IFERROR(INDEX('교육원 ④ 설정'!$A$6:$A$40,MATCH($D1334,'교육원 ④ 설정'!$B$6:$B$40,0)),"※없는 과목"))</f>
        <v/>
      </c>
      <c r="F1334" s="36" t="str">
        <f aca="false">IF($D1334="","",IFERROR(INDEX('교육원 ④ 설정'!$C$6:$C$40,MATCH($D1334,'교육원 ④ 설정'!$B$6:$B$40,0)),""))</f>
        <v/>
      </c>
      <c r="G1334" s="39"/>
      <c r="H1334" s="39"/>
      <c r="I1334" s="40"/>
      <c r="J1334" s="41"/>
      <c r="K1334" s="38"/>
      <c r="L1334" s="42" t="str">
        <f aca="false">IF($B1334="","",IF(AND(N($I1334)=0,N($J1334)=0),"금액이 없습니다",IF(AND($I1334&gt;0,$J1334&gt;0),"수입·지출 둘 다 적혔습니다",IF($C1334="","결제수단을 고르십시오",IF(ISNA(MATCH($C1334,'교육원 ③ 통장·카드'!$A$5:$A$11,0)),"③ 통장·카드에 없는 결제수단입니다",IF($D1334="","계정과목을 고르십시오",IF($E1334="※없는 과목","④ 설정에 없는 과목입니다",IF(AND($E1334="수입",$J1334&gt;0),"수입 과목인데 지출에 적혔습니다",IF(AND(LEFT($E1334,2)&lt;&gt;"수입",$E1334&lt;&gt;"대체",$I1334&gt;0),"지출 과목인데 수입에 적혔습니다",IF($K1334="","증빙을 고르십시오",IF($H1334="","적요를 적으십시오","")))))))))))</f>
        <v/>
      </c>
      <c r="M1334" s="39"/>
      <c r="O1334" s="11" t="str">
        <f aca="false">IF($B1334="","",YEAR($B1334)*100+MONTH($B1334))</f>
        <v/>
      </c>
      <c r="P1334" s="11" t="str">
        <f aca="false">IF($B1334="","",IF($E1334="대체",0,1))</f>
        <v/>
      </c>
    </row>
    <row r="1335" customFormat="false" ht="15" hidden="false" customHeight="false" outlineLevel="0" collapsed="false">
      <c r="A1335" s="36" t="str">
        <f aca="false">IF($B1335="","",COUNT($B$15:$B1335))</f>
        <v/>
      </c>
      <c r="B1335" s="37"/>
      <c r="C1335" s="38"/>
      <c r="D1335" s="20"/>
      <c r="E1335" s="36" t="str">
        <f aca="false">IF($D1335="","",IFERROR(INDEX('교육원 ④ 설정'!$A$6:$A$40,MATCH($D1335,'교육원 ④ 설정'!$B$6:$B$40,0)),"※없는 과목"))</f>
        <v/>
      </c>
      <c r="F1335" s="36" t="str">
        <f aca="false">IF($D1335="","",IFERROR(INDEX('교육원 ④ 설정'!$C$6:$C$40,MATCH($D1335,'교육원 ④ 설정'!$B$6:$B$40,0)),""))</f>
        <v/>
      </c>
      <c r="G1335" s="39"/>
      <c r="H1335" s="39"/>
      <c r="I1335" s="40"/>
      <c r="J1335" s="41"/>
      <c r="K1335" s="38"/>
      <c r="L1335" s="42" t="str">
        <f aca="false">IF($B1335="","",IF(AND(N($I1335)=0,N($J1335)=0),"금액이 없습니다",IF(AND($I1335&gt;0,$J1335&gt;0),"수입·지출 둘 다 적혔습니다",IF($C1335="","결제수단을 고르십시오",IF(ISNA(MATCH($C1335,'교육원 ③ 통장·카드'!$A$5:$A$11,0)),"③ 통장·카드에 없는 결제수단입니다",IF($D1335="","계정과목을 고르십시오",IF($E1335="※없는 과목","④ 설정에 없는 과목입니다",IF(AND($E1335="수입",$J1335&gt;0),"수입 과목인데 지출에 적혔습니다",IF(AND(LEFT($E1335,2)&lt;&gt;"수입",$E1335&lt;&gt;"대체",$I1335&gt;0),"지출 과목인데 수입에 적혔습니다",IF($K1335="","증빙을 고르십시오",IF($H1335="","적요를 적으십시오","")))))))))))</f>
        <v/>
      </c>
      <c r="M1335" s="39"/>
      <c r="O1335" s="11" t="str">
        <f aca="false">IF($B1335="","",YEAR($B1335)*100+MONTH($B1335))</f>
        <v/>
      </c>
      <c r="P1335" s="11" t="str">
        <f aca="false">IF($B1335="","",IF($E1335="대체",0,1))</f>
        <v/>
      </c>
    </row>
    <row r="1336" customFormat="false" ht="15" hidden="false" customHeight="false" outlineLevel="0" collapsed="false">
      <c r="A1336" s="36" t="str">
        <f aca="false">IF($B1336="","",COUNT($B$15:$B1336))</f>
        <v/>
      </c>
      <c r="B1336" s="37"/>
      <c r="C1336" s="38"/>
      <c r="D1336" s="20"/>
      <c r="E1336" s="36" t="str">
        <f aca="false">IF($D1336="","",IFERROR(INDEX('교육원 ④ 설정'!$A$6:$A$40,MATCH($D1336,'교육원 ④ 설정'!$B$6:$B$40,0)),"※없는 과목"))</f>
        <v/>
      </c>
      <c r="F1336" s="36" t="str">
        <f aca="false">IF($D1336="","",IFERROR(INDEX('교육원 ④ 설정'!$C$6:$C$40,MATCH($D1336,'교육원 ④ 설정'!$B$6:$B$40,0)),""))</f>
        <v/>
      </c>
      <c r="G1336" s="39"/>
      <c r="H1336" s="39"/>
      <c r="I1336" s="40"/>
      <c r="J1336" s="41"/>
      <c r="K1336" s="38"/>
      <c r="L1336" s="42" t="str">
        <f aca="false">IF($B1336="","",IF(AND(N($I1336)=0,N($J1336)=0),"금액이 없습니다",IF(AND($I1336&gt;0,$J1336&gt;0),"수입·지출 둘 다 적혔습니다",IF($C1336="","결제수단을 고르십시오",IF(ISNA(MATCH($C1336,'교육원 ③ 통장·카드'!$A$5:$A$11,0)),"③ 통장·카드에 없는 결제수단입니다",IF($D1336="","계정과목을 고르십시오",IF($E1336="※없는 과목","④ 설정에 없는 과목입니다",IF(AND($E1336="수입",$J1336&gt;0),"수입 과목인데 지출에 적혔습니다",IF(AND(LEFT($E1336,2)&lt;&gt;"수입",$E1336&lt;&gt;"대체",$I1336&gt;0),"지출 과목인데 수입에 적혔습니다",IF($K1336="","증빙을 고르십시오",IF($H1336="","적요를 적으십시오","")))))))))))</f>
        <v/>
      </c>
      <c r="M1336" s="39"/>
      <c r="O1336" s="11" t="str">
        <f aca="false">IF($B1336="","",YEAR($B1336)*100+MONTH($B1336))</f>
        <v/>
      </c>
      <c r="P1336" s="11" t="str">
        <f aca="false">IF($B1336="","",IF($E1336="대체",0,1))</f>
        <v/>
      </c>
    </row>
    <row r="1337" customFormat="false" ht="15" hidden="false" customHeight="false" outlineLevel="0" collapsed="false">
      <c r="A1337" s="36" t="str">
        <f aca="false">IF($B1337="","",COUNT($B$15:$B1337))</f>
        <v/>
      </c>
      <c r="B1337" s="37"/>
      <c r="C1337" s="38"/>
      <c r="D1337" s="20"/>
      <c r="E1337" s="36" t="str">
        <f aca="false">IF($D1337="","",IFERROR(INDEX('교육원 ④ 설정'!$A$6:$A$40,MATCH($D1337,'교육원 ④ 설정'!$B$6:$B$40,0)),"※없는 과목"))</f>
        <v/>
      </c>
      <c r="F1337" s="36" t="str">
        <f aca="false">IF($D1337="","",IFERROR(INDEX('교육원 ④ 설정'!$C$6:$C$40,MATCH($D1337,'교육원 ④ 설정'!$B$6:$B$40,0)),""))</f>
        <v/>
      </c>
      <c r="G1337" s="39"/>
      <c r="H1337" s="39"/>
      <c r="I1337" s="40"/>
      <c r="J1337" s="41"/>
      <c r="K1337" s="38"/>
      <c r="L1337" s="42" t="str">
        <f aca="false">IF($B1337="","",IF(AND(N($I1337)=0,N($J1337)=0),"금액이 없습니다",IF(AND($I1337&gt;0,$J1337&gt;0),"수입·지출 둘 다 적혔습니다",IF($C1337="","결제수단을 고르십시오",IF(ISNA(MATCH($C1337,'교육원 ③ 통장·카드'!$A$5:$A$11,0)),"③ 통장·카드에 없는 결제수단입니다",IF($D1337="","계정과목을 고르십시오",IF($E1337="※없는 과목","④ 설정에 없는 과목입니다",IF(AND($E1337="수입",$J1337&gt;0),"수입 과목인데 지출에 적혔습니다",IF(AND(LEFT($E1337,2)&lt;&gt;"수입",$E1337&lt;&gt;"대체",$I1337&gt;0),"지출 과목인데 수입에 적혔습니다",IF($K1337="","증빙을 고르십시오",IF($H1337="","적요를 적으십시오","")))))))))))</f>
        <v/>
      </c>
      <c r="M1337" s="39"/>
      <c r="O1337" s="11" t="str">
        <f aca="false">IF($B1337="","",YEAR($B1337)*100+MONTH($B1337))</f>
        <v/>
      </c>
      <c r="P1337" s="11" t="str">
        <f aca="false">IF($B1337="","",IF($E1337="대체",0,1))</f>
        <v/>
      </c>
    </row>
    <row r="1338" customFormat="false" ht="15" hidden="false" customHeight="false" outlineLevel="0" collapsed="false">
      <c r="A1338" s="36" t="str">
        <f aca="false">IF($B1338="","",COUNT($B$15:$B1338))</f>
        <v/>
      </c>
      <c r="B1338" s="37"/>
      <c r="C1338" s="38"/>
      <c r="D1338" s="20"/>
      <c r="E1338" s="36" t="str">
        <f aca="false">IF($D1338="","",IFERROR(INDEX('교육원 ④ 설정'!$A$6:$A$40,MATCH($D1338,'교육원 ④ 설정'!$B$6:$B$40,0)),"※없는 과목"))</f>
        <v/>
      </c>
      <c r="F1338" s="36" t="str">
        <f aca="false">IF($D1338="","",IFERROR(INDEX('교육원 ④ 설정'!$C$6:$C$40,MATCH($D1338,'교육원 ④ 설정'!$B$6:$B$40,0)),""))</f>
        <v/>
      </c>
      <c r="G1338" s="39"/>
      <c r="H1338" s="39"/>
      <c r="I1338" s="40"/>
      <c r="J1338" s="41"/>
      <c r="K1338" s="38"/>
      <c r="L1338" s="42" t="str">
        <f aca="false">IF($B1338="","",IF(AND(N($I1338)=0,N($J1338)=0),"금액이 없습니다",IF(AND($I1338&gt;0,$J1338&gt;0),"수입·지출 둘 다 적혔습니다",IF($C1338="","결제수단을 고르십시오",IF(ISNA(MATCH($C1338,'교육원 ③ 통장·카드'!$A$5:$A$11,0)),"③ 통장·카드에 없는 결제수단입니다",IF($D1338="","계정과목을 고르십시오",IF($E1338="※없는 과목","④ 설정에 없는 과목입니다",IF(AND($E1338="수입",$J1338&gt;0),"수입 과목인데 지출에 적혔습니다",IF(AND(LEFT($E1338,2)&lt;&gt;"수입",$E1338&lt;&gt;"대체",$I1338&gt;0),"지출 과목인데 수입에 적혔습니다",IF($K1338="","증빙을 고르십시오",IF($H1338="","적요를 적으십시오","")))))))))))</f>
        <v/>
      </c>
      <c r="M1338" s="39"/>
      <c r="O1338" s="11" t="str">
        <f aca="false">IF($B1338="","",YEAR($B1338)*100+MONTH($B1338))</f>
        <v/>
      </c>
      <c r="P1338" s="11" t="str">
        <f aca="false">IF($B1338="","",IF($E1338="대체",0,1))</f>
        <v/>
      </c>
    </row>
    <row r="1339" customFormat="false" ht="15" hidden="false" customHeight="false" outlineLevel="0" collapsed="false">
      <c r="A1339" s="36" t="str">
        <f aca="false">IF($B1339="","",COUNT($B$15:$B1339))</f>
        <v/>
      </c>
      <c r="B1339" s="37"/>
      <c r="C1339" s="38"/>
      <c r="D1339" s="20"/>
      <c r="E1339" s="36" t="str">
        <f aca="false">IF($D1339="","",IFERROR(INDEX('교육원 ④ 설정'!$A$6:$A$40,MATCH($D1339,'교육원 ④ 설정'!$B$6:$B$40,0)),"※없는 과목"))</f>
        <v/>
      </c>
      <c r="F1339" s="36" t="str">
        <f aca="false">IF($D1339="","",IFERROR(INDEX('교육원 ④ 설정'!$C$6:$C$40,MATCH($D1339,'교육원 ④ 설정'!$B$6:$B$40,0)),""))</f>
        <v/>
      </c>
      <c r="G1339" s="39"/>
      <c r="H1339" s="39"/>
      <c r="I1339" s="40"/>
      <c r="J1339" s="41"/>
      <c r="K1339" s="38"/>
      <c r="L1339" s="42" t="str">
        <f aca="false">IF($B1339="","",IF(AND(N($I1339)=0,N($J1339)=0),"금액이 없습니다",IF(AND($I1339&gt;0,$J1339&gt;0),"수입·지출 둘 다 적혔습니다",IF($C1339="","결제수단을 고르십시오",IF(ISNA(MATCH($C1339,'교육원 ③ 통장·카드'!$A$5:$A$11,0)),"③ 통장·카드에 없는 결제수단입니다",IF($D1339="","계정과목을 고르십시오",IF($E1339="※없는 과목","④ 설정에 없는 과목입니다",IF(AND($E1339="수입",$J1339&gt;0),"수입 과목인데 지출에 적혔습니다",IF(AND(LEFT($E1339,2)&lt;&gt;"수입",$E1339&lt;&gt;"대체",$I1339&gt;0),"지출 과목인데 수입에 적혔습니다",IF($K1339="","증빙을 고르십시오",IF($H1339="","적요를 적으십시오","")))))))))))</f>
        <v/>
      </c>
      <c r="M1339" s="39"/>
      <c r="O1339" s="11" t="str">
        <f aca="false">IF($B1339="","",YEAR($B1339)*100+MONTH($B1339))</f>
        <v/>
      </c>
      <c r="P1339" s="11" t="str">
        <f aca="false">IF($B1339="","",IF($E1339="대체",0,1))</f>
        <v/>
      </c>
    </row>
    <row r="1340" customFormat="false" ht="15" hidden="false" customHeight="false" outlineLevel="0" collapsed="false">
      <c r="A1340" s="36" t="str">
        <f aca="false">IF($B1340="","",COUNT($B$15:$B1340))</f>
        <v/>
      </c>
      <c r="B1340" s="37"/>
      <c r="C1340" s="38"/>
      <c r="D1340" s="20"/>
      <c r="E1340" s="36" t="str">
        <f aca="false">IF($D1340="","",IFERROR(INDEX('교육원 ④ 설정'!$A$6:$A$40,MATCH($D1340,'교육원 ④ 설정'!$B$6:$B$40,0)),"※없는 과목"))</f>
        <v/>
      </c>
      <c r="F1340" s="36" t="str">
        <f aca="false">IF($D1340="","",IFERROR(INDEX('교육원 ④ 설정'!$C$6:$C$40,MATCH($D1340,'교육원 ④ 설정'!$B$6:$B$40,0)),""))</f>
        <v/>
      </c>
      <c r="G1340" s="39"/>
      <c r="H1340" s="39"/>
      <c r="I1340" s="40"/>
      <c r="J1340" s="41"/>
      <c r="K1340" s="38"/>
      <c r="L1340" s="42" t="str">
        <f aca="false">IF($B1340="","",IF(AND(N($I1340)=0,N($J1340)=0),"금액이 없습니다",IF(AND($I1340&gt;0,$J1340&gt;0),"수입·지출 둘 다 적혔습니다",IF($C1340="","결제수단을 고르십시오",IF(ISNA(MATCH($C1340,'교육원 ③ 통장·카드'!$A$5:$A$11,0)),"③ 통장·카드에 없는 결제수단입니다",IF($D1340="","계정과목을 고르십시오",IF($E1340="※없는 과목","④ 설정에 없는 과목입니다",IF(AND($E1340="수입",$J1340&gt;0),"수입 과목인데 지출에 적혔습니다",IF(AND(LEFT($E1340,2)&lt;&gt;"수입",$E1340&lt;&gt;"대체",$I1340&gt;0),"지출 과목인데 수입에 적혔습니다",IF($K1340="","증빙을 고르십시오",IF($H1340="","적요를 적으십시오","")))))))))))</f>
        <v/>
      </c>
      <c r="M1340" s="39"/>
      <c r="O1340" s="11" t="str">
        <f aca="false">IF($B1340="","",YEAR($B1340)*100+MONTH($B1340))</f>
        <v/>
      </c>
      <c r="P1340" s="11" t="str">
        <f aca="false">IF($B1340="","",IF($E1340="대체",0,1))</f>
        <v/>
      </c>
    </row>
    <row r="1341" customFormat="false" ht="15" hidden="false" customHeight="false" outlineLevel="0" collapsed="false">
      <c r="A1341" s="36" t="str">
        <f aca="false">IF($B1341="","",COUNT($B$15:$B1341))</f>
        <v/>
      </c>
      <c r="B1341" s="37"/>
      <c r="C1341" s="38"/>
      <c r="D1341" s="20"/>
      <c r="E1341" s="36" t="str">
        <f aca="false">IF($D1341="","",IFERROR(INDEX('교육원 ④ 설정'!$A$6:$A$40,MATCH($D1341,'교육원 ④ 설정'!$B$6:$B$40,0)),"※없는 과목"))</f>
        <v/>
      </c>
      <c r="F1341" s="36" t="str">
        <f aca="false">IF($D1341="","",IFERROR(INDEX('교육원 ④ 설정'!$C$6:$C$40,MATCH($D1341,'교육원 ④ 설정'!$B$6:$B$40,0)),""))</f>
        <v/>
      </c>
      <c r="G1341" s="39"/>
      <c r="H1341" s="39"/>
      <c r="I1341" s="40"/>
      <c r="J1341" s="41"/>
      <c r="K1341" s="38"/>
      <c r="L1341" s="42" t="str">
        <f aca="false">IF($B1341="","",IF(AND(N($I1341)=0,N($J1341)=0),"금액이 없습니다",IF(AND($I1341&gt;0,$J1341&gt;0),"수입·지출 둘 다 적혔습니다",IF($C1341="","결제수단을 고르십시오",IF(ISNA(MATCH($C1341,'교육원 ③ 통장·카드'!$A$5:$A$11,0)),"③ 통장·카드에 없는 결제수단입니다",IF($D1341="","계정과목을 고르십시오",IF($E1341="※없는 과목","④ 설정에 없는 과목입니다",IF(AND($E1341="수입",$J1341&gt;0),"수입 과목인데 지출에 적혔습니다",IF(AND(LEFT($E1341,2)&lt;&gt;"수입",$E1341&lt;&gt;"대체",$I1341&gt;0),"지출 과목인데 수입에 적혔습니다",IF($K1341="","증빙을 고르십시오",IF($H1341="","적요를 적으십시오","")))))))))))</f>
        <v/>
      </c>
      <c r="M1341" s="39"/>
      <c r="O1341" s="11" t="str">
        <f aca="false">IF($B1341="","",YEAR($B1341)*100+MONTH($B1341))</f>
        <v/>
      </c>
      <c r="P1341" s="11" t="str">
        <f aca="false">IF($B1341="","",IF($E1341="대체",0,1))</f>
        <v/>
      </c>
    </row>
    <row r="1342" customFormat="false" ht="15" hidden="false" customHeight="false" outlineLevel="0" collapsed="false">
      <c r="A1342" s="36" t="str">
        <f aca="false">IF($B1342="","",COUNT($B$15:$B1342))</f>
        <v/>
      </c>
      <c r="B1342" s="37"/>
      <c r="C1342" s="38"/>
      <c r="D1342" s="20"/>
      <c r="E1342" s="36" t="str">
        <f aca="false">IF($D1342="","",IFERROR(INDEX('교육원 ④ 설정'!$A$6:$A$40,MATCH($D1342,'교육원 ④ 설정'!$B$6:$B$40,0)),"※없는 과목"))</f>
        <v/>
      </c>
      <c r="F1342" s="36" t="str">
        <f aca="false">IF($D1342="","",IFERROR(INDEX('교육원 ④ 설정'!$C$6:$C$40,MATCH($D1342,'교육원 ④ 설정'!$B$6:$B$40,0)),""))</f>
        <v/>
      </c>
      <c r="G1342" s="39"/>
      <c r="H1342" s="39"/>
      <c r="I1342" s="40"/>
      <c r="J1342" s="41"/>
      <c r="K1342" s="38"/>
      <c r="L1342" s="42" t="str">
        <f aca="false">IF($B1342="","",IF(AND(N($I1342)=0,N($J1342)=0),"금액이 없습니다",IF(AND($I1342&gt;0,$J1342&gt;0),"수입·지출 둘 다 적혔습니다",IF($C1342="","결제수단을 고르십시오",IF(ISNA(MATCH($C1342,'교육원 ③ 통장·카드'!$A$5:$A$11,0)),"③ 통장·카드에 없는 결제수단입니다",IF($D1342="","계정과목을 고르십시오",IF($E1342="※없는 과목","④ 설정에 없는 과목입니다",IF(AND($E1342="수입",$J1342&gt;0),"수입 과목인데 지출에 적혔습니다",IF(AND(LEFT($E1342,2)&lt;&gt;"수입",$E1342&lt;&gt;"대체",$I1342&gt;0),"지출 과목인데 수입에 적혔습니다",IF($K1342="","증빙을 고르십시오",IF($H1342="","적요를 적으십시오","")))))))))))</f>
        <v/>
      </c>
      <c r="M1342" s="39"/>
      <c r="O1342" s="11" t="str">
        <f aca="false">IF($B1342="","",YEAR($B1342)*100+MONTH($B1342))</f>
        <v/>
      </c>
      <c r="P1342" s="11" t="str">
        <f aca="false">IF($B1342="","",IF($E1342="대체",0,1))</f>
        <v/>
      </c>
    </row>
    <row r="1343" customFormat="false" ht="15" hidden="false" customHeight="false" outlineLevel="0" collapsed="false">
      <c r="A1343" s="36" t="str">
        <f aca="false">IF($B1343="","",COUNT($B$15:$B1343))</f>
        <v/>
      </c>
      <c r="B1343" s="37"/>
      <c r="C1343" s="38"/>
      <c r="D1343" s="20"/>
      <c r="E1343" s="36" t="str">
        <f aca="false">IF($D1343="","",IFERROR(INDEX('교육원 ④ 설정'!$A$6:$A$40,MATCH($D1343,'교육원 ④ 설정'!$B$6:$B$40,0)),"※없는 과목"))</f>
        <v/>
      </c>
      <c r="F1343" s="36" t="str">
        <f aca="false">IF($D1343="","",IFERROR(INDEX('교육원 ④ 설정'!$C$6:$C$40,MATCH($D1343,'교육원 ④ 설정'!$B$6:$B$40,0)),""))</f>
        <v/>
      </c>
      <c r="G1343" s="39"/>
      <c r="H1343" s="39"/>
      <c r="I1343" s="40"/>
      <c r="J1343" s="41"/>
      <c r="K1343" s="38"/>
      <c r="L1343" s="42" t="str">
        <f aca="false">IF($B1343="","",IF(AND(N($I1343)=0,N($J1343)=0),"금액이 없습니다",IF(AND($I1343&gt;0,$J1343&gt;0),"수입·지출 둘 다 적혔습니다",IF($C1343="","결제수단을 고르십시오",IF(ISNA(MATCH($C1343,'교육원 ③ 통장·카드'!$A$5:$A$11,0)),"③ 통장·카드에 없는 결제수단입니다",IF($D1343="","계정과목을 고르십시오",IF($E1343="※없는 과목","④ 설정에 없는 과목입니다",IF(AND($E1343="수입",$J1343&gt;0),"수입 과목인데 지출에 적혔습니다",IF(AND(LEFT($E1343,2)&lt;&gt;"수입",$E1343&lt;&gt;"대체",$I1343&gt;0),"지출 과목인데 수입에 적혔습니다",IF($K1343="","증빙을 고르십시오",IF($H1343="","적요를 적으십시오","")))))))))))</f>
        <v/>
      </c>
      <c r="M1343" s="39"/>
      <c r="O1343" s="11" t="str">
        <f aca="false">IF($B1343="","",YEAR($B1343)*100+MONTH($B1343))</f>
        <v/>
      </c>
      <c r="P1343" s="11" t="str">
        <f aca="false">IF($B1343="","",IF($E1343="대체",0,1))</f>
        <v/>
      </c>
    </row>
    <row r="1344" customFormat="false" ht="15" hidden="false" customHeight="false" outlineLevel="0" collapsed="false">
      <c r="A1344" s="36" t="str">
        <f aca="false">IF($B1344="","",COUNT($B$15:$B1344))</f>
        <v/>
      </c>
      <c r="B1344" s="37"/>
      <c r="C1344" s="38"/>
      <c r="D1344" s="20"/>
      <c r="E1344" s="36" t="str">
        <f aca="false">IF($D1344="","",IFERROR(INDEX('교육원 ④ 설정'!$A$6:$A$40,MATCH($D1344,'교육원 ④ 설정'!$B$6:$B$40,0)),"※없는 과목"))</f>
        <v/>
      </c>
      <c r="F1344" s="36" t="str">
        <f aca="false">IF($D1344="","",IFERROR(INDEX('교육원 ④ 설정'!$C$6:$C$40,MATCH($D1344,'교육원 ④ 설정'!$B$6:$B$40,0)),""))</f>
        <v/>
      </c>
      <c r="G1344" s="39"/>
      <c r="H1344" s="39"/>
      <c r="I1344" s="40"/>
      <c r="J1344" s="41"/>
      <c r="K1344" s="38"/>
      <c r="L1344" s="42" t="str">
        <f aca="false">IF($B1344="","",IF(AND(N($I1344)=0,N($J1344)=0),"금액이 없습니다",IF(AND($I1344&gt;0,$J1344&gt;0),"수입·지출 둘 다 적혔습니다",IF($C1344="","결제수단을 고르십시오",IF(ISNA(MATCH($C1344,'교육원 ③ 통장·카드'!$A$5:$A$11,0)),"③ 통장·카드에 없는 결제수단입니다",IF($D1344="","계정과목을 고르십시오",IF($E1344="※없는 과목","④ 설정에 없는 과목입니다",IF(AND($E1344="수입",$J1344&gt;0),"수입 과목인데 지출에 적혔습니다",IF(AND(LEFT($E1344,2)&lt;&gt;"수입",$E1344&lt;&gt;"대체",$I1344&gt;0),"지출 과목인데 수입에 적혔습니다",IF($K1344="","증빙을 고르십시오",IF($H1344="","적요를 적으십시오","")))))))))))</f>
        <v/>
      </c>
      <c r="M1344" s="39"/>
      <c r="O1344" s="11" t="str">
        <f aca="false">IF($B1344="","",YEAR($B1344)*100+MONTH($B1344))</f>
        <v/>
      </c>
      <c r="P1344" s="11" t="str">
        <f aca="false">IF($B1344="","",IF($E1344="대체",0,1))</f>
        <v/>
      </c>
    </row>
    <row r="1345" customFormat="false" ht="15" hidden="false" customHeight="false" outlineLevel="0" collapsed="false">
      <c r="A1345" s="36" t="str">
        <f aca="false">IF($B1345="","",COUNT($B$15:$B1345))</f>
        <v/>
      </c>
      <c r="B1345" s="37"/>
      <c r="C1345" s="38"/>
      <c r="D1345" s="20"/>
      <c r="E1345" s="36" t="str">
        <f aca="false">IF($D1345="","",IFERROR(INDEX('교육원 ④ 설정'!$A$6:$A$40,MATCH($D1345,'교육원 ④ 설정'!$B$6:$B$40,0)),"※없는 과목"))</f>
        <v/>
      </c>
      <c r="F1345" s="36" t="str">
        <f aca="false">IF($D1345="","",IFERROR(INDEX('교육원 ④ 설정'!$C$6:$C$40,MATCH($D1345,'교육원 ④ 설정'!$B$6:$B$40,0)),""))</f>
        <v/>
      </c>
      <c r="G1345" s="39"/>
      <c r="H1345" s="39"/>
      <c r="I1345" s="40"/>
      <c r="J1345" s="41"/>
      <c r="K1345" s="38"/>
      <c r="L1345" s="42" t="str">
        <f aca="false">IF($B1345="","",IF(AND(N($I1345)=0,N($J1345)=0),"금액이 없습니다",IF(AND($I1345&gt;0,$J1345&gt;0),"수입·지출 둘 다 적혔습니다",IF($C1345="","결제수단을 고르십시오",IF(ISNA(MATCH($C1345,'교육원 ③ 통장·카드'!$A$5:$A$11,0)),"③ 통장·카드에 없는 결제수단입니다",IF($D1345="","계정과목을 고르십시오",IF($E1345="※없는 과목","④ 설정에 없는 과목입니다",IF(AND($E1345="수입",$J1345&gt;0),"수입 과목인데 지출에 적혔습니다",IF(AND(LEFT($E1345,2)&lt;&gt;"수입",$E1345&lt;&gt;"대체",$I1345&gt;0),"지출 과목인데 수입에 적혔습니다",IF($K1345="","증빙을 고르십시오",IF($H1345="","적요를 적으십시오","")))))))))))</f>
        <v/>
      </c>
      <c r="M1345" s="39"/>
      <c r="O1345" s="11" t="str">
        <f aca="false">IF($B1345="","",YEAR($B1345)*100+MONTH($B1345))</f>
        <v/>
      </c>
      <c r="P1345" s="11" t="str">
        <f aca="false">IF($B1345="","",IF($E1345="대체",0,1))</f>
        <v/>
      </c>
    </row>
    <row r="1346" customFormat="false" ht="15" hidden="false" customHeight="false" outlineLevel="0" collapsed="false">
      <c r="A1346" s="36" t="str">
        <f aca="false">IF($B1346="","",COUNT($B$15:$B1346))</f>
        <v/>
      </c>
      <c r="B1346" s="37"/>
      <c r="C1346" s="38"/>
      <c r="D1346" s="20"/>
      <c r="E1346" s="36" t="str">
        <f aca="false">IF($D1346="","",IFERROR(INDEX('교육원 ④ 설정'!$A$6:$A$40,MATCH($D1346,'교육원 ④ 설정'!$B$6:$B$40,0)),"※없는 과목"))</f>
        <v/>
      </c>
      <c r="F1346" s="36" t="str">
        <f aca="false">IF($D1346="","",IFERROR(INDEX('교육원 ④ 설정'!$C$6:$C$40,MATCH($D1346,'교육원 ④ 설정'!$B$6:$B$40,0)),""))</f>
        <v/>
      </c>
      <c r="G1346" s="39"/>
      <c r="H1346" s="39"/>
      <c r="I1346" s="40"/>
      <c r="J1346" s="41"/>
      <c r="K1346" s="38"/>
      <c r="L1346" s="42" t="str">
        <f aca="false">IF($B1346="","",IF(AND(N($I1346)=0,N($J1346)=0),"금액이 없습니다",IF(AND($I1346&gt;0,$J1346&gt;0),"수입·지출 둘 다 적혔습니다",IF($C1346="","결제수단을 고르십시오",IF(ISNA(MATCH($C1346,'교육원 ③ 통장·카드'!$A$5:$A$11,0)),"③ 통장·카드에 없는 결제수단입니다",IF($D1346="","계정과목을 고르십시오",IF($E1346="※없는 과목","④ 설정에 없는 과목입니다",IF(AND($E1346="수입",$J1346&gt;0),"수입 과목인데 지출에 적혔습니다",IF(AND(LEFT($E1346,2)&lt;&gt;"수입",$E1346&lt;&gt;"대체",$I1346&gt;0),"지출 과목인데 수입에 적혔습니다",IF($K1346="","증빙을 고르십시오",IF($H1346="","적요를 적으십시오","")))))))))))</f>
        <v/>
      </c>
      <c r="M1346" s="39"/>
      <c r="O1346" s="11" t="str">
        <f aca="false">IF($B1346="","",YEAR($B1346)*100+MONTH($B1346))</f>
        <v/>
      </c>
      <c r="P1346" s="11" t="str">
        <f aca="false">IF($B1346="","",IF($E1346="대체",0,1))</f>
        <v/>
      </c>
    </row>
    <row r="1347" customFormat="false" ht="15" hidden="false" customHeight="false" outlineLevel="0" collapsed="false">
      <c r="A1347" s="36" t="str">
        <f aca="false">IF($B1347="","",COUNT($B$15:$B1347))</f>
        <v/>
      </c>
      <c r="B1347" s="37"/>
      <c r="C1347" s="38"/>
      <c r="D1347" s="20"/>
      <c r="E1347" s="36" t="str">
        <f aca="false">IF($D1347="","",IFERROR(INDEX('교육원 ④ 설정'!$A$6:$A$40,MATCH($D1347,'교육원 ④ 설정'!$B$6:$B$40,0)),"※없는 과목"))</f>
        <v/>
      </c>
      <c r="F1347" s="36" t="str">
        <f aca="false">IF($D1347="","",IFERROR(INDEX('교육원 ④ 설정'!$C$6:$C$40,MATCH($D1347,'교육원 ④ 설정'!$B$6:$B$40,0)),""))</f>
        <v/>
      </c>
      <c r="G1347" s="39"/>
      <c r="H1347" s="39"/>
      <c r="I1347" s="40"/>
      <c r="J1347" s="41"/>
      <c r="K1347" s="38"/>
      <c r="L1347" s="42" t="str">
        <f aca="false">IF($B1347="","",IF(AND(N($I1347)=0,N($J1347)=0),"금액이 없습니다",IF(AND($I1347&gt;0,$J1347&gt;0),"수입·지출 둘 다 적혔습니다",IF($C1347="","결제수단을 고르십시오",IF(ISNA(MATCH($C1347,'교육원 ③ 통장·카드'!$A$5:$A$11,0)),"③ 통장·카드에 없는 결제수단입니다",IF($D1347="","계정과목을 고르십시오",IF($E1347="※없는 과목","④ 설정에 없는 과목입니다",IF(AND($E1347="수입",$J1347&gt;0),"수입 과목인데 지출에 적혔습니다",IF(AND(LEFT($E1347,2)&lt;&gt;"수입",$E1347&lt;&gt;"대체",$I1347&gt;0),"지출 과목인데 수입에 적혔습니다",IF($K1347="","증빙을 고르십시오",IF($H1347="","적요를 적으십시오","")))))))))))</f>
        <v/>
      </c>
      <c r="M1347" s="39"/>
      <c r="O1347" s="11" t="str">
        <f aca="false">IF($B1347="","",YEAR($B1347)*100+MONTH($B1347))</f>
        <v/>
      </c>
      <c r="P1347" s="11" t="str">
        <f aca="false">IF($B1347="","",IF($E1347="대체",0,1))</f>
        <v/>
      </c>
    </row>
    <row r="1348" customFormat="false" ht="15" hidden="false" customHeight="false" outlineLevel="0" collapsed="false">
      <c r="A1348" s="36" t="str">
        <f aca="false">IF($B1348="","",COUNT($B$15:$B1348))</f>
        <v/>
      </c>
      <c r="B1348" s="37"/>
      <c r="C1348" s="38"/>
      <c r="D1348" s="20"/>
      <c r="E1348" s="36" t="str">
        <f aca="false">IF($D1348="","",IFERROR(INDEX('교육원 ④ 설정'!$A$6:$A$40,MATCH($D1348,'교육원 ④ 설정'!$B$6:$B$40,0)),"※없는 과목"))</f>
        <v/>
      </c>
      <c r="F1348" s="36" t="str">
        <f aca="false">IF($D1348="","",IFERROR(INDEX('교육원 ④ 설정'!$C$6:$C$40,MATCH($D1348,'교육원 ④ 설정'!$B$6:$B$40,0)),""))</f>
        <v/>
      </c>
      <c r="G1348" s="39"/>
      <c r="H1348" s="39"/>
      <c r="I1348" s="40"/>
      <c r="J1348" s="41"/>
      <c r="K1348" s="38"/>
      <c r="L1348" s="42" t="str">
        <f aca="false">IF($B1348="","",IF(AND(N($I1348)=0,N($J1348)=0),"금액이 없습니다",IF(AND($I1348&gt;0,$J1348&gt;0),"수입·지출 둘 다 적혔습니다",IF($C1348="","결제수단을 고르십시오",IF(ISNA(MATCH($C1348,'교육원 ③ 통장·카드'!$A$5:$A$11,0)),"③ 통장·카드에 없는 결제수단입니다",IF($D1348="","계정과목을 고르십시오",IF($E1348="※없는 과목","④ 설정에 없는 과목입니다",IF(AND($E1348="수입",$J1348&gt;0),"수입 과목인데 지출에 적혔습니다",IF(AND(LEFT($E1348,2)&lt;&gt;"수입",$E1348&lt;&gt;"대체",$I1348&gt;0),"지출 과목인데 수입에 적혔습니다",IF($K1348="","증빙을 고르십시오",IF($H1348="","적요를 적으십시오","")))))))))))</f>
        <v/>
      </c>
      <c r="M1348" s="39"/>
      <c r="O1348" s="11" t="str">
        <f aca="false">IF($B1348="","",YEAR($B1348)*100+MONTH($B1348))</f>
        <v/>
      </c>
      <c r="P1348" s="11" t="str">
        <f aca="false">IF($B1348="","",IF($E1348="대체",0,1))</f>
        <v/>
      </c>
    </row>
    <row r="1349" customFormat="false" ht="15" hidden="false" customHeight="false" outlineLevel="0" collapsed="false">
      <c r="A1349" s="36" t="str">
        <f aca="false">IF($B1349="","",COUNT($B$15:$B1349))</f>
        <v/>
      </c>
      <c r="B1349" s="37"/>
      <c r="C1349" s="38"/>
      <c r="D1349" s="20"/>
      <c r="E1349" s="36" t="str">
        <f aca="false">IF($D1349="","",IFERROR(INDEX('교육원 ④ 설정'!$A$6:$A$40,MATCH($D1349,'교육원 ④ 설정'!$B$6:$B$40,0)),"※없는 과목"))</f>
        <v/>
      </c>
      <c r="F1349" s="36" t="str">
        <f aca="false">IF($D1349="","",IFERROR(INDEX('교육원 ④ 설정'!$C$6:$C$40,MATCH($D1349,'교육원 ④ 설정'!$B$6:$B$40,0)),""))</f>
        <v/>
      </c>
      <c r="G1349" s="39"/>
      <c r="H1349" s="39"/>
      <c r="I1349" s="40"/>
      <c r="J1349" s="41"/>
      <c r="K1349" s="38"/>
      <c r="L1349" s="42" t="str">
        <f aca="false">IF($B1349="","",IF(AND(N($I1349)=0,N($J1349)=0),"금액이 없습니다",IF(AND($I1349&gt;0,$J1349&gt;0),"수입·지출 둘 다 적혔습니다",IF($C1349="","결제수단을 고르십시오",IF(ISNA(MATCH($C1349,'교육원 ③ 통장·카드'!$A$5:$A$11,0)),"③ 통장·카드에 없는 결제수단입니다",IF($D1349="","계정과목을 고르십시오",IF($E1349="※없는 과목","④ 설정에 없는 과목입니다",IF(AND($E1349="수입",$J1349&gt;0),"수입 과목인데 지출에 적혔습니다",IF(AND(LEFT($E1349,2)&lt;&gt;"수입",$E1349&lt;&gt;"대체",$I1349&gt;0),"지출 과목인데 수입에 적혔습니다",IF($K1349="","증빙을 고르십시오",IF($H1349="","적요를 적으십시오","")))))))))))</f>
        <v/>
      </c>
      <c r="M1349" s="39"/>
      <c r="O1349" s="11" t="str">
        <f aca="false">IF($B1349="","",YEAR($B1349)*100+MONTH($B1349))</f>
        <v/>
      </c>
      <c r="P1349" s="11" t="str">
        <f aca="false">IF($B1349="","",IF($E1349="대체",0,1))</f>
        <v/>
      </c>
    </row>
    <row r="1350" customFormat="false" ht="15" hidden="false" customHeight="false" outlineLevel="0" collapsed="false">
      <c r="A1350" s="36" t="str">
        <f aca="false">IF($B1350="","",COUNT($B$15:$B1350))</f>
        <v/>
      </c>
      <c r="B1350" s="37"/>
      <c r="C1350" s="38"/>
      <c r="D1350" s="20"/>
      <c r="E1350" s="36" t="str">
        <f aca="false">IF($D1350="","",IFERROR(INDEX('교육원 ④ 설정'!$A$6:$A$40,MATCH($D1350,'교육원 ④ 설정'!$B$6:$B$40,0)),"※없는 과목"))</f>
        <v/>
      </c>
      <c r="F1350" s="36" t="str">
        <f aca="false">IF($D1350="","",IFERROR(INDEX('교육원 ④ 설정'!$C$6:$C$40,MATCH($D1350,'교육원 ④ 설정'!$B$6:$B$40,0)),""))</f>
        <v/>
      </c>
      <c r="G1350" s="39"/>
      <c r="H1350" s="39"/>
      <c r="I1350" s="40"/>
      <c r="J1350" s="41"/>
      <c r="K1350" s="38"/>
      <c r="L1350" s="42" t="str">
        <f aca="false">IF($B1350="","",IF(AND(N($I1350)=0,N($J1350)=0),"금액이 없습니다",IF(AND($I1350&gt;0,$J1350&gt;0),"수입·지출 둘 다 적혔습니다",IF($C1350="","결제수단을 고르십시오",IF(ISNA(MATCH($C1350,'교육원 ③ 통장·카드'!$A$5:$A$11,0)),"③ 통장·카드에 없는 결제수단입니다",IF($D1350="","계정과목을 고르십시오",IF($E1350="※없는 과목","④ 설정에 없는 과목입니다",IF(AND($E1350="수입",$J1350&gt;0),"수입 과목인데 지출에 적혔습니다",IF(AND(LEFT($E1350,2)&lt;&gt;"수입",$E1350&lt;&gt;"대체",$I1350&gt;0),"지출 과목인데 수입에 적혔습니다",IF($K1350="","증빙을 고르십시오",IF($H1350="","적요를 적으십시오","")))))))))))</f>
        <v/>
      </c>
      <c r="M1350" s="39"/>
      <c r="O1350" s="11" t="str">
        <f aca="false">IF($B1350="","",YEAR($B1350)*100+MONTH($B1350))</f>
        <v/>
      </c>
      <c r="P1350" s="11" t="str">
        <f aca="false">IF($B1350="","",IF($E1350="대체",0,1))</f>
        <v/>
      </c>
    </row>
    <row r="1351" customFormat="false" ht="15" hidden="false" customHeight="false" outlineLevel="0" collapsed="false">
      <c r="A1351" s="36" t="str">
        <f aca="false">IF($B1351="","",COUNT($B$15:$B1351))</f>
        <v/>
      </c>
      <c r="B1351" s="37"/>
      <c r="C1351" s="38"/>
      <c r="D1351" s="20"/>
      <c r="E1351" s="36" t="str">
        <f aca="false">IF($D1351="","",IFERROR(INDEX('교육원 ④ 설정'!$A$6:$A$40,MATCH($D1351,'교육원 ④ 설정'!$B$6:$B$40,0)),"※없는 과목"))</f>
        <v/>
      </c>
      <c r="F1351" s="36" t="str">
        <f aca="false">IF($D1351="","",IFERROR(INDEX('교육원 ④ 설정'!$C$6:$C$40,MATCH($D1351,'교육원 ④ 설정'!$B$6:$B$40,0)),""))</f>
        <v/>
      </c>
      <c r="G1351" s="39"/>
      <c r="H1351" s="39"/>
      <c r="I1351" s="40"/>
      <c r="J1351" s="41"/>
      <c r="K1351" s="38"/>
      <c r="L1351" s="42" t="str">
        <f aca="false">IF($B1351="","",IF(AND(N($I1351)=0,N($J1351)=0),"금액이 없습니다",IF(AND($I1351&gt;0,$J1351&gt;0),"수입·지출 둘 다 적혔습니다",IF($C1351="","결제수단을 고르십시오",IF(ISNA(MATCH($C1351,'교육원 ③ 통장·카드'!$A$5:$A$11,0)),"③ 통장·카드에 없는 결제수단입니다",IF($D1351="","계정과목을 고르십시오",IF($E1351="※없는 과목","④ 설정에 없는 과목입니다",IF(AND($E1351="수입",$J1351&gt;0),"수입 과목인데 지출에 적혔습니다",IF(AND(LEFT($E1351,2)&lt;&gt;"수입",$E1351&lt;&gt;"대체",$I1351&gt;0),"지출 과목인데 수입에 적혔습니다",IF($K1351="","증빙을 고르십시오",IF($H1351="","적요를 적으십시오","")))))))))))</f>
        <v/>
      </c>
      <c r="M1351" s="39"/>
      <c r="O1351" s="11" t="str">
        <f aca="false">IF($B1351="","",YEAR($B1351)*100+MONTH($B1351))</f>
        <v/>
      </c>
      <c r="P1351" s="11" t="str">
        <f aca="false">IF($B1351="","",IF($E1351="대체",0,1))</f>
        <v/>
      </c>
    </row>
    <row r="1352" customFormat="false" ht="15" hidden="false" customHeight="false" outlineLevel="0" collapsed="false">
      <c r="A1352" s="36" t="str">
        <f aca="false">IF($B1352="","",COUNT($B$15:$B1352))</f>
        <v/>
      </c>
      <c r="B1352" s="37"/>
      <c r="C1352" s="38"/>
      <c r="D1352" s="20"/>
      <c r="E1352" s="36" t="str">
        <f aca="false">IF($D1352="","",IFERROR(INDEX('교육원 ④ 설정'!$A$6:$A$40,MATCH($D1352,'교육원 ④ 설정'!$B$6:$B$40,0)),"※없는 과목"))</f>
        <v/>
      </c>
      <c r="F1352" s="36" t="str">
        <f aca="false">IF($D1352="","",IFERROR(INDEX('교육원 ④ 설정'!$C$6:$C$40,MATCH($D1352,'교육원 ④ 설정'!$B$6:$B$40,0)),""))</f>
        <v/>
      </c>
      <c r="G1352" s="39"/>
      <c r="H1352" s="39"/>
      <c r="I1352" s="40"/>
      <c r="J1352" s="41"/>
      <c r="K1352" s="38"/>
      <c r="L1352" s="42" t="str">
        <f aca="false">IF($B1352="","",IF(AND(N($I1352)=0,N($J1352)=0),"금액이 없습니다",IF(AND($I1352&gt;0,$J1352&gt;0),"수입·지출 둘 다 적혔습니다",IF($C1352="","결제수단을 고르십시오",IF(ISNA(MATCH($C1352,'교육원 ③ 통장·카드'!$A$5:$A$11,0)),"③ 통장·카드에 없는 결제수단입니다",IF($D1352="","계정과목을 고르십시오",IF($E1352="※없는 과목","④ 설정에 없는 과목입니다",IF(AND($E1352="수입",$J1352&gt;0),"수입 과목인데 지출에 적혔습니다",IF(AND(LEFT($E1352,2)&lt;&gt;"수입",$E1352&lt;&gt;"대체",$I1352&gt;0),"지출 과목인데 수입에 적혔습니다",IF($K1352="","증빙을 고르십시오",IF($H1352="","적요를 적으십시오","")))))))))))</f>
        <v/>
      </c>
      <c r="M1352" s="39"/>
      <c r="O1352" s="11" t="str">
        <f aca="false">IF($B1352="","",YEAR($B1352)*100+MONTH($B1352))</f>
        <v/>
      </c>
      <c r="P1352" s="11" t="str">
        <f aca="false">IF($B1352="","",IF($E1352="대체",0,1))</f>
        <v/>
      </c>
    </row>
    <row r="1353" customFormat="false" ht="15" hidden="false" customHeight="false" outlineLevel="0" collapsed="false">
      <c r="A1353" s="36" t="str">
        <f aca="false">IF($B1353="","",COUNT($B$15:$B1353))</f>
        <v/>
      </c>
      <c r="B1353" s="37"/>
      <c r="C1353" s="38"/>
      <c r="D1353" s="20"/>
      <c r="E1353" s="36" t="str">
        <f aca="false">IF($D1353="","",IFERROR(INDEX('교육원 ④ 설정'!$A$6:$A$40,MATCH($D1353,'교육원 ④ 설정'!$B$6:$B$40,0)),"※없는 과목"))</f>
        <v/>
      </c>
      <c r="F1353" s="36" t="str">
        <f aca="false">IF($D1353="","",IFERROR(INDEX('교육원 ④ 설정'!$C$6:$C$40,MATCH($D1353,'교육원 ④ 설정'!$B$6:$B$40,0)),""))</f>
        <v/>
      </c>
      <c r="G1353" s="39"/>
      <c r="H1353" s="39"/>
      <c r="I1353" s="40"/>
      <c r="J1353" s="41"/>
      <c r="K1353" s="38"/>
      <c r="L1353" s="42" t="str">
        <f aca="false">IF($B1353="","",IF(AND(N($I1353)=0,N($J1353)=0),"금액이 없습니다",IF(AND($I1353&gt;0,$J1353&gt;0),"수입·지출 둘 다 적혔습니다",IF($C1353="","결제수단을 고르십시오",IF(ISNA(MATCH($C1353,'교육원 ③ 통장·카드'!$A$5:$A$11,0)),"③ 통장·카드에 없는 결제수단입니다",IF($D1353="","계정과목을 고르십시오",IF($E1353="※없는 과목","④ 설정에 없는 과목입니다",IF(AND($E1353="수입",$J1353&gt;0),"수입 과목인데 지출에 적혔습니다",IF(AND(LEFT($E1353,2)&lt;&gt;"수입",$E1353&lt;&gt;"대체",$I1353&gt;0),"지출 과목인데 수입에 적혔습니다",IF($K1353="","증빙을 고르십시오",IF($H1353="","적요를 적으십시오","")))))))))))</f>
        <v/>
      </c>
      <c r="M1353" s="39"/>
      <c r="O1353" s="11" t="str">
        <f aca="false">IF($B1353="","",YEAR($B1353)*100+MONTH($B1353))</f>
        <v/>
      </c>
      <c r="P1353" s="11" t="str">
        <f aca="false">IF($B1353="","",IF($E1353="대체",0,1))</f>
        <v/>
      </c>
    </row>
    <row r="1354" customFormat="false" ht="15" hidden="false" customHeight="false" outlineLevel="0" collapsed="false">
      <c r="A1354" s="36" t="str">
        <f aca="false">IF($B1354="","",COUNT($B$15:$B1354))</f>
        <v/>
      </c>
      <c r="B1354" s="37"/>
      <c r="C1354" s="38"/>
      <c r="D1354" s="20"/>
      <c r="E1354" s="36" t="str">
        <f aca="false">IF($D1354="","",IFERROR(INDEX('교육원 ④ 설정'!$A$6:$A$40,MATCH($D1354,'교육원 ④ 설정'!$B$6:$B$40,0)),"※없는 과목"))</f>
        <v/>
      </c>
      <c r="F1354" s="36" t="str">
        <f aca="false">IF($D1354="","",IFERROR(INDEX('교육원 ④ 설정'!$C$6:$C$40,MATCH($D1354,'교육원 ④ 설정'!$B$6:$B$40,0)),""))</f>
        <v/>
      </c>
      <c r="G1354" s="39"/>
      <c r="H1354" s="39"/>
      <c r="I1354" s="40"/>
      <c r="J1354" s="41"/>
      <c r="K1354" s="38"/>
      <c r="L1354" s="42" t="str">
        <f aca="false">IF($B1354="","",IF(AND(N($I1354)=0,N($J1354)=0),"금액이 없습니다",IF(AND($I1354&gt;0,$J1354&gt;0),"수입·지출 둘 다 적혔습니다",IF($C1354="","결제수단을 고르십시오",IF(ISNA(MATCH($C1354,'교육원 ③ 통장·카드'!$A$5:$A$11,0)),"③ 통장·카드에 없는 결제수단입니다",IF($D1354="","계정과목을 고르십시오",IF($E1354="※없는 과목","④ 설정에 없는 과목입니다",IF(AND($E1354="수입",$J1354&gt;0),"수입 과목인데 지출에 적혔습니다",IF(AND(LEFT($E1354,2)&lt;&gt;"수입",$E1354&lt;&gt;"대체",$I1354&gt;0),"지출 과목인데 수입에 적혔습니다",IF($K1354="","증빙을 고르십시오",IF($H1354="","적요를 적으십시오","")))))))))))</f>
        <v/>
      </c>
      <c r="M1354" s="39"/>
      <c r="O1354" s="11" t="str">
        <f aca="false">IF($B1354="","",YEAR($B1354)*100+MONTH($B1354))</f>
        <v/>
      </c>
      <c r="P1354" s="11" t="str">
        <f aca="false">IF($B1354="","",IF($E1354="대체",0,1))</f>
        <v/>
      </c>
    </row>
    <row r="1355" customFormat="false" ht="15" hidden="false" customHeight="false" outlineLevel="0" collapsed="false">
      <c r="A1355" s="36" t="str">
        <f aca="false">IF($B1355="","",COUNT($B$15:$B1355))</f>
        <v/>
      </c>
      <c r="B1355" s="37"/>
      <c r="C1355" s="38"/>
      <c r="D1355" s="20"/>
      <c r="E1355" s="36" t="str">
        <f aca="false">IF($D1355="","",IFERROR(INDEX('교육원 ④ 설정'!$A$6:$A$40,MATCH($D1355,'교육원 ④ 설정'!$B$6:$B$40,0)),"※없는 과목"))</f>
        <v/>
      </c>
      <c r="F1355" s="36" t="str">
        <f aca="false">IF($D1355="","",IFERROR(INDEX('교육원 ④ 설정'!$C$6:$C$40,MATCH($D1355,'교육원 ④ 설정'!$B$6:$B$40,0)),""))</f>
        <v/>
      </c>
      <c r="G1355" s="39"/>
      <c r="H1355" s="39"/>
      <c r="I1355" s="40"/>
      <c r="J1355" s="41"/>
      <c r="K1355" s="38"/>
      <c r="L1355" s="42" t="str">
        <f aca="false">IF($B1355="","",IF(AND(N($I1355)=0,N($J1355)=0),"금액이 없습니다",IF(AND($I1355&gt;0,$J1355&gt;0),"수입·지출 둘 다 적혔습니다",IF($C1355="","결제수단을 고르십시오",IF(ISNA(MATCH($C1355,'교육원 ③ 통장·카드'!$A$5:$A$11,0)),"③ 통장·카드에 없는 결제수단입니다",IF($D1355="","계정과목을 고르십시오",IF($E1355="※없는 과목","④ 설정에 없는 과목입니다",IF(AND($E1355="수입",$J1355&gt;0),"수입 과목인데 지출에 적혔습니다",IF(AND(LEFT($E1355,2)&lt;&gt;"수입",$E1355&lt;&gt;"대체",$I1355&gt;0),"지출 과목인데 수입에 적혔습니다",IF($K1355="","증빙을 고르십시오",IF($H1355="","적요를 적으십시오","")))))))))))</f>
        <v/>
      </c>
      <c r="M1355" s="39"/>
      <c r="O1355" s="11" t="str">
        <f aca="false">IF($B1355="","",YEAR($B1355)*100+MONTH($B1355))</f>
        <v/>
      </c>
      <c r="P1355" s="11" t="str">
        <f aca="false">IF($B1355="","",IF($E1355="대체",0,1))</f>
        <v/>
      </c>
    </row>
    <row r="1356" customFormat="false" ht="15" hidden="false" customHeight="false" outlineLevel="0" collapsed="false">
      <c r="A1356" s="36" t="str">
        <f aca="false">IF($B1356="","",COUNT($B$15:$B1356))</f>
        <v/>
      </c>
      <c r="B1356" s="37"/>
      <c r="C1356" s="38"/>
      <c r="D1356" s="20"/>
      <c r="E1356" s="36" t="str">
        <f aca="false">IF($D1356="","",IFERROR(INDEX('교육원 ④ 설정'!$A$6:$A$40,MATCH($D1356,'교육원 ④ 설정'!$B$6:$B$40,0)),"※없는 과목"))</f>
        <v/>
      </c>
      <c r="F1356" s="36" t="str">
        <f aca="false">IF($D1356="","",IFERROR(INDEX('교육원 ④ 설정'!$C$6:$C$40,MATCH($D1356,'교육원 ④ 설정'!$B$6:$B$40,0)),""))</f>
        <v/>
      </c>
      <c r="G1356" s="39"/>
      <c r="H1356" s="39"/>
      <c r="I1356" s="40"/>
      <c r="J1356" s="41"/>
      <c r="K1356" s="38"/>
      <c r="L1356" s="42" t="str">
        <f aca="false">IF($B1356="","",IF(AND(N($I1356)=0,N($J1356)=0),"금액이 없습니다",IF(AND($I1356&gt;0,$J1356&gt;0),"수입·지출 둘 다 적혔습니다",IF($C1356="","결제수단을 고르십시오",IF(ISNA(MATCH($C1356,'교육원 ③ 통장·카드'!$A$5:$A$11,0)),"③ 통장·카드에 없는 결제수단입니다",IF($D1356="","계정과목을 고르십시오",IF($E1356="※없는 과목","④ 설정에 없는 과목입니다",IF(AND($E1356="수입",$J1356&gt;0),"수입 과목인데 지출에 적혔습니다",IF(AND(LEFT($E1356,2)&lt;&gt;"수입",$E1356&lt;&gt;"대체",$I1356&gt;0),"지출 과목인데 수입에 적혔습니다",IF($K1356="","증빙을 고르십시오",IF($H1356="","적요를 적으십시오","")))))))))))</f>
        <v/>
      </c>
      <c r="M1356" s="39"/>
      <c r="O1356" s="11" t="str">
        <f aca="false">IF($B1356="","",YEAR($B1356)*100+MONTH($B1356))</f>
        <v/>
      </c>
      <c r="P1356" s="11" t="str">
        <f aca="false">IF($B1356="","",IF($E1356="대체",0,1))</f>
        <v/>
      </c>
    </row>
    <row r="1357" customFormat="false" ht="15" hidden="false" customHeight="false" outlineLevel="0" collapsed="false">
      <c r="A1357" s="36" t="str">
        <f aca="false">IF($B1357="","",COUNT($B$15:$B1357))</f>
        <v/>
      </c>
      <c r="B1357" s="37"/>
      <c r="C1357" s="38"/>
      <c r="D1357" s="20"/>
      <c r="E1357" s="36" t="str">
        <f aca="false">IF($D1357="","",IFERROR(INDEX('교육원 ④ 설정'!$A$6:$A$40,MATCH($D1357,'교육원 ④ 설정'!$B$6:$B$40,0)),"※없는 과목"))</f>
        <v/>
      </c>
      <c r="F1357" s="36" t="str">
        <f aca="false">IF($D1357="","",IFERROR(INDEX('교육원 ④ 설정'!$C$6:$C$40,MATCH($D1357,'교육원 ④ 설정'!$B$6:$B$40,0)),""))</f>
        <v/>
      </c>
      <c r="G1357" s="39"/>
      <c r="H1357" s="39"/>
      <c r="I1357" s="40"/>
      <c r="J1357" s="41"/>
      <c r="K1357" s="38"/>
      <c r="L1357" s="42" t="str">
        <f aca="false">IF($B1357="","",IF(AND(N($I1357)=0,N($J1357)=0),"금액이 없습니다",IF(AND($I1357&gt;0,$J1357&gt;0),"수입·지출 둘 다 적혔습니다",IF($C1357="","결제수단을 고르십시오",IF(ISNA(MATCH($C1357,'교육원 ③ 통장·카드'!$A$5:$A$11,0)),"③ 통장·카드에 없는 결제수단입니다",IF($D1357="","계정과목을 고르십시오",IF($E1357="※없는 과목","④ 설정에 없는 과목입니다",IF(AND($E1357="수입",$J1357&gt;0),"수입 과목인데 지출에 적혔습니다",IF(AND(LEFT($E1357,2)&lt;&gt;"수입",$E1357&lt;&gt;"대체",$I1357&gt;0),"지출 과목인데 수입에 적혔습니다",IF($K1357="","증빙을 고르십시오",IF($H1357="","적요를 적으십시오","")))))))))))</f>
        <v/>
      </c>
      <c r="M1357" s="39"/>
      <c r="O1357" s="11" t="str">
        <f aca="false">IF($B1357="","",YEAR($B1357)*100+MONTH($B1357))</f>
        <v/>
      </c>
      <c r="P1357" s="11" t="str">
        <f aca="false">IF($B1357="","",IF($E1357="대체",0,1))</f>
        <v/>
      </c>
    </row>
    <row r="1358" customFormat="false" ht="15" hidden="false" customHeight="false" outlineLevel="0" collapsed="false">
      <c r="A1358" s="36" t="str">
        <f aca="false">IF($B1358="","",COUNT($B$15:$B1358))</f>
        <v/>
      </c>
      <c r="B1358" s="37"/>
      <c r="C1358" s="38"/>
      <c r="D1358" s="20"/>
      <c r="E1358" s="36" t="str">
        <f aca="false">IF($D1358="","",IFERROR(INDEX('교육원 ④ 설정'!$A$6:$A$40,MATCH($D1358,'교육원 ④ 설정'!$B$6:$B$40,0)),"※없는 과목"))</f>
        <v/>
      </c>
      <c r="F1358" s="36" t="str">
        <f aca="false">IF($D1358="","",IFERROR(INDEX('교육원 ④ 설정'!$C$6:$C$40,MATCH($D1358,'교육원 ④ 설정'!$B$6:$B$40,0)),""))</f>
        <v/>
      </c>
      <c r="G1358" s="39"/>
      <c r="H1358" s="39"/>
      <c r="I1358" s="40"/>
      <c r="J1358" s="41"/>
      <c r="K1358" s="38"/>
      <c r="L1358" s="42" t="str">
        <f aca="false">IF($B1358="","",IF(AND(N($I1358)=0,N($J1358)=0),"금액이 없습니다",IF(AND($I1358&gt;0,$J1358&gt;0),"수입·지출 둘 다 적혔습니다",IF($C1358="","결제수단을 고르십시오",IF(ISNA(MATCH($C1358,'교육원 ③ 통장·카드'!$A$5:$A$11,0)),"③ 통장·카드에 없는 결제수단입니다",IF($D1358="","계정과목을 고르십시오",IF($E1358="※없는 과목","④ 설정에 없는 과목입니다",IF(AND($E1358="수입",$J1358&gt;0),"수입 과목인데 지출에 적혔습니다",IF(AND(LEFT($E1358,2)&lt;&gt;"수입",$E1358&lt;&gt;"대체",$I1358&gt;0),"지출 과목인데 수입에 적혔습니다",IF($K1358="","증빙을 고르십시오",IF($H1358="","적요를 적으십시오","")))))))))))</f>
        <v/>
      </c>
      <c r="M1358" s="39"/>
      <c r="O1358" s="11" t="str">
        <f aca="false">IF($B1358="","",YEAR($B1358)*100+MONTH($B1358))</f>
        <v/>
      </c>
      <c r="P1358" s="11" t="str">
        <f aca="false">IF($B1358="","",IF($E1358="대체",0,1))</f>
        <v/>
      </c>
    </row>
    <row r="1359" customFormat="false" ht="15" hidden="false" customHeight="false" outlineLevel="0" collapsed="false">
      <c r="A1359" s="36" t="str">
        <f aca="false">IF($B1359="","",COUNT($B$15:$B1359))</f>
        <v/>
      </c>
      <c r="B1359" s="37"/>
      <c r="C1359" s="38"/>
      <c r="D1359" s="20"/>
      <c r="E1359" s="36" t="str">
        <f aca="false">IF($D1359="","",IFERROR(INDEX('교육원 ④ 설정'!$A$6:$A$40,MATCH($D1359,'교육원 ④ 설정'!$B$6:$B$40,0)),"※없는 과목"))</f>
        <v/>
      </c>
      <c r="F1359" s="36" t="str">
        <f aca="false">IF($D1359="","",IFERROR(INDEX('교육원 ④ 설정'!$C$6:$C$40,MATCH($D1359,'교육원 ④ 설정'!$B$6:$B$40,0)),""))</f>
        <v/>
      </c>
      <c r="G1359" s="39"/>
      <c r="H1359" s="39"/>
      <c r="I1359" s="40"/>
      <c r="J1359" s="41"/>
      <c r="K1359" s="38"/>
      <c r="L1359" s="42" t="str">
        <f aca="false">IF($B1359="","",IF(AND(N($I1359)=0,N($J1359)=0),"금액이 없습니다",IF(AND($I1359&gt;0,$J1359&gt;0),"수입·지출 둘 다 적혔습니다",IF($C1359="","결제수단을 고르십시오",IF(ISNA(MATCH($C1359,'교육원 ③ 통장·카드'!$A$5:$A$11,0)),"③ 통장·카드에 없는 결제수단입니다",IF($D1359="","계정과목을 고르십시오",IF($E1359="※없는 과목","④ 설정에 없는 과목입니다",IF(AND($E1359="수입",$J1359&gt;0),"수입 과목인데 지출에 적혔습니다",IF(AND(LEFT($E1359,2)&lt;&gt;"수입",$E1359&lt;&gt;"대체",$I1359&gt;0),"지출 과목인데 수입에 적혔습니다",IF($K1359="","증빙을 고르십시오",IF($H1359="","적요를 적으십시오","")))))))))))</f>
        <v/>
      </c>
      <c r="M1359" s="39"/>
      <c r="O1359" s="11" t="str">
        <f aca="false">IF($B1359="","",YEAR($B1359)*100+MONTH($B1359))</f>
        <v/>
      </c>
      <c r="P1359" s="11" t="str">
        <f aca="false">IF($B1359="","",IF($E1359="대체",0,1))</f>
        <v/>
      </c>
    </row>
    <row r="1360" customFormat="false" ht="15" hidden="false" customHeight="false" outlineLevel="0" collapsed="false">
      <c r="A1360" s="36" t="str">
        <f aca="false">IF($B1360="","",COUNT($B$15:$B1360))</f>
        <v/>
      </c>
      <c r="B1360" s="37"/>
      <c r="C1360" s="38"/>
      <c r="D1360" s="20"/>
      <c r="E1360" s="36" t="str">
        <f aca="false">IF($D1360="","",IFERROR(INDEX('교육원 ④ 설정'!$A$6:$A$40,MATCH($D1360,'교육원 ④ 설정'!$B$6:$B$40,0)),"※없는 과목"))</f>
        <v/>
      </c>
      <c r="F1360" s="36" t="str">
        <f aca="false">IF($D1360="","",IFERROR(INDEX('교육원 ④ 설정'!$C$6:$C$40,MATCH($D1360,'교육원 ④ 설정'!$B$6:$B$40,0)),""))</f>
        <v/>
      </c>
      <c r="G1360" s="39"/>
      <c r="H1360" s="39"/>
      <c r="I1360" s="40"/>
      <c r="J1360" s="41"/>
      <c r="K1360" s="38"/>
      <c r="L1360" s="42" t="str">
        <f aca="false">IF($B1360="","",IF(AND(N($I1360)=0,N($J1360)=0),"금액이 없습니다",IF(AND($I1360&gt;0,$J1360&gt;0),"수입·지출 둘 다 적혔습니다",IF($C1360="","결제수단을 고르십시오",IF(ISNA(MATCH($C1360,'교육원 ③ 통장·카드'!$A$5:$A$11,0)),"③ 통장·카드에 없는 결제수단입니다",IF($D1360="","계정과목을 고르십시오",IF($E1360="※없는 과목","④ 설정에 없는 과목입니다",IF(AND($E1360="수입",$J1360&gt;0),"수입 과목인데 지출에 적혔습니다",IF(AND(LEFT($E1360,2)&lt;&gt;"수입",$E1360&lt;&gt;"대체",$I1360&gt;0),"지출 과목인데 수입에 적혔습니다",IF($K1360="","증빙을 고르십시오",IF($H1360="","적요를 적으십시오","")))))))))))</f>
        <v/>
      </c>
      <c r="M1360" s="39"/>
      <c r="O1360" s="11" t="str">
        <f aca="false">IF($B1360="","",YEAR($B1360)*100+MONTH($B1360))</f>
        <v/>
      </c>
      <c r="P1360" s="11" t="str">
        <f aca="false">IF($B1360="","",IF($E1360="대체",0,1))</f>
        <v/>
      </c>
    </row>
    <row r="1361" customFormat="false" ht="15" hidden="false" customHeight="false" outlineLevel="0" collapsed="false">
      <c r="A1361" s="36" t="str">
        <f aca="false">IF($B1361="","",COUNT($B$15:$B1361))</f>
        <v/>
      </c>
      <c r="B1361" s="37"/>
      <c r="C1361" s="38"/>
      <c r="D1361" s="20"/>
      <c r="E1361" s="36" t="str">
        <f aca="false">IF($D1361="","",IFERROR(INDEX('교육원 ④ 설정'!$A$6:$A$40,MATCH($D1361,'교육원 ④ 설정'!$B$6:$B$40,0)),"※없는 과목"))</f>
        <v/>
      </c>
      <c r="F1361" s="36" t="str">
        <f aca="false">IF($D1361="","",IFERROR(INDEX('교육원 ④ 설정'!$C$6:$C$40,MATCH($D1361,'교육원 ④ 설정'!$B$6:$B$40,0)),""))</f>
        <v/>
      </c>
      <c r="G1361" s="39"/>
      <c r="H1361" s="39"/>
      <c r="I1361" s="40"/>
      <c r="J1361" s="41"/>
      <c r="K1361" s="38"/>
      <c r="L1361" s="42" t="str">
        <f aca="false">IF($B1361="","",IF(AND(N($I1361)=0,N($J1361)=0),"금액이 없습니다",IF(AND($I1361&gt;0,$J1361&gt;0),"수입·지출 둘 다 적혔습니다",IF($C1361="","결제수단을 고르십시오",IF(ISNA(MATCH($C1361,'교육원 ③ 통장·카드'!$A$5:$A$11,0)),"③ 통장·카드에 없는 결제수단입니다",IF($D1361="","계정과목을 고르십시오",IF($E1361="※없는 과목","④ 설정에 없는 과목입니다",IF(AND($E1361="수입",$J1361&gt;0),"수입 과목인데 지출에 적혔습니다",IF(AND(LEFT($E1361,2)&lt;&gt;"수입",$E1361&lt;&gt;"대체",$I1361&gt;0),"지출 과목인데 수입에 적혔습니다",IF($K1361="","증빙을 고르십시오",IF($H1361="","적요를 적으십시오","")))))))))))</f>
        <v/>
      </c>
      <c r="M1361" s="39"/>
      <c r="O1361" s="11" t="str">
        <f aca="false">IF($B1361="","",YEAR($B1361)*100+MONTH($B1361))</f>
        <v/>
      </c>
      <c r="P1361" s="11" t="str">
        <f aca="false">IF($B1361="","",IF($E1361="대체",0,1))</f>
        <v/>
      </c>
    </row>
    <row r="1362" customFormat="false" ht="15" hidden="false" customHeight="false" outlineLevel="0" collapsed="false">
      <c r="A1362" s="36" t="str">
        <f aca="false">IF($B1362="","",COUNT($B$15:$B1362))</f>
        <v/>
      </c>
      <c r="B1362" s="37"/>
      <c r="C1362" s="38"/>
      <c r="D1362" s="20"/>
      <c r="E1362" s="36" t="str">
        <f aca="false">IF($D1362="","",IFERROR(INDEX('교육원 ④ 설정'!$A$6:$A$40,MATCH($D1362,'교육원 ④ 설정'!$B$6:$B$40,0)),"※없는 과목"))</f>
        <v/>
      </c>
      <c r="F1362" s="36" t="str">
        <f aca="false">IF($D1362="","",IFERROR(INDEX('교육원 ④ 설정'!$C$6:$C$40,MATCH($D1362,'교육원 ④ 설정'!$B$6:$B$40,0)),""))</f>
        <v/>
      </c>
      <c r="G1362" s="39"/>
      <c r="H1362" s="39"/>
      <c r="I1362" s="40"/>
      <c r="J1362" s="41"/>
      <c r="K1362" s="38"/>
      <c r="L1362" s="42" t="str">
        <f aca="false">IF($B1362="","",IF(AND(N($I1362)=0,N($J1362)=0),"금액이 없습니다",IF(AND($I1362&gt;0,$J1362&gt;0),"수입·지출 둘 다 적혔습니다",IF($C1362="","결제수단을 고르십시오",IF(ISNA(MATCH($C1362,'교육원 ③ 통장·카드'!$A$5:$A$11,0)),"③ 통장·카드에 없는 결제수단입니다",IF($D1362="","계정과목을 고르십시오",IF($E1362="※없는 과목","④ 설정에 없는 과목입니다",IF(AND($E1362="수입",$J1362&gt;0),"수입 과목인데 지출에 적혔습니다",IF(AND(LEFT($E1362,2)&lt;&gt;"수입",$E1362&lt;&gt;"대체",$I1362&gt;0),"지출 과목인데 수입에 적혔습니다",IF($K1362="","증빙을 고르십시오",IF($H1362="","적요를 적으십시오","")))))))))))</f>
        <v/>
      </c>
      <c r="M1362" s="39"/>
      <c r="O1362" s="11" t="str">
        <f aca="false">IF($B1362="","",YEAR($B1362)*100+MONTH($B1362))</f>
        <v/>
      </c>
      <c r="P1362" s="11" t="str">
        <f aca="false">IF($B1362="","",IF($E1362="대체",0,1))</f>
        <v/>
      </c>
    </row>
    <row r="1363" customFormat="false" ht="15" hidden="false" customHeight="false" outlineLevel="0" collapsed="false">
      <c r="A1363" s="36" t="str">
        <f aca="false">IF($B1363="","",COUNT($B$15:$B1363))</f>
        <v/>
      </c>
      <c r="B1363" s="37"/>
      <c r="C1363" s="38"/>
      <c r="D1363" s="20"/>
      <c r="E1363" s="36" t="str">
        <f aca="false">IF($D1363="","",IFERROR(INDEX('교육원 ④ 설정'!$A$6:$A$40,MATCH($D1363,'교육원 ④ 설정'!$B$6:$B$40,0)),"※없는 과목"))</f>
        <v/>
      </c>
      <c r="F1363" s="36" t="str">
        <f aca="false">IF($D1363="","",IFERROR(INDEX('교육원 ④ 설정'!$C$6:$C$40,MATCH($D1363,'교육원 ④ 설정'!$B$6:$B$40,0)),""))</f>
        <v/>
      </c>
      <c r="G1363" s="39"/>
      <c r="H1363" s="39"/>
      <c r="I1363" s="40"/>
      <c r="J1363" s="41"/>
      <c r="K1363" s="38"/>
      <c r="L1363" s="42" t="str">
        <f aca="false">IF($B1363="","",IF(AND(N($I1363)=0,N($J1363)=0),"금액이 없습니다",IF(AND($I1363&gt;0,$J1363&gt;0),"수입·지출 둘 다 적혔습니다",IF($C1363="","결제수단을 고르십시오",IF(ISNA(MATCH($C1363,'교육원 ③ 통장·카드'!$A$5:$A$11,0)),"③ 통장·카드에 없는 결제수단입니다",IF($D1363="","계정과목을 고르십시오",IF($E1363="※없는 과목","④ 설정에 없는 과목입니다",IF(AND($E1363="수입",$J1363&gt;0),"수입 과목인데 지출에 적혔습니다",IF(AND(LEFT($E1363,2)&lt;&gt;"수입",$E1363&lt;&gt;"대체",$I1363&gt;0),"지출 과목인데 수입에 적혔습니다",IF($K1363="","증빙을 고르십시오",IF($H1363="","적요를 적으십시오","")))))))))))</f>
        <v/>
      </c>
      <c r="M1363" s="39"/>
      <c r="O1363" s="11" t="str">
        <f aca="false">IF($B1363="","",YEAR($B1363)*100+MONTH($B1363))</f>
        <v/>
      </c>
      <c r="P1363" s="11" t="str">
        <f aca="false">IF($B1363="","",IF($E1363="대체",0,1))</f>
        <v/>
      </c>
    </row>
    <row r="1364" customFormat="false" ht="15" hidden="false" customHeight="false" outlineLevel="0" collapsed="false">
      <c r="A1364" s="36" t="str">
        <f aca="false">IF($B1364="","",COUNT($B$15:$B1364))</f>
        <v/>
      </c>
      <c r="B1364" s="37"/>
      <c r="C1364" s="38"/>
      <c r="D1364" s="20"/>
      <c r="E1364" s="36" t="str">
        <f aca="false">IF($D1364="","",IFERROR(INDEX('교육원 ④ 설정'!$A$6:$A$40,MATCH($D1364,'교육원 ④ 설정'!$B$6:$B$40,0)),"※없는 과목"))</f>
        <v/>
      </c>
      <c r="F1364" s="36" t="str">
        <f aca="false">IF($D1364="","",IFERROR(INDEX('교육원 ④ 설정'!$C$6:$C$40,MATCH($D1364,'교육원 ④ 설정'!$B$6:$B$40,0)),""))</f>
        <v/>
      </c>
      <c r="G1364" s="39"/>
      <c r="H1364" s="39"/>
      <c r="I1364" s="40"/>
      <c r="J1364" s="41"/>
      <c r="K1364" s="38"/>
      <c r="L1364" s="42" t="str">
        <f aca="false">IF($B1364="","",IF(AND(N($I1364)=0,N($J1364)=0),"금액이 없습니다",IF(AND($I1364&gt;0,$J1364&gt;0),"수입·지출 둘 다 적혔습니다",IF($C1364="","결제수단을 고르십시오",IF(ISNA(MATCH($C1364,'교육원 ③ 통장·카드'!$A$5:$A$11,0)),"③ 통장·카드에 없는 결제수단입니다",IF($D1364="","계정과목을 고르십시오",IF($E1364="※없는 과목","④ 설정에 없는 과목입니다",IF(AND($E1364="수입",$J1364&gt;0),"수입 과목인데 지출에 적혔습니다",IF(AND(LEFT($E1364,2)&lt;&gt;"수입",$E1364&lt;&gt;"대체",$I1364&gt;0),"지출 과목인데 수입에 적혔습니다",IF($K1364="","증빙을 고르십시오",IF($H1364="","적요를 적으십시오","")))))))))))</f>
        <v/>
      </c>
      <c r="M1364" s="39"/>
      <c r="O1364" s="11" t="str">
        <f aca="false">IF($B1364="","",YEAR($B1364)*100+MONTH($B1364))</f>
        <v/>
      </c>
      <c r="P1364" s="11" t="str">
        <f aca="false">IF($B1364="","",IF($E1364="대체",0,1))</f>
        <v/>
      </c>
    </row>
    <row r="1365" customFormat="false" ht="15" hidden="false" customHeight="false" outlineLevel="0" collapsed="false">
      <c r="A1365" s="36" t="str">
        <f aca="false">IF($B1365="","",COUNT($B$15:$B1365))</f>
        <v/>
      </c>
      <c r="B1365" s="37"/>
      <c r="C1365" s="38"/>
      <c r="D1365" s="20"/>
      <c r="E1365" s="36" t="str">
        <f aca="false">IF($D1365="","",IFERROR(INDEX('교육원 ④ 설정'!$A$6:$A$40,MATCH($D1365,'교육원 ④ 설정'!$B$6:$B$40,0)),"※없는 과목"))</f>
        <v/>
      </c>
      <c r="F1365" s="36" t="str">
        <f aca="false">IF($D1365="","",IFERROR(INDEX('교육원 ④ 설정'!$C$6:$C$40,MATCH($D1365,'교육원 ④ 설정'!$B$6:$B$40,0)),""))</f>
        <v/>
      </c>
      <c r="G1365" s="39"/>
      <c r="H1365" s="39"/>
      <c r="I1365" s="40"/>
      <c r="J1365" s="41"/>
      <c r="K1365" s="38"/>
      <c r="L1365" s="42" t="str">
        <f aca="false">IF($B1365="","",IF(AND(N($I1365)=0,N($J1365)=0),"금액이 없습니다",IF(AND($I1365&gt;0,$J1365&gt;0),"수입·지출 둘 다 적혔습니다",IF($C1365="","결제수단을 고르십시오",IF(ISNA(MATCH($C1365,'교육원 ③ 통장·카드'!$A$5:$A$11,0)),"③ 통장·카드에 없는 결제수단입니다",IF($D1365="","계정과목을 고르십시오",IF($E1365="※없는 과목","④ 설정에 없는 과목입니다",IF(AND($E1365="수입",$J1365&gt;0),"수입 과목인데 지출에 적혔습니다",IF(AND(LEFT($E1365,2)&lt;&gt;"수입",$E1365&lt;&gt;"대체",$I1365&gt;0),"지출 과목인데 수입에 적혔습니다",IF($K1365="","증빙을 고르십시오",IF($H1365="","적요를 적으십시오","")))))))))))</f>
        <v/>
      </c>
      <c r="M1365" s="39"/>
      <c r="O1365" s="11" t="str">
        <f aca="false">IF($B1365="","",YEAR($B1365)*100+MONTH($B1365))</f>
        <v/>
      </c>
      <c r="P1365" s="11" t="str">
        <f aca="false">IF($B1365="","",IF($E1365="대체",0,1))</f>
        <v/>
      </c>
    </row>
    <row r="1366" customFormat="false" ht="15" hidden="false" customHeight="false" outlineLevel="0" collapsed="false">
      <c r="A1366" s="36" t="str">
        <f aca="false">IF($B1366="","",COUNT($B$15:$B1366))</f>
        <v/>
      </c>
      <c r="B1366" s="37"/>
      <c r="C1366" s="38"/>
      <c r="D1366" s="20"/>
      <c r="E1366" s="36" t="str">
        <f aca="false">IF($D1366="","",IFERROR(INDEX('교육원 ④ 설정'!$A$6:$A$40,MATCH($D1366,'교육원 ④ 설정'!$B$6:$B$40,0)),"※없는 과목"))</f>
        <v/>
      </c>
      <c r="F1366" s="36" t="str">
        <f aca="false">IF($D1366="","",IFERROR(INDEX('교육원 ④ 설정'!$C$6:$C$40,MATCH($D1366,'교육원 ④ 설정'!$B$6:$B$40,0)),""))</f>
        <v/>
      </c>
      <c r="G1366" s="39"/>
      <c r="H1366" s="39"/>
      <c r="I1366" s="40"/>
      <c r="J1366" s="41"/>
      <c r="K1366" s="38"/>
      <c r="L1366" s="42" t="str">
        <f aca="false">IF($B1366="","",IF(AND(N($I1366)=0,N($J1366)=0),"금액이 없습니다",IF(AND($I1366&gt;0,$J1366&gt;0),"수입·지출 둘 다 적혔습니다",IF($C1366="","결제수단을 고르십시오",IF(ISNA(MATCH($C1366,'교육원 ③ 통장·카드'!$A$5:$A$11,0)),"③ 통장·카드에 없는 결제수단입니다",IF($D1366="","계정과목을 고르십시오",IF($E1366="※없는 과목","④ 설정에 없는 과목입니다",IF(AND($E1366="수입",$J1366&gt;0),"수입 과목인데 지출에 적혔습니다",IF(AND(LEFT($E1366,2)&lt;&gt;"수입",$E1366&lt;&gt;"대체",$I1366&gt;0),"지출 과목인데 수입에 적혔습니다",IF($K1366="","증빙을 고르십시오",IF($H1366="","적요를 적으십시오","")))))))))))</f>
        <v/>
      </c>
      <c r="M1366" s="39"/>
      <c r="O1366" s="11" t="str">
        <f aca="false">IF($B1366="","",YEAR($B1366)*100+MONTH($B1366))</f>
        <v/>
      </c>
      <c r="P1366" s="11" t="str">
        <f aca="false">IF($B1366="","",IF($E1366="대체",0,1))</f>
        <v/>
      </c>
    </row>
    <row r="1367" customFormat="false" ht="15" hidden="false" customHeight="false" outlineLevel="0" collapsed="false">
      <c r="A1367" s="36" t="str">
        <f aca="false">IF($B1367="","",COUNT($B$15:$B1367))</f>
        <v/>
      </c>
      <c r="B1367" s="37"/>
      <c r="C1367" s="38"/>
      <c r="D1367" s="20"/>
      <c r="E1367" s="36" t="str">
        <f aca="false">IF($D1367="","",IFERROR(INDEX('교육원 ④ 설정'!$A$6:$A$40,MATCH($D1367,'교육원 ④ 설정'!$B$6:$B$40,0)),"※없는 과목"))</f>
        <v/>
      </c>
      <c r="F1367" s="36" t="str">
        <f aca="false">IF($D1367="","",IFERROR(INDEX('교육원 ④ 설정'!$C$6:$C$40,MATCH($D1367,'교육원 ④ 설정'!$B$6:$B$40,0)),""))</f>
        <v/>
      </c>
      <c r="G1367" s="39"/>
      <c r="H1367" s="39"/>
      <c r="I1367" s="40"/>
      <c r="J1367" s="41"/>
      <c r="K1367" s="38"/>
      <c r="L1367" s="42" t="str">
        <f aca="false">IF($B1367="","",IF(AND(N($I1367)=0,N($J1367)=0),"금액이 없습니다",IF(AND($I1367&gt;0,$J1367&gt;0),"수입·지출 둘 다 적혔습니다",IF($C1367="","결제수단을 고르십시오",IF(ISNA(MATCH($C1367,'교육원 ③ 통장·카드'!$A$5:$A$11,0)),"③ 통장·카드에 없는 결제수단입니다",IF($D1367="","계정과목을 고르십시오",IF($E1367="※없는 과목","④ 설정에 없는 과목입니다",IF(AND($E1367="수입",$J1367&gt;0),"수입 과목인데 지출에 적혔습니다",IF(AND(LEFT($E1367,2)&lt;&gt;"수입",$E1367&lt;&gt;"대체",$I1367&gt;0),"지출 과목인데 수입에 적혔습니다",IF($K1367="","증빙을 고르십시오",IF($H1367="","적요를 적으십시오","")))))))))))</f>
        <v/>
      </c>
      <c r="M1367" s="39"/>
      <c r="O1367" s="11" t="str">
        <f aca="false">IF($B1367="","",YEAR($B1367)*100+MONTH($B1367))</f>
        <v/>
      </c>
      <c r="P1367" s="11" t="str">
        <f aca="false">IF($B1367="","",IF($E1367="대체",0,1))</f>
        <v/>
      </c>
    </row>
    <row r="1368" customFormat="false" ht="15" hidden="false" customHeight="false" outlineLevel="0" collapsed="false">
      <c r="A1368" s="36" t="str">
        <f aca="false">IF($B1368="","",COUNT($B$15:$B1368))</f>
        <v/>
      </c>
      <c r="B1368" s="37"/>
      <c r="C1368" s="38"/>
      <c r="D1368" s="20"/>
      <c r="E1368" s="36" t="str">
        <f aca="false">IF($D1368="","",IFERROR(INDEX('교육원 ④ 설정'!$A$6:$A$40,MATCH($D1368,'교육원 ④ 설정'!$B$6:$B$40,0)),"※없는 과목"))</f>
        <v/>
      </c>
      <c r="F1368" s="36" t="str">
        <f aca="false">IF($D1368="","",IFERROR(INDEX('교육원 ④ 설정'!$C$6:$C$40,MATCH($D1368,'교육원 ④ 설정'!$B$6:$B$40,0)),""))</f>
        <v/>
      </c>
      <c r="G1368" s="39"/>
      <c r="H1368" s="39"/>
      <c r="I1368" s="40"/>
      <c r="J1368" s="41"/>
      <c r="K1368" s="38"/>
      <c r="L1368" s="42" t="str">
        <f aca="false">IF($B1368="","",IF(AND(N($I1368)=0,N($J1368)=0),"금액이 없습니다",IF(AND($I1368&gt;0,$J1368&gt;0),"수입·지출 둘 다 적혔습니다",IF($C1368="","결제수단을 고르십시오",IF(ISNA(MATCH($C1368,'교육원 ③ 통장·카드'!$A$5:$A$11,0)),"③ 통장·카드에 없는 결제수단입니다",IF($D1368="","계정과목을 고르십시오",IF($E1368="※없는 과목","④ 설정에 없는 과목입니다",IF(AND($E1368="수입",$J1368&gt;0),"수입 과목인데 지출에 적혔습니다",IF(AND(LEFT($E1368,2)&lt;&gt;"수입",$E1368&lt;&gt;"대체",$I1368&gt;0),"지출 과목인데 수입에 적혔습니다",IF($K1368="","증빙을 고르십시오",IF($H1368="","적요를 적으십시오","")))))))))))</f>
        <v/>
      </c>
      <c r="M1368" s="39"/>
      <c r="O1368" s="11" t="str">
        <f aca="false">IF($B1368="","",YEAR($B1368)*100+MONTH($B1368))</f>
        <v/>
      </c>
      <c r="P1368" s="11" t="str">
        <f aca="false">IF($B1368="","",IF($E1368="대체",0,1))</f>
        <v/>
      </c>
    </row>
    <row r="1369" customFormat="false" ht="15" hidden="false" customHeight="false" outlineLevel="0" collapsed="false">
      <c r="A1369" s="36" t="str">
        <f aca="false">IF($B1369="","",COUNT($B$15:$B1369))</f>
        <v/>
      </c>
      <c r="B1369" s="37"/>
      <c r="C1369" s="38"/>
      <c r="D1369" s="20"/>
      <c r="E1369" s="36" t="str">
        <f aca="false">IF($D1369="","",IFERROR(INDEX('교육원 ④ 설정'!$A$6:$A$40,MATCH($D1369,'교육원 ④ 설정'!$B$6:$B$40,0)),"※없는 과목"))</f>
        <v/>
      </c>
      <c r="F1369" s="36" t="str">
        <f aca="false">IF($D1369="","",IFERROR(INDEX('교육원 ④ 설정'!$C$6:$C$40,MATCH($D1369,'교육원 ④ 설정'!$B$6:$B$40,0)),""))</f>
        <v/>
      </c>
      <c r="G1369" s="39"/>
      <c r="H1369" s="39"/>
      <c r="I1369" s="40"/>
      <c r="J1369" s="41"/>
      <c r="K1369" s="38"/>
      <c r="L1369" s="42" t="str">
        <f aca="false">IF($B1369="","",IF(AND(N($I1369)=0,N($J1369)=0),"금액이 없습니다",IF(AND($I1369&gt;0,$J1369&gt;0),"수입·지출 둘 다 적혔습니다",IF($C1369="","결제수단을 고르십시오",IF(ISNA(MATCH($C1369,'교육원 ③ 통장·카드'!$A$5:$A$11,0)),"③ 통장·카드에 없는 결제수단입니다",IF($D1369="","계정과목을 고르십시오",IF($E1369="※없는 과목","④ 설정에 없는 과목입니다",IF(AND($E1369="수입",$J1369&gt;0),"수입 과목인데 지출에 적혔습니다",IF(AND(LEFT($E1369,2)&lt;&gt;"수입",$E1369&lt;&gt;"대체",$I1369&gt;0),"지출 과목인데 수입에 적혔습니다",IF($K1369="","증빙을 고르십시오",IF($H1369="","적요를 적으십시오","")))))))))))</f>
        <v/>
      </c>
      <c r="M1369" s="39"/>
      <c r="O1369" s="11" t="str">
        <f aca="false">IF($B1369="","",YEAR($B1369)*100+MONTH($B1369))</f>
        <v/>
      </c>
      <c r="P1369" s="11" t="str">
        <f aca="false">IF($B1369="","",IF($E1369="대체",0,1))</f>
        <v/>
      </c>
    </row>
    <row r="1370" customFormat="false" ht="15" hidden="false" customHeight="false" outlineLevel="0" collapsed="false">
      <c r="A1370" s="36" t="str">
        <f aca="false">IF($B1370="","",COUNT($B$15:$B1370))</f>
        <v/>
      </c>
      <c r="B1370" s="37"/>
      <c r="C1370" s="38"/>
      <c r="D1370" s="20"/>
      <c r="E1370" s="36" t="str">
        <f aca="false">IF($D1370="","",IFERROR(INDEX('교육원 ④ 설정'!$A$6:$A$40,MATCH($D1370,'교육원 ④ 설정'!$B$6:$B$40,0)),"※없는 과목"))</f>
        <v/>
      </c>
      <c r="F1370" s="36" t="str">
        <f aca="false">IF($D1370="","",IFERROR(INDEX('교육원 ④ 설정'!$C$6:$C$40,MATCH($D1370,'교육원 ④ 설정'!$B$6:$B$40,0)),""))</f>
        <v/>
      </c>
      <c r="G1370" s="39"/>
      <c r="H1370" s="39"/>
      <c r="I1370" s="40"/>
      <c r="J1370" s="41"/>
      <c r="K1370" s="38"/>
      <c r="L1370" s="42" t="str">
        <f aca="false">IF($B1370="","",IF(AND(N($I1370)=0,N($J1370)=0),"금액이 없습니다",IF(AND($I1370&gt;0,$J1370&gt;0),"수입·지출 둘 다 적혔습니다",IF($C1370="","결제수단을 고르십시오",IF(ISNA(MATCH($C1370,'교육원 ③ 통장·카드'!$A$5:$A$11,0)),"③ 통장·카드에 없는 결제수단입니다",IF($D1370="","계정과목을 고르십시오",IF($E1370="※없는 과목","④ 설정에 없는 과목입니다",IF(AND($E1370="수입",$J1370&gt;0),"수입 과목인데 지출에 적혔습니다",IF(AND(LEFT($E1370,2)&lt;&gt;"수입",$E1370&lt;&gt;"대체",$I1370&gt;0),"지출 과목인데 수입에 적혔습니다",IF($K1370="","증빙을 고르십시오",IF($H1370="","적요를 적으십시오","")))))))))))</f>
        <v/>
      </c>
      <c r="M1370" s="39"/>
      <c r="O1370" s="11" t="str">
        <f aca="false">IF($B1370="","",YEAR($B1370)*100+MONTH($B1370))</f>
        <v/>
      </c>
      <c r="P1370" s="11" t="str">
        <f aca="false">IF($B1370="","",IF($E1370="대체",0,1))</f>
        <v/>
      </c>
    </row>
    <row r="1371" customFormat="false" ht="15" hidden="false" customHeight="false" outlineLevel="0" collapsed="false">
      <c r="A1371" s="36" t="str">
        <f aca="false">IF($B1371="","",COUNT($B$15:$B1371))</f>
        <v/>
      </c>
      <c r="B1371" s="37"/>
      <c r="C1371" s="38"/>
      <c r="D1371" s="20"/>
      <c r="E1371" s="36" t="str">
        <f aca="false">IF($D1371="","",IFERROR(INDEX('교육원 ④ 설정'!$A$6:$A$40,MATCH($D1371,'교육원 ④ 설정'!$B$6:$B$40,0)),"※없는 과목"))</f>
        <v/>
      </c>
      <c r="F1371" s="36" t="str">
        <f aca="false">IF($D1371="","",IFERROR(INDEX('교육원 ④ 설정'!$C$6:$C$40,MATCH($D1371,'교육원 ④ 설정'!$B$6:$B$40,0)),""))</f>
        <v/>
      </c>
      <c r="G1371" s="39"/>
      <c r="H1371" s="39"/>
      <c r="I1371" s="40"/>
      <c r="J1371" s="41"/>
      <c r="K1371" s="38"/>
      <c r="L1371" s="42" t="str">
        <f aca="false">IF($B1371="","",IF(AND(N($I1371)=0,N($J1371)=0),"금액이 없습니다",IF(AND($I1371&gt;0,$J1371&gt;0),"수입·지출 둘 다 적혔습니다",IF($C1371="","결제수단을 고르십시오",IF(ISNA(MATCH($C1371,'교육원 ③ 통장·카드'!$A$5:$A$11,0)),"③ 통장·카드에 없는 결제수단입니다",IF($D1371="","계정과목을 고르십시오",IF($E1371="※없는 과목","④ 설정에 없는 과목입니다",IF(AND($E1371="수입",$J1371&gt;0),"수입 과목인데 지출에 적혔습니다",IF(AND(LEFT($E1371,2)&lt;&gt;"수입",$E1371&lt;&gt;"대체",$I1371&gt;0),"지출 과목인데 수입에 적혔습니다",IF($K1371="","증빙을 고르십시오",IF($H1371="","적요를 적으십시오","")))))))))))</f>
        <v/>
      </c>
      <c r="M1371" s="39"/>
      <c r="O1371" s="11" t="str">
        <f aca="false">IF($B1371="","",YEAR($B1371)*100+MONTH($B1371))</f>
        <v/>
      </c>
      <c r="P1371" s="11" t="str">
        <f aca="false">IF($B1371="","",IF($E1371="대체",0,1))</f>
        <v/>
      </c>
    </row>
    <row r="1372" customFormat="false" ht="15" hidden="false" customHeight="false" outlineLevel="0" collapsed="false">
      <c r="A1372" s="36" t="str">
        <f aca="false">IF($B1372="","",COUNT($B$15:$B1372))</f>
        <v/>
      </c>
      <c r="B1372" s="37"/>
      <c r="C1372" s="38"/>
      <c r="D1372" s="20"/>
      <c r="E1372" s="36" t="str">
        <f aca="false">IF($D1372="","",IFERROR(INDEX('교육원 ④ 설정'!$A$6:$A$40,MATCH($D1372,'교육원 ④ 설정'!$B$6:$B$40,0)),"※없는 과목"))</f>
        <v/>
      </c>
      <c r="F1372" s="36" t="str">
        <f aca="false">IF($D1372="","",IFERROR(INDEX('교육원 ④ 설정'!$C$6:$C$40,MATCH($D1372,'교육원 ④ 설정'!$B$6:$B$40,0)),""))</f>
        <v/>
      </c>
      <c r="G1372" s="39"/>
      <c r="H1372" s="39"/>
      <c r="I1372" s="40"/>
      <c r="J1372" s="41"/>
      <c r="K1372" s="38"/>
      <c r="L1372" s="42" t="str">
        <f aca="false">IF($B1372="","",IF(AND(N($I1372)=0,N($J1372)=0),"금액이 없습니다",IF(AND($I1372&gt;0,$J1372&gt;0),"수입·지출 둘 다 적혔습니다",IF($C1372="","결제수단을 고르십시오",IF(ISNA(MATCH($C1372,'교육원 ③ 통장·카드'!$A$5:$A$11,0)),"③ 통장·카드에 없는 결제수단입니다",IF($D1372="","계정과목을 고르십시오",IF($E1372="※없는 과목","④ 설정에 없는 과목입니다",IF(AND($E1372="수입",$J1372&gt;0),"수입 과목인데 지출에 적혔습니다",IF(AND(LEFT($E1372,2)&lt;&gt;"수입",$E1372&lt;&gt;"대체",$I1372&gt;0),"지출 과목인데 수입에 적혔습니다",IF($K1372="","증빙을 고르십시오",IF($H1372="","적요를 적으십시오","")))))))))))</f>
        <v/>
      </c>
      <c r="M1372" s="39"/>
      <c r="O1372" s="11" t="str">
        <f aca="false">IF($B1372="","",YEAR($B1372)*100+MONTH($B1372))</f>
        <v/>
      </c>
      <c r="P1372" s="11" t="str">
        <f aca="false">IF($B1372="","",IF($E1372="대체",0,1))</f>
        <v/>
      </c>
    </row>
    <row r="1373" customFormat="false" ht="15" hidden="false" customHeight="false" outlineLevel="0" collapsed="false">
      <c r="A1373" s="36" t="str">
        <f aca="false">IF($B1373="","",COUNT($B$15:$B1373))</f>
        <v/>
      </c>
      <c r="B1373" s="37"/>
      <c r="C1373" s="38"/>
      <c r="D1373" s="20"/>
      <c r="E1373" s="36" t="str">
        <f aca="false">IF($D1373="","",IFERROR(INDEX('교육원 ④ 설정'!$A$6:$A$40,MATCH($D1373,'교육원 ④ 설정'!$B$6:$B$40,0)),"※없는 과목"))</f>
        <v/>
      </c>
      <c r="F1373" s="36" t="str">
        <f aca="false">IF($D1373="","",IFERROR(INDEX('교육원 ④ 설정'!$C$6:$C$40,MATCH($D1373,'교육원 ④ 설정'!$B$6:$B$40,0)),""))</f>
        <v/>
      </c>
      <c r="G1373" s="39"/>
      <c r="H1373" s="39"/>
      <c r="I1373" s="40"/>
      <c r="J1373" s="41"/>
      <c r="K1373" s="38"/>
      <c r="L1373" s="42" t="str">
        <f aca="false">IF($B1373="","",IF(AND(N($I1373)=0,N($J1373)=0),"금액이 없습니다",IF(AND($I1373&gt;0,$J1373&gt;0),"수입·지출 둘 다 적혔습니다",IF($C1373="","결제수단을 고르십시오",IF(ISNA(MATCH($C1373,'교육원 ③ 통장·카드'!$A$5:$A$11,0)),"③ 통장·카드에 없는 결제수단입니다",IF($D1373="","계정과목을 고르십시오",IF($E1373="※없는 과목","④ 설정에 없는 과목입니다",IF(AND($E1373="수입",$J1373&gt;0),"수입 과목인데 지출에 적혔습니다",IF(AND(LEFT($E1373,2)&lt;&gt;"수입",$E1373&lt;&gt;"대체",$I1373&gt;0),"지출 과목인데 수입에 적혔습니다",IF($K1373="","증빙을 고르십시오",IF($H1373="","적요를 적으십시오","")))))))))))</f>
        <v/>
      </c>
      <c r="M1373" s="39"/>
      <c r="O1373" s="11" t="str">
        <f aca="false">IF($B1373="","",YEAR($B1373)*100+MONTH($B1373))</f>
        <v/>
      </c>
      <c r="P1373" s="11" t="str">
        <f aca="false">IF($B1373="","",IF($E1373="대체",0,1))</f>
        <v/>
      </c>
    </row>
    <row r="1374" customFormat="false" ht="15" hidden="false" customHeight="false" outlineLevel="0" collapsed="false">
      <c r="A1374" s="36" t="str">
        <f aca="false">IF($B1374="","",COUNT($B$15:$B1374))</f>
        <v/>
      </c>
      <c r="B1374" s="37"/>
      <c r="C1374" s="38"/>
      <c r="D1374" s="20"/>
      <c r="E1374" s="36" t="str">
        <f aca="false">IF($D1374="","",IFERROR(INDEX('교육원 ④ 설정'!$A$6:$A$40,MATCH($D1374,'교육원 ④ 설정'!$B$6:$B$40,0)),"※없는 과목"))</f>
        <v/>
      </c>
      <c r="F1374" s="36" t="str">
        <f aca="false">IF($D1374="","",IFERROR(INDEX('교육원 ④ 설정'!$C$6:$C$40,MATCH($D1374,'교육원 ④ 설정'!$B$6:$B$40,0)),""))</f>
        <v/>
      </c>
      <c r="G1374" s="39"/>
      <c r="H1374" s="39"/>
      <c r="I1374" s="40"/>
      <c r="J1374" s="41"/>
      <c r="K1374" s="38"/>
      <c r="L1374" s="42" t="str">
        <f aca="false">IF($B1374="","",IF(AND(N($I1374)=0,N($J1374)=0),"금액이 없습니다",IF(AND($I1374&gt;0,$J1374&gt;0),"수입·지출 둘 다 적혔습니다",IF($C1374="","결제수단을 고르십시오",IF(ISNA(MATCH($C1374,'교육원 ③ 통장·카드'!$A$5:$A$11,0)),"③ 통장·카드에 없는 결제수단입니다",IF($D1374="","계정과목을 고르십시오",IF($E1374="※없는 과목","④ 설정에 없는 과목입니다",IF(AND($E1374="수입",$J1374&gt;0),"수입 과목인데 지출에 적혔습니다",IF(AND(LEFT($E1374,2)&lt;&gt;"수입",$E1374&lt;&gt;"대체",$I1374&gt;0),"지출 과목인데 수입에 적혔습니다",IF($K1374="","증빙을 고르십시오",IF($H1374="","적요를 적으십시오","")))))))))))</f>
        <v/>
      </c>
      <c r="M1374" s="39"/>
      <c r="O1374" s="11" t="str">
        <f aca="false">IF($B1374="","",YEAR($B1374)*100+MONTH($B1374))</f>
        <v/>
      </c>
      <c r="P1374" s="11" t="str">
        <f aca="false">IF($B1374="","",IF($E1374="대체",0,1))</f>
        <v/>
      </c>
    </row>
    <row r="1375" customFormat="false" ht="15" hidden="false" customHeight="false" outlineLevel="0" collapsed="false">
      <c r="A1375" s="36" t="str">
        <f aca="false">IF($B1375="","",COUNT($B$15:$B1375))</f>
        <v/>
      </c>
      <c r="B1375" s="37"/>
      <c r="C1375" s="38"/>
      <c r="D1375" s="20"/>
      <c r="E1375" s="36" t="str">
        <f aca="false">IF($D1375="","",IFERROR(INDEX('교육원 ④ 설정'!$A$6:$A$40,MATCH($D1375,'교육원 ④ 설정'!$B$6:$B$40,0)),"※없는 과목"))</f>
        <v/>
      </c>
      <c r="F1375" s="36" t="str">
        <f aca="false">IF($D1375="","",IFERROR(INDEX('교육원 ④ 설정'!$C$6:$C$40,MATCH($D1375,'교육원 ④ 설정'!$B$6:$B$40,0)),""))</f>
        <v/>
      </c>
      <c r="G1375" s="39"/>
      <c r="H1375" s="39"/>
      <c r="I1375" s="40"/>
      <c r="J1375" s="41"/>
      <c r="K1375" s="38"/>
      <c r="L1375" s="42" t="str">
        <f aca="false">IF($B1375="","",IF(AND(N($I1375)=0,N($J1375)=0),"금액이 없습니다",IF(AND($I1375&gt;0,$J1375&gt;0),"수입·지출 둘 다 적혔습니다",IF($C1375="","결제수단을 고르십시오",IF(ISNA(MATCH($C1375,'교육원 ③ 통장·카드'!$A$5:$A$11,0)),"③ 통장·카드에 없는 결제수단입니다",IF($D1375="","계정과목을 고르십시오",IF($E1375="※없는 과목","④ 설정에 없는 과목입니다",IF(AND($E1375="수입",$J1375&gt;0),"수입 과목인데 지출에 적혔습니다",IF(AND(LEFT($E1375,2)&lt;&gt;"수입",$E1375&lt;&gt;"대체",$I1375&gt;0),"지출 과목인데 수입에 적혔습니다",IF($K1375="","증빙을 고르십시오",IF($H1375="","적요를 적으십시오","")))))))))))</f>
        <v/>
      </c>
      <c r="M1375" s="39"/>
      <c r="O1375" s="11" t="str">
        <f aca="false">IF($B1375="","",YEAR($B1375)*100+MONTH($B1375))</f>
        <v/>
      </c>
      <c r="P1375" s="11" t="str">
        <f aca="false">IF($B1375="","",IF($E1375="대체",0,1))</f>
        <v/>
      </c>
    </row>
    <row r="1376" customFormat="false" ht="15" hidden="false" customHeight="false" outlineLevel="0" collapsed="false">
      <c r="A1376" s="36" t="str">
        <f aca="false">IF($B1376="","",COUNT($B$15:$B1376))</f>
        <v/>
      </c>
      <c r="B1376" s="37"/>
      <c r="C1376" s="38"/>
      <c r="D1376" s="20"/>
      <c r="E1376" s="36" t="str">
        <f aca="false">IF($D1376="","",IFERROR(INDEX('교육원 ④ 설정'!$A$6:$A$40,MATCH($D1376,'교육원 ④ 설정'!$B$6:$B$40,0)),"※없는 과목"))</f>
        <v/>
      </c>
      <c r="F1376" s="36" t="str">
        <f aca="false">IF($D1376="","",IFERROR(INDEX('교육원 ④ 설정'!$C$6:$C$40,MATCH($D1376,'교육원 ④ 설정'!$B$6:$B$40,0)),""))</f>
        <v/>
      </c>
      <c r="G1376" s="39"/>
      <c r="H1376" s="39"/>
      <c r="I1376" s="40"/>
      <c r="J1376" s="41"/>
      <c r="K1376" s="38"/>
      <c r="L1376" s="42" t="str">
        <f aca="false">IF($B1376="","",IF(AND(N($I1376)=0,N($J1376)=0),"금액이 없습니다",IF(AND($I1376&gt;0,$J1376&gt;0),"수입·지출 둘 다 적혔습니다",IF($C1376="","결제수단을 고르십시오",IF(ISNA(MATCH($C1376,'교육원 ③ 통장·카드'!$A$5:$A$11,0)),"③ 통장·카드에 없는 결제수단입니다",IF($D1376="","계정과목을 고르십시오",IF($E1376="※없는 과목","④ 설정에 없는 과목입니다",IF(AND($E1376="수입",$J1376&gt;0),"수입 과목인데 지출에 적혔습니다",IF(AND(LEFT($E1376,2)&lt;&gt;"수입",$E1376&lt;&gt;"대체",$I1376&gt;0),"지출 과목인데 수입에 적혔습니다",IF($K1376="","증빙을 고르십시오",IF($H1376="","적요를 적으십시오","")))))))))))</f>
        <v/>
      </c>
      <c r="M1376" s="39"/>
      <c r="O1376" s="11" t="str">
        <f aca="false">IF($B1376="","",YEAR($B1376)*100+MONTH($B1376))</f>
        <v/>
      </c>
      <c r="P1376" s="11" t="str">
        <f aca="false">IF($B1376="","",IF($E1376="대체",0,1))</f>
        <v/>
      </c>
    </row>
    <row r="1377" customFormat="false" ht="15" hidden="false" customHeight="false" outlineLevel="0" collapsed="false">
      <c r="A1377" s="36" t="str">
        <f aca="false">IF($B1377="","",COUNT($B$15:$B1377))</f>
        <v/>
      </c>
      <c r="B1377" s="37"/>
      <c r="C1377" s="38"/>
      <c r="D1377" s="20"/>
      <c r="E1377" s="36" t="str">
        <f aca="false">IF($D1377="","",IFERROR(INDEX('교육원 ④ 설정'!$A$6:$A$40,MATCH($D1377,'교육원 ④ 설정'!$B$6:$B$40,0)),"※없는 과목"))</f>
        <v/>
      </c>
      <c r="F1377" s="36" t="str">
        <f aca="false">IF($D1377="","",IFERROR(INDEX('교육원 ④ 설정'!$C$6:$C$40,MATCH($D1377,'교육원 ④ 설정'!$B$6:$B$40,0)),""))</f>
        <v/>
      </c>
      <c r="G1377" s="39"/>
      <c r="H1377" s="39"/>
      <c r="I1377" s="40"/>
      <c r="J1377" s="41"/>
      <c r="K1377" s="38"/>
      <c r="L1377" s="42" t="str">
        <f aca="false">IF($B1377="","",IF(AND(N($I1377)=0,N($J1377)=0),"금액이 없습니다",IF(AND($I1377&gt;0,$J1377&gt;0),"수입·지출 둘 다 적혔습니다",IF($C1377="","결제수단을 고르십시오",IF(ISNA(MATCH($C1377,'교육원 ③ 통장·카드'!$A$5:$A$11,0)),"③ 통장·카드에 없는 결제수단입니다",IF($D1377="","계정과목을 고르십시오",IF($E1377="※없는 과목","④ 설정에 없는 과목입니다",IF(AND($E1377="수입",$J1377&gt;0),"수입 과목인데 지출에 적혔습니다",IF(AND(LEFT($E1377,2)&lt;&gt;"수입",$E1377&lt;&gt;"대체",$I1377&gt;0),"지출 과목인데 수입에 적혔습니다",IF($K1377="","증빙을 고르십시오",IF($H1377="","적요를 적으십시오","")))))))))))</f>
        <v/>
      </c>
      <c r="M1377" s="39"/>
      <c r="O1377" s="11" t="str">
        <f aca="false">IF($B1377="","",YEAR($B1377)*100+MONTH($B1377))</f>
        <v/>
      </c>
      <c r="P1377" s="11" t="str">
        <f aca="false">IF($B1377="","",IF($E1377="대체",0,1))</f>
        <v/>
      </c>
    </row>
    <row r="1378" customFormat="false" ht="15" hidden="false" customHeight="false" outlineLevel="0" collapsed="false">
      <c r="A1378" s="36" t="str">
        <f aca="false">IF($B1378="","",COUNT($B$15:$B1378))</f>
        <v/>
      </c>
      <c r="B1378" s="37"/>
      <c r="C1378" s="38"/>
      <c r="D1378" s="20"/>
      <c r="E1378" s="36" t="str">
        <f aca="false">IF($D1378="","",IFERROR(INDEX('교육원 ④ 설정'!$A$6:$A$40,MATCH($D1378,'교육원 ④ 설정'!$B$6:$B$40,0)),"※없는 과목"))</f>
        <v/>
      </c>
      <c r="F1378" s="36" t="str">
        <f aca="false">IF($D1378="","",IFERROR(INDEX('교육원 ④ 설정'!$C$6:$C$40,MATCH($D1378,'교육원 ④ 설정'!$B$6:$B$40,0)),""))</f>
        <v/>
      </c>
      <c r="G1378" s="39"/>
      <c r="H1378" s="39"/>
      <c r="I1378" s="40"/>
      <c r="J1378" s="41"/>
      <c r="K1378" s="38"/>
      <c r="L1378" s="42" t="str">
        <f aca="false">IF($B1378="","",IF(AND(N($I1378)=0,N($J1378)=0),"금액이 없습니다",IF(AND($I1378&gt;0,$J1378&gt;0),"수입·지출 둘 다 적혔습니다",IF($C1378="","결제수단을 고르십시오",IF(ISNA(MATCH($C1378,'교육원 ③ 통장·카드'!$A$5:$A$11,0)),"③ 통장·카드에 없는 결제수단입니다",IF($D1378="","계정과목을 고르십시오",IF($E1378="※없는 과목","④ 설정에 없는 과목입니다",IF(AND($E1378="수입",$J1378&gt;0),"수입 과목인데 지출에 적혔습니다",IF(AND(LEFT($E1378,2)&lt;&gt;"수입",$E1378&lt;&gt;"대체",$I1378&gt;0),"지출 과목인데 수입에 적혔습니다",IF($K1378="","증빙을 고르십시오",IF($H1378="","적요를 적으십시오","")))))))))))</f>
        <v/>
      </c>
      <c r="M1378" s="39"/>
      <c r="O1378" s="11" t="str">
        <f aca="false">IF($B1378="","",YEAR($B1378)*100+MONTH($B1378))</f>
        <v/>
      </c>
      <c r="P1378" s="11" t="str">
        <f aca="false">IF($B1378="","",IF($E1378="대체",0,1))</f>
        <v/>
      </c>
    </row>
    <row r="1379" customFormat="false" ht="15" hidden="false" customHeight="false" outlineLevel="0" collapsed="false">
      <c r="A1379" s="36" t="str">
        <f aca="false">IF($B1379="","",COUNT($B$15:$B1379))</f>
        <v/>
      </c>
      <c r="B1379" s="37"/>
      <c r="C1379" s="38"/>
      <c r="D1379" s="20"/>
      <c r="E1379" s="36" t="str">
        <f aca="false">IF($D1379="","",IFERROR(INDEX('교육원 ④ 설정'!$A$6:$A$40,MATCH($D1379,'교육원 ④ 설정'!$B$6:$B$40,0)),"※없는 과목"))</f>
        <v/>
      </c>
      <c r="F1379" s="36" t="str">
        <f aca="false">IF($D1379="","",IFERROR(INDEX('교육원 ④ 설정'!$C$6:$C$40,MATCH($D1379,'교육원 ④ 설정'!$B$6:$B$40,0)),""))</f>
        <v/>
      </c>
      <c r="G1379" s="39"/>
      <c r="H1379" s="39"/>
      <c r="I1379" s="40"/>
      <c r="J1379" s="41"/>
      <c r="K1379" s="38"/>
      <c r="L1379" s="42" t="str">
        <f aca="false">IF($B1379="","",IF(AND(N($I1379)=0,N($J1379)=0),"금액이 없습니다",IF(AND($I1379&gt;0,$J1379&gt;0),"수입·지출 둘 다 적혔습니다",IF($C1379="","결제수단을 고르십시오",IF(ISNA(MATCH($C1379,'교육원 ③ 통장·카드'!$A$5:$A$11,0)),"③ 통장·카드에 없는 결제수단입니다",IF($D1379="","계정과목을 고르십시오",IF($E1379="※없는 과목","④ 설정에 없는 과목입니다",IF(AND($E1379="수입",$J1379&gt;0),"수입 과목인데 지출에 적혔습니다",IF(AND(LEFT($E1379,2)&lt;&gt;"수입",$E1379&lt;&gt;"대체",$I1379&gt;0),"지출 과목인데 수입에 적혔습니다",IF($K1379="","증빙을 고르십시오",IF($H1379="","적요를 적으십시오","")))))))))))</f>
        <v/>
      </c>
      <c r="M1379" s="39"/>
      <c r="O1379" s="11" t="str">
        <f aca="false">IF($B1379="","",YEAR($B1379)*100+MONTH($B1379))</f>
        <v/>
      </c>
      <c r="P1379" s="11" t="str">
        <f aca="false">IF($B1379="","",IF($E1379="대체",0,1))</f>
        <v/>
      </c>
    </row>
    <row r="1380" customFormat="false" ht="15" hidden="false" customHeight="false" outlineLevel="0" collapsed="false">
      <c r="A1380" s="36" t="str">
        <f aca="false">IF($B1380="","",COUNT($B$15:$B1380))</f>
        <v/>
      </c>
      <c r="B1380" s="37"/>
      <c r="C1380" s="38"/>
      <c r="D1380" s="20"/>
      <c r="E1380" s="36" t="str">
        <f aca="false">IF($D1380="","",IFERROR(INDEX('교육원 ④ 설정'!$A$6:$A$40,MATCH($D1380,'교육원 ④ 설정'!$B$6:$B$40,0)),"※없는 과목"))</f>
        <v/>
      </c>
      <c r="F1380" s="36" t="str">
        <f aca="false">IF($D1380="","",IFERROR(INDEX('교육원 ④ 설정'!$C$6:$C$40,MATCH($D1380,'교육원 ④ 설정'!$B$6:$B$40,0)),""))</f>
        <v/>
      </c>
      <c r="G1380" s="39"/>
      <c r="H1380" s="39"/>
      <c r="I1380" s="40"/>
      <c r="J1380" s="41"/>
      <c r="K1380" s="38"/>
      <c r="L1380" s="42" t="str">
        <f aca="false">IF($B1380="","",IF(AND(N($I1380)=0,N($J1380)=0),"금액이 없습니다",IF(AND($I1380&gt;0,$J1380&gt;0),"수입·지출 둘 다 적혔습니다",IF($C1380="","결제수단을 고르십시오",IF(ISNA(MATCH($C1380,'교육원 ③ 통장·카드'!$A$5:$A$11,0)),"③ 통장·카드에 없는 결제수단입니다",IF($D1380="","계정과목을 고르십시오",IF($E1380="※없는 과목","④ 설정에 없는 과목입니다",IF(AND($E1380="수입",$J1380&gt;0),"수입 과목인데 지출에 적혔습니다",IF(AND(LEFT($E1380,2)&lt;&gt;"수입",$E1380&lt;&gt;"대체",$I1380&gt;0),"지출 과목인데 수입에 적혔습니다",IF($K1380="","증빙을 고르십시오",IF($H1380="","적요를 적으십시오","")))))))))))</f>
        <v/>
      </c>
      <c r="M1380" s="39"/>
      <c r="O1380" s="11" t="str">
        <f aca="false">IF($B1380="","",YEAR($B1380)*100+MONTH($B1380))</f>
        <v/>
      </c>
      <c r="P1380" s="11" t="str">
        <f aca="false">IF($B1380="","",IF($E1380="대체",0,1))</f>
        <v/>
      </c>
    </row>
    <row r="1381" customFormat="false" ht="15" hidden="false" customHeight="false" outlineLevel="0" collapsed="false">
      <c r="A1381" s="36" t="str">
        <f aca="false">IF($B1381="","",COUNT($B$15:$B1381))</f>
        <v/>
      </c>
      <c r="B1381" s="37"/>
      <c r="C1381" s="38"/>
      <c r="D1381" s="20"/>
      <c r="E1381" s="36" t="str">
        <f aca="false">IF($D1381="","",IFERROR(INDEX('교육원 ④ 설정'!$A$6:$A$40,MATCH($D1381,'교육원 ④ 설정'!$B$6:$B$40,0)),"※없는 과목"))</f>
        <v/>
      </c>
      <c r="F1381" s="36" t="str">
        <f aca="false">IF($D1381="","",IFERROR(INDEX('교육원 ④ 설정'!$C$6:$C$40,MATCH($D1381,'교육원 ④ 설정'!$B$6:$B$40,0)),""))</f>
        <v/>
      </c>
      <c r="G1381" s="39"/>
      <c r="H1381" s="39"/>
      <c r="I1381" s="40"/>
      <c r="J1381" s="41"/>
      <c r="K1381" s="38"/>
      <c r="L1381" s="42" t="str">
        <f aca="false">IF($B1381="","",IF(AND(N($I1381)=0,N($J1381)=0),"금액이 없습니다",IF(AND($I1381&gt;0,$J1381&gt;0),"수입·지출 둘 다 적혔습니다",IF($C1381="","결제수단을 고르십시오",IF(ISNA(MATCH($C1381,'교육원 ③ 통장·카드'!$A$5:$A$11,0)),"③ 통장·카드에 없는 결제수단입니다",IF($D1381="","계정과목을 고르십시오",IF($E1381="※없는 과목","④ 설정에 없는 과목입니다",IF(AND($E1381="수입",$J1381&gt;0),"수입 과목인데 지출에 적혔습니다",IF(AND(LEFT($E1381,2)&lt;&gt;"수입",$E1381&lt;&gt;"대체",$I1381&gt;0),"지출 과목인데 수입에 적혔습니다",IF($K1381="","증빙을 고르십시오",IF($H1381="","적요를 적으십시오","")))))))))))</f>
        <v/>
      </c>
      <c r="M1381" s="39"/>
      <c r="O1381" s="11" t="str">
        <f aca="false">IF($B1381="","",YEAR($B1381)*100+MONTH($B1381))</f>
        <v/>
      </c>
      <c r="P1381" s="11" t="str">
        <f aca="false">IF($B1381="","",IF($E1381="대체",0,1))</f>
        <v/>
      </c>
    </row>
    <row r="1382" customFormat="false" ht="15" hidden="false" customHeight="false" outlineLevel="0" collapsed="false">
      <c r="A1382" s="36" t="str">
        <f aca="false">IF($B1382="","",COUNT($B$15:$B1382))</f>
        <v/>
      </c>
      <c r="B1382" s="37"/>
      <c r="C1382" s="38"/>
      <c r="D1382" s="20"/>
      <c r="E1382" s="36" t="str">
        <f aca="false">IF($D1382="","",IFERROR(INDEX('교육원 ④ 설정'!$A$6:$A$40,MATCH($D1382,'교육원 ④ 설정'!$B$6:$B$40,0)),"※없는 과목"))</f>
        <v/>
      </c>
      <c r="F1382" s="36" t="str">
        <f aca="false">IF($D1382="","",IFERROR(INDEX('교육원 ④ 설정'!$C$6:$C$40,MATCH($D1382,'교육원 ④ 설정'!$B$6:$B$40,0)),""))</f>
        <v/>
      </c>
      <c r="G1382" s="39"/>
      <c r="H1382" s="39"/>
      <c r="I1382" s="40"/>
      <c r="J1382" s="41"/>
      <c r="K1382" s="38"/>
      <c r="L1382" s="42" t="str">
        <f aca="false">IF($B1382="","",IF(AND(N($I1382)=0,N($J1382)=0),"금액이 없습니다",IF(AND($I1382&gt;0,$J1382&gt;0),"수입·지출 둘 다 적혔습니다",IF($C1382="","결제수단을 고르십시오",IF(ISNA(MATCH($C1382,'교육원 ③ 통장·카드'!$A$5:$A$11,0)),"③ 통장·카드에 없는 결제수단입니다",IF($D1382="","계정과목을 고르십시오",IF($E1382="※없는 과목","④ 설정에 없는 과목입니다",IF(AND($E1382="수입",$J1382&gt;0),"수입 과목인데 지출에 적혔습니다",IF(AND(LEFT($E1382,2)&lt;&gt;"수입",$E1382&lt;&gt;"대체",$I1382&gt;0),"지출 과목인데 수입에 적혔습니다",IF($K1382="","증빙을 고르십시오",IF($H1382="","적요를 적으십시오","")))))))))))</f>
        <v/>
      </c>
      <c r="M1382" s="39"/>
      <c r="O1382" s="11" t="str">
        <f aca="false">IF($B1382="","",YEAR($B1382)*100+MONTH($B1382))</f>
        <v/>
      </c>
      <c r="P1382" s="11" t="str">
        <f aca="false">IF($B1382="","",IF($E1382="대체",0,1))</f>
        <v/>
      </c>
    </row>
    <row r="1383" customFormat="false" ht="15" hidden="false" customHeight="false" outlineLevel="0" collapsed="false">
      <c r="A1383" s="36" t="str">
        <f aca="false">IF($B1383="","",COUNT($B$15:$B1383))</f>
        <v/>
      </c>
      <c r="B1383" s="37"/>
      <c r="C1383" s="38"/>
      <c r="D1383" s="20"/>
      <c r="E1383" s="36" t="str">
        <f aca="false">IF($D1383="","",IFERROR(INDEX('교육원 ④ 설정'!$A$6:$A$40,MATCH($D1383,'교육원 ④ 설정'!$B$6:$B$40,0)),"※없는 과목"))</f>
        <v/>
      </c>
      <c r="F1383" s="36" t="str">
        <f aca="false">IF($D1383="","",IFERROR(INDEX('교육원 ④ 설정'!$C$6:$C$40,MATCH($D1383,'교육원 ④ 설정'!$B$6:$B$40,0)),""))</f>
        <v/>
      </c>
      <c r="G1383" s="39"/>
      <c r="H1383" s="39"/>
      <c r="I1383" s="40"/>
      <c r="J1383" s="41"/>
      <c r="K1383" s="38"/>
      <c r="L1383" s="42" t="str">
        <f aca="false">IF($B1383="","",IF(AND(N($I1383)=0,N($J1383)=0),"금액이 없습니다",IF(AND($I1383&gt;0,$J1383&gt;0),"수입·지출 둘 다 적혔습니다",IF($C1383="","결제수단을 고르십시오",IF(ISNA(MATCH($C1383,'교육원 ③ 통장·카드'!$A$5:$A$11,0)),"③ 통장·카드에 없는 결제수단입니다",IF($D1383="","계정과목을 고르십시오",IF($E1383="※없는 과목","④ 설정에 없는 과목입니다",IF(AND($E1383="수입",$J1383&gt;0),"수입 과목인데 지출에 적혔습니다",IF(AND(LEFT($E1383,2)&lt;&gt;"수입",$E1383&lt;&gt;"대체",$I1383&gt;0),"지출 과목인데 수입에 적혔습니다",IF($K1383="","증빙을 고르십시오",IF($H1383="","적요를 적으십시오","")))))))))))</f>
        <v/>
      </c>
      <c r="M1383" s="39"/>
      <c r="O1383" s="11" t="str">
        <f aca="false">IF($B1383="","",YEAR($B1383)*100+MONTH($B1383))</f>
        <v/>
      </c>
      <c r="P1383" s="11" t="str">
        <f aca="false">IF($B1383="","",IF($E1383="대체",0,1))</f>
        <v/>
      </c>
    </row>
    <row r="1384" customFormat="false" ht="15" hidden="false" customHeight="false" outlineLevel="0" collapsed="false">
      <c r="A1384" s="36" t="str">
        <f aca="false">IF($B1384="","",COUNT($B$15:$B1384))</f>
        <v/>
      </c>
      <c r="B1384" s="37"/>
      <c r="C1384" s="38"/>
      <c r="D1384" s="20"/>
      <c r="E1384" s="36" t="str">
        <f aca="false">IF($D1384="","",IFERROR(INDEX('교육원 ④ 설정'!$A$6:$A$40,MATCH($D1384,'교육원 ④ 설정'!$B$6:$B$40,0)),"※없는 과목"))</f>
        <v/>
      </c>
      <c r="F1384" s="36" t="str">
        <f aca="false">IF($D1384="","",IFERROR(INDEX('교육원 ④ 설정'!$C$6:$C$40,MATCH($D1384,'교육원 ④ 설정'!$B$6:$B$40,0)),""))</f>
        <v/>
      </c>
      <c r="G1384" s="39"/>
      <c r="H1384" s="39"/>
      <c r="I1384" s="40"/>
      <c r="J1384" s="41"/>
      <c r="K1384" s="38"/>
      <c r="L1384" s="42" t="str">
        <f aca="false">IF($B1384="","",IF(AND(N($I1384)=0,N($J1384)=0),"금액이 없습니다",IF(AND($I1384&gt;0,$J1384&gt;0),"수입·지출 둘 다 적혔습니다",IF($C1384="","결제수단을 고르십시오",IF(ISNA(MATCH($C1384,'교육원 ③ 통장·카드'!$A$5:$A$11,0)),"③ 통장·카드에 없는 결제수단입니다",IF($D1384="","계정과목을 고르십시오",IF($E1384="※없는 과목","④ 설정에 없는 과목입니다",IF(AND($E1384="수입",$J1384&gt;0),"수입 과목인데 지출에 적혔습니다",IF(AND(LEFT($E1384,2)&lt;&gt;"수입",$E1384&lt;&gt;"대체",$I1384&gt;0),"지출 과목인데 수입에 적혔습니다",IF($K1384="","증빙을 고르십시오",IF($H1384="","적요를 적으십시오","")))))))))))</f>
        <v/>
      </c>
      <c r="M1384" s="39"/>
      <c r="O1384" s="11" t="str">
        <f aca="false">IF($B1384="","",YEAR($B1384)*100+MONTH($B1384))</f>
        <v/>
      </c>
      <c r="P1384" s="11" t="str">
        <f aca="false">IF($B1384="","",IF($E1384="대체",0,1))</f>
        <v/>
      </c>
    </row>
    <row r="1385" customFormat="false" ht="15" hidden="false" customHeight="false" outlineLevel="0" collapsed="false">
      <c r="A1385" s="36" t="str">
        <f aca="false">IF($B1385="","",COUNT($B$15:$B1385))</f>
        <v/>
      </c>
      <c r="B1385" s="37"/>
      <c r="C1385" s="38"/>
      <c r="D1385" s="20"/>
      <c r="E1385" s="36" t="str">
        <f aca="false">IF($D1385="","",IFERROR(INDEX('교육원 ④ 설정'!$A$6:$A$40,MATCH($D1385,'교육원 ④ 설정'!$B$6:$B$40,0)),"※없는 과목"))</f>
        <v/>
      </c>
      <c r="F1385" s="36" t="str">
        <f aca="false">IF($D1385="","",IFERROR(INDEX('교육원 ④ 설정'!$C$6:$C$40,MATCH($D1385,'교육원 ④ 설정'!$B$6:$B$40,0)),""))</f>
        <v/>
      </c>
      <c r="G1385" s="39"/>
      <c r="H1385" s="39"/>
      <c r="I1385" s="40"/>
      <c r="J1385" s="41"/>
      <c r="K1385" s="38"/>
      <c r="L1385" s="42" t="str">
        <f aca="false">IF($B1385="","",IF(AND(N($I1385)=0,N($J1385)=0),"금액이 없습니다",IF(AND($I1385&gt;0,$J1385&gt;0),"수입·지출 둘 다 적혔습니다",IF($C1385="","결제수단을 고르십시오",IF(ISNA(MATCH($C1385,'교육원 ③ 통장·카드'!$A$5:$A$11,0)),"③ 통장·카드에 없는 결제수단입니다",IF($D1385="","계정과목을 고르십시오",IF($E1385="※없는 과목","④ 설정에 없는 과목입니다",IF(AND($E1385="수입",$J1385&gt;0),"수입 과목인데 지출에 적혔습니다",IF(AND(LEFT($E1385,2)&lt;&gt;"수입",$E1385&lt;&gt;"대체",$I1385&gt;0),"지출 과목인데 수입에 적혔습니다",IF($K1385="","증빙을 고르십시오",IF($H1385="","적요를 적으십시오","")))))))))))</f>
        <v/>
      </c>
      <c r="M1385" s="39"/>
      <c r="O1385" s="11" t="str">
        <f aca="false">IF($B1385="","",YEAR($B1385)*100+MONTH($B1385))</f>
        <v/>
      </c>
      <c r="P1385" s="11" t="str">
        <f aca="false">IF($B1385="","",IF($E1385="대체",0,1))</f>
        <v/>
      </c>
    </row>
    <row r="1386" customFormat="false" ht="15" hidden="false" customHeight="false" outlineLevel="0" collapsed="false">
      <c r="A1386" s="36" t="str">
        <f aca="false">IF($B1386="","",COUNT($B$15:$B1386))</f>
        <v/>
      </c>
      <c r="B1386" s="37"/>
      <c r="C1386" s="38"/>
      <c r="D1386" s="20"/>
      <c r="E1386" s="36" t="str">
        <f aca="false">IF($D1386="","",IFERROR(INDEX('교육원 ④ 설정'!$A$6:$A$40,MATCH($D1386,'교육원 ④ 설정'!$B$6:$B$40,0)),"※없는 과목"))</f>
        <v/>
      </c>
      <c r="F1386" s="36" t="str">
        <f aca="false">IF($D1386="","",IFERROR(INDEX('교육원 ④ 설정'!$C$6:$C$40,MATCH($D1386,'교육원 ④ 설정'!$B$6:$B$40,0)),""))</f>
        <v/>
      </c>
      <c r="G1386" s="39"/>
      <c r="H1386" s="39"/>
      <c r="I1386" s="40"/>
      <c r="J1386" s="41"/>
      <c r="K1386" s="38"/>
      <c r="L1386" s="42" t="str">
        <f aca="false">IF($B1386="","",IF(AND(N($I1386)=0,N($J1386)=0),"금액이 없습니다",IF(AND($I1386&gt;0,$J1386&gt;0),"수입·지출 둘 다 적혔습니다",IF($C1386="","결제수단을 고르십시오",IF(ISNA(MATCH($C1386,'교육원 ③ 통장·카드'!$A$5:$A$11,0)),"③ 통장·카드에 없는 결제수단입니다",IF($D1386="","계정과목을 고르십시오",IF($E1386="※없는 과목","④ 설정에 없는 과목입니다",IF(AND($E1386="수입",$J1386&gt;0),"수입 과목인데 지출에 적혔습니다",IF(AND(LEFT($E1386,2)&lt;&gt;"수입",$E1386&lt;&gt;"대체",$I1386&gt;0),"지출 과목인데 수입에 적혔습니다",IF($K1386="","증빙을 고르십시오",IF($H1386="","적요를 적으십시오","")))))))))))</f>
        <v/>
      </c>
      <c r="M1386" s="39"/>
      <c r="O1386" s="11" t="str">
        <f aca="false">IF($B1386="","",YEAR($B1386)*100+MONTH($B1386))</f>
        <v/>
      </c>
      <c r="P1386" s="11" t="str">
        <f aca="false">IF($B1386="","",IF($E1386="대체",0,1))</f>
        <v/>
      </c>
    </row>
    <row r="1387" customFormat="false" ht="15" hidden="false" customHeight="false" outlineLevel="0" collapsed="false">
      <c r="A1387" s="36" t="str">
        <f aca="false">IF($B1387="","",COUNT($B$15:$B1387))</f>
        <v/>
      </c>
      <c r="B1387" s="37"/>
      <c r="C1387" s="38"/>
      <c r="D1387" s="20"/>
      <c r="E1387" s="36" t="str">
        <f aca="false">IF($D1387="","",IFERROR(INDEX('교육원 ④ 설정'!$A$6:$A$40,MATCH($D1387,'교육원 ④ 설정'!$B$6:$B$40,0)),"※없는 과목"))</f>
        <v/>
      </c>
      <c r="F1387" s="36" t="str">
        <f aca="false">IF($D1387="","",IFERROR(INDEX('교육원 ④ 설정'!$C$6:$C$40,MATCH($D1387,'교육원 ④ 설정'!$B$6:$B$40,0)),""))</f>
        <v/>
      </c>
      <c r="G1387" s="39"/>
      <c r="H1387" s="39"/>
      <c r="I1387" s="40"/>
      <c r="J1387" s="41"/>
      <c r="K1387" s="38"/>
      <c r="L1387" s="42" t="str">
        <f aca="false">IF($B1387="","",IF(AND(N($I1387)=0,N($J1387)=0),"금액이 없습니다",IF(AND($I1387&gt;0,$J1387&gt;0),"수입·지출 둘 다 적혔습니다",IF($C1387="","결제수단을 고르십시오",IF(ISNA(MATCH($C1387,'교육원 ③ 통장·카드'!$A$5:$A$11,0)),"③ 통장·카드에 없는 결제수단입니다",IF($D1387="","계정과목을 고르십시오",IF($E1387="※없는 과목","④ 설정에 없는 과목입니다",IF(AND($E1387="수입",$J1387&gt;0),"수입 과목인데 지출에 적혔습니다",IF(AND(LEFT($E1387,2)&lt;&gt;"수입",$E1387&lt;&gt;"대체",$I1387&gt;0),"지출 과목인데 수입에 적혔습니다",IF($K1387="","증빙을 고르십시오",IF($H1387="","적요를 적으십시오","")))))))))))</f>
        <v/>
      </c>
      <c r="M1387" s="39"/>
      <c r="O1387" s="11" t="str">
        <f aca="false">IF($B1387="","",YEAR($B1387)*100+MONTH($B1387))</f>
        <v/>
      </c>
      <c r="P1387" s="11" t="str">
        <f aca="false">IF($B1387="","",IF($E1387="대체",0,1))</f>
        <v/>
      </c>
    </row>
    <row r="1388" customFormat="false" ht="15" hidden="false" customHeight="false" outlineLevel="0" collapsed="false">
      <c r="A1388" s="36" t="str">
        <f aca="false">IF($B1388="","",COUNT($B$15:$B1388))</f>
        <v/>
      </c>
      <c r="B1388" s="37"/>
      <c r="C1388" s="38"/>
      <c r="D1388" s="20"/>
      <c r="E1388" s="36" t="str">
        <f aca="false">IF($D1388="","",IFERROR(INDEX('교육원 ④ 설정'!$A$6:$A$40,MATCH($D1388,'교육원 ④ 설정'!$B$6:$B$40,0)),"※없는 과목"))</f>
        <v/>
      </c>
      <c r="F1388" s="36" t="str">
        <f aca="false">IF($D1388="","",IFERROR(INDEX('교육원 ④ 설정'!$C$6:$C$40,MATCH($D1388,'교육원 ④ 설정'!$B$6:$B$40,0)),""))</f>
        <v/>
      </c>
      <c r="G1388" s="39"/>
      <c r="H1388" s="39"/>
      <c r="I1388" s="40"/>
      <c r="J1388" s="41"/>
      <c r="K1388" s="38"/>
      <c r="L1388" s="42" t="str">
        <f aca="false">IF($B1388="","",IF(AND(N($I1388)=0,N($J1388)=0),"금액이 없습니다",IF(AND($I1388&gt;0,$J1388&gt;0),"수입·지출 둘 다 적혔습니다",IF($C1388="","결제수단을 고르십시오",IF(ISNA(MATCH($C1388,'교육원 ③ 통장·카드'!$A$5:$A$11,0)),"③ 통장·카드에 없는 결제수단입니다",IF($D1388="","계정과목을 고르십시오",IF($E1388="※없는 과목","④ 설정에 없는 과목입니다",IF(AND($E1388="수입",$J1388&gt;0),"수입 과목인데 지출에 적혔습니다",IF(AND(LEFT($E1388,2)&lt;&gt;"수입",$E1388&lt;&gt;"대체",$I1388&gt;0),"지출 과목인데 수입에 적혔습니다",IF($K1388="","증빙을 고르십시오",IF($H1388="","적요를 적으십시오","")))))))))))</f>
        <v/>
      </c>
      <c r="M1388" s="39"/>
      <c r="O1388" s="11" t="str">
        <f aca="false">IF($B1388="","",YEAR($B1388)*100+MONTH($B1388))</f>
        <v/>
      </c>
      <c r="P1388" s="11" t="str">
        <f aca="false">IF($B1388="","",IF($E1388="대체",0,1))</f>
        <v/>
      </c>
    </row>
    <row r="1389" customFormat="false" ht="15" hidden="false" customHeight="false" outlineLevel="0" collapsed="false">
      <c r="A1389" s="36" t="str">
        <f aca="false">IF($B1389="","",COUNT($B$15:$B1389))</f>
        <v/>
      </c>
      <c r="B1389" s="37"/>
      <c r="C1389" s="38"/>
      <c r="D1389" s="20"/>
      <c r="E1389" s="36" t="str">
        <f aca="false">IF($D1389="","",IFERROR(INDEX('교육원 ④ 설정'!$A$6:$A$40,MATCH($D1389,'교육원 ④ 설정'!$B$6:$B$40,0)),"※없는 과목"))</f>
        <v/>
      </c>
      <c r="F1389" s="36" t="str">
        <f aca="false">IF($D1389="","",IFERROR(INDEX('교육원 ④ 설정'!$C$6:$C$40,MATCH($D1389,'교육원 ④ 설정'!$B$6:$B$40,0)),""))</f>
        <v/>
      </c>
      <c r="G1389" s="39"/>
      <c r="H1389" s="39"/>
      <c r="I1389" s="40"/>
      <c r="J1389" s="41"/>
      <c r="K1389" s="38"/>
      <c r="L1389" s="42" t="str">
        <f aca="false">IF($B1389="","",IF(AND(N($I1389)=0,N($J1389)=0),"금액이 없습니다",IF(AND($I1389&gt;0,$J1389&gt;0),"수입·지출 둘 다 적혔습니다",IF($C1389="","결제수단을 고르십시오",IF(ISNA(MATCH($C1389,'교육원 ③ 통장·카드'!$A$5:$A$11,0)),"③ 통장·카드에 없는 결제수단입니다",IF($D1389="","계정과목을 고르십시오",IF($E1389="※없는 과목","④ 설정에 없는 과목입니다",IF(AND($E1389="수입",$J1389&gt;0),"수입 과목인데 지출에 적혔습니다",IF(AND(LEFT($E1389,2)&lt;&gt;"수입",$E1389&lt;&gt;"대체",$I1389&gt;0),"지출 과목인데 수입에 적혔습니다",IF($K1389="","증빙을 고르십시오",IF($H1389="","적요를 적으십시오","")))))))))))</f>
        <v/>
      </c>
      <c r="M1389" s="39"/>
      <c r="O1389" s="11" t="str">
        <f aca="false">IF($B1389="","",YEAR($B1389)*100+MONTH($B1389))</f>
        <v/>
      </c>
      <c r="P1389" s="11" t="str">
        <f aca="false">IF($B1389="","",IF($E1389="대체",0,1))</f>
        <v/>
      </c>
    </row>
    <row r="1390" customFormat="false" ht="15" hidden="false" customHeight="false" outlineLevel="0" collapsed="false">
      <c r="A1390" s="36" t="str">
        <f aca="false">IF($B1390="","",COUNT($B$15:$B1390))</f>
        <v/>
      </c>
      <c r="B1390" s="37"/>
      <c r="C1390" s="38"/>
      <c r="D1390" s="20"/>
      <c r="E1390" s="36" t="str">
        <f aca="false">IF($D1390="","",IFERROR(INDEX('교육원 ④ 설정'!$A$6:$A$40,MATCH($D1390,'교육원 ④ 설정'!$B$6:$B$40,0)),"※없는 과목"))</f>
        <v/>
      </c>
      <c r="F1390" s="36" t="str">
        <f aca="false">IF($D1390="","",IFERROR(INDEX('교육원 ④ 설정'!$C$6:$C$40,MATCH($D1390,'교육원 ④ 설정'!$B$6:$B$40,0)),""))</f>
        <v/>
      </c>
      <c r="G1390" s="39"/>
      <c r="H1390" s="39"/>
      <c r="I1390" s="40"/>
      <c r="J1390" s="41"/>
      <c r="K1390" s="38"/>
      <c r="L1390" s="42" t="str">
        <f aca="false">IF($B1390="","",IF(AND(N($I1390)=0,N($J1390)=0),"금액이 없습니다",IF(AND($I1390&gt;0,$J1390&gt;0),"수입·지출 둘 다 적혔습니다",IF($C1390="","결제수단을 고르십시오",IF(ISNA(MATCH($C1390,'교육원 ③ 통장·카드'!$A$5:$A$11,0)),"③ 통장·카드에 없는 결제수단입니다",IF($D1390="","계정과목을 고르십시오",IF($E1390="※없는 과목","④ 설정에 없는 과목입니다",IF(AND($E1390="수입",$J1390&gt;0),"수입 과목인데 지출에 적혔습니다",IF(AND(LEFT($E1390,2)&lt;&gt;"수입",$E1390&lt;&gt;"대체",$I1390&gt;0),"지출 과목인데 수입에 적혔습니다",IF($K1390="","증빙을 고르십시오",IF($H1390="","적요를 적으십시오","")))))))))))</f>
        <v/>
      </c>
      <c r="M1390" s="39"/>
      <c r="O1390" s="11" t="str">
        <f aca="false">IF($B1390="","",YEAR($B1390)*100+MONTH($B1390))</f>
        <v/>
      </c>
      <c r="P1390" s="11" t="str">
        <f aca="false">IF($B1390="","",IF($E1390="대체",0,1))</f>
        <v/>
      </c>
    </row>
    <row r="1391" customFormat="false" ht="15" hidden="false" customHeight="false" outlineLevel="0" collapsed="false">
      <c r="A1391" s="36" t="str">
        <f aca="false">IF($B1391="","",COUNT($B$15:$B1391))</f>
        <v/>
      </c>
      <c r="B1391" s="37"/>
      <c r="C1391" s="38"/>
      <c r="D1391" s="20"/>
      <c r="E1391" s="36" t="str">
        <f aca="false">IF($D1391="","",IFERROR(INDEX('교육원 ④ 설정'!$A$6:$A$40,MATCH($D1391,'교육원 ④ 설정'!$B$6:$B$40,0)),"※없는 과목"))</f>
        <v/>
      </c>
      <c r="F1391" s="36" t="str">
        <f aca="false">IF($D1391="","",IFERROR(INDEX('교육원 ④ 설정'!$C$6:$C$40,MATCH($D1391,'교육원 ④ 설정'!$B$6:$B$40,0)),""))</f>
        <v/>
      </c>
      <c r="G1391" s="39"/>
      <c r="H1391" s="39"/>
      <c r="I1391" s="40"/>
      <c r="J1391" s="41"/>
      <c r="K1391" s="38"/>
      <c r="L1391" s="42" t="str">
        <f aca="false">IF($B1391="","",IF(AND(N($I1391)=0,N($J1391)=0),"금액이 없습니다",IF(AND($I1391&gt;0,$J1391&gt;0),"수입·지출 둘 다 적혔습니다",IF($C1391="","결제수단을 고르십시오",IF(ISNA(MATCH($C1391,'교육원 ③ 통장·카드'!$A$5:$A$11,0)),"③ 통장·카드에 없는 결제수단입니다",IF($D1391="","계정과목을 고르십시오",IF($E1391="※없는 과목","④ 설정에 없는 과목입니다",IF(AND($E1391="수입",$J1391&gt;0),"수입 과목인데 지출에 적혔습니다",IF(AND(LEFT($E1391,2)&lt;&gt;"수입",$E1391&lt;&gt;"대체",$I1391&gt;0),"지출 과목인데 수입에 적혔습니다",IF($K1391="","증빙을 고르십시오",IF($H1391="","적요를 적으십시오","")))))))))))</f>
        <v/>
      </c>
      <c r="M1391" s="39"/>
      <c r="O1391" s="11" t="str">
        <f aca="false">IF($B1391="","",YEAR($B1391)*100+MONTH($B1391))</f>
        <v/>
      </c>
      <c r="P1391" s="11" t="str">
        <f aca="false">IF($B1391="","",IF($E1391="대체",0,1))</f>
        <v/>
      </c>
    </row>
    <row r="1392" customFormat="false" ht="15" hidden="false" customHeight="false" outlineLevel="0" collapsed="false">
      <c r="A1392" s="36" t="str">
        <f aca="false">IF($B1392="","",COUNT($B$15:$B1392))</f>
        <v/>
      </c>
      <c r="B1392" s="37"/>
      <c r="C1392" s="38"/>
      <c r="D1392" s="20"/>
      <c r="E1392" s="36" t="str">
        <f aca="false">IF($D1392="","",IFERROR(INDEX('교육원 ④ 설정'!$A$6:$A$40,MATCH($D1392,'교육원 ④ 설정'!$B$6:$B$40,0)),"※없는 과목"))</f>
        <v/>
      </c>
      <c r="F1392" s="36" t="str">
        <f aca="false">IF($D1392="","",IFERROR(INDEX('교육원 ④ 설정'!$C$6:$C$40,MATCH($D1392,'교육원 ④ 설정'!$B$6:$B$40,0)),""))</f>
        <v/>
      </c>
      <c r="G1392" s="39"/>
      <c r="H1392" s="39"/>
      <c r="I1392" s="40"/>
      <c r="J1392" s="41"/>
      <c r="K1392" s="38"/>
      <c r="L1392" s="42" t="str">
        <f aca="false">IF($B1392="","",IF(AND(N($I1392)=0,N($J1392)=0),"금액이 없습니다",IF(AND($I1392&gt;0,$J1392&gt;0),"수입·지출 둘 다 적혔습니다",IF($C1392="","결제수단을 고르십시오",IF(ISNA(MATCH($C1392,'교육원 ③ 통장·카드'!$A$5:$A$11,0)),"③ 통장·카드에 없는 결제수단입니다",IF($D1392="","계정과목을 고르십시오",IF($E1392="※없는 과목","④ 설정에 없는 과목입니다",IF(AND($E1392="수입",$J1392&gt;0),"수입 과목인데 지출에 적혔습니다",IF(AND(LEFT($E1392,2)&lt;&gt;"수입",$E1392&lt;&gt;"대체",$I1392&gt;0),"지출 과목인데 수입에 적혔습니다",IF($K1392="","증빙을 고르십시오",IF($H1392="","적요를 적으십시오","")))))))))))</f>
        <v/>
      </c>
      <c r="M1392" s="39"/>
      <c r="O1392" s="11" t="str">
        <f aca="false">IF($B1392="","",YEAR($B1392)*100+MONTH($B1392))</f>
        <v/>
      </c>
      <c r="P1392" s="11" t="str">
        <f aca="false">IF($B1392="","",IF($E1392="대체",0,1))</f>
        <v/>
      </c>
    </row>
    <row r="1393" customFormat="false" ht="15" hidden="false" customHeight="false" outlineLevel="0" collapsed="false">
      <c r="A1393" s="36" t="str">
        <f aca="false">IF($B1393="","",COUNT($B$15:$B1393))</f>
        <v/>
      </c>
      <c r="B1393" s="37"/>
      <c r="C1393" s="38"/>
      <c r="D1393" s="20"/>
      <c r="E1393" s="36" t="str">
        <f aca="false">IF($D1393="","",IFERROR(INDEX('교육원 ④ 설정'!$A$6:$A$40,MATCH($D1393,'교육원 ④ 설정'!$B$6:$B$40,0)),"※없는 과목"))</f>
        <v/>
      </c>
      <c r="F1393" s="36" t="str">
        <f aca="false">IF($D1393="","",IFERROR(INDEX('교육원 ④ 설정'!$C$6:$C$40,MATCH($D1393,'교육원 ④ 설정'!$B$6:$B$40,0)),""))</f>
        <v/>
      </c>
      <c r="G1393" s="39"/>
      <c r="H1393" s="39"/>
      <c r="I1393" s="40"/>
      <c r="J1393" s="41"/>
      <c r="K1393" s="38"/>
      <c r="L1393" s="42" t="str">
        <f aca="false">IF($B1393="","",IF(AND(N($I1393)=0,N($J1393)=0),"금액이 없습니다",IF(AND($I1393&gt;0,$J1393&gt;0),"수입·지출 둘 다 적혔습니다",IF($C1393="","결제수단을 고르십시오",IF(ISNA(MATCH($C1393,'교육원 ③ 통장·카드'!$A$5:$A$11,0)),"③ 통장·카드에 없는 결제수단입니다",IF($D1393="","계정과목을 고르십시오",IF($E1393="※없는 과목","④ 설정에 없는 과목입니다",IF(AND($E1393="수입",$J1393&gt;0),"수입 과목인데 지출에 적혔습니다",IF(AND(LEFT($E1393,2)&lt;&gt;"수입",$E1393&lt;&gt;"대체",$I1393&gt;0),"지출 과목인데 수입에 적혔습니다",IF($K1393="","증빙을 고르십시오",IF($H1393="","적요를 적으십시오","")))))))))))</f>
        <v/>
      </c>
      <c r="M1393" s="39"/>
      <c r="O1393" s="11" t="str">
        <f aca="false">IF($B1393="","",YEAR($B1393)*100+MONTH($B1393))</f>
        <v/>
      </c>
      <c r="P1393" s="11" t="str">
        <f aca="false">IF($B1393="","",IF($E1393="대체",0,1))</f>
        <v/>
      </c>
    </row>
    <row r="1394" customFormat="false" ht="15" hidden="false" customHeight="false" outlineLevel="0" collapsed="false">
      <c r="A1394" s="36" t="str">
        <f aca="false">IF($B1394="","",COUNT($B$15:$B1394))</f>
        <v/>
      </c>
      <c r="B1394" s="37"/>
      <c r="C1394" s="38"/>
      <c r="D1394" s="20"/>
      <c r="E1394" s="36" t="str">
        <f aca="false">IF($D1394="","",IFERROR(INDEX('교육원 ④ 설정'!$A$6:$A$40,MATCH($D1394,'교육원 ④ 설정'!$B$6:$B$40,0)),"※없는 과목"))</f>
        <v/>
      </c>
      <c r="F1394" s="36" t="str">
        <f aca="false">IF($D1394="","",IFERROR(INDEX('교육원 ④ 설정'!$C$6:$C$40,MATCH($D1394,'교육원 ④ 설정'!$B$6:$B$40,0)),""))</f>
        <v/>
      </c>
      <c r="G1394" s="39"/>
      <c r="H1394" s="39"/>
      <c r="I1394" s="40"/>
      <c r="J1394" s="41"/>
      <c r="K1394" s="38"/>
      <c r="L1394" s="42" t="str">
        <f aca="false">IF($B1394="","",IF(AND(N($I1394)=0,N($J1394)=0),"금액이 없습니다",IF(AND($I1394&gt;0,$J1394&gt;0),"수입·지출 둘 다 적혔습니다",IF($C1394="","결제수단을 고르십시오",IF(ISNA(MATCH($C1394,'교육원 ③ 통장·카드'!$A$5:$A$11,0)),"③ 통장·카드에 없는 결제수단입니다",IF($D1394="","계정과목을 고르십시오",IF($E1394="※없는 과목","④ 설정에 없는 과목입니다",IF(AND($E1394="수입",$J1394&gt;0),"수입 과목인데 지출에 적혔습니다",IF(AND(LEFT($E1394,2)&lt;&gt;"수입",$E1394&lt;&gt;"대체",$I1394&gt;0),"지출 과목인데 수입에 적혔습니다",IF($K1394="","증빙을 고르십시오",IF($H1394="","적요를 적으십시오","")))))))))))</f>
        <v/>
      </c>
      <c r="M1394" s="39"/>
      <c r="O1394" s="11" t="str">
        <f aca="false">IF($B1394="","",YEAR($B1394)*100+MONTH($B1394))</f>
        <v/>
      </c>
      <c r="P1394" s="11" t="str">
        <f aca="false">IF($B1394="","",IF($E1394="대체",0,1))</f>
        <v/>
      </c>
    </row>
    <row r="1395" customFormat="false" ht="15" hidden="false" customHeight="false" outlineLevel="0" collapsed="false">
      <c r="A1395" s="36" t="str">
        <f aca="false">IF($B1395="","",COUNT($B$15:$B1395))</f>
        <v/>
      </c>
      <c r="B1395" s="37"/>
      <c r="C1395" s="38"/>
      <c r="D1395" s="20"/>
      <c r="E1395" s="36" t="str">
        <f aca="false">IF($D1395="","",IFERROR(INDEX('교육원 ④ 설정'!$A$6:$A$40,MATCH($D1395,'교육원 ④ 설정'!$B$6:$B$40,0)),"※없는 과목"))</f>
        <v/>
      </c>
      <c r="F1395" s="36" t="str">
        <f aca="false">IF($D1395="","",IFERROR(INDEX('교육원 ④ 설정'!$C$6:$C$40,MATCH($D1395,'교육원 ④ 설정'!$B$6:$B$40,0)),""))</f>
        <v/>
      </c>
      <c r="G1395" s="39"/>
      <c r="H1395" s="39"/>
      <c r="I1395" s="40"/>
      <c r="J1395" s="41"/>
      <c r="K1395" s="38"/>
      <c r="L1395" s="42" t="str">
        <f aca="false">IF($B1395="","",IF(AND(N($I1395)=0,N($J1395)=0),"금액이 없습니다",IF(AND($I1395&gt;0,$J1395&gt;0),"수입·지출 둘 다 적혔습니다",IF($C1395="","결제수단을 고르십시오",IF(ISNA(MATCH($C1395,'교육원 ③ 통장·카드'!$A$5:$A$11,0)),"③ 통장·카드에 없는 결제수단입니다",IF($D1395="","계정과목을 고르십시오",IF($E1395="※없는 과목","④ 설정에 없는 과목입니다",IF(AND($E1395="수입",$J1395&gt;0),"수입 과목인데 지출에 적혔습니다",IF(AND(LEFT($E1395,2)&lt;&gt;"수입",$E1395&lt;&gt;"대체",$I1395&gt;0),"지출 과목인데 수입에 적혔습니다",IF($K1395="","증빙을 고르십시오",IF($H1395="","적요를 적으십시오","")))))))))))</f>
        <v/>
      </c>
      <c r="M1395" s="39"/>
      <c r="O1395" s="11" t="str">
        <f aca="false">IF($B1395="","",YEAR($B1395)*100+MONTH($B1395))</f>
        <v/>
      </c>
      <c r="P1395" s="11" t="str">
        <f aca="false">IF($B1395="","",IF($E1395="대체",0,1))</f>
        <v/>
      </c>
    </row>
    <row r="1396" customFormat="false" ht="15" hidden="false" customHeight="false" outlineLevel="0" collapsed="false">
      <c r="A1396" s="36" t="str">
        <f aca="false">IF($B1396="","",COUNT($B$15:$B1396))</f>
        <v/>
      </c>
      <c r="B1396" s="37"/>
      <c r="C1396" s="38"/>
      <c r="D1396" s="20"/>
      <c r="E1396" s="36" t="str">
        <f aca="false">IF($D1396="","",IFERROR(INDEX('교육원 ④ 설정'!$A$6:$A$40,MATCH($D1396,'교육원 ④ 설정'!$B$6:$B$40,0)),"※없는 과목"))</f>
        <v/>
      </c>
      <c r="F1396" s="36" t="str">
        <f aca="false">IF($D1396="","",IFERROR(INDEX('교육원 ④ 설정'!$C$6:$C$40,MATCH($D1396,'교육원 ④ 설정'!$B$6:$B$40,0)),""))</f>
        <v/>
      </c>
      <c r="G1396" s="39"/>
      <c r="H1396" s="39"/>
      <c r="I1396" s="40"/>
      <c r="J1396" s="41"/>
      <c r="K1396" s="38"/>
      <c r="L1396" s="42" t="str">
        <f aca="false">IF($B1396="","",IF(AND(N($I1396)=0,N($J1396)=0),"금액이 없습니다",IF(AND($I1396&gt;0,$J1396&gt;0),"수입·지출 둘 다 적혔습니다",IF($C1396="","결제수단을 고르십시오",IF(ISNA(MATCH($C1396,'교육원 ③ 통장·카드'!$A$5:$A$11,0)),"③ 통장·카드에 없는 결제수단입니다",IF($D1396="","계정과목을 고르십시오",IF($E1396="※없는 과목","④ 설정에 없는 과목입니다",IF(AND($E1396="수입",$J1396&gt;0),"수입 과목인데 지출에 적혔습니다",IF(AND(LEFT($E1396,2)&lt;&gt;"수입",$E1396&lt;&gt;"대체",$I1396&gt;0),"지출 과목인데 수입에 적혔습니다",IF($K1396="","증빙을 고르십시오",IF($H1396="","적요를 적으십시오","")))))))))))</f>
        <v/>
      </c>
      <c r="M1396" s="39"/>
      <c r="O1396" s="11" t="str">
        <f aca="false">IF($B1396="","",YEAR($B1396)*100+MONTH($B1396))</f>
        <v/>
      </c>
      <c r="P1396" s="11" t="str">
        <f aca="false">IF($B1396="","",IF($E1396="대체",0,1))</f>
        <v/>
      </c>
    </row>
    <row r="1397" customFormat="false" ht="15" hidden="false" customHeight="false" outlineLevel="0" collapsed="false">
      <c r="A1397" s="36" t="str">
        <f aca="false">IF($B1397="","",COUNT($B$15:$B1397))</f>
        <v/>
      </c>
      <c r="B1397" s="37"/>
      <c r="C1397" s="38"/>
      <c r="D1397" s="20"/>
      <c r="E1397" s="36" t="str">
        <f aca="false">IF($D1397="","",IFERROR(INDEX('교육원 ④ 설정'!$A$6:$A$40,MATCH($D1397,'교육원 ④ 설정'!$B$6:$B$40,0)),"※없는 과목"))</f>
        <v/>
      </c>
      <c r="F1397" s="36" t="str">
        <f aca="false">IF($D1397="","",IFERROR(INDEX('교육원 ④ 설정'!$C$6:$C$40,MATCH($D1397,'교육원 ④ 설정'!$B$6:$B$40,0)),""))</f>
        <v/>
      </c>
      <c r="G1397" s="39"/>
      <c r="H1397" s="39"/>
      <c r="I1397" s="40"/>
      <c r="J1397" s="41"/>
      <c r="K1397" s="38"/>
      <c r="L1397" s="42" t="str">
        <f aca="false">IF($B1397="","",IF(AND(N($I1397)=0,N($J1397)=0),"금액이 없습니다",IF(AND($I1397&gt;0,$J1397&gt;0),"수입·지출 둘 다 적혔습니다",IF($C1397="","결제수단을 고르십시오",IF(ISNA(MATCH($C1397,'교육원 ③ 통장·카드'!$A$5:$A$11,0)),"③ 통장·카드에 없는 결제수단입니다",IF($D1397="","계정과목을 고르십시오",IF($E1397="※없는 과목","④ 설정에 없는 과목입니다",IF(AND($E1397="수입",$J1397&gt;0),"수입 과목인데 지출에 적혔습니다",IF(AND(LEFT($E1397,2)&lt;&gt;"수입",$E1397&lt;&gt;"대체",$I1397&gt;0),"지출 과목인데 수입에 적혔습니다",IF($K1397="","증빙을 고르십시오",IF($H1397="","적요를 적으십시오","")))))))))))</f>
        <v/>
      </c>
      <c r="M1397" s="39"/>
      <c r="O1397" s="11" t="str">
        <f aca="false">IF($B1397="","",YEAR($B1397)*100+MONTH($B1397))</f>
        <v/>
      </c>
      <c r="P1397" s="11" t="str">
        <f aca="false">IF($B1397="","",IF($E1397="대체",0,1))</f>
        <v/>
      </c>
    </row>
    <row r="1398" customFormat="false" ht="15" hidden="false" customHeight="false" outlineLevel="0" collapsed="false">
      <c r="A1398" s="36" t="str">
        <f aca="false">IF($B1398="","",COUNT($B$15:$B1398))</f>
        <v/>
      </c>
      <c r="B1398" s="37"/>
      <c r="C1398" s="38"/>
      <c r="D1398" s="20"/>
      <c r="E1398" s="36" t="str">
        <f aca="false">IF($D1398="","",IFERROR(INDEX('교육원 ④ 설정'!$A$6:$A$40,MATCH($D1398,'교육원 ④ 설정'!$B$6:$B$40,0)),"※없는 과목"))</f>
        <v/>
      </c>
      <c r="F1398" s="36" t="str">
        <f aca="false">IF($D1398="","",IFERROR(INDEX('교육원 ④ 설정'!$C$6:$C$40,MATCH($D1398,'교육원 ④ 설정'!$B$6:$B$40,0)),""))</f>
        <v/>
      </c>
      <c r="G1398" s="39"/>
      <c r="H1398" s="39"/>
      <c r="I1398" s="40"/>
      <c r="J1398" s="41"/>
      <c r="K1398" s="38"/>
      <c r="L1398" s="42" t="str">
        <f aca="false">IF($B1398="","",IF(AND(N($I1398)=0,N($J1398)=0),"금액이 없습니다",IF(AND($I1398&gt;0,$J1398&gt;0),"수입·지출 둘 다 적혔습니다",IF($C1398="","결제수단을 고르십시오",IF(ISNA(MATCH($C1398,'교육원 ③ 통장·카드'!$A$5:$A$11,0)),"③ 통장·카드에 없는 결제수단입니다",IF($D1398="","계정과목을 고르십시오",IF($E1398="※없는 과목","④ 설정에 없는 과목입니다",IF(AND($E1398="수입",$J1398&gt;0),"수입 과목인데 지출에 적혔습니다",IF(AND(LEFT($E1398,2)&lt;&gt;"수입",$E1398&lt;&gt;"대체",$I1398&gt;0),"지출 과목인데 수입에 적혔습니다",IF($K1398="","증빙을 고르십시오",IF($H1398="","적요를 적으십시오","")))))))))))</f>
        <v/>
      </c>
      <c r="M1398" s="39"/>
      <c r="O1398" s="11" t="str">
        <f aca="false">IF($B1398="","",YEAR($B1398)*100+MONTH($B1398))</f>
        <v/>
      </c>
      <c r="P1398" s="11" t="str">
        <f aca="false">IF($B1398="","",IF($E1398="대체",0,1))</f>
        <v/>
      </c>
    </row>
    <row r="1399" customFormat="false" ht="15" hidden="false" customHeight="false" outlineLevel="0" collapsed="false">
      <c r="A1399" s="36" t="str">
        <f aca="false">IF($B1399="","",COUNT($B$15:$B1399))</f>
        <v/>
      </c>
      <c r="B1399" s="37"/>
      <c r="C1399" s="38"/>
      <c r="D1399" s="20"/>
      <c r="E1399" s="36" t="str">
        <f aca="false">IF($D1399="","",IFERROR(INDEX('교육원 ④ 설정'!$A$6:$A$40,MATCH($D1399,'교육원 ④ 설정'!$B$6:$B$40,0)),"※없는 과목"))</f>
        <v/>
      </c>
      <c r="F1399" s="36" t="str">
        <f aca="false">IF($D1399="","",IFERROR(INDEX('교육원 ④ 설정'!$C$6:$C$40,MATCH($D1399,'교육원 ④ 설정'!$B$6:$B$40,0)),""))</f>
        <v/>
      </c>
      <c r="G1399" s="39"/>
      <c r="H1399" s="39"/>
      <c r="I1399" s="40"/>
      <c r="J1399" s="41"/>
      <c r="K1399" s="38"/>
      <c r="L1399" s="42" t="str">
        <f aca="false">IF($B1399="","",IF(AND(N($I1399)=0,N($J1399)=0),"금액이 없습니다",IF(AND($I1399&gt;0,$J1399&gt;0),"수입·지출 둘 다 적혔습니다",IF($C1399="","결제수단을 고르십시오",IF(ISNA(MATCH($C1399,'교육원 ③ 통장·카드'!$A$5:$A$11,0)),"③ 통장·카드에 없는 결제수단입니다",IF($D1399="","계정과목을 고르십시오",IF($E1399="※없는 과목","④ 설정에 없는 과목입니다",IF(AND($E1399="수입",$J1399&gt;0),"수입 과목인데 지출에 적혔습니다",IF(AND(LEFT($E1399,2)&lt;&gt;"수입",$E1399&lt;&gt;"대체",$I1399&gt;0),"지출 과목인데 수입에 적혔습니다",IF($K1399="","증빙을 고르십시오",IF($H1399="","적요를 적으십시오","")))))))))))</f>
        <v/>
      </c>
      <c r="M1399" s="39"/>
      <c r="O1399" s="11" t="str">
        <f aca="false">IF($B1399="","",YEAR($B1399)*100+MONTH($B1399))</f>
        <v/>
      </c>
      <c r="P1399" s="11" t="str">
        <f aca="false">IF($B1399="","",IF($E1399="대체",0,1))</f>
        <v/>
      </c>
    </row>
    <row r="1400" customFormat="false" ht="15" hidden="false" customHeight="false" outlineLevel="0" collapsed="false">
      <c r="A1400" s="36" t="str">
        <f aca="false">IF($B1400="","",COUNT($B$15:$B1400))</f>
        <v/>
      </c>
      <c r="B1400" s="37"/>
      <c r="C1400" s="38"/>
      <c r="D1400" s="20"/>
      <c r="E1400" s="36" t="str">
        <f aca="false">IF($D1400="","",IFERROR(INDEX('교육원 ④ 설정'!$A$6:$A$40,MATCH($D1400,'교육원 ④ 설정'!$B$6:$B$40,0)),"※없는 과목"))</f>
        <v/>
      </c>
      <c r="F1400" s="36" t="str">
        <f aca="false">IF($D1400="","",IFERROR(INDEX('교육원 ④ 설정'!$C$6:$C$40,MATCH($D1400,'교육원 ④ 설정'!$B$6:$B$40,0)),""))</f>
        <v/>
      </c>
      <c r="G1400" s="39"/>
      <c r="H1400" s="39"/>
      <c r="I1400" s="40"/>
      <c r="J1400" s="41"/>
      <c r="K1400" s="38"/>
      <c r="L1400" s="42" t="str">
        <f aca="false">IF($B1400="","",IF(AND(N($I1400)=0,N($J1400)=0),"금액이 없습니다",IF(AND($I1400&gt;0,$J1400&gt;0),"수입·지출 둘 다 적혔습니다",IF($C1400="","결제수단을 고르십시오",IF(ISNA(MATCH($C1400,'교육원 ③ 통장·카드'!$A$5:$A$11,0)),"③ 통장·카드에 없는 결제수단입니다",IF($D1400="","계정과목을 고르십시오",IF($E1400="※없는 과목","④ 설정에 없는 과목입니다",IF(AND($E1400="수입",$J1400&gt;0),"수입 과목인데 지출에 적혔습니다",IF(AND(LEFT($E1400,2)&lt;&gt;"수입",$E1400&lt;&gt;"대체",$I1400&gt;0),"지출 과목인데 수입에 적혔습니다",IF($K1400="","증빙을 고르십시오",IF($H1400="","적요를 적으십시오","")))))))))))</f>
        <v/>
      </c>
      <c r="M1400" s="39"/>
      <c r="O1400" s="11" t="str">
        <f aca="false">IF($B1400="","",YEAR($B1400)*100+MONTH($B1400))</f>
        <v/>
      </c>
      <c r="P1400" s="11" t="str">
        <f aca="false">IF($B1400="","",IF($E1400="대체",0,1))</f>
        <v/>
      </c>
    </row>
    <row r="1401" customFormat="false" ht="15" hidden="false" customHeight="false" outlineLevel="0" collapsed="false">
      <c r="A1401" s="36" t="str">
        <f aca="false">IF($B1401="","",COUNT($B$15:$B1401))</f>
        <v/>
      </c>
      <c r="B1401" s="37"/>
      <c r="C1401" s="38"/>
      <c r="D1401" s="20"/>
      <c r="E1401" s="36" t="str">
        <f aca="false">IF($D1401="","",IFERROR(INDEX('교육원 ④ 설정'!$A$6:$A$40,MATCH($D1401,'교육원 ④ 설정'!$B$6:$B$40,0)),"※없는 과목"))</f>
        <v/>
      </c>
      <c r="F1401" s="36" t="str">
        <f aca="false">IF($D1401="","",IFERROR(INDEX('교육원 ④ 설정'!$C$6:$C$40,MATCH($D1401,'교육원 ④ 설정'!$B$6:$B$40,0)),""))</f>
        <v/>
      </c>
      <c r="G1401" s="39"/>
      <c r="H1401" s="39"/>
      <c r="I1401" s="40"/>
      <c r="J1401" s="41"/>
      <c r="K1401" s="38"/>
      <c r="L1401" s="42" t="str">
        <f aca="false">IF($B1401="","",IF(AND(N($I1401)=0,N($J1401)=0),"금액이 없습니다",IF(AND($I1401&gt;0,$J1401&gt;0),"수입·지출 둘 다 적혔습니다",IF($C1401="","결제수단을 고르십시오",IF(ISNA(MATCH($C1401,'교육원 ③ 통장·카드'!$A$5:$A$11,0)),"③ 통장·카드에 없는 결제수단입니다",IF($D1401="","계정과목을 고르십시오",IF($E1401="※없는 과목","④ 설정에 없는 과목입니다",IF(AND($E1401="수입",$J1401&gt;0),"수입 과목인데 지출에 적혔습니다",IF(AND(LEFT($E1401,2)&lt;&gt;"수입",$E1401&lt;&gt;"대체",$I1401&gt;0),"지출 과목인데 수입에 적혔습니다",IF($K1401="","증빙을 고르십시오",IF($H1401="","적요를 적으십시오","")))))))))))</f>
        <v/>
      </c>
      <c r="M1401" s="39"/>
      <c r="O1401" s="11" t="str">
        <f aca="false">IF($B1401="","",YEAR($B1401)*100+MONTH($B1401))</f>
        <v/>
      </c>
      <c r="P1401" s="11" t="str">
        <f aca="false">IF($B1401="","",IF($E1401="대체",0,1))</f>
        <v/>
      </c>
    </row>
    <row r="1402" customFormat="false" ht="15" hidden="false" customHeight="false" outlineLevel="0" collapsed="false">
      <c r="A1402" s="36" t="str">
        <f aca="false">IF($B1402="","",COUNT($B$15:$B1402))</f>
        <v/>
      </c>
      <c r="B1402" s="37"/>
      <c r="C1402" s="38"/>
      <c r="D1402" s="20"/>
      <c r="E1402" s="36" t="str">
        <f aca="false">IF($D1402="","",IFERROR(INDEX('교육원 ④ 설정'!$A$6:$A$40,MATCH($D1402,'교육원 ④ 설정'!$B$6:$B$40,0)),"※없는 과목"))</f>
        <v/>
      </c>
      <c r="F1402" s="36" t="str">
        <f aca="false">IF($D1402="","",IFERROR(INDEX('교육원 ④ 설정'!$C$6:$C$40,MATCH($D1402,'교육원 ④ 설정'!$B$6:$B$40,0)),""))</f>
        <v/>
      </c>
      <c r="G1402" s="39"/>
      <c r="H1402" s="39"/>
      <c r="I1402" s="40"/>
      <c r="J1402" s="41"/>
      <c r="K1402" s="38"/>
      <c r="L1402" s="42" t="str">
        <f aca="false">IF($B1402="","",IF(AND(N($I1402)=0,N($J1402)=0),"금액이 없습니다",IF(AND($I1402&gt;0,$J1402&gt;0),"수입·지출 둘 다 적혔습니다",IF($C1402="","결제수단을 고르십시오",IF(ISNA(MATCH($C1402,'교육원 ③ 통장·카드'!$A$5:$A$11,0)),"③ 통장·카드에 없는 결제수단입니다",IF($D1402="","계정과목을 고르십시오",IF($E1402="※없는 과목","④ 설정에 없는 과목입니다",IF(AND($E1402="수입",$J1402&gt;0),"수입 과목인데 지출에 적혔습니다",IF(AND(LEFT($E1402,2)&lt;&gt;"수입",$E1402&lt;&gt;"대체",$I1402&gt;0),"지출 과목인데 수입에 적혔습니다",IF($K1402="","증빙을 고르십시오",IF($H1402="","적요를 적으십시오","")))))))))))</f>
        <v/>
      </c>
      <c r="M1402" s="39"/>
      <c r="O1402" s="11" t="str">
        <f aca="false">IF($B1402="","",YEAR($B1402)*100+MONTH($B1402))</f>
        <v/>
      </c>
      <c r="P1402" s="11" t="str">
        <f aca="false">IF($B1402="","",IF($E1402="대체",0,1))</f>
        <v/>
      </c>
    </row>
    <row r="1403" customFormat="false" ht="15" hidden="false" customHeight="false" outlineLevel="0" collapsed="false">
      <c r="A1403" s="36" t="str">
        <f aca="false">IF($B1403="","",COUNT($B$15:$B1403))</f>
        <v/>
      </c>
      <c r="B1403" s="37"/>
      <c r="C1403" s="38"/>
      <c r="D1403" s="20"/>
      <c r="E1403" s="36" t="str">
        <f aca="false">IF($D1403="","",IFERROR(INDEX('교육원 ④ 설정'!$A$6:$A$40,MATCH($D1403,'교육원 ④ 설정'!$B$6:$B$40,0)),"※없는 과목"))</f>
        <v/>
      </c>
      <c r="F1403" s="36" t="str">
        <f aca="false">IF($D1403="","",IFERROR(INDEX('교육원 ④ 설정'!$C$6:$C$40,MATCH($D1403,'교육원 ④ 설정'!$B$6:$B$40,0)),""))</f>
        <v/>
      </c>
      <c r="G1403" s="39"/>
      <c r="H1403" s="39"/>
      <c r="I1403" s="40"/>
      <c r="J1403" s="41"/>
      <c r="K1403" s="38"/>
      <c r="L1403" s="42" t="str">
        <f aca="false">IF($B1403="","",IF(AND(N($I1403)=0,N($J1403)=0),"금액이 없습니다",IF(AND($I1403&gt;0,$J1403&gt;0),"수입·지출 둘 다 적혔습니다",IF($C1403="","결제수단을 고르십시오",IF(ISNA(MATCH($C1403,'교육원 ③ 통장·카드'!$A$5:$A$11,0)),"③ 통장·카드에 없는 결제수단입니다",IF($D1403="","계정과목을 고르십시오",IF($E1403="※없는 과목","④ 설정에 없는 과목입니다",IF(AND($E1403="수입",$J1403&gt;0),"수입 과목인데 지출에 적혔습니다",IF(AND(LEFT($E1403,2)&lt;&gt;"수입",$E1403&lt;&gt;"대체",$I1403&gt;0),"지출 과목인데 수입에 적혔습니다",IF($K1403="","증빙을 고르십시오",IF($H1403="","적요를 적으십시오","")))))))))))</f>
        <v/>
      </c>
      <c r="M1403" s="39"/>
      <c r="O1403" s="11" t="str">
        <f aca="false">IF($B1403="","",YEAR($B1403)*100+MONTH($B1403))</f>
        <v/>
      </c>
      <c r="P1403" s="11" t="str">
        <f aca="false">IF($B1403="","",IF($E1403="대체",0,1))</f>
        <v/>
      </c>
    </row>
    <row r="1404" customFormat="false" ht="15" hidden="false" customHeight="false" outlineLevel="0" collapsed="false">
      <c r="A1404" s="36" t="str">
        <f aca="false">IF($B1404="","",COUNT($B$15:$B1404))</f>
        <v/>
      </c>
      <c r="B1404" s="37"/>
      <c r="C1404" s="38"/>
      <c r="D1404" s="20"/>
      <c r="E1404" s="36" t="str">
        <f aca="false">IF($D1404="","",IFERROR(INDEX('교육원 ④ 설정'!$A$6:$A$40,MATCH($D1404,'교육원 ④ 설정'!$B$6:$B$40,0)),"※없는 과목"))</f>
        <v/>
      </c>
      <c r="F1404" s="36" t="str">
        <f aca="false">IF($D1404="","",IFERROR(INDEX('교육원 ④ 설정'!$C$6:$C$40,MATCH($D1404,'교육원 ④ 설정'!$B$6:$B$40,0)),""))</f>
        <v/>
      </c>
      <c r="G1404" s="39"/>
      <c r="H1404" s="39"/>
      <c r="I1404" s="40"/>
      <c r="J1404" s="41"/>
      <c r="K1404" s="38"/>
      <c r="L1404" s="42" t="str">
        <f aca="false">IF($B1404="","",IF(AND(N($I1404)=0,N($J1404)=0),"금액이 없습니다",IF(AND($I1404&gt;0,$J1404&gt;0),"수입·지출 둘 다 적혔습니다",IF($C1404="","결제수단을 고르십시오",IF(ISNA(MATCH($C1404,'교육원 ③ 통장·카드'!$A$5:$A$11,0)),"③ 통장·카드에 없는 결제수단입니다",IF($D1404="","계정과목을 고르십시오",IF($E1404="※없는 과목","④ 설정에 없는 과목입니다",IF(AND($E1404="수입",$J1404&gt;0),"수입 과목인데 지출에 적혔습니다",IF(AND(LEFT($E1404,2)&lt;&gt;"수입",$E1404&lt;&gt;"대체",$I1404&gt;0),"지출 과목인데 수입에 적혔습니다",IF($K1404="","증빙을 고르십시오",IF($H1404="","적요를 적으십시오","")))))))))))</f>
        <v/>
      </c>
      <c r="M1404" s="39"/>
      <c r="O1404" s="11" t="str">
        <f aca="false">IF($B1404="","",YEAR($B1404)*100+MONTH($B1404))</f>
        <v/>
      </c>
      <c r="P1404" s="11" t="str">
        <f aca="false">IF($B1404="","",IF($E1404="대체",0,1))</f>
        <v/>
      </c>
    </row>
    <row r="1405" customFormat="false" ht="15" hidden="false" customHeight="false" outlineLevel="0" collapsed="false">
      <c r="A1405" s="36" t="str">
        <f aca="false">IF($B1405="","",COUNT($B$15:$B1405))</f>
        <v/>
      </c>
      <c r="B1405" s="37"/>
      <c r="C1405" s="38"/>
      <c r="D1405" s="20"/>
      <c r="E1405" s="36" t="str">
        <f aca="false">IF($D1405="","",IFERROR(INDEX('교육원 ④ 설정'!$A$6:$A$40,MATCH($D1405,'교육원 ④ 설정'!$B$6:$B$40,0)),"※없는 과목"))</f>
        <v/>
      </c>
      <c r="F1405" s="36" t="str">
        <f aca="false">IF($D1405="","",IFERROR(INDEX('교육원 ④ 설정'!$C$6:$C$40,MATCH($D1405,'교육원 ④ 설정'!$B$6:$B$40,0)),""))</f>
        <v/>
      </c>
      <c r="G1405" s="39"/>
      <c r="H1405" s="39"/>
      <c r="I1405" s="40"/>
      <c r="J1405" s="41"/>
      <c r="K1405" s="38"/>
      <c r="L1405" s="42" t="str">
        <f aca="false">IF($B1405="","",IF(AND(N($I1405)=0,N($J1405)=0),"금액이 없습니다",IF(AND($I1405&gt;0,$J1405&gt;0),"수입·지출 둘 다 적혔습니다",IF($C1405="","결제수단을 고르십시오",IF(ISNA(MATCH($C1405,'교육원 ③ 통장·카드'!$A$5:$A$11,0)),"③ 통장·카드에 없는 결제수단입니다",IF($D1405="","계정과목을 고르십시오",IF($E1405="※없는 과목","④ 설정에 없는 과목입니다",IF(AND($E1405="수입",$J1405&gt;0),"수입 과목인데 지출에 적혔습니다",IF(AND(LEFT($E1405,2)&lt;&gt;"수입",$E1405&lt;&gt;"대체",$I1405&gt;0),"지출 과목인데 수입에 적혔습니다",IF($K1405="","증빙을 고르십시오",IF($H1405="","적요를 적으십시오","")))))))))))</f>
        <v/>
      </c>
      <c r="M1405" s="39"/>
      <c r="O1405" s="11" t="str">
        <f aca="false">IF($B1405="","",YEAR($B1405)*100+MONTH($B1405))</f>
        <v/>
      </c>
      <c r="P1405" s="11" t="str">
        <f aca="false">IF($B1405="","",IF($E1405="대체",0,1))</f>
        <v/>
      </c>
    </row>
    <row r="1406" customFormat="false" ht="15" hidden="false" customHeight="false" outlineLevel="0" collapsed="false">
      <c r="A1406" s="36" t="str">
        <f aca="false">IF($B1406="","",COUNT($B$15:$B1406))</f>
        <v/>
      </c>
      <c r="B1406" s="37"/>
      <c r="C1406" s="38"/>
      <c r="D1406" s="20"/>
      <c r="E1406" s="36" t="str">
        <f aca="false">IF($D1406="","",IFERROR(INDEX('교육원 ④ 설정'!$A$6:$A$40,MATCH($D1406,'교육원 ④ 설정'!$B$6:$B$40,0)),"※없는 과목"))</f>
        <v/>
      </c>
      <c r="F1406" s="36" t="str">
        <f aca="false">IF($D1406="","",IFERROR(INDEX('교육원 ④ 설정'!$C$6:$C$40,MATCH($D1406,'교육원 ④ 설정'!$B$6:$B$40,0)),""))</f>
        <v/>
      </c>
      <c r="G1406" s="39"/>
      <c r="H1406" s="39"/>
      <c r="I1406" s="40"/>
      <c r="J1406" s="41"/>
      <c r="K1406" s="38"/>
      <c r="L1406" s="42" t="str">
        <f aca="false">IF($B1406="","",IF(AND(N($I1406)=0,N($J1406)=0),"금액이 없습니다",IF(AND($I1406&gt;0,$J1406&gt;0),"수입·지출 둘 다 적혔습니다",IF($C1406="","결제수단을 고르십시오",IF(ISNA(MATCH($C1406,'교육원 ③ 통장·카드'!$A$5:$A$11,0)),"③ 통장·카드에 없는 결제수단입니다",IF($D1406="","계정과목을 고르십시오",IF($E1406="※없는 과목","④ 설정에 없는 과목입니다",IF(AND($E1406="수입",$J1406&gt;0),"수입 과목인데 지출에 적혔습니다",IF(AND(LEFT($E1406,2)&lt;&gt;"수입",$E1406&lt;&gt;"대체",$I1406&gt;0),"지출 과목인데 수입에 적혔습니다",IF($K1406="","증빙을 고르십시오",IF($H1406="","적요를 적으십시오","")))))))))))</f>
        <v/>
      </c>
      <c r="M1406" s="39"/>
      <c r="O1406" s="11" t="str">
        <f aca="false">IF($B1406="","",YEAR($B1406)*100+MONTH($B1406))</f>
        <v/>
      </c>
      <c r="P1406" s="11" t="str">
        <f aca="false">IF($B1406="","",IF($E1406="대체",0,1))</f>
        <v/>
      </c>
    </row>
    <row r="1407" customFormat="false" ht="15" hidden="false" customHeight="false" outlineLevel="0" collapsed="false">
      <c r="A1407" s="36" t="str">
        <f aca="false">IF($B1407="","",COUNT($B$15:$B1407))</f>
        <v/>
      </c>
      <c r="B1407" s="37"/>
      <c r="C1407" s="38"/>
      <c r="D1407" s="20"/>
      <c r="E1407" s="36" t="str">
        <f aca="false">IF($D1407="","",IFERROR(INDEX('교육원 ④ 설정'!$A$6:$A$40,MATCH($D1407,'교육원 ④ 설정'!$B$6:$B$40,0)),"※없는 과목"))</f>
        <v/>
      </c>
      <c r="F1407" s="36" t="str">
        <f aca="false">IF($D1407="","",IFERROR(INDEX('교육원 ④ 설정'!$C$6:$C$40,MATCH($D1407,'교육원 ④ 설정'!$B$6:$B$40,0)),""))</f>
        <v/>
      </c>
      <c r="G1407" s="39"/>
      <c r="H1407" s="39"/>
      <c r="I1407" s="40"/>
      <c r="J1407" s="41"/>
      <c r="K1407" s="38"/>
      <c r="L1407" s="42" t="str">
        <f aca="false">IF($B1407="","",IF(AND(N($I1407)=0,N($J1407)=0),"금액이 없습니다",IF(AND($I1407&gt;0,$J1407&gt;0),"수입·지출 둘 다 적혔습니다",IF($C1407="","결제수단을 고르십시오",IF(ISNA(MATCH($C1407,'교육원 ③ 통장·카드'!$A$5:$A$11,0)),"③ 통장·카드에 없는 결제수단입니다",IF($D1407="","계정과목을 고르십시오",IF($E1407="※없는 과목","④ 설정에 없는 과목입니다",IF(AND($E1407="수입",$J1407&gt;0),"수입 과목인데 지출에 적혔습니다",IF(AND(LEFT($E1407,2)&lt;&gt;"수입",$E1407&lt;&gt;"대체",$I1407&gt;0),"지출 과목인데 수입에 적혔습니다",IF($K1407="","증빙을 고르십시오",IF($H1407="","적요를 적으십시오","")))))))))))</f>
        <v/>
      </c>
      <c r="M1407" s="39"/>
      <c r="O1407" s="11" t="str">
        <f aca="false">IF($B1407="","",YEAR($B1407)*100+MONTH($B1407))</f>
        <v/>
      </c>
      <c r="P1407" s="11" t="str">
        <f aca="false">IF($B1407="","",IF($E1407="대체",0,1))</f>
        <v/>
      </c>
    </row>
    <row r="1408" customFormat="false" ht="15" hidden="false" customHeight="false" outlineLevel="0" collapsed="false">
      <c r="A1408" s="36" t="str">
        <f aca="false">IF($B1408="","",COUNT($B$15:$B1408))</f>
        <v/>
      </c>
      <c r="B1408" s="37"/>
      <c r="C1408" s="38"/>
      <c r="D1408" s="20"/>
      <c r="E1408" s="36" t="str">
        <f aca="false">IF($D1408="","",IFERROR(INDEX('교육원 ④ 설정'!$A$6:$A$40,MATCH($D1408,'교육원 ④ 설정'!$B$6:$B$40,0)),"※없는 과목"))</f>
        <v/>
      </c>
      <c r="F1408" s="36" t="str">
        <f aca="false">IF($D1408="","",IFERROR(INDEX('교육원 ④ 설정'!$C$6:$C$40,MATCH($D1408,'교육원 ④ 설정'!$B$6:$B$40,0)),""))</f>
        <v/>
      </c>
      <c r="G1408" s="39"/>
      <c r="H1408" s="39"/>
      <c r="I1408" s="40"/>
      <c r="J1408" s="41"/>
      <c r="K1408" s="38"/>
      <c r="L1408" s="42" t="str">
        <f aca="false">IF($B1408="","",IF(AND(N($I1408)=0,N($J1408)=0),"금액이 없습니다",IF(AND($I1408&gt;0,$J1408&gt;0),"수입·지출 둘 다 적혔습니다",IF($C1408="","결제수단을 고르십시오",IF(ISNA(MATCH($C1408,'교육원 ③ 통장·카드'!$A$5:$A$11,0)),"③ 통장·카드에 없는 결제수단입니다",IF($D1408="","계정과목을 고르십시오",IF($E1408="※없는 과목","④ 설정에 없는 과목입니다",IF(AND($E1408="수입",$J1408&gt;0),"수입 과목인데 지출에 적혔습니다",IF(AND(LEFT($E1408,2)&lt;&gt;"수입",$E1408&lt;&gt;"대체",$I1408&gt;0),"지출 과목인데 수입에 적혔습니다",IF($K1408="","증빙을 고르십시오",IF($H1408="","적요를 적으십시오","")))))))))))</f>
        <v/>
      </c>
      <c r="M1408" s="39"/>
      <c r="O1408" s="11" t="str">
        <f aca="false">IF($B1408="","",YEAR($B1408)*100+MONTH($B1408))</f>
        <v/>
      </c>
      <c r="P1408" s="11" t="str">
        <f aca="false">IF($B1408="","",IF($E1408="대체",0,1))</f>
        <v/>
      </c>
    </row>
    <row r="1409" customFormat="false" ht="15" hidden="false" customHeight="false" outlineLevel="0" collapsed="false">
      <c r="A1409" s="36" t="str">
        <f aca="false">IF($B1409="","",COUNT($B$15:$B1409))</f>
        <v/>
      </c>
      <c r="B1409" s="37"/>
      <c r="C1409" s="38"/>
      <c r="D1409" s="20"/>
      <c r="E1409" s="36" t="str">
        <f aca="false">IF($D1409="","",IFERROR(INDEX('교육원 ④ 설정'!$A$6:$A$40,MATCH($D1409,'교육원 ④ 설정'!$B$6:$B$40,0)),"※없는 과목"))</f>
        <v/>
      </c>
      <c r="F1409" s="36" t="str">
        <f aca="false">IF($D1409="","",IFERROR(INDEX('교육원 ④ 설정'!$C$6:$C$40,MATCH($D1409,'교육원 ④ 설정'!$B$6:$B$40,0)),""))</f>
        <v/>
      </c>
      <c r="G1409" s="39"/>
      <c r="H1409" s="39"/>
      <c r="I1409" s="40"/>
      <c r="J1409" s="41"/>
      <c r="K1409" s="38"/>
      <c r="L1409" s="42" t="str">
        <f aca="false">IF($B1409="","",IF(AND(N($I1409)=0,N($J1409)=0),"금액이 없습니다",IF(AND($I1409&gt;0,$J1409&gt;0),"수입·지출 둘 다 적혔습니다",IF($C1409="","결제수단을 고르십시오",IF(ISNA(MATCH($C1409,'교육원 ③ 통장·카드'!$A$5:$A$11,0)),"③ 통장·카드에 없는 결제수단입니다",IF($D1409="","계정과목을 고르십시오",IF($E1409="※없는 과목","④ 설정에 없는 과목입니다",IF(AND($E1409="수입",$J1409&gt;0),"수입 과목인데 지출에 적혔습니다",IF(AND(LEFT($E1409,2)&lt;&gt;"수입",$E1409&lt;&gt;"대체",$I1409&gt;0),"지출 과목인데 수입에 적혔습니다",IF($K1409="","증빙을 고르십시오",IF($H1409="","적요를 적으십시오","")))))))))))</f>
        <v/>
      </c>
      <c r="M1409" s="39"/>
      <c r="O1409" s="11" t="str">
        <f aca="false">IF($B1409="","",YEAR($B1409)*100+MONTH($B1409))</f>
        <v/>
      </c>
      <c r="P1409" s="11" t="str">
        <f aca="false">IF($B1409="","",IF($E1409="대체",0,1))</f>
        <v/>
      </c>
    </row>
    <row r="1410" customFormat="false" ht="15" hidden="false" customHeight="false" outlineLevel="0" collapsed="false">
      <c r="A1410" s="36" t="str">
        <f aca="false">IF($B1410="","",COUNT($B$15:$B1410))</f>
        <v/>
      </c>
      <c r="B1410" s="37"/>
      <c r="C1410" s="38"/>
      <c r="D1410" s="20"/>
      <c r="E1410" s="36" t="str">
        <f aca="false">IF($D1410="","",IFERROR(INDEX('교육원 ④ 설정'!$A$6:$A$40,MATCH($D1410,'교육원 ④ 설정'!$B$6:$B$40,0)),"※없는 과목"))</f>
        <v/>
      </c>
      <c r="F1410" s="36" t="str">
        <f aca="false">IF($D1410="","",IFERROR(INDEX('교육원 ④ 설정'!$C$6:$C$40,MATCH($D1410,'교육원 ④ 설정'!$B$6:$B$40,0)),""))</f>
        <v/>
      </c>
      <c r="G1410" s="39"/>
      <c r="H1410" s="39"/>
      <c r="I1410" s="40"/>
      <c r="J1410" s="41"/>
      <c r="K1410" s="38"/>
      <c r="L1410" s="42" t="str">
        <f aca="false">IF($B1410="","",IF(AND(N($I1410)=0,N($J1410)=0),"금액이 없습니다",IF(AND($I1410&gt;0,$J1410&gt;0),"수입·지출 둘 다 적혔습니다",IF($C1410="","결제수단을 고르십시오",IF(ISNA(MATCH($C1410,'교육원 ③ 통장·카드'!$A$5:$A$11,0)),"③ 통장·카드에 없는 결제수단입니다",IF($D1410="","계정과목을 고르십시오",IF($E1410="※없는 과목","④ 설정에 없는 과목입니다",IF(AND($E1410="수입",$J1410&gt;0),"수입 과목인데 지출에 적혔습니다",IF(AND(LEFT($E1410,2)&lt;&gt;"수입",$E1410&lt;&gt;"대체",$I1410&gt;0),"지출 과목인데 수입에 적혔습니다",IF($K1410="","증빙을 고르십시오",IF($H1410="","적요를 적으십시오","")))))))))))</f>
        <v/>
      </c>
      <c r="M1410" s="39"/>
      <c r="O1410" s="11" t="str">
        <f aca="false">IF($B1410="","",YEAR($B1410)*100+MONTH($B1410))</f>
        <v/>
      </c>
      <c r="P1410" s="11" t="str">
        <f aca="false">IF($B1410="","",IF($E1410="대체",0,1))</f>
        <v/>
      </c>
    </row>
    <row r="1411" customFormat="false" ht="15" hidden="false" customHeight="false" outlineLevel="0" collapsed="false">
      <c r="A1411" s="36" t="str">
        <f aca="false">IF($B1411="","",COUNT($B$15:$B1411))</f>
        <v/>
      </c>
      <c r="B1411" s="37"/>
      <c r="C1411" s="38"/>
      <c r="D1411" s="20"/>
      <c r="E1411" s="36" t="str">
        <f aca="false">IF($D1411="","",IFERROR(INDEX('교육원 ④ 설정'!$A$6:$A$40,MATCH($D1411,'교육원 ④ 설정'!$B$6:$B$40,0)),"※없는 과목"))</f>
        <v/>
      </c>
      <c r="F1411" s="36" t="str">
        <f aca="false">IF($D1411="","",IFERROR(INDEX('교육원 ④ 설정'!$C$6:$C$40,MATCH($D1411,'교육원 ④ 설정'!$B$6:$B$40,0)),""))</f>
        <v/>
      </c>
      <c r="G1411" s="39"/>
      <c r="H1411" s="39"/>
      <c r="I1411" s="40"/>
      <c r="J1411" s="41"/>
      <c r="K1411" s="38"/>
      <c r="L1411" s="42" t="str">
        <f aca="false">IF($B1411="","",IF(AND(N($I1411)=0,N($J1411)=0),"금액이 없습니다",IF(AND($I1411&gt;0,$J1411&gt;0),"수입·지출 둘 다 적혔습니다",IF($C1411="","결제수단을 고르십시오",IF(ISNA(MATCH($C1411,'교육원 ③ 통장·카드'!$A$5:$A$11,0)),"③ 통장·카드에 없는 결제수단입니다",IF($D1411="","계정과목을 고르십시오",IF($E1411="※없는 과목","④ 설정에 없는 과목입니다",IF(AND($E1411="수입",$J1411&gt;0),"수입 과목인데 지출에 적혔습니다",IF(AND(LEFT($E1411,2)&lt;&gt;"수입",$E1411&lt;&gt;"대체",$I1411&gt;0),"지출 과목인데 수입에 적혔습니다",IF($K1411="","증빙을 고르십시오",IF($H1411="","적요를 적으십시오","")))))))))))</f>
        <v/>
      </c>
      <c r="M1411" s="39"/>
      <c r="O1411" s="11" t="str">
        <f aca="false">IF($B1411="","",YEAR($B1411)*100+MONTH($B1411))</f>
        <v/>
      </c>
      <c r="P1411" s="11" t="str">
        <f aca="false">IF($B1411="","",IF($E1411="대체",0,1))</f>
        <v/>
      </c>
    </row>
    <row r="1412" customFormat="false" ht="15" hidden="false" customHeight="false" outlineLevel="0" collapsed="false">
      <c r="A1412" s="36" t="str">
        <f aca="false">IF($B1412="","",COUNT($B$15:$B1412))</f>
        <v/>
      </c>
      <c r="B1412" s="37"/>
      <c r="C1412" s="38"/>
      <c r="D1412" s="20"/>
      <c r="E1412" s="36" t="str">
        <f aca="false">IF($D1412="","",IFERROR(INDEX('교육원 ④ 설정'!$A$6:$A$40,MATCH($D1412,'교육원 ④ 설정'!$B$6:$B$40,0)),"※없는 과목"))</f>
        <v/>
      </c>
      <c r="F1412" s="36" t="str">
        <f aca="false">IF($D1412="","",IFERROR(INDEX('교육원 ④ 설정'!$C$6:$C$40,MATCH($D1412,'교육원 ④ 설정'!$B$6:$B$40,0)),""))</f>
        <v/>
      </c>
      <c r="G1412" s="39"/>
      <c r="H1412" s="39"/>
      <c r="I1412" s="40"/>
      <c r="J1412" s="41"/>
      <c r="K1412" s="38"/>
      <c r="L1412" s="42" t="str">
        <f aca="false">IF($B1412="","",IF(AND(N($I1412)=0,N($J1412)=0),"금액이 없습니다",IF(AND($I1412&gt;0,$J1412&gt;0),"수입·지출 둘 다 적혔습니다",IF($C1412="","결제수단을 고르십시오",IF(ISNA(MATCH($C1412,'교육원 ③ 통장·카드'!$A$5:$A$11,0)),"③ 통장·카드에 없는 결제수단입니다",IF($D1412="","계정과목을 고르십시오",IF($E1412="※없는 과목","④ 설정에 없는 과목입니다",IF(AND($E1412="수입",$J1412&gt;0),"수입 과목인데 지출에 적혔습니다",IF(AND(LEFT($E1412,2)&lt;&gt;"수입",$E1412&lt;&gt;"대체",$I1412&gt;0),"지출 과목인데 수입에 적혔습니다",IF($K1412="","증빙을 고르십시오",IF($H1412="","적요를 적으십시오","")))))))))))</f>
        <v/>
      </c>
      <c r="M1412" s="39"/>
      <c r="O1412" s="11" t="str">
        <f aca="false">IF($B1412="","",YEAR($B1412)*100+MONTH($B1412))</f>
        <v/>
      </c>
      <c r="P1412" s="11" t="str">
        <f aca="false">IF($B1412="","",IF($E1412="대체",0,1))</f>
        <v/>
      </c>
    </row>
    <row r="1413" customFormat="false" ht="15" hidden="false" customHeight="false" outlineLevel="0" collapsed="false">
      <c r="A1413" s="36" t="str">
        <f aca="false">IF($B1413="","",COUNT($B$15:$B1413))</f>
        <v/>
      </c>
      <c r="B1413" s="37"/>
      <c r="C1413" s="38"/>
      <c r="D1413" s="20"/>
      <c r="E1413" s="36" t="str">
        <f aca="false">IF($D1413="","",IFERROR(INDEX('교육원 ④ 설정'!$A$6:$A$40,MATCH($D1413,'교육원 ④ 설정'!$B$6:$B$40,0)),"※없는 과목"))</f>
        <v/>
      </c>
      <c r="F1413" s="36" t="str">
        <f aca="false">IF($D1413="","",IFERROR(INDEX('교육원 ④ 설정'!$C$6:$C$40,MATCH($D1413,'교육원 ④ 설정'!$B$6:$B$40,0)),""))</f>
        <v/>
      </c>
      <c r="G1413" s="39"/>
      <c r="H1413" s="39"/>
      <c r="I1413" s="40"/>
      <c r="J1413" s="41"/>
      <c r="K1413" s="38"/>
      <c r="L1413" s="42" t="str">
        <f aca="false">IF($B1413="","",IF(AND(N($I1413)=0,N($J1413)=0),"금액이 없습니다",IF(AND($I1413&gt;0,$J1413&gt;0),"수입·지출 둘 다 적혔습니다",IF($C1413="","결제수단을 고르십시오",IF(ISNA(MATCH($C1413,'교육원 ③ 통장·카드'!$A$5:$A$11,0)),"③ 통장·카드에 없는 결제수단입니다",IF($D1413="","계정과목을 고르십시오",IF($E1413="※없는 과목","④ 설정에 없는 과목입니다",IF(AND($E1413="수입",$J1413&gt;0),"수입 과목인데 지출에 적혔습니다",IF(AND(LEFT($E1413,2)&lt;&gt;"수입",$E1413&lt;&gt;"대체",$I1413&gt;0),"지출 과목인데 수입에 적혔습니다",IF($K1413="","증빙을 고르십시오",IF($H1413="","적요를 적으십시오","")))))))))))</f>
        <v/>
      </c>
      <c r="M1413" s="39"/>
      <c r="O1413" s="11" t="str">
        <f aca="false">IF($B1413="","",YEAR($B1413)*100+MONTH($B1413))</f>
        <v/>
      </c>
      <c r="P1413" s="11" t="str">
        <f aca="false">IF($B1413="","",IF($E1413="대체",0,1))</f>
        <v/>
      </c>
    </row>
    <row r="1414" customFormat="false" ht="15" hidden="false" customHeight="false" outlineLevel="0" collapsed="false">
      <c r="A1414" s="36" t="str">
        <f aca="false">IF($B1414="","",COUNT($B$15:$B1414))</f>
        <v/>
      </c>
      <c r="B1414" s="37"/>
      <c r="C1414" s="38"/>
      <c r="D1414" s="20"/>
      <c r="E1414" s="36" t="str">
        <f aca="false">IF($D1414="","",IFERROR(INDEX('교육원 ④ 설정'!$A$6:$A$40,MATCH($D1414,'교육원 ④ 설정'!$B$6:$B$40,0)),"※없는 과목"))</f>
        <v/>
      </c>
      <c r="F1414" s="36" t="str">
        <f aca="false">IF($D1414="","",IFERROR(INDEX('교육원 ④ 설정'!$C$6:$C$40,MATCH($D1414,'교육원 ④ 설정'!$B$6:$B$40,0)),""))</f>
        <v/>
      </c>
      <c r="G1414" s="39"/>
      <c r="H1414" s="39"/>
      <c r="I1414" s="40"/>
      <c r="J1414" s="41"/>
      <c r="K1414" s="38"/>
      <c r="L1414" s="42" t="str">
        <f aca="false">IF($B1414="","",IF(AND(N($I1414)=0,N($J1414)=0),"금액이 없습니다",IF(AND($I1414&gt;0,$J1414&gt;0),"수입·지출 둘 다 적혔습니다",IF($C1414="","결제수단을 고르십시오",IF(ISNA(MATCH($C1414,'교육원 ③ 통장·카드'!$A$5:$A$11,0)),"③ 통장·카드에 없는 결제수단입니다",IF($D1414="","계정과목을 고르십시오",IF($E1414="※없는 과목","④ 설정에 없는 과목입니다",IF(AND($E1414="수입",$J1414&gt;0),"수입 과목인데 지출에 적혔습니다",IF(AND(LEFT($E1414,2)&lt;&gt;"수입",$E1414&lt;&gt;"대체",$I1414&gt;0),"지출 과목인데 수입에 적혔습니다",IF($K1414="","증빙을 고르십시오",IF($H1414="","적요를 적으십시오","")))))))))))</f>
        <v/>
      </c>
      <c r="M1414" s="39"/>
      <c r="O1414" s="11" t="str">
        <f aca="false">IF($B1414="","",YEAR($B1414)*100+MONTH($B1414))</f>
        <v/>
      </c>
      <c r="P1414" s="11" t="str">
        <f aca="false">IF($B1414="","",IF($E1414="대체",0,1))</f>
        <v/>
      </c>
    </row>
    <row r="1415" customFormat="false" ht="15" hidden="false" customHeight="false" outlineLevel="0" collapsed="false">
      <c r="A1415" s="36" t="str">
        <f aca="false">IF($B1415="","",COUNT($B$15:$B1415))</f>
        <v/>
      </c>
      <c r="B1415" s="37"/>
      <c r="C1415" s="38"/>
      <c r="D1415" s="20"/>
      <c r="E1415" s="36" t="str">
        <f aca="false">IF($D1415="","",IFERROR(INDEX('교육원 ④ 설정'!$A$6:$A$40,MATCH($D1415,'교육원 ④ 설정'!$B$6:$B$40,0)),"※없는 과목"))</f>
        <v/>
      </c>
      <c r="F1415" s="36" t="str">
        <f aca="false">IF($D1415="","",IFERROR(INDEX('교육원 ④ 설정'!$C$6:$C$40,MATCH($D1415,'교육원 ④ 설정'!$B$6:$B$40,0)),""))</f>
        <v/>
      </c>
      <c r="G1415" s="39"/>
      <c r="H1415" s="39"/>
      <c r="I1415" s="40"/>
      <c r="J1415" s="41"/>
      <c r="K1415" s="38"/>
      <c r="L1415" s="42" t="str">
        <f aca="false">IF($B1415="","",IF(AND(N($I1415)=0,N($J1415)=0),"금액이 없습니다",IF(AND($I1415&gt;0,$J1415&gt;0),"수입·지출 둘 다 적혔습니다",IF($C1415="","결제수단을 고르십시오",IF(ISNA(MATCH($C1415,'교육원 ③ 통장·카드'!$A$5:$A$11,0)),"③ 통장·카드에 없는 결제수단입니다",IF($D1415="","계정과목을 고르십시오",IF($E1415="※없는 과목","④ 설정에 없는 과목입니다",IF(AND($E1415="수입",$J1415&gt;0),"수입 과목인데 지출에 적혔습니다",IF(AND(LEFT($E1415,2)&lt;&gt;"수입",$E1415&lt;&gt;"대체",$I1415&gt;0),"지출 과목인데 수입에 적혔습니다",IF($K1415="","증빙을 고르십시오",IF($H1415="","적요를 적으십시오","")))))))))))</f>
        <v/>
      </c>
      <c r="M1415" s="39"/>
      <c r="O1415" s="11" t="str">
        <f aca="false">IF($B1415="","",YEAR($B1415)*100+MONTH($B1415))</f>
        <v/>
      </c>
      <c r="P1415" s="11" t="str">
        <f aca="false">IF($B1415="","",IF($E1415="대체",0,1))</f>
        <v/>
      </c>
    </row>
    <row r="1416" customFormat="false" ht="15" hidden="false" customHeight="false" outlineLevel="0" collapsed="false">
      <c r="A1416" s="36" t="str">
        <f aca="false">IF($B1416="","",COUNT($B$15:$B1416))</f>
        <v/>
      </c>
      <c r="B1416" s="37"/>
      <c r="C1416" s="38"/>
      <c r="D1416" s="20"/>
      <c r="E1416" s="36" t="str">
        <f aca="false">IF($D1416="","",IFERROR(INDEX('교육원 ④ 설정'!$A$6:$A$40,MATCH($D1416,'교육원 ④ 설정'!$B$6:$B$40,0)),"※없는 과목"))</f>
        <v/>
      </c>
      <c r="F1416" s="36" t="str">
        <f aca="false">IF($D1416="","",IFERROR(INDEX('교육원 ④ 설정'!$C$6:$C$40,MATCH($D1416,'교육원 ④ 설정'!$B$6:$B$40,0)),""))</f>
        <v/>
      </c>
      <c r="G1416" s="39"/>
      <c r="H1416" s="39"/>
      <c r="I1416" s="40"/>
      <c r="J1416" s="41"/>
      <c r="K1416" s="38"/>
      <c r="L1416" s="42" t="str">
        <f aca="false">IF($B1416="","",IF(AND(N($I1416)=0,N($J1416)=0),"금액이 없습니다",IF(AND($I1416&gt;0,$J1416&gt;0),"수입·지출 둘 다 적혔습니다",IF($C1416="","결제수단을 고르십시오",IF(ISNA(MATCH($C1416,'교육원 ③ 통장·카드'!$A$5:$A$11,0)),"③ 통장·카드에 없는 결제수단입니다",IF($D1416="","계정과목을 고르십시오",IF($E1416="※없는 과목","④ 설정에 없는 과목입니다",IF(AND($E1416="수입",$J1416&gt;0),"수입 과목인데 지출에 적혔습니다",IF(AND(LEFT($E1416,2)&lt;&gt;"수입",$E1416&lt;&gt;"대체",$I1416&gt;0),"지출 과목인데 수입에 적혔습니다",IF($K1416="","증빙을 고르십시오",IF($H1416="","적요를 적으십시오","")))))))))))</f>
        <v/>
      </c>
      <c r="M1416" s="39"/>
      <c r="O1416" s="11" t="str">
        <f aca="false">IF($B1416="","",YEAR($B1416)*100+MONTH($B1416))</f>
        <v/>
      </c>
      <c r="P1416" s="11" t="str">
        <f aca="false">IF($B1416="","",IF($E1416="대체",0,1))</f>
        <v/>
      </c>
    </row>
    <row r="1417" customFormat="false" ht="15" hidden="false" customHeight="false" outlineLevel="0" collapsed="false">
      <c r="A1417" s="36" t="str">
        <f aca="false">IF($B1417="","",COUNT($B$15:$B1417))</f>
        <v/>
      </c>
      <c r="B1417" s="37"/>
      <c r="C1417" s="38"/>
      <c r="D1417" s="20"/>
      <c r="E1417" s="36" t="str">
        <f aca="false">IF($D1417="","",IFERROR(INDEX('교육원 ④ 설정'!$A$6:$A$40,MATCH($D1417,'교육원 ④ 설정'!$B$6:$B$40,0)),"※없는 과목"))</f>
        <v/>
      </c>
      <c r="F1417" s="36" t="str">
        <f aca="false">IF($D1417="","",IFERROR(INDEX('교육원 ④ 설정'!$C$6:$C$40,MATCH($D1417,'교육원 ④ 설정'!$B$6:$B$40,0)),""))</f>
        <v/>
      </c>
      <c r="G1417" s="39"/>
      <c r="H1417" s="39"/>
      <c r="I1417" s="40"/>
      <c r="J1417" s="41"/>
      <c r="K1417" s="38"/>
      <c r="L1417" s="42" t="str">
        <f aca="false">IF($B1417="","",IF(AND(N($I1417)=0,N($J1417)=0),"금액이 없습니다",IF(AND($I1417&gt;0,$J1417&gt;0),"수입·지출 둘 다 적혔습니다",IF($C1417="","결제수단을 고르십시오",IF(ISNA(MATCH($C1417,'교육원 ③ 통장·카드'!$A$5:$A$11,0)),"③ 통장·카드에 없는 결제수단입니다",IF($D1417="","계정과목을 고르십시오",IF($E1417="※없는 과목","④ 설정에 없는 과목입니다",IF(AND($E1417="수입",$J1417&gt;0),"수입 과목인데 지출에 적혔습니다",IF(AND(LEFT($E1417,2)&lt;&gt;"수입",$E1417&lt;&gt;"대체",$I1417&gt;0),"지출 과목인데 수입에 적혔습니다",IF($K1417="","증빙을 고르십시오",IF($H1417="","적요를 적으십시오","")))))))))))</f>
        <v/>
      </c>
      <c r="M1417" s="39"/>
      <c r="O1417" s="11" t="str">
        <f aca="false">IF($B1417="","",YEAR($B1417)*100+MONTH($B1417))</f>
        <v/>
      </c>
      <c r="P1417" s="11" t="str">
        <f aca="false">IF($B1417="","",IF($E1417="대체",0,1))</f>
        <v/>
      </c>
    </row>
    <row r="1418" customFormat="false" ht="15" hidden="false" customHeight="false" outlineLevel="0" collapsed="false">
      <c r="A1418" s="36" t="str">
        <f aca="false">IF($B1418="","",COUNT($B$15:$B1418))</f>
        <v/>
      </c>
      <c r="B1418" s="37"/>
      <c r="C1418" s="38"/>
      <c r="D1418" s="20"/>
      <c r="E1418" s="36" t="str">
        <f aca="false">IF($D1418="","",IFERROR(INDEX('교육원 ④ 설정'!$A$6:$A$40,MATCH($D1418,'교육원 ④ 설정'!$B$6:$B$40,0)),"※없는 과목"))</f>
        <v/>
      </c>
      <c r="F1418" s="36" t="str">
        <f aca="false">IF($D1418="","",IFERROR(INDEX('교육원 ④ 설정'!$C$6:$C$40,MATCH($D1418,'교육원 ④ 설정'!$B$6:$B$40,0)),""))</f>
        <v/>
      </c>
      <c r="G1418" s="39"/>
      <c r="H1418" s="39"/>
      <c r="I1418" s="40"/>
      <c r="J1418" s="41"/>
      <c r="K1418" s="38"/>
      <c r="L1418" s="42" t="str">
        <f aca="false">IF($B1418="","",IF(AND(N($I1418)=0,N($J1418)=0),"금액이 없습니다",IF(AND($I1418&gt;0,$J1418&gt;0),"수입·지출 둘 다 적혔습니다",IF($C1418="","결제수단을 고르십시오",IF(ISNA(MATCH($C1418,'교육원 ③ 통장·카드'!$A$5:$A$11,0)),"③ 통장·카드에 없는 결제수단입니다",IF($D1418="","계정과목을 고르십시오",IF($E1418="※없는 과목","④ 설정에 없는 과목입니다",IF(AND($E1418="수입",$J1418&gt;0),"수입 과목인데 지출에 적혔습니다",IF(AND(LEFT($E1418,2)&lt;&gt;"수입",$E1418&lt;&gt;"대체",$I1418&gt;0),"지출 과목인데 수입에 적혔습니다",IF($K1418="","증빙을 고르십시오",IF($H1418="","적요를 적으십시오","")))))))))))</f>
        <v/>
      </c>
      <c r="M1418" s="39"/>
      <c r="O1418" s="11" t="str">
        <f aca="false">IF($B1418="","",YEAR($B1418)*100+MONTH($B1418))</f>
        <v/>
      </c>
      <c r="P1418" s="11" t="str">
        <f aca="false">IF($B1418="","",IF($E1418="대체",0,1))</f>
        <v/>
      </c>
    </row>
    <row r="1419" customFormat="false" ht="15" hidden="false" customHeight="false" outlineLevel="0" collapsed="false">
      <c r="A1419" s="36" t="str">
        <f aca="false">IF($B1419="","",COUNT($B$15:$B1419))</f>
        <v/>
      </c>
      <c r="B1419" s="37"/>
      <c r="C1419" s="38"/>
      <c r="D1419" s="20"/>
      <c r="E1419" s="36" t="str">
        <f aca="false">IF($D1419="","",IFERROR(INDEX('교육원 ④ 설정'!$A$6:$A$40,MATCH($D1419,'교육원 ④ 설정'!$B$6:$B$40,0)),"※없는 과목"))</f>
        <v/>
      </c>
      <c r="F1419" s="36" t="str">
        <f aca="false">IF($D1419="","",IFERROR(INDEX('교육원 ④ 설정'!$C$6:$C$40,MATCH($D1419,'교육원 ④ 설정'!$B$6:$B$40,0)),""))</f>
        <v/>
      </c>
      <c r="G1419" s="39"/>
      <c r="H1419" s="39"/>
      <c r="I1419" s="40"/>
      <c r="J1419" s="41"/>
      <c r="K1419" s="38"/>
      <c r="L1419" s="42" t="str">
        <f aca="false">IF($B1419="","",IF(AND(N($I1419)=0,N($J1419)=0),"금액이 없습니다",IF(AND($I1419&gt;0,$J1419&gt;0),"수입·지출 둘 다 적혔습니다",IF($C1419="","결제수단을 고르십시오",IF(ISNA(MATCH($C1419,'교육원 ③ 통장·카드'!$A$5:$A$11,0)),"③ 통장·카드에 없는 결제수단입니다",IF($D1419="","계정과목을 고르십시오",IF($E1419="※없는 과목","④ 설정에 없는 과목입니다",IF(AND($E1419="수입",$J1419&gt;0),"수입 과목인데 지출에 적혔습니다",IF(AND(LEFT($E1419,2)&lt;&gt;"수입",$E1419&lt;&gt;"대체",$I1419&gt;0),"지출 과목인데 수입에 적혔습니다",IF($K1419="","증빙을 고르십시오",IF($H1419="","적요를 적으십시오","")))))))))))</f>
        <v/>
      </c>
      <c r="M1419" s="39"/>
      <c r="O1419" s="11" t="str">
        <f aca="false">IF($B1419="","",YEAR($B1419)*100+MONTH($B1419))</f>
        <v/>
      </c>
      <c r="P1419" s="11" t="str">
        <f aca="false">IF($B1419="","",IF($E1419="대체",0,1))</f>
        <v/>
      </c>
    </row>
    <row r="1420" customFormat="false" ht="15" hidden="false" customHeight="false" outlineLevel="0" collapsed="false">
      <c r="A1420" s="36" t="str">
        <f aca="false">IF($B1420="","",COUNT($B$15:$B1420))</f>
        <v/>
      </c>
      <c r="B1420" s="37"/>
      <c r="C1420" s="38"/>
      <c r="D1420" s="20"/>
      <c r="E1420" s="36" t="str">
        <f aca="false">IF($D1420="","",IFERROR(INDEX('교육원 ④ 설정'!$A$6:$A$40,MATCH($D1420,'교육원 ④ 설정'!$B$6:$B$40,0)),"※없는 과목"))</f>
        <v/>
      </c>
      <c r="F1420" s="36" t="str">
        <f aca="false">IF($D1420="","",IFERROR(INDEX('교육원 ④ 설정'!$C$6:$C$40,MATCH($D1420,'교육원 ④ 설정'!$B$6:$B$40,0)),""))</f>
        <v/>
      </c>
      <c r="G1420" s="39"/>
      <c r="H1420" s="39"/>
      <c r="I1420" s="40"/>
      <c r="J1420" s="41"/>
      <c r="K1420" s="38"/>
      <c r="L1420" s="42" t="str">
        <f aca="false">IF($B1420="","",IF(AND(N($I1420)=0,N($J1420)=0),"금액이 없습니다",IF(AND($I1420&gt;0,$J1420&gt;0),"수입·지출 둘 다 적혔습니다",IF($C1420="","결제수단을 고르십시오",IF(ISNA(MATCH($C1420,'교육원 ③ 통장·카드'!$A$5:$A$11,0)),"③ 통장·카드에 없는 결제수단입니다",IF($D1420="","계정과목을 고르십시오",IF($E1420="※없는 과목","④ 설정에 없는 과목입니다",IF(AND($E1420="수입",$J1420&gt;0),"수입 과목인데 지출에 적혔습니다",IF(AND(LEFT($E1420,2)&lt;&gt;"수입",$E1420&lt;&gt;"대체",$I1420&gt;0),"지출 과목인데 수입에 적혔습니다",IF($K1420="","증빙을 고르십시오",IF($H1420="","적요를 적으십시오","")))))))))))</f>
        <v/>
      </c>
      <c r="M1420" s="39"/>
      <c r="O1420" s="11" t="str">
        <f aca="false">IF($B1420="","",YEAR($B1420)*100+MONTH($B1420))</f>
        <v/>
      </c>
      <c r="P1420" s="11" t="str">
        <f aca="false">IF($B1420="","",IF($E1420="대체",0,1))</f>
        <v/>
      </c>
    </row>
    <row r="1421" customFormat="false" ht="15" hidden="false" customHeight="false" outlineLevel="0" collapsed="false">
      <c r="A1421" s="36" t="str">
        <f aca="false">IF($B1421="","",COUNT($B$15:$B1421))</f>
        <v/>
      </c>
      <c r="B1421" s="37"/>
      <c r="C1421" s="38"/>
      <c r="D1421" s="20"/>
      <c r="E1421" s="36" t="str">
        <f aca="false">IF($D1421="","",IFERROR(INDEX('교육원 ④ 설정'!$A$6:$A$40,MATCH($D1421,'교육원 ④ 설정'!$B$6:$B$40,0)),"※없는 과목"))</f>
        <v/>
      </c>
      <c r="F1421" s="36" t="str">
        <f aca="false">IF($D1421="","",IFERROR(INDEX('교육원 ④ 설정'!$C$6:$C$40,MATCH($D1421,'교육원 ④ 설정'!$B$6:$B$40,0)),""))</f>
        <v/>
      </c>
      <c r="G1421" s="39"/>
      <c r="H1421" s="39"/>
      <c r="I1421" s="40"/>
      <c r="J1421" s="41"/>
      <c r="K1421" s="38"/>
      <c r="L1421" s="42" t="str">
        <f aca="false">IF($B1421="","",IF(AND(N($I1421)=0,N($J1421)=0),"금액이 없습니다",IF(AND($I1421&gt;0,$J1421&gt;0),"수입·지출 둘 다 적혔습니다",IF($C1421="","결제수단을 고르십시오",IF(ISNA(MATCH($C1421,'교육원 ③ 통장·카드'!$A$5:$A$11,0)),"③ 통장·카드에 없는 결제수단입니다",IF($D1421="","계정과목을 고르십시오",IF($E1421="※없는 과목","④ 설정에 없는 과목입니다",IF(AND($E1421="수입",$J1421&gt;0),"수입 과목인데 지출에 적혔습니다",IF(AND(LEFT($E1421,2)&lt;&gt;"수입",$E1421&lt;&gt;"대체",$I1421&gt;0),"지출 과목인데 수입에 적혔습니다",IF($K1421="","증빙을 고르십시오",IF($H1421="","적요를 적으십시오","")))))))))))</f>
        <v/>
      </c>
      <c r="M1421" s="39"/>
      <c r="O1421" s="11" t="str">
        <f aca="false">IF($B1421="","",YEAR($B1421)*100+MONTH($B1421))</f>
        <v/>
      </c>
      <c r="P1421" s="11" t="str">
        <f aca="false">IF($B1421="","",IF($E1421="대체",0,1))</f>
        <v/>
      </c>
    </row>
    <row r="1422" customFormat="false" ht="15" hidden="false" customHeight="false" outlineLevel="0" collapsed="false">
      <c r="A1422" s="36" t="str">
        <f aca="false">IF($B1422="","",COUNT($B$15:$B1422))</f>
        <v/>
      </c>
      <c r="B1422" s="37"/>
      <c r="C1422" s="38"/>
      <c r="D1422" s="20"/>
      <c r="E1422" s="36" t="str">
        <f aca="false">IF($D1422="","",IFERROR(INDEX('교육원 ④ 설정'!$A$6:$A$40,MATCH($D1422,'교육원 ④ 설정'!$B$6:$B$40,0)),"※없는 과목"))</f>
        <v/>
      </c>
      <c r="F1422" s="36" t="str">
        <f aca="false">IF($D1422="","",IFERROR(INDEX('교육원 ④ 설정'!$C$6:$C$40,MATCH($D1422,'교육원 ④ 설정'!$B$6:$B$40,0)),""))</f>
        <v/>
      </c>
      <c r="G1422" s="39"/>
      <c r="H1422" s="39"/>
      <c r="I1422" s="40"/>
      <c r="J1422" s="41"/>
      <c r="K1422" s="38"/>
      <c r="L1422" s="42" t="str">
        <f aca="false">IF($B1422="","",IF(AND(N($I1422)=0,N($J1422)=0),"금액이 없습니다",IF(AND($I1422&gt;0,$J1422&gt;0),"수입·지출 둘 다 적혔습니다",IF($C1422="","결제수단을 고르십시오",IF(ISNA(MATCH($C1422,'교육원 ③ 통장·카드'!$A$5:$A$11,0)),"③ 통장·카드에 없는 결제수단입니다",IF($D1422="","계정과목을 고르십시오",IF($E1422="※없는 과목","④ 설정에 없는 과목입니다",IF(AND($E1422="수입",$J1422&gt;0),"수입 과목인데 지출에 적혔습니다",IF(AND(LEFT($E1422,2)&lt;&gt;"수입",$E1422&lt;&gt;"대체",$I1422&gt;0),"지출 과목인데 수입에 적혔습니다",IF($K1422="","증빙을 고르십시오",IF($H1422="","적요를 적으십시오","")))))))))))</f>
        <v/>
      </c>
      <c r="M1422" s="39"/>
      <c r="O1422" s="11" t="str">
        <f aca="false">IF($B1422="","",YEAR($B1422)*100+MONTH($B1422))</f>
        <v/>
      </c>
      <c r="P1422" s="11" t="str">
        <f aca="false">IF($B1422="","",IF($E1422="대체",0,1))</f>
        <v/>
      </c>
    </row>
    <row r="1423" customFormat="false" ht="15" hidden="false" customHeight="false" outlineLevel="0" collapsed="false">
      <c r="A1423" s="36" t="str">
        <f aca="false">IF($B1423="","",COUNT($B$15:$B1423))</f>
        <v/>
      </c>
      <c r="B1423" s="37"/>
      <c r="C1423" s="38"/>
      <c r="D1423" s="20"/>
      <c r="E1423" s="36" t="str">
        <f aca="false">IF($D1423="","",IFERROR(INDEX('교육원 ④ 설정'!$A$6:$A$40,MATCH($D1423,'교육원 ④ 설정'!$B$6:$B$40,0)),"※없는 과목"))</f>
        <v/>
      </c>
      <c r="F1423" s="36" t="str">
        <f aca="false">IF($D1423="","",IFERROR(INDEX('교육원 ④ 설정'!$C$6:$C$40,MATCH($D1423,'교육원 ④ 설정'!$B$6:$B$40,0)),""))</f>
        <v/>
      </c>
      <c r="G1423" s="39"/>
      <c r="H1423" s="39"/>
      <c r="I1423" s="40"/>
      <c r="J1423" s="41"/>
      <c r="K1423" s="38"/>
      <c r="L1423" s="42" t="str">
        <f aca="false">IF($B1423="","",IF(AND(N($I1423)=0,N($J1423)=0),"금액이 없습니다",IF(AND($I1423&gt;0,$J1423&gt;0),"수입·지출 둘 다 적혔습니다",IF($C1423="","결제수단을 고르십시오",IF(ISNA(MATCH($C1423,'교육원 ③ 통장·카드'!$A$5:$A$11,0)),"③ 통장·카드에 없는 결제수단입니다",IF($D1423="","계정과목을 고르십시오",IF($E1423="※없는 과목","④ 설정에 없는 과목입니다",IF(AND($E1423="수입",$J1423&gt;0),"수입 과목인데 지출에 적혔습니다",IF(AND(LEFT($E1423,2)&lt;&gt;"수입",$E1423&lt;&gt;"대체",$I1423&gt;0),"지출 과목인데 수입에 적혔습니다",IF($K1423="","증빙을 고르십시오",IF($H1423="","적요를 적으십시오","")))))))))))</f>
        <v/>
      </c>
      <c r="M1423" s="39"/>
      <c r="O1423" s="11" t="str">
        <f aca="false">IF($B1423="","",YEAR($B1423)*100+MONTH($B1423))</f>
        <v/>
      </c>
      <c r="P1423" s="11" t="str">
        <f aca="false">IF($B1423="","",IF($E1423="대체",0,1))</f>
        <v/>
      </c>
    </row>
    <row r="1424" customFormat="false" ht="15" hidden="false" customHeight="false" outlineLevel="0" collapsed="false">
      <c r="A1424" s="36" t="str">
        <f aca="false">IF($B1424="","",COUNT($B$15:$B1424))</f>
        <v/>
      </c>
      <c r="B1424" s="37"/>
      <c r="C1424" s="38"/>
      <c r="D1424" s="20"/>
      <c r="E1424" s="36" t="str">
        <f aca="false">IF($D1424="","",IFERROR(INDEX('교육원 ④ 설정'!$A$6:$A$40,MATCH($D1424,'교육원 ④ 설정'!$B$6:$B$40,0)),"※없는 과목"))</f>
        <v/>
      </c>
      <c r="F1424" s="36" t="str">
        <f aca="false">IF($D1424="","",IFERROR(INDEX('교육원 ④ 설정'!$C$6:$C$40,MATCH($D1424,'교육원 ④ 설정'!$B$6:$B$40,0)),""))</f>
        <v/>
      </c>
      <c r="G1424" s="39"/>
      <c r="H1424" s="39"/>
      <c r="I1424" s="40"/>
      <c r="J1424" s="41"/>
      <c r="K1424" s="38"/>
      <c r="L1424" s="42" t="str">
        <f aca="false">IF($B1424="","",IF(AND(N($I1424)=0,N($J1424)=0),"금액이 없습니다",IF(AND($I1424&gt;0,$J1424&gt;0),"수입·지출 둘 다 적혔습니다",IF($C1424="","결제수단을 고르십시오",IF(ISNA(MATCH($C1424,'교육원 ③ 통장·카드'!$A$5:$A$11,0)),"③ 통장·카드에 없는 결제수단입니다",IF($D1424="","계정과목을 고르십시오",IF($E1424="※없는 과목","④ 설정에 없는 과목입니다",IF(AND($E1424="수입",$J1424&gt;0),"수입 과목인데 지출에 적혔습니다",IF(AND(LEFT($E1424,2)&lt;&gt;"수입",$E1424&lt;&gt;"대체",$I1424&gt;0),"지출 과목인데 수입에 적혔습니다",IF($K1424="","증빙을 고르십시오",IF($H1424="","적요를 적으십시오","")))))))))))</f>
        <v/>
      </c>
      <c r="M1424" s="39"/>
      <c r="O1424" s="11" t="str">
        <f aca="false">IF($B1424="","",YEAR($B1424)*100+MONTH($B1424))</f>
        <v/>
      </c>
      <c r="P1424" s="11" t="str">
        <f aca="false">IF($B1424="","",IF($E1424="대체",0,1))</f>
        <v/>
      </c>
    </row>
    <row r="1425" customFormat="false" ht="15" hidden="false" customHeight="false" outlineLevel="0" collapsed="false">
      <c r="A1425" s="36" t="str">
        <f aca="false">IF($B1425="","",COUNT($B$15:$B1425))</f>
        <v/>
      </c>
      <c r="B1425" s="37"/>
      <c r="C1425" s="38"/>
      <c r="D1425" s="20"/>
      <c r="E1425" s="36" t="str">
        <f aca="false">IF($D1425="","",IFERROR(INDEX('교육원 ④ 설정'!$A$6:$A$40,MATCH($D1425,'교육원 ④ 설정'!$B$6:$B$40,0)),"※없는 과목"))</f>
        <v/>
      </c>
      <c r="F1425" s="36" t="str">
        <f aca="false">IF($D1425="","",IFERROR(INDEX('교육원 ④ 설정'!$C$6:$C$40,MATCH($D1425,'교육원 ④ 설정'!$B$6:$B$40,0)),""))</f>
        <v/>
      </c>
      <c r="G1425" s="39"/>
      <c r="H1425" s="39"/>
      <c r="I1425" s="40"/>
      <c r="J1425" s="41"/>
      <c r="K1425" s="38"/>
      <c r="L1425" s="42" t="str">
        <f aca="false">IF($B1425="","",IF(AND(N($I1425)=0,N($J1425)=0),"금액이 없습니다",IF(AND($I1425&gt;0,$J1425&gt;0),"수입·지출 둘 다 적혔습니다",IF($C1425="","결제수단을 고르십시오",IF(ISNA(MATCH($C1425,'교육원 ③ 통장·카드'!$A$5:$A$11,0)),"③ 통장·카드에 없는 결제수단입니다",IF($D1425="","계정과목을 고르십시오",IF($E1425="※없는 과목","④ 설정에 없는 과목입니다",IF(AND($E1425="수입",$J1425&gt;0),"수입 과목인데 지출에 적혔습니다",IF(AND(LEFT($E1425,2)&lt;&gt;"수입",$E1425&lt;&gt;"대체",$I1425&gt;0),"지출 과목인데 수입에 적혔습니다",IF($K1425="","증빙을 고르십시오",IF($H1425="","적요를 적으십시오","")))))))))))</f>
        <v/>
      </c>
      <c r="M1425" s="39"/>
      <c r="O1425" s="11" t="str">
        <f aca="false">IF($B1425="","",YEAR($B1425)*100+MONTH($B1425))</f>
        <v/>
      </c>
      <c r="P1425" s="11" t="str">
        <f aca="false">IF($B1425="","",IF($E1425="대체",0,1))</f>
        <v/>
      </c>
    </row>
    <row r="1426" customFormat="false" ht="15" hidden="false" customHeight="false" outlineLevel="0" collapsed="false">
      <c r="A1426" s="36" t="str">
        <f aca="false">IF($B1426="","",COUNT($B$15:$B1426))</f>
        <v/>
      </c>
      <c r="B1426" s="37"/>
      <c r="C1426" s="38"/>
      <c r="D1426" s="20"/>
      <c r="E1426" s="36" t="str">
        <f aca="false">IF($D1426="","",IFERROR(INDEX('교육원 ④ 설정'!$A$6:$A$40,MATCH($D1426,'교육원 ④ 설정'!$B$6:$B$40,0)),"※없는 과목"))</f>
        <v/>
      </c>
      <c r="F1426" s="36" t="str">
        <f aca="false">IF($D1426="","",IFERROR(INDEX('교육원 ④ 설정'!$C$6:$C$40,MATCH($D1426,'교육원 ④ 설정'!$B$6:$B$40,0)),""))</f>
        <v/>
      </c>
      <c r="G1426" s="39"/>
      <c r="H1426" s="39"/>
      <c r="I1426" s="40"/>
      <c r="J1426" s="41"/>
      <c r="K1426" s="38"/>
      <c r="L1426" s="42" t="str">
        <f aca="false">IF($B1426="","",IF(AND(N($I1426)=0,N($J1426)=0),"금액이 없습니다",IF(AND($I1426&gt;0,$J1426&gt;0),"수입·지출 둘 다 적혔습니다",IF($C1426="","결제수단을 고르십시오",IF(ISNA(MATCH($C1426,'교육원 ③ 통장·카드'!$A$5:$A$11,0)),"③ 통장·카드에 없는 결제수단입니다",IF($D1426="","계정과목을 고르십시오",IF($E1426="※없는 과목","④ 설정에 없는 과목입니다",IF(AND($E1426="수입",$J1426&gt;0),"수입 과목인데 지출에 적혔습니다",IF(AND(LEFT($E1426,2)&lt;&gt;"수입",$E1426&lt;&gt;"대체",$I1426&gt;0),"지출 과목인데 수입에 적혔습니다",IF($K1426="","증빙을 고르십시오",IF($H1426="","적요를 적으십시오","")))))))))))</f>
        <v/>
      </c>
      <c r="M1426" s="39"/>
      <c r="O1426" s="11" t="str">
        <f aca="false">IF($B1426="","",YEAR($B1426)*100+MONTH($B1426))</f>
        <v/>
      </c>
      <c r="P1426" s="11" t="str">
        <f aca="false">IF($B1426="","",IF($E1426="대체",0,1))</f>
        <v/>
      </c>
    </row>
    <row r="1427" customFormat="false" ht="15" hidden="false" customHeight="false" outlineLevel="0" collapsed="false">
      <c r="A1427" s="36" t="str">
        <f aca="false">IF($B1427="","",COUNT($B$15:$B1427))</f>
        <v/>
      </c>
      <c r="B1427" s="37"/>
      <c r="C1427" s="38"/>
      <c r="D1427" s="20"/>
      <c r="E1427" s="36" t="str">
        <f aca="false">IF($D1427="","",IFERROR(INDEX('교육원 ④ 설정'!$A$6:$A$40,MATCH($D1427,'교육원 ④ 설정'!$B$6:$B$40,0)),"※없는 과목"))</f>
        <v/>
      </c>
      <c r="F1427" s="36" t="str">
        <f aca="false">IF($D1427="","",IFERROR(INDEX('교육원 ④ 설정'!$C$6:$C$40,MATCH($D1427,'교육원 ④ 설정'!$B$6:$B$40,0)),""))</f>
        <v/>
      </c>
      <c r="G1427" s="39"/>
      <c r="H1427" s="39"/>
      <c r="I1427" s="40"/>
      <c r="J1427" s="41"/>
      <c r="K1427" s="38"/>
      <c r="L1427" s="42" t="str">
        <f aca="false">IF($B1427="","",IF(AND(N($I1427)=0,N($J1427)=0),"금액이 없습니다",IF(AND($I1427&gt;0,$J1427&gt;0),"수입·지출 둘 다 적혔습니다",IF($C1427="","결제수단을 고르십시오",IF(ISNA(MATCH($C1427,'교육원 ③ 통장·카드'!$A$5:$A$11,0)),"③ 통장·카드에 없는 결제수단입니다",IF($D1427="","계정과목을 고르십시오",IF($E1427="※없는 과목","④ 설정에 없는 과목입니다",IF(AND($E1427="수입",$J1427&gt;0),"수입 과목인데 지출에 적혔습니다",IF(AND(LEFT($E1427,2)&lt;&gt;"수입",$E1427&lt;&gt;"대체",$I1427&gt;0),"지출 과목인데 수입에 적혔습니다",IF($K1427="","증빙을 고르십시오",IF($H1427="","적요를 적으십시오","")))))))))))</f>
        <v/>
      </c>
      <c r="M1427" s="39"/>
      <c r="O1427" s="11" t="str">
        <f aca="false">IF($B1427="","",YEAR($B1427)*100+MONTH($B1427))</f>
        <v/>
      </c>
      <c r="P1427" s="11" t="str">
        <f aca="false">IF($B1427="","",IF($E1427="대체",0,1))</f>
        <v/>
      </c>
    </row>
    <row r="1428" customFormat="false" ht="15" hidden="false" customHeight="false" outlineLevel="0" collapsed="false">
      <c r="A1428" s="36" t="str">
        <f aca="false">IF($B1428="","",COUNT($B$15:$B1428))</f>
        <v/>
      </c>
      <c r="B1428" s="37"/>
      <c r="C1428" s="38"/>
      <c r="D1428" s="20"/>
      <c r="E1428" s="36" t="str">
        <f aca="false">IF($D1428="","",IFERROR(INDEX('교육원 ④ 설정'!$A$6:$A$40,MATCH($D1428,'교육원 ④ 설정'!$B$6:$B$40,0)),"※없는 과목"))</f>
        <v/>
      </c>
      <c r="F1428" s="36" t="str">
        <f aca="false">IF($D1428="","",IFERROR(INDEX('교육원 ④ 설정'!$C$6:$C$40,MATCH($D1428,'교육원 ④ 설정'!$B$6:$B$40,0)),""))</f>
        <v/>
      </c>
      <c r="G1428" s="39"/>
      <c r="H1428" s="39"/>
      <c r="I1428" s="40"/>
      <c r="J1428" s="41"/>
      <c r="K1428" s="38"/>
      <c r="L1428" s="42" t="str">
        <f aca="false">IF($B1428="","",IF(AND(N($I1428)=0,N($J1428)=0),"금액이 없습니다",IF(AND($I1428&gt;0,$J1428&gt;0),"수입·지출 둘 다 적혔습니다",IF($C1428="","결제수단을 고르십시오",IF(ISNA(MATCH($C1428,'교육원 ③ 통장·카드'!$A$5:$A$11,0)),"③ 통장·카드에 없는 결제수단입니다",IF($D1428="","계정과목을 고르십시오",IF($E1428="※없는 과목","④ 설정에 없는 과목입니다",IF(AND($E1428="수입",$J1428&gt;0),"수입 과목인데 지출에 적혔습니다",IF(AND(LEFT($E1428,2)&lt;&gt;"수입",$E1428&lt;&gt;"대체",$I1428&gt;0),"지출 과목인데 수입에 적혔습니다",IF($K1428="","증빙을 고르십시오",IF($H1428="","적요를 적으십시오","")))))))))))</f>
        <v/>
      </c>
      <c r="M1428" s="39"/>
      <c r="O1428" s="11" t="str">
        <f aca="false">IF($B1428="","",YEAR($B1428)*100+MONTH($B1428))</f>
        <v/>
      </c>
      <c r="P1428" s="11" t="str">
        <f aca="false">IF($B1428="","",IF($E1428="대체",0,1))</f>
        <v/>
      </c>
    </row>
    <row r="1429" customFormat="false" ht="15" hidden="false" customHeight="false" outlineLevel="0" collapsed="false">
      <c r="A1429" s="36" t="str">
        <f aca="false">IF($B1429="","",COUNT($B$15:$B1429))</f>
        <v/>
      </c>
      <c r="B1429" s="37"/>
      <c r="C1429" s="38"/>
      <c r="D1429" s="20"/>
      <c r="E1429" s="36" t="str">
        <f aca="false">IF($D1429="","",IFERROR(INDEX('교육원 ④ 설정'!$A$6:$A$40,MATCH($D1429,'교육원 ④ 설정'!$B$6:$B$40,0)),"※없는 과목"))</f>
        <v/>
      </c>
      <c r="F1429" s="36" t="str">
        <f aca="false">IF($D1429="","",IFERROR(INDEX('교육원 ④ 설정'!$C$6:$C$40,MATCH($D1429,'교육원 ④ 설정'!$B$6:$B$40,0)),""))</f>
        <v/>
      </c>
      <c r="G1429" s="39"/>
      <c r="H1429" s="39"/>
      <c r="I1429" s="40"/>
      <c r="J1429" s="41"/>
      <c r="K1429" s="38"/>
      <c r="L1429" s="42" t="str">
        <f aca="false">IF($B1429="","",IF(AND(N($I1429)=0,N($J1429)=0),"금액이 없습니다",IF(AND($I1429&gt;0,$J1429&gt;0),"수입·지출 둘 다 적혔습니다",IF($C1429="","결제수단을 고르십시오",IF(ISNA(MATCH($C1429,'교육원 ③ 통장·카드'!$A$5:$A$11,0)),"③ 통장·카드에 없는 결제수단입니다",IF($D1429="","계정과목을 고르십시오",IF($E1429="※없는 과목","④ 설정에 없는 과목입니다",IF(AND($E1429="수입",$J1429&gt;0),"수입 과목인데 지출에 적혔습니다",IF(AND(LEFT($E1429,2)&lt;&gt;"수입",$E1429&lt;&gt;"대체",$I1429&gt;0),"지출 과목인데 수입에 적혔습니다",IF($K1429="","증빙을 고르십시오",IF($H1429="","적요를 적으십시오","")))))))))))</f>
        <v/>
      </c>
      <c r="M1429" s="39"/>
      <c r="O1429" s="11" t="str">
        <f aca="false">IF($B1429="","",YEAR($B1429)*100+MONTH($B1429))</f>
        <v/>
      </c>
      <c r="P1429" s="11" t="str">
        <f aca="false">IF($B1429="","",IF($E1429="대체",0,1))</f>
        <v/>
      </c>
    </row>
    <row r="1430" customFormat="false" ht="15" hidden="false" customHeight="false" outlineLevel="0" collapsed="false">
      <c r="A1430" s="36" t="str">
        <f aca="false">IF($B1430="","",COUNT($B$15:$B1430))</f>
        <v/>
      </c>
      <c r="B1430" s="37"/>
      <c r="C1430" s="38"/>
      <c r="D1430" s="20"/>
      <c r="E1430" s="36" t="str">
        <f aca="false">IF($D1430="","",IFERROR(INDEX('교육원 ④ 설정'!$A$6:$A$40,MATCH($D1430,'교육원 ④ 설정'!$B$6:$B$40,0)),"※없는 과목"))</f>
        <v/>
      </c>
      <c r="F1430" s="36" t="str">
        <f aca="false">IF($D1430="","",IFERROR(INDEX('교육원 ④ 설정'!$C$6:$C$40,MATCH($D1430,'교육원 ④ 설정'!$B$6:$B$40,0)),""))</f>
        <v/>
      </c>
      <c r="G1430" s="39"/>
      <c r="H1430" s="39"/>
      <c r="I1430" s="40"/>
      <c r="J1430" s="41"/>
      <c r="K1430" s="38"/>
      <c r="L1430" s="42" t="str">
        <f aca="false">IF($B1430="","",IF(AND(N($I1430)=0,N($J1430)=0),"금액이 없습니다",IF(AND($I1430&gt;0,$J1430&gt;0),"수입·지출 둘 다 적혔습니다",IF($C1430="","결제수단을 고르십시오",IF(ISNA(MATCH($C1430,'교육원 ③ 통장·카드'!$A$5:$A$11,0)),"③ 통장·카드에 없는 결제수단입니다",IF($D1430="","계정과목을 고르십시오",IF($E1430="※없는 과목","④ 설정에 없는 과목입니다",IF(AND($E1430="수입",$J1430&gt;0),"수입 과목인데 지출에 적혔습니다",IF(AND(LEFT($E1430,2)&lt;&gt;"수입",$E1430&lt;&gt;"대체",$I1430&gt;0),"지출 과목인데 수입에 적혔습니다",IF($K1430="","증빙을 고르십시오",IF($H1430="","적요를 적으십시오","")))))))))))</f>
        <v/>
      </c>
      <c r="M1430" s="39"/>
      <c r="O1430" s="11" t="str">
        <f aca="false">IF($B1430="","",YEAR($B1430)*100+MONTH($B1430))</f>
        <v/>
      </c>
      <c r="P1430" s="11" t="str">
        <f aca="false">IF($B1430="","",IF($E1430="대체",0,1))</f>
        <v/>
      </c>
    </row>
    <row r="1431" customFormat="false" ht="15" hidden="false" customHeight="false" outlineLevel="0" collapsed="false">
      <c r="A1431" s="36" t="str">
        <f aca="false">IF($B1431="","",COUNT($B$15:$B1431))</f>
        <v/>
      </c>
      <c r="B1431" s="37"/>
      <c r="C1431" s="38"/>
      <c r="D1431" s="20"/>
      <c r="E1431" s="36" t="str">
        <f aca="false">IF($D1431="","",IFERROR(INDEX('교육원 ④ 설정'!$A$6:$A$40,MATCH($D1431,'교육원 ④ 설정'!$B$6:$B$40,0)),"※없는 과목"))</f>
        <v/>
      </c>
      <c r="F1431" s="36" t="str">
        <f aca="false">IF($D1431="","",IFERROR(INDEX('교육원 ④ 설정'!$C$6:$C$40,MATCH($D1431,'교육원 ④ 설정'!$B$6:$B$40,0)),""))</f>
        <v/>
      </c>
      <c r="G1431" s="39"/>
      <c r="H1431" s="39"/>
      <c r="I1431" s="40"/>
      <c r="J1431" s="41"/>
      <c r="K1431" s="38"/>
      <c r="L1431" s="42" t="str">
        <f aca="false">IF($B1431="","",IF(AND(N($I1431)=0,N($J1431)=0),"금액이 없습니다",IF(AND($I1431&gt;0,$J1431&gt;0),"수입·지출 둘 다 적혔습니다",IF($C1431="","결제수단을 고르십시오",IF(ISNA(MATCH($C1431,'교육원 ③ 통장·카드'!$A$5:$A$11,0)),"③ 통장·카드에 없는 결제수단입니다",IF($D1431="","계정과목을 고르십시오",IF($E1431="※없는 과목","④ 설정에 없는 과목입니다",IF(AND($E1431="수입",$J1431&gt;0),"수입 과목인데 지출에 적혔습니다",IF(AND(LEFT($E1431,2)&lt;&gt;"수입",$E1431&lt;&gt;"대체",$I1431&gt;0),"지출 과목인데 수입에 적혔습니다",IF($K1431="","증빙을 고르십시오",IF($H1431="","적요를 적으십시오","")))))))))))</f>
        <v/>
      </c>
      <c r="M1431" s="39"/>
      <c r="O1431" s="11" t="str">
        <f aca="false">IF($B1431="","",YEAR($B1431)*100+MONTH($B1431))</f>
        <v/>
      </c>
      <c r="P1431" s="11" t="str">
        <f aca="false">IF($B1431="","",IF($E1431="대체",0,1))</f>
        <v/>
      </c>
    </row>
    <row r="1432" customFormat="false" ht="15" hidden="false" customHeight="false" outlineLevel="0" collapsed="false">
      <c r="A1432" s="36" t="str">
        <f aca="false">IF($B1432="","",COUNT($B$15:$B1432))</f>
        <v/>
      </c>
      <c r="B1432" s="37"/>
      <c r="C1432" s="38"/>
      <c r="D1432" s="20"/>
      <c r="E1432" s="36" t="str">
        <f aca="false">IF($D1432="","",IFERROR(INDEX('교육원 ④ 설정'!$A$6:$A$40,MATCH($D1432,'교육원 ④ 설정'!$B$6:$B$40,0)),"※없는 과목"))</f>
        <v/>
      </c>
      <c r="F1432" s="36" t="str">
        <f aca="false">IF($D1432="","",IFERROR(INDEX('교육원 ④ 설정'!$C$6:$C$40,MATCH($D1432,'교육원 ④ 설정'!$B$6:$B$40,0)),""))</f>
        <v/>
      </c>
      <c r="G1432" s="39"/>
      <c r="H1432" s="39"/>
      <c r="I1432" s="40"/>
      <c r="J1432" s="41"/>
      <c r="K1432" s="38"/>
      <c r="L1432" s="42" t="str">
        <f aca="false">IF($B1432="","",IF(AND(N($I1432)=0,N($J1432)=0),"금액이 없습니다",IF(AND($I1432&gt;0,$J1432&gt;0),"수입·지출 둘 다 적혔습니다",IF($C1432="","결제수단을 고르십시오",IF(ISNA(MATCH($C1432,'교육원 ③ 통장·카드'!$A$5:$A$11,0)),"③ 통장·카드에 없는 결제수단입니다",IF($D1432="","계정과목을 고르십시오",IF($E1432="※없는 과목","④ 설정에 없는 과목입니다",IF(AND($E1432="수입",$J1432&gt;0),"수입 과목인데 지출에 적혔습니다",IF(AND(LEFT($E1432,2)&lt;&gt;"수입",$E1432&lt;&gt;"대체",$I1432&gt;0),"지출 과목인데 수입에 적혔습니다",IF($K1432="","증빙을 고르십시오",IF($H1432="","적요를 적으십시오","")))))))))))</f>
        <v/>
      </c>
      <c r="M1432" s="39"/>
      <c r="O1432" s="11" t="str">
        <f aca="false">IF($B1432="","",YEAR($B1432)*100+MONTH($B1432))</f>
        <v/>
      </c>
      <c r="P1432" s="11" t="str">
        <f aca="false">IF($B1432="","",IF($E1432="대체",0,1))</f>
        <v/>
      </c>
    </row>
    <row r="1433" customFormat="false" ht="15" hidden="false" customHeight="false" outlineLevel="0" collapsed="false">
      <c r="A1433" s="36" t="str">
        <f aca="false">IF($B1433="","",COUNT($B$15:$B1433))</f>
        <v/>
      </c>
      <c r="B1433" s="37"/>
      <c r="C1433" s="38"/>
      <c r="D1433" s="20"/>
      <c r="E1433" s="36" t="str">
        <f aca="false">IF($D1433="","",IFERROR(INDEX('교육원 ④ 설정'!$A$6:$A$40,MATCH($D1433,'교육원 ④ 설정'!$B$6:$B$40,0)),"※없는 과목"))</f>
        <v/>
      </c>
      <c r="F1433" s="36" t="str">
        <f aca="false">IF($D1433="","",IFERROR(INDEX('교육원 ④ 설정'!$C$6:$C$40,MATCH($D1433,'교육원 ④ 설정'!$B$6:$B$40,0)),""))</f>
        <v/>
      </c>
      <c r="G1433" s="39"/>
      <c r="H1433" s="39"/>
      <c r="I1433" s="40"/>
      <c r="J1433" s="41"/>
      <c r="K1433" s="38"/>
      <c r="L1433" s="42" t="str">
        <f aca="false">IF($B1433="","",IF(AND(N($I1433)=0,N($J1433)=0),"금액이 없습니다",IF(AND($I1433&gt;0,$J1433&gt;0),"수입·지출 둘 다 적혔습니다",IF($C1433="","결제수단을 고르십시오",IF(ISNA(MATCH($C1433,'교육원 ③ 통장·카드'!$A$5:$A$11,0)),"③ 통장·카드에 없는 결제수단입니다",IF($D1433="","계정과목을 고르십시오",IF($E1433="※없는 과목","④ 설정에 없는 과목입니다",IF(AND($E1433="수입",$J1433&gt;0),"수입 과목인데 지출에 적혔습니다",IF(AND(LEFT($E1433,2)&lt;&gt;"수입",$E1433&lt;&gt;"대체",$I1433&gt;0),"지출 과목인데 수입에 적혔습니다",IF($K1433="","증빙을 고르십시오",IF($H1433="","적요를 적으십시오","")))))))))))</f>
        <v/>
      </c>
      <c r="M1433" s="39"/>
      <c r="O1433" s="11" t="str">
        <f aca="false">IF($B1433="","",YEAR($B1433)*100+MONTH($B1433))</f>
        <v/>
      </c>
      <c r="P1433" s="11" t="str">
        <f aca="false">IF($B1433="","",IF($E1433="대체",0,1))</f>
        <v/>
      </c>
    </row>
    <row r="1434" customFormat="false" ht="15" hidden="false" customHeight="false" outlineLevel="0" collapsed="false">
      <c r="A1434" s="36" t="str">
        <f aca="false">IF($B1434="","",COUNT($B$15:$B1434))</f>
        <v/>
      </c>
      <c r="B1434" s="37"/>
      <c r="C1434" s="38"/>
      <c r="D1434" s="20"/>
      <c r="E1434" s="36" t="str">
        <f aca="false">IF($D1434="","",IFERROR(INDEX('교육원 ④ 설정'!$A$6:$A$40,MATCH($D1434,'교육원 ④ 설정'!$B$6:$B$40,0)),"※없는 과목"))</f>
        <v/>
      </c>
      <c r="F1434" s="36" t="str">
        <f aca="false">IF($D1434="","",IFERROR(INDEX('교육원 ④ 설정'!$C$6:$C$40,MATCH($D1434,'교육원 ④ 설정'!$B$6:$B$40,0)),""))</f>
        <v/>
      </c>
      <c r="G1434" s="39"/>
      <c r="H1434" s="39"/>
      <c r="I1434" s="40"/>
      <c r="J1434" s="41"/>
      <c r="K1434" s="38"/>
      <c r="L1434" s="42" t="str">
        <f aca="false">IF($B1434="","",IF(AND(N($I1434)=0,N($J1434)=0),"금액이 없습니다",IF(AND($I1434&gt;0,$J1434&gt;0),"수입·지출 둘 다 적혔습니다",IF($C1434="","결제수단을 고르십시오",IF(ISNA(MATCH($C1434,'교육원 ③ 통장·카드'!$A$5:$A$11,0)),"③ 통장·카드에 없는 결제수단입니다",IF($D1434="","계정과목을 고르십시오",IF($E1434="※없는 과목","④ 설정에 없는 과목입니다",IF(AND($E1434="수입",$J1434&gt;0),"수입 과목인데 지출에 적혔습니다",IF(AND(LEFT($E1434,2)&lt;&gt;"수입",$E1434&lt;&gt;"대체",$I1434&gt;0),"지출 과목인데 수입에 적혔습니다",IF($K1434="","증빙을 고르십시오",IF($H1434="","적요를 적으십시오","")))))))))))</f>
        <v/>
      </c>
      <c r="M1434" s="39"/>
      <c r="O1434" s="11" t="str">
        <f aca="false">IF($B1434="","",YEAR($B1434)*100+MONTH($B1434))</f>
        <v/>
      </c>
      <c r="P1434" s="11" t="str">
        <f aca="false">IF($B1434="","",IF($E1434="대체",0,1))</f>
        <v/>
      </c>
    </row>
    <row r="1435" customFormat="false" ht="15" hidden="false" customHeight="false" outlineLevel="0" collapsed="false">
      <c r="A1435" s="36" t="str">
        <f aca="false">IF($B1435="","",COUNT($B$15:$B1435))</f>
        <v/>
      </c>
      <c r="B1435" s="37"/>
      <c r="C1435" s="38"/>
      <c r="D1435" s="20"/>
      <c r="E1435" s="36" t="str">
        <f aca="false">IF($D1435="","",IFERROR(INDEX('교육원 ④ 설정'!$A$6:$A$40,MATCH($D1435,'교육원 ④ 설정'!$B$6:$B$40,0)),"※없는 과목"))</f>
        <v/>
      </c>
      <c r="F1435" s="36" t="str">
        <f aca="false">IF($D1435="","",IFERROR(INDEX('교육원 ④ 설정'!$C$6:$C$40,MATCH($D1435,'교육원 ④ 설정'!$B$6:$B$40,0)),""))</f>
        <v/>
      </c>
      <c r="G1435" s="39"/>
      <c r="H1435" s="39"/>
      <c r="I1435" s="40"/>
      <c r="J1435" s="41"/>
      <c r="K1435" s="38"/>
      <c r="L1435" s="42" t="str">
        <f aca="false">IF($B1435="","",IF(AND(N($I1435)=0,N($J1435)=0),"금액이 없습니다",IF(AND($I1435&gt;0,$J1435&gt;0),"수입·지출 둘 다 적혔습니다",IF($C1435="","결제수단을 고르십시오",IF(ISNA(MATCH($C1435,'교육원 ③ 통장·카드'!$A$5:$A$11,0)),"③ 통장·카드에 없는 결제수단입니다",IF($D1435="","계정과목을 고르십시오",IF($E1435="※없는 과목","④ 설정에 없는 과목입니다",IF(AND($E1435="수입",$J1435&gt;0),"수입 과목인데 지출에 적혔습니다",IF(AND(LEFT($E1435,2)&lt;&gt;"수입",$E1435&lt;&gt;"대체",$I1435&gt;0),"지출 과목인데 수입에 적혔습니다",IF($K1435="","증빙을 고르십시오",IF($H1435="","적요를 적으십시오","")))))))))))</f>
        <v/>
      </c>
      <c r="M1435" s="39"/>
      <c r="O1435" s="11" t="str">
        <f aca="false">IF($B1435="","",YEAR($B1435)*100+MONTH($B1435))</f>
        <v/>
      </c>
      <c r="P1435" s="11" t="str">
        <f aca="false">IF($B1435="","",IF($E1435="대체",0,1))</f>
        <v/>
      </c>
    </row>
    <row r="1436" customFormat="false" ht="15" hidden="false" customHeight="false" outlineLevel="0" collapsed="false">
      <c r="A1436" s="36" t="str">
        <f aca="false">IF($B1436="","",COUNT($B$15:$B1436))</f>
        <v/>
      </c>
      <c r="B1436" s="37"/>
      <c r="C1436" s="38"/>
      <c r="D1436" s="20"/>
      <c r="E1436" s="36" t="str">
        <f aca="false">IF($D1436="","",IFERROR(INDEX('교육원 ④ 설정'!$A$6:$A$40,MATCH($D1436,'교육원 ④ 설정'!$B$6:$B$40,0)),"※없는 과목"))</f>
        <v/>
      </c>
      <c r="F1436" s="36" t="str">
        <f aca="false">IF($D1436="","",IFERROR(INDEX('교육원 ④ 설정'!$C$6:$C$40,MATCH($D1436,'교육원 ④ 설정'!$B$6:$B$40,0)),""))</f>
        <v/>
      </c>
      <c r="G1436" s="39"/>
      <c r="H1436" s="39"/>
      <c r="I1436" s="40"/>
      <c r="J1436" s="41"/>
      <c r="K1436" s="38"/>
      <c r="L1436" s="42" t="str">
        <f aca="false">IF($B1436="","",IF(AND(N($I1436)=0,N($J1436)=0),"금액이 없습니다",IF(AND($I1436&gt;0,$J1436&gt;0),"수입·지출 둘 다 적혔습니다",IF($C1436="","결제수단을 고르십시오",IF(ISNA(MATCH($C1436,'교육원 ③ 통장·카드'!$A$5:$A$11,0)),"③ 통장·카드에 없는 결제수단입니다",IF($D1436="","계정과목을 고르십시오",IF($E1436="※없는 과목","④ 설정에 없는 과목입니다",IF(AND($E1436="수입",$J1436&gt;0),"수입 과목인데 지출에 적혔습니다",IF(AND(LEFT($E1436,2)&lt;&gt;"수입",$E1436&lt;&gt;"대체",$I1436&gt;0),"지출 과목인데 수입에 적혔습니다",IF($K1436="","증빙을 고르십시오",IF($H1436="","적요를 적으십시오","")))))))))))</f>
        <v/>
      </c>
      <c r="M1436" s="39"/>
      <c r="O1436" s="11" t="str">
        <f aca="false">IF($B1436="","",YEAR($B1436)*100+MONTH($B1436))</f>
        <v/>
      </c>
      <c r="P1436" s="11" t="str">
        <f aca="false">IF($B1436="","",IF($E1436="대체",0,1))</f>
        <v/>
      </c>
    </row>
    <row r="1437" customFormat="false" ht="15" hidden="false" customHeight="false" outlineLevel="0" collapsed="false">
      <c r="A1437" s="36" t="str">
        <f aca="false">IF($B1437="","",COUNT($B$15:$B1437))</f>
        <v/>
      </c>
      <c r="B1437" s="37"/>
      <c r="C1437" s="38"/>
      <c r="D1437" s="20"/>
      <c r="E1437" s="36" t="str">
        <f aca="false">IF($D1437="","",IFERROR(INDEX('교육원 ④ 설정'!$A$6:$A$40,MATCH($D1437,'교육원 ④ 설정'!$B$6:$B$40,0)),"※없는 과목"))</f>
        <v/>
      </c>
      <c r="F1437" s="36" t="str">
        <f aca="false">IF($D1437="","",IFERROR(INDEX('교육원 ④ 설정'!$C$6:$C$40,MATCH($D1437,'교육원 ④ 설정'!$B$6:$B$40,0)),""))</f>
        <v/>
      </c>
      <c r="G1437" s="39"/>
      <c r="H1437" s="39"/>
      <c r="I1437" s="40"/>
      <c r="J1437" s="41"/>
      <c r="K1437" s="38"/>
      <c r="L1437" s="42" t="str">
        <f aca="false">IF($B1437="","",IF(AND(N($I1437)=0,N($J1437)=0),"금액이 없습니다",IF(AND($I1437&gt;0,$J1437&gt;0),"수입·지출 둘 다 적혔습니다",IF($C1437="","결제수단을 고르십시오",IF(ISNA(MATCH($C1437,'교육원 ③ 통장·카드'!$A$5:$A$11,0)),"③ 통장·카드에 없는 결제수단입니다",IF($D1437="","계정과목을 고르십시오",IF($E1437="※없는 과목","④ 설정에 없는 과목입니다",IF(AND($E1437="수입",$J1437&gt;0),"수입 과목인데 지출에 적혔습니다",IF(AND(LEFT($E1437,2)&lt;&gt;"수입",$E1437&lt;&gt;"대체",$I1437&gt;0),"지출 과목인데 수입에 적혔습니다",IF($K1437="","증빙을 고르십시오",IF($H1437="","적요를 적으십시오","")))))))))))</f>
        <v/>
      </c>
      <c r="M1437" s="39"/>
      <c r="O1437" s="11" t="str">
        <f aca="false">IF($B1437="","",YEAR($B1437)*100+MONTH($B1437))</f>
        <v/>
      </c>
      <c r="P1437" s="11" t="str">
        <f aca="false">IF($B1437="","",IF($E1437="대체",0,1))</f>
        <v/>
      </c>
    </row>
    <row r="1438" customFormat="false" ht="15" hidden="false" customHeight="false" outlineLevel="0" collapsed="false">
      <c r="A1438" s="36" t="str">
        <f aca="false">IF($B1438="","",COUNT($B$15:$B1438))</f>
        <v/>
      </c>
      <c r="B1438" s="37"/>
      <c r="C1438" s="38"/>
      <c r="D1438" s="20"/>
      <c r="E1438" s="36" t="str">
        <f aca="false">IF($D1438="","",IFERROR(INDEX('교육원 ④ 설정'!$A$6:$A$40,MATCH($D1438,'교육원 ④ 설정'!$B$6:$B$40,0)),"※없는 과목"))</f>
        <v/>
      </c>
      <c r="F1438" s="36" t="str">
        <f aca="false">IF($D1438="","",IFERROR(INDEX('교육원 ④ 설정'!$C$6:$C$40,MATCH($D1438,'교육원 ④ 설정'!$B$6:$B$40,0)),""))</f>
        <v/>
      </c>
      <c r="G1438" s="39"/>
      <c r="H1438" s="39"/>
      <c r="I1438" s="40"/>
      <c r="J1438" s="41"/>
      <c r="K1438" s="38"/>
      <c r="L1438" s="42" t="str">
        <f aca="false">IF($B1438="","",IF(AND(N($I1438)=0,N($J1438)=0),"금액이 없습니다",IF(AND($I1438&gt;0,$J1438&gt;0),"수입·지출 둘 다 적혔습니다",IF($C1438="","결제수단을 고르십시오",IF(ISNA(MATCH($C1438,'교육원 ③ 통장·카드'!$A$5:$A$11,0)),"③ 통장·카드에 없는 결제수단입니다",IF($D1438="","계정과목을 고르십시오",IF($E1438="※없는 과목","④ 설정에 없는 과목입니다",IF(AND($E1438="수입",$J1438&gt;0),"수입 과목인데 지출에 적혔습니다",IF(AND(LEFT($E1438,2)&lt;&gt;"수입",$E1438&lt;&gt;"대체",$I1438&gt;0),"지출 과목인데 수입에 적혔습니다",IF($K1438="","증빙을 고르십시오",IF($H1438="","적요를 적으십시오","")))))))))))</f>
        <v/>
      </c>
      <c r="M1438" s="39"/>
      <c r="O1438" s="11" t="str">
        <f aca="false">IF($B1438="","",YEAR($B1438)*100+MONTH($B1438))</f>
        <v/>
      </c>
      <c r="P1438" s="11" t="str">
        <f aca="false">IF($B1438="","",IF($E1438="대체",0,1))</f>
        <v/>
      </c>
    </row>
    <row r="1439" customFormat="false" ht="15" hidden="false" customHeight="false" outlineLevel="0" collapsed="false">
      <c r="A1439" s="36" t="str">
        <f aca="false">IF($B1439="","",COUNT($B$15:$B1439))</f>
        <v/>
      </c>
      <c r="B1439" s="37"/>
      <c r="C1439" s="38"/>
      <c r="D1439" s="20"/>
      <c r="E1439" s="36" t="str">
        <f aca="false">IF($D1439="","",IFERROR(INDEX('교육원 ④ 설정'!$A$6:$A$40,MATCH($D1439,'교육원 ④ 설정'!$B$6:$B$40,0)),"※없는 과목"))</f>
        <v/>
      </c>
      <c r="F1439" s="36" t="str">
        <f aca="false">IF($D1439="","",IFERROR(INDEX('교육원 ④ 설정'!$C$6:$C$40,MATCH($D1439,'교육원 ④ 설정'!$B$6:$B$40,0)),""))</f>
        <v/>
      </c>
      <c r="G1439" s="39"/>
      <c r="H1439" s="39"/>
      <c r="I1439" s="40"/>
      <c r="J1439" s="41"/>
      <c r="K1439" s="38"/>
      <c r="L1439" s="42" t="str">
        <f aca="false">IF($B1439="","",IF(AND(N($I1439)=0,N($J1439)=0),"금액이 없습니다",IF(AND($I1439&gt;0,$J1439&gt;0),"수입·지출 둘 다 적혔습니다",IF($C1439="","결제수단을 고르십시오",IF(ISNA(MATCH($C1439,'교육원 ③ 통장·카드'!$A$5:$A$11,0)),"③ 통장·카드에 없는 결제수단입니다",IF($D1439="","계정과목을 고르십시오",IF($E1439="※없는 과목","④ 설정에 없는 과목입니다",IF(AND($E1439="수입",$J1439&gt;0),"수입 과목인데 지출에 적혔습니다",IF(AND(LEFT($E1439,2)&lt;&gt;"수입",$E1439&lt;&gt;"대체",$I1439&gt;0),"지출 과목인데 수입에 적혔습니다",IF($K1439="","증빙을 고르십시오",IF($H1439="","적요를 적으십시오","")))))))))))</f>
        <v/>
      </c>
      <c r="M1439" s="39"/>
      <c r="O1439" s="11" t="str">
        <f aca="false">IF($B1439="","",YEAR($B1439)*100+MONTH($B1439))</f>
        <v/>
      </c>
      <c r="P1439" s="11" t="str">
        <f aca="false">IF($B1439="","",IF($E1439="대체",0,1))</f>
        <v/>
      </c>
    </row>
    <row r="1440" customFormat="false" ht="15" hidden="false" customHeight="false" outlineLevel="0" collapsed="false">
      <c r="A1440" s="36" t="str">
        <f aca="false">IF($B1440="","",COUNT($B$15:$B1440))</f>
        <v/>
      </c>
      <c r="B1440" s="37"/>
      <c r="C1440" s="38"/>
      <c r="D1440" s="20"/>
      <c r="E1440" s="36" t="str">
        <f aca="false">IF($D1440="","",IFERROR(INDEX('교육원 ④ 설정'!$A$6:$A$40,MATCH($D1440,'교육원 ④ 설정'!$B$6:$B$40,0)),"※없는 과목"))</f>
        <v/>
      </c>
      <c r="F1440" s="36" t="str">
        <f aca="false">IF($D1440="","",IFERROR(INDEX('교육원 ④ 설정'!$C$6:$C$40,MATCH($D1440,'교육원 ④ 설정'!$B$6:$B$40,0)),""))</f>
        <v/>
      </c>
      <c r="G1440" s="39"/>
      <c r="H1440" s="39"/>
      <c r="I1440" s="40"/>
      <c r="J1440" s="41"/>
      <c r="K1440" s="38"/>
      <c r="L1440" s="42" t="str">
        <f aca="false">IF($B1440="","",IF(AND(N($I1440)=0,N($J1440)=0),"금액이 없습니다",IF(AND($I1440&gt;0,$J1440&gt;0),"수입·지출 둘 다 적혔습니다",IF($C1440="","결제수단을 고르십시오",IF(ISNA(MATCH($C1440,'교육원 ③ 통장·카드'!$A$5:$A$11,0)),"③ 통장·카드에 없는 결제수단입니다",IF($D1440="","계정과목을 고르십시오",IF($E1440="※없는 과목","④ 설정에 없는 과목입니다",IF(AND($E1440="수입",$J1440&gt;0),"수입 과목인데 지출에 적혔습니다",IF(AND(LEFT($E1440,2)&lt;&gt;"수입",$E1440&lt;&gt;"대체",$I1440&gt;0),"지출 과목인데 수입에 적혔습니다",IF($K1440="","증빙을 고르십시오",IF($H1440="","적요를 적으십시오","")))))))))))</f>
        <v/>
      </c>
      <c r="M1440" s="39"/>
      <c r="O1440" s="11" t="str">
        <f aca="false">IF($B1440="","",YEAR($B1440)*100+MONTH($B1440))</f>
        <v/>
      </c>
      <c r="P1440" s="11" t="str">
        <f aca="false">IF($B1440="","",IF($E1440="대체",0,1))</f>
        <v/>
      </c>
    </row>
    <row r="1441" customFormat="false" ht="15" hidden="false" customHeight="false" outlineLevel="0" collapsed="false">
      <c r="A1441" s="36" t="str">
        <f aca="false">IF($B1441="","",COUNT($B$15:$B1441))</f>
        <v/>
      </c>
      <c r="B1441" s="37"/>
      <c r="C1441" s="38"/>
      <c r="D1441" s="20"/>
      <c r="E1441" s="36" t="str">
        <f aca="false">IF($D1441="","",IFERROR(INDEX('교육원 ④ 설정'!$A$6:$A$40,MATCH($D1441,'교육원 ④ 설정'!$B$6:$B$40,0)),"※없는 과목"))</f>
        <v/>
      </c>
      <c r="F1441" s="36" t="str">
        <f aca="false">IF($D1441="","",IFERROR(INDEX('교육원 ④ 설정'!$C$6:$C$40,MATCH($D1441,'교육원 ④ 설정'!$B$6:$B$40,0)),""))</f>
        <v/>
      </c>
      <c r="G1441" s="39"/>
      <c r="H1441" s="39"/>
      <c r="I1441" s="40"/>
      <c r="J1441" s="41"/>
      <c r="K1441" s="38"/>
      <c r="L1441" s="42" t="str">
        <f aca="false">IF($B1441="","",IF(AND(N($I1441)=0,N($J1441)=0),"금액이 없습니다",IF(AND($I1441&gt;0,$J1441&gt;0),"수입·지출 둘 다 적혔습니다",IF($C1441="","결제수단을 고르십시오",IF(ISNA(MATCH($C1441,'교육원 ③ 통장·카드'!$A$5:$A$11,0)),"③ 통장·카드에 없는 결제수단입니다",IF($D1441="","계정과목을 고르십시오",IF($E1441="※없는 과목","④ 설정에 없는 과목입니다",IF(AND($E1441="수입",$J1441&gt;0),"수입 과목인데 지출에 적혔습니다",IF(AND(LEFT($E1441,2)&lt;&gt;"수입",$E1441&lt;&gt;"대체",$I1441&gt;0),"지출 과목인데 수입에 적혔습니다",IF($K1441="","증빙을 고르십시오",IF($H1441="","적요를 적으십시오","")))))))))))</f>
        <v/>
      </c>
      <c r="M1441" s="39"/>
      <c r="O1441" s="11" t="str">
        <f aca="false">IF($B1441="","",YEAR($B1441)*100+MONTH($B1441))</f>
        <v/>
      </c>
      <c r="P1441" s="11" t="str">
        <f aca="false">IF($B1441="","",IF($E1441="대체",0,1))</f>
        <v/>
      </c>
    </row>
    <row r="1442" customFormat="false" ht="15" hidden="false" customHeight="false" outlineLevel="0" collapsed="false">
      <c r="A1442" s="36" t="str">
        <f aca="false">IF($B1442="","",COUNT($B$15:$B1442))</f>
        <v/>
      </c>
      <c r="B1442" s="37"/>
      <c r="C1442" s="38"/>
      <c r="D1442" s="20"/>
      <c r="E1442" s="36" t="str">
        <f aca="false">IF($D1442="","",IFERROR(INDEX('교육원 ④ 설정'!$A$6:$A$40,MATCH($D1442,'교육원 ④ 설정'!$B$6:$B$40,0)),"※없는 과목"))</f>
        <v/>
      </c>
      <c r="F1442" s="36" t="str">
        <f aca="false">IF($D1442="","",IFERROR(INDEX('교육원 ④ 설정'!$C$6:$C$40,MATCH($D1442,'교육원 ④ 설정'!$B$6:$B$40,0)),""))</f>
        <v/>
      </c>
      <c r="G1442" s="39"/>
      <c r="H1442" s="39"/>
      <c r="I1442" s="40"/>
      <c r="J1442" s="41"/>
      <c r="K1442" s="38"/>
      <c r="L1442" s="42" t="str">
        <f aca="false">IF($B1442="","",IF(AND(N($I1442)=0,N($J1442)=0),"금액이 없습니다",IF(AND($I1442&gt;0,$J1442&gt;0),"수입·지출 둘 다 적혔습니다",IF($C1442="","결제수단을 고르십시오",IF(ISNA(MATCH($C1442,'교육원 ③ 통장·카드'!$A$5:$A$11,0)),"③ 통장·카드에 없는 결제수단입니다",IF($D1442="","계정과목을 고르십시오",IF($E1442="※없는 과목","④ 설정에 없는 과목입니다",IF(AND($E1442="수입",$J1442&gt;0),"수입 과목인데 지출에 적혔습니다",IF(AND(LEFT($E1442,2)&lt;&gt;"수입",$E1442&lt;&gt;"대체",$I1442&gt;0),"지출 과목인데 수입에 적혔습니다",IF($K1442="","증빙을 고르십시오",IF($H1442="","적요를 적으십시오","")))))))))))</f>
        <v/>
      </c>
      <c r="M1442" s="39"/>
      <c r="O1442" s="11" t="str">
        <f aca="false">IF($B1442="","",YEAR($B1442)*100+MONTH($B1442))</f>
        <v/>
      </c>
      <c r="P1442" s="11" t="str">
        <f aca="false">IF($B1442="","",IF($E1442="대체",0,1))</f>
        <v/>
      </c>
    </row>
    <row r="1443" customFormat="false" ht="15" hidden="false" customHeight="false" outlineLevel="0" collapsed="false">
      <c r="A1443" s="36" t="str">
        <f aca="false">IF($B1443="","",COUNT($B$15:$B1443))</f>
        <v/>
      </c>
      <c r="B1443" s="37"/>
      <c r="C1443" s="38"/>
      <c r="D1443" s="20"/>
      <c r="E1443" s="36" t="str">
        <f aca="false">IF($D1443="","",IFERROR(INDEX('교육원 ④ 설정'!$A$6:$A$40,MATCH($D1443,'교육원 ④ 설정'!$B$6:$B$40,0)),"※없는 과목"))</f>
        <v/>
      </c>
      <c r="F1443" s="36" t="str">
        <f aca="false">IF($D1443="","",IFERROR(INDEX('교육원 ④ 설정'!$C$6:$C$40,MATCH($D1443,'교육원 ④ 설정'!$B$6:$B$40,0)),""))</f>
        <v/>
      </c>
      <c r="G1443" s="39"/>
      <c r="H1443" s="39"/>
      <c r="I1443" s="40"/>
      <c r="J1443" s="41"/>
      <c r="K1443" s="38"/>
      <c r="L1443" s="42" t="str">
        <f aca="false">IF($B1443="","",IF(AND(N($I1443)=0,N($J1443)=0),"금액이 없습니다",IF(AND($I1443&gt;0,$J1443&gt;0),"수입·지출 둘 다 적혔습니다",IF($C1443="","결제수단을 고르십시오",IF(ISNA(MATCH($C1443,'교육원 ③ 통장·카드'!$A$5:$A$11,0)),"③ 통장·카드에 없는 결제수단입니다",IF($D1443="","계정과목을 고르십시오",IF($E1443="※없는 과목","④ 설정에 없는 과목입니다",IF(AND($E1443="수입",$J1443&gt;0),"수입 과목인데 지출에 적혔습니다",IF(AND(LEFT($E1443,2)&lt;&gt;"수입",$E1443&lt;&gt;"대체",$I1443&gt;0),"지출 과목인데 수입에 적혔습니다",IF($K1443="","증빙을 고르십시오",IF($H1443="","적요를 적으십시오","")))))))))))</f>
        <v/>
      </c>
      <c r="M1443" s="39"/>
      <c r="O1443" s="11" t="str">
        <f aca="false">IF($B1443="","",YEAR($B1443)*100+MONTH($B1443))</f>
        <v/>
      </c>
      <c r="P1443" s="11" t="str">
        <f aca="false">IF($B1443="","",IF($E1443="대체",0,1))</f>
        <v/>
      </c>
    </row>
    <row r="1444" customFormat="false" ht="15" hidden="false" customHeight="false" outlineLevel="0" collapsed="false">
      <c r="A1444" s="36" t="str">
        <f aca="false">IF($B1444="","",COUNT($B$15:$B1444))</f>
        <v/>
      </c>
      <c r="B1444" s="37"/>
      <c r="C1444" s="38"/>
      <c r="D1444" s="20"/>
      <c r="E1444" s="36" t="str">
        <f aca="false">IF($D1444="","",IFERROR(INDEX('교육원 ④ 설정'!$A$6:$A$40,MATCH($D1444,'교육원 ④ 설정'!$B$6:$B$40,0)),"※없는 과목"))</f>
        <v/>
      </c>
      <c r="F1444" s="36" t="str">
        <f aca="false">IF($D1444="","",IFERROR(INDEX('교육원 ④ 설정'!$C$6:$C$40,MATCH($D1444,'교육원 ④ 설정'!$B$6:$B$40,0)),""))</f>
        <v/>
      </c>
      <c r="G1444" s="39"/>
      <c r="H1444" s="39"/>
      <c r="I1444" s="40"/>
      <c r="J1444" s="41"/>
      <c r="K1444" s="38"/>
      <c r="L1444" s="42" t="str">
        <f aca="false">IF($B1444="","",IF(AND(N($I1444)=0,N($J1444)=0),"금액이 없습니다",IF(AND($I1444&gt;0,$J1444&gt;0),"수입·지출 둘 다 적혔습니다",IF($C1444="","결제수단을 고르십시오",IF(ISNA(MATCH($C1444,'교육원 ③ 통장·카드'!$A$5:$A$11,0)),"③ 통장·카드에 없는 결제수단입니다",IF($D1444="","계정과목을 고르십시오",IF($E1444="※없는 과목","④ 설정에 없는 과목입니다",IF(AND($E1444="수입",$J1444&gt;0),"수입 과목인데 지출에 적혔습니다",IF(AND(LEFT($E1444,2)&lt;&gt;"수입",$E1444&lt;&gt;"대체",$I1444&gt;0),"지출 과목인데 수입에 적혔습니다",IF($K1444="","증빙을 고르십시오",IF($H1444="","적요를 적으십시오","")))))))))))</f>
        <v/>
      </c>
      <c r="M1444" s="39"/>
      <c r="O1444" s="11" t="str">
        <f aca="false">IF($B1444="","",YEAR($B1444)*100+MONTH($B1444))</f>
        <v/>
      </c>
      <c r="P1444" s="11" t="str">
        <f aca="false">IF($B1444="","",IF($E1444="대체",0,1))</f>
        <v/>
      </c>
    </row>
    <row r="1445" customFormat="false" ht="15" hidden="false" customHeight="false" outlineLevel="0" collapsed="false">
      <c r="A1445" s="36" t="str">
        <f aca="false">IF($B1445="","",COUNT($B$15:$B1445))</f>
        <v/>
      </c>
      <c r="B1445" s="37"/>
      <c r="C1445" s="38"/>
      <c r="D1445" s="20"/>
      <c r="E1445" s="36" t="str">
        <f aca="false">IF($D1445="","",IFERROR(INDEX('교육원 ④ 설정'!$A$6:$A$40,MATCH($D1445,'교육원 ④ 설정'!$B$6:$B$40,0)),"※없는 과목"))</f>
        <v/>
      </c>
      <c r="F1445" s="36" t="str">
        <f aca="false">IF($D1445="","",IFERROR(INDEX('교육원 ④ 설정'!$C$6:$C$40,MATCH($D1445,'교육원 ④ 설정'!$B$6:$B$40,0)),""))</f>
        <v/>
      </c>
      <c r="G1445" s="39"/>
      <c r="H1445" s="39"/>
      <c r="I1445" s="40"/>
      <c r="J1445" s="41"/>
      <c r="K1445" s="38"/>
      <c r="L1445" s="42" t="str">
        <f aca="false">IF($B1445="","",IF(AND(N($I1445)=0,N($J1445)=0),"금액이 없습니다",IF(AND($I1445&gt;0,$J1445&gt;0),"수입·지출 둘 다 적혔습니다",IF($C1445="","결제수단을 고르십시오",IF(ISNA(MATCH($C1445,'교육원 ③ 통장·카드'!$A$5:$A$11,0)),"③ 통장·카드에 없는 결제수단입니다",IF($D1445="","계정과목을 고르십시오",IF($E1445="※없는 과목","④ 설정에 없는 과목입니다",IF(AND($E1445="수입",$J1445&gt;0),"수입 과목인데 지출에 적혔습니다",IF(AND(LEFT($E1445,2)&lt;&gt;"수입",$E1445&lt;&gt;"대체",$I1445&gt;0),"지출 과목인데 수입에 적혔습니다",IF($K1445="","증빙을 고르십시오",IF($H1445="","적요를 적으십시오","")))))))))))</f>
        <v/>
      </c>
      <c r="M1445" s="39"/>
      <c r="O1445" s="11" t="str">
        <f aca="false">IF($B1445="","",YEAR($B1445)*100+MONTH($B1445))</f>
        <v/>
      </c>
      <c r="P1445" s="11" t="str">
        <f aca="false">IF($B1445="","",IF($E1445="대체",0,1))</f>
        <v/>
      </c>
    </row>
    <row r="1446" customFormat="false" ht="15" hidden="false" customHeight="false" outlineLevel="0" collapsed="false">
      <c r="A1446" s="36" t="str">
        <f aca="false">IF($B1446="","",COUNT($B$15:$B1446))</f>
        <v/>
      </c>
      <c r="B1446" s="37"/>
      <c r="C1446" s="38"/>
      <c r="D1446" s="20"/>
      <c r="E1446" s="36" t="str">
        <f aca="false">IF($D1446="","",IFERROR(INDEX('교육원 ④ 설정'!$A$6:$A$40,MATCH($D1446,'교육원 ④ 설정'!$B$6:$B$40,0)),"※없는 과목"))</f>
        <v/>
      </c>
      <c r="F1446" s="36" t="str">
        <f aca="false">IF($D1446="","",IFERROR(INDEX('교육원 ④ 설정'!$C$6:$C$40,MATCH($D1446,'교육원 ④ 설정'!$B$6:$B$40,0)),""))</f>
        <v/>
      </c>
      <c r="G1446" s="39"/>
      <c r="H1446" s="39"/>
      <c r="I1446" s="40"/>
      <c r="J1446" s="41"/>
      <c r="K1446" s="38"/>
      <c r="L1446" s="42" t="str">
        <f aca="false">IF($B1446="","",IF(AND(N($I1446)=0,N($J1446)=0),"금액이 없습니다",IF(AND($I1446&gt;0,$J1446&gt;0),"수입·지출 둘 다 적혔습니다",IF($C1446="","결제수단을 고르십시오",IF(ISNA(MATCH($C1446,'교육원 ③ 통장·카드'!$A$5:$A$11,0)),"③ 통장·카드에 없는 결제수단입니다",IF($D1446="","계정과목을 고르십시오",IF($E1446="※없는 과목","④ 설정에 없는 과목입니다",IF(AND($E1446="수입",$J1446&gt;0),"수입 과목인데 지출에 적혔습니다",IF(AND(LEFT($E1446,2)&lt;&gt;"수입",$E1446&lt;&gt;"대체",$I1446&gt;0),"지출 과목인데 수입에 적혔습니다",IF($K1446="","증빙을 고르십시오",IF($H1446="","적요를 적으십시오","")))))))))))</f>
        <v/>
      </c>
      <c r="M1446" s="39"/>
      <c r="O1446" s="11" t="str">
        <f aca="false">IF($B1446="","",YEAR($B1446)*100+MONTH($B1446))</f>
        <v/>
      </c>
      <c r="P1446" s="11" t="str">
        <f aca="false">IF($B1446="","",IF($E1446="대체",0,1))</f>
        <v/>
      </c>
    </row>
    <row r="1447" customFormat="false" ht="15" hidden="false" customHeight="false" outlineLevel="0" collapsed="false">
      <c r="A1447" s="36" t="str">
        <f aca="false">IF($B1447="","",COUNT($B$15:$B1447))</f>
        <v/>
      </c>
      <c r="B1447" s="37"/>
      <c r="C1447" s="38"/>
      <c r="D1447" s="20"/>
      <c r="E1447" s="36" t="str">
        <f aca="false">IF($D1447="","",IFERROR(INDEX('교육원 ④ 설정'!$A$6:$A$40,MATCH($D1447,'교육원 ④ 설정'!$B$6:$B$40,0)),"※없는 과목"))</f>
        <v/>
      </c>
      <c r="F1447" s="36" t="str">
        <f aca="false">IF($D1447="","",IFERROR(INDEX('교육원 ④ 설정'!$C$6:$C$40,MATCH($D1447,'교육원 ④ 설정'!$B$6:$B$40,0)),""))</f>
        <v/>
      </c>
      <c r="G1447" s="39"/>
      <c r="H1447" s="39"/>
      <c r="I1447" s="40"/>
      <c r="J1447" s="41"/>
      <c r="K1447" s="38"/>
      <c r="L1447" s="42" t="str">
        <f aca="false">IF($B1447="","",IF(AND(N($I1447)=0,N($J1447)=0),"금액이 없습니다",IF(AND($I1447&gt;0,$J1447&gt;0),"수입·지출 둘 다 적혔습니다",IF($C1447="","결제수단을 고르십시오",IF(ISNA(MATCH($C1447,'교육원 ③ 통장·카드'!$A$5:$A$11,0)),"③ 통장·카드에 없는 결제수단입니다",IF($D1447="","계정과목을 고르십시오",IF($E1447="※없는 과목","④ 설정에 없는 과목입니다",IF(AND($E1447="수입",$J1447&gt;0),"수입 과목인데 지출에 적혔습니다",IF(AND(LEFT($E1447,2)&lt;&gt;"수입",$E1447&lt;&gt;"대체",$I1447&gt;0),"지출 과목인데 수입에 적혔습니다",IF($K1447="","증빙을 고르십시오",IF($H1447="","적요를 적으십시오","")))))))))))</f>
        <v/>
      </c>
      <c r="M1447" s="39"/>
      <c r="O1447" s="11" t="str">
        <f aca="false">IF($B1447="","",YEAR($B1447)*100+MONTH($B1447))</f>
        <v/>
      </c>
      <c r="P1447" s="11" t="str">
        <f aca="false">IF($B1447="","",IF($E1447="대체",0,1))</f>
        <v/>
      </c>
    </row>
    <row r="1448" customFormat="false" ht="15" hidden="false" customHeight="false" outlineLevel="0" collapsed="false">
      <c r="A1448" s="36" t="str">
        <f aca="false">IF($B1448="","",COUNT($B$15:$B1448))</f>
        <v/>
      </c>
      <c r="B1448" s="37"/>
      <c r="C1448" s="38"/>
      <c r="D1448" s="20"/>
      <c r="E1448" s="36" t="str">
        <f aca="false">IF($D1448="","",IFERROR(INDEX('교육원 ④ 설정'!$A$6:$A$40,MATCH($D1448,'교육원 ④ 설정'!$B$6:$B$40,0)),"※없는 과목"))</f>
        <v/>
      </c>
      <c r="F1448" s="36" t="str">
        <f aca="false">IF($D1448="","",IFERROR(INDEX('교육원 ④ 설정'!$C$6:$C$40,MATCH($D1448,'교육원 ④ 설정'!$B$6:$B$40,0)),""))</f>
        <v/>
      </c>
      <c r="G1448" s="39"/>
      <c r="H1448" s="39"/>
      <c r="I1448" s="40"/>
      <c r="J1448" s="41"/>
      <c r="K1448" s="38"/>
      <c r="L1448" s="42" t="str">
        <f aca="false">IF($B1448="","",IF(AND(N($I1448)=0,N($J1448)=0),"금액이 없습니다",IF(AND($I1448&gt;0,$J1448&gt;0),"수입·지출 둘 다 적혔습니다",IF($C1448="","결제수단을 고르십시오",IF(ISNA(MATCH($C1448,'교육원 ③ 통장·카드'!$A$5:$A$11,0)),"③ 통장·카드에 없는 결제수단입니다",IF($D1448="","계정과목을 고르십시오",IF($E1448="※없는 과목","④ 설정에 없는 과목입니다",IF(AND($E1448="수입",$J1448&gt;0),"수입 과목인데 지출에 적혔습니다",IF(AND(LEFT($E1448,2)&lt;&gt;"수입",$E1448&lt;&gt;"대체",$I1448&gt;0),"지출 과목인데 수입에 적혔습니다",IF($K1448="","증빙을 고르십시오",IF($H1448="","적요를 적으십시오","")))))))))))</f>
        <v/>
      </c>
      <c r="M1448" s="39"/>
      <c r="O1448" s="11" t="str">
        <f aca="false">IF($B1448="","",YEAR($B1448)*100+MONTH($B1448))</f>
        <v/>
      </c>
      <c r="P1448" s="11" t="str">
        <f aca="false">IF($B1448="","",IF($E1448="대체",0,1))</f>
        <v/>
      </c>
    </row>
    <row r="1449" customFormat="false" ht="15" hidden="false" customHeight="false" outlineLevel="0" collapsed="false">
      <c r="A1449" s="36" t="str">
        <f aca="false">IF($B1449="","",COUNT($B$15:$B1449))</f>
        <v/>
      </c>
      <c r="B1449" s="37"/>
      <c r="C1449" s="38"/>
      <c r="D1449" s="20"/>
      <c r="E1449" s="36" t="str">
        <f aca="false">IF($D1449="","",IFERROR(INDEX('교육원 ④ 설정'!$A$6:$A$40,MATCH($D1449,'교육원 ④ 설정'!$B$6:$B$40,0)),"※없는 과목"))</f>
        <v/>
      </c>
      <c r="F1449" s="36" t="str">
        <f aca="false">IF($D1449="","",IFERROR(INDEX('교육원 ④ 설정'!$C$6:$C$40,MATCH($D1449,'교육원 ④ 설정'!$B$6:$B$40,0)),""))</f>
        <v/>
      </c>
      <c r="G1449" s="39"/>
      <c r="H1449" s="39"/>
      <c r="I1449" s="40"/>
      <c r="J1449" s="41"/>
      <c r="K1449" s="38"/>
      <c r="L1449" s="42" t="str">
        <f aca="false">IF($B1449="","",IF(AND(N($I1449)=0,N($J1449)=0),"금액이 없습니다",IF(AND($I1449&gt;0,$J1449&gt;0),"수입·지출 둘 다 적혔습니다",IF($C1449="","결제수단을 고르십시오",IF(ISNA(MATCH($C1449,'교육원 ③ 통장·카드'!$A$5:$A$11,0)),"③ 통장·카드에 없는 결제수단입니다",IF($D1449="","계정과목을 고르십시오",IF($E1449="※없는 과목","④ 설정에 없는 과목입니다",IF(AND($E1449="수입",$J1449&gt;0),"수입 과목인데 지출에 적혔습니다",IF(AND(LEFT($E1449,2)&lt;&gt;"수입",$E1449&lt;&gt;"대체",$I1449&gt;0),"지출 과목인데 수입에 적혔습니다",IF($K1449="","증빙을 고르십시오",IF($H1449="","적요를 적으십시오","")))))))))))</f>
        <v/>
      </c>
      <c r="M1449" s="39"/>
      <c r="O1449" s="11" t="str">
        <f aca="false">IF($B1449="","",YEAR($B1449)*100+MONTH($B1449))</f>
        <v/>
      </c>
      <c r="P1449" s="11" t="str">
        <f aca="false">IF($B1449="","",IF($E1449="대체",0,1))</f>
        <v/>
      </c>
    </row>
    <row r="1450" customFormat="false" ht="15" hidden="false" customHeight="false" outlineLevel="0" collapsed="false">
      <c r="A1450" s="36" t="str">
        <f aca="false">IF($B1450="","",COUNT($B$15:$B1450))</f>
        <v/>
      </c>
      <c r="B1450" s="37"/>
      <c r="C1450" s="38"/>
      <c r="D1450" s="20"/>
      <c r="E1450" s="36" t="str">
        <f aca="false">IF($D1450="","",IFERROR(INDEX('교육원 ④ 설정'!$A$6:$A$40,MATCH($D1450,'교육원 ④ 설정'!$B$6:$B$40,0)),"※없는 과목"))</f>
        <v/>
      </c>
      <c r="F1450" s="36" t="str">
        <f aca="false">IF($D1450="","",IFERROR(INDEX('교육원 ④ 설정'!$C$6:$C$40,MATCH($D1450,'교육원 ④ 설정'!$B$6:$B$40,0)),""))</f>
        <v/>
      </c>
      <c r="G1450" s="39"/>
      <c r="H1450" s="39"/>
      <c r="I1450" s="40"/>
      <c r="J1450" s="41"/>
      <c r="K1450" s="38"/>
      <c r="L1450" s="42" t="str">
        <f aca="false">IF($B1450="","",IF(AND(N($I1450)=0,N($J1450)=0),"금액이 없습니다",IF(AND($I1450&gt;0,$J1450&gt;0),"수입·지출 둘 다 적혔습니다",IF($C1450="","결제수단을 고르십시오",IF(ISNA(MATCH($C1450,'교육원 ③ 통장·카드'!$A$5:$A$11,0)),"③ 통장·카드에 없는 결제수단입니다",IF($D1450="","계정과목을 고르십시오",IF($E1450="※없는 과목","④ 설정에 없는 과목입니다",IF(AND($E1450="수입",$J1450&gt;0),"수입 과목인데 지출에 적혔습니다",IF(AND(LEFT($E1450,2)&lt;&gt;"수입",$E1450&lt;&gt;"대체",$I1450&gt;0),"지출 과목인데 수입에 적혔습니다",IF($K1450="","증빙을 고르십시오",IF($H1450="","적요를 적으십시오","")))))))))))</f>
        <v/>
      </c>
      <c r="M1450" s="39"/>
      <c r="O1450" s="11" t="str">
        <f aca="false">IF($B1450="","",YEAR($B1450)*100+MONTH($B1450))</f>
        <v/>
      </c>
      <c r="P1450" s="11" t="str">
        <f aca="false">IF($B1450="","",IF($E1450="대체",0,1))</f>
        <v/>
      </c>
    </row>
    <row r="1451" customFormat="false" ht="15" hidden="false" customHeight="false" outlineLevel="0" collapsed="false">
      <c r="A1451" s="36" t="str">
        <f aca="false">IF($B1451="","",COUNT($B$15:$B1451))</f>
        <v/>
      </c>
      <c r="B1451" s="37"/>
      <c r="C1451" s="38"/>
      <c r="D1451" s="20"/>
      <c r="E1451" s="36" t="str">
        <f aca="false">IF($D1451="","",IFERROR(INDEX('교육원 ④ 설정'!$A$6:$A$40,MATCH($D1451,'교육원 ④ 설정'!$B$6:$B$40,0)),"※없는 과목"))</f>
        <v/>
      </c>
      <c r="F1451" s="36" t="str">
        <f aca="false">IF($D1451="","",IFERROR(INDEX('교육원 ④ 설정'!$C$6:$C$40,MATCH($D1451,'교육원 ④ 설정'!$B$6:$B$40,0)),""))</f>
        <v/>
      </c>
      <c r="G1451" s="39"/>
      <c r="H1451" s="39"/>
      <c r="I1451" s="40"/>
      <c r="J1451" s="41"/>
      <c r="K1451" s="38"/>
      <c r="L1451" s="42" t="str">
        <f aca="false">IF($B1451="","",IF(AND(N($I1451)=0,N($J1451)=0),"금액이 없습니다",IF(AND($I1451&gt;0,$J1451&gt;0),"수입·지출 둘 다 적혔습니다",IF($C1451="","결제수단을 고르십시오",IF(ISNA(MATCH($C1451,'교육원 ③ 통장·카드'!$A$5:$A$11,0)),"③ 통장·카드에 없는 결제수단입니다",IF($D1451="","계정과목을 고르십시오",IF($E1451="※없는 과목","④ 설정에 없는 과목입니다",IF(AND($E1451="수입",$J1451&gt;0),"수입 과목인데 지출에 적혔습니다",IF(AND(LEFT($E1451,2)&lt;&gt;"수입",$E1451&lt;&gt;"대체",$I1451&gt;0),"지출 과목인데 수입에 적혔습니다",IF($K1451="","증빙을 고르십시오",IF($H1451="","적요를 적으십시오","")))))))))))</f>
        <v/>
      </c>
      <c r="M1451" s="39"/>
      <c r="O1451" s="11" t="str">
        <f aca="false">IF($B1451="","",YEAR($B1451)*100+MONTH($B1451))</f>
        <v/>
      </c>
      <c r="P1451" s="11" t="str">
        <f aca="false">IF($B1451="","",IF($E1451="대체",0,1))</f>
        <v/>
      </c>
    </row>
    <row r="1452" customFormat="false" ht="15" hidden="false" customHeight="false" outlineLevel="0" collapsed="false">
      <c r="A1452" s="36" t="str">
        <f aca="false">IF($B1452="","",COUNT($B$15:$B1452))</f>
        <v/>
      </c>
      <c r="B1452" s="37"/>
      <c r="C1452" s="38"/>
      <c r="D1452" s="20"/>
      <c r="E1452" s="36" t="str">
        <f aca="false">IF($D1452="","",IFERROR(INDEX('교육원 ④ 설정'!$A$6:$A$40,MATCH($D1452,'교육원 ④ 설정'!$B$6:$B$40,0)),"※없는 과목"))</f>
        <v/>
      </c>
      <c r="F1452" s="36" t="str">
        <f aca="false">IF($D1452="","",IFERROR(INDEX('교육원 ④ 설정'!$C$6:$C$40,MATCH($D1452,'교육원 ④ 설정'!$B$6:$B$40,0)),""))</f>
        <v/>
      </c>
      <c r="G1452" s="39"/>
      <c r="H1452" s="39"/>
      <c r="I1452" s="40"/>
      <c r="J1452" s="41"/>
      <c r="K1452" s="38"/>
      <c r="L1452" s="42" t="str">
        <f aca="false">IF($B1452="","",IF(AND(N($I1452)=0,N($J1452)=0),"금액이 없습니다",IF(AND($I1452&gt;0,$J1452&gt;0),"수입·지출 둘 다 적혔습니다",IF($C1452="","결제수단을 고르십시오",IF(ISNA(MATCH($C1452,'교육원 ③ 통장·카드'!$A$5:$A$11,0)),"③ 통장·카드에 없는 결제수단입니다",IF($D1452="","계정과목을 고르십시오",IF($E1452="※없는 과목","④ 설정에 없는 과목입니다",IF(AND($E1452="수입",$J1452&gt;0),"수입 과목인데 지출에 적혔습니다",IF(AND(LEFT($E1452,2)&lt;&gt;"수입",$E1452&lt;&gt;"대체",$I1452&gt;0),"지출 과목인데 수입에 적혔습니다",IF($K1452="","증빙을 고르십시오",IF($H1452="","적요를 적으십시오","")))))))))))</f>
        <v/>
      </c>
      <c r="M1452" s="39"/>
      <c r="O1452" s="11" t="str">
        <f aca="false">IF($B1452="","",YEAR($B1452)*100+MONTH($B1452))</f>
        <v/>
      </c>
      <c r="P1452" s="11" t="str">
        <f aca="false">IF($B1452="","",IF($E1452="대체",0,1))</f>
        <v/>
      </c>
    </row>
    <row r="1453" customFormat="false" ht="15" hidden="false" customHeight="false" outlineLevel="0" collapsed="false">
      <c r="A1453" s="36" t="str">
        <f aca="false">IF($B1453="","",COUNT($B$15:$B1453))</f>
        <v/>
      </c>
      <c r="B1453" s="37"/>
      <c r="C1453" s="38"/>
      <c r="D1453" s="20"/>
      <c r="E1453" s="36" t="str">
        <f aca="false">IF($D1453="","",IFERROR(INDEX('교육원 ④ 설정'!$A$6:$A$40,MATCH($D1453,'교육원 ④ 설정'!$B$6:$B$40,0)),"※없는 과목"))</f>
        <v/>
      </c>
      <c r="F1453" s="36" t="str">
        <f aca="false">IF($D1453="","",IFERROR(INDEX('교육원 ④ 설정'!$C$6:$C$40,MATCH($D1453,'교육원 ④ 설정'!$B$6:$B$40,0)),""))</f>
        <v/>
      </c>
      <c r="G1453" s="39"/>
      <c r="H1453" s="39"/>
      <c r="I1453" s="40"/>
      <c r="J1453" s="41"/>
      <c r="K1453" s="38"/>
      <c r="L1453" s="42" t="str">
        <f aca="false">IF($B1453="","",IF(AND(N($I1453)=0,N($J1453)=0),"금액이 없습니다",IF(AND($I1453&gt;0,$J1453&gt;0),"수입·지출 둘 다 적혔습니다",IF($C1453="","결제수단을 고르십시오",IF(ISNA(MATCH($C1453,'교육원 ③ 통장·카드'!$A$5:$A$11,0)),"③ 통장·카드에 없는 결제수단입니다",IF($D1453="","계정과목을 고르십시오",IF($E1453="※없는 과목","④ 설정에 없는 과목입니다",IF(AND($E1453="수입",$J1453&gt;0),"수입 과목인데 지출에 적혔습니다",IF(AND(LEFT($E1453,2)&lt;&gt;"수입",$E1453&lt;&gt;"대체",$I1453&gt;0),"지출 과목인데 수입에 적혔습니다",IF($K1453="","증빙을 고르십시오",IF($H1453="","적요를 적으십시오","")))))))))))</f>
        <v/>
      </c>
      <c r="M1453" s="39"/>
      <c r="O1453" s="11" t="str">
        <f aca="false">IF($B1453="","",YEAR($B1453)*100+MONTH($B1453))</f>
        <v/>
      </c>
      <c r="P1453" s="11" t="str">
        <f aca="false">IF($B1453="","",IF($E1453="대체",0,1))</f>
        <v/>
      </c>
    </row>
    <row r="1454" customFormat="false" ht="15" hidden="false" customHeight="false" outlineLevel="0" collapsed="false">
      <c r="A1454" s="36" t="str">
        <f aca="false">IF($B1454="","",COUNT($B$15:$B1454))</f>
        <v/>
      </c>
      <c r="B1454" s="37"/>
      <c r="C1454" s="38"/>
      <c r="D1454" s="20"/>
      <c r="E1454" s="36" t="str">
        <f aca="false">IF($D1454="","",IFERROR(INDEX('교육원 ④ 설정'!$A$6:$A$40,MATCH($D1454,'교육원 ④ 설정'!$B$6:$B$40,0)),"※없는 과목"))</f>
        <v/>
      </c>
      <c r="F1454" s="36" t="str">
        <f aca="false">IF($D1454="","",IFERROR(INDEX('교육원 ④ 설정'!$C$6:$C$40,MATCH($D1454,'교육원 ④ 설정'!$B$6:$B$40,0)),""))</f>
        <v/>
      </c>
      <c r="G1454" s="39"/>
      <c r="H1454" s="39"/>
      <c r="I1454" s="40"/>
      <c r="J1454" s="41"/>
      <c r="K1454" s="38"/>
      <c r="L1454" s="42" t="str">
        <f aca="false">IF($B1454="","",IF(AND(N($I1454)=0,N($J1454)=0),"금액이 없습니다",IF(AND($I1454&gt;0,$J1454&gt;0),"수입·지출 둘 다 적혔습니다",IF($C1454="","결제수단을 고르십시오",IF(ISNA(MATCH($C1454,'교육원 ③ 통장·카드'!$A$5:$A$11,0)),"③ 통장·카드에 없는 결제수단입니다",IF($D1454="","계정과목을 고르십시오",IF($E1454="※없는 과목","④ 설정에 없는 과목입니다",IF(AND($E1454="수입",$J1454&gt;0),"수입 과목인데 지출에 적혔습니다",IF(AND(LEFT($E1454,2)&lt;&gt;"수입",$E1454&lt;&gt;"대체",$I1454&gt;0),"지출 과목인데 수입에 적혔습니다",IF($K1454="","증빙을 고르십시오",IF($H1454="","적요를 적으십시오","")))))))))))</f>
        <v/>
      </c>
      <c r="M1454" s="39"/>
      <c r="O1454" s="11" t="str">
        <f aca="false">IF($B1454="","",YEAR($B1454)*100+MONTH($B1454))</f>
        <v/>
      </c>
      <c r="P1454" s="11" t="str">
        <f aca="false">IF($B1454="","",IF($E1454="대체",0,1))</f>
        <v/>
      </c>
    </row>
    <row r="1455" customFormat="false" ht="15" hidden="false" customHeight="false" outlineLevel="0" collapsed="false">
      <c r="A1455" s="36" t="str">
        <f aca="false">IF($B1455="","",COUNT($B$15:$B1455))</f>
        <v/>
      </c>
      <c r="B1455" s="37"/>
      <c r="C1455" s="38"/>
      <c r="D1455" s="20"/>
      <c r="E1455" s="36" t="str">
        <f aca="false">IF($D1455="","",IFERROR(INDEX('교육원 ④ 설정'!$A$6:$A$40,MATCH($D1455,'교육원 ④ 설정'!$B$6:$B$40,0)),"※없는 과목"))</f>
        <v/>
      </c>
      <c r="F1455" s="36" t="str">
        <f aca="false">IF($D1455="","",IFERROR(INDEX('교육원 ④ 설정'!$C$6:$C$40,MATCH($D1455,'교육원 ④ 설정'!$B$6:$B$40,0)),""))</f>
        <v/>
      </c>
      <c r="G1455" s="39"/>
      <c r="H1455" s="39"/>
      <c r="I1455" s="40"/>
      <c r="J1455" s="41"/>
      <c r="K1455" s="38"/>
      <c r="L1455" s="42" t="str">
        <f aca="false">IF($B1455="","",IF(AND(N($I1455)=0,N($J1455)=0),"금액이 없습니다",IF(AND($I1455&gt;0,$J1455&gt;0),"수입·지출 둘 다 적혔습니다",IF($C1455="","결제수단을 고르십시오",IF(ISNA(MATCH($C1455,'교육원 ③ 통장·카드'!$A$5:$A$11,0)),"③ 통장·카드에 없는 결제수단입니다",IF($D1455="","계정과목을 고르십시오",IF($E1455="※없는 과목","④ 설정에 없는 과목입니다",IF(AND($E1455="수입",$J1455&gt;0),"수입 과목인데 지출에 적혔습니다",IF(AND(LEFT($E1455,2)&lt;&gt;"수입",$E1455&lt;&gt;"대체",$I1455&gt;0),"지출 과목인데 수입에 적혔습니다",IF($K1455="","증빙을 고르십시오",IF($H1455="","적요를 적으십시오","")))))))))))</f>
        <v/>
      </c>
      <c r="M1455" s="39"/>
      <c r="O1455" s="11" t="str">
        <f aca="false">IF($B1455="","",YEAR($B1455)*100+MONTH($B1455))</f>
        <v/>
      </c>
      <c r="P1455" s="11" t="str">
        <f aca="false">IF($B1455="","",IF($E1455="대체",0,1))</f>
        <v/>
      </c>
    </row>
    <row r="1456" customFormat="false" ht="15" hidden="false" customHeight="false" outlineLevel="0" collapsed="false">
      <c r="A1456" s="36" t="str">
        <f aca="false">IF($B1456="","",COUNT($B$15:$B1456))</f>
        <v/>
      </c>
      <c r="B1456" s="37"/>
      <c r="C1456" s="38"/>
      <c r="D1456" s="20"/>
      <c r="E1456" s="36" t="str">
        <f aca="false">IF($D1456="","",IFERROR(INDEX('교육원 ④ 설정'!$A$6:$A$40,MATCH($D1456,'교육원 ④ 설정'!$B$6:$B$40,0)),"※없는 과목"))</f>
        <v/>
      </c>
      <c r="F1456" s="36" t="str">
        <f aca="false">IF($D1456="","",IFERROR(INDEX('교육원 ④ 설정'!$C$6:$C$40,MATCH($D1456,'교육원 ④ 설정'!$B$6:$B$40,0)),""))</f>
        <v/>
      </c>
      <c r="G1456" s="39"/>
      <c r="H1456" s="39"/>
      <c r="I1456" s="40"/>
      <c r="J1456" s="41"/>
      <c r="K1456" s="38"/>
      <c r="L1456" s="42" t="str">
        <f aca="false">IF($B1456="","",IF(AND(N($I1456)=0,N($J1456)=0),"금액이 없습니다",IF(AND($I1456&gt;0,$J1456&gt;0),"수입·지출 둘 다 적혔습니다",IF($C1456="","결제수단을 고르십시오",IF(ISNA(MATCH($C1456,'교육원 ③ 통장·카드'!$A$5:$A$11,0)),"③ 통장·카드에 없는 결제수단입니다",IF($D1456="","계정과목을 고르십시오",IF($E1456="※없는 과목","④ 설정에 없는 과목입니다",IF(AND($E1456="수입",$J1456&gt;0),"수입 과목인데 지출에 적혔습니다",IF(AND(LEFT($E1456,2)&lt;&gt;"수입",$E1456&lt;&gt;"대체",$I1456&gt;0),"지출 과목인데 수입에 적혔습니다",IF($K1456="","증빙을 고르십시오",IF($H1456="","적요를 적으십시오","")))))))))))</f>
        <v/>
      </c>
      <c r="M1456" s="39"/>
      <c r="O1456" s="11" t="str">
        <f aca="false">IF($B1456="","",YEAR($B1456)*100+MONTH($B1456))</f>
        <v/>
      </c>
      <c r="P1456" s="11" t="str">
        <f aca="false">IF($B1456="","",IF($E1456="대체",0,1))</f>
        <v/>
      </c>
    </row>
    <row r="1457" customFormat="false" ht="15" hidden="false" customHeight="false" outlineLevel="0" collapsed="false">
      <c r="A1457" s="36" t="str">
        <f aca="false">IF($B1457="","",COUNT($B$15:$B1457))</f>
        <v/>
      </c>
      <c r="B1457" s="37"/>
      <c r="C1457" s="38"/>
      <c r="D1457" s="20"/>
      <c r="E1457" s="36" t="str">
        <f aca="false">IF($D1457="","",IFERROR(INDEX('교육원 ④ 설정'!$A$6:$A$40,MATCH($D1457,'교육원 ④ 설정'!$B$6:$B$40,0)),"※없는 과목"))</f>
        <v/>
      </c>
      <c r="F1457" s="36" t="str">
        <f aca="false">IF($D1457="","",IFERROR(INDEX('교육원 ④ 설정'!$C$6:$C$40,MATCH($D1457,'교육원 ④ 설정'!$B$6:$B$40,0)),""))</f>
        <v/>
      </c>
      <c r="G1457" s="39"/>
      <c r="H1457" s="39"/>
      <c r="I1457" s="40"/>
      <c r="J1457" s="41"/>
      <c r="K1457" s="38"/>
      <c r="L1457" s="42" t="str">
        <f aca="false">IF($B1457="","",IF(AND(N($I1457)=0,N($J1457)=0),"금액이 없습니다",IF(AND($I1457&gt;0,$J1457&gt;0),"수입·지출 둘 다 적혔습니다",IF($C1457="","결제수단을 고르십시오",IF(ISNA(MATCH($C1457,'교육원 ③ 통장·카드'!$A$5:$A$11,0)),"③ 통장·카드에 없는 결제수단입니다",IF($D1457="","계정과목을 고르십시오",IF($E1457="※없는 과목","④ 설정에 없는 과목입니다",IF(AND($E1457="수입",$J1457&gt;0),"수입 과목인데 지출에 적혔습니다",IF(AND(LEFT($E1457,2)&lt;&gt;"수입",$E1457&lt;&gt;"대체",$I1457&gt;0),"지출 과목인데 수입에 적혔습니다",IF($K1457="","증빙을 고르십시오",IF($H1457="","적요를 적으십시오","")))))))))))</f>
        <v/>
      </c>
      <c r="M1457" s="39"/>
      <c r="O1457" s="11" t="str">
        <f aca="false">IF($B1457="","",YEAR($B1457)*100+MONTH($B1457))</f>
        <v/>
      </c>
      <c r="P1457" s="11" t="str">
        <f aca="false">IF($B1457="","",IF($E1457="대체",0,1))</f>
        <v/>
      </c>
    </row>
    <row r="1458" customFormat="false" ht="15" hidden="false" customHeight="false" outlineLevel="0" collapsed="false">
      <c r="A1458" s="36" t="str">
        <f aca="false">IF($B1458="","",COUNT($B$15:$B1458))</f>
        <v/>
      </c>
      <c r="B1458" s="37"/>
      <c r="C1458" s="38"/>
      <c r="D1458" s="20"/>
      <c r="E1458" s="36" t="str">
        <f aca="false">IF($D1458="","",IFERROR(INDEX('교육원 ④ 설정'!$A$6:$A$40,MATCH($D1458,'교육원 ④ 설정'!$B$6:$B$40,0)),"※없는 과목"))</f>
        <v/>
      </c>
      <c r="F1458" s="36" t="str">
        <f aca="false">IF($D1458="","",IFERROR(INDEX('교육원 ④ 설정'!$C$6:$C$40,MATCH($D1458,'교육원 ④ 설정'!$B$6:$B$40,0)),""))</f>
        <v/>
      </c>
      <c r="G1458" s="39"/>
      <c r="H1458" s="39"/>
      <c r="I1458" s="40"/>
      <c r="J1458" s="41"/>
      <c r="K1458" s="38"/>
      <c r="L1458" s="42" t="str">
        <f aca="false">IF($B1458="","",IF(AND(N($I1458)=0,N($J1458)=0),"금액이 없습니다",IF(AND($I1458&gt;0,$J1458&gt;0),"수입·지출 둘 다 적혔습니다",IF($C1458="","결제수단을 고르십시오",IF(ISNA(MATCH($C1458,'교육원 ③ 통장·카드'!$A$5:$A$11,0)),"③ 통장·카드에 없는 결제수단입니다",IF($D1458="","계정과목을 고르십시오",IF($E1458="※없는 과목","④ 설정에 없는 과목입니다",IF(AND($E1458="수입",$J1458&gt;0),"수입 과목인데 지출에 적혔습니다",IF(AND(LEFT($E1458,2)&lt;&gt;"수입",$E1458&lt;&gt;"대체",$I1458&gt;0),"지출 과목인데 수입에 적혔습니다",IF($K1458="","증빙을 고르십시오",IF($H1458="","적요를 적으십시오","")))))))))))</f>
        <v/>
      </c>
      <c r="M1458" s="39"/>
      <c r="O1458" s="11" t="str">
        <f aca="false">IF($B1458="","",YEAR($B1458)*100+MONTH($B1458))</f>
        <v/>
      </c>
      <c r="P1458" s="11" t="str">
        <f aca="false">IF($B1458="","",IF($E1458="대체",0,1))</f>
        <v/>
      </c>
    </row>
    <row r="1459" customFormat="false" ht="15" hidden="false" customHeight="false" outlineLevel="0" collapsed="false">
      <c r="A1459" s="36" t="str">
        <f aca="false">IF($B1459="","",COUNT($B$15:$B1459))</f>
        <v/>
      </c>
      <c r="B1459" s="37"/>
      <c r="C1459" s="38"/>
      <c r="D1459" s="20"/>
      <c r="E1459" s="36" t="str">
        <f aca="false">IF($D1459="","",IFERROR(INDEX('교육원 ④ 설정'!$A$6:$A$40,MATCH($D1459,'교육원 ④ 설정'!$B$6:$B$40,0)),"※없는 과목"))</f>
        <v/>
      </c>
      <c r="F1459" s="36" t="str">
        <f aca="false">IF($D1459="","",IFERROR(INDEX('교육원 ④ 설정'!$C$6:$C$40,MATCH($D1459,'교육원 ④ 설정'!$B$6:$B$40,0)),""))</f>
        <v/>
      </c>
      <c r="G1459" s="39"/>
      <c r="H1459" s="39"/>
      <c r="I1459" s="40"/>
      <c r="J1459" s="41"/>
      <c r="K1459" s="38"/>
      <c r="L1459" s="42" t="str">
        <f aca="false">IF($B1459="","",IF(AND(N($I1459)=0,N($J1459)=0),"금액이 없습니다",IF(AND($I1459&gt;0,$J1459&gt;0),"수입·지출 둘 다 적혔습니다",IF($C1459="","결제수단을 고르십시오",IF(ISNA(MATCH($C1459,'교육원 ③ 통장·카드'!$A$5:$A$11,0)),"③ 통장·카드에 없는 결제수단입니다",IF($D1459="","계정과목을 고르십시오",IF($E1459="※없는 과목","④ 설정에 없는 과목입니다",IF(AND($E1459="수입",$J1459&gt;0),"수입 과목인데 지출에 적혔습니다",IF(AND(LEFT($E1459,2)&lt;&gt;"수입",$E1459&lt;&gt;"대체",$I1459&gt;0),"지출 과목인데 수입에 적혔습니다",IF($K1459="","증빙을 고르십시오",IF($H1459="","적요를 적으십시오","")))))))))))</f>
        <v/>
      </c>
      <c r="M1459" s="39"/>
      <c r="O1459" s="11" t="str">
        <f aca="false">IF($B1459="","",YEAR($B1459)*100+MONTH($B1459))</f>
        <v/>
      </c>
      <c r="P1459" s="11" t="str">
        <f aca="false">IF($B1459="","",IF($E1459="대체",0,1))</f>
        <v/>
      </c>
    </row>
    <row r="1460" customFormat="false" ht="15" hidden="false" customHeight="false" outlineLevel="0" collapsed="false">
      <c r="A1460" s="36" t="str">
        <f aca="false">IF($B1460="","",COUNT($B$15:$B1460))</f>
        <v/>
      </c>
      <c r="B1460" s="37"/>
      <c r="C1460" s="38"/>
      <c r="D1460" s="20"/>
      <c r="E1460" s="36" t="str">
        <f aca="false">IF($D1460="","",IFERROR(INDEX('교육원 ④ 설정'!$A$6:$A$40,MATCH($D1460,'교육원 ④ 설정'!$B$6:$B$40,0)),"※없는 과목"))</f>
        <v/>
      </c>
      <c r="F1460" s="36" t="str">
        <f aca="false">IF($D1460="","",IFERROR(INDEX('교육원 ④ 설정'!$C$6:$C$40,MATCH($D1460,'교육원 ④ 설정'!$B$6:$B$40,0)),""))</f>
        <v/>
      </c>
      <c r="G1460" s="39"/>
      <c r="H1460" s="39"/>
      <c r="I1460" s="40"/>
      <c r="J1460" s="41"/>
      <c r="K1460" s="38"/>
      <c r="L1460" s="42" t="str">
        <f aca="false">IF($B1460="","",IF(AND(N($I1460)=0,N($J1460)=0),"금액이 없습니다",IF(AND($I1460&gt;0,$J1460&gt;0),"수입·지출 둘 다 적혔습니다",IF($C1460="","결제수단을 고르십시오",IF(ISNA(MATCH($C1460,'교육원 ③ 통장·카드'!$A$5:$A$11,0)),"③ 통장·카드에 없는 결제수단입니다",IF($D1460="","계정과목을 고르십시오",IF($E1460="※없는 과목","④ 설정에 없는 과목입니다",IF(AND($E1460="수입",$J1460&gt;0),"수입 과목인데 지출에 적혔습니다",IF(AND(LEFT($E1460,2)&lt;&gt;"수입",$E1460&lt;&gt;"대체",$I1460&gt;0),"지출 과목인데 수입에 적혔습니다",IF($K1460="","증빙을 고르십시오",IF($H1460="","적요를 적으십시오","")))))))))))</f>
        <v/>
      </c>
      <c r="M1460" s="39"/>
      <c r="O1460" s="11" t="str">
        <f aca="false">IF($B1460="","",YEAR($B1460)*100+MONTH($B1460))</f>
        <v/>
      </c>
      <c r="P1460" s="11" t="str">
        <f aca="false">IF($B1460="","",IF($E1460="대체",0,1))</f>
        <v/>
      </c>
    </row>
    <row r="1461" customFormat="false" ht="15" hidden="false" customHeight="false" outlineLevel="0" collapsed="false">
      <c r="A1461" s="36" t="str">
        <f aca="false">IF($B1461="","",COUNT($B$15:$B1461))</f>
        <v/>
      </c>
      <c r="B1461" s="37"/>
      <c r="C1461" s="38"/>
      <c r="D1461" s="20"/>
      <c r="E1461" s="36" t="str">
        <f aca="false">IF($D1461="","",IFERROR(INDEX('교육원 ④ 설정'!$A$6:$A$40,MATCH($D1461,'교육원 ④ 설정'!$B$6:$B$40,0)),"※없는 과목"))</f>
        <v/>
      </c>
      <c r="F1461" s="36" t="str">
        <f aca="false">IF($D1461="","",IFERROR(INDEX('교육원 ④ 설정'!$C$6:$C$40,MATCH($D1461,'교육원 ④ 설정'!$B$6:$B$40,0)),""))</f>
        <v/>
      </c>
      <c r="G1461" s="39"/>
      <c r="H1461" s="39"/>
      <c r="I1461" s="40"/>
      <c r="J1461" s="41"/>
      <c r="K1461" s="38"/>
      <c r="L1461" s="42" t="str">
        <f aca="false">IF($B1461="","",IF(AND(N($I1461)=0,N($J1461)=0),"금액이 없습니다",IF(AND($I1461&gt;0,$J1461&gt;0),"수입·지출 둘 다 적혔습니다",IF($C1461="","결제수단을 고르십시오",IF(ISNA(MATCH($C1461,'교육원 ③ 통장·카드'!$A$5:$A$11,0)),"③ 통장·카드에 없는 결제수단입니다",IF($D1461="","계정과목을 고르십시오",IF($E1461="※없는 과목","④ 설정에 없는 과목입니다",IF(AND($E1461="수입",$J1461&gt;0),"수입 과목인데 지출에 적혔습니다",IF(AND(LEFT($E1461,2)&lt;&gt;"수입",$E1461&lt;&gt;"대체",$I1461&gt;0),"지출 과목인데 수입에 적혔습니다",IF($K1461="","증빙을 고르십시오",IF($H1461="","적요를 적으십시오","")))))))))))</f>
        <v/>
      </c>
      <c r="M1461" s="39"/>
      <c r="O1461" s="11" t="str">
        <f aca="false">IF($B1461="","",YEAR($B1461)*100+MONTH($B1461))</f>
        <v/>
      </c>
      <c r="P1461" s="11" t="str">
        <f aca="false">IF($B1461="","",IF($E1461="대체",0,1))</f>
        <v/>
      </c>
    </row>
    <row r="1462" customFormat="false" ht="15" hidden="false" customHeight="false" outlineLevel="0" collapsed="false">
      <c r="A1462" s="36" t="str">
        <f aca="false">IF($B1462="","",COUNT($B$15:$B1462))</f>
        <v/>
      </c>
      <c r="B1462" s="37"/>
      <c r="C1462" s="38"/>
      <c r="D1462" s="20"/>
      <c r="E1462" s="36" t="str">
        <f aca="false">IF($D1462="","",IFERROR(INDEX('교육원 ④ 설정'!$A$6:$A$40,MATCH($D1462,'교육원 ④ 설정'!$B$6:$B$40,0)),"※없는 과목"))</f>
        <v/>
      </c>
      <c r="F1462" s="36" t="str">
        <f aca="false">IF($D1462="","",IFERROR(INDEX('교육원 ④ 설정'!$C$6:$C$40,MATCH($D1462,'교육원 ④ 설정'!$B$6:$B$40,0)),""))</f>
        <v/>
      </c>
      <c r="G1462" s="39"/>
      <c r="H1462" s="39"/>
      <c r="I1462" s="40"/>
      <c r="J1462" s="41"/>
      <c r="K1462" s="38"/>
      <c r="L1462" s="42" t="str">
        <f aca="false">IF($B1462="","",IF(AND(N($I1462)=0,N($J1462)=0),"금액이 없습니다",IF(AND($I1462&gt;0,$J1462&gt;0),"수입·지출 둘 다 적혔습니다",IF($C1462="","결제수단을 고르십시오",IF(ISNA(MATCH($C1462,'교육원 ③ 통장·카드'!$A$5:$A$11,0)),"③ 통장·카드에 없는 결제수단입니다",IF($D1462="","계정과목을 고르십시오",IF($E1462="※없는 과목","④ 설정에 없는 과목입니다",IF(AND($E1462="수입",$J1462&gt;0),"수입 과목인데 지출에 적혔습니다",IF(AND(LEFT($E1462,2)&lt;&gt;"수입",$E1462&lt;&gt;"대체",$I1462&gt;0),"지출 과목인데 수입에 적혔습니다",IF($K1462="","증빙을 고르십시오",IF($H1462="","적요를 적으십시오","")))))))))))</f>
        <v/>
      </c>
      <c r="M1462" s="39"/>
      <c r="O1462" s="11" t="str">
        <f aca="false">IF($B1462="","",YEAR($B1462)*100+MONTH($B1462))</f>
        <v/>
      </c>
      <c r="P1462" s="11" t="str">
        <f aca="false">IF($B1462="","",IF($E1462="대체",0,1))</f>
        <v/>
      </c>
    </row>
    <row r="1463" customFormat="false" ht="15" hidden="false" customHeight="false" outlineLevel="0" collapsed="false">
      <c r="A1463" s="36" t="str">
        <f aca="false">IF($B1463="","",COUNT($B$15:$B1463))</f>
        <v/>
      </c>
      <c r="B1463" s="37"/>
      <c r="C1463" s="38"/>
      <c r="D1463" s="20"/>
      <c r="E1463" s="36" t="str">
        <f aca="false">IF($D1463="","",IFERROR(INDEX('교육원 ④ 설정'!$A$6:$A$40,MATCH($D1463,'교육원 ④ 설정'!$B$6:$B$40,0)),"※없는 과목"))</f>
        <v/>
      </c>
      <c r="F1463" s="36" t="str">
        <f aca="false">IF($D1463="","",IFERROR(INDEX('교육원 ④ 설정'!$C$6:$C$40,MATCH($D1463,'교육원 ④ 설정'!$B$6:$B$40,0)),""))</f>
        <v/>
      </c>
      <c r="G1463" s="39"/>
      <c r="H1463" s="39"/>
      <c r="I1463" s="40"/>
      <c r="J1463" s="41"/>
      <c r="K1463" s="38"/>
      <c r="L1463" s="42" t="str">
        <f aca="false">IF($B1463="","",IF(AND(N($I1463)=0,N($J1463)=0),"금액이 없습니다",IF(AND($I1463&gt;0,$J1463&gt;0),"수입·지출 둘 다 적혔습니다",IF($C1463="","결제수단을 고르십시오",IF(ISNA(MATCH($C1463,'교육원 ③ 통장·카드'!$A$5:$A$11,0)),"③ 통장·카드에 없는 결제수단입니다",IF($D1463="","계정과목을 고르십시오",IF($E1463="※없는 과목","④ 설정에 없는 과목입니다",IF(AND($E1463="수입",$J1463&gt;0),"수입 과목인데 지출에 적혔습니다",IF(AND(LEFT($E1463,2)&lt;&gt;"수입",$E1463&lt;&gt;"대체",$I1463&gt;0),"지출 과목인데 수입에 적혔습니다",IF($K1463="","증빙을 고르십시오",IF($H1463="","적요를 적으십시오","")))))))))))</f>
        <v/>
      </c>
      <c r="M1463" s="39"/>
      <c r="O1463" s="11" t="str">
        <f aca="false">IF($B1463="","",YEAR($B1463)*100+MONTH($B1463))</f>
        <v/>
      </c>
      <c r="P1463" s="11" t="str">
        <f aca="false">IF($B1463="","",IF($E1463="대체",0,1))</f>
        <v/>
      </c>
    </row>
    <row r="1464" customFormat="false" ht="15" hidden="false" customHeight="false" outlineLevel="0" collapsed="false">
      <c r="A1464" s="36" t="str">
        <f aca="false">IF($B1464="","",COUNT($B$15:$B1464))</f>
        <v/>
      </c>
      <c r="B1464" s="37"/>
      <c r="C1464" s="38"/>
      <c r="D1464" s="20"/>
      <c r="E1464" s="36" t="str">
        <f aca="false">IF($D1464="","",IFERROR(INDEX('교육원 ④ 설정'!$A$6:$A$40,MATCH($D1464,'교육원 ④ 설정'!$B$6:$B$40,0)),"※없는 과목"))</f>
        <v/>
      </c>
      <c r="F1464" s="36" t="str">
        <f aca="false">IF($D1464="","",IFERROR(INDEX('교육원 ④ 설정'!$C$6:$C$40,MATCH($D1464,'교육원 ④ 설정'!$B$6:$B$40,0)),""))</f>
        <v/>
      </c>
      <c r="G1464" s="39"/>
      <c r="H1464" s="39"/>
      <c r="I1464" s="40"/>
      <c r="J1464" s="41"/>
      <c r="K1464" s="38"/>
      <c r="L1464" s="42" t="str">
        <f aca="false">IF($B1464="","",IF(AND(N($I1464)=0,N($J1464)=0),"금액이 없습니다",IF(AND($I1464&gt;0,$J1464&gt;0),"수입·지출 둘 다 적혔습니다",IF($C1464="","결제수단을 고르십시오",IF(ISNA(MATCH($C1464,'교육원 ③ 통장·카드'!$A$5:$A$11,0)),"③ 통장·카드에 없는 결제수단입니다",IF($D1464="","계정과목을 고르십시오",IF($E1464="※없는 과목","④ 설정에 없는 과목입니다",IF(AND($E1464="수입",$J1464&gt;0),"수입 과목인데 지출에 적혔습니다",IF(AND(LEFT($E1464,2)&lt;&gt;"수입",$E1464&lt;&gt;"대체",$I1464&gt;0),"지출 과목인데 수입에 적혔습니다",IF($K1464="","증빙을 고르십시오",IF($H1464="","적요를 적으십시오","")))))))))))</f>
        <v/>
      </c>
      <c r="M1464" s="39"/>
      <c r="O1464" s="11" t="str">
        <f aca="false">IF($B1464="","",YEAR($B1464)*100+MONTH($B1464))</f>
        <v/>
      </c>
      <c r="P1464" s="11" t="str">
        <f aca="false">IF($B1464="","",IF($E1464="대체",0,1))</f>
        <v/>
      </c>
    </row>
    <row r="1465" customFormat="false" ht="15" hidden="false" customHeight="false" outlineLevel="0" collapsed="false">
      <c r="A1465" s="36" t="str">
        <f aca="false">IF($B1465="","",COUNT($B$15:$B1465))</f>
        <v/>
      </c>
      <c r="B1465" s="37"/>
      <c r="C1465" s="38"/>
      <c r="D1465" s="20"/>
      <c r="E1465" s="36" t="str">
        <f aca="false">IF($D1465="","",IFERROR(INDEX('교육원 ④ 설정'!$A$6:$A$40,MATCH($D1465,'교육원 ④ 설정'!$B$6:$B$40,0)),"※없는 과목"))</f>
        <v/>
      </c>
      <c r="F1465" s="36" t="str">
        <f aca="false">IF($D1465="","",IFERROR(INDEX('교육원 ④ 설정'!$C$6:$C$40,MATCH($D1465,'교육원 ④ 설정'!$B$6:$B$40,0)),""))</f>
        <v/>
      </c>
      <c r="G1465" s="39"/>
      <c r="H1465" s="39"/>
      <c r="I1465" s="40"/>
      <c r="J1465" s="41"/>
      <c r="K1465" s="38"/>
      <c r="L1465" s="42" t="str">
        <f aca="false">IF($B1465="","",IF(AND(N($I1465)=0,N($J1465)=0),"금액이 없습니다",IF(AND($I1465&gt;0,$J1465&gt;0),"수입·지출 둘 다 적혔습니다",IF($C1465="","결제수단을 고르십시오",IF(ISNA(MATCH($C1465,'교육원 ③ 통장·카드'!$A$5:$A$11,0)),"③ 통장·카드에 없는 결제수단입니다",IF($D1465="","계정과목을 고르십시오",IF($E1465="※없는 과목","④ 설정에 없는 과목입니다",IF(AND($E1465="수입",$J1465&gt;0),"수입 과목인데 지출에 적혔습니다",IF(AND(LEFT($E1465,2)&lt;&gt;"수입",$E1465&lt;&gt;"대체",$I1465&gt;0),"지출 과목인데 수입에 적혔습니다",IF($K1465="","증빙을 고르십시오",IF($H1465="","적요를 적으십시오","")))))))))))</f>
        <v/>
      </c>
      <c r="M1465" s="39"/>
      <c r="O1465" s="11" t="str">
        <f aca="false">IF($B1465="","",YEAR($B1465)*100+MONTH($B1465))</f>
        <v/>
      </c>
      <c r="P1465" s="11" t="str">
        <f aca="false">IF($B1465="","",IF($E1465="대체",0,1))</f>
        <v/>
      </c>
    </row>
    <row r="1466" customFormat="false" ht="15" hidden="false" customHeight="false" outlineLevel="0" collapsed="false">
      <c r="A1466" s="36" t="str">
        <f aca="false">IF($B1466="","",COUNT($B$15:$B1466))</f>
        <v/>
      </c>
      <c r="B1466" s="37"/>
      <c r="C1466" s="38"/>
      <c r="D1466" s="20"/>
      <c r="E1466" s="36" t="str">
        <f aca="false">IF($D1466="","",IFERROR(INDEX('교육원 ④ 설정'!$A$6:$A$40,MATCH($D1466,'교육원 ④ 설정'!$B$6:$B$40,0)),"※없는 과목"))</f>
        <v/>
      </c>
      <c r="F1466" s="36" t="str">
        <f aca="false">IF($D1466="","",IFERROR(INDEX('교육원 ④ 설정'!$C$6:$C$40,MATCH($D1466,'교육원 ④ 설정'!$B$6:$B$40,0)),""))</f>
        <v/>
      </c>
      <c r="G1466" s="39"/>
      <c r="H1466" s="39"/>
      <c r="I1466" s="40"/>
      <c r="J1466" s="41"/>
      <c r="K1466" s="38"/>
      <c r="L1466" s="42" t="str">
        <f aca="false">IF($B1466="","",IF(AND(N($I1466)=0,N($J1466)=0),"금액이 없습니다",IF(AND($I1466&gt;0,$J1466&gt;0),"수입·지출 둘 다 적혔습니다",IF($C1466="","결제수단을 고르십시오",IF(ISNA(MATCH($C1466,'교육원 ③ 통장·카드'!$A$5:$A$11,0)),"③ 통장·카드에 없는 결제수단입니다",IF($D1466="","계정과목을 고르십시오",IF($E1466="※없는 과목","④ 설정에 없는 과목입니다",IF(AND($E1466="수입",$J1466&gt;0),"수입 과목인데 지출에 적혔습니다",IF(AND(LEFT($E1466,2)&lt;&gt;"수입",$E1466&lt;&gt;"대체",$I1466&gt;0),"지출 과목인데 수입에 적혔습니다",IF($K1466="","증빙을 고르십시오",IF($H1466="","적요를 적으십시오","")))))))))))</f>
        <v/>
      </c>
      <c r="M1466" s="39"/>
      <c r="O1466" s="11" t="str">
        <f aca="false">IF($B1466="","",YEAR($B1466)*100+MONTH($B1466))</f>
        <v/>
      </c>
      <c r="P1466" s="11" t="str">
        <f aca="false">IF($B1466="","",IF($E1466="대체",0,1))</f>
        <v/>
      </c>
    </row>
    <row r="1467" customFormat="false" ht="15" hidden="false" customHeight="false" outlineLevel="0" collapsed="false">
      <c r="A1467" s="36" t="str">
        <f aca="false">IF($B1467="","",COUNT($B$15:$B1467))</f>
        <v/>
      </c>
      <c r="B1467" s="37"/>
      <c r="C1467" s="38"/>
      <c r="D1467" s="20"/>
      <c r="E1467" s="36" t="str">
        <f aca="false">IF($D1467="","",IFERROR(INDEX('교육원 ④ 설정'!$A$6:$A$40,MATCH($D1467,'교육원 ④ 설정'!$B$6:$B$40,0)),"※없는 과목"))</f>
        <v/>
      </c>
      <c r="F1467" s="36" t="str">
        <f aca="false">IF($D1467="","",IFERROR(INDEX('교육원 ④ 설정'!$C$6:$C$40,MATCH($D1467,'교육원 ④ 설정'!$B$6:$B$40,0)),""))</f>
        <v/>
      </c>
      <c r="G1467" s="39"/>
      <c r="H1467" s="39"/>
      <c r="I1467" s="40"/>
      <c r="J1467" s="41"/>
      <c r="K1467" s="38"/>
      <c r="L1467" s="42" t="str">
        <f aca="false">IF($B1467="","",IF(AND(N($I1467)=0,N($J1467)=0),"금액이 없습니다",IF(AND($I1467&gt;0,$J1467&gt;0),"수입·지출 둘 다 적혔습니다",IF($C1467="","결제수단을 고르십시오",IF(ISNA(MATCH($C1467,'교육원 ③ 통장·카드'!$A$5:$A$11,0)),"③ 통장·카드에 없는 결제수단입니다",IF($D1467="","계정과목을 고르십시오",IF($E1467="※없는 과목","④ 설정에 없는 과목입니다",IF(AND($E1467="수입",$J1467&gt;0),"수입 과목인데 지출에 적혔습니다",IF(AND(LEFT($E1467,2)&lt;&gt;"수입",$E1467&lt;&gt;"대체",$I1467&gt;0),"지출 과목인데 수입에 적혔습니다",IF($K1467="","증빙을 고르십시오",IF($H1467="","적요를 적으십시오","")))))))))))</f>
        <v/>
      </c>
      <c r="M1467" s="39"/>
      <c r="O1467" s="11" t="str">
        <f aca="false">IF($B1467="","",YEAR($B1467)*100+MONTH($B1467))</f>
        <v/>
      </c>
      <c r="P1467" s="11" t="str">
        <f aca="false">IF($B1467="","",IF($E1467="대체",0,1))</f>
        <v/>
      </c>
    </row>
    <row r="1468" customFormat="false" ht="15" hidden="false" customHeight="false" outlineLevel="0" collapsed="false">
      <c r="A1468" s="36" t="str">
        <f aca="false">IF($B1468="","",COUNT($B$15:$B1468))</f>
        <v/>
      </c>
      <c r="B1468" s="37"/>
      <c r="C1468" s="38"/>
      <c r="D1468" s="20"/>
      <c r="E1468" s="36" t="str">
        <f aca="false">IF($D1468="","",IFERROR(INDEX('교육원 ④ 설정'!$A$6:$A$40,MATCH($D1468,'교육원 ④ 설정'!$B$6:$B$40,0)),"※없는 과목"))</f>
        <v/>
      </c>
      <c r="F1468" s="36" t="str">
        <f aca="false">IF($D1468="","",IFERROR(INDEX('교육원 ④ 설정'!$C$6:$C$40,MATCH($D1468,'교육원 ④ 설정'!$B$6:$B$40,0)),""))</f>
        <v/>
      </c>
      <c r="G1468" s="39"/>
      <c r="H1468" s="39"/>
      <c r="I1468" s="40"/>
      <c r="J1468" s="41"/>
      <c r="K1468" s="38"/>
      <c r="L1468" s="42" t="str">
        <f aca="false">IF($B1468="","",IF(AND(N($I1468)=0,N($J1468)=0),"금액이 없습니다",IF(AND($I1468&gt;0,$J1468&gt;0),"수입·지출 둘 다 적혔습니다",IF($C1468="","결제수단을 고르십시오",IF(ISNA(MATCH($C1468,'교육원 ③ 통장·카드'!$A$5:$A$11,0)),"③ 통장·카드에 없는 결제수단입니다",IF($D1468="","계정과목을 고르십시오",IF($E1468="※없는 과목","④ 설정에 없는 과목입니다",IF(AND($E1468="수입",$J1468&gt;0),"수입 과목인데 지출에 적혔습니다",IF(AND(LEFT($E1468,2)&lt;&gt;"수입",$E1468&lt;&gt;"대체",$I1468&gt;0),"지출 과목인데 수입에 적혔습니다",IF($K1468="","증빙을 고르십시오",IF($H1468="","적요를 적으십시오","")))))))))))</f>
        <v/>
      </c>
      <c r="M1468" s="39"/>
      <c r="O1468" s="11" t="str">
        <f aca="false">IF($B1468="","",YEAR($B1468)*100+MONTH($B1468))</f>
        <v/>
      </c>
      <c r="P1468" s="11" t="str">
        <f aca="false">IF($B1468="","",IF($E1468="대체",0,1))</f>
        <v/>
      </c>
    </row>
    <row r="1469" customFormat="false" ht="15" hidden="false" customHeight="false" outlineLevel="0" collapsed="false">
      <c r="A1469" s="36" t="str">
        <f aca="false">IF($B1469="","",COUNT($B$15:$B1469))</f>
        <v/>
      </c>
      <c r="B1469" s="37"/>
      <c r="C1469" s="38"/>
      <c r="D1469" s="20"/>
      <c r="E1469" s="36" t="str">
        <f aca="false">IF($D1469="","",IFERROR(INDEX('교육원 ④ 설정'!$A$6:$A$40,MATCH($D1469,'교육원 ④ 설정'!$B$6:$B$40,0)),"※없는 과목"))</f>
        <v/>
      </c>
      <c r="F1469" s="36" t="str">
        <f aca="false">IF($D1469="","",IFERROR(INDEX('교육원 ④ 설정'!$C$6:$C$40,MATCH($D1469,'교육원 ④ 설정'!$B$6:$B$40,0)),""))</f>
        <v/>
      </c>
      <c r="G1469" s="39"/>
      <c r="H1469" s="39"/>
      <c r="I1469" s="40"/>
      <c r="J1469" s="41"/>
      <c r="K1469" s="38"/>
      <c r="L1469" s="42" t="str">
        <f aca="false">IF($B1469="","",IF(AND(N($I1469)=0,N($J1469)=0),"금액이 없습니다",IF(AND($I1469&gt;0,$J1469&gt;0),"수입·지출 둘 다 적혔습니다",IF($C1469="","결제수단을 고르십시오",IF(ISNA(MATCH($C1469,'교육원 ③ 통장·카드'!$A$5:$A$11,0)),"③ 통장·카드에 없는 결제수단입니다",IF($D1469="","계정과목을 고르십시오",IF($E1469="※없는 과목","④ 설정에 없는 과목입니다",IF(AND($E1469="수입",$J1469&gt;0),"수입 과목인데 지출에 적혔습니다",IF(AND(LEFT($E1469,2)&lt;&gt;"수입",$E1469&lt;&gt;"대체",$I1469&gt;0),"지출 과목인데 수입에 적혔습니다",IF($K1469="","증빙을 고르십시오",IF($H1469="","적요를 적으십시오","")))))))))))</f>
        <v/>
      </c>
      <c r="M1469" s="39"/>
      <c r="O1469" s="11" t="str">
        <f aca="false">IF($B1469="","",YEAR($B1469)*100+MONTH($B1469))</f>
        <v/>
      </c>
      <c r="P1469" s="11" t="str">
        <f aca="false">IF($B1469="","",IF($E1469="대체",0,1))</f>
        <v/>
      </c>
    </row>
    <row r="1470" customFormat="false" ht="15" hidden="false" customHeight="false" outlineLevel="0" collapsed="false">
      <c r="A1470" s="36" t="str">
        <f aca="false">IF($B1470="","",COUNT($B$15:$B1470))</f>
        <v/>
      </c>
      <c r="B1470" s="37"/>
      <c r="C1470" s="38"/>
      <c r="D1470" s="20"/>
      <c r="E1470" s="36" t="str">
        <f aca="false">IF($D1470="","",IFERROR(INDEX('교육원 ④ 설정'!$A$6:$A$40,MATCH($D1470,'교육원 ④ 설정'!$B$6:$B$40,0)),"※없는 과목"))</f>
        <v/>
      </c>
      <c r="F1470" s="36" t="str">
        <f aca="false">IF($D1470="","",IFERROR(INDEX('교육원 ④ 설정'!$C$6:$C$40,MATCH($D1470,'교육원 ④ 설정'!$B$6:$B$40,0)),""))</f>
        <v/>
      </c>
      <c r="G1470" s="39"/>
      <c r="H1470" s="39"/>
      <c r="I1470" s="40"/>
      <c r="J1470" s="41"/>
      <c r="K1470" s="38"/>
      <c r="L1470" s="42" t="str">
        <f aca="false">IF($B1470="","",IF(AND(N($I1470)=0,N($J1470)=0),"금액이 없습니다",IF(AND($I1470&gt;0,$J1470&gt;0),"수입·지출 둘 다 적혔습니다",IF($C1470="","결제수단을 고르십시오",IF(ISNA(MATCH($C1470,'교육원 ③ 통장·카드'!$A$5:$A$11,0)),"③ 통장·카드에 없는 결제수단입니다",IF($D1470="","계정과목을 고르십시오",IF($E1470="※없는 과목","④ 설정에 없는 과목입니다",IF(AND($E1470="수입",$J1470&gt;0),"수입 과목인데 지출에 적혔습니다",IF(AND(LEFT($E1470,2)&lt;&gt;"수입",$E1470&lt;&gt;"대체",$I1470&gt;0),"지출 과목인데 수입에 적혔습니다",IF($K1470="","증빙을 고르십시오",IF($H1470="","적요를 적으십시오","")))))))))))</f>
        <v/>
      </c>
      <c r="M1470" s="39"/>
      <c r="O1470" s="11" t="str">
        <f aca="false">IF($B1470="","",YEAR($B1470)*100+MONTH($B1470))</f>
        <v/>
      </c>
      <c r="P1470" s="11" t="str">
        <f aca="false">IF($B1470="","",IF($E1470="대체",0,1))</f>
        <v/>
      </c>
    </row>
    <row r="1471" customFormat="false" ht="15" hidden="false" customHeight="false" outlineLevel="0" collapsed="false">
      <c r="A1471" s="36" t="str">
        <f aca="false">IF($B1471="","",COUNT($B$15:$B1471))</f>
        <v/>
      </c>
      <c r="B1471" s="37"/>
      <c r="C1471" s="38"/>
      <c r="D1471" s="20"/>
      <c r="E1471" s="36" t="str">
        <f aca="false">IF($D1471="","",IFERROR(INDEX('교육원 ④ 설정'!$A$6:$A$40,MATCH($D1471,'교육원 ④ 설정'!$B$6:$B$40,0)),"※없는 과목"))</f>
        <v/>
      </c>
      <c r="F1471" s="36" t="str">
        <f aca="false">IF($D1471="","",IFERROR(INDEX('교육원 ④ 설정'!$C$6:$C$40,MATCH($D1471,'교육원 ④ 설정'!$B$6:$B$40,0)),""))</f>
        <v/>
      </c>
      <c r="G1471" s="39"/>
      <c r="H1471" s="39"/>
      <c r="I1471" s="40"/>
      <c r="J1471" s="41"/>
      <c r="K1471" s="38"/>
      <c r="L1471" s="42" t="str">
        <f aca="false">IF($B1471="","",IF(AND(N($I1471)=0,N($J1471)=0),"금액이 없습니다",IF(AND($I1471&gt;0,$J1471&gt;0),"수입·지출 둘 다 적혔습니다",IF($C1471="","결제수단을 고르십시오",IF(ISNA(MATCH($C1471,'교육원 ③ 통장·카드'!$A$5:$A$11,0)),"③ 통장·카드에 없는 결제수단입니다",IF($D1471="","계정과목을 고르십시오",IF($E1471="※없는 과목","④ 설정에 없는 과목입니다",IF(AND($E1471="수입",$J1471&gt;0),"수입 과목인데 지출에 적혔습니다",IF(AND(LEFT($E1471,2)&lt;&gt;"수입",$E1471&lt;&gt;"대체",$I1471&gt;0),"지출 과목인데 수입에 적혔습니다",IF($K1471="","증빙을 고르십시오",IF($H1471="","적요를 적으십시오","")))))))))))</f>
        <v/>
      </c>
      <c r="M1471" s="39"/>
      <c r="O1471" s="11" t="str">
        <f aca="false">IF($B1471="","",YEAR($B1471)*100+MONTH($B1471))</f>
        <v/>
      </c>
      <c r="P1471" s="11" t="str">
        <f aca="false">IF($B1471="","",IF($E1471="대체",0,1))</f>
        <v/>
      </c>
    </row>
    <row r="1472" customFormat="false" ht="15" hidden="false" customHeight="false" outlineLevel="0" collapsed="false">
      <c r="A1472" s="36" t="str">
        <f aca="false">IF($B1472="","",COUNT($B$15:$B1472))</f>
        <v/>
      </c>
      <c r="B1472" s="37"/>
      <c r="C1472" s="38"/>
      <c r="D1472" s="20"/>
      <c r="E1472" s="36" t="str">
        <f aca="false">IF($D1472="","",IFERROR(INDEX('교육원 ④ 설정'!$A$6:$A$40,MATCH($D1472,'교육원 ④ 설정'!$B$6:$B$40,0)),"※없는 과목"))</f>
        <v/>
      </c>
      <c r="F1472" s="36" t="str">
        <f aca="false">IF($D1472="","",IFERROR(INDEX('교육원 ④ 설정'!$C$6:$C$40,MATCH($D1472,'교육원 ④ 설정'!$B$6:$B$40,0)),""))</f>
        <v/>
      </c>
      <c r="G1472" s="39"/>
      <c r="H1472" s="39"/>
      <c r="I1472" s="40"/>
      <c r="J1472" s="41"/>
      <c r="K1472" s="38"/>
      <c r="L1472" s="42" t="str">
        <f aca="false">IF($B1472="","",IF(AND(N($I1472)=0,N($J1472)=0),"금액이 없습니다",IF(AND($I1472&gt;0,$J1472&gt;0),"수입·지출 둘 다 적혔습니다",IF($C1472="","결제수단을 고르십시오",IF(ISNA(MATCH($C1472,'교육원 ③ 통장·카드'!$A$5:$A$11,0)),"③ 통장·카드에 없는 결제수단입니다",IF($D1472="","계정과목을 고르십시오",IF($E1472="※없는 과목","④ 설정에 없는 과목입니다",IF(AND($E1472="수입",$J1472&gt;0),"수입 과목인데 지출에 적혔습니다",IF(AND(LEFT($E1472,2)&lt;&gt;"수입",$E1472&lt;&gt;"대체",$I1472&gt;0),"지출 과목인데 수입에 적혔습니다",IF($K1472="","증빙을 고르십시오",IF($H1472="","적요를 적으십시오","")))))))))))</f>
        <v/>
      </c>
      <c r="M1472" s="39"/>
      <c r="O1472" s="11" t="str">
        <f aca="false">IF($B1472="","",YEAR($B1472)*100+MONTH($B1472))</f>
        <v/>
      </c>
      <c r="P1472" s="11" t="str">
        <f aca="false">IF($B1472="","",IF($E1472="대체",0,1))</f>
        <v/>
      </c>
    </row>
    <row r="1473" customFormat="false" ht="15" hidden="false" customHeight="false" outlineLevel="0" collapsed="false">
      <c r="A1473" s="36" t="str">
        <f aca="false">IF($B1473="","",COUNT($B$15:$B1473))</f>
        <v/>
      </c>
      <c r="B1473" s="37"/>
      <c r="C1473" s="38"/>
      <c r="D1473" s="20"/>
      <c r="E1473" s="36" t="str">
        <f aca="false">IF($D1473="","",IFERROR(INDEX('교육원 ④ 설정'!$A$6:$A$40,MATCH($D1473,'교육원 ④ 설정'!$B$6:$B$40,0)),"※없는 과목"))</f>
        <v/>
      </c>
      <c r="F1473" s="36" t="str">
        <f aca="false">IF($D1473="","",IFERROR(INDEX('교육원 ④ 설정'!$C$6:$C$40,MATCH($D1473,'교육원 ④ 설정'!$B$6:$B$40,0)),""))</f>
        <v/>
      </c>
      <c r="G1473" s="39"/>
      <c r="H1473" s="39"/>
      <c r="I1473" s="40"/>
      <c r="J1473" s="41"/>
      <c r="K1473" s="38"/>
      <c r="L1473" s="42" t="str">
        <f aca="false">IF($B1473="","",IF(AND(N($I1473)=0,N($J1473)=0),"금액이 없습니다",IF(AND($I1473&gt;0,$J1473&gt;0),"수입·지출 둘 다 적혔습니다",IF($C1473="","결제수단을 고르십시오",IF(ISNA(MATCH($C1473,'교육원 ③ 통장·카드'!$A$5:$A$11,0)),"③ 통장·카드에 없는 결제수단입니다",IF($D1473="","계정과목을 고르십시오",IF($E1473="※없는 과목","④ 설정에 없는 과목입니다",IF(AND($E1473="수입",$J1473&gt;0),"수입 과목인데 지출에 적혔습니다",IF(AND(LEFT($E1473,2)&lt;&gt;"수입",$E1473&lt;&gt;"대체",$I1473&gt;0),"지출 과목인데 수입에 적혔습니다",IF($K1473="","증빙을 고르십시오",IF($H1473="","적요를 적으십시오","")))))))))))</f>
        <v/>
      </c>
      <c r="M1473" s="39"/>
      <c r="O1473" s="11" t="str">
        <f aca="false">IF($B1473="","",YEAR($B1473)*100+MONTH($B1473))</f>
        <v/>
      </c>
      <c r="P1473" s="11" t="str">
        <f aca="false">IF($B1473="","",IF($E1473="대체",0,1))</f>
        <v/>
      </c>
    </row>
    <row r="1474" customFormat="false" ht="15" hidden="false" customHeight="false" outlineLevel="0" collapsed="false">
      <c r="A1474" s="36" t="str">
        <f aca="false">IF($B1474="","",COUNT($B$15:$B1474))</f>
        <v/>
      </c>
      <c r="B1474" s="37"/>
      <c r="C1474" s="38"/>
      <c r="D1474" s="20"/>
      <c r="E1474" s="36" t="str">
        <f aca="false">IF($D1474="","",IFERROR(INDEX('교육원 ④ 설정'!$A$6:$A$40,MATCH($D1474,'교육원 ④ 설정'!$B$6:$B$40,0)),"※없는 과목"))</f>
        <v/>
      </c>
      <c r="F1474" s="36" t="str">
        <f aca="false">IF($D1474="","",IFERROR(INDEX('교육원 ④ 설정'!$C$6:$C$40,MATCH($D1474,'교육원 ④ 설정'!$B$6:$B$40,0)),""))</f>
        <v/>
      </c>
      <c r="G1474" s="39"/>
      <c r="H1474" s="39"/>
      <c r="I1474" s="40"/>
      <c r="J1474" s="41"/>
      <c r="K1474" s="38"/>
      <c r="L1474" s="42" t="str">
        <f aca="false">IF($B1474="","",IF(AND(N($I1474)=0,N($J1474)=0),"금액이 없습니다",IF(AND($I1474&gt;0,$J1474&gt;0),"수입·지출 둘 다 적혔습니다",IF($C1474="","결제수단을 고르십시오",IF(ISNA(MATCH($C1474,'교육원 ③ 통장·카드'!$A$5:$A$11,0)),"③ 통장·카드에 없는 결제수단입니다",IF($D1474="","계정과목을 고르십시오",IF($E1474="※없는 과목","④ 설정에 없는 과목입니다",IF(AND($E1474="수입",$J1474&gt;0),"수입 과목인데 지출에 적혔습니다",IF(AND(LEFT($E1474,2)&lt;&gt;"수입",$E1474&lt;&gt;"대체",$I1474&gt;0),"지출 과목인데 수입에 적혔습니다",IF($K1474="","증빙을 고르십시오",IF($H1474="","적요를 적으십시오","")))))))))))</f>
        <v/>
      </c>
      <c r="M1474" s="39"/>
      <c r="O1474" s="11" t="str">
        <f aca="false">IF($B1474="","",YEAR($B1474)*100+MONTH($B1474))</f>
        <v/>
      </c>
      <c r="P1474" s="11" t="str">
        <f aca="false">IF($B1474="","",IF($E1474="대체",0,1))</f>
        <v/>
      </c>
    </row>
    <row r="1475" customFormat="false" ht="15" hidden="false" customHeight="false" outlineLevel="0" collapsed="false">
      <c r="A1475" s="36" t="str">
        <f aca="false">IF($B1475="","",COUNT($B$15:$B1475))</f>
        <v/>
      </c>
      <c r="B1475" s="37"/>
      <c r="C1475" s="38"/>
      <c r="D1475" s="20"/>
      <c r="E1475" s="36" t="str">
        <f aca="false">IF($D1475="","",IFERROR(INDEX('교육원 ④ 설정'!$A$6:$A$40,MATCH($D1475,'교육원 ④ 설정'!$B$6:$B$40,0)),"※없는 과목"))</f>
        <v/>
      </c>
      <c r="F1475" s="36" t="str">
        <f aca="false">IF($D1475="","",IFERROR(INDEX('교육원 ④ 설정'!$C$6:$C$40,MATCH($D1475,'교육원 ④ 설정'!$B$6:$B$40,0)),""))</f>
        <v/>
      </c>
      <c r="G1475" s="39"/>
      <c r="H1475" s="39"/>
      <c r="I1475" s="40"/>
      <c r="J1475" s="41"/>
      <c r="K1475" s="38"/>
      <c r="L1475" s="42" t="str">
        <f aca="false">IF($B1475="","",IF(AND(N($I1475)=0,N($J1475)=0),"금액이 없습니다",IF(AND($I1475&gt;0,$J1475&gt;0),"수입·지출 둘 다 적혔습니다",IF($C1475="","결제수단을 고르십시오",IF(ISNA(MATCH($C1475,'교육원 ③ 통장·카드'!$A$5:$A$11,0)),"③ 통장·카드에 없는 결제수단입니다",IF($D1475="","계정과목을 고르십시오",IF($E1475="※없는 과목","④ 설정에 없는 과목입니다",IF(AND($E1475="수입",$J1475&gt;0),"수입 과목인데 지출에 적혔습니다",IF(AND(LEFT($E1475,2)&lt;&gt;"수입",$E1475&lt;&gt;"대체",$I1475&gt;0),"지출 과목인데 수입에 적혔습니다",IF($K1475="","증빙을 고르십시오",IF($H1475="","적요를 적으십시오","")))))))))))</f>
        <v/>
      </c>
      <c r="M1475" s="39"/>
      <c r="O1475" s="11" t="str">
        <f aca="false">IF($B1475="","",YEAR($B1475)*100+MONTH($B1475))</f>
        <v/>
      </c>
      <c r="P1475" s="11" t="str">
        <f aca="false">IF($B1475="","",IF($E1475="대체",0,1))</f>
        <v/>
      </c>
    </row>
    <row r="1476" customFormat="false" ht="15" hidden="false" customHeight="false" outlineLevel="0" collapsed="false">
      <c r="A1476" s="36" t="str">
        <f aca="false">IF($B1476="","",COUNT($B$15:$B1476))</f>
        <v/>
      </c>
      <c r="B1476" s="37"/>
      <c r="C1476" s="38"/>
      <c r="D1476" s="20"/>
      <c r="E1476" s="36" t="str">
        <f aca="false">IF($D1476="","",IFERROR(INDEX('교육원 ④ 설정'!$A$6:$A$40,MATCH($D1476,'교육원 ④ 설정'!$B$6:$B$40,0)),"※없는 과목"))</f>
        <v/>
      </c>
      <c r="F1476" s="36" t="str">
        <f aca="false">IF($D1476="","",IFERROR(INDEX('교육원 ④ 설정'!$C$6:$C$40,MATCH($D1476,'교육원 ④ 설정'!$B$6:$B$40,0)),""))</f>
        <v/>
      </c>
      <c r="G1476" s="39"/>
      <c r="H1476" s="39"/>
      <c r="I1476" s="40"/>
      <c r="J1476" s="41"/>
      <c r="K1476" s="38"/>
      <c r="L1476" s="42" t="str">
        <f aca="false">IF($B1476="","",IF(AND(N($I1476)=0,N($J1476)=0),"금액이 없습니다",IF(AND($I1476&gt;0,$J1476&gt;0),"수입·지출 둘 다 적혔습니다",IF($C1476="","결제수단을 고르십시오",IF(ISNA(MATCH($C1476,'교육원 ③ 통장·카드'!$A$5:$A$11,0)),"③ 통장·카드에 없는 결제수단입니다",IF($D1476="","계정과목을 고르십시오",IF($E1476="※없는 과목","④ 설정에 없는 과목입니다",IF(AND($E1476="수입",$J1476&gt;0),"수입 과목인데 지출에 적혔습니다",IF(AND(LEFT($E1476,2)&lt;&gt;"수입",$E1476&lt;&gt;"대체",$I1476&gt;0),"지출 과목인데 수입에 적혔습니다",IF($K1476="","증빙을 고르십시오",IF($H1476="","적요를 적으십시오","")))))))))))</f>
        <v/>
      </c>
      <c r="M1476" s="39"/>
      <c r="O1476" s="11" t="str">
        <f aca="false">IF($B1476="","",YEAR($B1476)*100+MONTH($B1476))</f>
        <v/>
      </c>
      <c r="P1476" s="11" t="str">
        <f aca="false">IF($B1476="","",IF($E1476="대체",0,1))</f>
        <v/>
      </c>
    </row>
    <row r="1477" customFormat="false" ht="15" hidden="false" customHeight="false" outlineLevel="0" collapsed="false">
      <c r="A1477" s="36" t="str">
        <f aca="false">IF($B1477="","",COUNT($B$15:$B1477))</f>
        <v/>
      </c>
      <c r="B1477" s="37"/>
      <c r="C1477" s="38"/>
      <c r="D1477" s="20"/>
      <c r="E1477" s="36" t="str">
        <f aca="false">IF($D1477="","",IFERROR(INDEX('교육원 ④ 설정'!$A$6:$A$40,MATCH($D1477,'교육원 ④ 설정'!$B$6:$B$40,0)),"※없는 과목"))</f>
        <v/>
      </c>
      <c r="F1477" s="36" t="str">
        <f aca="false">IF($D1477="","",IFERROR(INDEX('교육원 ④ 설정'!$C$6:$C$40,MATCH($D1477,'교육원 ④ 설정'!$B$6:$B$40,0)),""))</f>
        <v/>
      </c>
      <c r="G1477" s="39"/>
      <c r="H1477" s="39"/>
      <c r="I1477" s="40"/>
      <c r="J1477" s="41"/>
      <c r="K1477" s="38"/>
      <c r="L1477" s="42" t="str">
        <f aca="false">IF($B1477="","",IF(AND(N($I1477)=0,N($J1477)=0),"금액이 없습니다",IF(AND($I1477&gt;0,$J1477&gt;0),"수입·지출 둘 다 적혔습니다",IF($C1477="","결제수단을 고르십시오",IF(ISNA(MATCH($C1477,'교육원 ③ 통장·카드'!$A$5:$A$11,0)),"③ 통장·카드에 없는 결제수단입니다",IF($D1477="","계정과목을 고르십시오",IF($E1477="※없는 과목","④ 설정에 없는 과목입니다",IF(AND($E1477="수입",$J1477&gt;0),"수입 과목인데 지출에 적혔습니다",IF(AND(LEFT($E1477,2)&lt;&gt;"수입",$E1477&lt;&gt;"대체",$I1477&gt;0),"지출 과목인데 수입에 적혔습니다",IF($K1477="","증빙을 고르십시오",IF($H1477="","적요를 적으십시오","")))))))))))</f>
        <v/>
      </c>
      <c r="M1477" s="39"/>
      <c r="O1477" s="11" t="str">
        <f aca="false">IF($B1477="","",YEAR($B1477)*100+MONTH($B1477))</f>
        <v/>
      </c>
      <c r="P1477" s="11" t="str">
        <f aca="false">IF($B1477="","",IF($E1477="대체",0,1))</f>
        <v/>
      </c>
    </row>
    <row r="1478" customFormat="false" ht="15" hidden="false" customHeight="false" outlineLevel="0" collapsed="false">
      <c r="A1478" s="36" t="str">
        <f aca="false">IF($B1478="","",COUNT($B$15:$B1478))</f>
        <v/>
      </c>
      <c r="B1478" s="37"/>
      <c r="C1478" s="38"/>
      <c r="D1478" s="20"/>
      <c r="E1478" s="36" t="str">
        <f aca="false">IF($D1478="","",IFERROR(INDEX('교육원 ④ 설정'!$A$6:$A$40,MATCH($D1478,'교육원 ④ 설정'!$B$6:$B$40,0)),"※없는 과목"))</f>
        <v/>
      </c>
      <c r="F1478" s="36" t="str">
        <f aca="false">IF($D1478="","",IFERROR(INDEX('교육원 ④ 설정'!$C$6:$C$40,MATCH($D1478,'교육원 ④ 설정'!$B$6:$B$40,0)),""))</f>
        <v/>
      </c>
      <c r="G1478" s="39"/>
      <c r="H1478" s="39"/>
      <c r="I1478" s="40"/>
      <c r="J1478" s="41"/>
      <c r="K1478" s="38"/>
      <c r="L1478" s="42" t="str">
        <f aca="false">IF($B1478="","",IF(AND(N($I1478)=0,N($J1478)=0),"금액이 없습니다",IF(AND($I1478&gt;0,$J1478&gt;0),"수입·지출 둘 다 적혔습니다",IF($C1478="","결제수단을 고르십시오",IF(ISNA(MATCH($C1478,'교육원 ③ 통장·카드'!$A$5:$A$11,0)),"③ 통장·카드에 없는 결제수단입니다",IF($D1478="","계정과목을 고르십시오",IF($E1478="※없는 과목","④ 설정에 없는 과목입니다",IF(AND($E1478="수입",$J1478&gt;0),"수입 과목인데 지출에 적혔습니다",IF(AND(LEFT($E1478,2)&lt;&gt;"수입",$E1478&lt;&gt;"대체",$I1478&gt;0),"지출 과목인데 수입에 적혔습니다",IF($K1478="","증빙을 고르십시오",IF($H1478="","적요를 적으십시오","")))))))))))</f>
        <v/>
      </c>
      <c r="M1478" s="39"/>
      <c r="O1478" s="11" t="str">
        <f aca="false">IF($B1478="","",YEAR($B1478)*100+MONTH($B1478))</f>
        <v/>
      </c>
      <c r="P1478" s="11" t="str">
        <f aca="false">IF($B1478="","",IF($E1478="대체",0,1))</f>
        <v/>
      </c>
    </row>
    <row r="1479" customFormat="false" ht="15" hidden="false" customHeight="false" outlineLevel="0" collapsed="false">
      <c r="A1479" s="36" t="str">
        <f aca="false">IF($B1479="","",COUNT($B$15:$B1479))</f>
        <v/>
      </c>
      <c r="B1479" s="37"/>
      <c r="C1479" s="38"/>
      <c r="D1479" s="20"/>
      <c r="E1479" s="36" t="str">
        <f aca="false">IF($D1479="","",IFERROR(INDEX('교육원 ④ 설정'!$A$6:$A$40,MATCH($D1479,'교육원 ④ 설정'!$B$6:$B$40,0)),"※없는 과목"))</f>
        <v/>
      </c>
      <c r="F1479" s="36" t="str">
        <f aca="false">IF($D1479="","",IFERROR(INDEX('교육원 ④ 설정'!$C$6:$C$40,MATCH($D1479,'교육원 ④ 설정'!$B$6:$B$40,0)),""))</f>
        <v/>
      </c>
      <c r="G1479" s="39"/>
      <c r="H1479" s="39"/>
      <c r="I1479" s="40"/>
      <c r="J1479" s="41"/>
      <c r="K1479" s="38"/>
      <c r="L1479" s="42" t="str">
        <f aca="false">IF($B1479="","",IF(AND(N($I1479)=0,N($J1479)=0),"금액이 없습니다",IF(AND($I1479&gt;0,$J1479&gt;0),"수입·지출 둘 다 적혔습니다",IF($C1479="","결제수단을 고르십시오",IF(ISNA(MATCH($C1479,'교육원 ③ 통장·카드'!$A$5:$A$11,0)),"③ 통장·카드에 없는 결제수단입니다",IF($D1479="","계정과목을 고르십시오",IF($E1479="※없는 과목","④ 설정에 없는 과목입니다",IF(AND($E1479="수입",$J1479&gt;0),"수입 과목인데 지출에 적혔습니다",IF(AND(LEFT($E1479,2)&lt;&gt;"수입",$E1479&lt;&gt;"대체",$I1479&gt;0),"지출 과목인데 수입에 적혔습니다",IF($K1479="","증빙을 고르십시오",IF($H1479="","적요를 적으십시오","")))))))))))</f>
        <v/>
      </c>
      <c r="M1479" s="39"/>
      <c r="O1479" s="11" t="str">
        <f aca="false">IF($B1479="","",YEAR($B1479)*100+MONTH($B1479))</f>
        <v/>
      </c>
      <c r="P1479" s="11" t="str">
        <f aca="false">IF($B1479="","",IF($E1479="대체",0,1))</f>
        <v/>
      </c>
    </row>
    <row r="1480" customFormat="false" ht="15" hidden="false" customHeight="false" outlineLevel="0" collapsed="false">
      <c r="A1480" s="36" t="str">
        <f aca="false">IF($B1480="","",COUNT($B$15:$B1480))</f>
        <v/>
      </c>
      <c r="B1480" s="37"/>
      <c r="C1480" s="38"/>
      <c r="D1480" s="20"/>
      <c r="E1480" s="36" t="str">
        <f aca="false">IF($D1480="","",IFERROR(INDEX('교육원 ④ 설정'!$A$6:$A$40,MATCH($D1480,'교육원 ④ 설정'!$B$6:$B$40,0)),"※없는 과목"))</f>
        <v/>
      </c>
      <c r="F1480" s="36" t="str">
        <f aca="false">IF($D1480="","",IFERROR(INDEX('교육원 ④ 설정'!$C$6:$C$40,MATCH($D1480,'교육원 ④ 설정'!$B$6:$B$40,0)),""))</f>
        <v/>
      </c>
      <c r="G1480" s="39"/>
      <c r="H1480" s="39"/>
      <c r="I1480" s="40"/>
      <c r="J1480" s="41"/>
      <c r="K1480" s="38"/>
      <c r="L1480" s="42" t="str">
        <f aca="false">IF($B1480="","",IF(AND(N($I1480)=0,N($J1480)=0),"금액이 없습니다",IF(AND($I1480&gt;0,$J1480&gt;0),"수입·지출 둘 다 적혔습니다",IF($C1480="","결제수단을 고르십시오",IF(ISNA(MATCH($C1480,'교육원 ③ 통장·카드'!$A$5:$A$11,0)),"③ 통장·카드에 없는 결제수단입니다",IF($D1480="","계정과목을 고르십시오",IF($E1480="※없는 과목","④ 설정에 없는 과목입니다",IF(AND($E1480="수입",$J1480&gt;0),"수입 과목인데 지출에 적혔습니다",IF(AND(LEFT($E1480,2)&lt;&gt;"수입",$E1480&lt;&gt;"대체",$I1480&gt;0),"지출 과목인데 수입에 적혔습니다",IF($K1480="","증빙을 고르십시오",IF($H1480="","적요를 적으십시오","")))))))))))</f>
        <v/>
      </c>
      <c r="M1480" s="39"/>
      <c r="O1480" s="11" t="str">
        <f aca="false">IF($B1480="","",YEAR($B1480)*100+MONTH($B1480))</f>
        <v/>
      </c>
      <c r="P1480" s="11" t="str">
        <f aca="false">IF($B1480="","",IF($E1480="대체",0,1))</f>
        <v/>
      </c>
    </row>
    <row r="1481" customFormat="false" ht="15" hidden="false" customHeight="false" outlineLevel="0" collapsed="false">
      <c r="A1481" s="36" t="str">
        <f aca="false">IF($B1481="","",COUNT($B$15:$B1481))</f>
        <v/>
      </c>
      <c r="B1481" s="37"/>
      <c r="C1481" s="38"/>
      <c r="D1481" s="20"/>
      <c r="E1481" s="36" t="str">
        <f aca="false">IF($D1481="","",IFERROR(INDEX('교육원 ④ 설정'!$A$6:$A$40,MATCH($D1481,'교육원 ④ 설정'!$B$6:$B$40,0)),"※없는 과목"))</f>
        <v/>
      </c>
      <c r="F1481" s="36" t="str">
        <f aca="false">IF($D1481="","",IFERROR(INDEX('교육원 ④ 설정'!$C$6:$C$40,MATCH($D1481,'교육원 ④ 설정'!$B$6:$B$40,0)),""))</f>
        <v/>
      </c>
      <c r="G1481" s="39"/>
      <c r="H1481" s="39"/>
      <c r="I1481" s="40"/>
      <c r="J1481" s="41"/>
      <c r="K1481" s="38"/>
      <c r="L1481" s="42" t="str">
        <f aca="false">IF($B1481="","",IF(AND(N($I1481)=0,N($J1481)=0),"금액이 없습니다",IF(AND($I1481&gt;0,$J1481&gt;0),"수입·지출 둘 다 적혔습니다",IF($C1481="","결제수단을 고르십시오",IF(ISNA(MATCH($C1481,'교육원 ③ 통장·카드'!$A$5:$A$11,0)),"③ 통장·카드에 없는 결제수단입니다",IF($D1481="","계정과목을 고르십시오",IF($E1481="※없는 과목","④ 설정에 없는 과목입니다",IF(AND($E1481="수입",$J1481&gt;0),"수입 과목인데 지출에 적혔습니다",IF(AND(LEFT($E1481,2)&lt;&gt;"수입",$E1481&lt;&gt;"대체",$I1481&gt;0),"지출 과목인데 수입에 적혔습니다",IF($K1481="","증빙을 고르십시오",IF($H1481="","적요를 적으십시오","")))))))))))</f>
        <v/>
      </c>
      <c r="M1481" s="39"/>
      <c r="O1481" s="11" t="str">
        <f aca="false">IF($B1481="","",YEAR($B1481)*100+MONTH($B1481))</f>
        <v/>
      </c>
      <c r="P1481" s="11" t="str">
        <f aca="false">IF($B1481="","",IF($E1481="대체",0,1))</f>
        <v/>
      </c>
    </row>
    <row r="1482" customFormat="false" ht="15" hidden="false" customHeight="false" outlineLevel="0" collapsed="false">
      <c r="A1482" s="36" t="str">
        <f aca="false">IF($B1482="","",COUNT($B$15:$B1482))</f>
        <v/>
      </c>
      <c r="B1482" s="37"/>
      <c r="C1482" s="38"/>
      <c r="D1482" s="20"/>
      <c r="E1482" s="36" t="str">
        <f aca="false">IF($D1482="","",IFERROR(INDEX('교육원 ④ 설정'!$A$6:$A$40,MATCH($D1482,'교육원 ④ 설정'!$B$6:$B$40,0)),"※없는 과목"))</f>
        <v/>
      </c>
      <c r="F1482" s="36" t="str">
        <f aca="false">IF($D1482="","",IFERROR(INDEX('교육원 ④ 설정'!$C$6:$C$40,MATCH($D1482,'교육원 ④ 설정'!$B$6:$B$40,0)),""))</f>
        <v/>
      </c>
      <c r="G1482" s="39"/>
      <c r="H1482" s="39"/>
      <c r="I1482" s="40"/>
      <c r="J1482" s="41"/>
      <c r="K1482" s="38"/>
      <c r="L1482" s="42" t="str">
        <f aca="false">IF($B1482="","",IF(AND(N($I1482)=0,N($J1482)=0),"금액이 없습니다",IF(AND($I1482&gt;0,$J1482&gt;0),"수입·지출 둘 다 적혔습니다",IF($C1482="","결제수단을 고르십시오",IF(ISNA(MATCH($C1482,'교육원 ③ 통장·카드'!$A$5:$A$11,0)),"③ 통장·카드에 없는 결제수단입니다",IF($D1482="","계정과목을 고르십시오",IF($E1482="※없는 과목","④ 설정에 없는 과목입니다",IF(AND($E1482="수입",$J1482&gt;0),"수입 과목인데 지출에 적혔습니다",IF(AND(LEFT($E1482,2)&lt;&gt;"수입",$E1482&lt;&gt;"대체",$I1482&gt;0),"지출 과목인데 수입에 적혔습니다",IF($K1482="","증빙을 고르십시오",IF($H1482="","적요를 적으십시오","")))))))))))</f>
        <v/>
      </c>
      <c r="M1482" s="39"/>
      <c r="O1482" s="11" t="str">
        <f aca="false">IF($B1482="","",YEAR($B1482)*100+MONTH($B1482))</f>
        <v/>
      </c>
      <c r="P1482" s="11" t="str">
        <f aca="false">IF($B1482="","",IF($E1482="대체",0,1))</f>
        <v/>
      </c>
    </row>
    <row r="1483" customFormat="false" ht="15" hidden="false" customHeight="false" outlineLevel="0" collapsed="false">
      <c r="A1483" s="36" t="str">
        <f aca="false">IF($B1483="","",COUNT($B$15:$B1483))</f>
        <v/>
      </c>
      <c r="B1483" s="37"/>
      <c r="C1483" s="38"/>
      <c r="D1483" s="20"/>
      <c r="E1483" s="36" t="str">
        <f aca="false">IF($D1483="","",IFERROR(INDEX('교육원 ④ 설정'!$A$6:$A$40,MATCH($D1483,'교육원 ④ 설정'!$B$6:$B$40,0)),"※없는 과목"))</f>
        <v/>
      </c>
      <c r="F1483" s="36" t="str">
        <f aca="false">IF($D1483="","",IFERROR(INDEX('교육원 ④ 설정'!$C$6:$C$40,MATCH($D1483,'교육원 ④ 설정'!$B$6:$B$40,0)),""))</f>
        <v/>
      </c>
      <c r="G1483" s="39"/>
      <c r="H1483" s="39"/>
      <c r="I1483" s="40"/>
      <c r="J1483" s="41"/>
      <c r="K1483" s="38"/>
      <c r="L1483" s="42" t="str">
        <f aca="false">IF($B1483="","",IF(AND(N($I1483)=0,N($J1483)=0),"금액이 없습니다",IF(AND($I1483&gt;0,$J1483&gt;0),"수입·지출 둘 다 적혔습니다",IF($C1483="","결제수단을 고르십시오",IF(ISNA(MATCH($C1483,'교육원 ③ 통장·카드'!$A$5:$A$11,0)),"③ 통장·카드에 없는 결제수단입니다",IF($D1483="","계정과목을 고르십시오",IF($E1483="※없는 과목","④ 설정에 없는 과목입니다",IF(AND($E1483="수입",$J1483&gt;0),"수입 과목인데 지출에 적혔습니다",IF(AND(LEFT($E1483,2)&lt;&gt;"수입",$E1483&lt;&gt;"대체",$I1483&gt;0),"지출 과목인데 수입에 적혔습니다",IF($K1483="","증빙을 고르십시오",IF($H1483="","적요를 적으십시오","")))))))))))</f>
        <v/>
      </c>
      <c r="M1483" s="39"/>
      <c r="O1483" s="11" t="str">
        <f aca="false">IF($B1483="","",YEAR($B1483)*100+MONTH($B1483))</f>
        <v/>
      </c>
      <c r="P1483" s="11" t="str">
        <f aca="false">IF($B1483="","",IF($E1483="대체",0,1))</f>
        <v/>
      </c>
    </row>
    <row r="1484" customFormat="false" ht="15" hidden="false" customHeight="false" outlineLevel="0" collapsed="false">
      <c r="A1484" s="36" t="str">
        <f aca="false">IF($B1484="","",COUNT($B$15:$B1484))</f>
        <v/>
      </c>
      <c r="B1484" s="37"/>
      <c r="C1484" s="38"/>
      <c r="D1484" s="20"/>
      <c r="E1484" s="36" t="str">
        <f aca="false">IF($D1484="","",IFERROR(INDEX('교육원 ④ 설정'!$A$6:$A$40,MATCH($D1484,'교육원 ④ 설정'!$B$6:$B$40,0)),"※없는 과목"))</f>
        <v/>
      </c>
      <c r="F1484" s="36" t="str">
        <f aca="false">IF($D1484="","",IFERROR(INDEX('교육원 ④ 설정'!$C$6:$C$40,MATCH($D1484,'교육원 ④ 설정'!$B$6:$B$40,0)),""))</f>
        <v/>
      </c>
      <c r="G1484" s="39"/>
      <c r="H1484" s="39"/>
      <c r="I1484" s="40"/>
      <c r="J1484" s="41"/>
      <c r="K1484" s="38"/>
      <c r="L1484" s="42" t="str">
        <f aca="false">IF($B1484="","",IF(AND(N($I1484)=0,N($J1484)=0),"금액이 없습니다",IF(AND($I1484&gt;0,$J1484&gt;0),"수입·지출 둘 다 적혔습니다",IF($C1484="","결제수단을 고르십시오",IF(ISNA(MATCH($C1484,'교육원 ③ 통장·카드'!$A$5:$A$11,0)),"③ 통장·카드에 없는 결제수단입니다",IF($D1484="","계정과목을 고르십시오",IF($E1484="※없는 과목","④ 설정에 없는 과목입니다",IF(AND($E1484="수입",$J1484&gt;0),"수입 과목인데 지출에 적혔습니다",IF(AND(LEFT($E1484,2)&lt;&gt;"수입",$E1484&lt;&gt;"대체",$I1484&gt;0),"지출 과목인데 수입에 적혔습니다",IF($K1484="","증빙을 고르십시오",IF($H1484="","적요를 적으십시오","")))))))))))</f>
        <v/>
      </c>
      <c r="M1484" s="39"/>
      <c r="O1484" s="11" t="str">
        <f aca="false">IF($B1484="","",YEAR($B1484)*100+MONTH($B1484))</f>
        <v/>
      </c>
      <c r="P1484" s="11" t="str">
        <f aca="false">IF($B1484="","",IF($E1484="대체",0,1))</f>
        <v/>
      </c>
    </row>
    <row r="1485" customFormat="false" ht="15" hidden="false" customHeight="false" outlineLevel="0" collapsed="false">
      <c r="A1485" s="36" t="str">
        <f aca="false">IF($B1485="","",COUNT($B$15:$B1485))</f>
        <v/>
      </c>
      <c r="B1485" s="37"/>
      <c r="C1485" s="38"/>
      <c r="D1485" s="20"/>
      <c r="E1485" s="36" t="str">
        <f aca="false">IF($D1485="","",IFERROR(INDEX('교육원 ④ 설정'!$A$6:$A$40,MATCH($D1485,'교육원 ④ 설정'!$B$6:$B$40,0)),"※없는 과목"))</f>
        <v/>
      </c>
      <c r="F1485" s="36" t="str">
        <f aca="false">IF($D1485="","",IFERROR(INDEX('교육원 ④ 설정'!$C$6:$C$40,MATCH($D1485,'교육원 ④ 설정'!$B$6:$B$40,0)),""))</f>
        <v/>
      </c>
      <c r="G1485" s="39"/>
      <c r="H1485" s="39"/>
      <c r="I1485" s="40"/>
      <c r="J1485" s="41"/>
      <c r="K1485" s="38"/>
      <c r="L1485" s="42" t="str">
        <f aca="false">IF($B1485="","",IF(AND(N($I1485)=0,N($J1485)=0),"금액이 없습니다",IF(AND($I1485&gt;0,$J1485&gt;0),"수입·지출 둘 다 적혔습니다",IF($C1485="","결제수단을 고르십시오",IF(ISNA(MATCH($C1485,'교육원 ③ 통장·카드'!$A$5:$A$11,0)),"③ 통장·카드에 없는 결제수단입니다",IF($D1485="","계정과목을 고르십시오",IF($E1485="※없는 과목","④ 설정에 없는 과목입니다",IF(AND($E1485="수입",$J1485&gt;0),"수입 과목인데 지출에 적혔습니다",IF(AND(LEFT($E1485,2)&lt;&gt;"수입",$E1485&lt;&gt;"대체",$I1485&gt;0),"지출 과목인데 수입에 적혔습니다",IF($K1485="","증빙을 고르십시오",IF($H1485="","적요를 적으십시오","")))))))))))</f>
        <v/>
      </c>
      <c r="M1485" s="39"/>
      <c r="O1485" s="11" t="str">
        <f aca="false">IF($B1485="","",YEAR($B1485)*100+MONTH($B1485))</f>
        <v/>
      </c>
      <c r="P1485" s="11" t="str">
        <f aca="false">IF($B1485="","",IF($E1485="대체",0,1))</f>
        <v/>
      </c>
    </row>
    <row r="1486" customFormat="false" ht="15" hidden="false" customHeight="false" outlineLevel="0" collapsed="false">
      <c r="A1486" s="36" t="str">
        <f aca="false">IF($B1486="","",COUNT($B$15:$B1486))</f>
        <v/>
      </c>
      <c r="B1486" s="37"/>
      <c r="C1486" s="38"/>
      <c r="D1486" s="20"/>
      <c r="E1486" s="36" t="str">
        <f aca="false">IF($D1486="","",IFERROR(INDEX('교육원 ④ 설정'!$A$6:$A$40,MATCH($D1486,'교육원 ④ 설정'!$B$6:$B$40,0)),"※없는 과목"))</f>
        <v/>
      </c>
      <c r="F1486" s="36" t="str">
        <f aca="false">IF($D1486="","",IFERROR(INDEX('교육원 ④ 설정'!$C$6:$C$40,MATCH($D1486,'교육원 ④ 설정'!$B$6:$B$40,0)),""))</f>
        <v/>
      </c>
      <c r="G1486" s="39"/>
      <c r="H1486" s="39"/>
      <c r="I1486" s="40"/>
      <c r="J1486" s="41"/>
      <c r="K1486" s="38"/>
      <c r="L1486" s="42" t="str">
        <f aca="false">IF($B1486="","",IF(AND(N($I1486)=0,N($J1486)=0),"금액이 없습니다",IF(AND($I1486&gt;0,$J1486&gt;0),"수입·지출 둘 다 적혔습니다",IF($C1486="","결제수단을 고르십시오",IF(ISNA(MATCH($C1486,'교육원 ③ 통장·카드'!$A$5:$A$11,0)),"③ 통장·카드에 없는 결제수단입니다",IF($D1486="","계정과목을 고르십시오",IF($E1486="※없는 과목","④ 설정에 없는 과목입니다",IF(AND($E1486="수입",$J1486&gt;0),"수입 과목인데 지출에 적혔습니다",IF(AND(LEFT($E1486,2)&lt;&gt;"수입",$E1486&lt;&gt;"대체",$I1486&gt;0),"지출 과목인데 수입에 적혔습니다",IF($K1486="","증빙을 고르십시오",IF($H1486="","적요를 적으십시오","")))))))))))</f>
        <v/>
      </c>
      <c r="M1486" s="39"/>
      <c r="O1486" s="11" t="str">
        <f aca="false">IF($B1486="","",YEAR($B1486)*100+MONTH($B1486))</f>
        <v/>
      </c>
      <c r="P1486" s="11" t="str">
        <f aca="false">IF($B1486="","",IF($E1486="대체",0,1))</f>
        <v/>
      </c>
    </row>
    <row r="1487" customFormat="false" ht="15" hidden="false" customHeight="false" outlineLevel="0" collapsed="false">
      <c r="A1487" s="36" t="str">
        <f aca="false">IF($B1487="","",COUNT($B$15:$B1487))</f>
        <v/>
      </c>
      <c r="B1487" s="37"/>
      <c r="C1487" s="38"/>
      <c r="D1487" s="20"/>
      <c r="E1487" s="36" t="str">
        <f aca="false">IF($D1487="","",IFERROR(INDEX('교육원 ④ 설정'!$A$6:$A$40,MATCH($D1487,'교육원 ④ 설정'!$B$6:$B$40,0)),"※없는 과목"))</f>
        <v/>
      </c>
      <c r="F1487" s="36" t="str">
        <f aca="false">IF($D1487="","",IFERROR(INDEX('교육원 ④ 설정'!$C$6:$C$40,MATCH($D1487,'교육원 ④ 설정'!$B$6:$B$40,0)),""))</f>
        <v/>
      </c>
      <c r="G1487" s="39"/>
      <c r="H1487" s="39"/>
      <c r="I1487" s="40"/>
      <c r="J1487" s="41"/>
      <c r="K1487" s="38"/>
      <c r="L1487" s="42" t="str">
        <f aca="false">IF($B1487="","",IF(AND(N($I1487)=0,N($J1487)=0),"금액이 없습니다",IF(AND($I1487&gt;0,$J1487&gt;0),"수입·지출 둘 다 적혔습니다",IF($C1487="","결제수단을 고르십시오",IF(ISNA(MATCH($C1487,'교육원 ③ 통장·카드'!$A$5:$A$11,0)),"③ 통장·카드에 없는 결제수단입니다",IF($D1487="","계정과목을 고르십시오",IF($E1487="※없는 과목","④ 설정에 없는 과목입니다",IF(AND($E1487="수입",$J1487&gt;0),"수입 과목인데 지출에 적혔습니다",IF(AND(LEFT($E1487,2)&lt;&gt;"수입",$E1487&lt;&gt;"대체",$I1487&gt;0),"지출 과목인데 수입에 적혔습니다",IF($K1487="","증빙을 고르십시오",IF($H1487="","적요를 적으십시오","")))))))))))</f>
        <v/>
      </c>
      <c r="M1487" s="39"/>
      <c r="O1487" s="11" t="str">
        <f aca="false">IF($B1487="","",YEAR($B1487)*100+MONTH($B1487))</f>
        <v/>
      </c>
      <c r="P1487" s="11" t="str">
        <f aca="false">IF($B1487="","",IF($E1487="대체",0,1))</f>
        <v/>
      </c>
    </row>
    <row r="1488" customFormat="false" ht="15" hidden="false" customHeight="false" outlineLevel="0" collapsed="false">
      <c r="A1488" s="36" t="str">
        <f aca="false">IF($B1488="","",COUNT($B$15:$B1488))</f>
        <v/>
      </c>
      <c r="B1488" s="37"/>
      <c r="C1488" s="38"/>
      <c r="D1488" s="20"/>
      <c r="E1488" s="36" t="str">
        <f aca="false">IF($D1488="","",IFERROR(INDEX('교육원 ④ 설정'!$A$6:$A$40,MATCH($D1488,'교육원 ④ 설정'!$B$6:$B$40,0)),"※없는 과목"))</f>
        <v/>
      </c>
      <c r="F1488" s="36" t="str">
        <f aca="false">IF($D1488="","",IFERROR(INDEX('교육원 ④ 설정'!$C$6:$C$40,MATCH($D1488,'교육원 ④ 설정'!$B$6:$B$40,0)),""))</f>
        <v/>
      </c>
      <c r="G1488" s="39"/>
      <c r="H1488" s="39"/>
      <c r="I1488" s="40"/>
      <c r="J1488" s="41"/>
      <c r="K1488" s="38"/>
      <c r="L1488" s="42" t="str">
        <f aca="false">IF($B1488="","",IF(AND(N($I1488)=0,N($J1488)=0),"금액이 없습니다",IF(AND($I1488&gt;0,$J1488&gt;0),"수입·지출 둘 다 적혔습니다",IF($C1488="","결제수단을 고르십시오",IF(ISNA(MATCH($C1488,'교육원 ③ 통장·카드'!$A$5:$A$11,0)),"③ 통장·카드에 없는 결제수단입니다",IF($D1488="","계정과목을 고르십시오",IF($E1488="※없는 과목","④ 설정에 없는 과목입니다",IF(AND($E1488="수입",$J1488&gt;0),"수입 과목인데 지출에 적혔습니다",IF(AND(LEFT($E1488,2)&lt;&gt;"수입",$E1488&lt;&gt;"대체",$I1488&gt;0),"지출 과목인데 수입에 적혔습니다",IF($K1488="","증빙을 고르십시오",IF($H1488="","적요를 적으십시오","")))))))))))</f>
        <v/>
      </c>
      <c r="M1488" s="39"/>
      <c r="O1488" s="11" t="str">
        <f aca="false">IF($B1488="","",YEAR($B1488)*100+MONTH($B1488))</f>
        <v/>
      </c>
      <c r="P1488" s="11" t="str">
        <f aca="false">IF($B1488="","",IF($E1488="대체",0,1))</f>
        <v/>
      </c>
    </row>
    <row r="1489" customFormat="false" ht="15" hidden="false" customHeight="false" outlineLevel="0" collapsed="false">
      <c r="A1489" s="36" t="str">
        <f aca="false">IF($B1489="","",COUNT($B$15:$B1489))</f>
        <v/>
      </c>
      <c r="B1489" s="37"/>
      <c r="C1489" s="38"/>
      <c r="D1489" s="20"/>
      <c r="E1489" s="36" t="str">
        <f aca="false">IF($D1489="","",IFERROR(INDEX('교육원 ④ 설정'!$A$6:$A$40,MATCH($D1489,'교육원 ④ 설정'!$B$6:$B$40,0)),"※없는 과목"))</f>
        <v/>
      </c>
      <c r="F1489" s="36" t="str">
        <f aca="false">IF($D1489="","",IFERROR(INDEX('교육원 ④ 설정'!$C$6:$C$40,MATCH($D1489,'교육원 ④ 설정'!$B$6:$B$40,0)),""))</f>
        <v/>
      </c>
      <c r="G1489" s="39"/>
      <c r="H1489" s="39"/>
      <c r="I1489" s="40"/>
      <c r="J1489" s="41"/>
      <c r="K1489" s="38"/>
      <c r="L1489" s="42" t="str">
        <f aca="false">IF($B1489="","",IF(AND(N($I1489)=0,N($J1489)=0),"금액이 없습니다",IF(AND($I1489&gt;0,$J1489&gt;0),"수입·지출 둘 다 적혔습니다",IF($C1489="","결제수단을 고르십시오",IF(ISNA(MATCH($C1489,'교육원 ③ 통장·카드'!$A$5:$A$11,0)),"③ 통장·카드에 없는 결제수단입니다",IF($D1489="","계정과목을 고르십시오",IF($E1489="※없는 과목","④ 설정에 없는 과목입니다",IF(AND($E1489="수입",$J1489&gt;0),"수입 과목인데 지출에 적혔습니다",IF(AND(LEFT($E1489,2)&lt;&gt;"수입",$E1489&lt;&gt;"대체",$I1489&gt;0),"지출 과목인데 수입에 적혔습니다",IF($K1489="","증빙을 고르십시오",IF($H1489="","적요를 적으십시오","")))))))))))</f>
        <v/>
      </c>
      <c r="M1489" s="39"/>
      <c r="O1489" s="11" t="str">
        <f aca="false">IF($B1489="","",YEAR($B1489)*100+MONTH($B1489))</f>
        <v/>
      </c>
      <c r="P1489" s="11" t="str">
        <f aca="false">IF($B1489="","",IF($E1489="대체",0,1))</f>
        <v/>
      </c>
    </row>
    <row r="1490" customFormat="false" ht="15" hidden="false" customHeight="false" outlineLevel="0" collapsed="false">
      <c r="A1490" s="36" t="str">
        <f aca="false">IF($B1490="","",COUNT($B$15:$B1490))</f>
        <v/>
      </c>
      <c r="B1490" s="37"/>
      <c r="C1490" s="38"/>
      <c r="D1490" s="20"/>
      <c r="E1490" s="36" t="str">
        <f aca="false">IF($D1490="","",IFERROR(INDEX('교육원 ④ 설정'!$A$6:$A$40,MATCH($D1490,'교육원 ④ 설정'!$B$6:$B$40,0)),"※없는 과목"))</f>
        <v/>
      </c>
      <c r="F1490" s="36" t="str">
        <f aca="false">IF($D1490="","",IFERROR(INDEX('교육원 ④ 설정'!$C$6:$C$40,MATCH($D1490,'교육원 ④ 설정'!$B$6:$B$40,0)),""))</f>
        <v/>
      </c>
      <c r="G1490" s="39"/>
      <c r="H1490" s="39"/>
      <c r="I1490" s="40"/>
      <c r="J1490" s="41"/>
      <c r="K1490" s="38"/>
      <c r="L1490" s="42" t="str">
        <f aca="false">IF($B1490="","",IF(AND(N($I1490)=0,N($J1490)=0),"금액이 없습니다",IF(AND($I1490&gt;0,$J1490&gt;0),"수입·지출 둘 다 적혔습니다",IF($C1490="","결제수단을 고르십시오",IF(ISNA(MATCH($C1490,'교육원 ③ 통장·카드'!$A$5:$A$11,0)),"③ 통장·카드에 없는 결제수단입니다",IF($D1490="","계정과목을 고르십시오",IF($E1490="※없는 과목","④ 설정에 없는 과목입니다",IF(AND($E1490="수입",$J1490&gt;0),"수입 과목인데 지출에 적혔습니다",IF(AND(LEFT($E1490,2)&lt;&gt;"수입",$E1490&lt;&gt;"대체",$I1490&gt;0),"지출 과목인데 수입에 적혔습니다",IF($K1490="","증빙을 고르십시오",IF($H1490="","적요를 적으십시오","")))))))))))</f>
        <v/>
      </c>
      <c r="M1490" s="39"/>
      <c r="O1490" s="11" t="str">
        <f aca="false">IF($B1490="","",YEAR($B1490)*100+MONTH($B1490))</f>
        <v/>
      </c>
      <c r="P1490" s="11" t="str">
        <f aca="false">IF($B1490="","",IF($E1490="대체",0,1))</f>
        <v/>
      </c>
    </row>
    <row r="1491" customFormat="false" ht="15" hidden="false" customHeight="false" outlineLevel="0" collapsed="false">
      <c r="A1491" s="36" t="str">
        <f aca="false">IF($B1491="","",COUNT($B$15:$B1491))</f>
        <v/>
      </c>
      <c r="B1491" s="37"/>
      <c r="C1491" s="38"/>
      <c r="D1491" s="20"/>
      <c r="E1491" s="36" t="str">
        <f aca="false">IF($D1491="","",IFERROR(INDEX('교육원 ④ 설정'!$A$6:$A$40,MATCH($D1491,'교육원 ④ 설정'!$B$6:$B$40,0)),"※없는 과목"))</f>
        <v/>
      </c>
      <c r="F1491" s="36" t="str">
        <f aca="false">IF($D1491="","",IFERROR(INDEX('교육원 ④ 설정'!$C$6:$C$40,MATCH($D1491,'교육원 ④ 설정'!$B$6:$B$40,0)),""))</f>
        <v/>
      </c>
      <c r="G1491" s="39"/>
      <c r="H1491" s="39"/>
      <c r="I1491" s="40"/>
      <c r="J1491" s="41"/>
      <c r="K1491" s="38"/>
      <c r="L1491" s="42" t="str">
        <f aca="false">IF($B1491="","",IF(AND(N($I1491)=0,N($J1491)=0),"금액이 없습니다",IF(AND($I1491&gt;0,$J1491&gt;0),"수입·지출 둘 다 적혔습니다",IF($C1491="","결제수단을 고르십시오",IF(ISNA(MATCH($C1491,'교육원 ③ 통장·카드'!$A$5:$A$11,0)),"③ 통장·카드에 없는 결제수단입니다",IF($D1491="","계정과목을 고르십시오",IF($E1491="※없는 과목","④ 설정에 없는 과목입니다",IF(AND($E1491="수입",$J1491&gt;0),"수입 과목인데 지출에 적혔습니다",IF(AND(LEFT($E1491,2)&lt;&gt;"수입",$E1491&lt;&gt;"대체",$I1491&gt;0),"지출 과목인데 수입에 적혔습니다",IF($K1491="","증빙을 고르십시오",IF($H1491="","적요를 적으십시오","")))))))))))</f>
        <v/>
      </c>
      <c r="M1491" s="39"/>
      <c r="O1491" s="11" t="str">
        <f aca="false">IF($B1491="","",YEAR($B1491)*100+MONTH($B1491))</f>
        <v/>
      </c>
      <c r="P1491" s="11" t="str">
        <f aca="false">IF($B1491="","",IF($E1491="대체",0,1))</f>
        <v/>
      </c>
    </row>
    <row r="1492" customFormat="false" ht="15" hidden="false" customHeight="false" outlineLevel="0" collapsed="false">
      <c r="A1492" s="36" t="str">
        <f aca="false">IF($B1492="","",COUNT($B$15:$B1492))</f>
        <v/>
      </c>
      <c r="B1492" s="37"/>
      <c r="C1492" s="38"/>
      <c r="D1492" s="20"/>
      <c r="E1492" s="36" t="str">
        <f aca="false">IF($D1492="","",IFERROR(INDEX('교육원 ④ 설정'!$A$6:$A$40,MATCH($D1492,'교육원 ④ 설정'!$B$6:$B$40,0)),"※없는 과목"))</f>
        <v/>
      </c>
      <c r="F1492" s="36" t="str">
        <f aca="false">IF($D1492="","",IFERROR(INDEX('교육원 ④ 설정'!$C$6:$C$40,MATCH($D1492,'교육원 ④ 설정'!$B$6:$B$40,0)),""))</f>
        <v/>
      </c>
      <c r="G1492" s="39"/>
      <c r="H1492" s="39"/>
      <c r="I1492" s="40"/>
      <c r="J1492" s="41"/>
      <c r="K1492" s="38"/>
      <c r="L1492" s="42" t="str">
        <f aca="false">IF($B1492="","",IF(AND(N($I1492)=0,N($J1492)=0),"금액이 없습니다",IF(AND($I1492&gt;0,$J1492&gt;0),"수입·지출 둘 다 적혔습니다",IF($C1492="","결제수단을 고르십시오",IF(ISNA(MATCH($C1492,'교육원 ③ 통장·카드'!$A$5:$A$11,0)),"③ 통장·카드에 없는 결제수단입니다",IF($D1492="","계정과목을 고르십시오",IF($E1492="※없는 과목","④ 설정에 없는 과목입니다",IF(AND($E1492="수입",$J1492&gt;0),"수입 과목인데 지출에 적혔습니다",IF(AND(LEFT($E1492,2)&lt;&gt;"수입",$E1492&lt;&gt;"대체",$I1492&gt;0),"지출 과목인데 수입에 적혔습니다",IF($K1492="","증빙을 고르십시오",IF($H1492="","적요를 적으십시오","")))))))))))</f>
        <v/>
      </c>
      <c r="M1492" s="39"/>
      <c r="O1492" s="11" t="str">
        <f aca="false">IF($B1492="","",YEAR($B1492)*100+MONTH($B1492))</f>
        <v/>
      </c>
      <c r="P1492" s="11" t="str">
        <f aca="false">IF($B1492="","",IF($E1492="대체",0,1))</f>
        <v/>
      </c>
    </row>
    <row r="1493" customFormat="false" ht="15" hidden="false" customHeight="false" outlineLevel="0" collapsed="false">
      <c r="A1493" s="36" t="str">
        <f aca="false">IF($B1493="","",COUNT($B$15:$B1493))</f>
        <v/>
      </c>
      <c r="B1493" s="37"/>
      <c r="C1493" s="38"/>
      <c r="D1493" s="20"/>
      <c r="E1493" s="36" t="str">
        <f aca="false">IF($D1493="","",IFERROR(INDEX('교육원 ④ 설정'!$A$6:$A$40,MATCH($D1493,'교육원 ④ 설정'!$B$6:$B$40,0)),"※없는 과목"))</f>
        <v/>
      </c>
      <c r="F1493" s="36" t="str">
        <f aca="false">IF($D1493="","",IFERROR(INDEX('교육원 ④ 설정'!$C$6:$C$40,MATCH($D1493,'교육원 ④ 설정'!$B$6:$B$40,0)),""))</f>
        <v/>
      </c>
      <c r="G1493" s="39"/>
      <c r="H1493" s="39"/>
      <c r="I1493" s="40"/>
      <c r="J1493" s="41"/>
      <c r="K1493" s="38"/>
      <c r="L1493" s="42" t="str">
        <f aca="false">IF($B1493="","",IF(AND(N($I1493)=0,N($J1493)=0),"금액이 없습니다",IF(AND($I1493&gt;0,$J1493&gt;0),"수입·지출 둘 다 적혔습니다",IF($C1493="","결제수단을 고르십시오",IF(ISNA(MATCH($C1493,'교육원 ③ 통장·카드'!$A$5:$A$11,0)),"③ 통장·카드에 없는 결제수단입니다",IF($D1493="","계정과목을 고르십시오",IF($E1493="※없는 과목","④ 설정에 없는 과목입니다",IF(AND($E1493="수입",$J1493&gt;0),"수입 과목인데 지출에 적혔습니다",IF(AND(LEFT($E1493,2)&lt;&gt;"수입",$E1493&lt;&gt;"대체",$I1493&gt;0),"지출 과목인데 수입에 적혔습니다",IF($K1493="","증빙을 고르십시오",IF($H1493="","적요를 적으십시오","")))))))))))</f>
        <v/>
      </c>
      <c r="M1493" s="39"/>
      <c r="O1493" s="11" t="str">
        <f aca="false">IF($B1493="","",YEAR($B1493)*100+MONTH($B1493))</f>
        <v/>
      </c>
      <c r="P1493" s="11" t="str">
        <f aca="false">IF($B1493="","",IF($E1493="대체",0,1))</f>
        <v/>
      </c>
    </row>
    <row r="1494" customFormat="false" ht="15" hidden="false" customHeight="false" outlineLevel="0" collapsed="false">
      <c r="A1494" s="36" t="str">
        <f aca="false">IF($B1494="","",COUNT($B$15:$B1494))</f>
        <v/>
      </c>
      <c r="B1494" s="37"/>
      <c r="C1494" s="38"/>
      <c r="D1494" s="20"/>
      <c r="E1494" s="36" t="str">
        <f aca="false">IF($D1494="","",IFERROR(INDEX('교육원 ④ 설정'!$A$6:$A$40,MATCH($D1494,'교육원 ④ 설정'!$B$6:$B$40,0)),"※없는 과목"))</f>
        <v/>
      </c>
      <c r="F1494" s="36" t="str">
        <f aca="false">IF($D1494="","",IFERROR(INDEX('교육원 ④ 설정'!$C$6:$C$40,MATCH($D1494,'교육원 ④ 설정'!$B$6:$B$40,0)),""))</f>
        <v/>
      </c>
      <c r="G1494" s="39"/>
      <c r="H1494" s="39"/>
      <c r="I1494" s="40"/>
      <c r="J1494" s="41"/>
      <c r="K1494" s="38"/>
      <c r="L1494" s="42" t="str">
        <f aca="false">IF($B1494="","",IF(AND(N($I1494)=0,N($J1494)=0),"금액이 없습니다",IF(AND($I1494&gt;0,$J1494&gt;0),"수입·지출 둘 다 적혔습니다",IF($C1494="","결제수단을 고르십시오",IF(ISNA(MATCH($C1494,'교육원 ③ 통장·카드'!$A$5:$A$11,0)),"③ 통장·카드에 없는 결제수단입니다",IF($D1494="","계정과목을 고르십시오",IF($E1494="※없는 과목","④ 설정에 없는 과목입니다",IF(AND($E1494="수입",$J1494&gt;0),"수입 과목인데 지출에 적혔습니다",IF(AND(LEFT($E1494,2)&lt;&gt;"수입",$E1494&lt;&gt;"대체",$I1494&gt;0),"지출 과목인데 수입에 적혔습니다",IF($K1494="","증빙을 고르십시오",IF($H1494="","적요를 적으십시오","")))))))))))</f>
        <v/>
      </c>
      <c r="M1494" s="39"/>
      <c r="O1494" s="11" t="str">
        <f aca="false">IF($B1494="","",YEAR($B1494)*100+MONTH($B1494))</f>
        <v/>
      </c>
      <c r="P1494" s="11" t="str">
        <f aca="false">IF($B1494="","",IF($E1494="대체",0,1))</f>
        <v/>
      </c>
    </row>
    <row r="1495" customFormat="false" ht="15" hidden="false" customHeight="false" outlineLevel="0" collapsed="false">
      <c r="A1495" s="36" t="str">
        <f aca="false">IF($B1495="","",COUNT($B$15:$B1495))</f>
        <v/>
      </c>
      <c r="B1495" s="37"/>
      <c r="C1495" s="38"/>
      <c r="D1495" s="20"/>
      <c r="E1495" s="36" t="str">
        <f aca="false">IF($D1495="","",IFERROR(INDEX('교육원 ④ 설정'!$A$6:$A$40,MATCH($D1495,'교육원 ④ 설정'!$B$6:$B$40,0)),"※없는 과목"))</f>
        <v/>
      </c>
      <c r="F1495" s="36" t="str">
        <f aca="false">IF($D1495="","",IFERROR(INDEX('교육원 ④ 설정'!$C$6:$C$40,MATCH($D1495,'교육원 ④ 설정'!$B$6:$B$40,0)),""))</f>
        <v/>
      </c>
      <c r="G1495" s="39"/>
      <c r="H1495" s="39"/>
      <c r="I1495" s="40"/>
      <c r="J1495" s="41"/>
      <c r="K1495" s="38"/>
      <c r="L1495" s="42" t="str">
        <f aca="false">IF($B1495="","",IF(AND(N($I1495)=0,N($J1495)=0),"금액이 없습니다",IF(AND($I1495&gt;0,$J1495&gt;0),"수입·지출 둘 다 적혔습니다",IF($C1495="","결제수단을 고르십시오",IF(ISNA(MATCH($C1495,'교육원 ③ 통장·카드'!$A$5:$A$11,0)),"③ 통장·카드에 없는 결제수단입니다",IF($D1495="","계정과목을 고르십시오",IF($E1495="※없는 과목","④ 설정에 없는 과목입니다",IF(AND($E1495="수입",$J1495&gt;0),"수입 과목인데 지출에 적혔습니다",IF(AND(LEFT($E1495,2)&lt;&gt;"수입",$E1495&lt;&gt;"대체",$I1495&gt;0),"지출 과목인데 수입에 적혔습니다",IF($K1495="","증빙을 고르십시오",IF($H1495="","적요를 적으십시오","")))))))))))</f>
        <v/>
      </c>
      <c r="M1495" s="39"/>
      <c r="O1495" s="11" t="str">
        <f aca="false">IF($B1495="","",YEAR($B1495)*100+MONTH($B1495))</f>
        <v/>
      </c>
      <c r="P1495" s="11" t="str">
        <f aca="false">IF($B1495="","",IF($E1495="대체",0,1))</f>
        <v/>
      </c>
    </row>
    <row r="1496" customFormat="false" ht="15" hidden="false" customHeight="false" outlineLevel="0" collapsed="false">
      <c r="A1496" s="36" t="str">
        <f aca="false">IF($B1496="","",COUNT($B$15:$B1496))</f>
        <v/>
      </c>
      <c r="B1496" s="37"/>
      <c r="C1496" s="38"/>
      <c r="D1496" s="20"/>
      <c r="E1496" s="36" t="str">
        <f aca="false">IF($D1496="","",IFERROR(INDEX('교육원 ④ 설정'!$A$6:$A$40,MATCH($D1496,'교육원 ④ 설정'!$B$6:$B$40,0)),"※없는 과목"))</f>
        <v/>
      </c>
      <c r="F1496" s="36" t="str">
        <f aca="false">IF($D1496="","",IFERROR(INDEX('교육원 ④ 설정'!$C$6:$C$40,MATCH($D1496,'교육원 ④ 설정'!$B$6:$B$40,0)),""))</f>
        <v/>
      </c>
      <c r="G1496" s="39"/>
      <c r="H1496" s="39"/>
      <c r="I1496" s="40"/>
      <c r="J1496" s="41"/>
      <c r="K1496" s="38"/>
      <c r="L1496" s="42" t="str">
        <f aca="false">IF($B1496="","",IF(AND(N($I1496)=0,N($J1496)=0),"금액이 없습니다",IF(AND($I1496&gt;0,$J1496&gt;0),"수입·지출 둘 다 적혔습니다",IF($C1496="","결제수단을 고르십시오",IF(ISNA(MATCH($C1496,'교육원 ③ 통장·카드'!$A$5:$A$11,0)),"③ 통장·카드에 없는 결제수단입니다",IF($D1496="","계정과목을 고르십시오",IF($E1496="※없는 과목","④ 설정에 없는 과목입니다",IF(AND($E1496="수입",$J1496&gt;0),"수입 과목인데 지출에 적혔습니다",IF(AND(LEFT($E1496,2)&lt;&gt;"수입",$E1496&lt;&gt;"대체",$I1496&gt;0),"지출 과목인데 수입에 적혔습니다",IF($K1496="","증빙을 고르십시오",IF($H1496="","적요를 적으십시오","")))))))))))</f>
        <v/>
      </c>
      <c r="M1496" s="39"/>
      <c r="O1496" s="11" t="str">
        <f aca="false">IF($B1496="","",YEAR($B1496)*100+MONTH($B1496))</f>
        <v/>
      </c>
      <c r="P1496" s="11" t="str">
        <f aca="false">IF($B1496="","",IF($E1496="대체",0,1))</f>
        <v/>
      </c>
    </row>
    <row r="1497" customFormat="false" ht="15" hidden="false" customHeight="false" outlineLevel="0" collapsed="false">
      <c r="A1497" s="36" t="str">
        <f aca="false">IF($B1497="","",COUNT($B$15:$B1497))</f>
        <v/>
      </c>
      <c r="B1497" s="37"/>
      <c r="C1497" s="38"/>
      <c r="D1497" s="20"/>
      <c r="E1497" s="36" t="str">
        <f aca="false">IF($D1497="","",IFERROR(INDEX('교육원 ④ 설정'!$A$6:$A$40,MATCH($D1497,'교육원 ④ 설정'!$B$6:$B$40,0)),"※없는 과목"))</f>
        <v/>
      </c>
      <c r="F1497" s="36" t="str">
        <f aca="false">IF($D1497="","",IFERROR(INDEX('교육원 ④ 설정'!$C$6:$C$40,MATCH($D1497,'교육원 ④ 설정'!$B$6:$B$40,0)),""))</f>
        <v/>
      </c>
      <c r="G1497" s="39"/>
      <c r="H1497" s="39"/>
      <c r="I1497" s="40"/>
      <c r="J1497" s="41"/>
      <c r="K1497" s="38"/>
      <c r="L1497" s="42" t="str">
        <f aca="false">IF($B1497="","",IF(AND(N($I1497)=0,N($J1497)=0),"금액이 없습니다",IF(AND($I1497&gt;0,$J1497&gt;0),"수입·지출 둘 다 적혔습니다",IF($C1497="","결제수단을 고르십시오",IF(ISNA(MATCH($C1497,'교육원 ③ 통장·카드'!$A$5:$A$11,0)),"③ 통장·카드에 없는 결제수단입니다",IF($D1497="","계정과목을 고르십시오",IF($E1497="※없는 과목","④ 설정에 없는 과목입니다",IF(AND($E1497="수입",$J1497&gt;0),"수입 과목인데 지출에 적혔습니다",IF(AND(LEFT($E1497,2)&lt;&gt;"수입",$E1497&lt;&gt;"대체",$I1497&gt;0),"지출 과목인데 수입에 적혔습니다",IF($K1497="","증빙을 고르십시오",IF($H1497="","적요를 적으십시오","")))))))))))</f>
        <v/>
      </c>
      <c r="M1497" s="39"/>
      <c r="O1497" s="11" t="str">
        <f aca="false">IF($B1497="","",YEAR($B1497)*100+MONTH($B1497))</f>
        <v/>
      </c>
      <c r="P1497" s="11" t="str">
        <f aca="false">IF($B1497="","",IF($E1497="대체",0,1))</f>
        <v/>
      </c>
    </row>
    <row r="1498" customFormat="false" ht="15" hidden="false" customHeight="false" outlineLevel="0" collapsed="false">
      <c r="A1498" s="36" t="str">
        <f aca="false">IF($B1498="","",COUNT($B$15:$B1498))</f>
        <v/>
      </c>
      <c r="B1498" s="37"/>
      <c r="C1498" s="38"/>
      <c r="D1498" s="20"/>
      <c r="E1498" s="36" t="str">
        <f aca="false">IF($D1498="","",IFERROR(INDEX('교육원 ④ 설정'!$A$6:$A$40,MATCH($D1498,'교육원 ④ 설정'!$B$6:$B$40,0)),"※없는 과목"))</f>
        <v/>
      </c>
      <c r="F1498" s="36" t="str">
        <f aca="false">IF($D1498="","",IFERROR(INDEX('교육원 ④ 설정'!$C$6:$C$40,MATCH($D1498,'교육원 ④ 설정'!$B$6:$B$40,0)),""))</f>
        <v/>
      </c>
      <c r="G1498" s="39"/>
      <c r="H1498" s="39"/>
      <c r="I1498" s="40"/>
      <c r="J1498" s="41"/>
      <c r="K1498" s="38"/>
      <c r="L1498" s="42" t="str">
        <f aca="false">IF($B1498="","",IF(AND(N($I1498)=0,N($J1498)=0),"금액이 없습니다",IF(AND($I1498&gt;0,$J1498&gt;0),"수입·지출 둘 다 적혔습니다",IF($C1498="","결제수단을 고르십시오",IF(ISNA(MATCH($C1498,'교육원 ③ 통장·카드'!$A$5:$A$11,0)),"③ 통장·카드에 없는 결제수단입니다",IF($D1498="","계정과목을 고르십시오",IF($E1498="※없는 과목","④ 설정에 없는 과목입니다",IF(AND($E1498="수입",$J1498&gt;0),"수입 과목인데 지출에 적혔습니다",IF(AND(LEFT($E1498,2)&lt;&gt;"수입",$E1498&lt;&gt;"대체",$I1498&gt;0),"지출 과목인데 수입에 적혔습니다",IF($K1498="","증빙을 고르십시오",IF($H1498="","적요를 적으십시오","")))))))))))</f>
        <v/>
      </c>
      <c r="M1498" s="39"/>
      <c r="O1498" s="11" t="str">
        <f aca="false">IF($B1498="","",YEAR($B1498)*100+MONTH($B1498))</f>
        <v/>
      </c>
      <c r="P1498" s="11" t="str">
        <f aca="false">IF($B1498="","",IF($E1498="대체",0,1))</f>
        <v/>
      </c>
    </row>
    <row r="1499" customFormat="false" ht="15" hidden="false" customHeight="false" outlineLevel="0" collapsed="false">
      <c r="A1499" s="36" t="str">
        <f aca="false">IF($B1499="","",COUNT($B$15:$B1499))</f>
        <v/>
      </c>
      <c r="B1499" s="37"/>
      <c r="C1499" s="38"/>
      <c r="D1499" s="20"/>
      <c r="E1499" s="36" t="str">
        <f aca="false">IF($D1499="","",IFERROR(INDEX('교육원 ④ 설정'!$A$6:$A$40,MATCH($D1499,'교육원 ④ 설정'!$B$6:$B$40,0)),"※없는 과목"))</f>
        <v/>
      </c>
      <c r="F1499" s="36" t="str">
        <f aca="false">IF($D1499="","",IFERROR(INDEX('교육원 ④ 설정'!$C$6:$C$40,MATCH($D1499,'교육원 ④ 설정'!$B$6:$B$40,0)),""))</f>
        <v/>
      </c>
      <c r="G1499" s="39"/>
      <c r="H1499" s="39"/>
      <c r="I1499" s="40"/>
      <c r="J1499" s="41"/>
      <c r="K1499" s="38"/>
      <c r="L1499" s="42" t="str">
        <f aca="false">IF($B1499="","",IF(AND(N($I1499)=0,N($J1499)=0),"금액이 없습니다",IF(AND($I1499&gt;0,$J1499&gt;0),"수입·지출 둘 다 적혔습니다",IF($C1499="","결제수단을 고르십시오",IF(ISNA(MATCH($C1499,'교육원 ③ 통장·카드'!$A$5:$A$11,0)),"③ 통장·카드에 없는 결제수단입니다",IF($D1499="","계정과목을 고르십시오",IF($E1499="※없는 과목","④ 설정에 없는 과목입니다",IF(AND($E1499="수입",$J1499&gt;0),"수입 과목인데 지출에 적혔습니다",IF(AND(LEFT($E1499,2)&lt;&gt;"수입",$E1499&lt;&gt;"대체",$I1499&gt;0),"지출 과목인데 수입에 적혔습니다",IF($K1499="","증빙을 고르십시오",IF($H1499="","적요를 적으십시오","")))))))))))</f>
        <v/>
      </c>
      <c r="M1499" s="39"/>
      <c r="O1499" s="11" t="str">
        <f aca="false">IF($B1499="","",YEAR($B1499)*100+MONTH($B1499))</f>
        <v/>
      </c>
      <c r="P1499" s="11" t="str">
        <f aca="false">IF($B1499="","",IF($E1499="대체",0,1))</f>
        <v/>
      </c>
    </row>
    <row r="1500" customFormat="false" ht="15" hidden="false" customHeight="false" outlineLevel="0" collapsed="false">
      <c r="A1500" s="36" t="str">
        <f aca="false">IF($B1500="","",COUNT($B$15:$B1500))</f>
        <v/>
      </c>
      <c r="B1500" s="37"/>
      <c r="C1500" s="38"/>
      <c r="D1500" s="20"/>
      <c r="E1500" s="36" t="str">
        <f aca="false">IF($D1500="","",IFERROR(INDEX('교육원 ④ 설정'!$A$6:$A$40,MATCH($D1500,'교육원 ④ 설정'!$B$6:$B$40,0)),"※없는 과목"))</f>
        <v/>
      </c>
      <c r="F1500" s="36" t="str">
        <f aca="false">IF($D1500="","",IFERROR(INDEX('교육원 ④ 설정'!$C$6:$C$40,MATCH($D1500,'교육원 ④ 설정'!$B$6:$B$40,0)),""))</f>
        <v/>
      </c>
      <c r="G1500" s="39"/>
      <c r="H1500" s="39"/>
      <c r="I1500" s="40"/>
      <c r="J1500" s="41"/>
      <c r="K1500" s="38"/>
      <c r="L1500" s="42" t="str">
        <f aca="false">IF($B1500="","",IF(AND(N($I1500)=0,N($J1500)=0),"금액이 없습니다",IF(AND($I1500&gt;0,$J1500&gt;0),"수입·지출 둘 다 적혔습니다",IF($C1500="","결제수단을 고르십시오",IF(ISNA(MATCH($C1500,'교육원 ③ 통장·카드'!$A$5:$A$11,0)),"③ 통장·카드에 없는 결제수단입니다",IF($D1500="","계정과목을 고르십시오",IF($E1500="※없는 과목","④ 설정에 없는 과목입니다",IF(AND($E1500="수입",$J1500&gt;0),"수입 과목인데 지출에 적혔습니다",IF(AND(LEFT($E1500,2)&lt;&gt;"수입",$E1500&lt;&gt;"대체",$I1500&gt;0),"지출 과목인데 수입에 적혔습니다",IF($K1500="","증빙을 고르십시오",IF($H1500="","적요를 적으십시오","")))))))))))</f>
        <v/>
      </c>
      <c r="M1500" s="39"/>
      <c r="O1500" s="11" t="str">
        <f aca="false">IF($B1500="","",YEAR($B1500)*100+MONTH($B1500))</f>
        <v/>
      </c>
      <c r="P1500" s="11" t="str">
        <f aca="false">IF($B1500="","",IF($E1500="대체",0,1))</f>
        <v/>
      </c>
    </row>
    <row r="1501" customFormat="false" ht="15" hidden="false" customHeight="false" outlineLevel="0" collapsed="false">
      <c r="A1501" s="36" t="str">
        <f aca="false">IF($B1501="","",COUNT($B$15:$B1501))</f>
        <v/>
      </c>
      <c r="B1501" s="37"/>
      <c r="C1501" s="38"/>
      <c r="D1501" s="20"/>
      <c r="E1501" s="36" t="str">
        <f aca="false">IF($D1501="","",IFERROR(INDEX('교육원 ④ 설정'!$A$6:$A$40,MATCH($D1501,'교육원 ④ 설정'!$B$6:$B$40,0)),"※없는 과목"))</f>
        <v/>
      </c>
      <c r="F1501" s="36" t="str">
        <f aca="false">IF($D1501="","",IFERROR(INDEX('교육원 ④ 설정'!$C$6:$C$40,MATCH($D1501,'교육원 ④ 설정'!$B$6:$B$40,0)),""))</f>
        <v/>
      </c>
      <c r="G1501" s="39"/>
      <c r="H1501" s="39"/>
      <c r="I1501" s="40"/>
      <c r="J1501" s="41"/>
      <c r="K1501" s="38"/>
      <c r="L1501" s="42" t="str">
        <f aca="false">IF($B1501="","",IF(AND(N($I1501)=0,N($J1501)=0),"금액이 없습니다",IF(AND($I1501&gt;0,$J1501&gt;0),"수입·지출 둘 다 적혔습니다",IF($C1501="","결제수단을 고르십시오",IF(ISNA(MATCH($C1501,'교육원 ③ 통장·카드'!$A$5:$A$11,0)),"③ 통장·카드에 없는 결제수단입니다",IF($D1501="","계정과목을 고르십시오",IF($E1501="※없는 과목","④ 설정에 없는 과목입니다",IF(AND($E1501="수입",$J1501&gt;0),"수입 과목인데 지출에 적혔습니다",IF(AND(LEFT($E1501,2)&lt;&gt;"수입",$E1501&lt;&gt;"대체",$I1501&gt;0),"지출 과목인데 수입에 적혔습니다",IF($K1501="","증빙을 고르십시오",IF($H1501="","적요를 적으십시오","")))))))))))</f>
        <v/>
      </c>
      <c r="M1501" s="39"/>
      <c r="O1501" s="11" t="str">
        <f aca="false">IF($B1501="","",YEAR($B1501)*100+MONTH($B1501))</f>
        <v/>
      </c>
      <c r="P1501" s="11" t="str">
        <f aca="false">IF($B1501="","",IF($E1501="대체",0,1))</f>
        <v/>
      </c>
    </row>
    <row r="1502" customFormat="false" ht="15" hidden="false" customHeight="false" outlineLevel="0" collapsed="false">
      <c r="A1502" s="36" t="str">
        <f aca="false">IF($B1502="","",COUNT($B$15:$B1502))</f>
        <v/>
      </c>
      <c r="B1502" s="37"/>
      <c r="C1502" s="38"/>
      <c r="D1502" s="20"/>
      <c r="E1502" s="36" t="str">
        <f aca="false">IF($D1502="","",IFERROR(INDEX('교육원 ④ 설정'!$A$6:$A$40,MATCH($D1502,'교육원 ④ 설정'!$B$6:$B$40,0)),"※없는 과목"))</f>
        <v/>
      </c>
      <c r="F1502" s="36" t="str">
        <f aca="false">IF($D1502="","",IFERROR(INDEX('교육원 ④ 설정'!$C$6:$C$40,MATCH($D1502,'교육원 ④ 설정'!$B$6:$B$40,0)),""))</f>
        <v/>
      </c>
      <c r="G1502" s="39"/>
      <c r="H1502" s="39"/>
      <c r="I1502" s="40"/>
      <c r="J1502" s="41"/>
      <c r="K1502" s="38"/>
      <c r="L1502" s="42" t="str">
        <f aca="false">IF($B1502="","",IF(AND(N($I1502)=0,N($J1502)=0),"금액이 없습니다",IF(AND($I1502&gt;0,$J1502&gt;0),"수입·지출 둘 다 적혔습니다",IF($C1502="","결제수단을 고르십시오",IF(ISNA(MATCH($C1502,'교육원 ③ 통장·카드'!$A$5:$A$11,0)),"③ 통장·카드에 없는 결제수단입니다",IF($D1502="","계정과목을 고르십시오",IF($E1502="※없는 과목","④ 설정에 없는 과목입니다",IF(AND($E1502="수입",$J1502&gt;0),"수입 과목인데 지출에 적혔습니다",IF(AND(LEFT($E1502,2)&lt;&gt;"수입",$E1502&lt;&gt;"대체",$I1502&gt;0),"지출 과목인데 수입에 적혔습니다",IF($K1502="","증빙을 고르십시오",IF($H1502="","적요를 적으십시오","")))))))))))</f>
        <v/>
      </c>
      <c r="M1502" s="39"/>
      <c r="O1502" s="11" t="str">
        <f aca="false">IF($B1502="","",YEAR($B1502)*100+MONTH($B1502))</f>
        <v/>
      </c>
      <c r="P1502" s="11" t="str">
        <f aca="false">IF($B1502="","",IF($E1502="대체",0,1))</f>
        <v/>
      </c>
    </row>
    <row r="1503" customFormat="false" ht="15" hidden="false" customHeight="false" outlineLevel="0" collapsed="false">
      <c r="A1503" s="36" t="str">
        <f aca="false">IF($B1503="","",COUNT($B$15:$B1503))</f>
        <v/>
      </c>
      <c r="B1503" s="37"/>
      <c r="C1503" s="38"/>
      <c r="D1503" s="20"/>
      <c r="E1503" s="36" t="str">
        <f aca="false">IF($D1503="","",IFERROR(INDEX('교육원 ④ 설정'!$A$6:$A$40,MATCH($D1503,'교육원 ④ 설정'!$B$6:$B$40,0)),"※없는 과목"))</f>
        <v/>
      </c>
      <c r="F1503" s="36" t="str">
        <f aca="false">IF($D1503="","",IFERROR(INDEX('교육원 ④ 설정'!$C$6:$C$40,MATCH($D1503,'교육원 ④ 설정'!$B$6:$B$40,0)),""))</f>
        <v/>
      </c>
      <c r="G1503" s="39"/>
      <c r="H1503" s="39"/>
      <c r="I1503" s="40"/>
      <c r="J1503" s="41"/>
      <c r="K1503" s="38"/>
      <c r="L1503" s="42" t="str">
        <f aca="false">IF($B1503="","",IF(AND(N($I1503)=0,N($J1503)=0),"금액이 없습니다",IF(AND($I1503&gt;0,$J1503&gt;0),"수입·지출 둘 다 적혔습니다",IF($C1503="","결제수단을 고르십시오",IF(ISNA(MATCH($C1503,'교육원 ③ 통장·카드'!$A$5:$A$11,0)),"③ 통장·카드에 없는 결제수단입니다",IF($D1503="","계정과목을 고르십시오",IF($E1503="※없는 과목","④ 설정에 없는 과목입니다",IF(AND($E1503="수입",$J1503&gt;0),"수입 과목인데 지출에 적혔습니다",IF(AND(LEFT($E1503,2)&lt;&gt;"수입",$E1503&lt;&gt;"대체",$I1503&gt;0),"지출 과목인데 수입에 적혔습니다",IF($K1503="","증빙을 고르십시오",IF($H1503="","적요를 적으십시오","")))))))))))</f>
        <v/>
      </c>
      <c r="M1503" s="39"/>
      <c r="O1503" s="11" t="str">
        <f aca="false">IF($B1503="","",YEAR($B1503)*100+MONTH($B1503))</f>
        <v/>
      </c>
      <c r="P1503" s="11" t="str">
        <f aca="false">IF($B1503="","",IF($E1503="대체",0,1))</f>
        <v/>
      </c>
    </row>
    <row r="1504" customFormat="false" ht="15" hidden="false" customHeight="false" outlineLevel="0" collapsed="false">
      <c r="A1504" s="36" t="str">
        <f aca="false">IF($B1504="","",COUNT($B$15:$B1504))</f>
        <v/>
      </c>
      <c r="B1504" s="37"/>
      <c r="C1504" s="38"/>
      <c r="D1504" s="20"/>
      <c r="E1504" s="36" t="str">
        <f aca="false">IF($D1504="","",IFERROR(INDEX('교육원 ④ 설정'!$A$6:$A$40,MATCH($D1504,'교육원 ④ 설정'!$B$6:$B$40,0)),"※없는 과목"))</f>
        <v/>
      </c>
      <c r="F1504" s="36" t="str">
        <f aca="false">IF($D1504="","",IFERROR(INDEX('교육원 ④ 설정'!$C$6:$C$40,MATCH($D1504,'교육원 ④ 설정'!$B$6:$B$40,0)),""))</f>
        <v/>
      </c>
      <c r="G1504" s="39"/>
      <c r="H1504" s="39"/>
      <c r="I1504" s="40"/>
      <c r="J1504" s="41"/>
      <c r="K1504" s="38"/>
      <c r="L1504" s="42" t="str">
        <f aca="false">IF($B1504="","",IF(AND(N($I1504)=0,N($J1504)=0),"금액이 없습니다",IF(AND($I1504&gt;0,$J1504&gt;0),"수입·지출 둘 다 적혔습니다",IF($C1504="","결제수단을 고르십시오",IF(ISNA(MATCH($C1504,'교육원 ③ 통장·카드'!$A$5:$A$11,0)),"③ 통장·카드에 없는 결제수단입니다",IF($D1504="","계정과목을 고르십시오",IF($E1504="※없는 과목","④ 설정에 없는 과목입니다",IF(AND($E1504="수입",$J1504&gt;0),"수입 과목인데 지출에 적혔습니다",IF(AND(LEFT($E1504,2)&lt;&gt;"수입",$E1504&lt;&gt;"대체",$I1504&gt;0),"지출 과목인데 수입에 적혔습니다",IF($K1504="","증빙을 고르십시오",IF($H1504="","적요를 적으십시오","")))))))))))</f>
        <v/>
      </c>
      <c r="M1504" s="39"/>
      <c r="O1504" s="11" t="str">
        <f aca="false">IF($B1504="","",YEAR($B1504)*100+MONTH($B1504))</f>
        <v/>
      </c>
      <c r="P1504" s="11" t="str">
        <f aca="false">IF($B1504="","",IF($E1504="대체",0,1))</f>
        <v/>
      </c>
    </row>
    <row r="1505" customFormat="false" ht="15" hidden="false" customHeight="false" outlineLevel="0" collapsed="false">
      <c r="A1505" s="36" t="str">
        <f aca="false">IF($B1505="","",COUNT($B$15:$B1505))</f>
        <v/>
      </c>
      <c r="B1505" s="37"/>
      <c r="C1505" s="38"/>
      <c r="D1505" s="20"/>
      <c r="E1505" s="36" t="str">
        <f aca="false">IF($D1505="","",IFERROR(INDEX('교육원 ④ 설정'!$A$6:$A$40,MATCH($D1505,'교육원 ④ 설정'!$B$6:$B$40,0)),"※없는 과목"))</f>
        <v/>
      </c>
      <c r="F1505" s="36" t="str">
        <f aca="false">IF($D1505="","",IFERROR(INDEX('교육원 ④ 설정'!$C$6:$C$40,MATCH($D1505,'교육원 ④ 설정'!$B$6:$B$40,0)),""))</f>
        <v/>
      </c>
      <c r="G1505" s="39"/>
      <c r="H1505" s="39"/>
      <c r="I1505" s="40"/>
      <c r="J1505" s="41"/>
      <c r="K1505" s="38"/>
      <c r="L1505" s="42" t="str">
        <f aca="false">IF($B1505="","",IF(AND(N($I1505)=0,N($J1505)=0),"금액이 없습니다",IF(AND($I1505&gt;0,$J1505&gt;0),"수입·지출 둘 다 적혔습니다",IF($C1505="","결제수단을 고르십시오",IF(ISNA(MATCH($C1505,'교육원 ③ 통장·카드'!$A$5:$A$11,0)),"③ 통장·카드에 없는 결제수단입니다",IF($D1505="","계정과목을 고르십시오",IF($E1505="※없는 과목","④ 설정에 없는 과목입니다",IF(AND($E1505="수입",$J1505&gt;0),"수입 과목인데 지출에 적혔습니다",IF(AND(LEFT($E1505,2)&lt;&gt;"수입",$E1505&lt;&gt;"대체",$I1505&gt;0),"지출 과목인데 수입에 적혔습니다",IF($K1505="","증빙을 고르십시오",IF($H1505="","적요를 적으십시오","")))))))))))</f>
        <v/>
      </c>
      <c r="M1505" s="39"/>
      <c r="O1505" s="11" t="str">
        <f aca="false">IF($B1505="","",YEAR($B1505)*100+MONTH($B1505))</f>
        <v/>
      </c>
      <c r="P1505" s="11" t="str">
        <f aca="false">IF($B1505="","",IF($E1505="대체",0,1))</f>
        <v/>
      </c>
    </row>
    <row r="1506" customFormat="false" ht="15" hidden="false" customHeight="false" outlineLevel="0" collapsed="false">
      <c r="A1506" s="36" t="str">
        <f aca="false">IF($B1506="","",COUNT($B$15:$B1506))</f>
        <v/>
      </c>
      <c r="B1506" s="37"/>
      <c r="C1506" s="38"/>
      <c r="D1506" s="20"/>
      <c r="E1506" s="36" t="str">
        <f aca="false">IF($D1506="","",IFERROR(INDEX('교육원 ④ 설정'!$A$6:$A$40,MATCH($D1506,'교육원 ④ 설정'!$B$6:$B$40,0)),"※없는 과목"))</f>
        <v/>
      </c>
      <c r="F1506" s="36" t="str">
        <f aca="false">IF($D1506="","",IFERROR(INDEX('교육원 ④ 설정'!$C$6:$C$40,MATCH($D1506,'교육원 ④ 설정'!$B$6:$B$40,0)),""))</f>
        <v/>
      </c>
      <c r="G1506" s="39"/>
      <c r="H1506" s="39"/>
      <c r="I1506" s="40"/>
      <c r="J1506" s="41"/>
      <c r="K1506" s="38"/>
      <c r="L1506" s="42" t="str">
        <f aca="false">IF($B1506="","",IF(AND(N($I1506)=0,N($J1506)=0),"금액이 없습니다",IF(AND($I1506&gt;0,$J1506&gt;0),"수입·지출 둘 다 적혔습니다",IF($C1506="","결제수단을 고르십시오",IF(ISNA(MATCH($C1506,'교육원 ③ 통장·카드'!$A$5:$A$11,0)),"③ 통장·카드에 없는 결제수단입니다",IF($D1506="","계정과목을 고르십시오",IF($E1506="※없는 과목","④ 설정에 없는 과목입니다",IF(AND($E1506="수입",$J1506&gt;0),"수입 과목인데 지출에 적혔습니다",IF(AND(LEFT($E1506,2)&lt;&gt;"수입",$E1506&lt;&gt;"대체",$I1506&gt;0),"지출 과목인데 수입에 적혔습니다",IF($K1506="","증빙을 고르십시오",IF($H1506="","적요를 적으십시오","")))))))))))</f>
        <v/>
      </c>
      <c r="M1506" s="39"/>
      <c r="O1506" s="11" t="str">
        <f aca="false">IF($B1506="","",YEAR($B1506)*100+MONTH($B1506))</f>
        <v/>
      </c>
      <c r="P1506" s="11" t="str">
        <f aca="false">IF($B1506="","",IF($E1506="대체",0,1))</f>
        <v/>
      </c>
    </row>
    <row r="1507" customFormat="false" ht="15" hidden="false" customHeight="false" outlineLevel="0" collapsed="false">
      <c r="A1507" s="36" t="str">
        <f aca="false">IF($B1507="","",COUNT($B$15:$B1507))</f>
        <v/>
      </c>
      <c r="B1507" s="37"/>
      <c r="C1507" s="38"/>
      <c r="D1507" s="20"/>
      <c r="E1507" s="36" t="str">
        <f aca="false">IF($D1507="","",IFERROR(INDEX('교육원 ④ 설정'!$A$6:$A$40,MATCH($D1507,'교육원 ④ 설정'!$B$6:$B$40,0)),"※없는 과목"))</f>
        <v/>
      </c>
      <c r="F1507" s="36" t="str">
        <f aca="false">IF($D1507="","",IFERROR(INDEX('교육원 ④ 설정'!$C$6:$C$40,MATCH($D1507,'교육원 ④ 설정'!$B$6:$B$40,0)),""))</f>
        <v/>
      </c>
      <c r="G1507" s="39"/>
      <c r="H1507" s="39"/>
      <c r="I1507" s="40"/>
      <c r="J1507" s="41"/>
      <c r="K1507" s="38"/>
      <c r="L1507" s="42" t="str">
        <f aca="false">IF($B1507="","",IF(AND(N($I1507)=0,N($J1507)=0),"금액이 없습니다",IF(AND($I1507&gt;0,$J1507&gt;0),"수입·지출 둘 다 적혔습니다",IF($C1507="","결제수단을 고르십시오",IF(ISNA(MATCH($C1507,'교육원 ③ 통장·카드'!$A$5:$A$11,0)),"③ 통장·카드에 없는 결제수단입니다",IF($D1507="","계정과목을 고르십시오",IF($E1507="※없는 과목","④ 설정에 없는 과목입니다",IF(AND($E1507="수입",$J1507&gt;0),"수입 과목인데 지출에 적혔습니다",IF(AND(LEFT($E1507,2)&lt;&gt;"수입",$E1507&lt;&gt;"대체",$I1507&gt;0),"지출 과목인데 수입에 적혔습니다",IF($K1507="","증빙을 고르십시오",IF($H1507="","적요를 적으십시오","")))))))))))</f>
        <v/>
      </c>
      <c r="M1507" s="39"/>
      <c r="O1507" s="11" t="str">
        <f aca="false">IF($B1507="","",YEAR($B1507)*100+MONTH($B1507))</f>
        <v/>
      </c>
      <c r="P1507" s="11" t="str">
        <f aca="false">IF($B1507="","",IF($E1507="대체",0,1))</f>
        <v/>
      </c>
    </row>
    <row r="1508" customFormat="false" ht="15" hidden="false" customHeight="false" outlineLevel="0" collapsed="false">
      <c r="A1508" s="36" t="str">
        <f aca="false">IF($B1508="","",COUNT($B$15:$B1508))</f>
        <v/>
      </c>
      <c r="B1508" s="37"/>
      <c r="C1508" s="38"/>
      <c r="D1508" s="20"/>
      <c r="E1508" s="36" t="str">
        <f aca="false">IF($D1508="","",IFERROR(INDEX('교육원 ④ 설정'!$A$6:$A$40,MATCH($D1508,'교육원 ④ 설정'!$B$6:$B$40,0)),"※없는 과목"))</f>
        <v/>
      </c>
      <c r="F1508" s="36" t="str">
        <f aca="false">IF($D1508="","",IFERROR(INDEX('교육원 ④ 설정'!$C$6:$C$40,MATCH($D1508,'교육원 ④ 설정'!$B$6:$B$40,0)),""))</f>
        <v/>
      </c>
      <c r="G1508" s="39"/>
      <c r="H1508" s="39"/>
      <c r="I1508" s="40"/>
      <c r="J1508" s="41"/>
      <c r="K1508" s="38"/>
      <c r="L1508" s="42" t="str">
        <f aca="false">IF($B1508="","",IF(AND(N($I1508)=0,N($J1508)=0),"금액이 없습니다",IF(AND($I1508&gt;0,$J1508&gt;0),"수입·지출 둘 다 적혔습니다",IF($C1508="","결제수단을 고르십시오",IF(ISNA(MATCH($C1508,'교육원 ③ 통장·카드'!$A$5:$A$11,0)),"③ 통장·카드에 없는 결제수단입니다",IF($D1508="","계정과목을 고르십시오",IF($E1508="※없는 과목","④ 설정에 없는 과목입니다",IF(AND($E1508="수입",$J1508&gt;0),"수입 과목인데 지출에 적혔습니다",IF(AND(LEFT($E1508,2)&lt;&gt;"수입",$E1508&lt;&gt;"대체",$I1508&gt;0),"지출 과목인데 수입에 적혔습니다",IF($K1508="","증빙을 고르십시오",IF($H1508="","적요를 적으십시오","")))))))))))</f>
        <v/>
      </c>
      <c r="M1508" s="39"/>
      <c r="O1508" s="11" t="str">
        <f aca="false">IF($B1508="","",YEAR($B1508)*100+MONTH($B1508))</f>
        <v/>
      </c>
      <c r="P1508" s="11" t="str">
        <f aca="false">IF($B1508="","",IF($E1508="대체",0,1))</f>
        <v/>
      </c>
    </row>
    <row r="1509" customFormat="false" ht="15" hidden="false" customHeight="false" outlineLevel="0" collapsed="false">
      <c r="A1509" s="36" t="str">
        <f aca="false">IF($B1509="","",COUNT($B$15:$B1509))</f>
        <v/>
      </c>
      <c r="B1509" s="37"/>
      <c r="C1509" s="38"/>
      <c r="D1509" s="20"/>
      <c r="E1509" s="36" t="str">
        <f aca="false">IF($D1509="","",IFERROR(INDEX('교육원 ④ 설정'!$A$6:$A$40,MATCH($D1509,'교육원 ④ 설정'!$B$6:$B$40,0)),"※없는 과목"))</f>
        <v/>
      </c>
      <c r="F1509" s="36" t="str">
        <f aca="false">IF($D1509="","",IFERROR(INDEX('교육원 ④ 설정'!$C$6:$C$40,MATCH($D1509,'교육원 ④ 설정'!$B$6:$B$40,0)),""))</f>
        <v/>
      </c>
      <c r="G1509" s="39"/>
      <c r="H1509" s="39"/>
      <c r="I1509" s="40"/>
      <c r="J1509" s="41"/>
      <c r="K1509" s="38"/>
      <c r="L1509" s="42" t="str">
        <f aca="false">IF($B1509="","",IF(AND(N($I1509)=0,N($J1509)=0),"금액이 없습니다",IF(AND($I1509&gt;0,$J1509&gt;0),"수입·지출 둘 다 적혔습니다",IF($C1509="","결제수단을 고르십시오",IF(ISNA(MATCH($C1509,'교육원 ③ 통장·카드'!$A$5:$A$11,0)),"③ 통장·카드에 없는 결제수단입니다",IF($D1509="","계정과목을 고르십시오",IF($E1509="※없는 과목","④ 설정에 없는 과목입니다",IF(AND($E1509="수입",$J1509&gt;0),"수입 과목인데 지출에 적혔습니다",IF(AND(LEFT($E1509,2)&lt;&gt;"수입",$E1509&lt;&gt;"대체",$I1509&gt;0),"지출 과목인데 수입에 적혔습니다",IF($K1509="","증빙을 고르십시오",IF($H1509="","적요를 적으십시오","")))))))))))</f>
        <v/>
      </c>
      <c r="M1509" s="39"/>
      <c r="O1509" s="11" t="str">
        <f aca="false">IF($B1509="","",YEAR($B1509)*100+MONTH($B1509))</f>
        <v/>
      </c>
      <c r="P1509" s="11" t="str">
        <f aca="false">IF($B1509="","",IF($E1509="대체",0,1))</f>
        <v/>
      </c>
    </row>
    <row r="1510" customFormat="false" ht="15" hidden="false" customHeight="false" outlineLevel="0" collapsed="false">
      <c r="A1510" s="36" t="str">
        <f aca="false">IF($B1510="","",COUNT($B$15:$B1510))</f>
        <v/>
      </c>
      <c r="B1510" s="37"/>
      <c r="C1510" s="38"/>
      <c r="D1510" s="20"/>
      <c r="E1510" s="36" t="str">
        <f aca="false">IF($D1510="","",IFERROR(INDEX('교육원 ④ 설정'!$A$6:$A$40,MATCH($D1510,'교육원 ④ 설정'!$B$6:$B$40,0)),"※없는 과목"))</f>
        <v/>
      </c>
      <c r="F1510" s="36" t="str">
        <f aca="false">IF($D1510="","",IFERROR(INDEX('교육원 ④ 설정'!$C$6:$C$40,MATCH($D1510,'교육원 ④ 설정'!$B$6:$B$40,0)),""))</f>
        <v/>
      </c>
      <c r="G1510" s="39"/>
      <c r="H1510" s="39"/>
      <c r="I1510" s="40"/>
      <c r="J1510" s="41"/>
      <c r="K1510" s="38"/>
      <c r="L1510" s="42" t="str">
        <f aca="false">IF($B1510="","",IF(AND(N($I1510)=0,N($J1510)=0),"금액이 없습니다",IF(AND($I1510&gt;0,$J1510&gt;0),"수입·지출 둘 다 적혔습니다",IF($C1510="","결제수단을 고르십시오",IF(ISNA(MATCH($C1510,'교육원 ③ 통장·카드'!$A$5:$A$11,0)),"③ 통장·카드에 없는 결제수단입니다",IF($D1510="","계정과목을 고르십시오",IF($E1510="※없는 과목","④ 설정에 없는 과목입니다",IF(AND($E1510="수입",$J1510&gt;0),"수입 과목인데 지출에 적혔습니다",IF(AND(LEFT($E1510,2)&lt;&gt;"수입",$E1510&lt;&gt;"대체",$I1510&gt;0),"지출 과목인데 수입에 적혔습니다",IF($K1510="","증빙을 고르십시오",IF($H1510="","적요를 적으십시오","")))))))))))</f>
        <v/>
      </c>
      <c r="M1510" s="39"/>
      <c r="O1510" s="11" t="str">
        <f aca="false">IF($B1510="","",YEAR($B1510)*100+MONTH($B1510))</f>
        <v/>
      </c>
      <c r="P1510" s="11" t="str">
        <f aca="false">IF($B1510="","",IF($E1510="대체",0,1))</f>
        <v/>
      </c>
    </row>
    <row r="1511" customFormat="false" ht="15" hidden="false" customHeight="false" outlineLevel="0" collapsed="false">
      <c r="A1511" s="36" t="str">
        <f aca="false">IF($B1511="","",COUNT($B$15:$B1511))</f>
        <v/>
      </c>
      <c r="B1511" s="37"/>
      <c r="C1511" s="38"/>
      <c r="D1511" s="20"/>
      <c r="E1511" s="36" t="str">
        <f aca="false">IF($D1511="","",IFERROR(INDEX('교육원 ④ 설정'!$A$6:$A$40,MATCH($D1511,'교육원 ④ 설정'!$B$6:$B$40,0)),"※없는 과목"))</f>
        <v/>
      </c>
      <c r="F1511" s="36" t="str">
        <f aca="false">IF($D1511="","",IFERROR(INDEX('교육원 ④ 설정'!$C$6:$C$40,MATCH($D1511,'교육원 ④ 설정'!$B$6:$B$40,0)),""))</f>
        <v/>
      </c>
      <c r="G1511" s="39"/>
      <c r="H1511" s="39"/>
      <c r="I1511" s="40"/>
      <c r="J1511" s="41"/>
      <c r="K1511" s="38"/>
      <c r="L1511" s="42" t="str">
        <f aca="false">IF($B1511="","",IF(AND(N($I1511)=0,N($J1511)=0),"금액이 없습니다",IF(AND($I1511&gt;0,$J1511&gt;0),"수입·지출 둘 다 적혔습니다",IF($C1511="","결제수단을 고르십시오",IF(ISNA(MATCH($C1511,'교육원 ③ 통장·카드'!$A$5:$A$11,0)),"③ 통장·카드에 없는 결제수단입니다",IF($D1511="","계정과목을 고르십시오",IF($E1511="※없는 과목","④ 설정에 없는 과목입니다",IF(AND($E1511="수입",$J1511&gt;0),"수입 과목인데 지출에 적혔습니다",IF(AND(LEFT($E1511,2)&lt;&gt;"수입",$E1511&lt;&gt;"대체",$I1511&gt;0),"지출 과목인데 수입에 적혔습니다",IF($K1511="","증빙을 고르십시오",IF($H1511="","적요를 적으십시오","")))))))))))</f>
        <v/>
      </c>
      <c r="M1511" s="39"/>
      <c r="O1511" s="11" t="str">
        <f aca="false">IF($B1511="","",YEAR($B1511)*100+MONTH($B1511))</f>
        <v/>
      </c>
      <c r="P1511" s="11" t="str">
        <f aca="false">IF($B1511="","",IF($E1511="대체",0,1))</f>
        <v/>
      </c>
    </row>
    <row r="1512" customFormat="false" ht="15" hidden="false" customHeight="false" outlineLevel="0" collapsed="false">
      <c r="A1512" s="36" t="str">
        <f aca="false">IF($B1512="","",COUNT($B$15:$B1512))</f>
        <v/>
      </c>
      <c r="B1512" s="37"/>
      <c r="C1512" s="38"/>
      <c r="D1512" s="20"/>
      <c r="E1512" s="36" t="str">
        <f aca="false">IF($D1512="","",IFERROR(INDEX('교육원 ④ 설정'!$A$6:$A$40,MATCH($D1512,'교육원 ④ 설정'!$B$6:$B$40,0)),"※없는 과목"))</f>
        <v/>
      </c>
      <c r="F1512" s="36" t="str">
        <f aca="false">IF($D1512="","",IFERROR(INDEX('교육원 ④ 설정'!$C$6:$C$40,MATCH($D1512,'교육원 ④ 설정'!$B$6:$B$40,0)),""))</f>
        <v/>
      </c>
      <c r="G1512" s="39"/>
      <c r="H1512" s="39"/>
      <c r="I1512" s="40"/>
      <c r="J1512" s="41"/>
      <c r="K1512" s="38"/>
      <c r="L1512" s="42" t="str">
        <f aca="false">IF($B1512="","",IF(AND(N($I1512)=0,N($J1512)=0),"금액이 없습니다",IF(AND($I1512&gt;0,$J1512&gt;0),"수입·지출 둘 다 적혔습니다",IF($C1512="","결제수단을 고르십시오",IF(ISNA(MATCH($C1512,'교육원 ③ 통장·카드'!$A$5:$A$11,0)),"③ 통장·카드에 없는 결제수단입니다",IF($D1512="","계정과목을 고르십시오",IF($E1512="※없는 과목","④ 설정에 없는 과목입니다",IF(AND($E1512="수입",$J1512&gt;0),"수입 과목인데 지출에 적혔습니다",IF(AND(LEFT($E1512,2)&lt;&gt;"수입",$E1512&lt;&gt;"대체",$I1512&gt;0),"지출 과목인데 수입에 적혔습니다",IF($K1512="","증빙을 고르십시오",IF($H1512="","적요를 적으십시오","")))))))))))</f>
        <v/>
      </c>
      <c r="M1512" s="39"/>
      <c r="O1512" s="11" t="str">
        <f aca="false">IF($B1512="","",YEAR($B1512)*100+MONTH($B1512))</f>
        <v/>
      </c>
      <c r="P1512" s="11" t="str">
        <f aca="false">IF($B1512="","",IF($E1512="대체",0,1))</f>
        <v/>
      </c>
    </row>
    <row r="1513" customFormat="false" ht="15" hidden="false" customHeight="false" outlineLevel="0" collapsed="false">
      <c r="A1513" s="36" t="str">
        <f aca="false">IF($B1513="","",COUNT($B$15:$B1513))</f>
        <v/>
      </c>
      <c r="B1513" s="37"/>
      <c r="C1513" s="38"/>
      <c r="D1513" s="20"/>
      <c r="E1513" s="36" t="str">
        <f aca="false">IF($D1513="","",IFERROR(INDEX('교육원 ④ 설정'!$A$6:$A$40,MATCH($D1513,'교육원 ④ 설정'!$B$6:$B$40,0)),"※없는 과목"))</f>
        <v/>
      </c>
      <c r="F1513" s="36" t="str">
        <f aca="false">IF($D1513="","",IFERROR(INDEX('교육원 ④ 설정'!$C$6:$C$40,MATCH($D1513,'교육원 ④ 설정'!$B$6:$B$40,0)),""))</f>
        <v/>
      </c>
      <c r="G1513" s="39"/>
      <c r="H1513" s="39"/>
      <c r="I1513" s="40"/>
      <c r="J1513" s="41"/>
      <c r="K1513" s="38"/>
      <c r="L1513" s="42" t="str">
        <f aca="false">IF($B1513="","",IF(AND(N($I1513)=0,N($J1513)=0),"금액이 없습니다",IF(AND($I1513&gt;0,$J1513&gt;0),"수입·지출 둘 다 적혔습니다",IF($C1513="","결제수단을 고르십시오",IF(ISNA(MATCH($C1513,'교육원 ③ 통장·카드'!$A$5:$A$11,0)),"③ 통장·카드에 없는 결제수단입니다",IF($D1513="","계정과목을 고르십시오",IF($E1513="※없는 과목","④ 설정에 없는 과목입니다",IF(AND($E1513="수입",$J1513&gt;0),"수입 과목인데 지출에 적혔습니다",IF(AND(LEFT($E1513,2)&lt;&gt;"수입",$E1513&lt;&gt;"대체",$I1513&gt;0),"지출 과목인데 수입에 적혔습니다",IF($K1513="","증빙을 고르십시오",IF($H1513="","적요를 적으십시오","")))))))))))</f>
        <v/>
      </c>
      <c r="M1513" s="39"/>
      <c r="O1513" s="11" t="str">
        <f aca="false">IF($B1513="","",YEAR($B1513)*100+MONTH($B1513))</f>
        <v/>
      </c>
      <c r="P1513" s="11" t="str">
        <f aca="false">IF($B1513="","",IF($E1513="대체",0,1))</f>
        <v/>
      </c>
    </row>
    <row r="1514" customFormat="false" ht="15" hidden="false" customHeight="false" outlineLevel="0" collapsed="false">
      <c r="A1514" s="36" t="str">
        <f aca="false">IF($B1514="","",COUNT($B$15:$B1514))</f>
        <v/>
      </c>
      <c r="B1514" s="37"/>
      <c r="C1514" s="38"/>
      <c r="D1514" s="20"/>
      <c r="E1514" s="36" t="str">
        <f aca="false">IF($D1514="","",IFERROR(INDEX('교육원 ④ 설정'!$A$6:$A$40,MATCH($D1514,'교육원 ④ 설정'!$B$6:$B$40,0)),"※없는 과목"))</f>
        <v/>
      </c>
      <c r="F1514" s="36" t="str">
        <f aca="false">IF($D1514="","",IFERROR(INDEX('교육원 ④ 설정'!$C$6:$C$40,MATCH($D1514,'교육원 ④ 설정'!$B$6:$B$40,0)),""))</f>
        <v/>
      </c>
      <c r="G1514" s="39"/>
      <c r="H1514" s="39"/>
      <c r="I1514" s="40"/>
      <c r="J1514" s="41"/>
      <c r="K1514" s="38"/>
      <c r="L1514" s="42" t="str">
        <f aca="false">IF($B1514="","",IF(AND(N($I1514)=0,N($J1514)=0),"금액이 없습니다",IF(AND($I1514&gt;0,$J1514&gt;0),"수입·지출 둘 다 적혔습니다",IF($C1514="","결제수단을 고르십시오",IF(ISNA(MATCH($C1514,'교육원 ③ 통장·카드'!$A$5:$A$11,0)),"③ 통장·카드에 없는 결제수단입니다",IF($D1514="","계정과목을 고르십시오",IF($E1514="※없는 과목","④ 설정에 없는 과목입니다",IF(AND($E1514="수입",$J1514&gt;0),"수입 과목인데 지출에 적혔습니다",IF(AND(LEFT($E1514,2)&lt;&gt;"수입",$E1514&lt;&gt;"대체",$I1514&gt;0),"지출 과목인데 수입에 적혔습니다",IF($K1514="","증빙을 고르십시오",IF($H1514="","적요를 적으십시오","")))))))))))</f>
        <v/>
      </c>
      <c r="M1514" s="39"/>
      <c r="O1514" s="11" t="str">
        <f aca="false">IF($B1514="","",YEAR($B1514)*100+MONTH($B1514))</f>
        <v/>
      </c>
      <c r="P1514" s="11" t="str">
        <f aca="false">IF($B1514="","",IF($E1514="대체",0,1))</f>
        <v/>
      </c>
    </row>
    <row r="1515" customFormat="false" ht="15" hidden="false" customHeight="false" outlineLevel="0" collapsed="false">
      <c r="A1515" s="36" t="str">
        <f aca="false">IF($B1515="","",COUNT($B$15:$B1515))</f>
        <v/>
      </c>
      <c r="B1515" s="37"/>
      <c r="C1515" s="38"/>
      <c r="D1515" s="20"/>
      <c r="E1515" s="36" t="str">
        <f aca="false">IF($D1515="","",IFERROR(INDEX('교육원 ④ 설정'!$A$6:$A$40,MATCH($D1515,'교육원 ④ 설정'!$B$6:$B$40,0)),"※없는 과목"))</f>
        <v/>
      </c>
      <c r="F1515" s="36" t="str">
        <f aca="false">IF($D1515="","",IFERROR(INDEX('교육원 ④ 설정'!$C$6:$C$40,MATCH($D1515,'교육원 ④ 설정'!$B$6:$B$40,0)),""))</f>
        <v/>
      </c>
      <c r="G1515" s="39"/>
      <c r="H1515" s="39"/>
      <c r="I1515" s="40"/>
      <c r="J1515" s="41"/>
      <c r="K1515" s="38"/>
      <c r="L1515" s="42" t="str">
        <f aca="false">IF($B1515="","",IF(AND(N($I1515)=0,N($J1515)=0),"금액이 없습니다",IF(AND($I1515&gt;0,$J1515&gt;0),"수입·지출 둘 다 적혔습니다",IF($C1515="","결제수단을 고르십시오",IF(ISNA(MATCH($C1515,'교육원 ③ 통장·카드'!$A$5:$A$11,0)),"③ 통장·카드에 없는 결제수단입니다",IF($D1515="","계정과목을 고르십시오",IF($E1515="※없는 과목","④ 설정에 없는 과목입니다",IF(AND($E1515="수입",$J1515&gt;0),"수입 과목인데 지출에 적혔습니다",IF(AND(LEFT($E1515,2)&lt;&gt;"수입",$E1515&lt;&gt;"대체",$I1515&gt;0),"지출 과목인데 수입에 적혔습니다",IF($K1515="","증빙을 고르십시오",IF($H1515="","적요를 적으십시오","")))))))))))</f>
        <v/>
      </c>
      <c r="M1515" s="39"/>
      <c r="O1515" s="11" t="str">
        <f aca="false">IF($B1515="","",YEAR($B1515)*100+MONTH($B1515))</f>
        <v/>
      </c>
      <c r="P1515" s="11" t="str">
        <f aca="false">IF($B1515="","",IF($E1515="대체",0,1))</f>
        <v/>
      </c>
    </row>
    <row r="1516" customFormat="false" ht="15" hidden="false" customHeight="false" outlineLevel="0" collapsed="false">
      <c r="A1516" s="36" t="str">
        <f aca="false">IF($B1516="","",COUNT($B$15:$B1516))</f>
        <v/>
      </c>
      <c r="B1516" s="37"/>
      <c r="C1516" s="38"/>
      <c r="D1516" s="20"/>
      <c r="E1516" s="36" t="str">
        <f aca="false">IF($D1516="","",IFERROR(INDEX('교육원 ④ 설정'!$A$6:$A$40,MATCH($D1516,'교육원 ④ 설정'!$B$6:$B$40,0)),"※없는 과목"))</f>
        <v/>
      </c>
      <c r="F1516" s="36" t="str">
        <f aca="false">IF($D1516="","",IFERROR(INDEX('교육원 ④ 설정'!$C$6:$C$40,MATCH($D1516,'교육원 ④ 설정'!$B$6:$B$40,0)),""))</f>
        <v/>
      </c>
      <c r="G1516" s="39"/>
      <c r="H1516" s="39"/>
      <c r="I1516" s="40"/>
      <c r="J1516" s="41"/>
      <c r="K1516" s="38"/>
      <c r="L1516" s="42" t="str">
        <f aca="false">IF($B1516="","",IF(AND(N($I1516)=0,N($J1516)=0),"금액이 없습니다",IF(AND($I1516&gt;0,$J1516&gt;0),"수입·지출 둘 다 적혔습니다",IF($C1516="","결제수단을 고르십시오",IF(ISNA(MATCH($C1516,'교육원 ③ 통장·카드'!$A$5:$A$11,0)),"③ 통장·카드에 없는 결제수단입니다",IF($D1516="","계정과목을 고르십시오",IF($E1516="※없는 과목","④ 설정에 없는 과목입니다",IF(AND($E1516="수입",$J1516&gt;0),"수입 과목인데 지출에 적혔습니다",IF(AND(LEFT($E1516,2)&lt;&gt;"수입",$E1516&lt;&gt;"대체",$I1516&gt;0),"지출 과목인데 수입에 적혔습니다",IF($K1516="","증빙을 고르십시오",IF($H1516="","적요를 적으십시오","")))))))))))</f>
        <v/>
      </c>
      <c r="M1516" s="39"/>
      <c r="O1516" s="11" t="str">
        <f aca="false">IF($B1516="","",YEAR($B1516)*100+MONTH($B1516))</f>
        <v/>
      </c>
      <c r="P1516" s="11" t="str">
        <f aca="false">IF($B1516="","",IF($E1516="대체",0,1))</f>
        <v/>
      </c>
    </row>
    <row r="1517" customFormat="false" ht="15" hidden="false" customHeight="false" outlineLevel="0" collapsed="false">
      <c r="A1517" s="36" t="str">
        <f aca="false">IF($B1517="","",COUNT($B$15:$B1517))</f>
        <v/>
      </c>
      <c r="B1517" s="37"/>
      <c r="C1517" s="38"/>
      <c r="D1517" s="20"/>
      <c r="E1517" s="36" t="str">
        <f aca="false">IF($D1517="","",IFERROR(INDEX('교육원 ④ 설정'!$A$6:$A$40,MATCH($D1517,'교육원 ④ 설정'!$B$6:$B$40,0)),"※없는 과목"))</f>
        <v/>
      </c>
      <c r="F1517" s="36" t="str">
        <f aca="false">IF($D1517="","",IFERROR(INDEX('교육원 ④ 설정'!$C$6:$C$40,MATCH($D1517,'교육원 ④ 설정'!$B$6:$B$40,0)),""))</f>
        <v/>
      </c>
      <c r="G1517" s="39"/>
      <c r="H1517" s="39"/>
      <c r="I1517" s="40"/>
      <c r="J1517" s="41"/>
      <c r="K1517" s="38"/>
      <c r="L1517" s="42" t="str">
        <f aca="false">IF($B1517="","",IF(AND(N($I1517)=0,N($J1517)=0),"금액이 없습니다",IF(AND($I1517&gt;0,$J1517&gt;0),"수입·지출 둘 다 적혔습니다",IF($C1517="","결제수단을 고르십시오",IF(ISNA(MATCH($C1517,'교육원 ③ 통장·카드'!$A$5:$A$11,0)),"③ 통장·카드에 없는 결제수단입니다",IF($D1517="","계정과목을 고르십시오",IF($E1517="※없는 과목","④ 설정에 없는 과목입니다",IF(AND($E1517="수입",$J1517&gt;0),"수입 과목인데 지출에 적혔습니다",IF(AND(LEFT($E1517,2)&lt;&gt;"수입",$E1517&lt;&gt;"대체",$I1517&gt;0),"지출 과목인데 수입에 적혔습니다",IF($K1517="","증빙을 고르십시오",IF($H1517="","적요를 적으십시오","")))))))))))</f>
        <v/>
      </c>
      <c r="M1517" s="39"/>
      <c r="O1517" s="11" t="str">
        <f aca="false">IF($B1517="","",YEAR($B1517)*100+MONTH($B1517))</f>
        <v/>
      </c>
      <c r="P1517" s="11" t="str">
        <f aca="false">IF($B1517="","",IF($E1517="대체",0,1))</f>
        <v/>
      </c>
    </row>
    <row r="1518" customFormat="false" ht="15" hidden="false" customHeight="false" outlineLevel="0" collapsed="false">
      <c r="A1518" s="36" t="str">
        <f aca="false">IF($B1518="","",COUNT($B$15:$B1518))</f>
        <v/>
      </c>
      <c r="B1518" s="37"/>
      <c r="C1518" s="38"/>
      <c r="D1518" s="20"/>
      <c r="E1518" s="36" t="str">
        <f aca="false">IF($D1518="","",IFERROR(INDEX('교육원 ④ 설정'!$A$6:$A$40,MATCH($D1518,'교육원 ④ 설정'!$B$6:$B$40,0)),"※없는 과목"))</f>
        <v/>
      </c>
      <c r="F1518" s="36" t="str">
        <f aca="false">IF($D1518="","",IFERROR(INDEX('교육원 ④ 설정'!$C$6:$C$40,MATCH($D1518,'교육원 ④ 설정'!$B$6:$B$40,0)),""))</f>
        <v/>
      </c>
      <c r="G1518" s="39"/>
      <c r="H1518" s="39"/>
      <c r="I1518" s="40"/>
      <c r="J1518" s="41"/>
      <c r="K1518" s="38"/>
      <c r="L1518" s="42" t="str">
        <f aca="false">IF($B1518="","",IF(AND(N($I1518)=0,N($J1518)=0),"금액이 없습니다",IF(AND($I1518&gt;0,$J1518&gt;0),"수입·지출 둘 다 적혔습니다",IF($C1518="","결제수단을 고르십시오",IF(ISNA(MATCH($C1518,'교육원 ③ 통장·카드'!$A$5:$A$11,0)),"③ 통장·카드에 없는 결제수단입니다",IF($D1518="","계정과목을 고르십시오",IF($E1518="※없는 과목","④ 설정에 없는 과목입니다",IF(AND($E1518="수입",$J1518&gt;0),"수입 과목인데 지출에 적혔습니다",IF(AND(LEFT($E1518,2)&lt;&gt;"수입",$E1518&lt;&gt;"대체",$I1518&gt;0),"지출 과목인데 수입에 적혔습니다",IF($K1518="","증빙을 고르십시오",IF($H1518="","적요를 적으십시오","")))))))))))</f>
        <v/>
      </c>
      <c r="M1518" s="39"/>
      <c r="O1518" s="11" t="str">
        <f aca="false">IF($B1518="","",YEAR($B1518)*100+MONTH($B1518))</f>
        <v/>
      </c>
      <c r="P1518" s="11" t="str">
        <f aca="false">IF($B1518="","",IF($E1518="대체",0,1))</f>
        <v/>
      </c>
    </row>
    <row r="1519" customFormat="false" ht="15" hidden="false" customHeight="false" outlineLevel="0" collapsed="false">
      <c r="A1519" s="36" t="str">
        <f aca="false">IF($B1519="","",COUNT($B$15:$B1519))</f>
        <v/>
      </c>
      <c r="B1519" s="37"/>
      <c r="C1519" s="38"/>
      <c r="D1519" s="20"/>
      <c r="E1519" s="36" t="str">
        <f aca="false">IF($D1519="","",IFERROR(INDEX('교육원 ④ 설정'!$A$6:$A$40,MATCH($D1519,'교육원 ④ 설정'!$B$6:$B$40,0)),"※없는 과목"))</f>
        <v/>
      </c>
      <c r="F1519" s="36" t="str">
        <f aca="false">IF($D1519="","",IFERROR(INDEX('교육원 ④ 설정'!$C$6:$C$40,MATCH($D1519,'교육원 ④ 설정'!$B$6:$B$40,0)),""))</f>
        <v/>
      </c>
      <c r="G1519" s="39"/>
      <c r="H1519" s="39"/>
      <c r="I1519" s="40"/>
      <c r="J1519" s="41"/>
      <c r="K1519" s="38"/>
      <c r="L1519" s="42" t="str">
        <f aca="false">IF($B1519="","",IF(AND(N($I1519)=0,N($J1519)=0),"금액이 없습니다",IF(AND($I1519&gt;0,$J1519&gt;0),"수입·지출 둘 다 적혔습니다",IF($C1519="","결제수단을 고르십시오",IF(ISNA(MATCH($C1519,'교육원 ③ 통장·카드'!$A$5:$A$11,0)),"③ 통장·카드에 없는 결제수단입니다",IF($D1519="","계정과목을 고르십시오",IF($E1519="※없는 과목","④ 설정에 없는 과목입니다",IF(AND($E1519="수입",$J1519&gt;0),"수입 과목인데 지출에 적혔습니다",IF(AND(LEFT($E1519,2)&lt;&gt;"수입",$E1519&lt;&gt;"대체",$I1519&gt;0),"지출 과목인데 수입에 적혔습니다",IF($K1519="","증빙을 고르십시오",IF($H1519="","적요를 적으십시오","")))))))))))</f>
        <v/>
      </c>
      <c r="M1519" s="39"/>
      <c r="O1519" s="11" t="str">
        <f aca="false">IF($B1519="","",YEAR($B1519)*100+MONTH($B1519))</f>
        <v/>
      </c>
      <c r="P1519" s="11" t="str">
        <f aca="false">IF($B1519="","",IF($E1519="대체",0,1))</f>
        <v/>
      </c>
    </row>
    <row r="1520" customFormat="false" ht="15" hidden="false" customHeight="false" outlineLevel="0" collapsed="false">
      <c r="A1520" s="36" t="str">
        <f aca="false">IF($B1520="","",COUNT($B$15:$B1520))</f>
        <v/>
      </c>
      <c r="B1520" s="37"/>
      <c r="C1520" s="38"/>
      <c r="D1520" s="20"/>
      <c r="E1520" s="36" t="str">
        <f aca="false">IF($D1520="","",IFERROR(INDEX('교육원 ④ 설정'!$A$6:$A$40,MATCH($D1520,'교육원 ④ 설정'!$B$6:$B$40,0)),"※없는 과목"))</f>
        <v/>
      </c>
      <c r="F1520" s="36" t="str">
        <f aca="false">IF($D1520="","",IFERROR(INDEX('교육원 ④ 설정'!$C$6:$C$40,MATCH($D1520,'교육원 ④ 설정'!$B$6:$B$40,0)),""))</f>
        <v/>
      </c>
      <c r="G1520" s="39"/>
      <c r="H1520" s="39"/>
      <c r="I1520" s="40"/>
      <c r="J1520" s="41"/>
      <c r="K1520" s="38"/>
      <c r="L1520" s="42" t="str">
        <f aca="false">IF($B1520="","",IF(AND(N($I1520)=0,N($J1520)=0),"금액이 없습니다",IF(AND($I1520&gt;0,$J1520&gt;0),"수입·지출 둘 다 적혔습니다",IF($C1520="","결제수단을 고르십시오",IF(ISNA(MATCH($C1520,'교육원 ③ 통장·카드'!$A$5:$A$11,0)),"③ 통장·카드에 없는 결제수단입니다",IF($D1520="","계정과목을 고르십시오",IF($E1520="※없는 과목","④ 설정에 없는 과목입니다",IF(AND($E1520="수입",$J1520&gt;0),"수입 과목인데 지출에 적혔습니다",IF(AND(LEFT($E1520,2)&lt;&gt;"수입",$E1520&lt;&gt;"대체",$I1520&gt;0),"지출 과목인데 수입에 적혔습니다",IF($K1520="","증빙을 고르십시오",IF($H1520="","적요를 적으십시오","")))))))))))</f>
        <v/>
      </c>
      <c r="M1520" s="39"/>
      <c r="O1520" s="11" t="str">
        <f aca="false">IF($B1520="","",YEAR($B1520)*100+MONTH($B1520))</f>
        <v/>
      </c>
      <c r="P1520" s="11" t="str">
        <f aca="false">IF($B1520="","",IF($E1520="대체",0,1))</f>
        <v/>
      </c>
    </row>
    <row r="1521" customFormat="false" ht="15" hidden="false" customHeight="false" outlineLevel="0" collapsed="false">
      <c r="A1521" s="36" t="str">
        <f aca="false">IF($B1521="","",COUNT($B$15:$B1521))</f>
        <v/>
      </c>
      <c r="B1521" s="37"/>
      <c r="C1521" s="38"/>
      <c r="D1521" s="20"/>
      <c r="E1521" s="36" t="str">
        <f aca="false">IF($D1521="","",IFERROR(INDEX('교육원 ④ 설정'!$A$6:$A$40,MATCH($D1521,'교육원 ④ 설정'!$B$6:$B$40,0)),"※없는 과목"))</f>
        <v/>
      </c>
      <c r="F1521" s="36" t="str">
        <f aca="false">IF($D1521="","",IFERROR(INDEX('교육원 ④ 설정'!$C$6:$C$40,MATCH($D1521,'교육원 ④ 설정'!$B$6:$B$40,0)),""))</f>
        <v/>
      </c>
      <c r="G1521" s="39"/>
      <c r="H1521" s="39"/>
      <c r="I1521" s="40"/>
      <c r="J1521" s="41"/>
      <c r="K1521" s="38"/>
      <c r="L1521" s="42" t="str">
        <f aca="false">IF($B1521="","",IF(AND(N($I1521)=0,N($J1521)=0),"금액이 없습니다",IF(AND($I1521&gt;0,$J1521&gt;0),"수입·지출 둘 다 적혔습니다",IF($C1521="","결제수단을 고르십시오",IF(ISNA(MATCH($C1521,'교육원 ③ 통장·카드'!$A$5:$A$11,0)),"③ 통장·카드에 없는 결제수단입니다",IF($D1521="","계정과목을 고르십시오",IF($E1521="※없는 과목","④ 설정에 없는 과목입니다",IF(AND($E1521="수입",$J1521&gt;0),"수입 과목인데 지출에 적혔습니다",IF(AND(LEFT($E1521,2)&lt;&gt;"수입",$E1521&lt;&gt;"대체",$I1521&gt;0),"지출 과목인데 수입에 적혔습니다",IF($K1521="","증빙을 고르십시오",IF($H1521="","적요를 적으십시오","")))))))))))</f>
        <v/>
      </c>
      <c r="M1521" s="39"/>
      <c r="O1521" s="11" t="str">
        <f aca="false">IF($B1521="","",YEAR($B1521)*100+MONTH($B1521))</f>
        <v/>
      </c>
      <c r="P1521" s="11" t="str">
        <f aca="false">IF($B1521="","",IF($E1521="대체",0,1))</f>
        <v/>
      </c>
    </row>
    <row r="1522" customFormat="false" ht="15" hidden="false" customHeight="false" outlineLevel="0" collapsed="false">
      <c r="A1522" s="36" t="str">
        <f aca="false">IF($B1522="","",COUNT($B$15:$B1522))</f>
        <v/>
      </c>
      <c r="B1522" s="37"/>
      <c r="C1522" s="38"/>
      <c r="D1522" s="20"/>
      <c r="E1522" s="36" t="str">
        <f aca="false">IF($D1522="","",IFERROR(INDEX('교육원 ④ 설정'!$A$6:$A$40,MATCH($D1522,'교육원 ④ 설정'!$B$6:$B$40,0)),"※없는 과목"))</f>
        <v/>
      </c>
      <c r="F1522" s="36" t="str">
        <f aca="false">IF($D1522="","",IFERROR(INDEX('교육원 ④ 설정'!$C$6:$C$40,MATCH($D1522,'교육원 ④ 설정'!$B$6:$B$40,0)),""))</f>
        <v/>
      </c>
      <c r="G1522" s="39"/>
      <c r="H1522" s="39"/>
      <c r="I1522" s="40"/>
      <c r="J1522" s="41"/>
      <c r="K1522" s="38"/>
      <c r="L1522" s="42" t="str">
        <f aca="false">IF($B1522="","",IF(AND(N($I1522)=0,N($J1522)=0),"금액이 없습니다",IF(AND($I1522&gt;0,$J1522&gt;0),"수입·지출 둘 다 적혔습니다",IF($C1522="","결제수단을 고르십시오",IF(ISNA(MATCH($C1522,'교육원 ③ 통장·카드'!$A$5:$A$11,0)),"③ 통장·카드에 없는 결제수단입니다",IF($D1522="","계정과목을 고르십시오",IF($E1522="※없는 과목","④ 설정에 없는 과목입니다",IF(AND($E1522="수입",$J1522&gt;0),"수입 과목인데 지출에 적혔습니다",IF(AND(LEFT($E1522,2)&lt;&gt;"수입",$E1522&lt;&gt;"대체",$I1522&gt;0),"지출 과목인데 수입에 적혔습니다",IF($K1522="","증빙을 고르십시오",IF($H1522="","적요를 적으십시오","")))))))))))</f>
        <v/>
      </c>
      <c r="M1522" s="39"/>
      <c r="O1522" s="11" t="str">
        <f aca="false">IF($B1522="","",YEAR($B1522)*100+MONTH($B1522))</f>
        <v/>
      </c>
      <c r="P1522" s="11" t="str">
        <f aca="false">IF($B1522="","",IF($E1522="대체",0,1))</f>
        <v/>
      </c>
    </row>
    <row r="1523" customFormat="false" ht="15" hidden="false" customHeight="false" outlineLevel="0" collapsed="false">
      <c r="A1523" s="36" t="str">
        <f aca="false">IF($B1523="","",COUNT($B$15:$B1523))</f>
        <v/>
      </c>
      <c r="B1523" s="37"/>
      <c r="C1523" s="38"/>
      <c r="D1523" s="20"/>
      <c r="E1523" s="36" t="str">
        <f aca="false">IF($D1523="","",IFERROR(INDEX('교육원 ④ 설정'!$A$6:$A$40,MATCH($D1523,'교육원 ④ 설정'!$B$6:$B$40,0)),"※없는 과목"))</f>
        <v/>
      </c>
      <c r="F1523" s="36" t="str">
        <f aca="false">IF($D1523="","",IFERROR(INDEX('교육원 ④ 설정'!$C$6:$C$40,MATCH($D1523,'교육원 ④ 설정'!$B$6:$B$40,0)),""))</f>
        <v/>
      </c>
      <c r="G1523" s="39"/>
      <c r="H1523" s="39"/>
      <c r="I1523" s="40"/>
      <c r="J1523" s="41"/>
      <c r="K1523" s="38"/>
      <c r="L1523" s="42" t="str">
        <f aca="false">IF($B1523="","",IF(AND(N($I1523)=0,N($J1523)=0),"금액이 없습니다",IF(AND($I1523&gt;0,$J1523&gt;0),"수입·지출 둘 다 적혔습니다",IF($C1523="","결제수단을 고르십시오",IF(ISNA(MATCH($C1523,'교육원 ③ 통장·카드'!$A$5:$A$11,0)),"③ 통장·카드에 없는 결제수단입니다",IF($D1523="","계정과목을 고르십시오",IF($E1523="※없는 과목","④ 설정에 없는 과목입니다",IF(AND($E1523="수입",$J1523&gt;0),"수입 과목인데 지출에 적혔습니다",IF(AND(LEFT($E1523,2)&lt;&gt;"수입",$E1523&lt;&gt;"대체",$I1523&gt;0),"지출 과목인데 수입에 적혔습니다",IF($K1523="","증빙을 고르십시오",IF($H1523="","적요를 적으십시오","")))))))))))</f>
        <v/>
      </c>
      <c r="M1523" s="39"/>
      <c r="O1523" s="11" t="str">
        <f aca="false">IF($B1523="","",YEAR($B1523)*100+MONTH($B1523))</f>
        <v/>
      </c>
      <c r="P1523" s="11" t="str">
        <f aca="false">IF($B1523="","",IF($E1523="대체",0,1))</f>
        <v/>
      </c>
    </row>
    <row r="1524" customFormat="false" ht="15" hidden="false" customHeight="false" outlineLevel="0" collapsed="false">
      <c r="A1524" s="36" t="str">
        <f aca="false">IF($B1524="","",COUNT($B$15:$B1524))</f>
        <v/>
      </c>
      <c r="B1524" s="37"/>
      <c r="C1524" s="38"/>
      <c r="D1524" s="20"/>
      <c r="E1524" s="36" t="str">
        <f aca="false">IF($D1524="","",IFERROR(INDEX('교육원 ④ 설정'!$A$6:$A$40,MATCH($D1524,'교육원 ④ 설정'!$B$6:$B$40,0)),"※없는 과목"))</f>
        <v/>
      </c>
      <c r="F1524" s="36" t="str">
        <f aca="false">IF($D1524="","",IFERROR(INDEX('교육원 ④ 설정'!$C$6:$C$40,MATCH($D1524,'교육원 ④ 설정'!$B$6:$B$40,0)),""))</f>
        <v/>
      </c>
      <c r="G1524" s="39"/>
      <c r="H1524" s="39"/>
      <c r="I1524" s="40"/>
      <c r="J1524" s="41"/>
      <c r="K1524" s="38"/>
      <c r="L1524" s="42" t="str">
        <f aca="false">IF($B1524="","",IF(AND(N($I1524)=0,N($J1524)=0),"금액이 없습니다",IF(AND($I1524&gt;0,$J1524&gt;0),"수입·지출 둘 다 적혔습니다",IF($C1524="","결제수단을 고르십시오",IF(ISNA(MATCH($C1524,'교육원 ③ 통장·카드'!$A$5:$A$11,0)),"③ 통장·카드에 없는 결제수단입니다",IF($D1524="","계정과목을 고르십시오",IF($E1524="※없는 과목","④ 설정에 없는 과목입니다",IF(AND($E1524="수입",$J1524&gt;0),"수입 과목인데 지출에 적혔습니다",IF(AND(LEFT($E1524,2)&lt;&gt;"수입",$E1524&lt;&gt;"대체",$I1524&gt;0),"지출 과목인데 수입에 적혔습니다",IF($K1524="","증빙을 고르십시오",IF($H1524="","적요를 적으십시오","")))))))))))</f>
        <v/>
      </c>
      <c r="M1524" s="39"/>
      <c r="O1524" s="11" t="str">
        <f aca="false">IF($B1524="","",YEAR($B1524)*100+MONTH($B1524))</f>
        <v/>
      </c>
      <c r="P1524" s="11" t="str">
        <f aca="false">IF($B1524="","",IF($E1524="대체",0,1))</f>
        <v/>
      </c>
    </row>
    <row r="1525" customFormat="false" ht="15" hidden="false" customHeight="false" outlineLevel="0" collapsed="false">
      <c r="A1525" s="36" t="str">
        <f aca="false">IF($B1525="","",COUNT($B$15:$B1525))</f>
        <v/>
      </c>
      <c r="B1525" s="37"/>
      <c r="C1525" s="38"/>
      <c r="D1525" s="20"/>
      <c r="E1525" s="36" t="str">
        <f aca="false">IF($D1525="","",IFERROR(INDEX('교육원 ④ 설정'!$A$6:$A$40,MATCH($D1525,'교육원 ④ 설정'!$B$6:$B$40,0)),"※없는 과목"))</f>
        <v/>
      </c>
      <c r="F1525" s="36" t="str">
        <f aca="false">IF($D1525="","",IFERROR(INDEX('교육원 ④ 설정'!$C$6:$C$40,MATCH($D1525,'교육원 ④ 설정'!$B$6:$B$40,0)),""))</f>
        <v/>
      </c>
      <c r="G1525" s="39"/>
      <c r="H1525" s="39"/>
      <c r="I1525" s="40"/>
      <c r="J1525" s="41"/>
      <c r="K1525" s="38"/>
      <c r="L1525" s="42" t="str">
        <f aca="false">IF($B1525="","",IF(AND(N($I1525)=0,N($J1525)=0),"금액이 없습니다",IF(AND($I1525&gt;0,$J1525&gt;0),"수입·지출 둘 다 적혔습니다",IF($C1525="","결제수단을 고르십시오",IF(ISNA(MATCH($C1525,'교육원 ③ 통장·카드'!$A$5:$A$11,0)),"③ 통장·카드에 없는 결제수단입니다",IF($D1525="","계정과목을 고르십시오",IF($E1525="※없는 과목","④ 설정에 없는 과목입니다",IF(AND($E1525="수입",$J1525&gt;0),"수입 과목인데 지출에 적혔습니다",IF(AND(LEFT($E1525,2)&lt;&gt;"수입",$E1525&lt;&gt;"대체",$I1525&gt;0),"지출 과목인데 수입에 적혔습니다",IF($K1525="","증빙을 고르십시오",IF($H1525="","적요를 적으십시오","")))))))))))</f>
        <v/>
      </c>
      <c r="M1525" s="39"/>
      <c r="O1525" s="11" t="str">
        <f aca="false">IF($B1525="","",YEAR($B1525)*100+MONTH($B1525))</f>
        <v/>
      </c>
      <c r="P1525" s="11" t="str">
        <f aca="false">IF($B1525="","",IF($E1525="대체",0,1))</f>
        <v/>
      </c>
    </row>
    <row r="1526" customFormat="false" ht="15" hidden="false" customHeight="false" outlineLevel="0" collapsed="false">
      <c r="A1526" s="36" t="str">
        <f aca="false">IF($B1526="","",COUNT($B$15:$B1526))</f>
        <v/>
      </c>
      <c r="B1526" s="37"/>
      <c r="C1526" s="38"/>
      <c r="D1526" s="20"/>
      <c r="E1526" s="36" t="str">
        <f aca="false">IF($D1526="","",IFERROR(INDEX('교육원 ④ 설정'!$A$6:$A$40,MATCH($D1526,'교육원 ④ 설정'!$B$6:$B$40,0)),"※없는 과목"))</f>
        <v/>
      </c>
      <c r="F1526" s="36" t="str">
        <f aca="false">IF($D1526="","",IFERROR(INDEX('교육원 ④ 설정'!$C$6:$C$40,MATCH($D1526,'교육원 ④ 설정'!$B$6:$B$40,0)),""))</f>
        <v/>
      </c>
      <c r="G1526" s="39"/>
      <c r="H1526" s="39"/>
      <c r="I1526" s="40"/>
      <c r="J1526" s="41"/>
      <c r="K1526" s="38"/>
      <c r="L1526" s="42" t="str">
        <f aca="false">IF($B1526="","",IF(AND(N($I1526)=0,N($J1526)=0),"금액이 없습니다",IF(AND($I1526&gt;0,$J1526&gt;0),"수입·지출 둘 다 적혔습니다",IF($C1526="","결제수단을 고르십시오",IF(ISNA(MATCH($C1526,'교육원 ③ 통장·카드'!$A$5:$A$11,0)),"③ 통장·카드에 없는 결제수단입니다",IF($D1526="","계정과목을 고르십시오",IF($E1526="※없는 과목","④ 설정에 없는 과목입니다",IF(AND($E1526="수입",$J1526&gt;0),"수입 과목인데 지출에 적혔습니다",IF(AND(LEFT($E1526,2)&lt;&gt;"수입",$E1526&lt;&gt;"대체",$I1526&gt;0),"지출 과목인데 수입에 적혔습니다",IF($K1526="","증빙을 고르십시오",IF($H1526="","적요를 적으십시오","")))))))))))</f>
        <v/>
      </c>
      <c r="M1526" s="39"/>
      <c r="O1526" s="11" t="str">
        <f aca="false">IF($B1526="","",YEAR($B1526)*100+MONTH($B1526))</f>
        <v/>
      </c>
      <c r="P1526" s="11" t="str">
        <f aca="false">IF($B1526="","",IF($E1526="대체",0,1))</f>
        <v/>
      </c>
    </row>
    <row r="1527" customFormat="false" ht="15" hidden="false" customHeight="false" outlineLevel="0" collapsed="false">
      <c r="A1527" s="36" t="str">
        <f aca="false">IF($B1527="","",COUNT($B$15:$B1527))</f>
        <v/>
      </c>
      <c r="B1527" s="37"/>
      <c r="C1527" s="38"/>
      <c r="D1527" s="20"/>
      <c r="E1527" s="36" t="str">
        <f aca="false">IF($D1527="","",IFERROR(INDEX('교육원 ④ 설정'!$A$6:$A$40,MATCH($D1527,'교육원 ④ 설정'!$B$6:$B$40,0)),"※없는 과목"))</f>
        <v/>
      </c>
      <c r="F1527" s="36" t="str">
        <f aca="false">IF($D1527="","",IFERROR(INDEX('교육원 ④ 설정'!$C$6:$C$40,MATCH($D1527,'교육원 ④ 설정'!$B$6:$B$40,0)),""))</f>
        <v/>
      </c>
      <c r="G1527" s="39"/>
      <c r="H1527" s="39"/>
      <c r="I1527" s="40"/>
      <c r="J1527" s="41"/>
      <c r="K1527" s="38"/>
      <c r="L1527" s="42" t="str">
        <f aca="false">IF($B1527="","",IF(AND(N($I1527)=0,N($J1527)=0),"금액이 없습니다",IF(AND($I1527&gt;0,$J1527&gt;0),"수입·지출 둘 다 적혔습니다",IF($C1527="","결제수단을 고르십시오",IF(ISNA(MATCH($C1527,'교육원 ③ 통장·카드'!$A$5:$A$11,0)),"③ 통장·카드에 없는 결제수단입니다",IF($D1527="","계정과목을 고르십시오",IF($E1527="※없는 과목","④ 설정에 없는 과목입니다",IF(AND($E1527="수입",$J1527&gt;0),"수입 과목인데 지출에 적혔습니다",IF(AND(LEFT($E1527,2)&lt;&gt;"수입",$E1527&lt;&gt;"대체",$I1527&gt;0),"지출 과목인데 수입에 적혔습니다",IF($K1527="","증빙을 고르십시오",IF($H1527="","적요를 적으십시오","")))))))))))</f>
        <v/>
      </c>
      <c r="M1527" s="39"/>
      <c r="O1527" s="11" t="str">
        <f aca="false">IF($B1527="","",YEAR($B1527)*100+MONTH($B1527))</f>
        <v/>
      </c>
      <c r="P1527" s="11" t="str">
        <f aca="false">IF($B1527="","",IF($E1527="대체",0,1))</f>
        <v/>
      </c>
    </row>
    <row r="1528" customFormat="false" ht="15" hidden="false" customHeight="false" outlineLevel="0" collapsed="false">
      <c r="A1528" s="36" t="str">
        <f aca="false">IF($B1528="","",COUNT($B$15:$B1528))</f>
        <v/>
      </c>
      <c r="B1528" s="37"/>
      <c r="C1528" s="38"/>
      <c r="D1528" s="20"/>
      <c r="E1528" s="36" t="str">
        <f aca="false">IF($D1528="","",IFERROR(INDEX('교육원 ④ 설정'!$A$6:$A$40,MATCH($D1528,'교육원 ④ 설정'!$B$6:$B$40,0)),"※없는 과목"))</f>
        <v/>
      </c>
      <c r="F1528" s="36" t="str">
        <f aca="false">IF($D1528="","",IFERROR(INDEX('교육원 ④ 설정'!$C$6:$C$40,MATCH($D1528,'교육원 ④ 설정'!$B$6:$B$40,0)),""))</f>
        <v/>
      </c>
      <c r="G1528" s="39"/>
      <c r="H1528" s="39"/>
      <c r="I1528" s="40"/>
      <c r="J1528" s="41"/>
      <c r="K1528" s="38"/>
      <c r="L1528" s="42" t="str">
        <f aca="false">IF($B1528="","",IF(AND(N($I1528)=0,N($J1528)=0),"금액이 없습니다",IF(AND($I1528&gt;0,$J1528&gt;0),"수입·지출 둘 다 적혔습니다",IF($C1528="","결제수단을 고르십시오",IF(ISNA(MATCH($C1528,'교육원 ③ 통장·카드'!$A$5:$A$11,0)),"③ 통장·카드에 없는 결제수단입니다",IF($D1528="","계정과목을 고르십시오",IF($E1528="※없는 과목","④ 설정에 없는 과목입니다",IF(AND($E1528="수입",$J1528&gt;0),"수입 과목인데 지출에 적혔습니다",IF(AND(LEFT($E1528,2)&lt;&gt;"수입",$E1528&lt;&gt;"대체",$I1528&gt;0),"지출 과목인데 수입에 적혔습니다",IF($K1528="","증빙을 고르십시오",IF($H1528="","적요를 적으십시오","")))))))))))</f>
        <v/>
      </c>
      <c r="M1528" s="39"/>
      <c r="O1528" s="11" t="str">
        <f aca="false">IF($B1528="","",YEAR($B1528)*100+MONTH($B1528))</f>
        <v/>
      </c>
      <c r="P1528" s="11" t="str">
        <f aca="false">IF($B1528="","",IF($E1528="대체",0,1))</f>
        <v/>
      </c>
    </row>
    <row r="1529" customFormat="false" ht="15" hidden="false" customHeight="false" outlineLevel="0" collapsed="false">
      <c r="A1529" s="36" t="str">
        <f aca="false">IF($B1529="","",COUNT($B$15:$B1529))</f>
        <v/>
      </c>
      <c r="B1529" s="37"/>
      <c r="C1529" s="38"/>
      <c r="D1529" s="20"/>
      <c r="E1529" s="36" t="str">
        <f aca="false">IF($D1529="","",IFERROR(INDEX('교육원 ④ 설정'!$A$6:$A$40,MATCH($D1529,'교육원 ④ 설정'!$B$6:$B$40,0)),"※없는 과목"))</f>
        <v/>
      </c>
      <c r="F1529" s="36" t="str">
        <f aca="false">IF($D1529="","",IFERROR(INDEX('교육원 ④ 설정'!$C$6:$C$40,MATCH($D1529,'교육원 ④ 설정'!$B$6:$B$40,0)),""))</f>
        <v/>
      </c>
      <c r="G1529" s="39"/>
      <c r="H1529" s="39"/>
      <c r="I1529" s="40"/>
      <c r="J1529" s="41"/>
      <c r="K1529" s="38"/>
      <c r="L1529" s="42" t="str">
        <f aca="false">IF($B1529="","",IF(AND(N($I1529)=0,N($J1529)=0),"금액이 없습니다",IF(AND($I1529&gt;0,$J1529&gt;0),"수입·지출 둘 다 적혔습니다",IF($C1529="","결제수단을 고르십시오",IF(ISNA(MATCH($C1529,'교육원 ③ 통장·카드'!$A$5:$A$11,0)),"③ 통장·카드에 없는 결제수단입니다",IF($D1529="","계정과목을 고르십시오",IF($E1529="※없는 과목","④ 설정에 없는 과목입니다",IF(AND($E1529="수입",$J1529&gt;0),"수입 과목인데 지출에 적혔습니다",IF(AND(LEFT($E1529,2)&lt;&gt;"수입",$E1529&lt;&gt;"대체",$I1529&gt;0),"지출 과목인데 수입에 적혔습니다",IF($K1529="","증빙을 고르십시오",IF($H1529="","적요를 적으십시오","")))))))))))</f>
        <v/>
      </c>
      <c r="M1529" s="39"/>
      <c r="O1529" s="11" t="str">
        <f aca="false">IF($B1529="","",YEAR($B1529)*100+MONTH($B1529))</f>
        <v/>
      </c>
      <c r="P1529" s="11" t="str">
        <f aca="false">IF($B1529="","",IF($E1529="대체",0,1))</f>
        <v/>
      </c>
    </row>
    <row r="1530" customFormat="false" ht="15" hidden="false" customHeight="false" outlineLevel="0" collapsed="false">
      <c r="A1530" s="36" t="str">
        <f aca="false">IF($B1530="","",COUNT($B$15:$B1530))</f>
        <v/>
      </c>
      <c r="B1530" s="37"/>
      <c r="C1530" s="38"/>
      <c r="D1530" s="20"/>
      <c r="E1530" s="36" t="str">
        <f aca="false">IF($D1530="","",IFERROR(INDEX('교육원 ④ 설정'!$A$6:$A$40,MATCH($D1530,'교육원 ④ 설정'!$B$6:$B$40,0)),"※없는 과목"))</f>
        <v/>
      </c>
      <c r="F1530" s="36" t="str">
        <f aca="false">IF($D1530="","",IFERROR(INDEX('교육원 ④ 설정'!$C$6:$C$40,MATCH($D1530,'교육원 ④ 설정'!$B$6:$B$40,0)),""))</f>
        <v/>
      </c>
      <c r="G1530" s="39"/>
      <c r="H1530" s="39"/>
      <c r="I1530" s="40"/>
      <c r="J1530" s="41"/>
      <c r="K1530" s="38"/>
      <c r="L1530" s="42" t="str">
        <f aca="false">IF($B1530="","",IF(AND(N($I1530)=0,N($J1530)=0),"금액이 없습니다",IF(AND($I1530&gt;0,$J1530&gt;0),"수입·지출 둘 다 적혔습니다",IF($C1530="","결제수단을 고르십시오",IF(ISNA(MATCH($C1530,'교육원 ③ 통장·카드'!$A$5:$A$11,0)),"③ 통장·카드에 없는 결제수단입니다",IF($D1530="","계정과목을 고르십시오",IF($E1530="※없는 과목","④ 설정에 없는 과목입니다",IF(AND($E1530="수입",$J1530&gt;0),"수입 과목인데 지출에 적혔습니다",IF(AND(LEFT($E1530,2)&lt;&gt;"수입",$E1530&lt;&gt;"대체",$I1530&gt;0),"지출 과목인데 수입에 적혔습니다",IF($K1530="","증빙을 고르십시오",IF($H1530="","적요를 적으십시오","")))))))))))</f>
        <v/>
      </c>
      <c r="M1530" s="39"/>
      <c r="O1530" s="11" t="str">
        <f aca="false">IF($B1530="","",YEAR($B1530)*100+MONTH($B1530))</f>
        <v/>
      </c>
      <c r="P1530" s="11" t="str">
        <f aca="false">IF($B1530="","",IF($E1530="대체",0,1))</f>
        <v/>
      </c>
    </row>
    <row r="1531" customFormat="false" ht="15" hidden="false" customHeight="false" outlineLevel="0" collapsed="false">
      <c r="A1531" s="36" t="str">
        <f aca="false">IF($B1531="","",COUNT($B$15:$B1531))</f>
        <v/>
      </c>
      <c r="B1531" s="37"/>
      <c r="C1531" s="38"/>
      <c r="D1531" s="20"/>
      <c r="E1531" s="36" t="str">
        <f aca="false">IF($D1531="","",IFERROR(INDEX('교육원 ④ 설정'!$A$6:$A$40,MATCH($D1531,'교육원 ④ 설정'!$B$6:$B$40,0)),"※없는 과목"))</f>
        <v/>
      </c>
      <c r="F1531" s="36" t="str">
        <f aca="false">IF($D1531="","",IFERROR(INDEX('교육원 ④ 설정'!$C$6:$C$40,MATCH($D1531,'교육원 ④ 설정'!$B$6:$B$40,0)),""))</f>
        <v/>
      </c>
      <c r="G1531" s="39"/>
      <c r="H1531" s="39"/>
      <c r="I1531" s="40"/>
      <c r="J1531" s="41"/>
      <c r="K1531" s="38"/>
      <c r="L1531" s="42" t="str">
        <f aca="false">IF($B1531="","",IF(AND(N($I1531)=0,N($J1531)=0),"금액이 없습니다",IF(AND($I1531&gt;0,$J1531&gt;0),"수입·지출 둘 다 적혔습니다",IF($C1531="","결제수단을 고르십시오",IF(ISNA(MATCH($C1531,'교육원 ③ 통장·카드'!$A$5:$A$11,0)),"③ 통장·카드에 없는 결제수단입니다",IF($D1531="","계정과목을 고르십시오",IF($E1531="※없는 과목","④ 설정에 없는 과목입니다",IF(AND($E1531="수입",$J1531&gt;0),"수입 과목인데 지출에 적혔습니다",IF(AND(LEFT($E1531,2)&lt;&gt;"수입",$E1531&lt;&gt;"대체",$I1531&gt;0),"지출 과목인데 수입에 적혔습니다",IF($K1531="","증빙을 고르십시오",IF($H1531="","적요를 적으십시오","")))))))))))</f>
        <v/>
      </c>
      <c r="M1531" s="39"/>
      <c r="O1531" s="11" t="str">
        <f aca="false">IF($B1531="","",YEAR($B1531)*100+MONTH($B1531))</f>
        <v/>
      </c>
      <c r="P1531" s="11" t="str">
        <f aca="false">IF($B1531="","",IF($E1531="대체",0,1))</f>
        <v/>
      </c>
    </row>
    <row r="1532" customFormat="false" ht="15" hidden="false" customHeight="false" outlineLevel="0" collapsed="false">
      <c r="A1532" s="36" t="str">
        <f aca="false">IF($B1532="","",COUNT($B$15:$B1532))</f>
        <v/>
      </c>
      <c r="B1532" s="37"/>
      <c r="C1532" s="38"/>
      <c r="D1532" s="20"/>
      <c r="E1532" s="36" t="str">
        <f aca="false">IF($D1532="","",IFERROR(INDEX('교육원 ④ 설정'!$A$6:$A$40,MATCH($D1532,'교육원 ④ 설정'!$B$6:$B$40,0)),"※없는 과목"))</f>
        <v/>
      </c>
      <c r="F1532" s="36" t="str">
        <f aca="false">IF($D1532="","",IFERROR(INDEX('교육원 ④ 설정'!$C$6:$C$40,MATCH($D1532,'교육원 ④ 설정'!$B$6:$B$40,0)),""))</f>
        <v/>
      </c>
      <c r="G1532" s="39"/>
      <c r="H1532" s="39"/>
      <c r="I1532" s="40"/>
      <c r="J1532" s="41"/>
      <c r="K1532" s="38"/>
      <c r="L1532" s="42" t="str">
        <f aca="false">IF($B1532="","",IF(AND(N($I1532)=0,N($J1532)=0),"금액이 없습니다",IF(AND($I1532&gt;0,$J1532&gt;0),"수입·지출 둘 다 적혔습니다",IF($C1532="","결제수단을 고르십시오",IF(ISNA(MATCH($C1532,'교육원 ③ 통장·카드'!$A$5:$A$11,0)),"③ 통장·카드에 없는 결제수단입니다",IF($D1532="","계정과목을 고르십시오",IF($E1532="※없는 과목","④ 설정에 없는 과목입니다",IF(AND($E1532="수입",$J1532&gt;0),"수입 과목인데 지출에 적혔습니다",IF(AND(LEFT($E1532,2)&lt;&gt;"수입",$E1532&lt;&gt;"대체",$I1532&gt;0),"지출 과목인데 수입에 적혔습니다",IF($K1532="","증빙을 고르십시오",IF($H1532="","적요를 적으십시오","")))))))))))</f>
        <v/>
      </c>
      <c r="M1532" s="39"/>
      <c r="O1532" s="11" t="str">
        <f aca="false">IF($B1532="","",YEAR($B1532)*100+MONTH($B1532))</f>
        <v/>
      </c>
      <c r="P1532" s="11" t="str">
        <f aca="false">IF($B1532="","",IF($E1532="대체",0,1))</f>
        <v/>
      </c>
    </row>
    <row r="1533" customFormat="false" ht="15" hidden="false" customHeight="false" outlineLevel="0" collapsed="false">
      <c r="A1533" s="36" t="str">
        <f aca="false">IF($B1533="","",COUNT($B$15:$B1533))</f>
        <v/>
      </c>
      <c r="B1533" s="37"/>
      <c r="C1533" s="38"/>
      <c r="D1533" s="20"/>
      <c r="E1533" s="36" t="str">
        <f aca="false">IF($D1533="","",IFERROR(INDEX('교육원 ④ 설정'!$A$6:$A$40,MATCH($D1533,'교육원 ④ 설정'!$B$6:$B$40,0)),"※없는 과목"))</f>
        <v/>
      </c>
      <c r="F1533" s="36" t="str">
        <f aca="false">IF($D1533="","",IFERROR(INDEX('교육원 ④ 설정'!$C$6:$C$40,MATCH($D1533,'교육원 ④ 설정'!$B$6:$B$40,0)),""))</f>
        <v/>
      </c>
      <c r="G1533" s="39"/>
      <c r="H1533" s="39"/>
      <c r="I1533" s="40"/>
      <c r="J1533" s="41"/>
      <c r="K1533" s="38"/>
      <c r="L1533" s="42" t="str">
        <f aca="false">IF($B1533="","",IF(AND(N($I1533)=0,N($J1533)=0),"금액이 없습니다",IF(AND($I1533&gt;0,$J1533&gt;0),"수입·지출 둘 다 적혔습니다",IF($C1533="","결제수단을 고르십시오",IF(ISNA(MATCH($C1533,'교육원 ③ 통장·카드'!$A$5:$A$11,0)),"③ 통장·카드에 없는 결제수단입니다",IF($D1533="","계정과목을 고르십시오",IF($E1533="※없는 과목","④ 설정에 없는 과목입니다",IF(AND($E1533="수입",$J1533&gt;0),"수입 과목인데 지출에 적혔습니다",IF(AND(LEFT($E1533,2)&lt;&gt;"수입",$E1533&lt;&gt;"대체",$I1533&gt;0),"지출 과목인데 수입에 적혔습니다",IF($K1533="","증빙을 고르십시오",IF($H1533="","적요를 적으십시오","")))))))))))</f>
        <v/>
      </c>
      <c r="M1533" s="39"/>
      <c r="O1533" s="11" t="str">
        <f aca="false">IF($B1533="","",YEAR($B1533)*100+MONTH($B1533))</f>
        <v/>
      </c>
      <c r="P1533" s="11" t="str">
        <f aca="false">IF($B1533="","",IF($E1533="대체",0,1))</f>
        <v/>
      </c>
    </row>
    <row r="1534" customFormat="false" ht="15" hidden="false" customHeight="false" outlineLevel="0" collapsed="false">
      <c r="A1534" s="36" t="str">
        <f aca="false">IF($B1534="","",COUNT($B$15:$B1534))</f>
        <v/>
      </c>
      <c r="B1534" s="37"/>
      <c r="C1534" s="38"/>
      <c r="D1534" s="20"/>
      <c r="E1534" s="36" t="str">
        <f aca="false">IF($D1534="","",IFERROR(INDEX('교육원 ④ 설정'!$A$6:$A$40,MATCH($D1534,'교육원 ④ 설정'!$B$6:$B$40,0)),"※없는 과목"))</f>
        <v/>
      </c>
      <c r="F1534" s="36" t="str">
        <f aca="false">IF($D1534="","",IFERROR(INDEX('교육원 ④ 설정'!$C$6:$C$40,MATCH($D1534,'교육원 ④ 설정'!$B$6:$B$40,0)),""))</f>
        <v/>
      </c>
      <c r="G1534" s="39"/>
      <c r="H1534" s="39"/>
      <c r="I1534" s="40"/>
      <c r="J1534" s="41"/>
      <c r="K1534" s="38"/>
      <c r="L1534" s="42" t="str">
        <f aca="false">IF($B1534="","",IF(AND(N($I1534)=0,N($J1534)=0),"금액이 없습니다",IF(AND($I1534&gt;0,$J1534&gt;0),"수입·지출 둘 다 적혔습니다",IF($C1534="","결제수단을 고르십시오",IF(ISNA(MATCH($C1534,'교육원 ③ 통장·카드'!$A$5:$A$11,0)),"③ 통장·카드에 없는 결제수단입니다",IF($D1534="","계정과목을 고르십시오",IF($E1534="※없는 과목","④ 설정에 없는 과목입니다",IF(AND($E1534="수입",$J1534&gt;0),"수입 과목인데 지출에 적혔습니다",IF(AND(LEFT($E1534,2)&lt;&gt;"수입",$E1534&lt;&gt;"대체",$I1534&gt;0),"지출 과목인데 수입에 적혔습니다",IF($K1534="","증빙을 고르십시오",IF($H1534="","적요를 적으십시오","")))))))))))</f>
        <v/>
      </c>
      <c r="M1534" s="39"/>
      <c r="O1534" s="11" t="str">
        <f aca="false">IF($B1534="","",YEAR($B1534)*100+MONTH($B1534))</f>
        <v/>
      </c>
      <c r="P1534" s="11" t="str">
        <f aca="false">IF($B1534="","",IF($E1534="대체",0,1))</f>
        <v/>
      </c>
    </row>
    <row r="1535" customFormat="false" ht="15" hidden="false" customHeight="false" outlineLevel="0" collapsed="false">
      <c r="A1535" s="36" t="str">
        <f aca="false">IF($B1535="","",COUNT($B$15:$B1535))</f>
        <v/>
      </c>
      <c r="B1535" s="37"/>
      <c r="C1535" s="38"/>
      <c r="D1535" s="20"/>
      <c r="E1535" s="36" t="str">
        <f aca="false">IF($D1535="","",IFERROR(INDEX('교육원 ④ 설정'!$A$6:$A$40,MATCH($D1535,'교육원 ④ 설정'!$B$6:$B$40,0)),"※없는 과목"))</f>
        <v/>
      </c>
      <c r="F1535" s="36" t="str">
        <f aca="false">IF($D1535="","",IFERROR(INDEX('교육원 ④ 설정'!$C$6:$C$40,MATCH($D1535,'교육원 ④ 설정'!$B$6:$B$40,0)),""))</f>
        <v/>
      </c>
      <c r="G1535" s="39"/>
      <c r="H1535" s="39"/>
      <c r="I1535" s="40"/>
      <c r="J1535" s="41"/>
      <c r="K1535" s="38"/>
      <c r="L1535" s="42" t="str">
        <f aca="false">IF($B1535="","",IF(AND(N($I1535)=0,N($J1535)=0),"금액이 없습니다",IF(AND($I1535&gt;0,$J1535&gt;0),"수입·지출 둘 다 적혔습니다",IF($C1535="","결제수단을 고르십시오",IF(ISNA(MATCH($C1535,'교육원 ③ 통장·카드'!$A$5:$A$11,0)),"③ 통장·카드에 없는 결제수단입니다",IF($D1535="","계정과목을 고르십시오",IF($E1535="※없는 과목","④ 설정에 없는 과목입니다",IF(AND($E1535="수입",$J1535&gt;0),"수입 과목인데 지출에 적혔습니다",IF(AND(LEFT($E1535,2)&lt;&gt;"수입",$E1535&lt;&gt;"대체",$I1535&gt;0),"지출 과목인데 수입에 적혔습니다",IF($K1535="","증빙을 고르십시오",IF($H1535="","적요를 적으십시오","")))))))))))</f>
        <v/>
      </c>
      <c r="M1535" s="39"/>
      <c r="O1535" s="11" t="str">
        <f aca="false">IF($B1535="","",YEAR($B1535)*100+MONTH($B1535))</f>
        <v/>
      </c>
      <c r="P1535" s="11" t="str">
        <f aca="false">IF($B1535="","",IF($E1535="대체",0,1))</f>
        <v/>
      </c>
    </row>
    <row r="1536" customFormat="false" ht="15" hidden="false" customHeight="false" outlineLevel="0" collapsed="false">
      <c r="A1536" s="36" t="str">
        <f aca="false">IF($B1536="","",COUNT($B$15:$B1536))</f>
        <v/>
      </c>
      <c r="B1536" s="37"/>
      <c r="C1536" s="38"/>
      <c r="D1536" s="20"/>
      <c r="E1536" s="36" t="str">
        <f aca="false">IF($D1536="","",IFERROR(INDEX('교육원 ④ 설정'!$A$6:$A$40,MATCH($D1536,'교육원 ④ 설정'!$B$6:$B$40,0)),"※없는 과목"))</f>
        <v/>
      </c>
      <c r="F1536" s="36" t="str">
        <f aca="false">IF($D1536="","",IFERROR(INDEX('교육원 ④ 설정'!$C$6:$C$40,MATCH($D1536,'교육원 ④ 설정'!$B$6:$B$40,0)),""))</f>
        <v/>
      </c>
      <c r="G1536" s="39"/>
      <c r="H1536" s="39"/>
      <c r="I1536" s="40"/>
      <c r="J1536" s="41"/>
      <c r="K1536" s="38"/>
      <c r="L1536" s="42" t="str">
        <f aca="false">IF($B1536="","",IF(AND(N($I1536)=0,N($J1536)=0),"금액이 없습니다",IF(AND($I1536&gt;0,$J1536&gt;0),"수입·지출 둘 다 적혔습니다",IF($C1536="","결제수단을 고르십시오",IF(ISNA(MATCH($C1536,'교육원 ③ 통장·카드'!$A$5:$A$11,0)),"③ 통장·카드에 없는 결제수단입니다",IF($D1536="","계정과목을 고르십시오",IF($E1536="※없는 과목","④ 설정에 없는 과목입니다",IF(AND($E1536="수입",$J1536&gt;0),"수입 과목인데 지출에 적혔습니다",IF(AND(LEFT($E1536,2)&lt;&gt;"수입",$E1536&lt;&gt;"대체",$I1536&gt;0),"지출 과목인데 수입에 적혔습니다",IF($K1536="","증빙을 고르십시오",IF($H1536="","적요를 적으십시오","")))))))))))</f>
        <v/>
      </c>
      <c r="M1536" s="39"/>
      <c r="O1536" s="11" t="str">
        <f aca="false">IF($B1536="","",YEAR($B1536)*100+MONTH($B1536))</f>
        <v/>
      </c>
      <c r="P1536" s="11" t="str">
        <f aca="false">IF($B1536="","",IF($E1536="대체",0,1))</f>
        <v/>
      </c>
    </row>
    <row r="1537" customFormat="false" ht="15" hidden="false" customHeight="false" outlineLevel="0" collapsed="false">
      <c r="A1537" s="36" t="str">
        <f aca="false">IF($B1537="","",COUNT($B$15:$B1537))</f>
        <v/>
      </c>
      <c r="B1537" s="37"/>
      <c r="C1537" s="38"/>
      <c r="D1537" s="20"/>
      <c r="E1537" s="36" t="str">
        <f aca="false">IF($D1537="","",IFERROR(INDEX('교육원 ④ 설정'!$A$6:$A$40,MATCH($D1537,'교육원 ④ 설정'!$B$6:$B$40,0)),"※없는 과목"))</f>
        <v/>
      </c>
      <c r="F1537" s="36" t="str">
        <f aca="false">IF($D1537="","",IFERROR(INDEX('교육원 ④ 설정'!$C$6:$C$40,MATCH($D1537,'교육원 ④ 설정'!$B$6:$B$40,0)),""))</f>
        <v/>
      </c>
      <c r="G1537" s="39"/>
      <c r="H1537" s="39"/>
      <c r="I1537" s="40"/>
      <c r="J1537" s="41"/>
      <c r="K1537" s="38"/>
      <c r="L1537" s="42" t="str">
        <f aca="false">IF($B1537="","",IF(AND(N($I1537)=0,N($J1537)=0),"금액이 없습니다",IF(AND($I1537&gt;0,$J1537&gt;0),"수입·지출 둘 다 적혔습니다",IF($C1537="","결제수단을 고르십시오",IF(ISNA(MATCH($C1537,'교육원 ③ 통장·카드'!$A$5:$A$11,0)),"③ 통장·카드에 없는 결제수단입니다",IF($D1537="","계정과목을 고르십시오",IF($E1537="※없는 과목","④ 설정에 없는 과목입니다",IF(AND($E1537="수입",$J1537&gt;0),"수입 과목인데 지출에 적혔습니다",IF(AND(LEFT($E1537,2)&lt;&gt;"수입",$E1537&lt;&gt;"대체",$I1537&gt;0),"지출 과목인데 수입에 적혔습니다",IF($K1537="","증빙을 고르십시오",IF($H1537="","적요를 적으십시오","")))))))))))</f>
        <v/>
      </c>
      <c r="M1537" s="39"/>
      <c r="O1537" s="11" t="str">
        <f aca="false">IF($B1537="","",YEAR($B1537)*100+MONTH($B1537))</f>
        <v/>
      </c>
      <c r="P1537" s="11" t="str">
        <f aca="false">IF($B1537="","",IF($E1537="대체",0,1))</f>
        <v/>
      </c>
    </row>
    <row r="1538" customFormat="false" ht="15" hidden="false" customHeight="false" outlineLevel="0" collapsed="false">
      <c r="A1538" s="36" t="str">
        <f aca="false">IF($B1538="","",COUNT($B$15:$B1538))</f>
        <v/>
      </c>
      <c r="B1538" s="37"/>
      <c r="C1538" s="38"/>
      <c r="D1538" s="20"/>
      <c r="E1538" s="36" t="str">
        <f aca="false">IF($D1538="","",IFERROR(INDEX('교육원 ④ 설정'!$A$6:$A$40,MATCH($D1538,'교육원 ④ 설정'!$B$6:$B$40,0)),"※없는 과목"))</f>
        <v/>
      </c>
      <c r="F1538" s="36" t="str">
        <f aca="false">IF($D1538="","",IFERROR(INDEX('교육원 ④ 설정'!$C$6:$C$40,MATCH($D1538,'교육원 ④ 설정'!$B$6:$B$40,0)),""))</f>
        <v/>
      </c>
      <c r="G1538" s="39"/>
      <c r="H1538" s="39"/>
      <c r="I1538" s="40"/>
      <c r="J1538" s="41"/>
      <c r="K1538" s="38"/>
      <c r="L1538" s="42" t="str">
        <f aca="false">IF($B1538="","",IF(AND(N($I1538)=0,N($J1538)=0),"금액이 없습니다",IF(AND($I1538&gt;0,$J1538&gt;0),"수입·지출 둘 다 적혔습니다",IF($C1538="","결제수단을 고르십시오",IF(ISNA(MATCH($C1538,'교육원 ③ 통장·카드'!$A$5:$A$11,0)),"③ 통장·카드에 없는 결제수단입니다",IF($D1538="","계정과목을 고르십시오",IF($E1538="※없는 과목","④ 설정에 없는 과목입니다",IF(AND($E1538="수입",$J1538&gt;0),"수입 과목인데 지출에 적혔습니다",IF(AND(LEFT($E1538,2)&lt;&gt;"수입",$E1538&lt;&gt;"대체",$I1538&gt;0),"지출 과목인데 수입에 적혔습니다",IF($K1538="","증빙을 고르십시오",IF($H1538="","적요를 적으십시오","")))))))))))</f>
        <v/>
      </c>
      <c r="M1538" s="39"/>
      <c r="O1538" s="11" t="str">
        <f aca="false">IF($B1538="","",YEAR($B1538)*100+MONTH($B1538))</f>
        <v/>
      </c>
      <c r="P1538" s="11" t="str">
        <f aca="false">IF($B1538="","",IF($E1538="대체",0,1))</f>
        <v/>
      </c>
    </row>
    <row r="1539" customFormat="false" ht="15" hidden="false" customHeight="false" outlineLevel="0" collapsed="false">
      <c r="A1539" s="36" t="str">
        <f aca="false">IF($B1539="","",COUNT($B$15:$B1539))</f>
        <v/>
      </c>
      <c r="B1539" s="37"/>
      <c r="C1539" s="38"/>
      <c r="D1539" s="20"/>
      <c r="E1539" s="36" t="str">
        <f aca="false">IF($D1539="","",IFERROR(INDEX('교육원 ④ 설정'!$A$6:$A$40,MATCH($D1539,'교육원 ④ 설정'!$B$6:$B$40,0)),"※없는 과목"))</f>
        <v/>
      </c>
      <c r="F1539" s="36" t="str">
        <f aca="false">IF($D1539="","",IFERROR(INDEX('교육원 ④ 설정'!$C$6:$C$40,MATCH($D1539,'교육원 ④ 설정'!$B$6:$B$40,0)),""))</f>
        <v/>
      </c>
      <c r="G1539" s="39"/>
      <c r="H1539" s="39"/>
      <c r="I1539" s="40"/>
      <c r="J1539" s="41"/>
      <c r="K1539" s="38"/>
      <c r="L1539" s="42" t="str">
        <f aca="false">IF($B1539="","",IF(AND(N($I1539)=0,N($J1539)=0),"금액이 없습니다",IF(AND($I1539&gt;0,$J1539&gt;0),"수입·지출 둘 다 적혔습니다",IF($C1539="","결제수단을 고르십시오",IF(ISNA(MATCH($C1539,'교육원 ③ 통장·카드'!$A$5:$A$11,0)),"③ 통장·카드에 없는 결제수단입니다",IF($D1539="","계정과목을 고르십시오",IF($E1539="※없는 과목","④ 설정에 없는 과목입니다",IF(AND($E1539="수입",$J1539&gt;0),"수입 과목인데 지출에 적혔습니다",IF(AND(LEFT($E1539,2)&lt;&gt;"수입",$E1539&lt;&gt;"대체",$I1539&gt;0),"지출 과목인데 수입에 적혔습니다",IF($K1539="","증빙을 고르십시오",IF($H1539="","적요를 적으십시오","")))))))))))</f>
        <v/>
      </c>
      <c r="M1539" s="39"/>
      <c r="O1539" s="11" t="str">
        <f aca="false">IF($B1539="","",YEAR($B1539)*100+MONTH($B1539))</f>
        <v/>
      </c>
      <c r="P1539" s="11" t="str">
        <f aca="false">IF($B1539="","",IF($E1539="대체",0,1))</f>
        <v/>
      </c>
    </row>
    <row r="1540" customFormat="false" ht="15" hidden="false" customHeight="false" outlineLevel="0" collapsed="false">
      <c r="A1540" s="36" t="str">
        <f aca="false">IF($B1540="","",COUNT($B$15:$B1540))</f>
        <v/>
      </c>
      <c r="B1540" s="37"/>
      <c r="C1540" s="38"/>
      <c r="D1540" s="20"/>
      <c r="E1540" s="36" t="str">
        <f aca="false">IF($D1540="","",IFERROR(INDEX('교육원 ④ 설정'!$A$6:$A$40,MATCH($D1540,'교육원 ④ 설정'!$B$6:$B$40,0)),"※없는 과목"))</f>
        <v/>
      </c>
      <c r="F1540" s="36" t="str">
        <f aca="false">IF($D1540="","",IFERROR(INDEX('교육원 ④ 설정'!$C$6:$C$40,MATCH($D1540,'교육원 ④ 설정'!$B$6:$B$40,0)),""))</f>
        <v/>
      </c>
      <c r="G1540" s="39"/>
      <c r="H1540" s="39"/>
      <c r="I1540" s="40"/>
      <c r="J1540" s="41"/>
      <c r="K1540" s="38"/>
      <c r="L1540" s="42" t="str">
        <f aca="false">IF($B1540="","",IF(AND(N($I1540)=0,N($J1540)=0),"금액이 없습니다",IF(AND($I1540&gt;0,$J1540&gt;0),"수입·지출 둘 다 적혔습니다",IF($C1540="","결제수단을 고르십시오",IF(ISNA(MATCH($C1540,'교육원 ③ 통장·카드'!$A$5:$A$11,0)),"③ 통장·카드에 없는 결제수단입니다",IF($D1540="","계정과목을 고르십시오",IF($E1540="※없는 과목","④ 설정에 없는 과목입니다",IF(AND($E1540="수입",$J1540&gt;0),"수입 과목인데 지출에 적혔습니다",IF(AND(LEFT($E1540,2)&lt;&gt;"수입",$E1540&lt;&gt;"대체",$I1540&gt;0),"지출 과목인데 수입에 적혔습니다",IF($K1540="","증빙을 고르십시오",IF($H1540="","적요를 적으십시오","")))))))))))</f>
        <v/>
      </c>
      <c r="M1540" s="39"/>
      <c r="O1540" s="11" t="str">
        <f aca="false">IF($B1540="","",YEAR($B1540)*100+MONTH($B1540))</f>
        <v/>
      </c>
      <c r="P1540" s="11" t="str">
        <f aca="false">IF($B1540="","",IF($E1540="대체",0,1))</f>
        <v/>
      </c>
    </row>
    <row r="1541" customFormat="false" ht="15" hidden="false" customHeight="false" outlineLevel="0" collapsed="false">
      <c r="A1541" s="36" t="str">
        <f aca="false">IF($B1541="","",COUNT($B$15:$B1541))</f>
        <v/>
      </c>
      <c r="B1541" s="37"/>
      <c r="C1541" s="38"/>
      <c r="D1541" s="20"/>
      <c r="E1541" s="36" t="str">
        <f aca="false">IF($D1541="","",IFERROR(INDEX('교육원 ④ 설정'!$A$6:$A$40,MATCH($D1541,'교육원 ④ 설정'!$B$6:$B$40,0)),"※없는 과목"))</f>
        <v/>
      </c>
      <c r="F1541" s="36" t="str">
        <f aca="false">IF($D1541="","",IFERROR(INDEX('교육원 ④ 설정'!$C$6:$C$40,MATCH($D1541,'교육원 ④ 설정'!$B$6:$B$40,0)),""))</f>
        <v/>
      </c>
      <c r="G1541" s="39"/>
      <c r="H1541" s="39"/>
      <c r="I1541" s="40"/>
      <c r="J1541" s="41"/>
      <c r="K1541" s="38"/>
      <c r="L1541" s="42" t="str">
        <f aca="false">IF($B1541="","",IF(AND(N($I1541)=0,N($J1541)=0),"금액이 없습니다",IF(AND($I1541&gt;0,$J1541&gt;0),"수입·지출 둘 다 적혔습니다",IF($C1541="","결제수단을 고르십시오",IF(ISNA(MATCH($C1541,'교육원 ③ 통장·카드'!$A$5:$A$11,0)),"③ 통장·카드에 없는 결제수단입니다",IF($D1541="","계정과목을 고르십시오",IF($E1541="※없는 과목","④ 설정에 없는 과목입니다",IF(AND($E1541="수입",$J1541&gt;0),"수입 과목인데 지출에 적혔습니다",IF(AND(LEFT($E1541,2)&lt;&gt;"수입",$E1541&lt;&gt;"대체",$I1541&gt;0),"지출 과목인데 수입에 적혔습니다",IF($K1541="","증빙을 고르십시오",IF($H1541="","적요를 적으십시오","")))))))))))</f>
        <v/>
      </c>
      <c r="M1541" s="39"/>
      <c r="O1541" s="11" t="str">
        <f aca="false">IF($B1541="","",YEAR($B1541)*100+MONTH($B1541))</f>
        <v/>
      </c>
      <c r="P1541" s="11" t="str">
        <f aca="false">IF($B1541="","",IF($E1541="대체",0,1))</f>
        <v/>
      </c>
    </row>
    <row r="1542" customFormat="false" ht="15" hidden="false" customHeight="false" outlineLevel="0" collapsed="false">
      <c r="A1542" s="36" t="str">
        <f aca="false">IF($B1542="","",COUNT($B$15:$B1542))</f>
        <v/>
      </c>
      <c r="B1542" s="37"/>
      <c r="C1542" s="38"/>
      <c r="D1542" s="20"/>
      <c r="E1542" s="36" t="str">
        <f aca="false">IF($D1542="","",IFERROR(INDEX('교육원 ④ 설정'!$A$6:$A$40,MATCH($D1542,'교육원 ④ 설정'!$B$6:$B$40,0)),"※없는 과목"))</f>
        <v/>
      </c>
      <c r="F1542" s="36" t="str">
        <f aca="false">IF($D1542="","",IFERROR(INDEX('교육원 ④ 설정'!$C$6:$C$40,MATCH($D1542,'교육원 ④ 설정'!$B$6:$B$40,0)),""))</f>
        <v/>
      </c>
      <c r="G1542" s="39"/>
      <c r="H1542" s="39"/>
      <c r="I1542" s="40"/>
      <c r="J1542" s="41"/>
      <c r="K1542" s="38"/>
      <c r="L1542" s="42" t="str">
        <f aca="false">IF($B1542="","",IF(AND(N($I1542)=0,N($J1542)=0),"금액이 없습니다",IF(AND($I1542&gt;0,$J1542&gt;0),"수입·지출 둘 다 적혔습니다",IF($C1542="","결제수단을 고르십시오",IF(ISNA(MATCH($C1542,'교육원 ③ 통장·카드'!$A$5:$A$11,0)),"③ 통장·카드에 없는 결제수단입니다",IF($D1542="","계정과목을 고르십시오",IF($E1542="※없는 과목","④ 설정에 없는 과목입니다",IF(AND($E1542="수입",$J1542&gt;0),"수입 과목인데 지출에 적혔습니다",IF(AND(LEFT($E1542,2)&lt;&gt;"수입",$E1542&lt;&gt;"대체",$I1542&gt;0),"지출 과목인데 수입에 적혔습니다",IF($K1542="","증빙을 고르십시오",IF($H1542="","적요를 적으십시오","")))))))))))</f>
        <v/>
      </c>
      <c r="M1542" s="39"/>
      <c r="O1542" s="11" t="str">
        <f aca="false">IF($B1542="","",YEAR($B1542)*100+MONTH($B1542))</f>
        <v/>
      </c>
      <c r="P1542" s="11" t="str">
        <f aca="false">IF($B1542="","",IF($E1542="대체",0,1))</f>
        <v/>
      </c>
    </row>
    <row r="1543" customFormat="false" ht="15" hidden="false" customHeight="false" outlineLevel="0" collapsed="false">
      <c r="A1543" s="36" t="str">
        <f aca="false">IF($B1543="","",COUNT($B$15:$B1543))</f>
        <v/>
      </c>
      <c r="B1543" s="37"/>
      <c r="C1543" s="38"/>
      <c r="D1543" s="20"/>
      <c r="E1543" s="36" t="str">
        <f aca="false">IF($D1543="","",IFERROR(INDEX('교육원 ④ 설정'!$A$6:$A$40,MATCH($D1543,'교육원 ④ 설정'!$B$6:$B$40,0)),"※없는 과목"))</f>
        <v/>
      </c>
      <c r="F1543" s="36" t="str">
        <f aca="false">IF($D1543="","",IFERROR(INDEX('교육원 ④ 설정'!$C$6:$C$40,MATCH($D1543,'교육원 ④ 설정'!$B$6:$B$40,0)),""))</f>
        <v/>
      </c>
      <c r="G1543" s="39"/>
      <c r="H1543" s="39"/>
      <c r="I1543" s="40"/>
      <c r="J1543" s="41"/>
      <c r="K1543" s="38"/>
      <c r="L1543" s="42" t="str">
        <f aca="false">IF($B1543="","",IF(AND(N($I1543)=0,N($J1543)=0),"금액이 없습니다",IF(AND($I1543&gt;0,$J1543&gt;0),"수입·지출 둘 다 적혔습니다",IF($C1543="","결제수단을 고르십시오",IF(ISNA(MATCH($C1543,'교육원 ③ 통장·카드'!$A$5:$A$11,0)),"③ 통장·카드에 없는 결제수단입니다",IF($D1543="","계정과목을 고르십시오",IF($E1543="※없는 과목","④ 설정에 없는 과목입니다",IF(AND($E1543="수입",$J1543&gt;0),"수입 과목인데 지출에 적혔습니다",IF(AND(LEFT($E1543,2)&lt;&gt;"수입",$E1543&lt;&gt;"대체",$I1543&gt;0),"지출 과목인데 수입에 적혔습니다",IF($K1543="","증빙을 고르십시오",IF($H1543="","적요를 적으십시오","")))))))))))</f>
        <v/>
      </c>
      <c r="M1543" s="39"/>
      <c r="O1543" s="11" t="str">
        <f aca="false">IF($B1543="","",YEAR($B1543)*100+MONTH($B1543))</f>
        <v/>
      </c>
      <c r="P1543" s="11" t="str">
        <f aca="false">IF($B1543="","",IF($E1543="대체",0,1))</f>
        <v/>
      </c>
    </row>
    <row r="1544" customFormat="false" ht="15" hidden="false" customHeight="false" outlineLevel="0" collapsed="false">
      <c r="A1544" s="36" t="str">
        <f aca="false">IF($B1544="","",COUNT($B$15:$B1544))</f>
        <v/>
      </c>
      <c r="B1544" s="37"/>
      <c r="C1544" s="38"/>
      <c r="D1544" s="20"/>
      <c r="E1544" s="36" t="str">
        <f aca="false">IF($D1544="","",IFERROR(INDEX('교육원 ④ 설정'!$A$6:$A$40,MATCH($D1544,'교육원 ④ 설정'!$B$6:$B$40,0)),"※없는 과목"))</f>
        <v/>
      </c>
      <c r="F1544" s="36" t="str">
        <f aca="false">IF($D1544="","",IFERROR(INDEX('교육원 ④ 설정'!$C$6:$C$40,MATCH($D1544,'교육원 ④ 설정'!$B$6:$B$40,0)),""))</f>
        <v/>
      </c>
      <c r="G1544" s="39"/>
      <c r="H1544" s="39"/>
      <c r="I1544" s="40"/>
      <c r="J1544" s="41"/>
      <c r="K1544" s="38"/>
      <c r="L1544" s="42" t="str">
        <f aca="false">IF($B1544="","",IF(AND(N($I1544)=0,N($J1544)=0),"금액이 없습니다",IF(AND($I1544&gt;0,$J1544&gt;0),"수입·지출 둘 다 적혔습니다",IF($C1544="","결제수단을 고르십시오",IF(ISNA(MATCH($C1544,'교육원 ③ 통장·카드'!$A$5:$A$11,0)),"③ 통장·카드에 없는 결제수단입니다",IF($D1544="","계정과목을 고르십시오",IF($E1544="※없는 과목","④ 설정에 없는 과목입니다",IF(AND($E1544="수입",$J1544&gt;0),"수입 과목인데 지출에 적혔습니다",IF(AND(LEFT($E1544,2)&lt;&gt;"수입",$E1544&lt;&gt;"대체",$I1544&gt;0),"지출 과목인데 수입에 적혔습니다",IF($K1544="","증빙을 고르십시오",IF($H1544="","적요를 적으십시오","")))))))))))</f>
        <v/>
      </c>
      <c r="M1544" s="39"/>
      <c r="O1544" s="11" t="str">
        <f aca="false">IF($B1544="","",YEAR($B1544)*100+MONTH($B1544))</f>
        <v/>
      </c>
      <c r="P1544" s="11" t="str">
        <f aca="false">IF($B1544="","",IF($E1544="대체",0,1))</f>
        <v/>
      </c>
    </row>
    <row r="1545" customFormat="false" ht="15" hidden="false" customHeight="false" outlineLevel="0" collapsed="false">
      <c r="A1545" s="36" t="str">
        <f aca="false">IF($B1545="","",COUNT($B$15:$B1545))</f>
        <v/>
      </c>
      <c r="B1545" s="37"/>
      <c r="C1545" s="38"/>
      <c r="D1545" s="20"/>
      <c r="E1545" s="36" t="str">
        <f aca="false">IF($D1545="","",IFERROR(INDEX('교육원 ④ 설정'!$A$6:$A$40,MATCH($D1545,'교육원 ④ 설정'!$B$6:$B$40,0)),"※없는 과목"))</f>
        <v/>
      </c>
      <c r="F1545" s="36" t="str">
        <f aca="false">IF($D1545="","",IFERROR(INDEX('교육원 ④ 설정'!$C$6:$C$40,MATCH($D1545,'교육원 ④ 설정'!$B$6:$B$40,0)),""))</f>
        <v/>
      </c>
      <c r="G1545" s="39"/>
      <c r="H1545" s="39"/>
      <c r="I1545" s="40"/>
      <c r="J1545" s="41"/>
      <c r="K1545" s="38"/>
      <c r="L1545" s="42" t="str">
        <f aca="false">IF($B1545="","",IF(AND(N($I1545)=0,N($J1545)=0),"금액이 없습니다",IF(AND($I1545&gt;0,$J1545&gt;0),"수입·지출 둘 다 적혔습니다",IF($C1545="","결제수단을 고르십시오",IF(ISNA(MATCH($C1545,'교육원 ③ 통장·카드'!$A$5:$A$11,0)),"③ 통장·카드에 없는 결제수단입니다",IF($D1545="","계정과목을 고르십시오",IF($E1545="※없는 과목","④ 설정에 없는 과목입니다",IF(AND($E1545="수입",$J1545&gt;0),"수입 과목인데 지출에 적혔습니다",IF(AND(LEFT($E1545,2)&lt;&gt;"수입",$E1545&lt;&gt;"대체",$I1545&gt;0),"지출 과목인데 수입에 적혔습니다",IF($K1545="","증빙을 고르십시오",IF($H1545="","적요를 적으십시오","")))))))))))</f>
        <v/>
      </c>
      <c r="M1545" s="39"/>
      <c r="O1545" s="11" t="str">
        <f aca="false">IF($B1545="","",YEAR($B1545)*100+MONTH($B1545))</f>
        <v/>
      </c>
      <c r="P1545" s="11" t="str">
        <f aca="false">IF($B1545="","",IF($E1545="대체",0,1))</f>
        <v/>
      </c>
    </row>
    <row r="1546" customFormat="false" ht="15" hidden="false" customHeight="false" outlineLevel="0" collapsed="false">
      <c r="A1546" s="36" t="str">
        <f aca="false">IF($B1546="","",COUNT($B$15:$B1546))</f>
        <v/>
      </c>
      <c r="B1546" s="37"/>
      <c r="C1546" s="38"/>
      <c r="D1546" s="20"/>
      <c r="E1546" s="36" t="str">
        <f aca="false">IF($D1546="","",IFERROR(INDEX('교육원 ④ 설정'!$A$6:$A$40,MATCH($D1546,'교육원 ④ 설정'!$B$6:$B$40,0)),"※없는 과목"))</f>
        <v/>
      </c>
      <c r="F1546" s="36" t="str">
        <f aca="false">IF($D1546="","",IFERROR(INDEX('교육원 ④ 설정'!$C$6:$C$40,MATCH($D1546,'교육원 ④ 설정'!$B$6:$B$40,0)),""))</f>
        <v/>
      </c>
      <c r="G1546" s="39"/>
      <c r="H1546" s="39"/>
      <c r="I1546" s="40"/>
      <c r="J1546" s="41"/>
      <c r="K1546" s="38"/>
      <c r="L1546" s="42" t="str">
        <f aca="false">IF($B1546="","",IF(AND(N($I1546)=0,N($J1546)=0),"금액이 없습니다",IF(AND($I1546&gt;0,$J1546&gt;0),"수입·지출 둘 다 적혔습니다",IF($C1546="","결제수단을 고르십시오",IF(ISNA(MATCH($C1546,'교육원 ③ 통장·카드'!$A$5:$A$11,0)),"③ 통장·카드에 없는 결제수단입니다",IF($D1546="","계정과목을 고르십시오",IF($E1546="※없는 과목","④ 설정에 없는 과목입니다",IF(AND($E1546="수입",$J1546&gt;0),"수입 과목인데 지출에 적혔습니다",IF(AND(LEFT($E1546,2)&lt;&gt;"수입",$E1546&lt;&gt;"대체",$I1546&gt;0),"지출 과목인데 수입에 적혔습니다",IF($K1546="","증빙을 고르십시오",IF($H1546="","적요를 적으십시오","")))))))))))</f>
        <v/>
      </c>
      <c r="M1546" s="39"/>
      <c r="O1546" s="11" t="str">
        <f aca="false">IF($B1546="","",YEAR($B1546)*100+MONTH($B1546))</f>
        <v/>
      </c>
      <c r="P1546" s="11" t="str">
        <f aca="false">IF($B1546="","",IF($E1546="대체",0,1))</f>
        <v/>
      </c>
    </row>
    <row r="1547" customFormat="false" ht="15" hidden="false" customHeight="false" outlineLevel="0" collapsed="false">
      <c r="A1547" s="36" t="str">
        <f aca="false">IF($B1547="","",COUNT($B$15:$B1547))</f>
        <v/>
      </c>
      <c r="B1547" s="37"/>
      <c r="C1547" s="38"/>
      <c r="D1547" s="20"/>
      <c r="E1547" s="36" t="str">
        <f aca="false">IF($D1547="","",IFERROR(INDEX('교육원 ④ 설정'!$A$6:$A$40,MATCH($D1547,'교육원 ④ 설정'!$B$6:$B$40,0)),"※없는 과목"))</f>
        <v/>
      </c>
      <c r="F1547" s="36" t="str">
        <f aca="false">IF($D1547="","",IFERROR(INDEX('교육원 ④ 설정'!$C$6:$C$40,MATCH($D1547,'교육원 ④ 설정'!$B$6:$B$40,0)),""))</f>
        <v/>
      </c>
      <c r="G1547" s="39"/>
      <c r="H1547" s="39"/>
      <c r="I1547" s="40"/>
      <c r="J1547" s="41"/>
      <c r="K1547" s="38"/>
      <c r="L1547" s="42" t="str">
        <f aca="false">IF($B1547="","",IF(AND(N($I1547)=0,N($J1547)=0),"금액이 없습니다",IF(AND($I1547&gt;0,$J1547&gt;0),"수입·지출 둘 다 적혔습니다",IF($C1547="","결제수단을 고르십시오",IF(ISNA(MATCH($C1547,'교육원 ③ 통장·카드'!$A$5:$A$11,0)),"③ 통장·카드에 없는 결제수단입니다",IF($D1547="","계정과목을 고르십시오",IF($E1547="※없는 과목","④ 설정에 없는 과목입니다",IF(AND($E1547="수입",$J1547&gt;0),"수입 과목인데 지출에 적혔습니다",IF(AND(LEFT($E1547,2)&lt;&gt;"수입",$E1547&lt;&gt;"대체",$I1547&gt;0),"지출 과목인데 수입에 적혔습니다",IF($K1547="","증빙을 고르십시오",IF($H1547="","적요를 적으십시오","")))))))))))</f>
        <v/>
      </c>
      <c r="M1547" s="39"/>
      <c r="O1547" s="11" t="str">
        <f aca="false">IF($B1547="","",YEAR($B1547)*100+MONTH($B1547))</f>
        <v/>
      </c>
      <c r="P1547" s="11" t="str">
        <f aca="false">IF($B1547="","",IF($E1547="대체",0,1))</f>
        <v/>
      </c>
    </row>
    <row r="1548" customFormat="false" ht="15" hidden="false" customHeight="false" outlineLevel="0" collapsed="false">
      <c r="A1548" s="36" t="str">
        <f aca="false">IF($B1548="","",COUNT($B$15:$B1548))</f>
        <v/>
      </c>
      <c r="B1548" s="37"/>
      <c r="C1548" s="38"/>
      <c r="D1548" s="20"/>
      <c r="E1548" s="36" t="str">
        <f aca="false">IF($D1548="","",IFERROR(INDEX('교육원 ④ 설정'!$A$6:$A$40,MATCH($D1548,'교육원 ④ 설정'!$B$6:$B$40,0)),"※없는 과목"))</f>
        <v/>
      </c>
      <c r="F1548" s="36" t="str">
        <f aca="false">IF($D1548="","",IFERROR(INDEX('교육원 ④ 설정'!$C$6:$C$40,MATCH($D1548,'교육원 ④ 설정'!$B$6:$B$40,0)),""))</f>
        <v/>
      </c>
      <c r="G1548" s="39"/>
      <c r="H1548" s="39"/>
      <c r="I1548" s="40"/>
      <c r="J1548" s="41"/>
      <c r="K1548" s="38"/>
      <c r="L1548" s="42" t="str">
        <f aca="false">IF($B1548="","",IF(AND(N($I1548)=0,N($J1548)=0),"금액이 없습니다",IF(AND($I1548&gt;0,$J1548&gt;0),"수입·지출 둘 다 적혔습니다",IF($C1548="","결제수단을 고르십시오",IF(ISNA(MATCH($C1548,'교육원 ③ 통장·카드'!$A$5:$A$11,0)),"③ 통장·카드에 없는 결제수단입니다",IF($D1548="","계정과목을 고르십시오",IF($E1548="※없는 과목","④ 설정에 없는 과목입니다",IF(AND($E1548="수입",$J1548&gt;0),"수입 과목인데 지출에 적혔습니다",IF(AND(LEFT($E1548,2)&lt;&gt;"수입",$E1548&lt;&gt;"대체",$I1548&gt;0),"지출 과목인데 수입에 적혔습니다",IF($K1548="","증빙을 고르십시오",IF($H1548="","적요를 적으십시오","")))))))))))</f>
        <v/>
      </c>
      <c r="M1548" s="39"/>
      <c r="O1548" s="11" t="str">
        <f aca="false">IF($B1548="","",YEAR($B1548)*100+MONTH($B1548))</f>
        <v/>
      </c>
      <c r="P1548" s="11" t="str">
        <f aca="false">IF($B1548="","",IF($E1548="대체",0,1))</f>
        <v/>
      </c>
    </row>
    <row r="1549" customFormat="false" ht="15" hidden="false" customHeight="false" outlineLevel="0" collapsed="false">
      <c r="A1549" s="36" t="str">
        <f aca="false">IF($B1549="","",COUNT($B$15:$B1549))</f>
        <v/>
      </c>
      <c r="B1549" s="37"/>
      <c r="C1549" s="38"/>
      <c r="D1549" s="20"/>
      <c r="E1549" s="36" t="str">
        <f aca="false">IF($D1549="","",IFERROR(INDEX('교육원 ④ 설정'!$A$6:$A$40,MATCH($D1549,'교육원 ④ 설정'!$B$6:$B$40,0)),"※없는 과목"))</f>
        <v/>
      </c>
      <c r="F1549" s="36" t="str">
        <f aca="false">IF($D1549="","",IFERROR(INDEX('교육원 ④ 설정'!$C$6:$C$40,MATCH($D1549,'교육원 ④ 설정'!$B$6:$B$40,0)),""))</f>
        <v/>
      </c>
      <c r="G1549" s="39"/>
      <c r="H1549" s="39"/>
      <c r="I1549" s="40"/>
      <c r="J1549" s="41"/>
      <c r="K1549" s="38"/>
      <c r="L1549" s="42" t="str">
        <f aca="false">IF($B1549="","",IF(AND(N($I1549)=0,N($J1549)=0),"금액이 없습니다",IF(AND($I1549&gt;0,$J1549&gt;0),"수입·지출 둘 다 적혔습니다",IF($C1549="","결제수단을 고르십시오",IF(ISNA(MATCH($C1549,'교육원 ③ 통장·카드'!$A$5:$A$11,0)),"③ 통장·카드에 없는 결제수단입니다",IF($D1549="","계정과목을 고르십시오",IF($E1549="※없는 과목","④ 설정에 없는 과목입니다",IF(AND($E1549="수입",$J1549&gt;0),"수입 과목인데 지출에 적혔습니다",IF(AND(LEFT($E1549,2)&lt;&gt;"수입",$E1549&lt;&gt;"대체",$I1549&gt;0),"지출 과목인데 수입에 적혔습니다",IF($K1549="","증빙을 고르십시오",IF($H1549="","적요를 적으십시오","")))))))))))</f>
        <v/>
      </c>
      <c r="M1549" s="39"/>
      <c r="O1549" s="11" t="str">
        <f aca="false">IF($B1549="","",YEAR($B1549)*100+MONTH($B1549))</f>
        <v/>
      </c>
      <c r="P1549" s="11" t="str">
        <f aca="false">IF($B1549="","",IF($E1549="대체",0,1))</f>
        <v/>
      </c>
    </row>
    <row r="1550" customFormat="false" ht="15" hidden="false" customHeight="false" outlineLevel="0" collapsed="false">
      <c r="A1550" s="36" t="str">
        <f aca="false">IF($B1550="","",COUNT($B$15:$B1550))</f>
        <v/>
      </c>
      <c r="B1550" s="37"/>
      <c r="C1550" s="38"/>
      <c r="D1550" s="20"/>
      <c r="E1550" s="36" t="str">
        <f aca="false">IF($D1550="","",IFERROR(INDEX('교육원 ④ 설정'!$A$6:$A$40,MATCH($D1550,'교육원 ④ 설정'!$B$6:$B$40,0)),"※없는 과목"))</f>
        <v/>
      </c>
      <c r="F1550" s="36" t="str">
        <f aca="false">IF($D1550="","",IFERROR(INDEX('교육원 ④ 설정'!$C$6:$C$40,MATCH($D1550,'교육원 ④ 설정'!$B$6:$B$40,0)),""))</f>
        <v/>
      </c>
      <c r="G1550" s="39"/>
      <c r="H1550" s="39"/>
      <c r="I1550" s="40"/>
      <c r="J1550" s="41"/>
      <c r="K1550" s="38"/>
      <c r="L1550" s="42" t="str">
        <f aca="false">IF($B1550="","",IF(AND(N($I1550)=0,N($J1550)=0),"금액이 없습니다",IF(AND($I1550&gt;0,$J1550&gt;0),"수입·지출 둘 다 적혔습니다",IF($C1550="","결제수단을 고르십시오",IF(ISNA(MATCH($C1550,'교육원 ③ 통장·카드'!$A$5:$A$11,0)),"③ 통장·카드에 없는 결제수단입니다",IF($D1550="","계정과목을 고르십시오",IF($E1550="※없는 과목","④ 설정에 없는 과목입니다",IF(AND($E1550="수입",$J1550&gt;0),"수입 과목인데 지출에 적혔습니다",IF(AND(LEFT($E1550,2)&lt;&gt;"수입",$E1550&lt;&gt;"대체",$I1550&gt;0),"지출 과목인데 수입에 적혔습니다",IF($K1550="","증빙을 고르십시오",IF($H1550="","적요를 적으십시오","")))))))))))</f>
        <v/>
      </c>
      <c r="M1550" s="39"/>
      <c r="O1550" s="11" t="str">
        <f aca="false">IF($B1550="","",YEAR($B1550)*100+MONTH($B1550))</f>
        <v/>
      </c>
      <c r="P1550" s="11" t="str">
        <f aca="false">IF($B1550="","",IF($E1550="대체",0,1))</f>
        <v/>
      </c>
    </row>
    <row r="1551" customFormat="false" ht="15" hidden="false" customHeight="false" outlineLevel="0" collapsed="false">
      <c r="A1551" s="36" t="str">
        <f aca="false">IF($B1551="","",COUNT($B$15:$B1551))</f>
        <v/>
      </c>
      <c r="B1551" s="37"/>
      <c r="C1551" s="38"/>
      <c r="D1551" s="20"/>
      <c r="E1551" s="36" t="str">
        <f aca="false">IF($D1551="","",IFERROR(INDEX('교육원 ④ 설정'!$A$6:$A$40,MATCH($D1551,'교육원 ④ 설정'!$B$6:$B$40,0)),"※없는 과목"))</f>
        <v/>
      </c>
      <c r="F1551" s="36" t="str">
        <f aca="false">IF($D1551="","",IFERROR(INDEX('교육원 ④ 설정'!$C$6:$C$40,MATCH($D1551,'교육원 ④ 설정'!$B$6:$B$40,0)),""))</f>
        <v/>
      </c>
      <c r="G1551" s="39"/>
      <c r="H1551" s="39"/>
      <c r="I1551" s="40"/>
      <c r="J1551" s="41"/>
      <c r="K1551" s="38"/>
      <c r="L1551" s="42" t="str">
        <f aca="false">IF($B1551="","",IF(AND(N($I1551)=0,N($J1551)=0),"금액이 없습니다",IF(AND($I1551&gt;0,$J1551&gt;0),"수입·지출 둘 다 적혔습니다",IF($C1551="","결제수단을 고르십시오",IF(ISNA(MATCH($C1551,'교육원 ③ 통장·카드'!$A$5:$A$11,0)),"③ 통장·카드에 없는 결제수단입니다",IF($D1551="","계정과목을 고르십시오",IF($E1551="※없는 과목","④ 설정에 없는 과목입니다",IF(AND($E1551="수입",$J1551&gt;0),"수입 과목인데 지출에 적혔습니다",IF(AND(LEFT($E1551,2)&lt;&gt;"수입",$E1551&lt;&gt;"대체",$I1551&gt;0),"지출 과목인데 수입에 적혔습니다",IF($K1551="","증빙을 고르십시오",IF($H1551="","적요를 적으십시오","")))))))))))</f>
        <v/>
      </c>
      <c r="M1551" s="39"/>
      <c r="O1551" s="11" t="str">
        <f aca="false">IF($B1551="","",YEAR($B1551)*100+MONTH($B1551))</f>
        <v/>
      </c>
      <c r="P1551" s="11" t="str">
        <f aca="false">IF($B1551="","",IF($E1551="대체",0,1))</f>
        <v/>
      </c>
    </row>
    <row r="1552" customFormat="false" ht="15" hidden="false" customHeight="false" outlineLevel="0" collapsed="false">
      <c r="A1552" s="36" t="str">
        <f aca="false">IF($B1552="","",COUNT($B$15:$B1552))</f>
        <v/>
      </c>
      <c r="B1552" s="37"/>
      <c r="C1552" s="38"/>
      <c r="D1552" s="20"/>
      <c r="E1552" s="36" t="str">
        <f aca="false">IF($D1552="","",IFERROR(INDEX('교육원 ④ 설정'!$A$6:$A$40,MATCH($D1552,'교육원 ④ 설정'!$B$6:$B$40,0)),"※없는 과목"))</f>
        <v/>
      </c>
      <c r="F1552" s="36" t="str">
        <f aca="false">IF($D1552="","",IFERROR(INDEX('교육원 ④ 설정'!$C$6:$C$40,MATCH($D1552,'교육원 ④ 설정'!$B$6:$B$40,0)),""))</f>
        <v/>
      </c>
      <c r="G1552" s="39"/>
      <c r="H1552" s="39"/>
      <c r="I1552" s="40"/>
      <c r="J1552" s="41"/>
      <c r="K1552" s="38"/>
      <c r="L1552" s="42" t="str">
        <f aca="false">IF($B1552="","",IF(AND(N($I1552)=0,N($J1552)=0),"금액이 없습니다",IF(AND($I1552&gt;0,$J1552&gt;0),"수입·지출 둘 다 적혔습니다",IF($C1552="","결제수단을 고르십시오",IF(ISNA(MATCH($C1552,'교육원 ③ 통장·카드'!$A$5:$A$11,0)),"③ 통장·카드에 없는 결제수단입니다",IF($D1552="","계정과목을 고르십시오",IF($E1552="※없는 과목","④ 설정에 없는 과목입니다",IF(AND($E1552="수입",$J1552&gt;0),"수입 과목인데 지출에 적혔습니다",IF(AND(LEFT($E1552,2)&lt;&gt;"수입",$E1552&lt;&gt;"대체",$I1552&gt;0),"지출 과목인데 수입에 적혔습니다",IF($K1552="","증빙을 고르십시오",IF($H1552="","적요를 적으십시오","")))))))))))</f>
        <v/>
      </c>
      <c r="M1552" s="39"/>
      <c r="O1552" s="11" t="str">
        <f aca="false">IF($B1552="","",YEAR($B1552)*100+MONTH($B1552))</f>
        <v/>
      </c>
      <c r="P1552" s="11" t="str">
        <f aca="false">IF($B1552="","",IF($E1552="대체",0,1))</f>
        <v/>
      </c>
    </row>
    <row r="1553" customFormat="false" ht="15" hidden="false" customHeight="false" outlineLevel="0" collapsed="false">
      <c r="A1553" s="36" t="str">
        <f aca="false">IF($B1553="","",COUNT($B$15:$B1553))</f>
        <v/>
      </c>
      <c r="B1553" s="37"/>
      <c r="C1553" s="38"/>
      <c r="D1553" s="20"/>
      <c r="E1553" s="36" t="str">
        <f aca="false">IF($D1553="","",IFERROR(INDEX('교육원 ④ 설정'!$A$6:$A$40,MATCH($D1553,'교육원 ④ 설정'!$B$6:$B$40,0)),"※없는 과목"))</f>
        <v/>
      </c>
      <c r="F1553" s="36" t="str">
        <f aca="false">IF($D1553="","",IFERROR(INDEX('교육원 ④ 설정'!$C$6:$C$40,MATCH($D1553,'교육원 ④ 설정'!$B$6:$B$40,0)),""))</f>
        <v/>
      </c>
      <c r="G1553" s="39"/>
      <c r="H1553" s="39"/>
      <c r="I1553" s="40"/>
      <c r="J1553" s="41"/>
      <c r="K1553" s="38"/>
      <c r="L1553" s="42" t="str">
        <f aca="false">IF($B1553="","",IF(AND(N($I1553)=0,N($J1553)=0),"금액이 없습니다",IF(AND($I1553&gt;0,$J1553&gt;0),"수입·지출 둘 다 적혔습니다",IF($C1553="","결제수단을 고르십시오",IF(ISNA(MATCH($C1553,'교육원 ③ 통장·카드'!$A$5:$A$11,0)),"③ 통장·카드에 없는 결제수단입니다",IF($D1553="","계정과목을 고르십시오",IF($E1553="※없는 과목","④ 설정에 없는 과목입니다",IF(AND($E1553="수입",$J1553&gt;0),"수입 과목인데 지출에 적혔습니다",IF(AND(LEFT($E1553,2)&lt;&gt;"수입",$E1553&lt;&gt;"대체",$I1553&gt;0),"지출 과목인데 수입에 적혔습니다",IF($K1553="","증빙을 고르십시오",IF($H1553="","적요를 적으십시오","")))))))))))</f>
        <v/>
      </c>
      <c r="M1553" s="39"/>
      <c r="O1553" s="11" t="str">
        <f aca="false">IF($B1553="","",YEAR($B1553)*100+MONTH($B1553))</f>
        <v/>
      </c>
      <c r="P1553" s="11" t="str">
        <f aca="false">IF($B1553="","",IF($E1553="대체",0,1))</f>
        <v/>
      </c>
    </row>
    <row r="1554" customFormat="false" ht="15" hidden="false" customHeight="false" outlineLevel="0" collapsed="false">
      <c r="A1554" s="36" t="str">
        <f aca="false">IF($B1554="","",COUNT($B$15:$B1554))</f>
        <v/>
      </c>
      <c r="B1554" s="37"/>
      <c r="C1554" s="38"/>
      <c r="D1554" s="20"/>
      <c r="E1554" s="36" t="str">
        <f aca="false">IF($D1554="","",IFERROR(INDEX('교육원 ④ 설정'!$A$6:$A$40,MATCH($D1554,'교육원 ④ 설정'!$B$6:$B$40,0)),"※없는 과목"))</f>
        <v/>
      </c>
      <c r="F1554" s="36" t="str">
        <f aca="false">IF($D1554="","",IFERROR(INDEX('교육원 ④ 설정'!$C$6:$C$40,MATCH($D1554,'교육원 ④ 설정'!$B$6:$B$40,0)),""))</f>
        <v/>
      </c>
      <c r="G1554" s="39"/>
      <c r="H1554" s="39"/>
      <c r="I1554" s="40"/>
      <c r="J1554" s="41"/>
      <c r="K1554" s="38"/>
      <c r="L1554" s="42" t="str">
        <f aca="false">IF($B1554="","",IF(AND(N($I1554)=0,N($J1554)=0),"금액이 없습니다",IF(AND($I1554&gt;0,$J1554&gt;0),"수입·지출 둘 다 적혔습니다",IF($C1554="","결제수단을 고르십시오",IF(ISNA(MATCH($C1554,'교육원 ③ 통장·카드'!$A$5:$A$11,0)),"③ 통장·카드에 없는 결제수단입니다",IF($D1554="","계정과목을 고르십시오",IF($E1554="※없는 과목","④ 설정에 없는 과목입니다",IF(AND($E1554="수입",$J1554&gt;0),"수입 과목인데 지출에 적혔습니다",IF(AND(LEFT($E1554,2)&lt;&gt;"수입",$E1554&lt;&gt;"대체",$I1554&gt;0),"지출 과목인데 수입에 적혔습니다",IF($K1554="","증빙을 고르십시오",IF($H1554="","적요를 적으십시오","")))))))))))</f>
        <v/>
      </c>
      <c r="M1554" s="39"/>
      <c r="O1554" s="11" t="str">
        <f aca="false">IF($B1554="","",YEAR($B1554)*100+MONTH($B1554))</f>
        <v/>
      </c>
      <c r="P1554" s="11" t="str">
        <f aca="false">IF($B1554="","",IF($E1554="대체",0,1))</f>
        <v/>
      </c>
    </row>
    <row r="1555" customFormat="false" ht="15" hidden="false" customHeight="false" outlineLevel="0" collapsed="false">
      <c r="A1555" s="36" t="str">
        <f aca="false">IF($B1555="","",COUNT($B$15:$B1555))</f>
        <v/>
      </c>
      <c r="B1555" s="37"/>
      <c r="C1555" s="38"/>
      <c r="D1555" s="20"/>
      <c r="E1555" s="36" t="str">
        <f aca="false">IF($D1555="","",IFERROR(INDEX('교육원 ④ 설정'!$A$6:$A$40,MATCH($D1555,'교육원 ④ 설정'!$B$6:$B$40,0)),"※없는 과목"))</f>
        <v/>
      </c>
      <c r="F1555" s="36" t="str">
        <f aca="false">IF($D1555="","",IFERROR(INDEX('교육원 ④ 설정'!$C$6:$C$40,MATCH($D1555,'교육원 ④ 설정'!$B$6:$B$40,0)),""))</f>
        <v/>
      </c>
      <c r="G1555" s="39"/>
      <c r="H1555" s="39"/>
      <c r="I1555" s="40"/>
      <c r="J1555" s="41"/>
      <c r="K1555" s="38"/>
      <c r="L1555" s="42" t="str">
        <f aca="false">IF($B1555="","",IF(AND(N($I1555)=0,N($J1555)=0),"금액이 없습니다",IF(AND($I1555&gt;0,$J1555&gt;0),"수입·지출 둘 다 적혔습니다",IF($C1555="","결제수단을 고르십시오",IF(ISNA(MATCH($C1555,'교육원 ③ 통장·카드'!$A$5:$A$11,0)),"③ 통장·카드에 없는 결제수단입니다",IF($D1555="","계정과목을 고르십시오",IF($E1555="※없는 과목","④ 설정에 없는 과목입니다",IF(AND($E1555="수입",$J1555&gt;0),"수입 과목인데 지출에 적혔습니다",IF(AND(LEFT($E1555,2)&lt;&gt;"수입",$E1555&lt;&gt;"대체",$I1555&gt;0),"지출 과목인데 수입에 적혔습니다",IF($K1555="","증빙을 고르십시오",IF($H1555="","적요를 적으십시오","")))))))))))</f>
        <v/>
      </c>
      <c r="M1555" s="39"/>
      <c r="O1555" s="11" t="str">
        <f aca="false">IF($B1555="","",YEAR($B1555)*100+MONTH($B1555))</f>
        <v/>
      </c>
      <c r="P1555" s="11" t="str">
        <f aca="false">IF($B1555="","",IF($E1555="대체",0,1))</f>
        <v/>
      </c>
    </row>
    <row r="1556" customFormat="false" ht="15" hidden="false" customHeight="false" outlineLevel="0" collapsed="false">
      <c r="A1556" s="36" t="str">
        <f aca="false">IF($B1556="","",COUNT($B$15:$B1556))</f>
        <v/>
      </c>
      <c r="B1556" s="37"/>
      <c r="C1556" s="38"/>
      <c r="D1556" s="20"/>
      <c r="E1556" s="36" t="str">
        <f aca="false">IF($D1556="","",IFERROR(INDEX('교육원 ④ 설정'!$A$6:$A$40,MATCH($D1556,'교육원 ④ 설정'!$B$6:$B$40,0)),"※없는 과목"))</f>
        <v/>
      </c>
      <c r="F1556" s="36" t="str">
        <f aca="false">IF($D1556="","",IFERROR(INDEX('교육원 ④ 설정'!$C$6:$C$40,MATCH($D1556,'교육원 ④ 설정'!$B$6:$B$40,0)),""))</f>
        <v/>
      </c>
      <c r="G1556" s="39"/>
      <c r="H1556" s="39"/>
      <c r="I1556" s="40"/>
      <c r="J1556" s="41"/>
      <c r="K1556" s="38"/>
      <c r="L1556" s="42" t="str">
        <f aca="false">IF($B1556="","",IF(AND(N($I1556)=0,N($J1556)=0),"금액이 없습니다",IF(AND($I1556&gt;0,$J1556&gt;0),"수입·지출 둘 다 적혔습니다",IF($C1556="","결제수단을 고르십시오",IF(ISNA(MATCH($C1556,'교육원 ③ 통장·카드'!$A$5:$A$11,0)),"③ 통장·카드에 없는 결제수단입니다",IF($D1556="","계정과목을 고르십시오",IF($E1556="※없는 과목","④ 설정에 없는 과목입니다",IF(AND($E1556="수입",$J1556&gt;0),"수입 과목인데 지출에 적혔습니다",IF(AND(LEFT($E1556,2)&lt;&gt;"수입",$E1556&lt;&gt;"대체",$I1556&gt;0),"지출 과목인데 수입에 적혔습니다",IF($K1556="","증빙을 고르십시오",IF($H1556="","적요를 적으십시오","")))))))))))</f>
        <v/>
      </c>
      <c r="M1556" s="39"/>
      <c r="O1556" s="11" t="str">
        <f aca="false">IF($B1556="","",YEAR($B1556)*100+MONTH($B1556))</f>
        <v/>
      </c>
      <c r="P1556" s="11" t="str">
        <f aca="false">IF($B1556="","",IF($E1556="대체",0,1))</f>
        <v/>
      </c>
    </row>
    <row r="1557" customFormat="false" ht="15" hidden="false" customHeight="false" outlineLevel="0" collapsed="false">
      <c r="A1557" s="36" t="str">
        <f aca="false">IF($B1557="","",COUNT($B$15:$B1557))</f>
        <v/>
      </c>
      <c r="B1557" s="37"/>
      <c r="C1557" s="38"/>
      <c r="D1557" s="20"/>
      <c r="E1557" s="36" t="str">
        <f aca="false">IF($D1557="","",IFERROR(INDEX('교육원 ④ 설정'!$A$6:$A$40,MATCH($D1557,'교육원 ④ 설정'!$B$6:$B$40,0)),"※없는 과목"))</f>
        <v/>
      </c>
      <c r="F1557" s="36" t="str">
        <f aca="false">IF($D1557="","",IFERROR(INDEX('교육원 ④ 설정'!$C$6:$C$40,MATCH($D1557,'교육원 ④ 설정'!$B$6:$B$40,0)),""))</f>
        <v/>
      </c>
      <c r="G1557" s="39"/>
      <c r="H1557" s="39"/>
      <c r="I1557" s="40"/>
      <c r="J1557" s="41"/>
      <c r="K1557" s="38"/>
      <c r="L1557" s="42" t="str">
        <f aca="false">IF($B1557="","",IF(AND(N($I1557)=0,N($J1557)=0),"금액이 없습니다",IF(AND($I1557&gt;0,$J1557&gt;0),"수입·지출 둘 다 적혔습니다",IF($C1557="","결제수단을 고르십시오",IF(ISNA(MATCH($C1557,'교육원 ③ 통장·카드'!$A$5:$A$11,0)),"③ 통장·카드에 없는 결제수단입니다",IF($D1557="","계정과목을 고르십시오",IF($E1557="※없는 과목","④ 설정에 없는 과목입니다",IF(AND($E1557="수입",$J1557&gt;0),"수입 과목인데 지출에 적혔습니다",IF(AND(LEFT($E1557,2)&lt;&gt;"수입",$E1557&lt;&gt;"대체",$I1557&gt;0),"지출 과목인데 수입에 적혔습니다",IF($K1557="","증빙을 고르십시오",IF($H1557="","적요를 적으십시오","")))))))))))</f>
        <v/>
      </c>
      <c r="M1557" s="39"/>
      <c r="O1557" s="11" t="str">
        <f aca="false">IF($B1557="","",YEAR($B1557)*100+MONTH($B1557))</f>
        <v/>
      </c>
      <c r="P1557" s="11" t="str">
        <f aca="false">IF($B1557="","",IF($E1557="대체",0,1))</f>
        <v/>
      </c>
    </row>
    <row r="1558" customFormat="false" ht="15" hidden="false" customHeight="false" outlineLevel="0" collapsed="false">
      <c r="A1558" s="36" t="str">
        <f aca="false">IF($B1558="","",COUNT($B$15:$B1558))</f>
        <v/>
      </c>
      <c r="B1558" s="37"/>
      <c r="C1558" s="38"/>
      <c r="D1558" s="20"/>
      <c r="E1558" s="36" t="str">
        <f aca="false">IF($D1558="","",IFERROR(INDEX('교육원 ④ 설정'!$A$6:$A$40,MATCH($D1558,'교육원 ④ 설정'!$B$6:$B$40,0)),"※없는 과목"))</f>
        <v/>
      </c>
      <c r="F1558" s="36" t="str">
        <f aca="false">IF($D1558="","",IFERROR(INDEX('교육원 ④ 설정'!$C$6:$C$40,MATCH($D1558,'교육원 ④ 설정'!$B$6:$B$40,0)),""))</f>
        <v/>
      </c>
      <c r="G1558" s="39"/>
      <c r="H1558" s="39"/>
      <c r="I1558" s="40"/>
      <c r="J1558" s="41"/>
      <c r="K1558" s="38"/>
      <c r="L1558" s="42" t="str">
        <f aca="false">IF($B1558="","",IF(AND(N($I1558)=0,N($J1558)=0),"금액이 없습니다",IF(AND($I1558&gt;0,$J1558&gt;0),"수입·지출 둘 다 적혔습니다",IF($C1558="","결제수단을 고르십시오",IF(ISNA(MATCH($C1558,'교육원 ③ 통장·카드'!$A$5:$A$11,0)),"③ 통장·카드에 없는 결제수단입니다",IF($D1558="","계정과목을 고르십시오",IF($E1558="※없는 과목","④ 설정에 없는 과목입니다",IF(AND($E1558="수입",$J1558&gt;0),"수입 과목인데 지출에 적혔습니다",IF(AND(LEFT($E1558,2)&lt;&gt;"수입",$E1558&lt;&gt;"대체",$I1558&gt;0),"지출 과목인데 수입에 적혔습니다",IF($K1558="","증빙을 고르십시오",IF($H1558="","적요를 적으십시오","")))))))))))</f>
        <v/>
      </c>
      <c r="M1558" s="39"/>
      <c r="O1558" s="11" t="str">
        <f aca="false">IF($B1558="","",YEAR($B1558)*100+MONTH($B1558))</f>
        <v/>
      </c>
      <c r="P1558" s="11" t="str">
        <f aca="false">IF($B1558="","",IF($E1558="대체",0,1))</f>
        <v/>
      </c>
    </row>
    <row r="1559" customFormat="false" ht="15" hidden="false" customHeight="false" outlineLevel="0" collapsed="false">
      <c r="A1559" s="36" t="str">
        <f aca="false">IF($B1559="","",COUNT($B$15:$B1559))</f>
        <v/>
      </c>
      <c r="B1559" s="37"/>
      <c r="C1559" s="38"/>
      <c r="D1559" s="20"/>
      <c r="E1559" s="36" t="str">
        <f aca="false">IF($D1559="","",IFERROR(INDEX('교육원 ④ 설정'!$A$6:$A$40,MATCH($D1559,'교육원 ④ 설정'!$B$6:$B$40,0)),"※없는 과목"))</f>
        <v/>
      </c>
      <c r="F1559" s="36" t="str">
        <f aca="false">IF($D1559="","",IFERROR(INDEX('교육원 ④ 설정'!$C$6:$C$40,MATCH($D1559,'교육원 ④ 설정'!$B$6:$B$40,0)),""))</f>
        <v/>
      </c>
      <c r="G1559" s="39"/>
      <c r="H1559" s="39"/>
      <c r="I1559" s="40"/>
      <c r="J1559" s="41"/>
      <c r="K1559" s="38"/>
      <c r="L1559" s="42" t="str">
        <f aca="false">IF($B1559="","",IF(AND(N($I1559)=0,N($J1559)=0),"금액이 없습니다",IF(AND($I1559&gt;0,$J1559&gt;0),"수입·지출 둘 다 적혔습니다",IF($C1559="","결제수단을 고르십시오",IF(ISNA(MATCH($C1559,'교육원 ③ 통장·카드'!$A$5:$A$11,0)),"③ 통장·카드에 없는 결제수단입니다",IF($D1559="","계정과목을 고르십시오",IF($E1559="※없는 과목","④ 설정에 없는 과목입니다",IF(AND($E1559="수입",$J1559&gt;0),"수입 과목인데 지출에 적혔습니다",IF(AND(LEFT($E1559,2)&lt;&gt;"수입",$E1559&lt;&gt;"대체",$I1559&gt;0),"지출 과목인데 수입에 적혔습니다",IF($K1559="","증빙을 고르십시오",IF($H1559="","적요를 적으십시오","")))))))))))</f>
        <v/>
      </c>
      <c r="M1559" s="39"/>
      <c r="O1559" s="11" t="str">
        <f aca="false">IF($B1559="","",YEAR($B1559)*100+MONTH($B1559))</f>
        <v/>
      </c>
      <c r="P1559" s="11" t="str">
        <f aca="false">IF($B1559="","",IF($E1559="대체",0,1))</f>
        <v/>
      </c>
    </row>
    <row r="1560" customFormat="false" ht="15" hidden="false" customHeight="false" outlineLevel="0" collapsed="false">
      <c r="A1560" s="36" t="str">
        <f aca="false">IF($B1560="","",COUNT($B$15:$B1560))</f>
        <v/>
      </c>
      <c r="B1560" s="37"/>
      <c r="C1560" s="38"/>
      <c r="D1560" s="20"/>
      <c r="E1560" s="36" t="str">
        <f aca="false">IF($D1560="","",IFERROR(INDEX('교육원 ④ 설정'!$A$6:$A$40,MATCH($D1560,'교육원 ④ 설정'!$B$6:$B$40,0)),"※없는 과목"))</f>
        <v/>
      </c>
      <c r="F1560" s="36" t="str">
        <f aca="false">IF($D1560="","",IFERROR(INDEX('교육원 ④ 설정'!$C$6:$C$40,MATCH($D1560,'교육원 ④ 설정'!$B$6:$B$40,0)),""))</f>
        <v/>
      </c>
      <c r="G1560" s="39"/>
      <c r="H1560" s="39"/>
      <c r="I1560" s="40"/>
      <c r="J1560" s="41"/>
      <c r="K1560" s="38"/>
      <c r="L1560" s="42" t="str">
        <f aca="false">IF($B1560="","",IF(AND(N($I1560)=0,N($J1560)=0),"금액이 없습니다",IF(AND($I1560&gt;0,$J1560&gt;0),"수입·지출 둘 다 적혔습니다",IF($C1560="","결제수단을 고르십시오",IF(ISNA(MATCH($C1560,'교육원 ③ 통장·카드'!$A$5:$A$11,0)),"③ 통장·카드에 없는 결제수단입니다",IF($D1560="","계정과목을 고르십시오",IF($E1560="※없는 과목","④ 설정에 없는 과목입니다",IF(AND($E1560="수입",$J1560&gt;0),"수입 과목인데 지출에 적혔습니다",IF(AND(LEFT($E1560,2)&lt;&gt;"수입",$E1560&lt;&gt;"대체",$I1560&gt;0),"지출 과목인데 수입에 적혔습니다",IF($K1560="","증빙을 고르십시오",IF($H1560="","적요를 적으십시오","")))))))))))</f>
        <v/>
      </c>
      <c r="M1560" s="39"/>
      <c r="O1560" s="11" t="str">
        <f aca="false">IF($B1560="","",YEAR($B1560)*100+MONTH($B1560))</f>
        <v/>
      </c>
      <c r="P1560" s="11" t="str">
        <f aca="false">IF($B1560="","",IF($E1560="대체",0,1))</f>
        <v/>
      </c>
    </row>
    <row r="1561" customFormat="false" ht="15" hidden="false" customHeight="false" outlineLevel="0" collapsed="false">
      <c r="A1561" s="36" t="str">
        <f aca="false">IF($B1561="","",COUNT($B$15:$B1561))</f>
        <v/>
      </c>
      <c r="B1561" s="37"/>
      <c r="C1561" s="38"/>
      <c r="D1561" s="20"/>
      <c r="E1561" s="36" t="str">
        <f aca="false">IF($D1561="","",IFERROR(INDEX('교육원 ④ 설정'!$A$6:$A$40,MATCH($D1561,'교육원 ④ 설정'!$B$6:$B$40,0)),"※없는 과목"))</f>
        <v/>
      </c>
      <c r="F1561" s="36" t="str">
        <f aca="false">IF($D1561="","",IFERROR(INDEX('교육원 ④ 설정'!$C$6:$C$40,MATCH($D1561,'교육원 ④ 설정'!$B$6:$B$40,0)),""))</f>
        <v/>
      </c>
      <c r="G1561" s="39"/>
      <c r="H1561" s="39"/>
      <c r="I1561" s="40"/>
      <c r="J1561" s="41"/>
      <c r="K1561" s="38"/>
      <c r="L1561" s="42" t="str">
        <f aca="false">IF($B1561="","",IF(AND(N($I1561)=0,N($J1561)=0),"금액이 없습니다",IF(AND($I1561&gt;0,$J1561&gt;0),"수입·지출 둘 다 적혔습니다",IF($C1561="","결제수단을 고르십시오",IF(ISNA(MATCH($C1561,'교육원 ③ 통장·카드'!$A$5:$A$11,0)),"③ 통장·카드에 없는 결제수단입니다",IF($D1561="","계정과목을 고르십시오",IF($E1561="※없는 과목","④ 설정에 없는 과목입니다",IF(AND($E1561="수입",$J1561&gt;0),"수입 과목인데 지출에 적혔습니다",IF(AND(LEFT($E1561,2)&lt;&gt;"수입",$E1561&lt;&gt;"대체",$I1561&gt;0),"지출 과목인데 수입에 적혔습니다",IF($K1561="","증빙을 고르십시오",IF($H1561="","적요를 적으십시오","")))))))))))</f>
        <v/>
      </c>
      <c r="M1561" s="39"/>
      <c r="O1561" s="11" t="str">
        <f aca="false">IF($B1561="","",YEAR($B1561)*100+MONTH($B1561))</f>
        <v/>
      </c>
      <c r="P1561" s="11" t="str">
        <f aca="false">IF($B1561="","",IF($E1561="대체",0,1))</f>
        <v/>
      </c>
    </row>
    <row r="1562" customFormat="false" ht="15" hidden="false" customHeight="false" outlineLevel="0" collapsed="false">
      <c r="A1562" s="36" t="str">
        <f aca="false">IF($B1562="","",COUNT($B$15:$B1562))</f>
        <v/>
      </c>
      <c r="B1562" s="37"/>
      <c r="C1562" s="38"/>
      <c r="D1562" s="20"/>
      <c r="E1562" s="36" t="str">
        <f aca="false">IF($D1562="","",IFERROR(INDEX('교육원 ④ 설정'!$A$6:$A$40,MATCH($D1562,'교육원 ④ 설정'!$B$6:$B$40,0)),"※없는 과목"))</f>
        <v/>
      </c>
      <c r="F1562" s="36" t="str">
        <f aca="false">IF($D1562="","",IFERROR(INDEX('교육원 ④ 설정'!$C$6:$C$40,MATCH($D1562,'교육원 ④ 설정'!$B$6:$B$40,0)),""))</f>
        <v/>
      </c>
      <c r="G1562" s="39"/>
      <c r="H1562" s="39"/>
      <c r="I1562" s="40"/>
      <c r="J1562" s="41"/>
      <c r="K1562" s="38"/>
      <c r="L1562" s="42" t="str">
        <f aca="false">IF($B1562="","",IF(AND(N($I1562)=0,N($J1562)=0),"금액이 없습니다",IF(AND($I1562&gt;0,$J1562&gt;0),"수입·지출 둘 다 적혔습니다",IF($C1562="","결제수단을 고르십시오",IF(ISNA(MATCH($C1562,'교육원 ③ 통장·카드'!$A$5:$A$11,0)),"③ 통장·카드에 없는 결제수단입니다",IF($D1562="","계정과목을 고르십시오",IF($E1562="※없는 과목","④ 설정에 없는 과목입니다",IF(AND($E1562="수입",$J1562&gt;0),"수입 과목인데 지출에 적혔습니다",IF(AND(LEFT($E1562,2)&lt;&gt;"수입",$E1562&lt;&gt;"대체",$I1562&gt;0),"지출 과목인데 수입에 적혔습니다",IF($K1562="","증빙을 고르십시오",IF($H1562="","적요를 적으십시오","")))))))))))</f>
        <v/>
      </c>
      <c r="M1562" s="39"/>
      <c r="O1562" s="11" t="str">
        <f aca="false">IF($B1562="","",YEAR($B1562)*100+MONTH($B1562))</f>
        <v/>
      </c>
      <c r="P1562" s="11" t="str">
        <f aca="false">IF($B1562="","",IF($E1562="대체",0,1))</f>
        <v/>
      </c>
    </row>
    <row r="1563" customFormat="false" ht="15" hidden="false" customHeight="false" outlineLevel="0" collapsed="false">
      <c r="A1563" s="36" t="str">
        <f aca="false">IF($B1563="","",COUNT($B$15:$B1563))</f>
        <v/>
      </c>
      <c r="B1563" s="37"/>
      <c r="C1563" s="38"/>
      <c r="D1563" s="20"/>
      <c r="E1563" s="36" t="str">
        <f aca="false">IF($D1563="","",IFERROR(INDEX('교육원 ④ 설정'!$A$6:$A$40,MATCH($D1563,'교육원 ④ 설정'!$B$6:$B$40,0)),"※없는 과목"))</f>
        <v/>
      </c>
      <c r="F1563" s="36" t="str">
        <f aca="false">IF($D1563="","",IFERROR(INDEX('교육원 ④ 설정'!$C$6:$C$40,MATCH($D1563,'교육원 ④ 설정'!$B$6:$B$40,0)),""))</f>
        <v/>
      </c>
      <c r="G1563" s="39"/>
      <c r="H1563" s="39"/>
      <c r="I1563" s="40"/>
      <c r="J1563" s="41"/>
      <c r="K1563" s="38"/>
      <c r="L1563" s="42" t="str">
        <f aca="false">IF($B1563="","",IF(AND(N($I1563)=0,N($J1563)=0),"금액이 없습니다",IF(AND($I1563&gt;0,$J1563&gt;0),"수입·지출 둘 다 적혔습니다",IF($C1563="","결제수단을 고르십시오",IF(ISNA(MATCH($C1563,'교육원 ③ 통장·카드'!$A$5:$A$11,0)),"③ 통장·카드에 없는 결제수단입니다",IF($D1563="","계정과목을 고르십시오",IF($E1563="※없는 과목","④ 설정에 없는 과목입니다",IF(AND($E1563="수입",$J1563&gt;0),"수입 과목인데 지출에 적혔습니다",IF(AND(LEFT($E1563,2)&lt;&gt;"수입",$E1563&lt;&gt;"대체",$I1563&gt;0),"지출 과목인데 수입에 적혔습니다",IF($K1563="","증빙을 고르십시오",IF($H1563="","적요를 적으십시오","")))))))))))</f>
        <v/>
      </c>
      <c r="M1563" s="39"/>
      <c r="O1563" s="11" t="str">
        <f aca="false">IF($B1563="","",YEAR($B1563)*100+MONTH($B1563))</f>
        <v/>
      </c>
      <c r="P1563" s="11" t="str">
        <f aca="false">IF($B1563="","",IF($E1563="대체",0,1))</f>
        <v/>
      </c>
    </row>
    <row r="1564" customFormat="false" ht="15" hidden="false" customHeight="false" outlineLevel="0" collapsed="false">
      <c r="A1564" s="36" t="str">
        <f aca="false">IF($B1564="","",COUNT($B$15:$B1564))</f>
        <v/>
      </c>
      <c r="B1564" s="37"/>
      <c r="C1564" s="38"/>
      <c r="D1564" s="20"/>
      <c r="E1564" s="36" t="str">
        <f aca="false">IF($D1564="","",IFERROR(INDEX('교육원 ④ 설정'!$A$6:$A$40,MATCH($D1564,'교육원 ④ 설정'!$B$6:$B$40,0)),"※없는 과목"))</f>
        <v/>
      </c>
      <c r="F1564" s="36" t="str">
        <f aca="false">IF($D1564="","",IFERROR(INDEX('교육원 ④ 설정'!$C$6:$C$40,MATCH($D1564,'교육원 ④ 설정'!$B$6:$B$40,0)),""))</f>
        <v/>
      </c>
      <c r="G1564" s="39"/>
      <c r="H1564" s="39"/>
      <c r="I1564" s="40"/>
      <c r="J1564" s="41"/>
      <c r="K1564" s="38"/>
      <c r="L1564" s="42" t="str">
        <f aca="false">IF($B1564="","",IF(AND(N($I1564)=0,N($J1564)=0),"금액이 없습니다",IF(AND($I1564&gt;0,$J1564&gt;0),"수입·지출 둘 다 적혔습니다",IF($C1564="","결제수단을 고르십시오",IF(ISNA(MATCH($C1564,'교육원 ③ 통장·카드'!$A$5:$A$11,0)),"③ 통장·카드에 없는 결제수단입니다",IF($D1564="","계정과목을 고르십시오",IF($E1564="※없는 과목","④ 설정에 없는 과목입니다",IF(AND($E1564="수입",$J1564&gt;0),"수입 과목인데 지출에 적혔습니다",IF(AND(LEFT($E1564,2)&lt;&gt;"수입",$E1564&lt;&gt;"대체",$I1564&gt;0),"지출 과목인데 수입에 적혔습니다",IF($K1564="","증빙을 고르십시오",IF($H1564="","적요를 적으십시오","")))))))))))</f>
        <v/>
      </c>
      <c r="M1564" s="39"/>
      <c r="O1564" s="11" t="str">
        <f aca="false">IF($B1564="","",YEAR($B1564)*100+MONTH($B1564))</f>
        <v/>
      </c>
      <c r="P1564" s="11" t="str">
        <f aca="false">IF($B1564="","",IF($E1564="대체",0,1))</f>
        <v/>
      </c>
    </row>
    <row r="1565" customFormat="false" ht="15" hidden="false" customHeight="false" outlineLevel="0" collapsed="false">
      <c r="A1565" s="36" t="str">
        <f aca="false">IF($B1565="","",COUNT($B$15:$B1565))</f>
        <v/>
      </c>
      <c r="B1565" s="37"/>
      <c r="C1565" s="38"/>
      <c r="D1565" s="20"/>
      <c r="E1565" s="36" t="str">
        <f aca="false">IF($D1565="","",IFERROR(INDEX('교육원 ④ 설정'!$A$6:$A$40,MATCH($D1565,'교육원 ④ 설정'!$B$6:$B$40,0)),"※없는 과목"))</f>
        <v/>
      </c>
      <c r="F1565" s="36" t="str">
        <f aca="false">IF($D1565="","",IFERROR(INDEX('교육원 ④ 설정'!$C$6:$C$40,MATCH($D1565,'교육원 ④ 설정'!$B$6:$B$40,0)),""))</f>
        <v/>
      </c>
      <c r="G1565" s="39"/>
      <c r="H1565" s="39"/>
      <c r="I1565" s="40"/>
      <c r="J1565" s="41"/>
      <c r="K1565" s="38"/>
      <c r="L1565" s="42" t="str">
        <f aca="false">IF($B1565="","",IF(AND(N($I1565)=0,N($J1565)=0),"금액이 없습니다",IF(AND($I1565&gt;0,$J1565&gt;0),"수입·지출 둘 다 적혔습니다",IF($C1565="","결제수단을 고르십시오",IF(ISNA(MATCH($C1565,'교육원 ③ 통장·카드'!$A$5:$A$11,0)),"③ 통장·카드에 없는 결제수단입니다",IF($D1565="","계정과목을 고르십시오",IF($E1565="※없는 과목","④ 설정에 없는 과목입니다",IF(AND($E1565="수입",$J1565&gt;0),"수입 과목인데 지출에 적혔습니다",IF(AND(LEFT($E1565,2)&lt;&gt;"수입",$E1565&lt;&gt;"대체",$I1565&gt;0),"지출 과목인데 수입에 적혔습니다",IF($K1565="","증빙을 고르십시오",IF($H1565="","적요를 적으십시오","")))))))))))</f>
        <v/>
      </c>
      <c r="M1565" s="39"/>
      <c r="O1565" s="11" t="str">
        <f aca="false">IF($B1565="","",YEAR($B1565)*100+MONTH($B1565))</f>
        <v/>
      </c>
      <c r="P1565" s="11" t="str">
        <f aca="false">IF($B1565="","",IF($E1565="대체",0,1))</f>
        <v/>
      </c>
    </row>
    <row r="1566" customFormat="false" ht="15" hidden="false" customHeight="false" outlineLevel="0" collapsed="false">
      <c r="A1566" s="36" t="str">
        <f aca="false">IF($B1566="","",COUNT($B$15:$B1566))</f>
        <v/>
      </c>
      <c r="B1566" s="37"/>
      <c r="C1566" s="38"/>
      <c r="D1566" s="20"/>
      <c r="E1566" s="36" t="str">
        <f aca="false">IF($D1566="","",IFERROR(INDEX('교육원 ④ 설정'!$A$6:$A$40,MATCH($D1566,'교육원 ④ 설정'!$B$6:$B$40,0)),"※없는 과목"))</f>
        <v/>
      </c>
      <c r="F1566" s="36" t="str">
        <f aca="false">IF($D1566="","",IFERROR(INDEX('교육원 ④ 설정'!$C$6:$C$40,MATCH($D1566,'교육원 ④ 설정'!$B$6:$B$40,0)),""))</f>
        <v/>
      </c>
      <c r="G1566" s="39"/>
      <c r="H1566" s="39"/>
      <c r="I1566" s="40"/>
      <c r="J1566" s="41"/>
      <c r="K1566" s="38"/>
      <c r="L1566" s="42" t="str">
        <f aca="false">IF($B1566="","",IF(AND(N($I1566)=0,N($J1566)=0),"금액이 없습니다",IF(AND($I1566&gt;0,$J1566&gt;0),"수입·지출 둘 다 적혔습니다",IF($C1566="","결제수단을 고르십시오",IF(ISNA(MATCH($C1566,'교육원 ③ 통장·카드'!$A$5:$A$11,0)),"③ 통장·카드에 없는 결제수단입니다",IF($D1566="","계정과목을 고르십시오",IF($E1566="※없는 과목","④ 설정에 없는 과목입니다",IF(AND($E1566="수입",$J1566&gt;0),"수입 과목인데 지출에 적혔습니다",IF(AND(LEFT($E1566,2)&lt;&gt;"수입",$E1566&lt;&gt;"대체",$I1566&gt;0),"지출 과목인데 수입에 적혔습니다",IF($K1566="","증빙을 고르십시오",IF($H1566="","적요를 적으십시오","")))))))))))</f>
        <v/>
      </c>
      <c r="M1566" s="39"/>
      <c r="O1566" s="11" t="str">
        <f aca="false">IF($B1566="","",YEAR($B1566)*100+MONTH($B1566))</f>
        <v/>
      </c>
      <c r="P1566" s="11" t="str">
        <f aca="false">IF($B1566="","",IF($E1566="대체",0,1))</f>
        <v/>
      </c>
    </row>
    <row r="1567" customFormat="false" ht="15" hidden="false" customHeight="false" outlineLevel="0" collapsed="false">
      <c r="A1567" s="36" t="str">
        <f aca="false">IF($B1567="","",COUNT($B$15:$B1567))</f>
        <v/>
      </c>
      <c r="B1567" s="37"/>
      <c r="C1567" s="38"/>
      <c r="D1567" s="20"/>
      <c r="E1567" s="36" t="str">
        <f aca="false">IF($D1567="","",IFERROR(INDEX('교육원 ④ 설정'!$A$6:$A$40,MATCH($D1567,'교육원 ④ 설정'!$B$6:$B$40,0)),"※없는 과목"))</f>
        <v/>
      </c>
      <c r="F1567" s="36" t="str">
        <f aca="false">IF($D1567="","",IFERROR(INDEX('교육원 ④ 설정'!$C$6:$C$40,MATCH($D1567,'교육원 ④ 설정'!$B$6:$B$40,0)),""))</f>
        <v/>
      </c>
      <c r="G1567" s="39"/>
      <c r="H1567" s="39"/>
      <c r="I1567" s="40"/>
      <c r="J1567" s="41"/>
      <c r="K1567" s="38"/>
      <c r="L1567" s="42" t="str">
        <f aca="false">IF($B1567="","",IF(AND(N($I1567)=0,N($J1567)=0),"금액이 없습니다",IF(AND($I1567&gt;0,$J1567&gt;0),"수입·지출 둘 다 적혔습니다",IF($C1567="","결제수단을 고르십시오",IF(ISNA(MATCH($C1567,'교육원 ③ 통장·카드'!$A$5:$A$11,0)),"③ 통장·카드에 없는 결제수단입니다",IF($D1567="","계정과목을 고르십시오",IF($E1567="※없는 과목","④ 설정에 없는 과목입니다",IF(AND($E1567="수입",$J1567&gt;0),"수입 과목인데 지출에 적혔습니다",IF(AND(LEFT($E1567,2)&lt;&gt;"수입",$E1567&lt;&gt;"대체",$I1567&gt;0),"지출 과목인데 수입에 적혔습니다",IF($K1567="","증빙을 고르십시오",IF($H1567="","적요를 적으십시오","")))))))))))</f>
        <v/>
      </c>
      <c r="M1567" s="39"/>
      <c r="O1567" s="11" t="str">
        <f aca="false">IF($B1567="","",YEAR($B1567)*100+MONTH($B1567))</f>
        <v/>
      </c>
      <c r="P1567" s="11" t="str">
        <f aca="false">IF($B1567="","",IF($E1567="대체",0,1))</f>
        <v/>
      </c>
    </row>
    <row r="1568" customFormat="false" ht="15" hidden="false" customHeight="false" outlineLevel="0" collapsed="false">
      <c r="A1568" s="36" t="str">
        <f aca="false">IF($B1568="","",COUNT($B$15:$B1568))</f>
        <v/>
      </c>
      <c r="B1568" s="37"/>
      <c r="C1568" s="38"/>
      <c r="D1568" s="20"/>
      <c r="E1568" s="36" t="str">
        <f aca="false">IF($D1568="","",IFERROR(INDEX('교육원 ④ 설정'!$A$6:$A$40,MATCH($D1568,'교육원 ④ 설정'!$B$6:$B$40,0)),"※없는 과목"))</f>
        <v/>
      </c>
      <c r="F1568" s="36" t="str">
        <f aca="false">IF($D1568="","",IFERROR(INDEX('교육원 ④ 설정'!$C$6:$C$40,MATCH($D1568,'교육원 ④ 설정'!$B$6:$B$40,0)),""))</f>
        <v/>
      </c>
      <c r="G1568" s="39"/>
      <c r="H1568" s="39"/>
      <c r="I1568" s="40"/>
      <c r="J1568" s="41"/>
      <c r="K1568" s="38"/>
      <c r="L1568" s="42" t="str">
        <f aca="false">IF($B1568="","",IF(AND(N($I1568)=0,N($J1568)=0),"금액이 없습니다",IF(AND($I1568&gt;0,$J1568&gt;0),"수입·지출 둘 다 적혔습니다",IF($C1568="","결제수단을 고르십시오",IF(ISNA(MATCH($C1568,'교육원 ③ 통장·카드'!$A$5:$A$11,0)),"③ 통장·카드에 없는 결제수단입니다",IF($D1568="","계정과목을 고르십시오",IF($E1568="※없는 과목","④ 설정에 없는 과목입니다",IF(AND($E1568="수입",$J1568&gt;0),"수입 과목인데 지출에 적혔습니다",IF(AND(LEFT($E1568,2)&lt;&gt;"수입",$E1568&lt;&gt;"대체",$I1568&gt;0),"지출 과목인데 수입에 적혔습니다",IF($K1568="","증빙을 고르십시오",IF($H1568="","적요를 적으십시오","")))))))))))</f>
        <v/>
      </c>
      <c r="M1568" s="39"/>
      <c r="O1568" s="11" t="str">
        <f aca="false">IF($B1568="","",YEAR($B1568)*100+MONTH($B1568))</f>
        <v/>
      </c>
      <c r="P1568" s="11" t="str">
        <f aca="false">IF($B1568="","",IF($E1568="대체",0,1))</f>
        <v/>
      </c>
    </row>
    <row r="1569" customFormat="false" ht="15" hidden="false" customHeight="false" outlineLevel="0" collapsed="false">
      <c r="A1569" s="36" t="str">
        <f aca="false">IF($B1569="","",COUNT($B$15:$B1569))</f>
        <v/>
      </c>
      <c r="B1569" s="37"/>
      <c r="C1569" s="38"/>
      <c r="D1569" s="20"/>
      <c r="E1569" s="36" t="str">
        <f aca="false">IF($D1569="","",IFERROR(INDEX('교육원 ④ 설정'!$A$6:$A$40,MATCH($D1569,'교육원 ④ 설정'!$B$6:$B$40,0)),"※없는 과목"))</f>
        <v/>
      </c>
      <c r="F1569" s="36" t="str">
        <f aca="false">IF($D1569="","",IFERROR(INDEX('교육원 ④ 설정'!$C$6:$C$40,MATCH($D1569,'교육원 ④ 설정'!$B$6:$B$40,0)),""))</f>
        <v/>
      </c>
      <c r="G1569" s="39"/>
      <c r="H1569" s="39"/>
      <c r="I1569" s="40"/>
      <c r="J1569" s="41"/>
      <c r="K1569" s="38"/>
      <c r="L1569" s="42" t="str">
        <f aca="false">IF($B1569="","",IF(AND(N($I1569)=0,N($J1569)=0),"금액이 없습니다",IF(AND($I1569&gt;0,$J1569&gt;0),"수입·지출 둘 다 적혔습니다",IF($C1569="","결제수단을 고르십시오",IF(ISNA(MATCH($C1569,'교육원 ③ 통장·카드'!$A$5:$A$11,0)),"③ 통장·카드에 없는 결제수단입니다",IF($D1569="","계정과목을 고르십시오",IF($E1569="※없는 과목","④ 설정에 없는 과목입니다",IF(AND($E1569="수입",$J1569&gt;0),"수입 과목인데 지출에 적혔습니다",IF(AND(LEFT($E1569,2)&lt;&gt;"수입",$E1569&lt;&gt;"대체",$I1569&gt;0),"지출 과목인데 수입에 적혔습니다",IF($K1569="","증빙을 고르십시오",IF($H1569="","적요를 적으십시오","")))))))))))</f>
        <v/>
      </c>
      <c r="M1569" s="39"/>
      <c r="O1569" s="11" t="str">
        <f aca="false">IF($B1569="","",YEAR($B1569)*100+MONTH($B1569))</f>
        <v/>
      </c>
      <c r="P1569" s="11" t="str">
        <f aca="false">IF($B1569="","",IF($E1569="대체",0,1))</f>
        <v/>
      </c>
    </row>
    <row r="1570" customFormat="false" ht="15" hidden="false" customHeight="false" outlineLevel="0" collapsed="false">
      <c r="A1570" s="36" t="str">
        <f aca="false">IF($B1570="","",COUNT($B$15:$B1570))</f>
        <v/>
      </c>
      <c r="B1570" s="37"/>
      <c r="C1570" s="38"/>
      <c r="D1570" s="20"/>
      <c r="E1570" s="36" t="str">
        <f aca="false">IF($D1570="","",IFERROR(INDEX('교육원 ④ 설정'!$A$6:$A$40,MATCH($D1570,'교육원 ④ 설정'!$B$6:$B$40,0)),"※없는 과목"))</f>
        <v/>
      </c>
      <c r="F1570" s="36" t="str">
        <f aca="false">IF($D1570="","",IFERROR(INDEX('교육원 ④ 설정'!$C$6:$C$40,MATCH($D1570,'교육원 ④ 설정'!$B$6:$B$40,0)),""))</f>
        <v/>
      </c>
      <c r="G1570" s="39"/>
      <c r="H1570" s="39"/>
      <c r="I1570" s="40"/>
      <c r="J1570" s="41"/>
      <c r="K1570" s="38"/>
      <c r="L1570" s="42" t="str">
        <f aca="false">IF($B1570="","",IF(AND(N($I1570)=0,N($J1570)=0),"금액이 없습니다",IF(AND($I1570&gt;0,$J1570&gt;0),"수입·지출 둘 다 적혔습니다",IF($C1570="","결제수단을 고르십시오",IF(ISNA(MATCH($C1570,'교육원 ③ 통장·카드'!$A$5:$A$11,0)),"③ 통장·카드에 없는 결제수단입니다",IF($D1570="","계정과목을 고르십시오",IF($E1570="※없는 과목","④ 설정에 없는 과목입니다",IF(AND($E1570="수입",$J1570&gt;0),"수입 과목인데 지출에 적혔습니다",IF(AND(LEFT($E1570,2)&lt;&gt;"수입",$E1570&lt;&gt;"대체",$I1570&gt;0),"지출 과목인데 수입에 적혔습니다",IF($K1570="","증빙을 고르십시오",IF($H1570="","적요를 적으십시오","")))))))))))</f>
        <v/>
      </c>
      <c r="M1570" s="39"/>
      <c r="O1570" s="11" t="str">
        <f aca="false">IF($B1570="","",YEAR($B1570)*100+MONTH($B1570))</f>
        <v/>
      </c>
      <c r="P1570" s="11" t="str">
        <f aca="false">IF($B1570="","",IF($E1570="대체",0,1))</f>
        <v/>
      </c>
    </row>
    <row r="1571" customFormat="false" ht="15" hidden="false" customHeight="false" outlineLevel="0" collapsed="false">
      <c r="A1571" s="36" t="str">
        <f aca="false">IF($B1571="","",COUNT($B$15:$B1571))</f>
        <v/>
      </c>
      <c r="B1571" s="37"/>
      <c r="C1571" s="38"/>
      <c r="D1571" s="20"/>
      <c r="E1571" s="36" t="str">
        <f aca="false">IF($D1571="","",IFERROR(INDEX('교육원 ④ 설정'!$A$6:$A$40,MATCH($D1571,'교육원 ④ 설정'!$B$6:$B$40,0)),"※없는 과목"))</f>
        <v/>
      </c>
      <c r="F1571" s="36" t="str">
        <f aca="false">IF($D1571="","",IFERROR(INDEX('교육원 ④ 설정'!$C$6:$C$40,MATCH($D1571,'교육원 ④ 설정'!$B$6:$B$40,0)),""))</f>
        <v/>
      </c>
      <c r="G1571" s="39"/>
      <c r="H1571" s="39"/>
      <c r="I1571" s="40"/>
      <c r="J1571" s="41"/>
      <c r="K1571" s="38"/>
      <c r="L1571" s="42" t="str">
        <f aca="false">IF($B1571="","",IF(AND(N($I1571)=0,N($J1571)=0),"금액이 없습니다",IF(AND($I1571&gt;0,$J1571&gt;0),"수입·지출 둘 다 적혔습니다",IF($C1571="","결제수단을 고르십시오",IF(ISNA(MATCH($C1571,'교육원 ③ 통장·카드'!$A$5:$A$11,0)),"③ 통장·카드에 없는 결제수단입니다",IF($D1571="","계정과목을 고르십시오",IF($E1571="※없는 과목","④ 설정에 없는 과목입니다",IF(AND($E1571="수입",$J1571&gt;0),"수입 과목인데 지출에 적혔습니다",IF(AND(LEFT($E1571,2)&lt;&gt;"수입",$E1571&lt;&gt;"대체",$I1571&gt;0),"지출 과목인데 수입에 적혔습니다",IF($K1571="","증빙을 고르십시오",IF($H1571="","적요를 적으십시오","")))))))))))</f>
        <v/>
      </c>
      <c r="M1571" s="39"/>
      <c r="O1571" s="11" t="str">
        <f aca="false">IF($B1571="","",YEAR($B1571)*100+MONTH($B1571))</f>
        <v/>
      </c>
      <c r="P1571" s="11" t="str">
        <f aca="false">IF($B1571="","",IF($E1571="대체",0,1))</f>
        <v/>
      </c>
    </row>
    <row r="1572" customFormat="false" ht="15" hidden="false" customHeight="false" outlineLevel="0" collapsed="false">
      <c r="A1572" s="36" t="str">
        <f aca="false">IF($B1572="","",COUNT($B$15:$B1572))</f>
        <v/>
      </c>
      <c r="B1572" s="37"/>
      <c r="C1572" s="38"/>
      <c r="D1572" s="20"/>
      <c r="E1572" s="36" t="str">
        <f aca="false">IF($D1572="","",IFERROR(INDEX('교육원 ④ 설정'!$A$6:$A$40,MATCH($D1572,'교육원 ④ 설정'!$B$6:$B$40,0)),"※없는 과목"))</f>
        <v/>
      </c>
      <c r="F1572" s="36" t="str">
        <f aca="false">IF($D1572="","",IFERROR(INDEX('교육원 ④ 설정'!$C$6:$C$40,MATCH($D1572,'교육원 ④ 설정'!$B$6:$B$40,0)),""))</f>
        <v/>
      </c>
      <c r="G1572" s="39"/>
      <c r="H1572" s="39"/>
      <c r="I1572" s="40"/>
      <c r="J1572" s="41"/>
      <c r="K1572" s="38"/>
      <c r="L1572" s="42" t="str">
        <f aca="false">IF($B1572="","",IF(AND(N($I1572)=0,N($J1572)=0),"금액이 없습니다",IF(AND($I1572&gt;0,$J1572&gt;0),"수입·지출 둘 다 적혔습니다",IF($C1572="","결제수단을 고르십시오",IF(ISNA(MATCH($C1572,'교육원 ③ 통장·카드'!$A$5:$A$11,0)),"③ 통장·카드에 없는 결제수단입니다",IF($D1572="","계정과목을 고르십시오",IF($E1572="※없는 과목","④ 설정에 없는 과목입니다",IF(AND($E1572="수입",$J1572&gt;0),"수입 과목인데 지출에 적혔습니다",IF(AND(LEFT($E1572,2)&lt;&gt;"수입",$E1572&lt;&gt;"대체",$I1572&gt;0),"지출 과목인데 수입에 적혔습니다",IF($K1572="","증빙을 고르십시오",IF($H1572="","적요를 적으십시오","")))))))))))</f>
        <v/>
      </c>
      <c r="M1572" s="39"/>
      <c r="O1572" s="11" t="str">
        <f aca="false">IF($B1572="","",YEAR($B1572)*100+MONTH($B1572))</f>
        <v/>
      </c>
      <c r="P1572" s="11" t="str">
        <f aca="false">IF($B1572="","",IF($E1572="대체",0,1))</f>
        <v/>
      </c>
    </row>
    <row r="1573" customFormat="false" ht="15" hidden="false" customHeight="false" outlineLevel="0" collapsed="false">
      <c r="A1573" s="36" t="str">
        <f aca="false">IF($B1573="","",COUNT($B$15:$B1573))</f>
        <v/>
      </c>
      <c r="B1573" s="37"/>
      <c r="C1573" s="38"/>
      <c r="D1573" s="20"/>
      <c r="E1573" s="36" t="str">
        <f aca="false">IF($D1573="","",IFERROR(INDEX('교육원 ④ 설정'!$A$6:$A$40,MATCH($D1573,'교육원 ④ 설정'!$B$6:$B$40,0)),"※없는 과목"))</f>
        <v/>
      </c>
      <c r="F1573" s="36" t="str">
        <f aca="false">IF($D1573="","",IFERROR(INDEX('교육원 ④ 설정'!$C$6:$C$40,MATCH($D1573,'교육원 ④ 설정'!$B$6:$B$40,0)),""))</f>
        <v/>
      </c>
      <c r="G1573" s="39"/>
      <c r="H1573" s="39"/>
      <c r="I1573" s="40"/>
      <c r="J1573" s="41"/>
      <c r="K1573" s="38"/>
      <c r="L1573" s="42" t="str">
        <f aca="false">IF($B1573="","",IF(AND(N($I1573)=0,N($J1573)=0),"금액이 없습니다",IF(AND($I1573&gt;0,$J1573&gt;0),"수입·지출 둘 다 적혔습니다",IF($C1573="","결제수단을 고르십시오",IF(ISNA(MATCH($C1573,'교육원 ③ 통장·카드'!$A$5:$A$11,0)),"③ 통장·카드에 없는 결제수단입니다",IF($D1573="","계정과목을 고르십시오",IF($E1573="※없는 과목","④ 설정에 없는 과목입니다",IF(AND($E1573="수입",$J1573&gt;0),"수입 과목인데 지출에 적혔습니다",IF(AND(LEFT($E1573,2)&lt;&gt;"수입",$E1573&lt;&gt;"대체",$I1573&gt;0),"지출 과목인데 수입에 적혔습니다",IF($K1573="","증빙을 고르십시오",IF($H1573="","적요를 적으십시오","")))))))))))</f>
        <v/>
      </c>
      <c r="M1573" s="39"/>
      <c r="O1573" s="11" t="str">
        <f aca="false">IF($B1573="","",YEAR($B1573)*100+MONTH($B1573))</f>
        <v/>
      </c>
      <c r="P1573" s="11" t="str">
        <f aca="false">IF($B1573="","",IF($E1573="대체",0,1))</f>
        <v/>
      </c>
    </row>
    <row r="1574" customFormat="false" ht="15" hidden="false" customHeight="false" outlineLevel="0" collapsed="false">
      <c r="A1574" s="36" t="str">
        <f aca="false">IF($B1574="","",COUNT($B$15:$B1574))</f>
        <v/>
      </c>
      <c r="B1574" s="37"/>
      <c r="C1574" s="38"/>
      <c r="D1574" s="20"/>
      <c r="E1574" s="36" t="str">
        <f aca="false">IF($D1574="","",IFERROR(INDEX('교육원 ④ 설정'!$A$6:$A$40,MATCH($D1574,'교육원 ④ 설정'!$B$6:$B$40,0)),"※없는 과목"))</f>
        <v/>
      </c>
      <c r="F1574" s="36" t="str">
        <f aca="false">IF($D1574="","",IFERROR(INDEX('교육원 ④ 설정'!$C$6:$C$40,MATCH($D1574,'교육원 ④ 설정'!$B$6:$B$40,0)),""))</f>
        <v/>
      </c>
      <c r="G1574" s="39"/>
      <c r="H1574" s="39"/>
      <c r="I1574" s="40"/>
      <c r="J1574" s="41"/>
      <c r="K1574" s="38"/>
      <c r="L1574" s="42" t="str">
        <f aca="false">IF($B1574="","",IF(AND(N($I1574)=0,N($J1574)=0),"금액이 없습니다",IF(AND($I1574&gt;0,$J1574&gt;0),"수입·지출 둘 다 적혔습니다",IF($C1574="","결제수단을 고르십시오",IF(ISNA(MATCH($C1574,'교육원 ③ 통장·카드'!$A$5:$A$11,0)),"③ 통장·카드에 없는 결제수단입니다",IF($D1574="","계정과목을 고르십시오",IF($E1574="※없는 과목","④ 설정에 없는 과목입니다",IF(AND($E1574="수입",$J1574&gt;0),"수입 과목인데 지출에 적혔습니다",IF(AND(LEFT($E1574,2)&lt;&gt;"수입",$E1574&lt;&gt;"대체",$I1574&gt;0),"지출 과목인데 수입에 적혔습니다",IF($K1574="","증빙을 고르십시오",IF($H1574="","적요를 적으십시오","")))))))))))</f>
        <v/>
      </c>
      <c r="M1574" s="39"/>
      <c r="O1574" s="11" t="str">
        <f aca="false">IF($B1574="","",YEAR($B1574)*100+MONTH($B1574))</f>
        <v/>
      </c>
      <c r="P1574" s="11" t="str">
        <f aca="false">IF($B1574="","",IF($E1574="대체",0,1))</f>
        <v/>
      </c>
    </row>
    <row r="1575" customFormat="false" ht="15" hidden="false" customHeight="false" outlineLevel="0" collapsed="false">
      <c r="A1575" s="36" t="str">
        <f aca="false">IF($B1575="","",COUNT($B$15:$B1575))</f>
        <v/>
      </c>
      <c r="B1575" s="37"/>
      <c r="C1575" s="38"/>
      <c r="D1575" s="20"/>
      <c r="E1575" s="36" t="str">
        <f aca="false">IF($D1575="","",IFERROR(INDEX('교육원 ④ 설정'!$A$6:$A$40,MATCH($D1575,'교육원 ④ 설정'!$B$6:$B$40,0)),"※없는 과목"))</f>
        <v/>
      </c>
      <c r="F1575" s="36" t="str">
        <f aca="false">IF($D1575="","",IFERROR(INDEX('교육원 ④ 설정'!$C$6:$C$40,MATCH($D1575,'교육원 ④ 설정'!$B$6:$B$40,0)),""))</f>
        <v/>
      </c>
      <c r="G1575" s="39"/>
      <c r="H1575" s="39"/>
      <c r="I1575" s="40"/>
      <c r="J1575" s="41"/>
      <c r="K1575" s="38"/>
      <c r="L1575" s="42" t="str">
        <f aca="false">IF($B1575="","",IF(AND(N($I1575)=0,N($J1575)=0),"금액이 없습니다",IF(AND($I1575&gt;0,$J1575&gt;0),"수입·지출 둘 다 적혔습니다",IF($C1575="","결제수단을 고르십시오",IF(ISNA(MATCH($C1575,'교육원 ③ 통장·카드'!$A$5:$A$11,0)),"③ 통장·카드에 없는 결제수단입니다",IF($D1575="","계정과목을 고르십시오",IF($E1575="※없는 과목","④ 설정에 없는 과목입니다",IF(AND($E1575="수입",$J1575&gt;0),"수입 과목인데 지출에 적혔습니다",IF(AND(LEFT($E1575,2)&lt;&gt;"수입",$E1575&lt;&gt;"대체",$I1575&gt;0),"지출 과목인데 수입에 적혔습니다",IF($K1575="","증빙을 고르십시오",IF($H1575="","적요를 적으십시오","")))))))))))</f>
        <v/>
      </c>
      <c r="M1575" s="39"/>
      <c r="O1575" s="11" t="str">
        <f aca="false">IF($B1575="","",YEAR($B1575)*100+MONTH($B1575))</f>
        <v/>
      </c>
      <c r="P1575" s="11" t="str">
        <f aca="false">IF($B1575="","",IF($E1575="대체",0,1))</f>
        <v/>
      </c>
    </row>
    <row r="1576" customFormat="false" ht="15" hidden="false" customHeight="false" outlineLevel="0" collapsed="false">
      <c r="A1576" s="36" t="str">
        <f aca="false">IF($B1576="","",COUNT($B$15:$B1576))</f>
        <v/>
      </c>
      <c r="B1576" s="37"/>
      <c r="C1576" s="38"/>
      <c r="D1576" s="20"/>
      <c r="E1576" s="36" t="str">
        <f aca="false">IF($D1576="","",IFERROR(INDEX('교육원 ④ 설정'!$A$6:$A$40,MATCH($D1576,'교육원 ④ 설정'!$B$6:$B$40,0)),"※없는 과목"))</f>
        <v/>
      </c>
      <c r="F1576" s="36" t="str">
        <f aca="false">IF($D1576="","",IFERROR(INDEX('교육원 ④ 설정'!$C$6:$C$40,MATCH($D1576,'교육원 ④ 설정'!$B$6:$B$40,0)),""))</f>
        <v/>
      </c>
      <c r="G1576" s="39"/>
      <c r="H1576" s="39"/>
      <c r="I1576" s="40"/>
      <c r="J1576" s="41"/>
      <c r="K1576" s="38"/>
      <c r="L1576" s="42" t="str">
        <f aca="false">IF($B1576="","",IF(AND(N($I1576)=0,N($J1576)=0),"금액이 없습니다",IF(AND($I1576&gt;0,$J1576&gt;0),"수입·지출 둘 다 적혔습니다",IF($C1576="","결제수단을 고르십시오",IF(ISNA(MATCH($C1576,'교육원 ③ 통장·카드'!$A$5:$A$11,0)),"③ 통장·카드에 없는 결제수단입니다",IF($D1576="","계정과목을 고르십시오",IF($E1576="※없는 과목","④ 설정에 없는 과목입니다",IF(AND($E1576="수입",$J1576&gt;0),"수입 과목인데 지출에 적혔습니다",IF(AND(LEFT($E1576,2)&lt;&gt;"수입",$E1576&lt;&gt;"대체",$I1576&gt;0),"지출 과목인데 수입에 적혔습니다",IF($K1576="","증빙을 고르십시오",IF($H1576="","적요를 적으십시오","")))))))))))</f>
        <v/>
      </c>
      <c r="M1576" s="39"/>
      <c r="O1576" s="11" t="str">
        <f aca="false">IF($B1576="","",YEAR($B1576)*100+MONTH($B1576))</f>
        <v/>
      </c>
      <c r="P1576" s="11" t="str">
        <f aca="false">IF($B1576="","",IF($E1576="대체",0,1))</f>
        <v/>
      </c>
    </row>
    <row r="1577" customFormat="false" ht="15" hidden="false" customHeight="false" outlineLevel="0" collapsed="false">
      <c r="A1577" s="36" t="str">
        <f aca="false">IF($B1577="","",COUNT($B$15:$B1577))</f>
        <v/>
      </c>
      <c r="B1577" s="37"/>
      <c r="C1577" s="38"/>
      <c r="D1577" s="20"/>
      <c r="E1577" s="36" t="str">
        <f aca="false">IF($D1577="","",IFERROR(INDEX('교육원 ④ 설정'!$A$6:$A$40,MATCH($D1577,'교육원 ④ 설정'!$B$6:$B$40,0)),"※없는 과목"))</f>
        <v/>
      </c>
      <c r="F1577" s="36" t="str">
        <f aca="false">IF($D1577="","",IFERROR(INDEX('교육원 ④ 설정'!$C$6:$C$40,MATCH($D1577,'교육원 ④ 설정'!$B$6:$B$40,0)),""))</f>
        <v/>
      </c>
      <c r="G1577" s="39"/>
      <c r="H1577" s="39"/>
      <c r="I1577" s="40"/>
      <c r="J1577" s="41"/>
      <c r="K1577" s="38"/>
      <c r="L1577" s="42" t="str">
        <f aca="false">IF($B1577="","",IF(AND(N($I1577)=0,N($J1577)=0),"금액이 없습니다",IF(AND($I1577&gt;0,$J1577&gt;0),"수입·지출 둘 다 적혔습니다",IF($C1577="","결제수단을 고르십시오",IF(ISNA(MATCH($C1577,'교육원 ③ 통장·카드'!$A$5:$A$11,0)),"③ 통장·카드에 없는 결제수단입니다",IF($D1577="","계정과목을 고르십시오",IF($E1577="※없는 과목","④ 설정에 없는 과목입니다",IF(AND($E1577="수입",$J1577&gt;0),"수입 과목인데 지출에 적혔습니다",IF(AND(LEFT($E1577,2)&lt;&gt;"수입",$E1577&lt;&gt;"대체",$I1577&gt;0),"지출 과목인데 수입에 적혔습니다",IF($K1577="","증빙을 고르십시오",IF($H1577="","적요를 적으십시오","")))))))))))</f>
        <v/>
      </c>
      <c r="M1577" s="39"/>
      <c r="O1577" s="11" t="str">
        <f aca="false">IF($B1577="","",YEAR($B1577)*100+MONTH($B1577))</f>
        <v/>
      </c>
      <c r="P1577" s="11" t="str">
        <f aca="false">IF($B1577="","",IF($E1577="대체",0,1))</f>
        <v/>
      </c>
    </row>
    <row r="1578" customFormat="false" ht="15" hidden="false" customHeight="false" outlineLevel="0" collapsed="false">
      <c r="A1578" s="36" t="str">
        <f aca="false">IF($B1578="","",COUNT($B$15:$B1578))</f>
        <v/>
      </c>
      <c r="B1578" s="37"/>
      <c r="C1578" s="38"/>
      <c r="D1578" s="20"/>
      <c r="E1578" s="36" t="str">
        <f aca="false">IF($D1578="","",IFERROR(INDEX('교육원 ④ 설정'!$A$6:$A$40,MATCH($D1578,'교육원 ④ 설정'!$B$6:$B$40,0)),"※없는 과목"))</f>
        <v/>
      </c>
      <c r="F1578" s="36" t="str">
        <f aca="false">IF($D1578="","",IFERROR(INDEX('교육원 ④ 설정'!$C$6:$C$40,MATCH($D1578,'교육원 ④ 설정'!$B$6:$B$40,0)),""))</f>
        <v/>
      </c>
      <c r="G1578" s="39"/>
      <c r="H1578" s="39"/>
      <c r="I1578" s="40"/>
      <c r="J1578" s="41"/>
      <c r="K1578" s="38"/>
      <c r="L1578" s="42" t="str">
        <f aca="false">IF($B1578="","",IF(AND(N($I1578)=0,N($J1578)=0),"금액이 없습니다",IF(AND($I1578&gt;0,$J1578&gt;0),"수입·지출 둘 다 적혔습니다",IF($C1578="","결제수단을 고르십시오",IF(ISNA(MATCH($C1578,'교육원 ③ 통장·카드'!$A$5:$A$11,0)),"③ 통장·카드에 없는 결제수단입니다",IF($D1578="","계정과목을 고르십시오",IF($E1578="※없는 과목","④ 설정에 없는 과목입니다",IF(AND($E1578="수입",$J1578&gt;0),"수입 과목인데 지출에 적혔습니다",IF(AND(LEFT($E1578,2)&lt;&gt;"수입",$E1578&lt;&gt;"대체",$I1578&gt;0),"지출 과목인데 수입에 적혔습니다",IF($K1578="","증빙을 고르십시오",IF($H1578="","적요를 적으십시오","")))))))))))</f>
        <v/>
      </c>
      <c r="M1578" s="39"/>
      <c r="O1578" s="11" t="str">
        <f aca="false">IF($B1578="","",YEAR($B1578)*100+MONTH($B1578))</f>
        <v/>
      </c>
      <c r="P1578" s="11" t="str">
        <f aca="false">IF($B1578="","",IF($E1578="대체",0,1))</f>
        <v/>
      </c>
    </row>
    <row r="1579" customFormat="false" ht="15" hidden="false" customHeight="false" outlineLevel="0" collapsed="false">
      <c r="A1579" s="36" t="str">
        <f aca="false">IF($B1579="","",COUNT($B$15:$B1579))</f>
        <v/>
      </c>
      <c r="B1579" s="37"/>
      <c r="C1579" s="38"/>
      <c r="D1579" s="20"/>
      <c r="E1579" s="36" t="str">
        <f aca="false">IF($D1579="","",IFERROR(INDEX('교육원 ④ 설정'!$A$6:$A$40,MATCH($D1579,'교육원 ④ 설정'!$B$6:$B$40,0)),"※없는 과목"))</f>
        <v/>
      </c>
      <c r="F1579" s="36" t="str">
        <f aca="false">IF($D1579="","",IFERROR(INDEX('교육원 ④ 설정'!$C$6:$C$40,MATCH($D1579,'교육원 ④ 설정'!$B$6:$B$40,0)),""))</f>
        <v/>
      </c>
      <c r="G1579" s="39"/>
      <c r="H1579" s="39"/>
      <c r="I1579" s="40"/>
      <c r="J1579" s="41"/>
      <c r="K1579" s="38"/>
      <c r="L1579" s="42" t="str">
        <f aca="false">IF($B1579="","",IF(AND(N($I1579)=0,N($J1579)=0),"금액이 없습니다",IF(AND($I1579&gt;0,$J1579&gt;0),"수입·지출 둘 다 적혔습니다",IF($C1579="","결제수단을 고르십시오",IF(ISNA(MATCH($C1579,'교육원 ③ 통장·카드'!$A$5:$A$11,0)),"③ 통장·카드에 없는 결제수단입니다",IF($D1579="","계정과목을 고르십시오",IF($E1579="※없는 과목","④ 설정에 없는 과목입니다",IF(AND($E1579="수입",$J1579&gt;0),"수입 과목인데 지출에 적혔습니다",IF(AND(LEFT($E1579,2)&lt;&gt;"수입",$E1579&lt;&gt;"대체",$I1579&gt;0),"지출 과목인데 수입에 적혔습니다",IF($K1579="","증빙을 고르십시오",IF($H1579="","적요를 적으십시오","")))))))))))</f>
        <v/>
      </c>
      <c r="M1579" s="39"/>
      <c r="O1579" s="11" t="str">
        <f aca="false">IF($B1579="","",YEAR($B1579)*100+MONTH($B1579))</f>
        <v/>
      </c>
      <c r="P1579" s="11" t="str">
        <f aca="false">IF($B1579="","",IF($E1579="대체",0,1))</f>
        <v/>
      </c>
    </row>
    <row r="1580" customFormat="false" ht="15" hidden="false" customHeight="false" outlineLevel="0" collapsed="false">
      <c r="A1580" s="36" t="str">
        <f aca="false">IF($B1580="","",COUNT($B$15:$B1580))</f>
        <v/>
      </c>
      <c r="B1580" s="37"/>
      <c r="C1580" s="38"/>
      <c r="D1580" s="20"/>
      <c r="E1580" s="36" t="str">
        <f aca="false">IF($D1580="","",IFERROR(INDEX('교육원 ④ 설정'!$A$6:$A$40,MATCH($D1580,'교육원 ④ 설정'!$B$6:$B$40,0)),"※없는 과목"))</f>
        <v/>
      </c>
      <c r="F1580" s="36" t="str">
        <f aca="false">IF($D1580="","",IFERROR(INDEX('교육원 ④ 설정'!$C$6:$C$40,MATCH($D1580,'교육원 ④ 설정'!$B$6:$B$40,0)),""))</f>
        <v/>
      </c>
      <c r="G1580" s="39"/>
      <c r="H1580" s="39"/>
      <c r="I1580" s="40"/>
      <c r="J1580" s="41"/>
      <c r="K1580" s="38"/>
      <c r="L1580" s="42" t="str">
        <f aca="false">IF($B1580="","",IF(AND(N($I1580)=0,N($J1580)=0),"금액이 없습니다",IF(AND($I1580&gt;0,$J1580&gt;0),"수입·지출 둘 다 적혔습니다",IF($C1580="","결제수단을 고르십시오",IF(ISNA(MATCH($C1580,'교육원 ③ 통장·카드'!$A$5:$A$11,0)),"③ 통장·카드에 없는 결제수단입니다",IF($D1580="","계정과목을 고르십시오",IF($E1580="※없는 과목","④ 설정에 없는 과목입니다",IF(AND($E1580="수입",$J1580&gt;0),"수입 과목인데 지출에 적혔습니다",IF(AND(LEFT($E1580,2)&lt;&gt;"수입",$E1580&lt;&gt;"대체",$I1580&gt;0),"지출 과목인데 수입에 적혔습니다",IF($K1580="","증빙을 고르십시오",IF($H1580="","적요를 적으십시오","")))))))))))</f>
        <v/>
      </c>
      <c r="M1580" s="39"/>
      <c r="O1580" s="11" t="str">
        <f aca="false">IF($B1580="","",YEAR($B1580)*100+MONTH($B1580))</f>
        <v/>
      </c>
      <c r="P1580" s="11" t="str">
        <f aca="false">IF($B1580="","",IF($E1580="대체",0,1))</f>
        <v/>
      </c>
    </row>
    <row r="1581" customFormat="false" ht="15" hidden="false" customHeight="false" outlineLevel="0" collapsed="false">
      <c r="A1581" s="36" t="str">
        <f aca="false">IF($B1581="","",COUNT($B$15:$B1581))</f>
        <v/>
      </c>
      <c r="B1581" s="37"/>
      <c r="C1581" s="38"/>
      <c r="D1581" s="20"/>
      <c r="E1581" s="36" t="str">
        <f aca="false">IF($D1581="","",IFERROR(INDEX('교육원 ④ 설정'!$A$6:$A$40,MATCH($D1581,'교육원 ④ 설정'!$B$6:$B$40,0)),"※없는 과목"))</f>
        <v/>
      </c>
      <c r="F1581" s="36" t="str">
        <f aca="false">IF($D1581="","",IFERROR(INDEX('교육원 ④ 설정'!$C$6:$C$40,MATCH($D1581,'교육원 ④ 설정'!$B$6:$B$40,0)),""))</f>
        <v/>
      </c>
      <c r="G1581" s="39"/>
      <c r="H1581" s="39"/>
      <c r="I1581" s="40"/>
      <c r="J1581" s="41"/>
      <c r="K1581" s="38"/>
      <c r="L1581" s="42" t="str">
        <f aca="false">IF($B1581="","",IF(AND(N($I1581)=0,N($J1581)=0),"금액이 없습니다",IF(AND($I1581&gt;0,$J1581&gt;0),"수입·지출 둘 다 적혔습니다",IF($C1581="","결제수단을 고르십시오",IF(ISNA(MATCH($C1581,'교육원 ③ 통장·카드'!$A$5:$A$11,0)),"③ 통장·카드에 없는 결제수단입니다",IF($D1581="","계정과목을 고르십시오",IF($E1581="※없는 과목","④ 설정에 없는 과목입니다",IF(AND($E1581="수입",$J1581&gt;0),"수입 과목인데 지출에 적혔습니다",IF(AND(LEFT($E1581,2)&lt;&gt;"수입",$E1581&lt;&gt;"대체",$I1581&gt;0),"지출 과목인데 수입에 적혔습니다",IF($K1581="","증빙을 고르십시오",IF($H1581="","적요를 적으십시오","")))))))))))</f>
        <v/>
      </c>
      <c r="M1581" s="39"/>
      <c r="O1581" s="11" t="str">
        <f aca="false">IF($B1581="","",YEAR($B1581)*100+MONTH($B1581))</f>
        <v/>
      </c>
      <c r="P1581" s="11" t="str">
        <f aca="false">IF($B1581="","",IF($E1581="대체",0,1))</f>
        <v/>
      </c>
    </row>
    <row r="1582" customFormat="false" ht="15" hidden="false" customHeight="false" outlineLevel="0" collapsed="false">
      <c r="A1582" s="36" t="str">
        <f aca="false">IF($B1582="","",COUNT($B$15:$B1582))</f>
        <v/>
      </c>
      <c r="B1582" s="37"/>
      <c r="C1582" s="38"/>
      <c r="D1582" s="20"/>
      <c r="E1582" s="36" t="str">
        <f aca="false">IF($D1582="","",IFERROR(INDEX('교육원 ④ 설정'!$A$6:$A$40,MATCH($D1582,'교육원 ④ 설정'!$B$6:$B$40,0)),"※없는 과목"))</f>
        <v/>
      </c>
      <c r="F1582" s="36" t="str">
        <f aca="false">IF($D1582="","",IFERROR(INDEX('교육원 ④ 설정'!$C$6:$C$40,MATCH($D1582,'교육원 ④ 설정'!$B$6:$B$40,0)),""))</f>
        <v/>
      </c>
      <c r="G1582" s="39"/>
      <c r="H1582" s="39"/>
      <c r="I1582" s="40"/>
      <c r="J1582" s="41"/>
      <c r="K1582" s="38"/>
      <c r="L1582" s="42" t="str">
        <f aca="false">IF($B1582="","",IF(AND(N($I1582)=0,N($J1582)=0),"금액이 없습니다",IF(AND($I1582&gt;0,$J1582&gt;0),"수입·지출 둘 다 적혔습니다",IF($C1582="","결제수단을 고르십시오",IF(ISNA(MATCH($C1582,'교육원 ③ 통장·카드'!$A$5:$A$11,0)),"③ 통장·카드에 없는 결제수단입니다",IF($D1582="","계정과목을 고르십시오",IF($E1582="※없는 과목","④ 설정에 없는 과목입니다",IF(AND($E1582="수입",$J1582&gt;0),"수입 과목인데 지출에 적혔습니다",IF(AND(LEFT($E1582,2)&lt;&gt;"수입",$E1582&lt;&gt;"대체",$I1582&gt;0),"지출 과목인데 수입에 적혔습니다",IF($K1582="","증빙을 고르십시오",IF($H1582="","적요를 적으십시오","")))))))))))</f>
        <v/>
      </c>
      <c r="M1582" s="39"/>
      <c r="O1582" s="11" t="str">
        <f aca="false">IF($B1582="","",YEAR($B1582)*100+MONTH($B1582))</f>
        <v/>
      </c>
      <c r="P1582" s="11" t="str">
        <f aca="false">IF($B1582="","",IF($E1582="대체",0,1))</f>
        <v/>
      </c>
    </row>
    <row r="1583" customFormat="false" ht="15" hidden="false" customHeight="false" outlineLevel="0" collapsed="false">
      <c r="A1583" s="36" t="str">
        <f aca="false">IF($B1583="","",COUNT($B$15:$B1583))</f>
        <v/>
      </c>
      <c r="B1583" s="37"/>
      <c r="C1583" s="38"/>
      <c r="D1583" s="20"/>
      <c r="E1583" s="36" t="str">
        <f aca="false">IF($D1583="","",IFERROR(INDEX('교육원 ④ 설정'!$A$6:$A$40,MATCH($D1583,'교육원 ④ 설정'!$B$6:$B$40,0)),"※없는 과목"))</f>
        <v/>
      </c>
      <c r="F1583" s="36" t="str">
        <f aca="false">IF($D1583="","",IFERROR(INDEX('교육원 ④ 설정'!$C$6:$C$40,MATCH($D1583,'교육원 ④ 설정'!$B$6:$B$40,0)),""))</f>
        <v/>
      </c>
      <c r="G1583" s="39"/>
      <c r="H1583" s="39"/>
      <c r="I1583" s="40"/>
      <c r="J1583" s="41"/>
      <c r="K1583" s="38"/>
      <c r="L1583" s="42" t="str">
        <f aca="false">IF($B1583="","",IF(AND(N($I1583)=0,N($J1583)=0),"금액이 없습니다",IF(AND($I1583&gt;0,$J1583&gt;0),"수입·지출 둘 다 적혔습니다",IF($C1583="","결제수단을 고르십시오",IF(ISNA(MATCH($C1583,'교육원 ③ 통장·카드'!$A$5:$A$11,0)),"③ 통장·카드에 없는 결제수단입니다",IF($D1583="","계정과목을 고르십시오",IF($E1583="※없는 과목","④ 설정에 없는 과목입니다",IF(AND($E1583="수입",$J1583&gt;0),"수입 과목인데 지출에 적혔습니다",IF(AND(LEFT($E1583,2)&lt;&gt;"수입",$E1583&lt;&gt;"대체",$I1583&gt;0),"지출 과목인데 수입에 적혔습니다",IF($K1583="","증빙을 고르십시오",IF($H1583="","적요를 적으십시오","")))))))))))</f>
        <v/>
      </c>
      <c r="M1583" s="39"/>
      <c r="O1583" s="11" t="str">
        <f aca="false">IF($B1583="","",YEAR($B1583)*100+MONTH($B1583))</f>
        <v/>
      </c>
      <c r="P1583" s="11" t="str">
        <f aca="false">IF($B1583="","",IF($E1583="대체",0,1))</f>
        <v/>
      </c>
    </row>
    <row r="1584" customFormat="false" ht="15" hidden="false" customHeight="false" outlineLevel="0" collapsed="false">
      <c r="A1584" s="36" t="str">
        <f aca="false">IF($B1584="","",COUNT($B$15:$B1584))</f>
        <v/>
      </c>
      <c r="B1584" s="37"/>
      <c r="C1584" s="38"/>
      <c r="D1584" s="20"/>
      <c r="E1584" s="36" t="str">
        <f aca="false">IF($D1584="","",IFERROR(INDEX('교육원 ④ 설정'!$A$6:$A$40,MATCH($D1584,'교육원 ④ 설정'!$B$6:$B$40,0)),"※없는 과목"))</f>
        <v/>
      </c>
      <c r="F1584" s="36" t="str">
        <f aca="false">IF($D1584="","",IFERROR(INDEX('교육원 ④ 설정'!$C$6:$C$40,MATCH($D1584,'교육원 ④ 설정'!$B$6:$B$40,0)),""))</f>
        <v/>
      </c>
      <c r="G1584" s="39"/>
      <c r="H1584" s="39"/>
      <c r="I1584" s="40"/>
      <c r="J1584" s="41"/>
      <c r="K1584" s="38"/>
      <c r="L1584" s="42" t="str">
        <f aca="false">IF($B1584="","",IF(AND(N($I1584)=0,N($J1584)=0),"금액이 없습니다",IF(AND($I1584&gt;0,$J1584&gt;0),"수입·지출 둘 다 적혔습니다",IF($C1584="","결제수단을 고르십시오",IF(ISNA(MATCH($C1584,'교육원 ③ 통장·카드'!$A$5:$A$11,0)),"③ 통장·카드에 없는 결제수단입니다",IF($D1584="","계정과목을 고르십시오",IF($E1584="※없는 과목","④ 설정에 없는 과목입니다",IF(AND($E1584="수입",$J1584&gt;0),"수입 과목인데 지출에 적혔습니다",IF(AND(LEFT($E1584,2)&lt;&gt;"수입",$E1584&lt;&gt;"대체",$I1584&gt;0),"지출 과목인데 수입에 적혔습니다",IF($K1584="","증빙을 고르십시오",IF($H1584="","적요를 적으십시오","")))))))))))</f>
        <v/>
      </c>
      <c r="M1584" s="39"/>
      <c r="O1584" s="11" t="str">
        <f aca="false">IF($B1584="","",YEAR($B1584)*100+MONTH($B1584))</f>
        <v/>
      </c>
      <c r="P1584" s="11" t="str">
        <f aca="false">IF($B1584="","",IF($E1584="대체",0,1))</f>
        <v/>
      </c>
    </row>
    <row r="1585" customFormat="false" ht="15" hidden="false" customHeight="false" outlineLevel="0" collapsed="false">
      <c r="A1585" s="36" t="str">
        <f aca="false">IF($B1585="","",COUNT($B$15:$B1585))</f>
        <v/>
      </c>
      <c r="B1585" s="37"/>
      <c r="C1585" s="38"/>
      <c r="D1585" s="20"/>
      <c r="E1585" s="36" t="str">
        <f aca="false">IF($D1585="","",IFERROR(INDEX('교육원 ④ 설정'!$A$6:$A$40,MATCH($D1585,'교육원 ④ 설정'!$B$6:$B$40,0)),"※없는 과목"))</f>
        <v/>
      </c>
      <c r="F1585" s="36" t="str">
        <f aca="false">IF($D1585="","",IFERROR(INDEX('교육원 ④ 설정'!$C$6:$C$40,MATCH($D1585,'교육원 ④ 설정'!$B$6:$B$40,0)),""))</f>
        <v/>
      </c>
      <c r="G1585" s="39"/>
      <c r="H1585" s="39"/>
      <c r="I1585" s="40"/>
      <c r="J1585" s="41"/>
      <c r="K1585" s="38"/>
      <c r="L1585" s="42" t="str">
        <f aca="false">IF($B1585="","",IF(AND(N($I1585)=0,N($J1585)=0),"금액이 없습니다",IF(AND($I1585&gt;0,$J1585&gt;0),"수입·지출 둘 다 적혔습니다",IF($C1585="","결제수단을 고르십시오",IF(ISNA(MATCH($C1585,'교육원 ③ 통장·카드'!$A$5:$A$11,0)),"③ 통장·카드에 없는 결제수단입니다",IF($D1585="","계정과목을 고르십시오",IF($E1585="※없는 과목","④ 설정에 없는 과목입니다",IF(AND($E1585="수입",$J1585&gt;0),"수입 과목인데 지출에 적혔습니다",IF(AND(LEFT($E1585,2)&lt;&gt;"수입",$E1585&lt;&gt;"대체",$I1585&gt;0),"지출 과목인데 수입에 적혔습니다",IF($K1585="","증빙을 고르십시오",IF($H1585="","적요를 적으십시오","")))))))))))</f>
        <v/>
      </c>
      <c r="M1585" s="39"/>
      <c r="O1585" s="11" t="str">
        <f aca="false">IF($B1585="","",YEAR($B1585)*100+MONTH($B1585))</f>
        <v/>
      </c>
      <c r="P1585" s="11" t="str">
        <f aca="false">IF($B1585="","",IF($E1585="대체",0,1))</f>
        <v/>
      </c>
    </row>
    <row r="1586" customFormat="false" ht="15" hidden="false" customHeight="false" outlineLevel="0" collapsed="false">
      <c r="A1586" s="36" t="str">
        <f aca="false">IF($B1586="","",COUNT($B$15:$B1586))</f>
        <v/>
      </c>
      <c r="B1586" s="37"/>
      <c r="C1586" s="38"/>
      <c r="D1586" s="20"/>
      <c r="E1586" s="36" t="str">
        <f aca="false">IF($D1586="","",IFERROR(INDEX('교육원 ④ 설정'!$A$6:$A$40,MATCH($D1586,'교육원 ④ 설정'!$B$6:$B$40,0)),"※없는 과목"))</f>
        <v/>
      </c>
      <c r="F1586" s="36" t="str">
        <f aca="false">IF($D1586="","",IFERROR(INDEX('교육원 ④ 설정'!$C$6:$C$40,MATCH($D1586,'교육원 ④ 설정'!$B$6:$B$40,0)),""))</f>
        <v/>
      </c>
      <c r="G1586" s="39"/>
      <c r="H1586" s="39"/>
      <c r="I1586" s="40"/>
      <c r="J1586" s="41"/>
      <c r="K1586" s="38"/>
      <c r="L1586" s="42" t="str">
        <f aca="false">IF($B1586="","",IF(AND(N($I1586)=0,N($J1586)=0),"금액이 없습니다",IF(AND($I1586&gt;0,$J1586&gt;0),"수입·지출 둘 다 적혔습니다",IF($C1586="","결제수단을 고르십시오",IF(ISNA(MATCH($C1586,'교육원 ③ 통장·카드'!$A$5:$A$11,0)),"③ 통장·카드에 없는 결제수단입니다",IF($D1586="","계정과목을 고르십시오",IF($E1586="※없는 과목","④ 설정에 없는 과목입니다",IF(AND($E1586="수입",$J1586&gt;0),"수입 과목인데 지출에 적혔습니다",IF(AND(LEFT($E1586,2)&lt;&gt;"수입",$E1586&lt;&gt;"대체",$I1586&gt;0),"지출 과목인데 수입에 적혔습니다",IF($K1586="","증빙을 고르십시오",IF($H1586="","적요를 적으십시오","")))))))))))</f>
        <v/>
      </c>
      <c r="M1586" s="39"/>
      <c r="O1586" s="11" t="str">
        <f aca="false">IF($B1586="","",YEAR($B1586)*100+MONTH($B1586))</f>
        <v/>
      </c>
      <c r="P1586" s="11" t="str">
        <f aca="false">IF($B1586="","",IF($E1586="대체",0,1))</f>
        <v/>
      </c>
    </row>
    <row r="1587" customFormat="false" ht="15" hidden="false" customHeight="false" outlineLevel="0" collapsed="false">
      <c r="A1587" s="36" t="str">
        <f aca="false">IF($B1587="","",COUNT($B$15:$B1587))</f>
        <v/>
      </c>
      <c r="B1587" s="37"/>
      <c r="C1587" s="38"/>
      <c r="D1587" s="20"/>
      <c r="E1587" s="36" t="str">
        <f aca="false">IF($D1587="","",IFERROR(INDEX('교육원 ④ 설정'!$A$6:$A$40,MATCH($D1587,'교육원 ④ 설정'!$B$6:$B$40,0)),"※없는 과목"))</f>
        <v/>
      </c>
      <c r="F1587" s="36" t="str">
        <f aca="false">IF($D1587="","",IFERROR(INDEX('교육원 ④ 설정'!$C$6:$C$40,MATCH($D1587,'교육원 ④ 설정'!$B$6:$B$40,0)),""))</f>
        <v/>
      </c>
      <c r="G1587" s="39"/>
      <c r="H1587" s="39"/>
      <c r="I1587" s="40"/>
      <c r="J1587" s="41"/>
      <c r="K1587" s="38"/>
      <c r="L1587" s="42" t="str">
        <f aca="false">IF($B1587="","",IF(AND(N($I1587)=0,N($J1587)=0),"금액이 없습니다",IF(AND($I1587&gt;0,$J1587&gt;0),"수입·지출 둘 다 적혔습니다",IF($C1587="","결제수단을 고르십시오",IF(ISNA(MATCH($C1587,'교육원 ③ 통장·카드'!$A$5:$A$11,0)),"③ 통장·카드에 없는 결제수단입니다",IF($D1587="","계정과목을 고르십시오",IF($E1587="※없는 과목","④ 설정에 없는 과목입니다",IF(AND($E1587="수입",$J1587&gt;0),"수입 과목인데 지출에 적혔습니다",IF(AND(LEFT($E1587,2)&lt;&gt;"수입",$E1587&lt;&gt;"대체",$I1587&gt;0),"지출 과목인데 수입에 적혔습니다",IF($K1587="","증빙을 고르십시오",IF($H1587="","적요를 적으십시오","")))))))))))</f>
        <v/>
      </c>
      <c r="M1587" s="39"/>
      <c r="O1587" s="11" t="str">
        <f aca="false">IF($B1587="","",YEAR($B1587)*100+MONTH($B1587))</f>
        <v/>
      </c>
      <c r="P1587" s="11" t="str">
        <f aca="false">IF($B1587="","",IF($E1587="대체",0,1))</f>
        <v/>
      </c>
    </row>
    <row r="1588" customFormat="false" ht="15" hidden="false" customHeight="false" outlineLevel="0" collapsed="false">
      <c r="A1588" s="36" t="str">
        <f aca="false">IF($B1588="","",COUNT($B$15:$B1588))</f>
        <v/>
      </c>
      <c r="B1588" s="37"/>
      <c r="C1588" s="38"/>
      <c r="D1588" s="20"/>
      <c r="E1588" s="36" t="str">
        <f aca="false">IF($D1588="","",IFERROR(INDEX('교육원 ④ 설정'!$A$6:$A$40,MATCH($D1588,'교육원 ④ 설정'!$B$6:$B$40,0)),"※없는 과목"))</f>
        <v/>
      </c>
      <c r="F1588" s="36" t="str">
        <f aca="false">IF($D1588="","",IFERROR(INDEX('교육원 ④ 설정'!$C$6:$C$40,MATCH($D1588,'교육원 ④ 설정'!$B$6:$B$40,0)),""))</f>
        <v/>
      </c>
      <c r="G1588" s="39"/>
      <c r="H1588" s="39"/>
      <c r="I1588" s="40"/>
      <c r="J1588" s="41"/>
      <c r="K1588" s="38"/>
      <c r="L1588" s="42" t="str">
        <f aca="false">IF($B1588="","",IF(AND(N($I1588)=0,N($J1588)=0),"금액이 없습니다",IF(AND($I1588&gt;0,$J1588&gt;0),"수입·지출 둘 다 적혔습니다",IF($C1588="","결제수단을 고르십시오",IF(ISNA(MATCH($C1588,'교육원 ③ 통장·카드'!$A$5:$A$11,0)),"③ 통장·카드에 없는 결제수단입니다",IF($D1588="","계정과목을 고르십시오",IF($E1588="※없는 과목","④ 설정에 없는 과목입니다",IF(AND($E1588="수입",$J1588&gt;0),"수입 과목인데 지출에 적혔습니다",IF(AND(LEFT($E1588,2)&lt;&gt;"수입",$E1588&lt;&gt;"대체",$I1588&gt;0),"지출 과목인데 수입에 적혔습니다",IF($K1588="","증빙을 고르십시오",IF($H1588="","적요를 적으십시오","")))))))))))</f>
        <v/>
      </c>
      <c r="M1588" s="39"/>
      <c r="O1588" s="11" t="str">
        <f aca="false">IF($B1588="","",YEAR($B1588)*100+MONTH($B1588))</f>
        <v/>
      </c>
      <c r="P1588" s="11" t="str">
        <f aca="false">IF($B1588="","",IF($E1588="대체",0,1))</f>
        <v/>
      </c>
    </row>
    <row r="1589" customFormat="false" ht="15" hidden="false" customHeight="false" outlineLevel="0" collapsed="false">
      <c r="A1589" s="36" t="str">
        <f aca="false">IF($B1589="","",COUNT($B$15:$B1589))</f>
        <v/>
      </c>
      <c r="B1589" s="37"/>
      <c r="C1589" s="38"/>
      <c r="D1589" s="20"/>
      <c r="E1589" s="36" t="str">
        <f aca="false">IF($D1589="","",IFERROR(INDEX('교육원 ④ 설정'!$A$6:$A$40,MATCH($D1589,'교육원 ④ 설정'!$B$6:$B$40,0)),"※없는 과목"))</f>
        <v/>
      </c>
      <c r="F1589" s="36" t="str">
        <f aca="false">IF($D1589="","",IFERROR(INDEX('교육원 ④ 설정'!$C$6:$C$40,MATCH($D1589,'교육원 ④ 설정'!$B$6:$B$40,0)),""))</f>
        <v/>
      </c>
      <c r="G1589" s="39"/>
      <c r="H1589" s="39"/>
      <c r="I1589" s="40"/>
      <c r="J1589" s="41"/>
      <c r="K1589" s="38"/>
      <c r="L1589" s="42" t="str">
        <f aca="false">IF($B1589="","",IF(AND(N($I1589)=0,N($J1589)=0),"금액이 없습니다",IF(AND($I1589&gt;0,$J1589&gt;0),"수입·지출 둘 다 적혔습니다",IF($C1589="","결제수단을 고르십시오",IF(ISNA(MATCH($C1589,'교육원 ③ 통장·카드'!$A$5:$A$11,0)),"③ 통장·카드에 없는 결제수단입니다",IF($D1589="","계정과목을 고르십시오",IF($E1589="※없는 과목","④ 설정에 없는 과목입니다",IF(AND($E1589="수입",$J1589&gt;0),"수입 과목인데 지출에 적혔습니다",IF(AND(LEFT($E1589,2)&lt;&gt;"수입",$E1589&lt;&gt;"대체",$I1589&gt;0),"지출 과목인데 수입에 적혔습니다",IF($K1589="","증빙을 고르십시오",IF($H1589="","적요를 적으십시오","")))))))))))</f>
        <v/>
      </c>
      <c r="M1589" s="39"/>
      <c r="O1589" s="11" t="str">
        <f aca="false">IF($B1589="","",YEAR($B1589)*100+MONTH($B1589))</f>
        <v/>
      </c>
      <c r="P1589" s="11" t="str">
        <f aca="false">IF($B1589="","",IF($E1589="대체",0,1))</f>
        <v/>
      </c>
    </row>
    <row r="1590" customFormat="false" ht="15" hidden="false" customHeight="false" outlineLevel="0" collapsed="false">
      <c r="A1590" s="36" t="str">
        <f aca="false">IF($B1590="","",COUNT($B$15:$B1590))</f>
        <v/>
      </c>
      <c r="B1590" s="37"/>
      <c r="C1590" s="38"/>
      <c r="D1590" s="20"/>
      <c r="E1590" s="36" t="str">
        <f aca="false">IF($D1590="","",IFERROR(INDEX('교육원 ④ 설정'!$A$6:$A$40,MATCH($D1590,'교육원 ④ 설정'!$B$6:$B$40,0)),"※없는 과목"))</f>
        <v/>
      </c>
      <c r="F1590" s="36" t="str">
        <f aca="false">IF($D1590="","",IFERROR(INDEX('교육원 ④ 설정'!$C$6:$C$40,MATCH($D1590,'교육원 ④ 설정'!$B$6:$B$40,0)),""))</f>
        <v/>
      </c>
      <c r="G1590" s="39"/>
      <c r="H1590" s="39"/>
      <c r="I1590" s="40"/>
      <c r="J1590" s="41"/>
      <c r="K1590" s="38"/>
      <c r="L1590" s="42" t="str">
        <f aca="false">IF($B1590="","",IF(AND(N($I1590)=0,N($J1590)=0),"금액이 없습니다",IF(AND($I1590&gt;0,$J1590&gt;0),"수입·지출 둘 다 적혔습니다",IF($C1590="","결제수단을 고르십시오",IF(ISNA(MATCH($C1590,'교육원 ③ 통장·카드'!$A$5:$A$11,0)),"③ 통장·카드에 없는 결제수단입니다",IF($D1590="","계정과목을 고르십시오",IF($E1590="※없는 과목","④ 설정에 없는 과목입니다",IF(AND($E1590="수입",$J1590&gt;0),"수입 과목인데 지출에 적혔습니다",IF(AND(LEFT($E1590,2)&lt;&gt;"수입",$E1590&lt;&gt;"대체",$I1590&gt;0),"지출 과목인데 수입에 적혔습니다",IF($K1590="","증빙을 고르십시오",IF($H1590="","적요를 적으십시오","")))))))))))</f>
        <v/>
      </c>
      <c r="M1590" s="39"/>
      <c r="O1590" s="11" t="str">
        <f aca="false">IF($B1590="","",YEAR($B1590)*100+MONTH($B1590))</f>
        <v/>
      </c>
      <c r="P1590" s="11" t="str">
        <f aca="false">IF($B1590="","",IF($E1590="대체",0,1))</f>
        <v/>
      </c>
    </row>
    <row r="1591" customFormat="false" ht="15" hidden="false" customHeight="false" outlineLevel="0" collapsed="false">
      <c r="A1591" s="36" t="str">
        <f aca="false">IF($B1591="","",COUNT($B$15:$B1591))</f>
        <v/>
      </c>
      <c r="B1591" s="37"/>
      <c r="C1591" s="38"/>
      <c r="D1591" s="20"/>
      <c r="E1591" s="36" t="str">
        <f aca="false">IF($D1591="","",IFERROR(INDEX('교육원 ④ 설정'!$A$6:$A$40,MATCH($D1591,'교육원 ④ 설정'!$B$6:$B$40,0)),"※없는 과목"))</f>
        <v/>
      </c>
      <c r="F1591" s="36" t="str">
        <f aca="false">IF($D1591="","",IFERROR(INDEX('교육원 ④ 설정'!$C$6:$C$40,MATCH($D1591,'교육원 ④ 설정'!$B$6:$B$40,0)),""))</f>
        <v/>
      </c>
      <c r="G1591" s="39"/>
      <c r="H1591" s="39"/>
      <c r="I1591" s="40"/>
      <c r="J1591" s="41"/>
      <c r="K1591" s="38"/>
      <c r="L1591" s="42" t="str">
        <f aca="false">IF($B1591="","",IF(AND(N($I1591)=0,N($J1591)=0),"금액이 없습니다",IF(AND($I1591&gt;0,$J1591&gt;0),"수입·지출 둘 다 적혔습니다",IF($C1591="","결제수단을 고르십시오",IF(ISNA(MATCH($C1591,'교육원 ③ 통장·카드'!$A$5:$A$11,0)),"③ 통장·카드에 없는 결제수단입니다",IF($D1591="","계정과목을 고르십시오",IF($E1591="※없는 과목","④ 설정에 없는 과목입니다",IF(AND($E1591="수입",$J1591&gt;0),"수입 과목인데 지출에 적혔습니다",IF(AND(LEFT($E1591,2)&lt;&gt;"수입",$E1591&lt;&gt;"대체",$I1591&gt;0),"지출 과목인데 수입에 적혔습니다",IF($K1591="","증빙을 고르십시오",IF($H1591="","적요를 적으십시오","")))))))))))</f>
        <v/>
      </c>
      <c r="M1591" s="39"/>
      <c r="O1591" s="11" t="str">
        <f aca="false">IF($B1591="","",YEAR($B1591)*100+MONTH($B1591))</f>
        <v/>
      </c>
      <c r="P1591" s="11" t="str">
        <f aca="false">IF($B1591="","",IF($E1591="대체",0,1))</f>
        <v/>
      </c>
    </row>
    <row r="1592" customFormat="false" ht="15" hidden="false" customHeight="false" outlineLevel="0" collapsed="false">
      <c r="A1592" s="36" t="str">
        <f aca="false">IF($B1592="","",COUNT($B$15:$B1592))</f>
        <v/>
      </c>
      <c r="B1592" s="37"/>
      <c r="C1592" s="38"/>
      <c r="D1592" s="20"/>
      <c r="E1592" s="36" t="str">
        <f aca="false">IF($D1592="","",IFERROR(INDEX('교육원 ④ 설정'!$A$6:$A$40,MATCH($D1592,'교육원 ④ 설정'!$B$6:$B$40,0)),"※없는 과목"))</f>
        <v/>
      </c>
      <c r="F1592" s="36" t="str">
        <f aca="false">IF($D1592="","",IFERROR(INDEX('교육원 ④ 설정'!$C$6:$C$40,MATCH($D1592,'교육원 ④ 설정'!$B$6:$B$40,0)),""))</f>
        <v/>
      </c>
      <c r="G1592" s="39"/>
      <c r="H1592" s="39"/>
      <c r="I1592" s="40"/>
      <c r="J1592" s="41"/>
      <c r="K1592" s="38"/>
      <c r="L1592" s="42" t="str">
        <f aca="false">IF($B1592="","",IF(AND(N($I1592)=0,N($J1592)=0),"금액이 없습니다",IF(AND($I1592&gt;0,$J1592&gt;0),"수입·지출 둘 다 적혔습니다",IF($C1592="","결제수단을 고르십시오",IF(ISNA(MATCH($C1592,'교육원 ③ 통장·카드'!$A$5:$A$11,0)),"③ 통장·카드에 없는 결제수단입니다",IF($D1592="","계정과목을 고르십시오",IF($E1592="※없는 과목","④ 설정에 없는 과목입니다",IF(AND($E1592="수입",$J1592&gt;0),"수입 과목인데 지출에 적혔습니다",IF(AND(LEFT($E1592,2)&lt;&gt;"수입",$E1592&lt;&gt;"대체",$I1592&gt;0),"지출 과목인데 수입에 적혔습니다",IF($K1592="","증빙을 고르십시오",IF($H1592="","적요를 적으십시오","")))))))))))</f>
        <v/>
      </c>
      <c r="M1592" s="39"/>
      <c r="O1592" s="11" t="str">
        <f aca="false">IF($B1592="","",YEAR($B1592)*100+MONTH($B1592))</f>
        <v/>
      </c>
      <c r="P1592" s="11" t="str">
        <f aca="false">IF($B1592="","",IF($E1592="대체",0,1))</f>
        <v/>
      </c>
    </row>
    <row r="1593" customFormat="false" ht="15" hidden="false" customHeight="false" outlineLevel="0" collapsed="false">
      <c r="A1593" s="36" t="str">
        <f aca="false">IF($B1593="","",COUNT($B$15:$B1593))</f>
        <v/>
      </c>
      <c r="B1593" s="37"/>
      <c r="C1593" s="38"/>
      <c r="D1593" s="20"/>
      <c r="E1593" s="36" t="str">
        <f aca="false">IF($D1593="","",IFERROR(INDEX('교육원 ④ 설정'!$A$6:$A$40,MATCH($D1593,'교육원 ④ 설정'!$B$6:$B$40,0)),"※없는 과목"))</f>
        <v/>
      </c>
      <c r="F1593" s="36" t="str">
        <f aca="false">IF($D1593="","",IFERROR(INDEX('교육원 ④ 설정'!$C$6:$C$40,MATCH($D1593,'교육원 ④ 설정'!$B$6:$B$40,0)),""))</f>
        <v/>
      </c>
      <c r="G1593" s="39"/>
      <c r="H1593" s="39"/>
      <c r="I1593" s="40"/>
      <c r="J1593" s="41"/>
      <c r="K1593" s="38"/>
      <c r="L1593" s="42" t="str">
        <f aca="false">IF($B1593="","",IF(AND(N($I1593)=0,N($J1593)=0),"금액이 없습니다",IF(AND($I1593&gt;0,$J1593&gt;0),"수입·지출 둘 다 적혔습니다",IF($C1593="","결제수단을 고르십시오",IF(ISNA(MATCH($C1593,'교육원 ③ 통장·카드'!$A$5:$A$11,0)),"③ 통장·카드에 없는 결제수단입니다",IF($D1593="","계정과목을 고르십시오",IF($E1593="※없는 과목","④ 설정에 없는 과목입니다",IF(AND($E1593="수입",$J1593&gt;0),"수입 과목인데 지출에 적혔습니다",IF(AND(LEFT($E1593,2)&lt;&gt;"수입",$E1593&lt;&gt;"대체",$I1593&gt;0),"지출 과목인데 수입에 적혔습니다",IF($K1593="","증빙을 고르십시오",IF($H1593="","적요를 적으십시오","")))))))))))</f>
        <v/>
      </c>
      <c r="M1593" s="39"/>
      <c r="O1593" s="11" t="str">
        <f aca="false">IF($B1593="","",YEAR($B1593)*100+MONTH($B1593))</f>
        <v/>
      </c>
      <c r="P1593" s="11" t="str">
        <f aca="false">IF($B1593="","",IF($E1593="대체",0,1))</f>
        <v/>
      </c>
    </row>
    <row r="1594" customFormat="false" ht="15" hidden="false" customHeight="false" outlineLevel="0" collapsed="false">
      <c r="A1594" s="36" t="str">
        <f aca="false">IF($B1594="","",COUNT($B$15:$B1594))</f>
        <v/>
      </c>
      <c r="B1594" s="37"/>
      <c r="C1594" s="38"/>
      <c r="D1594" s="20"/>
      <c r="E1594" s="36" t="str">
        <f aca="false">IF($D1594="","",IFERROR(INDEX('교육원 ④ 설정'!$A$6:$A$40,MATCH($D1594,'교육원 ④ 설정'!$B$6:$B$40,0)),"※없는 과목"))</f>
        <v/>
      </c>
      <c r="F1594" s="36" t="str">
        <f aca="false">IF($D1594="","",IFERROR(INDEX('교육원 ④ 설정'!$C$6:$C$40,MATCH($D1594,'교육원 ④ 설정'!$B$6:$B$40,0)),""))</f>
        <v/>
      </c>
      <c r="G1594" s="39"/>
      <c r="H1594" s="39"/>
      <c r="I1594" s="40"/>
      <c r="J1594" s="41"/>
      <c r="K1594" s="38"/>
      <c r="L1594" s="42" t="str">
        <f aca="false">IF($B1594="","",IF(AND(N($I1594)=0,N($J1594)=0),"금액이 없습니다",IF(AND($I1594&gt;0,$J1594&gt;0),"수입·지출 둘 다 적혔습니다",IF($C1594="","결제수단을 고르십시오",IF(ISNA(MATCH($C1594,'교육원 ③ 통장·카드'!$A$5:$A$11,0)),"③ 통장·카드에 없는 결제수단입니다",IF($D1594="","계정과목을 고르십시오",IF($E1594="※없는 과목","④ 설정에 없는 과목입니다",IF(AND($E1594="수입",$J1594&gt;0),"수입 과목인데 지출에 적혔습니다",IF(AND(LEFT($E1594,2)&lt;&gt;"수입",$E1594&lt;&gt;"대체",$I1594&gt;0),"지출 과목인데 수입에 적혔습니다",IF($K1594="","증빙을 고르십시오",IF($H1594="","적요를 적으십시오","")))))))))))</f>
        <v/>
      </c>
      <c r="M1594" s="39"/>
      <c r="O1594" s="11" t="str">
        <f aca="false">IF($B1594="","",YEAR($B1594)*100+MONTH($B1594))</f>
        <v/>
      </c>
      <c r="P1594" s="11" t="str">
        <f aca="false">IF($B1594="","",IF($E1594="대체",0,1))</f>
        <v/>
      </c>
    </row>
    <row r="1595" customFormat="false" ht="15" hidden="false" customHeight="false" outlineLevel="0" collapsed="false">
      <c r="A1595" s="36" t="str">
        <f aca="false">IF($B1595="","",COUNT($B$15:$B1595))</f>
        <v/>
      </c>
      <c r="B1595" s="37"/>
      <c r="C1595" s="38"/>
      <c r="D1595" s="20"/>
      <c r="E1595" s="36" t="str">
        <f aca="false">IF($D1595="","",IFERROR(INDEX('교육원 ④ 설정'!$A$6:$A$40,MATCH($D1595,'교육원 ④ 설정'!$B$6:$B$40,0)),"※없는 과목"))</f>
        <v/>
      </c>
      <c r="F1595" s="36" t="str">
        <f aca="false">IF($D1595="","",IFERROR(INDEX('교육원 ④ 설정'!$C$6:$C$40,MATCH($D1595,'교육원 ④ 설정'!$B$6:$B$40,0)),""))</f>
        <v/>
      </c>
      <c r="G1595" s="39"/>
      <c r="H1595" s="39"/>
      <c r="I1595" s="40"/>
      <c r="J1595" s="41"/>
      <c r="K1595" s="38"/>
      <c r="L1595" s="42" t="str">
        <f aca="false">IF($B1595="","",IF(AND(N($I1595)=0,N($J1595)=0),"금액이 없습니다",IF(AND($I1595&gt;0,$J1595&gt;0),"수입·지출 둘 다 적혔습니다",IF($C1595="","결제수단을 고르십시오",IF(ISNA(MATCH($C1595,'교육원 ③ 통장·카드'!$A$5:$A$11,0)),"③ 통장·카드에 없는 결제수단입니다",IF($D1595="","계정과목을 고르십시오",IF($E1595="※없는 과목","④ 설정에 없는 과목입니다",IF(AND($E1595="수입",$J1595&gt;0),"수입 과목인데 지출에 적혔습니다",IF(AND(LEFT($E1595,2)&lt;&gt;"수입",$E1595&lt;&gt;"대체",$I1595&gt;0),"지출 과목인데 수입에 적혔습니다",IF($K1595="","증빙을 고르십시오",IF($H1595="","적요를 적으십시오","")))))))))))</f>
        <v/>
      </c>
      <c r="M1595" s="39"/>
      <c r="O1595" s="11" t="str">
        <f aca="false">IF($B1595="","",YEAR($B1595)*100+MONTH($B1595))</f>
        <v/>
      </c>
      <c r="P1595" s="11" t="str">
        <f aca="false">IF($B1595="","",IF($E1595="대체",0,1))</f>
        <v/>
      </c>
    </row>
    <row r="1596" customFormat="false" ht="15" hidden="false" customHeight="false" outlineLevel="0" collapsed="false">
      <c r="A1596" s="36" t="str">
        <f aca="false">IF($B1596="","",COUNT($B$15:$B1596))</f>
        <v/>
      </c>
      <c r="B1596" s="37"/>
      <c r="C1596" s="38"/>
      <c r="D1596" s="20"/>
      <c r="E1596" s="36" t="str">
        <f aca="false">IF($D1596="","",IFERROR(INDEX('교육원 ④ 설정'!$A$6:$A$40,MATCH($D1596,'교육원 ④ 설정'!$B$6:$B$40,0)),"※없는 과목"))</f>
        <v/>
      </c>
      <c r="F1596" s="36" t="str">
        <f aca="false">IF($D1596="","",IFERROR(INDEX('교육원 ④ 설정'!$C$6:$C$40,MATCH($D1596,'교육원 ④ 설정'!$B$6:$B$40,0)),""))</f>
        <v/>
      </c>
      <c r="G1596" s="39"/>
      <c r="H1596" s="39"/>
      <c r="I1596" s="40"/>
      <c r="J1596" s="41"/>
      <c r="K1596" s="38"/>
      <c r="L1596" s="42" t="str">
        <f aca="false">IF($B1596="","",IF(AND(N($I1596)=0,N($J1596)=0),"금액이 없습니다",IF(AND($I1596&gt;0,$J1596&gt;0),"수입·지출 둘 다 적혔습니다",IF($C1596="","결제수단을 고르십시오",IF(ISNA(MATCH($C1596,'교육원 ③ 통장·카드'!$A$5:$A$11,0)),"③ 통장·카드에 없는 결제수단입니다",IF($D1596="","계정과목을 고르십시오",IF($E1596="※없는 과목","④ 설정에 없는 과목입니다",IF(AND($E1596="수입",$J1596&gt;0),"수입 과목인데 지출에 적혔습니다",IF(AND(LEFT($E1596,2)&lt;&gt;"수입",$E1596&lt;&gt;"대체",$I1596&gt;0),"지출 과목인데 수입에 적혔습니다",IF($K1596="","증빙을 고르십시오",IF($H1596="","적요를 적으십시오","")))))))))))</f>
        <v/>
      </c>
      <c r="M1596" s="39"/>
      <c r="O1596" s="11" t="str">
        <f aca="false">IF($B1596="","",YEAR($B1596)*100+MONTH($B1596))</f>
        <v/>
      </c>
      <c r="P1596" s="11" t="str">
        <f aca="false">IF($B1596="","",IF($E1596="대체",0,1))</f>
        <v/>
      </c>
    </row>
    <row r="1597" customFormat="false" ht="15" hidden="false" customHeight="false" outlineLevel="0" collapsed="false">
      <c r="A1597" s="36" t="str">
        <f aca="false">IF($B1597="","",COUNT($B$15:$B1597))</f>
        <v/>
      </c>
      <c r="B1597" s="37"/>
      <c r="C1597" s="38"/>
      <c r="D1597" s="20"/>
      <c r="E1597" s="36" t="str">
        <f aca="false">IF($D1597="","",IFERROR(INDEX('교육원 ④ 설정'!$A$6:$A$40,MATCH($D1597,'교육원 ④ 설정'!$B$6:$B$40,0)),"※없는 과목"))</f>
        <v/>
      </c>
      <c r="F1597" s="36" t="str">
        <f aca="false">IF($D1597="","",IFERROR(INDEX('교육원 ④ 설정'!$C$6:$C$40,MATCH($D1597,'교육원 ④ 설정'!$B$6:$B$40,0)),""))</f>
        <v/>
      </c>
      <c r="G1597" s="39"/>
      <c r="H1597" s="39"/>
      <c r="I1597" s="40"/>
      <c r="J1597" s="41"/>
      <c r="K1597" s="38"/>
      <c r="L1597" s="42" t="str">
        <f aca="false">IF($B1597="","",IF(AND(N($I1597)=0,N($J1597)=0),"금액이 없습니다",IF(AND($I1597&gt;0,$J1597&gt;0),"수입·지출 둘 다 적혔습니다",IF($C1597="","결제수단을 고르십시오",IF(ISNA(MATCH($C1597,'교육원 ③ 통장·카드'!$A$5:$A$11,0)),"③ 통장·카드에 없는 결제수단입니다",IF($D1597="","계정과목을 고르십시오",IF($E1597="※없는 과목","④ 설정에 없는 과목입니다",IF(AND($E1597="수입",$J1597&gt;0),"수입 과목인데 지출에 적혔습니다",IF(AND(LEFT($E1597,2)&lt;&gt;"수입",$E1597&lt;&gt;"대체",$I1597&gt;0),"지출 과목인데 수입에 적혔습니다",IF($K1597="","증빙을 고르십시오",IF($H1597="","적요를 적으십시오","")))))))))))</f>
        <v/>
      </c>
      <c r="M1597" s="39"/>
      <c r="O1597" s="11" t="str">
        <f aca="false">IF($B1597="","",YEAR($B1597)*100+MONTH($B1597))</f>
        <v/>
      </c>
      <c r="P1597" s="11" t="str">
        <f aca="false">IF($B1597="","",IF($E1597="대체",0,1))</f>
        <v/>
      </c>
    </row>
    <row r="1598" customFormat="false" ht="15" hidden="false" customHeight="false" outlineLevel="0" collapsed="false">
      <c r="A1598" s="36" t="str">
        <f aca="false">IF($B1598="","",COUNT($B$15:$B1598))</f>
        <v/>
      </c>
      <c r="B1598" s="37"/>
      <c r="C1598" s="38"/>
      <c r="D1598" s="20"/>
      <c r="E1598" s="36" t="str">
        <f aca="false">IF($D1598="","",IFERROR(INDEX('교육원 ④ 설정'!$A$6:$A$40,MATCH($D1598,'교육원 ④ 설정'!$B$6:$B$40,0)),"※없는 과목"))</f>
        <v/>
      </c>
      <c r="F1598" s="36" t="str">
        <f aca="false">IF($D1598="","",IFERROR(INDEX('교육원 ④ 설정'!$C$6:$C$40,MATCH($D1598,'교육원 ④ 설정'!$B$6:$B$40,0)),""))</f>
        <v/>
      </c>
      <c r="G1598" s="39"/>
      <c r="H1598" s="39"/>
      <c r="I1598" s="40"/>
      <c r="J1598" s="41"/>
      <c r="K1598" s="38"/>
      <c r="L1598" s="42" t="str">
        <f aca="false">IF($B1598="","",IF(AND(N($I1598)=0,N($J1598)=0),"금액이 없습니다",IF(AND($I1598&gt;0,$J1598&gt;0),"수입·지출 둘 다 적혔습니다",IF($C1598="","결제수단을 고르십시오",IF(ISNA(MATCH($C1598,'교육원 ③ 통장·카드'!$A$5:$A$11,0)),"③ 통장·카드에 없는 결제수단입니다",IF($D1598="","계정과목을 고르십시오",IF($E1598="※없는 과목","④ 설정에 없는 과목입니다",IF(AND($E1598="수입",$J1598&gt;0),"수입 과목인데 지출에 적혔습니다",IF(AND(LEFT($E1598,2)&lt;&gt;"수입",$E1598&lt;&gt;"대체",$I1598&gt;0),"지출 과목인데 수입에 적혔습니다",IF($K1598="","증빙을 고르십시오",IF($H1598="","적요를 적으십시오","")))))))))))</f>
        <v/>
      </c>
      <c r="M1598" s="39"/>
      <c r="O1598" s="11" t="str">
        <f aca="false">IF($B1598="","",YEAR($B1598)*100+MONTH($B1598))</f>
        <v/>
      </c>
      <c r="P1598" s="11" t="str">
        <f aca="false">IF($B1598="","",IF($E1598="대체",0,1))</f>
        <v/>
      </c>
    </row>
    <row r="1599" customFormat="false" ht="15" hidden="false" customHeight="false" outlineLevel="0" collapsed="false">
      <c r="A1599" s="36" t="str">
        <f aca="false">IF($B1599="","",COUNT($B$15:$B1599))</f>
        <v/>
      </c>
      <c r="B1599" s="37"/>
      <c r="C1599" s="38"/>
      <c r="D1599" s="20"/>
      <c r="E1599" s="36" t="str">
        <f aca="false">IF($D1599="","",IFERROR(INDEX('교육원 ④ 설정'!$A$6:$A$40,MATCH($D1599,'교육원 ④ 설정'!$B$6:$B$40,0)),"※없는 과목"))</f>
        <v/>
      </c>
      <c r="F1599" s="36" t="str">
        <f aca="false">IF($D1599="","",IFERROR(INDEX('교육원 ④ 설정'!$C$6:$C$40,MATCH($D1599,'교육원 ④ 설정'!$B$6:$B$40,0)),""))</f>
        <v/>
      </c>
      <c r="G1599" s="39"/>
      <c r="H1599" s="39"/>
      <c r="I1599" s="40"/>
      <c r="J1599" s="41"/>
      <c r="K1599" s="38"/>
      <c r="L1599" s="42" t="str">
        <f aca="false">IF($B1599="","",IF(AND(N($I1599)=0,N($J1599)=0),"금액이 없습니다",IF(AND($I1599&gt;0,$J1599&gt;0),"수입·지출 둘 다 적혔습니다",IF($C1599="","결제수단을 고르십시오",IF(ISNA(MATCH($C1599,'교육원 ③ 통장·카드'!$A$5:$A$11,0)),"③ 통장·카드에 없는 결제수단입니다",IF($D1599="","계정과목을 고르십시오",IF($E1599="※없는 과목","④ 설정에 없는 과목입니다",IF(AND($E1599="수입",$J1599&gt;0),"수입 과목인데 지출에 적혔습니다",IF(AND(LEFT($E1599,2)&lt;&gt;"수입",$E1599&lt;&gt;"대체",$I1599&gt;0),"지출 과목인데 수입에 적혔습니다",IF($K1599="","증빙을 고르십시오",IF($H1599="","적요를 적으십시오","")))))))))))</f>
        <v/>
      </c>
      <c r="M1599" s="39"/>
      <c r="O1599" s="11" t="str">
        <f aca="false">IF($B1599="","",YEAR($B1599)*100+MONTH($B1599))</f>
        <v/>
      </c>
      <c r="P1599" s="11" t="str">
        <f aca="false">IF($B1599="","",IF($E1599="대체",0,1))</f>
        <v/>
      </c>
    </row>
    <row r="1600" customFormat="false" ht="15" hidden="false" customHeight="false" outlineLevel="0" collapsed="false">
      <c r="A1600" s="36" t="str">
        <f aca="false">IF($B1600="","",COUNT($B$15:$B1600))</f>
        <v/>
      </c>
      <c r="B1600" s="37"/>
      <c r="C1600" s="38"/>
      <c r="D1600" s="20"/>
      <c r="E1600" s="36" t="str">
        <f aca="false">IF($D1600="","",IFERROR(INDEX('교육원 ④ 설정'!$A$6:$A$40,MATCH($D1600,'교육원 ④ 설정'!$B$6:$B$40,0)),"※없는 과목"))</f>
        <v/>
      </c>
      <c r="F1600" s="36" t="str">
        <f aca="false">IF($D1600="","",IFERROR(INDEX('교육원 ④ 설정'!$C$6:$C$40,MATCH($D1600,'교육원 ④ 설정'!$B$6:$B$40,0)),""))</f>
        <v/>
      </c>
      <c r="G1600" s="39"/>
      <c r="H1600" s="39"/>
      <c r="I1600" s="40"/>
      <c r="J1600" s="41"/>
      <c r="K1600" s="38"/>
      <c r="L1600" s="42" t="str">
        <f aca="false">IF($B1600="","",IF(AND(N($I1600)=0,N($J1600)=0),"금액이 없습니다",IF(AND($I1600&gt;0,$J1600&gt;0),"수입·지출 둘 다 적혔습니다",IF($C1600="","결제수단을 고르십시오",IF(ISNA(MATCH($C1600,'교육원 ③ 통장·카드'!$A$5:$A$11,0)),"③ 통장·카드에 없는 결제수단입니다",IF($D1600="","계정과목을 고르십시오",IF($E1600="※없는 과목","④ 설정에 없는 과목입니다",IF(AND($E1600="수입",$J1600&gt;0),"수입 과목인데 지출에 적혔습니다",IF(AND(LEFT($E1600,2)&lt;&gt;"수입",$E1600&lt;&gt;"대체",$I1600&gt;0),"지출 과목인데 수입에 적혔습니다",IF($K1600="","증빙을 고르십시오",IF($H1600="","적요를 적으십시오","")))))))))))</f>
        <v/>
      </c>
      <c r="M1600" s="39"/>
      <c r="O1600" s="11" t="str">
        <f aca="false">IF($B1600="","",YEAR($B1600)*100+MONTH($B1600))</f>
        <v/>
      </c>
      <c r="P1600" s="11" t="str">
        <f aca="false">IF($B1600="","",IF($E1600="대체",0,1))</f>
        <v/>
      </c>
    </row>
    <row r="1601" customFormat="false" ht="15" hidden="false" customHeight="false" outlineLevel="0" collapsed="false">
      <c r="A1601" s="36" t="str">
        <f aca="false">IF($B1601="","",COUNT($B$15:$B1601))</f>
        <v/>
      </c>
      <c r="B1601" s="37"/>
      <c r="C1601" s="38"/>
      <c r="D1601" s="20"/>
      <c r="E1601" s="36" t="str">
        <f aca="false">IF($D1601="","",IFERROR(INDEX('교육원 ④ 설정'!$A$6:$A$40,MATCH($D1601,'교육원 ④ 설정'!$B$6:$B$40,0)),"※없는 과목"))</f>
        <v/>
      </c>
      <c r="F1601" s="36" t="str">
        <f aca="false">IF($D1601="","",IFERROR(INDEX('교육원 ④ 설정'!$C$6:$C$40,MATCH($D1601,'교육원 ④ 설정'!$B$6:$B$40,0)),""))</f>
        <v/>
      </c>
      <c r="G1601" s="39"/>
      <c r="H1601" s="39"/>
      <c r="I1601" s="40"/>
      <c r="J1601" s="41"/>
      <c r="K1601" s="38"/>
      <c r="L1601" s="42" t="str">
        <f aca="false">IF($B1601="","",IF(AND(N($I1601)=0,N($J1601)=0),"금액이 없습니다",IF(AND($I1601&gt;0,$J1601&gt;0),"수입·지출 둘 다 적혔습니다",IF($C1601="","결제수단을 고르십시오",IF(ISNA(MATCH($C1601,'교육원 ③ 통장·카드'!$A$5:$A$11,0)),"③ 통장·카드에 없는 결제수단입니다",IF($D1601="","계정과목을 고르십시오",IF($E1601="※없는 과목","④ 설정에 없는 과목입니다",IF(AND($E1601="수입",$J1601&gt;0),"수입 과목인데 지출에 적혔습니다",IF(AND(LEFT($E1601,2)&lt;&gt;"수입",$E1601&lt;&gt;"대체",$I1601&gt;0),"지출 과목인데 수입에 적혔습니다",IF($K1601="","증빙을 고르십시오",IF($H1601="","적요를 적으십시오","")))))))))))</f>
        <v/>
      </c>
      <c r="M1601" s="39"/>
      <c r="O1601" s="11" t="str">
        <f aca="false">IF($B1601="","",YEAR($B1601)*100+MONTH($B1601))</f>
        <v/>
      </c>
      <c r="P1601" s="11" t="str">
        <f aca="false">IF($B1601="","",IF($E1601="대체",0,1))</f>
        <v/>
      </c>
    </row>
    <row r="1602" customFormat="false" ht="15" hidden="false" customHeight="false" outlineLevel="0" collapsed="false">
      <c r="A1602" s="36" t="str">
        <f aca="false">IF($B1602="","",COUNT($B$15:$B1602))</f>
        <v/>
      </c>
      <c r="B1602" s="37"/>
      <c r="C1602" s="38"/>
      <c r="D1602" s="20"/>
      <c r="E1602" s="36" t="str">
        <f aca="false">IF($D1602="","",IFERROR(INDEX('교육원 ④ 설정'!$A$6:$A$40,MATCH($D1602,'교육원 ④ 설정'!$B$6:$B$40,0)),"※없는 과목"))</f>
        <v/>
      </c>
      <c r="F1602" s="36" t="str">
        <f aca="false">IF($D1602="","",IFERROR(INDEX('교육원 ④ 설정'!$C$6:$C$40,MATCH($D1602,'교육원 ④ 설정'!$B$6:$B$40,0)),""))</f>
        <v/>
      </c>
      <c r="G1602" s="39"/>
      <c r="H1602" s="39"/>
      <c r="I1602" s="40"/>
      <c r="J1602" s="41"/>
      <c r="K1602" s="38"/>
      <c r="L1602" s="42" t="str">
        <f aca="false">IF($B1602="","",IF(AND(N($I1602)=0,N($J1602)=0),"금액이 없습니다",IF(AND($I1602&gt;0,$J1602&gt;0),"수입·지출 둘 다 적혔습니다",IF($C1602="","결제수단을 고르십시오",IF(ISNA(MATCH($C1602,'교육원 ③ 통장·카드'!$A$5:$A$11,0)),"③ 통장·카드에 없는 결제수단입니다",IF($D1602="","계정과목을 고르십시오",IF($E1602="※없는 과목","④ 설정에 없는 과목입니다",IF(AND($E1602="수입",$J1602&gt;0),"수입 과목인데 지출에 적혔습니다",IF(AND(LEFT($E1602,2)&lt;&gt;"수입",$E1602&lt;&gt;"대체",$I1602&gt;0),"지출 과목인데 수입에 적혔습니다",IF($K1602="","증빙을 고르십시오",IF($H1602="","적요를 적으십시오","")))))))))))</f>
        <v/>
      </c>
      <c r="M1602" s="39"/>
      <c r="O1602" s="11" t="str">
        <f aca="false">IF($B1602="","",YEAR($B1602)*100+MONTH($B1602))</f>
        <v/>
      </c>
      <c r="P1602" s="11" t="str">
        <f aca="false">IF($B1602="","",IF($E1602="대체",0,1))</f>
        <v/>
      </c>
    </row>
    <row r="1603" customFormat="false" ht="15" hidden="false" customHeight="false" outlineLevel="0" collapsed="false">
      <c r="A1603" s="36" t="str">
        <f aca="false">IF($B1603="","",COUNT($B$15:$B1603))</f>
        <v/>
      </c>
      <c r="B1603" s="37"/>
      <c r="C1603" s="38"/>
      <c r="D1603" s="20"/>
      <c r="E1603" s="36" t="str">
        <f aca="false">IF($D1603="","",IFERROR(INDEX('교육원 ④ 설정'!$A$6:$A$40,MATCH($D1603,'교육원 ④ 설정'!$B$6:$B$40,0)),"※없는 과목"))</f>
        <v/>
      </c>
      <c r="F1603" s="36" t="str">
        <f aca="false">IF($D1603="","",IFERROR(INDEX('교육원 ④ 설정'!$C$6:$C$40,MATCH($D1603,'교육원 ④ 설정'!$B$6:$B$40,0)),""))</f>
        <v/>
      </c>
      <c r="G1603" s="39"/>
      <c r="H1603" s="39"/>
      <c r="I1603" s="40"/>
      <c r="J1603" s="41"/>
      <c r="K1603" s="38"/>
      <c r="L1603" s="42" t="str">
        <f aca="false">IF($B1603="","",IF(AND(N($I1603)=0,N($J1603)=0),"금액이 없습니다",IF(AND($I1603&gt;0,$J1603&gt;0),"수입·지출 둘 다 적혔습니다",IF($C1603="","결제수단을 고르십시오",IF(ISNA(MATCH($C1603,'교육원 ③ 통장·카드'!$A$5:$A$11,0)),"③ 통장·카드에 없는 결제수단입니다",IF($D1603="","계정과목을 고르십시오",IF($E1603="※없는 과목","④ 설정에 없는 과목입니다",IF(AND($E1603="수입",$J1603&gt;0),"수입 과목인데 지출에 적혔습니다",IF(AND(LEFT($E1603,2)&lt;&gt;"수입",$E1603&lt;&gt;"대체",$I1603&gt;0),"지출 과목인데 수입에 적혔습니다",IF($K1603="","증빙을 고르십시오",IF($H1603="","적요를 적으십시오","")))))))))))</f>
        <v/>
      </c>
      <c r="M1603" s="39"/>
      <c r="O1603" s="11" t="str">
        <f aca="false">IF($B1603="","",YEAR($B1603)*100+MONTH($B1603))</f>
        <v/>
      </c>
      <c r="P1603" s="11" t="str">
        <f aca="false">IF($B1603="","",IF($E1603="대체",0,1))</f>
        <v/>
      </c>
    </row>
    <row r="1604" customFormat="false" ht="15" hidden="false" customHeight="false" outlineLevel="0" collapsed="false">
      <c r="A1604" s="36" t="str">
        <f aca="false">IF($B1604="","",COUNT($B$15:$B1604))</f>
        <v/>
      </c>
      <c r="B1604" s="37"/>
      <c r="C1604" s="38"/>
      <c r="D1604" s="20"/>
      <c r="E1604" s="36" t="str">
        <f aca="false">IF($D1604="","",IFERROR(INDEX('교육원 ④ 설정'!$A$6:$A$40,MATCH($D1604,'교육원 ④ 설정'!$B$6:$B$40,0)),"※없는 과목"))</f>
        <v/>
      </c>
      <c r="F1604" s="36" t="str">
        <f aca="false">IF($D1604="","",IFERROR(INDEX('교육원 ④ 설정'!$C$6:$C$40,MATCH($D1604,'교육원 ④ 설정'!$B$6:$B$40,0)),""))</f>
        <v/>
      </c>
      <c r="G1604" s="39"/>
      <c r="H1604" s="39"/>
      <c r="I1604" s="40"/>
      <c r="J1604" s="41"/>
      <c r="K1604" s="38"/>
      <c r="L1604" s="42" t="str">
        <f aca="false">IF($B1604="","",IF(AND(N($I1604)=0,N($J1604)=0),"금액이 없습니다",IF(AND($I1604&gt;0,$J1604&gt;0),"수입·지출 둘 다 적혔습니다",IF($C1604="","결제수단을 고르십시오",IF(ISNA(MATCH($C1604,'교육원 ③ 통장·카드'!$A$5:$A$11,0)),"③ 통장·카드에 없는 결제수단입니다",IF($D1604="","계정과목을 고르십시오",IF($E1604="※없는 과목","④ 설정에 없는 과목입니다",IF(AND($E1604="수입",$J1604&gt;0),"수입 과목인데 지출에 적혔습니다",IF(AND(LEFT($E1604,2)&lt;&gt;"수입",$E1604&lt;&gt;"대체",$I1604&gt;0),"지출 과목인데 수입에 적혔습니다",IF($K1604="","증빙을 고르십시오",IF($H1604="","적요를 적으십시오","")))))))))))</f>
        <v/>
      </c>
      <c r="M1604" s="39"/>
      <c r="O1604" s="11" t="str">
        <f aca="false">IF($B1604="","",YEAR($B1604)*100+MONTH($B1604))</f>
        <v/>
      </c>
      <c r="P1604" s="11" t="str">
        <f aca="false">IF($B1604="","",IF($E1604="대체",0,1))</f>
        <v/>
      </c>
    </row>
    <row r="1605" customFormat="false" ht="15" hidden="false" customHeight="false" outlineLevel="0" collapsed="false">
      <c r="A1605" s="36" t="str">
        <f aca="false">IF($B1605="","",COUNT($B$15:$B1605))</f>
        <v/>
      </c>
      <c r="B1605" s="37"/>
      <c r="C1605" s="38"/>
      <c r="D1605" s="20"/>
      <c r="E1605" s="36" t="str">
        <f aca="false">IF($D1605="","",IFERROR(INDEX('교육원 ④ 설정'!$A$6:$A$40,MATCH($D1605,'교육원 ④ 설정'!$B$6:$B$40,0)),"※없는 과목"))</f>
        <v/>
      </c>
      <c r="F1605" s="36" t="str">
        <f aca="false">IF($D1605="","",IFERROR(INDEX('교육원 ④ 설정'!$C$6:$C$40,MATCH($D1605,'교육원 ④ 설정'!$B$6:$B$40,0)),""))</f>
        <v/>
      </c>
      <c r="G1605" s="39"/>
      <c r="H1605" s="39"/>
      <c r="I1605" s="40"/>
      <c r="J1605" s="41"/>
      <c r="K1605" s="38"/>
      <c r="L1605" s="42" t="str">
        <f aca="false">IF($B1605="","",IF(AND(N($I1605)=0,N($J1605)=0),"금액이 없습니다",IF(AND($I1605&gt;0,$J1605&gt;0),"수입·지출 둘 다 적혔습니다",IF($C1605="","결제수단을 고르십시오",IF(ISNA(MATCH($C1605,'교육원 ③ 통장·카드'!$A$5:$A$11,0)),"③ 통장·카드에 없는 결제수단입니다",IF($D1605="","계정과목을 고르십시오",IF($E1605="※없는 과목","④ 설정에 없는 과목입니다",IF(AND($E1605="수입",$J1605&gt;0),"수입 과목인데 지출에 적혔습니다",IF(AND(LEFT($E1605,2)&lt;&gt;"수입",$E1605&lt;&gt;"대체",$I1605&gt;0),"지출 과목인데 수입에 적혔습니다",IF($K1605="","증빙을 고르십시오",IF($H1605="","적요를 적으십시오","")))))))))))</f>
        <v/>
      </c>
      <c r="M1605" s="39"/>
      <c r="O1605" s="11" t="str">
        <f aca="false">IF($B1605="","",YEAR($B1605)*100+MONTH($B1605))</f>
        <v/>
      </c>
      <c r="P1605" s="11" t="str">
        <f aca="false">IF($B1605="","",IF($E1605="대체",0,1))</f>
        <v/>
      </c>
    </row>
    <row r="1606" customFormat="false" ht="15" hidden="false" customHeight="false" outlineLevel="0" collapsed="false">
      <c r="A1606" s="36" t="str">
        <f aca="false">IF($B1606="","",COUNT($B$15:$B1606))</f>
        <v/>
      </c>
      <c r="B1606" s="37"/>
      <c r="C1606" s="38"/>
      <c r="D1606" s="20"/>
      <c r="E1606" s="36" t="str">
        <f aca="false">IF($D1606="","",IFERROR(INDEX('교육원 ④ 설정'!$A$6:$A$40,MATCH($D1606,'교육원 ④ 설정'!$B$6:$B$40,0)),"※없는 과목"))</f>
        <v/>
      </c>
      <c r="F1606" s="36" t="str">
        <f aca="false">IF($D1606="","",IFERROR(INDEX('교육원 ④ 설정'!$C$6:$C$40,MATCH($D1606,'교육원 ④ 설정'!$B$6:$B$40,0)),""))</f>
        <v/>
      </c>
      <c r="G1606" s="39"/>
      <c r="H1606" s="39"/>
      <c r="I1606" s="40"/>
      <c r="J1606" s="41"/>
      <c r="K1606" s="38"/>
      <c r="L1606" s="42" t="str">
        <f aca="false">IF($B1606="","",IF(AND(N($I1606)=0,N($J1606)=0),"금액이 없습니다",IF(AND($I1606&gt;0,$J1606&gt;0),"수입·지출 둘 다 적혔습니다",IF($C1606="","결제수단을 고르십시오",IF(ISNA(MATCH($C1606,'교육원 ③ 통장·카드'!$A$5:$A$11,0)),"③ 통장·카드에 없는 결제수단입니다",IF($D1606="","계정과목을 고르십시오",IF($E1606="※없는 과목","④ 설정에 없는 과목입니다",IF(AND($E1606="수입",$J1606&gt;0),"수입 과목인데 지출에 적혔습니다",IF(AND(LEFT($E1606,2)&lt;&gt;"수입",$E1606&lt;&gt;"대체",$I1606&gt;0),"지출 과목인데 수입에 적혔습니다",IF($K1606="","증빙을 고르십시오",IF($H1606="","적요를 적으십시오","")))))))))))</f>
        <v/>
      </c>
      <c r="M1606" s="39"/>
      <c r="O1606" s="11" t="str">
        <f aca="false">IF($B1606="","",YEAR($B1606)*100+MONTH($B1606))</f>
        <v/>
      </c>
      <c r="P1606" s="11" t="str">
        <f aca="false">IF($B1606="","",IF($E1606="대체",0,1))</f>
        <v/>
      </c>
    </row>
    <row r="1607" customFormat="false" ht="15" hidden="false" customHeight="false" outlineLevel="0" collapsed="false">
      <c r="A1607" s="36" t="str">
        <f aca="false">IF($B1607="","",COUNT($B$15:$B1607))</f>
        <v/>
      </c>
      <c r="B1607" s="37"/>
      <c r="C1607" s="38"/>
      <c r="D1607" s="20"/>
      <c r="E1607" s="36" t="str">
        <f aca="false">IF($D1607="","",IFERROR(INDEX('교육원 ④ 설정'!$A$6:$A$40,MATCH($D1607,'교육원 ④ 설정'!$B$6:$B$40,0)),"※없는 과목"))</f>
        <v/>
      </c>
      <c r="F1607" s="36" t="str">
        <f aca="false">IF($D1607="","",IFERROR(INDEX('교육원 ④ 설정'!$C$6:$C$40,MATCH($D1607,'교육원 ④ 설정'!$B$6:$B$40,0)),""))</f>
        <v/>
      </c>
      <c r="G1607" s="39"/>
      <c r="H1607" s="39"/>
      <c r="I1607" s="40"/>
      <c r="J1607" s="41"/>
      <c r="K1607" s="38"/>
      <c r="L1607" s="42" t="str">
        <f aca="false">IF($B1607="","",IF(AND(N($I1607)=0,N($J1607)=0),"금액이 없습니다",IF(AND($I1607&gt;0,$J1607&gt;0),"수입·지출 둘 다 적혔습니다",IF($C1607="","결제수단을 고르십시오",IF(ISNA(MATCH($C1607,'교육원 ③ 통장·카드'!$A$5:$A$11,0)),"③ 통장·카드에 없는 결제수단입니다",IF($D1607="","계정과목을 고르십시오",IF($E1607="※없는 과목","④ 설정에 없는 과목입니다",IF(AND($E1607="수입",$J1607&gt;0),"수입 과목인데 지출에 적혔습니다",IF(AND(LEFT($E1607,2)&lt;&gt;"수입",$E1607&lt;&gt;"대체",$I1607&gt;0),"지출 과목인데 수입에 적혔습니다",IF($K1607="","증빙을 고르십시오",IF($H1607="","적요를 적으십시오","")))))))))))</f>
        <v/>
      </c>
      <c r="M1607" s="39"/>
      <c r="O1607" s="11" t="str">
        <f aca="false">IF($B1607="","",YEAR($B1607)*100+MONTH($B1607))</f>
        <v/>
      </c>
      <c r="P1607" s="11" t="str">
        <f aca="false">IF($B1607="","",IF($E1607="대체",0,1))</f>
        <v/>
      </c>
    </row>
    <row r="1608" customFormat="false" ht="15" hidden="false" customHeight="false" outlineLevel="0" collapsed="false">
      <c r="A1608" s="36" t="str">
        <f aca="false">IF($B1608="","",COUNT($B$15:$B1608))</f>
        <v/>
      </c>
      <c r="B1608" s="37"/>
      <c r="C1608" s="38"/>
      <c r="D1608" s="20"/>
      <c r="E1608" s="36" t="str">
        <f aca="false">IF($D1608="","",IFERROR(INDEX('교육원 ④ 설정'!$A$6:$A$40,MATCH($D1608,'교육원 ④ 설정'!$B$6:$B$40,0)),"※없는 과목"))</f>
        <v/>
      </c>
      <c r="F1608" s="36" t="str">
        <f aca="false">IF($D1608="","",IFERROR(INDEX('교육원 ④ 설정'!$C$6:$C$40,MATCH($D1608,'교육원 ④ 설정'!$B$6:$B$40,0)),""))</f>
        <v/>
      </c>
      <c r="G1608" s="39"/>
      <c r="H1608" s="39"/>
      <c r="I1608" s="40"/>
      <c r="J1608" s="41"/>
      <c r="K1608" s="38"/>
      <c r="L1608" s="42" t="str">
        <f aca="false">IF($B1608="","",IF(AND(N($I1608)=0,N($J1608)=0),"금액이 없습니다",IF(AND($I1608&gt;0,$J1608&gt;0),"수입·지출 둘 다 적혔습니다",IF($C1608="","결제수단을 고르십시오",IF(ISNA(MATCH($C1608,'교육원 ③ 통장·카드'!$A$5:$A$11,0)),"③ 통장·카드에 없는 결제수단입니다",IF($D1608="","계정과목을 고르십시오",IF($E1608="※없는 과목","④ 설정에 없는 과목입니다",IF(AND($E1608="수입",$J1608&gt;0),"수입 과목인데 지출에 적혔습니다",IF(AND(LEFT($E1608,2)&lt;&gt;"수입",$E1608&lt;&gt;"대체",$I1608&gt;0),"지출 과목인데 수입에 적혔습니다",IF($K1608="","증빙을 고르십시오",IF($H1608="","적요를 적으십시오","")))))))))))</f>
        <v/>
      </c>
      <c r="M1608" s="39"/>
      <c r="O1608" s="11" t="str">
        <f aca="false">IF($B1608="","",YEAR($B1608)*100+MONTH($B1608))</f>
        <v/>
      </c>
      <c r="P1608" s="11" t="str">
        <f aca="false">IF($B1608="","",IF($E1608="대체",0,1))</f>
        <v/>
      </c>
    </row>
    <row r="1609" customFormat="false" ht="15" hidden="false" customHeight="false" outlineLevel="0" collapsed="false">
      <c r="A1609" s="36" t="str">
        <f aca="false">IF($B1609="","",COUNT($B$15:$B1609))</f>
        <v/>
      </c>
      <c r="B1609" s="37"/>
      <c r="C1609" s="38"/>
      <c r="D1609" s="20"/>
      <c r="E1609" s="36" t="str">
        <f aca="false">IF($D1609="","",IFERROR(INDEX('교육원 ④ 설정'!$A$6:$A$40,MATCH($D1609,'교육원 ④ 설정'!$B$6:$B$40,0)),"※없는 과목"))</f>
        <v/>
      </c>
      <c r="F1609" s="36" t="str">
        <f aca="false">IF($D1609="","",IFERROR(INDEX('교육원 ④ 설정'!$C$6:$C$40,MATCH($D1609,'교육원 ④ 설정'!$B$6:$B$40,0)),""))</f>
        <v/>
      </c>
      <c r="G1609" s="39"/>
      <c r="H1609" s="39"/>
      <c r="I1609" s="40"/>
      <c r="J1609" s="41"/>
      <c r="K1609" s="38"/>
      <c r="L1609" s="42" t="str">
        <f aca="false">IF($B1609="","",IF(AND(N($I1609)=0,N($J1609)=0),"금액이 없습니다",IF(AND($I1609&gt;0,$J1609&gt;0),"수입·지출 둘 다 적혔습니다",IF($C1609="","결제수단을 고르십시오",IF(ISNA(MATCH($C1609,'교육원 ③ 통장·카드'!$A$5:$A$11,0)),"③ 통장·카드에 없는 결제수단입니다",IF($D1609="","계정과목을 고르십시오",IF($E1609="※없는 과목","④ 설정에 없는 과목입니다",IF(AND($E1609="수입",$J1609&gt;0),"수입 과목인데 지출에 적혔습니다",IF(AND(LEFT($E1609,2)&lt;&gt;"수입",$E1609&lt;&gt;"대체",$I1609&gt;0),"지출 과목인데 수입에 적혔습니다",IF($K1609="","증빙을 고르십시오",IF($H1609="","적요를 적으십시오","")))))))))))</f>
        <v/>
      </c>
      <c r="M1609" s="39"/>
      <c r="O1609" s="11" t="str">
        <f aca="false">IF($B1609="","",YEAR($B1609)*100+MONTH($B1609))</f>
        <v/>
      </c>
      <c r="P1609" s="11" t="str">
        <f aca="false">IF($B1609="","",IF($E1609="대체",0,1))</f>
        <v/>
      </c>
    </row>
    <row r="1610" customFormat="false" ht="15" hidden="false" customHeight="false" outlineLevel="0" collapsed="false">
      <c r="A1610" s="36" t="str">
        <f aca="false">IF($B1610="","",COUNT($B$15:$B1610))</f>
        <v/>
      </c>
      <c r="B1610" s="37"/>
      <c r="C1610" s="38"/>
      <c r="D1610" s="20"/>
      <c r="E1610" s="36" t="str">
        <f aca="false">IF($D1610="","",IFERROR(INDEX('교육원 ④ 설정'!$A$6:$A$40,MATCH($D1610,'교육원 ④ 설정'!$B$6:$B$40,0)),"※없는 과목"))</f>
        <v/>
      </c>
      <c r="F1610" s="36" t="str">
        <f aca="false">IF($D1610="","",IFERROR(INDEX('교육원 ④ 설정'!$C$6:$C$40,MATCH($D1610,'교육원 ④ 설정'!$B$6:$B$40,0)),""))</f>
        <v/>
      </c>
      <c r="G1610" s="39"/>
      <c r="H1610" s="39"/>
      <c r="I1610" s="40"/>
      <c r="J1610" s="41"/>
      <c r="K1610" s="38"/>
      <c r="L1610" s="42" t="str">
        <f aca="false">IF($B1610="","",IF(AND(N($I1610)=0,N($J1610)=0),"금액이 없습니다",IF(AND($I1610&gt;0,$J1610&gt;0),"수입·지출 둘 다 적혔습니다",IF($C1610="","결제수단을 고르십시오",IF(ISNA(MATCH($C1610,'교육원 ③ 통장·카드'!$A$5:$A$11,0)),"③ 통장·카드에 없는 결제수단입니다",IF($D1610="","계정과목을 고르십시오",IF($E1610="※없는 과목","④ 설정에 없는 과목입니다",IF(AND($E1610="수입",$J1610&gt;0),"수입 과목인데 지출에 적혔습니다",IF(AND(LEFT($E1610,2)&lt;&gt;"수입",$E1610&lt;&gt;"대체",$I1610&gt;0),"지출 과목인데 수입에 적혔습니다",IF($K1610="","증빙을 고르십시오",IF($H1610="","적요를 적으십시오","")))))))))))</f>
        <v/>
      </c>
      <c r="M1610" s="39"/>
      <c r="O1610" s="11" t="str">
        <f aca="false">IF($B1610="","",YEAR($B1610)*100+MONTH($B1610))</f>
        <v/>
      </c>
      <c r="P1610" s="11" t="str">
        <f aca="false">IF($B1610="","",IF($E1610="대체",0,1))</f>
        <v/>
      </c>
    </row>
    <row r="1611" customFormat="false" ht="15" hidden="false" customHeight="false" outlineLevel="0" collapsed="false">
      <c r="A1611" s="36" t="str">
        <f aca="false">IF($B1611="","",COUNT($B$15:$B1611))</f>
        <v/>
      </c>
      <c r="B1611" s="37"/>
      <c r="C1611" s="38"/>
      <c r="D1611" s="20"/>
      <c r="E1611" s="36" t="str">
        <f aca="false">IF($D1611="","",IFERROR(INDEX('교육원 ④ 설정'!$A$6:$A$40,MATCH($D1611,'교육원 ④ 설정'!$B$6:$B$40,0)),"※없는 과목"))</f>
        <v/>
      </c>
      <c r="F1611" s="36" t="str">
        <f aca="false">IF($D1611="","",IFERROR(INDEX('교육원 ④ 설정'!$C$6:$C$40,MATCH($D1611,'교육원 ④ 설정'!$B$6:$B$40,0)),""))</f>
        <v/>
      </c>
      <c r="G1611" s="39"/>
      <c r="H1611" s="39"/>
      <c r="I1611" s="40"/>
      <c r="J1611" s="41"/>
      <c r="K1611" s="38"/>
      <c r="L1611" s="42" t="str">
        <f aca="false">IF($B1611="","",IF(AND(N($I1611)=0,N($J1611)=0),"금액이 없습니다",IF(AND($I1611&gt;0,$J1611&gt;0),"수입·지출 둘 다 적혔습니다",IF($C1611="","결제수단을 고르십시오",IF(ISNA(MATCH($C1611,'교육원 ③ 통장·카드'!$A$5:$A$11,0)),"③ 통장·카드에 없는 결제수단입니다",IF($D1611="","계정과목을 고르십시오",IF($E1611="※없는 과목","④ 설정에 없는 과목입니다",IF(AND($E1611="수입",$J1611&gt;0),"수입 과목인데 지출에 적혔습니다",IF(AND(LEFT($E1611,2)&lt;&gt;"수입",$E1611&lt;&gt;"대체",$I1611&gt;0),"지출 과목인데 수입에 적혔습니다",IF($K1611="","증빙을 고르십시오",IF($H1611="","적요를 적으십시오","")))))))))))</f>
        <v/>
      </c>
      <c r="M1611" s="39"/>
      <c r="O1611" s="11" t="str">
        <f aca="false">IF($B1611="","",YEAR($B1611)*100+MONTH($B1611))</f>
        <v/>
      </c>
      <c r="P1611" s="11" t="str">
        <f aca="false">IF($B1611="","",IF($E1611="대체",0,1))</f>
        <v/>
      </c>
    </row>
    <row r="1612" customFormat="false" ht="15" hidden="false" customHeight="false" outlineLevel="0" collapsed="false">
      <c r="A1612" s="36" t="str">
        <f aca="false">IF($B1612="","",COUNT($B$15:$B1612))</f>
        <v/>
      </c>
      <c r="B1612" s="37"/>
      <c r="C1612" s="38"/>
      <c r="D1612" s="20"/>
      <c r="E1612" s="36" t="str">
        <f aca="false">IF($D1612="","",IFERROR(INDEX('교육원 ④ 설정'!$A$6:$A$40,MATCH($D1612,'교육원 ④ 설정'!$B$6:$B$40,0)),"※없는 과목"))</f>
        <v/>
      </c>
      <c r="F1612" s="36" t="str">
        <f aca="false">IF($D1612="","",IFERROR(INDEX('교육원 ④ 설정'!$C$6:$C$40,MATCH($D1612,'교육원 ④ 설정'!$B$6:$B$40,0)),""))</f>
        <v/>
      </c>
      <c r="G1612" s="39"/>
      <c r="H1612" s="39"/>
      <c r="I1612" s="40"/>
      <c r="J1612" s="41"/>
      <c r="K1612" s="38"/>
      <c r="L1612" s="42" t="str">
        <f aca="false">IF($B1612="","",IF(AND(N($I1612)=0,N($J1612)=0),"금액이 없습니다",IF(AND($I1612&gt;0,$J1612&gt;0),"수입·지출 둘 다 적혔습니다",IF($C1612="","결제수단을 고르십시오",IF(ISNA(MATCH($C1612,'교육원 ③ 통장·카드'!$A$5:$A$11,0)),"③ 통장·카드에 없는 결제수단입니다",IF($D1612="","계정과목을 고르십시오",IF($E1612="※없는 과목","④ 설정에 없는 과목입니다",IF(AND($E1612="수입",$J1612&gt;0),"수입 과목인데 지출에 적혔습니다",IF(AND(LEFT($E1612,2)&lt;&gt;"수입",$E1612&lt;&gt;"대체",$I1612&gt;0),"지출 과목인데 수입에 적혔습니다",IF($K1612="","증빙을 고르십시오",IF($H1612="","적요를 적으십시오","")))))))))))</f>
        <v/>
      </c>
      <c r="M1612" s="39"/>
      <c r="O1612" s="11" t="str">
        <f aca="false">IF($B1612="","",YEAR($B1612)*100+MONTH($B1612))</f>
        <v/>
      </c>
      <c r="P1612" s="11" t="str">
        <f aca="false">IF($B1612="","",IF($E1612="대체",0,1))</f>
        <v/>
      </c>
    </row>
    <row r="1613" customFormat="false" ht="15" hidden="false" customHeight="false" outlineLevel="0" collapsed="false">
      <c r="A1613" s="36" t="str">
        <f aca="false">IF($B1613="","",COUNT($B$15:$B1613))</f>
        <v/>
      </c>
      <c r="B1613" s="37"/>
      <c r="C1613" s="38"/>
      <c r="D1613" s="20"/>
      <c r="E1613" s="36" t="str">
        <f aca="false">IF($D1613="","",IFERROR(INDEX('교육원 ④ 설정'!$A$6:$A$40,MATCH($D1613,'교육원 ④ 설정'!$B$6:$B$40,0)),"※없는 과목"))</f>
        <v/>
      </c>
      <c r="F1613" s="36" t="str">
        <f aca="false">IF($D1613="","",IFERROR(INDEX('교육원 ④ 설정'!$C$6:$C$40,MATCH($D1613,'교육원 ④ 설정'!$B$6:$B$40,0)),""))</f>
        <v/>
      </c>
      <c r="G1613" s="39"/>
      <c r="H1613" s="39"/>
      <c r="I1613" s="40"/>
      <c r="J1613" s="41"/>
      <c r="K1613" s="38"/>
      <c r="L1613" s="42" t="str">
        <f aca="false">IF($B1613="","",IF(AND(N($I1613)=0,N($J1613)=0),"금액이 없습니다",IF(AND($I1613&gt;0,$J1613&gt;0),"수입·지출 둘 다 적혔습니다",IF($C1613="","결제수단을 고르십시오",IF(ISNA(MATCH($C1613,'교육원 ③ 통장·카드'!$A$5:$A$11,0)),"③ 통장·카드에 없는 결제수단입니다",IF($D1613="","계정과목을 고르십시오",IF($E1613="※없는 과목","④ 설정에 없는 과목입니다",IF(AND($E1613="수입",$J1613&gt;0),"수입 과목인데 지출에 적혔습니다",IF(AND(LEFT($E1613,2)&lt;&gt;"수입",$E1613&lt;&gt;"대체",$I1613&gt;0),"지출 과목인데 수입에 적혔습니다",IF($K1613="","증빙을 고르십시오",IF($H1613="","적요를 적으십시오","")))))))))))</f>
        <v/>
      </c>
      <c r="M1613" s="39"/>
      <c r="O1613" s="11" t="str">
        <f aca="false">IF($B1613="","",YEAR($B1613)*100+MONTH($B1613))</f>
        <v/>
      </c>
      <c r="P1613" s="11" t="str">
        <f aca="false">IF($B1613="","",IF($E1613="대체",0,1))</f>
        <v/>
      </c>
    </row>
    <row r="1614" customFormat="false" ht="15" hidden="false" customHeight="false" outlineLevel="0" collapsed="false">
      <c r="A1614" s="36" t="str">
        <f aca="false">IF($B1614="","",COUNT($B$15:$B1614))</f>
        <v/>
      </c>
      <c r="B1614" s="37"/>
      <c r="C1614" s="38"/>
      <c r="D1614" s="20"/>
      <c r="E1614" s="36" t="str">
        <f aca="false">IF($D1614="","",IFERROR(INDEX('교육원 ④ 설정'!$A$6:$A$40,MATCH($D1614,'교육원 ④ 설정'!$B$6:$B$40,0)),"※없는 과목"))</f>
        <v/>
      </c>
      <c r="F1614" s="36" t="str">
        <f aca="false">IF($D1614="","",IFERROR(INDEX('교육원 ④ 설정'!$C$6:$C$40,MATCH($D1614,'교육원 ④ 설정'!$B$6:$B$40,0)),""))</f>
        <v/>
      </c>
      <c r="G1614" s="39"/>
      <c r="H1614" s="39"/>
      <c r="I1614" s="40"/>
      <c r="J1614" s="41"/>
      <c r="K1614" s="38"/>
      <c r="L1614" s="42" t="str">
        <f aca="false">IF($B1614="","",IF(AND(N($I1614)=0,N($J1614)=0),"금액이 없습니다",IF(AND($I1614&gt;0,$J1614&gt;0),"수입·지출 둘 다 적혔습니다",IF($C1614="","결제수단을 고르십시오",IF(ISNA(MATCH($C1614,'교육원 ③ 통장·카드'!$A$5:$A$11,0)),"③ 통장·카드에 없는 결제수단입니다",IF($D1614="","계정과목을 고르십시오",IF($E1614="※없는 과목","④ 설정에 없는 과목입니다",IF(AND($E1614="수입",$J1614&gt;0),"수입 과목인데 지출에 적혔습니다",IF(AND(LEFT($E1614,2)&lt;&gt;"수입",$E1614&lt;&gt;"대체",$I1614&gt;0),"지출 과목인데 수입에 적혔습니다",IF($K1614="","증빙을 고르십시오",IF($H1614="","적요를 적으십시오","")))))))))))</f>
        <v/>
      </c>
      <c r="M1614" s="39"/>
      <c r="O1614" s="11" t="str">
        <f aca="false">IF($B1614="","",YEAR($B1614)*100+MONTH($B1614))</f>
        <v/>
      </c>
      <c r="P1614" s="11" t="str">
        <f aca="false">IF($B1614="","",IF($E1614="대체",0,1))</f>
        <v/>
      </c>
    </row>
    <row r="1615" customFormat="false" ht="15" hidden="false" customHeight="false" outlineLevel="0" collapsed="false">
      <c r="A1615" s="36" t="str">
        <f aca="false">IF($B1615="","",COUNT($B$15:$B1615))</f>
        <v/>
      </c>
      <c r="B1615" s="37"/>
      <c r="C1615" s="38"/>
      <c r="D1615" s="20"/>
      <c r="E1615" s="36" t="str">
        <f aca="false">IF($D1615="","",IFERROR(INDEX('교육원 ④ 설정'!$A$6:$A$40,MATCH($D1615,'교육원 ④ 설정'!$B$6:$B$40,0)),"※없는 과목"))</f>
        <v/>
      </c>
      <c r="F1615" s="36" t="str">
        <f aca="false">IF($D1615="","",IFERROR(INDEX('교육원 ④ 설정'!$C$6:$C$40,MATCH($D1615,'교육원 ④ 설정'!$B$6:$B$40,0)),""))</f>
        <v/>
      </c>
      <c r="G1615" s="39"/>
      <c r="H1615" s="39"/>
      <c r="I1615" s="40"/>
      <c r="J1615" s="41"/>
      <c r="K1615" s="38"/>
      <c r="L1615" s="42" t="str">
        <f aca="false">IF($B1615="","",IF(AND(N($I1615)=0,N($J1615)=0),"금액이 없습니다",IF(AND($I1615&gt;0,$J1615&gt;0),"수입·지출 둘 다 적혔습니다",IF($C1615="","결제수단을 고르십시오",IF(ISNA(MATCH($C1615,'교육원 ③ 통장·카드'!$A$5:$A$11,0)),"③ 통장·카드에 없는 결제수단입니다",IF($D1615="","계정과목을 고르십시오",IF($E1615="※없는 과목","④ 설정에 없는 과목입니다",IF(AND($E1615="수입",$J1615&gt;0),"수입 과목인데 지출에 적혔습니다",IF(AND(LEFT($E1615,2)&lt;&gt;"수입",$E1615&lt;&gt;"대체",$I1615&gt;0),"지출 과목인데 수입에 적혔습니다",IF($K1615="","증빙을 고르십시오",IF($H1615="","적요를 적으십시오","")))))))))))</f>
        <v/>
      </c>
      <c r="M1615" s="39"/>
      <c r="O1615" s="11" t="str">
        <f aca="false">IF($B1615="","",YEAR($B1615)*100+MONTH($B1615))</f>
        <v/>
      </c>
      <c r="P1615" s="11" t="str">
        <f aca="false">IF($B1615="","",IF($E1615="대체",0,1))</f>
        <v/>
      </c>
    </row>
    <row r="1616" customFormat="false" ht="15" hidden="false" customHeight="false" outlineLevel="0" collapsed="false">
      <c r="A1616" s="36" t="str">
        <f aca="false">IF($B1616="","",COUNT($B$15:$B1616))</f>
        <v/>
      </c>
      <c r="B1616" s="37"/>
      <c r="C1616" s="38"/>
      <c r="D1616" s="20"/>
      <c r="E1616" s="36" t="str">
        <f aca="false">IF($D1616="","",IFERROR(INDEX('교육원 ④ 설정'!$A$6:$A$40,MATCH($D1616,'교육원 ④ 설정'!$B$6:$B$40,0)),"※없는 과목"))</f>
        <v/>
      </c>
      <c r="F1616" s="36" t="str">
        <f aca="false">IF($D1616="","",IFERROR(INDEX('교육원 ④ 설정'!$C$6:$C$40,MATCH($D1616,'교육원 ④ 설정'!$B$6:$B$40,0)),""))</f>
        <v/>
      </c>
      <c r="G1616" s="39"/>
      <c r="H1616" s="39"/>
      <c r="I1616" s="40"/>
      <c r="J1616" s="41"/>
      <c r="K1616" s="38"/>
      <c r="L1616" s="42" t="str">
        <f aca="false">IF($B1616="","",IF(AND(N($I1616)=0,N($J1616)=0),"금액이 없습니다",IF(AND($I1616&gt;0,$J1616&gt;0),"수입·지출 둘 다 적혔습니다",IF($C1616="","결제수단을 고르십시오",IF(ISNA(MATCH($C1616,'교육원 ③ 통장·카드'!$A$5:$A$11,0)),"③ 통장·카드에 없는 결제수단입니다",IF($D1616="","계정과목을 고르십시오",IF($E1616="※없는 과목","④ 설정에 없는 과목입니다",IF(AND($E1616="수입",$J1616&gt;0),"수입 과목인데 지출에 적혔습니다",IF(AND(LEFT($E1616,2)&lt;&gt;"수입",$E1616&lt;&gt;"대체",$I1616&gt;0),"지출 과목인데 수입에 적혔습니다",IF($K1616="","증빙을 고르십시오",IF($H1616="","적요를 적으십시오","")))))))))))</f>
        <v/>
      </c>
      <c r="M1616" s="39"/>
      <c r="O1616" s="11" t="str">
        <f aca="false">IF($B1616="","",YEAR($B1616)*100+MONTH($B1616))</f>
        <v/>
      </c>
      <c r="P1616" s="11" t="str">
        <f aca="false">IF($B1616="","",IF($E1616="대체",0,1))</f>
        <v/>
      </c>
    </row>
    <row r="1617" customFormat="false" ht="15" hidden="false" customHeight="false" outlineLevel="0" collapsed="false">
      <c r="A1617" s="36" t="str">
        <f aca="false">IF($B1617="","",COUNT($B$15:$B1617))</f>
        <v/>
      </c>
      <c r="B1617" s="37"/>
      <c r="C1617" s="38"/>
      <c r="D1617" s="20"/>
      <c r="E1617" s="36" t="str">
        <f aca="false">IF($D1617="","",IFERROR(INDEX('교육원 ④ 설정'!$A$6:$A$40,MATCH($D1617,'교육원 ④ 설정'!$B$6:$B$40,0)),"※없는 과목"))</f>
        <v/>
      </c>
      <c r="F1617" s="36" t="str">
        <f aca="false">IF($D1617="","",IFERROR(INDEX('교육원 ④ 설정'!$C$6:$C$40,MATCH($D1617,'교육원 ④ 설정'!$B$6:$B$40,0)),""))</f>
        <v/>
      </c>
      <c r="G1617" s="39"/>
      <c r="H1617" s="39"/>
      <c r="I1617" s="40"/>
      <c r="J1617" s="41"/>
      <c r="K1617" s="38"/>
      <c r="L1617" s="42" t="str">
        <f aca="false">IF($B1617="","",IF(AND(N($I1617)=0,N($J1617)=0),"금액이 없습니다",IF(AND($I1617&gt;0,$J1617&gt;0),"수입·지출 둘 다 적혔습니다",IF($C1617="","결제수단을 고르십시오",IF(ISNA(MATCH($C1617,'교육원 ③ 통장·카드'!$A$5:$A$11,0)),"③ 통장·카드에 없는 결제수단입니다",IF($D1617="","계정과목을 고르십시오",IF($E1617="※없는 과목","④ 설정에 없는 과목입니다",IF(AND($E1617="수입",$J1617&gt;0),"수입 과목인데 지출에 적혔습니다",IF(AND(LEFT($E1617,2)&lt;&gt;"수입",$E1617&lt;&gt;"대체",$I1617&gt;0),"지출 과목인데 수입에 적혔습니다",IF($K1617="","증빙을 고르십시오",IF($H1617="","적요를 적으십시오","")))))))))))</f>
        <v/>
      </c>
      <c r="M1617" s="39"/>
      <c r="O1617" s="11" t="str">
        <f aca="false">IF($B1617="","",YEAR($B1617)*100+MONTH($B1617))</f>
        <v/>
      </c>
      <c r="P1617" s="11" t="str">
        <f aca="false">IF($B1617="","",IF($E1617="대체",0,1))</f>
        <v/>
      </c>
    </row>
    <row r="1618" customFormat="false" ht="15" hidden="false" customHeight="false" outlineLevel="0" collapsed="false">
      <c r="A1618" s="36" t="str">
        <f aca="false">IF($B1618="","",COUNT($B$15:$B1618))</f>
        <v/>
      </c>
      <c r="B1618" s="37"/>
      <c r="C1618" s="38"/>
      <c r="D1618" s="20"/>
      <c r="E1618" s="36" t="str">
        <f aca="false">IF($D1618="","",IFERROR(INDEX('교육원 ④ 설정'!$A$6:$A$40,MATCH($D1618,'교육원 ④ 설정'!$B$6:$B$40,0)),"※없는 과목"))</f>
        <v/>
      </c>
      <c r="F1618" s="36" t="str">
        <f aca="false">IF($D1618="","",IFERROR(INDEX('교육원 ④ 설정'!$C$6:$C$40,MATCH($D1618,'교육원 ④ 설정'!$B$6:$B$40,0)),""))</f>
        <v/>
      </c>
      <c r="G1618" s="39"/>
      <c r="H1618" s="39"/>
      <c r="I1618" s="40"/>
      <c r="J1618" s="41"/>
      <c r="K1618" s="38"/>
      <c r="L1618" s="42" t="str">
        <f aca="false">IF($B1618="","",IF(AND(N($I1618)=0,N($J1618)=0),"금액이 없습니다",IF(AND($I1618&gt;0,$J1618&gt;0),"수입·지출 둘 다 적혔습니다",IF($C1618="","결제수단을 고르십시오",IF(ISNA(MATCH($C1618,'교육원 ③ 통장·카드'!$A$5:$A$11,0)),"③ 통장·카드에 없는 결제수단입니다",IF($D1618="","계정과목을 고르십시오",IF($E1618="※없는 과목","④ 설정에 없는 과목입니다",IF(AND($E1618="수입",$J1618&gt;0),"수입 과목인데 지출에 적혔습니다",IF(AND(LEFT($E1618,2)&lt;&gt;"수입",$E1618&lt;&gt;"대체",$I1618&gt;0),"지출 과목인데 수입에 적혔습니다",IF($K1618="","증빙을 고르십시오",IF($H1618="","적요를 적으십시오","")))))))))))</f>
        <v/>
      </c>
      <c r="M1618" s="39"/>
      <c r="O1618" s="11" t="str">
        <f aca="false">IF($B1618="","",YEAR($B1618)*100+MONTH($B1618))</f>
        <v/>
      </c>
      <c r="P1618" s="11" t="str">
        <f aca="false">IF($B1618="","",IF($E1618="대체",0,1))</f>
        <v/>
      </c>
    </row>
    <row r="1619" customFormat="false" ht="15" hidden="false" customHeight="false" outlineLevel="0" collapsed="false">
      <c r="A1619" s="36" t="str">
        <f aca="false">IF($B1619="","",COUNT($B$15:$B1619))</f>
        <v/>
      </c>
      <c r="B1619" s="37"/>
      <c r="C1619" s="38"/>
      <c r="D1619" s="20"/>
      <c r="E1619" s="36" t="str">
        <f aca="false">IF($D1619="","",IFERROR(INDEX('교육원 ④ 설정'!$A$6:$A$40,MATCH($D1619,'교육원 ④ 설정'!$B$6:$B$40,0)),"※없는 과목"))</f>
        <v/>
      </c>
      <c r="F1619" s="36" t="str">
        <f aca="false">IF($D1619="","",IFERROR(INDEX('교육원 ④ 설정'!$C$6:$C$40,MATCH($D1619,'교육원 ④ 설정'!$B$6:$B$40,0)),""))</f>
        <v/>
      </c>
      <c r="G1619" s="39"/>
      <c r="H1619" s="39"/>
      <c r="I1619" s="40"/>
      <c r="J1619" s="41"/>
      <c r="K1619" s="38"/>
      <c r="L1619" s="42" t="str">
        <f aca="false">IF($B1619="","",IF(AND(N($I1619)=0,N($J1619)=0),"금액이 없습니다",IF(AND($I1619&gt;0,$J1619&gt;0),"수입·지출 둘 다 적혔습니다",IF($C1619="","결제수단을 고르십시오",IF(ISNA(MATCH($C1619,'교육원 ③ 통장·카드'!$A$5:$A$11,0)),"③ 통장·카드에 없는 결제수단입니다",IF($D1619="","계정과목을 고르십시오",IF($E1619="※없는 과목","④ 설정에 없는 과목입니다",IF(AND($E1619="수입",$J1619&gt;0),"수입 과목인데 지출에 적혔습니다",IF(AND(LEFT($E1619,2)&lt;&gt;"수입",$E1619&lt;&gt;"대체",$I1619&gt;0),"지출 과목인데 수입에 적혔습니다",IF($K1619="","증빙을 고르십시오",IF($H1619="","적요를 적으십시오","")))))))))))</f>
        <v/>
      </c>
      <c r="M1619" s="39"/>
      <c r="O1619" s="11" t="str">
        <f aca="false">IF($B1619="","",YEAR($B1619)*100+MONTH($B1619))</f>
        <v/>
      </c>
      <c r="P1619" s="11" t="str">
        <f aca="false">IF($B1619="","",IF($E1619="대체",0,1))</f>
        <v/>
      </c>
    </row>
    <row r="1620" customFormat="false" ht="15" hidden="false" customHeight="false" outlineLevel="0" collapsed="false">
      <c r="A1620" s="36" t="str">
        <f aca="false">IF($B1620="","",COUNT($B$15:$B1620))</f>
        <v/>
      </c>
      <c r="B1620" s="37"/>
      <c r="C1620" s="38"/>
      <c r="D1620" s="20"/>
      <c r="E1620" s="36" t="str">
        <f aca="false">IF($D1620="","",IFERROR(INDEX('교육원 ④ 설정'!$A$6:$A$40,MATCH($D1620,'교육원 ④ 설정'!$B$6:$B$40,0)),"※없는 과목"))</f>
        <v/>
      </c>
      <c r="F1620" s="36" t="str">
        <f aca="false">IF($D1620="","",IFERROR(INDEX('교육원 ④ 설정'!$C$6:$C$40,MATCH($D1620,'교육원 ④ 설정'!$B$6:$B$40,0)),""))</f>
        <v/>
      </c>
      <c r="G1620" s="39"/>
      <c r="H1620" s="39"/>
      <c r="I1620" s="40"/>
      <c r="J1620" s="41"/>
      <c r="K1620" s="38"/>
      <c r="L1620" s="42" t="str">
        <f aca="false">IF($B1620="","",IF(AND(N($I1620)=0,N($J1620)=0),"금액이 없습니다",IF(AND($I1620&gt;0,$J1620&gt;0),"수입·지출 둘 다 적혔습니다",IF($C1620="","결제수단을 고르십시오",IF(ISNA(MATCH($C1620,'교육원 ③ 통장·카드'!$A$5:$A$11,0)),"③ 통장·카드에 없는 결제수단입니다",IF($D1620="","계정과목을 고르십시오",IF($E1620="※없는 과목","④ 설정에 없는 과목입니다",IF(AND($E1620="수입",$J1620&gt;0),"수입 과목인데 지출에 적혔습니다",IF(AND(LEFT($E1620,2)&lt;&gt;"수입",$E1620&lt;&gt;"대체",$I1620&gt;0),"지출 과목인데 수입에 적혔습니다",IF($K1620="","증빙을 고르십시오",IF($H1620="","적요를 적으십시오","")))))))))))</f>
        <v/>
      </c>
      <c r="M1620" s="39"/>
      <c r="O1620" s="11" t="str">
        <f aca="false">IF($B1620="","",YEAR($B1620)*100+MONTH($B1620))</f>
        <v/>
      </c>
      <c r="P1620" s="11" t="str">
        <f aca="false">IF($B1620="","",IF($E1620="대체",0,1))</f>
        <v/>
      </c>
    </row>
    <row r="1621" customFormat="false" ht="15" hidden="false" customHeight="false" outlineLevel="0" collapsed="false">
      <c r="A1621" s="36" t="str">
        <f aca="false">IF($B1621="","",COUNT($B$15:$B1621))</f>
        <v/>
      </c>
      <c r="B1621" s="37"/>
      <c r="C1621" s="38"/>
      <c r="D1621" s="20"/>
      <c r="E1621" s="36" t="str">
        <f aca="false">IF($D1621="","",IFERROR(INDEX('교육원 ④ 설정'!$A$6:$A$40,MATCH($D1621,'교육원 ④ 설정'!$B$6:$B$40,0)),"※없는 과목"))</f>
        <v/>
      </c>
      <c r="F1621" s="36" t="str">
        <f aca="false">IF($D1621="","",IFERROR(INDEX('교육원 ④ 설정'!$C$6:$C$40,MATCH($D1621,'교육원 ④ 설정'!$B$6:$B$40,0)),""))</f>
        <v/>
      </c>
      <c r="G1621" s="39"/>
      <c r="H1621" s="39"/>
      <c r="I1621" s="40"/>
      <c r="J1621" s="41"/>
      <c r="K1621" s="38"/>
      <c r="L1621" s="42" t="str">
        <f aca="false">IF($B1621="","",IF(AND(N($I1621)=0,N($J1621)=0),"금액이 없습니다",IF(AND($I1621&gt;0,$J1621&gt;0),"수입·지출 둘 다 적혔습니다",IF($C1621="","결제수단을 고르십시오",IF(ISNA(MATCH($C1621,'교육원 ③ 통장·카드'!$A$5:$A$11,0)),"③ 통장·카드에 없는 결제수단입니다",IF($D1621="","계정과목을 고르십시오",IF($E1621="※없는 과목","④ 설정에 없는 과목입니다",IF(AND($E1621="수입",$J1621&gt;0),"수입 과목인데 지출에 적혔습니다",IF(AND(LEFT($E1621,2)&lt;&gt;"수입",$E1621&lt;&gt;"대체",$I1621&gt;0),"지출 과목인데 수입에 적혔습니다",IF($K1621="","증빙을 고르십시오",IF($H1621="","적요를 적으십시오","")))))))))))</f>
        <v/>
      </c>
      <c r="M1621" s="39"/>
      <c r="O1621" s="11" t="str">
        <f aca="false">IF($B1621="","",YEAR($B1621)*100+MONTH($B1621))</f>
        <v/>
      </c>
      <c r="P1621" s="11" t="str">
        <f aca="false">IF($B1621="","",IF($E1621="대체",0,1))</f>
        <v/>
      </c>
    </row>
    <row r="1622" customFormat="false" ht="15" hidden="false" customHeight="false" outlineLevel="0" collapsed="false">
      <c r="A1622" s="36" t="str">
        <f aca="false">IF($B1622="","",COUNT($B$15:$B1622))</f>
        <v/>
      </c>
      <c r="B1622" s="37"/>
      <c r="C1622" s="38"/>
      <c r="D1622" s="20"/>
      <c r="E1622" s="36" t="str">
        <f aca="false">IF($D1622="","",IFERROR(INDEX('교육원 ④ 설정'!$A$6:$A$40,MATCH($D1622,'교육원 ④ 설정'!$B$6:$B$40,0)),"※없는 과목"))</f>
        <v/>
      </c>
      <c r="F1622" s="36" t="str">
        <f aca="false">IF($D1622="","",IFERROR(INDEX('교육원 ④ 설정'!$C$6:$C$40,MATCH($D1622,'교육원 ④ 설정'!$B$6:$B$40,0)),""))</f>
        <v/>
      </c>
      <c r="G1622" s="39"/>
      <c r="H1622" s="39"/>
      <c r="I1622" s="40"/>
      <c r="J1622" s="41"/>
      <c r="K1622" s="38"/>
      <c r="L1622" s="42" t="str">
        <f aca="false">IF($B1622="","",IF(AND(N($I1622)=0,N($J1622)=0),"금액이 없습니다",IF(AND($I1622&gt;0,$J1622&gt;0),"수입·지출 둘 다 적혔습니다",IF($C1622="","결제수단을 고르십시오",IF(ISNA(MATCH($C1622,'교육원 ③ 통장·카드'!$A$5:$A$11,0)),"③ 통장·카드에 없는 결제수단입니다",IF($D1622="","계정과목을 고르십시오",IF($E1622="※없는 과목","④ 설정에 없는 과목입니다",IF(AND($E1622="수입",$J1622&gt;0),"수입 과목인데 지출에 적혔습니다",IF(AND(LEFT($E1622,2)&lt;&gt;"수입",$E1622&lt;&gt;"대체",$I1622&gt;0),"지출 과목인데 수입에 적혔습니다",IF($K1622="","증빙을 고르십시오",IF($H1622="","적요를 적으십시오","")))))))))))</f>
        <v/>
      </c>
      <c r="M1622" s="39"/>
      <c r="O1622" s="11" t="str">
        <f aca="false">IF($B1622="","",YEAR($B1622)*100+MONTH($B1622))</f>
        <v/>
      </c>
      <c r="P1622" s="11" t="str">
        <f aca="false">IF($B1622="","",IF($E1622="대체",0,1))</f>
        <v/>
      </c>
    </row>
    <row r="1623" customFormat="false" ht="15" hidden="false" customHeight="false" outlineLevel="0" collapsed="false">
      <c r="A1623" s="36" t="str">
        <f aca="false">IF($B1623="","",COUNT($B$15:$B1623))</f>
        <v/>
      </c>
      <c r="B1623" s="37"/>
      <c r="C1623" s="38"/>
      <c r="D1623" s="20"/>
      <c r="E1623" s="36" t="str">
        <f aca="false">IF($D1623="","",IFERROR(INDEX('교육원 ④ 설정'!$A$6:$A$40,MATCH($D1623,'교육원 ④ 설정'!$B$6:$B$40,0)),"※없는 과목"))</f>
        <v/>
      </c>
      <c r="F1623" s="36" t="str">
        <f aca="false">IF($D1623="","",IFERROR(INDEX('교육원 ④ 설정'!$C$6:$C$40,MATCH($D1623,'교육원 ④ 설정'!$B$6:$B$40,0)),""))</f>
        <v/>
      </c>
      <c r="G1623" s="39"/>
      <c r="H1623" s="39"/>
      <c r="I1623" s="40"/>
      <c r="J1623" s="41"/>
      <c r="K1623" s="38"/>
      <c r="L1623" s="42" t="str">
        <f aca="false">IF($B1623="","",IF(AND(N($I1623)=0,N($J1623)=0),"금액이 없습니다",IF(AND($I1623&gt;0,$J1623&gt;0),"수입·지출 둘 다 적혔습니다",IF($C1623="","결제수단을 고르십시오",IF(ISNA(MATCH($C1623,'교육원 ③ 통장·카드'!$A$5:$A$11,0)),"③ 통장·카드에 없는 결제수단입니다",IF($D1623="","계정과목을 고르십시오",IF($E1623="※없는 과목","④ 설정에 없는 과목입니다",IF(AND($E1623="수입",$J1623&gt;0),"수입 과목인데 지출에 적혔습니다",IF(AND(LEFT($E1623,2)&lt;&gt;"수입",$E1623&lt;&gt;"대체",$I1623&gt;0),"지출 과목인데 수입에 적혔습니다",IF($K1623="","증빙을 고르십시오",IF($H1623="","적요를 적으십시오","")))))))))))</f>
        <v/>
      </c>
      <c r="M1623" s="39"/>
      <c r="O1623" s="11" t="str">
        <f aca="false">IF($B1623="","",YEAR($B1623)*100+MONTH($B1623))</f>
        <v/>
      </c>
      <c r="P1623" s="11" t="str">
        <f aca="false">IF($B1623="","",IF($E1623="대체",0,1))</f>
        <v/>
      </c>
    </row>
    <row r="1624" customFormat="false" ht="15" hidden="false" customHeight="false" outlineLevel="0" collapsed="false">
      <c r="A1624" s="36" t="str">
        <f aca="false">IF($B1624="","",COUNT($B$15:$B1624))</f>
        <v/>
      </c>
      <c r="B1624" s="37"/>
      <c r="C1624" s="38"/>
      <c r="D1624" s="20"/>
      <c r="E1624" s="36" t="str">
        <f aca="false">IF($D1624="","",IFERROR(INDEX('교육원 ④ 설정'!$A$6:$A$40,MATCH($D1624,'교육원 ④ 설정'!$B$6:$B$40,0)),"※없는 과목"))</f>
        <v/>
      </c>
      <c r="F1624" s="36" t="str">
        <f aca="false">IF($D1624="","",IFERROR(INDEX('교육원 ④ 설정'!$C$6:$C$40,MATCH($D1624,'교육원 ④ 설정'!$B$6:$B$40,0)),""))</f>
        <v/>
      </c>
      <c r="G1624" s="39"/>
      <c r="H1624" s="39"/>
      <c r="I1624" s="40"/>
      <c r="J1624" s="41"/>
      <c r="K1624" s="38"/>
      <c r="L1624" s="42" t="str">
        <f aca="false">IF($B1624="","",IF(AND(N($I1624)=0,N($J1624)=0),"금액이 없습니다",IF(AND($I1624&gt;0,$J1624&gt;0),"수입·지출 둘 다 적혔습니다",IF($C1624="","결제수단을 고르십시오",IF(ISNA(MATCH($C1624,'교육원 ③ 통장·카드'!$A$5:$A$11,0)),"③ 통장·카드에 없는 결제수단입니다",IF($D1624="","계정과목을 고르십시오",IF($E1624="※없는 과목","④ 설정에 없는 과목입니다",IF(AND($E1624="수입",$J1624&gt;0),"수입 과목인데 지출에 적혔습니다",IF(AND(LEFT($E1624,2)&lt;&gt;"수입",$E1624&lt;&gt;"대체",$I1624&gt;0),"지출 과목인데 수입에 적혔습니다",IF($K1624="","증빙을 고르십시오",IF($H1624="","적요를 적으십시오","")))))))))))</f>
        <v/>
      </c>
      <c r="M1624" s="39"/>
      <c r="O1624" s="11" t="str">
        <f aca="false">IF($B1624="","",YEAR($B1624)*100+MONTH($B1624))</f>
        <v/>
      </c>
      <c r="P1624" s="11" t="str">
        <f aca="false">IF($B1624="","",IF($E1624="대체",0,1))</f>
        <v/>
      </c>
    </row>
    <row r="1625" customFormat="false" ht="15" hidden="false" customHeight="false" outlineLevel="0" collapsed="false">
      <c r="A1625" s="36" t="str">
        <f aca="false">IF($B1625="","",COUNT($B$15:$B1625))</f>
        <v/>
      </c>
      <c r="B1625" s="37"/>
      <c r="C1625" s="38"/>
      <c r="D1625" s="20"/>
      <c r="E1625" s="36" t="str">
        <f aca="false">IF($D1625="","",IFERROR(INDEX('교육원 ④ 설정'!$A$6:$A$40,MATCH($D1625,'교육원 ④ 설정'!$B$6:$B$40,0)),"※없는 과목"))</f>
        <v/>
      </c>
      <c r="F1625" s="36" t="str">
        <f aca="false">IF($D1625="","",IFERROR(INDEX('교육원 ④ 설정'!$C$6:$C$40,MATCH($D1625,'교육원 ④ 설정'!$B$6:$B$40,0)),""))</f>
        <v/>
      </c>
      <c r="G1625" s="39"/>
      <c r="H1625" s="39"/>
      <c r="I1625" s="40"/>
      <c r="J1625" s="41"/>
      <c r="K1625" s="38"/>
      <c r="L1625" s="42" t="str">
        <f aca="false">IF($B1625="","",IF(AND(N($I1625)=0,N($J1625)=0),"금액이 없습니다",IF(AND($I1625&gt;0,$J1625&gt;0),"수입·지출 둘 다 적혔습니다",IF($C1625="","결제수단을 고르십시오",IF(ISNA(MATCH($C1625,'교육원 ③ 통장·카드'!$A$5:$A$11,0)),"③ 통장·카드에 없는 결제수단입니다",IF($D1625="","계정과목을 고르십시오",IF($E1625="※없는 과목","④ 설정에 없는 과목입니다",IF(AND($E1625="수입",$J1625&gt;0),"수입 과목인데 지출에 적혔습니다",IF(AND(LEFT($E1625,2)&lt;&gt;"수입",$E1625&lt;&gt;"대체",$I1625&gt;0),"지출 과목인데 수입에 적혔습니다",IF($K1625="","증빙을 고르십시오",IF($H1625="","적요를 적으십시오","")))))))))))</f>
        <v/>
      </c>
      <c r="M1625" s="39"/>
      <c r="O1625" s="11" t="str">
        <f aca="false">IF($B1625="","",YEAR($B1625)*100+MONTH($B1625))</f>
        <v/>
      </c>
      <c r="P1625" s="11" t="str">
        <f aca="false">IF($B1625="","",IF($E1625="대체",0,1))</f>
        <v/>
      </c>
    </row>
    <row r="1626" customFormat="false" ht="15" hidden="false" customHeight="false" outlineLevel="0" collapsed="false">
      <c r="A1626" s="36" t="str">
        <f aca="false">IF($B1626="","",COUNT($B$15:$B1626))</f>
        <v/>
      </c>
      <c r="B1626" s="37"/>
      <c r="C1626" s="38"/>
      <c r="D1626" s="20"/>
      <c r="E1626" s="36" t="str">
        <f aca="false">IF($D1626="","",IFERROR(INDEX('교육원 ④ 설정'!$A$6:$A$40,MATCH($D1626,'교육원 ④ 설정'!$B$6:$B$40,0)),"※없는 과목"))</f>
        <v/>
      </c>
      <c r="F1626" s="36" t="str">
        <f aca="false">IF($D1626="","",IFERROR(INDEX('교육원 ④ 설정'!$C$6:$C$40,MATCH($D1626,'교육원 ④ 설정'!$B$6:$B$40,0)),""))</f>
        <v/>
      </c>
      <c r="G1626" s="39"/>
      <c r="H1626" s="39"/>
      <c r="I1626" s="40"/>
      <c r="J1626" s="41"/>
      <c r="K1626" s="38"/>
      <c r="L1626" s="42" t="str">
        <f aca="false">IF($B1626="","",IF(AND(N($I1626)=0,N($J1626)=0),"금액이 없습니다",IF(AND($I1626&gt;0,$J1626&gt;0),"수입·지출 둘 다 적혔습니다",IF($C1626="","결제수단을 고르십시오",IF(ISNA(MATCH($C1626,'교육원 ③ 통장·카드'!$A$5:$A$11,0)),"③ 통장·카드에 없는 결제수단입니다",IF($D1626="","계정과목을 고르십시오",IF($E1626="※없는 과목","④ 설정에 없는 과목입니다",IF(AND($E1626="수입",$J1626&gt;0),"수입 과목인데 지출에 적혔습니다",IF(AND(LEFT($E1626,2)&lt;&gt;"수입",$E1626&lt;&gt;"대체",$I1626&gt;0),"지출 과목인데 수입에 적혔습니다",IF($K1626="","증빙을 고르십시오",IF($H1626="","적요를 적으십시오","")))))))))))</f>
        <v/>
      </c>
      <c r="M1626" s="39"/>
      <c r="O1626" s="11" t="str">
        <f aca="false">IF($B1626="","",YEAR($B1626)*100+MONTH($B1626))</f>
        <v/>
      </c>
      <c r="P1626" s="11" t="str">
        <f aca="false">IF($B1626="","",IF($E1626="대체",0,1))</f>
        <v/>
      </c>
    </row>
    <row r="1627" customFormat="false" ht="15" hidden="false" customHeight="false" outlineLevel="0" collapsed="false">
      <c r="A1627" s="36" t="str">
        <f aca="false">IF($B1627="","",COUNT($B$15:$B1627))</f>
        <v/>
      </c>
      <c r="B1627" s="37"/>
      <c r="C1627" s="38"/>
      <c r="D1627" s="20"/>
      <c r="E1627" s="36" t="str">
        <f aca="false">IF($D1627="","",IFERROR(INDEX('교육원 ④ 설정'!$A$6:$A$40,MATCH($D1627,'교육원 ④ 설정'!$B$6:$B$40,0)),"※없는 과목"))</f>
        <v/>
      </c>
      <c r="F1627" s="36" t="str">
        <f aca="false">IF($D1627="","",IFERROR(INDEX('교육원 ④ 설정'!$C$6:$C$40,MATCH($D1627,'교육원 ④ 설정'!$B$6:$B$40,0)),""))</f>
        <v/>
      </c>
      <c r="G1627" s="39"/>
      <c r="H1627" s="39"/>
      <c r="I1627" s="40"/>
      <c r="J1627" s="41"/>
      <c r="K1627" s="38"/>
      <c r="L1627" s="42" t="str">
        <f aca="false">IF($B1627="","",IF(AND(N($I1627)=0,N($J1627)=0),"금액이 없습니다",IF(AND($I1627&gt;0,$J1627&gt;0),"수입·지출 둘 다 적혔습니다",IF($C1627="","결제수단을 고르십시오",IF(ISNA(MATCH($C1627,'교육원 ③ 통장·카드'!$A$5:$A$11,0)),"③ 통장·카드에 없는 결제수단입니다",IF($D1627="","계정과목을 고르십시오",IF($E1627="※없는 과목","④ 설정에 없는 과목입니다",IF(AND($E1627="수입",$J1627&gt;0),"수입 과목인데 지출에 적혔습니다",IF(AND(LEFT($E1627,2)&lt;&gt;"수입",$E1627&lt;&gt;"대체",$I1627&gt;0),"지출 과목인데 수입에 적혔습니다",IF($K1627="","증빙을 고르십시오",IF($H1627="","적요를 적으십시오","")))))))))))</f>
        <v/>
      </c>
      <c r="M1627" s="39"/>
      <c r="O1627" s="11" t="str">
        <f aca="false">IF($B1627="","",YEAR($B1627)*100+MONTH($B1627))</f>
        <v/>
      </c>
      <c r="P1627" s="11" t="str">
        <f aca="false">IF($B1627="","",IF($E1627="대체",0,1))</f>
        <v/>
      </c>
    </row>
    <row r="1628" customFormat="false" ht="15" hidden="false" customHeight="false" outlineLevel="0" collapsed="false">
      <c r="A1628" s="36" t="str">
        <f aca="false">IF($B1628="","",COUNT($B$15:$B1628))</f>
        <v/>
      </c>
      <c r="B1628" s="37"/>
      <c r="C1628" s="38"/>
      <c r="D1628" s="20"/>
      <c r="E1628" s="36" t="str">
        <f aca="false">IF($D1628="","",IFERROR(INDEX('교육원 ④ 설정'!$A$6:$A$40,MATCH($D1628,'교육원 ④ 설정'!$B$6:$B$40,0)),"※없는 과목"))</f>
        <v/>
      </c>
      <c r="F1628" s="36" t="str">
        <f aca="false">IF($D1628="","",IFERROR(INDEX('교육원 ④ 설정'!$C$6:$C$40,MATCH($D1628,'교육원 ④ 설정'!$B$6:$B$40,0)),""))</f>
        <v/>
      </c>
      <c r="G1628" s="39"/>
      <c r="H1628" s="39"/>
      <c r="I1628" s="40"/>
      <c r="J1628" s="41"/>
      <c r="K1628" s="38"/>
      <c r="L1628" s="42" t="str">
        <f aca="false">IF($B1628="","",IF(AND(N($I1628)=0,N($J1628)=0),"금액이 없습니다",IF(AND($I1628&gt;0,$J1628&gt;0),"수입·지출 둘 다 적혔습니다",IF($C1628="","결제수단을 고르십시오",IF(ISNA(MATCH($C1628,'교육원 ③ 통장·카드'!$A$5:$A$11,0)),"③ 통장·카드에 없는 결제수단입니다",IF($D1628="","계정과목을 고르십시오",IF($E1628="※없는 과목","④ 설정에 없는 과목입니다",IF(AND($E1628="수입",$J1628&gt;0),"수입 과목인데 지출에 적혔습니다",IF(AND(LEFT($E1628,2)&lt;&gt;"수입",$E1628&lt;&gt;"대체",$I1628&gt;0),"지출 과목인데 수입에 적혔습니다",IF($K1628="","증빙을 고르십시오",IF($H1628="","적요를 적으십시오","")))))))))))</f>
        <v/>
      </c>
      <c r="M1628" s="39"/>
      <c r="O1628" s="11" t="str">
        <f aca="false">IF($B1628="","",YEAR($B1628)*100+MONTH($B1628))</f>
        <v/>
      </c>
      <c r="P1628" s="11" t="str">
        <f aca="false">IF($B1628="","",IF($E1628="대체",0,1))</f>
        <v/>
      </c>
    </row>
    <row r="1629" customFormat="false" ht="15" hidden="false" customHeight="false" outlineLevel="0" collapsed="false">
      <c r="A1629" s="36" t="str">
        <f aca="false">IF($B1629="","",COUNT($B$15:$B1629))</f>
        <v/>
      </c>
      <c r="B1629" s="37"/>
      <c r="C1629" s="38"/>
      <c r="D1629" s="20"/>
      <c r="E1629" s="36" t="str">
        <f aca="false">IF($D1629="","",IFERROR(INDEX('교육원 ④ 설정'!$A$6:$A$40,MATCH($D1629,'교육원 ④ 설정'!$B$6:$B$40,0)),"※없는 과목"))</f>
        <v/>
      </c>
      <c r="F1629" s="36" t="str">
        <f aca="false">IF($D1629="","",IFERROR(INDEX('교육원 ④ 설정'!$C$6:$C$40,MATCH($D1629,'교육원 ④ 설정'!$B$6:$B$40,0)),""))</f>
        <v/>
      </c>
      <c r="G1629" s="39"/>
      <c r="H1629" s="39"/>
      <c r="I1629" s="40"/>
      <c r="J1629" s="41"/>
      <c r="K1629" s="38"/>
      <c r="L1629" s="42" t="str">
        <f aca="false">IF($B1629="","",IF(AND(N($I1629)=0,N($J1629)=0),"금액이 없습니다",IF(AND($I1629&gt;0,$J1629&gt;0),"수입·지출 둘 다 적혔습니다",IF($C1629="","결제수단을 고르십시오",IF(ISNA(MATCH($C1629,'교육원 ③ 통장·카드'!$A$5:$A$11,0)),"③ 통장·카드에 없는 결제수단입니다",IF($D1629="","계정과목을 고르십시오",IF($E1629="※없는 과목","④ 설정에 없는 과목입니다",IF(AND($E1629="수입",$J1629&gt;0),"수입 과목인데 지출에 적혔습니다",IF(AND(LEFT($E1629,2)&lt;&gt;"수입",$E1629&lt;&gt;"대체",$I1629&gt;0),"지출 과목인데 수입에 적혔습니다",IF($K1629="","증빙을 고르십시오",IF($H1629="","적요를 적으십시오","")))))))))))</f>
        <v/>
      </c>
      <c r="M1629" s="39"/>
      <c r="O1629" s="11" t="str">
        <f aca="false">IF($B1629="","",YEAR($B1629)*100+MONTH($B1629))</f>
        <v/>
      </c>
      <c r="P1629" s="11" t="str">
        <f aca="false">IF($B1629="","",IF($E1629="대체",0,1))</f>
        <v/>
      </c>
    </row>
    <row r="1630" customFormat="false" ht="15" hidden="false" customHeight="false" outlineLevel="0" collapsed="false">
      <c r="A1630" s="36" t="str">
        <f aca="false">IF($B1630="","",COUNT($B$15:$B1630))</f>
        <v/>
      </c>
      <c r="B1630" s="37"/>
      <c r="C1630" s="38"/>
      <c r="D1630" s="20"/>
      <c r="E1630" s="36" t="str">
        <f aca="false">IF($D1630="","",IFERROR(INDEX('교육원 ④ 설정'!$A$6:$A$40,MATCH($D1630,'교육원 ④ 설정'!$B$6:$B$40,0)),"※없는 과목"))</f>
        <v/>
      </c>
      <c r="F1630" s="36" t="str">
        <f aca="false">IF($D1630="","",IFERROR(INDEX('교육원 ④ 설정'!$C$6:$C$40,MATCH($D1630,'교육원 ④ 설정'!$B$6:$B$40,0)),""))</f>
        <v/>
      </c>
      <c r="G1630" s="39"/>
      <c r="H1630" s="39"/>
      <c r="I1630" s="40"/>
      <c r="J1630" s="41"/>
      <c r="K1630" s="38"/>
      <c r="L1630" s="42" t="str">
        <f aca="false">IF($B1630="","",IF(AND(N($I1630)=0,N($J1630)=0),"금액이 없습니다",IF(AND($I1630&gt;0,$J1630&gt;0),"수입·지출 둘 다 적혔습니다",IF($C1630="","결제수단을 고르십시오",IF(ISNA(MATCH($C1630,'교육원 ③ 통장·카드'!$A$5:$A$11,0)),"③ 통장·카드에 없는 결제수단입니다",IF($D1630="","계정과목을 고르십시오",IF($E1630="※없는 과목","④ 설정에 없는 과목입니다",IF(AND($E1630="수입",$J1630&gt;0),"수입 과목인데 지출에 적혔습니다",IF(AND(LEFT($E1630,2)&lt;&gt;"수입",$E1630&lt;&gt;"대체",$I1630&gt;0),"지출 과목인데 수입에 적혔습니다",IF($K1630="","증빙을 고르십시오",IF($H1630="","적요를 적으십시오","")))))))))))</f>
        <v/>
      </c>
      <c r="M1630" s="39"/>
      <c r="O1630" s="11" t="str">
        <f aca="false">IF($B1630="","",YEAR($B1630)*100+MONTH($B1630))</f>
        <v/>
      </c>
      <c r="P1630" s="11" t="str">
        <f aca="false">IF($B1630="","",IF($E1630="대체",0,1))</f>
        <v/>
      </c>
    </row>
    <row r="1631" customFormat="false" ht="15" hidden="false" customHeight="false" outlineLevel="0" collapsed="false">
      <c r="A1631" s="36" t="str">
        <f aca="false">IF($B1631="","",COUNT($B$15:$B1631))</f>
        <v/>
      </c>
      <c r="B1631" s="37"/>
      <c r="C1631" s="38"/>
      <c r="D1631" s="20"/>
      <c r="E1631" s="36" t="str">
        <f aca="false">IF($D1631="","",IFERROR(INDEX('교육원 ④ 설정'!$A$6:$A$40,MATCH($D1631,'교육원 ④ 설정'!$B$6:$B$40,0)),"※없는 과목"))</f>
        <v/>
      </c>
      <c r="F1631" s="36" t="str">
        <f aca="false">IF($D1631="","",IFERROR(INDEX('교육원 ④ 설정'!$C$6:$C$40,MATCH($D1631,'교육원 ④ 설정'!$B$6:$B$40,0)),""))</f>
        <v/>
      </c>
      <c r="G1631" s="39"/>
      <c r="H1631" s="39"/>
      <c r="I1631" s="40"/>
      <c r="J1631" s="41"/>
      <c r="K1631" s="38"/>
      <c r="L1631" s="42" t="str">
        <f aca="false">IF($B1631="","",IF(AND(N($I1631)=0,N($J1631)=0),"금액이 없습니다",IF(AND($I1631&gt;0,$J1631&gt;0),"수입·지출 둘 다 적혔습니다",IF($C1631="","결제수단을 고르십시오",IF(ISNA(MATCH($C1631,'교육원 ③ 통장·카드'!$A$5:$A$11,0)),"③ 통장·카드에 없는 결제수단입니다",IF($D1631="","계정과목을 고르십시오",IF($E1631="※없는 과목","④ 설정에 없는 과목입니다",IF(AND($E1631="수입",$J1631&gt;0),"수입 과목인데 지출에 적혔습니다",IF(AND(LEFT($E1631,2)&lt;&gt;"수입",$E1631&lt;&gt;"대체",$I1631&gt;0),"지출 과목인데 수입에 적혔습니다",IF($K1631="","증빙을 고르십시오",IF($H1631="","적요를 적으십시오","")))))))))))</f>
        <v/>
      </c>
      <c r="M1631" s="39"/>
      <c r="O1631" s="11" t="str">
        <f aca="false">IF($B1631="","",YEAR($B1631)*100+MONTH($B1631))</f>
        <v/>
      </c>
      <c r="P1631" s="11" t="str">
        <f aca="false">IF($B1631="","",IF($E1631="대체",0,1))</f>
        <v/>
      </c>
    </row>
    <row r="1632" customFormat="false" ht="15" hidden="false" customHeight="false" outlineLevel="0" collapsed="false">
      <c r="A1632" s="36" t="str">
        <f aca="false">IF($B1632="","",COUNT($B$15:$B1632))</f>
        <v/>
      </c>
      <c r="B1632" s="37"/>
      <c r="C1632" s="38"/>
      <c r="D1632" s="20"/>
      <c r="E1632" s="36" t="str">
        <f aca="false">IF($D1632="","",IFERROR(INDEX('교육원 ④ 설정'!$A$6:$A$40,MATCH($D1632,'교육원 ④ 설정'!$B$6:$B$40,0)),"※없는 과목"))</f>
        <v/>
      </c>
      <c r="F1632" s="36" t="str">
        <f aca="false">IF($D1632="","",IFERROR(INDEX('교육원 ④ 설정'!$C$6:$C$40,MATCH($D1632,'교육원 ④ 설정'!$B$6:$B$40,0)),""))</f>
        <v/>
      </c>
      <c r="G1632" s="39"/>
      <c r="H1632" s="39"/>
      <c r="I1632" s="40"/>
      <c r="J1632" s="41"/>
      <c r="K1632" s="38"/>
      <c r="L1632" s="42" t="str">
        <f aca="false">IF($B1632="","",IF(AND(N($I1632)=0,N($J1632)=0),"금액이 없습니다",IF(AND($I1632&gt;0,$J1632&gt;0),"수입·지출 둘 다 적혔습니다",IF($C1632="","결제수단을 고르십시오",IF(ISNA(MATCH($C1632,'교육원 ③ 통장·카드'!$A$5:$A$11,0)),"③ 통장·카드에 없는 결제수단입니다",IF($D1632="","계정과목을 고르십시오",IF($E1632="※없는 과목","④ 설정에 없는 과목입니다",IF(AND($E1632="수입",$J1632&gt;0),"수입 과목인데 지출에 적혔습니다",IF(AND(LEFT($E1632,2)&lt;&gt;"수입",$E1632&lt;&gt;"대체",$I1632&gt;0),"지출 과목인데 수입에 적혔습니다",IF($K1632="","증빙을 고르십시오",IF($H1632="","적요를 적으십시오","")))))))))))</f>
        <v/>
      </c>
      <c r="M1632" s="39"/>
      <c r="O1632" s="11" t="str">
        <f aca="false">IF($B1632="","",YEAR($B1632)*100+MONTH($B1632))</f>
        <v/>
      </c>
      <c r="P1632" s="11" t="str">
        <f aca="false">IF($B1632="","",IF($E1632="대체",0,1))</f>
        <v/>
      </c>
    </row>
    <row r="1633" customFormat="false" ht="15" hidden="false" customHeight="false" outlineLevel="0" collapsed="false">
      <c r="A1633" s="36" t="str">
        <f aca="false">IF($B1633="","",COUNT($B$15:$B1633))</f>
        <v/>
      </c>
      <c r="B1633" s="37"/>
      <c r="C1633" s="38"/>
      <c r="D1633" s="20"/>
      <c r="E1633" s="36" t="str">
        <f aca="false">IF($D1633="","",IFERROR(INDEX('교육원 ④ 설정'!$A$6:$A$40,MATCH($D1633,'교육원 ④ 설정'!$B$6:$B$40,0)),"※없는 과목"))</f>
        <v/>
      </c>
      <c r="F1633" s="36" t="str">
        <f aca="false">IF($D1633="","",IFERROR(INDEX('교육원 ④ 설정'!$C$6:$C$40,MATCH($D1633,'교육원 ④ 설정'!$B$6:$B$40,0)),""))</f>
        <v/>
      </c>
      <c r="G1633" s="39"/>
      <c r="H1633" s="39"/>
      <c r="I1633" s="40"/>
      <c r="J1633" s="41"/>
      <c r="K1633" s="38"/>
      <c r="L1633" s="42" t="str">
        <f aca="false">IF($B1633="","",IF(AND(N($I1633)=0,N($J1633)=0),"금액이 없습니다",IF(AND($I1633&gt;0,$J1633&gt;0),"수입·지출 둘 다 적혔습니다",IF($C1633="","결제수단을 고르십시오",IF(ISNA(MATCH($C1633,'교육원 ③ 통장·카드'!$A$5:$A$11,0)),"③ 통장·카드에 없는 결제수단입니다",IF($D1633="","계정과목을 고르십시오",IF($E1633="※없는 과목","④ 설정에 없는 과목입니다",IF(AND($E1633="수입",$J1633&gt;0),"수입 과목인데 지출에 적혔습니다",IF(AND(LEFT($E1633,2)&lt;&gt;"수입",$E1633&lt;&gt;"대체",$I1633&gt;0),"지출 과목인데 수입에 적혔습니다",IF($K1633="","증빙을 고르십시오",IF($H1633="","적요를 적으십시오","")))))))))))</f>
        <v/>
      </c>
      <c r="M1633" s="39"/>
      <c r="O1633" s="11" t="str">
        <f aca="false">IF($B1633="","",YEAR($B1633)*100+MONTH($B1633))</f>
        <v/>
      </c>
      <c r="P1633" s="11" t="str">
        <f aca="false">IF($B1633="","",IF($E1633="대체",0,1))</f>
        <v/>
      </c>
    </row>
    <row r="1634" customFormat="false" ht="15" hidden="false" customHeight="false" outlineLevel="0" collapsed="false">
      <c r="A1634" s="36" t="str">
        <f aca="false">IF($B1634="","",COUNT($B$15:$B1634))</f>
        <v/>
      </c>
      <c r="B1634" s="37"/>
      <c r="C1634" s="38"/>
      <c r="D1634" s="20"/>
      <c r="E1634" s="36" t="str">
        <f aca="false">IF($D1634="","",IFERROR(INDEX('교육원 ④ 설정'!$A$6:$A$40,MATCH($D1634,'교육원 ④ 설정'!$B$6:$B$40,0)),"※없는 과목"))</f>
        <v/>
      </c>
      <c r="F1634" s="36" t="str">
        <f aca="false">IF($D1634="","",IFERROR(INDEX('교육원 ④ 설정'!$C$6:$C$40,MATCH($D1634,'교육원 ④ 설정'!$B$6:$B$40,0)),""))</f>
        <v/>
      </c>
      <c r="G1634" s="39"/>
      <c r="H1634" s="39"/>
      <c r="I1634" s="40"/>
      <c r="J1634" s="41"/>
      <c r="K1634" s="38"/>
      <c r="L1634" s="42" t="str">
        <f aca="false">IF($B1634="","",IF(AND(N($I1634)=0,N($J1634)=0),"금액이 없습니다",IF(AND($I1634&gt;0,$J1634&gt;0),"수입·지출 둘 다 적혔습니다",IF($C1634="","결제수단을 고르십시오",IF(ISNA(MATCH($C1634,'교육원 ③ 통장·카드'!$A$5:$A$11,0)),"③ 통장·카드에 없는 결제수단입니다",IF($D1634="","계정과목을 고르십시오",IF($E1634="※없는 과목","④ 설정에 없는 과목입니다",IF(AND($E1634="수입",$J1634&gt;0),"수입 과목인데 지출에 적혔습니다",IF(AND(LEFT($E1634,2)&lt;&gt;"수입",$E1634&lt;&gt;"대체",$I1634&gt;0),"지출 과목인데 수입에 적혔습니다",IF($K1634="","증빙을 고르십시오",IF($H1634="","적요를 적으십시오","")))))))))))</f>
        <v/>
      </c>
      <c r="M1634" s="39"/>
      <c r="O1634" s="11" t="str">
        <f aca="false">IF($B1634="","",YEAR($B1634)*100+MONTH($B1634))</f>
        <v/>
      </c>
      <c r="P1634" s="11" t="str">
        <f aca="false">IF($B1634="","",IF($E1634="대체",0,1))</f>
        <v/>
      </c>
    </row>
    <row r="1635" customFormat="false" ht="15" hidden="false" customHeight="false" outlineLevel="0" collapsed="false">
      <c r="A1635" s="36" t="str">
        <f aca="false">IF($B1635="","",COUNT($B$15:$B1635))</f>
        <v/>
      </c>
      <c r="B1635" s="37"/>
      <c r="C1635" s="38"/>
      <c r="D1635" s="20"/>
      <c r="E1635" s="36" t="str">
        <f aca="false">IF($D1635="","",IFERROR(INDEX('교육원 ④ 설정'!$A$6:$A$40,MATCH($D1635,'교육원 ④ 설정'!$B$6:$B$40,0)),"※없는 과목"))</f>
        <v/>
      </c>
      <c r="F1635" s="36" t="str">
        <f aca="false">IF($D1635="","",IFERROR(INDEX('교육원 ④ 설정'!$C$6:$C$40,MATCH($D1635,'교육원 ④ 설정'!$B$6:$B$40,0)),""))</f>
        <v/>
      </c>
      <c r="G1635" s="39"/>
      <c r="H1635" s="39"/>
      <c r="I1635" s="40"/>
      <c r="J1635" s="41"/>
      <c r="K1635" s="38"/>
      <c r="L1635" s="42" t="str">
        <f aca="false">IF($B1635="","",IF(AND(N($I1635)=0,N($J1635)=0),"금액이 없습니다",IF(AND($I1635&gt;0,$J1635&gt;0),"수입·지출 둘 다 적혔습니다",IF($C1635="","결제수단을 고르십시오",IF(ISNA(MATCH($C1635,'교육원 ③ 통장·카드'!$A$5:$A$11,0)),"③ 통장·카드에 없는 결제수단입니다",IF($D1635="","계정과목을 고르십시오",IF($E1635="※없는 과목","④ 설정에 없는 과목입니다",IF(AND($E1635="수입",$J1635&gt;0),"수입 과목인데 지출에 적혔습니다",IF(AND(LEFT($E1635,2)&lt;&gt;"수입",$E1635&lt;&gt;"대체",$I1635&gt;0),"지출 과목인데 수입에 적혔습니다",IF($K1635="","증빙을 고르십시오",IF($H1635="","적요를 적으십시오","")))))))))))</f>
        <v/>
      </c>
      <c r="M1635" s="39"/>
      <c r="O1635" s="11" t="str">
        <f aca="false">IF($B1635="","",YEAR($B1635)*100+MONTH($B1635))</f>
        <v/>
      </c>
      <c r="P1635" s="11" t="str">
        <f aca="false">IF($B1635="","",IF($E1635="대체",0,1))</f>
        <v/>
      </c>
    </row>
    <row r="1636" customFormat="false" ht="15" hidden="false" customHeight="false" outlineLevel="0" collapsed="false">
      <c r="A1636" s="36" t="str">
        <f aca="false">IF($B1636="","",COUNT($B$15:$B1636))</f>
        <v/>
      </c>
      <c r="B1636" s="37"/>
      <c r="C1636" s="38"/>
      <c r="D1636" s="20"/>
      <c r="E1636" s="36" t="str">
        <f aca="false">IF($D1636="","",IFERROR(INDEX('교육원 ④ 설정'!$A$6:$A$40,MATCH($D1636,'교육원 ④ 설정'!$B$6:$B$40,0)),"※없는 과목"))</f>
        <v/>
      </c>
      <c r="F1636" s="36" t="str">
        <f aca="false">IF($D1636="","",IFERROR(INDEX('교육원 ④ 설정'!$C$6:$C$40,MATCH($D1636,'교육원 ④ 설정'!$B$6:$B$40,0)),""))</f>
        <v/>
      </c>
      <c r="G1636" s="39"/>
      <c r="H1636" s="39"/>
      <c r="I1636" s="40"/>
      <c r="J1636" s="41"/>
      <c r="K1636" s="38"/>
      <c r="L1636" s="42" t="str">
        <f aca="false">IF($B1636="","",IF(AND(N($I1636)=0,N($J1636)=0),"금액이 없습니다",IF(AND($I1636&gt;0,$J1636&gt;0),"수입·지출 둘 다 적혔습니다",IF($C1636="","결제수단을 고르십시오",IF(ISNA(MATCH($C1636,'교육원 ③ 통장·카드'!$A$5:$A$11,0)),"③ 통장·카드에 없는 결제수단입니다",IF($D1636="","계정과목을 고르십시오",IF($E1636="※없는 과목","④ 설정에 없는 과목입니다",IF(AND($E1636="수입",$J1636&gt;0),"수입 과목인데 지출에 적혔습니다",IF(AND(LEFT($E1636,2)&lt;&gt;"수입",$E1636&lt;&gt;"대체",$I1636&gt;0),"지출 과목인데 수입에 적혔습니다",IF($K1636="","증빙을 고르십시오",IF($H1636="","적요를 적으십시오","")))))))))))</f>
        <v/>
      </c>
      <c r="M1636" s="39"/>
      <c r="O1636" s="11" t="str">
        <f aca="false">IF($B1636="","",YEAR($B1636)*100+MONTH($B1636))</f>
        <v/>
      </c>
      <c r="P1636" s="11" t="str">
        <f aca="false">IF($B1636="","",IF($E1636="대체",0,1))</f>
        <v/>
      </c>
    </row>
    <row r="1637" customFormat="false" ht="15" hidden="false" customHeight="false" outlineLevel="0" collapsed="false">
      <c r="A1637" s="36" t="str">
        <f aca="false">IF($B1637="","",COUNT($B$15:$B1637))</f>
        <v/>
      </c>
      <c r="B1637" s="37"/>
      <c r="C1637" s="38"/>
      <c r="D1637" s="20"/>
      <c r="E1637" s="36" t="str">
        <f aca="false">IF($D1637="","",IFERROR(INDEX('교육원 ④ 설정'!$A$6:$A$40,MATCH($D1637,'교육원 ④ 설정'!$B$6:$B$40,0)),"※없는 과목"))</f>
        <v/>
      </c>
      <c r="F1637" s="36" t="str">
        <f aca="false">IF($D1637="","",IFERROR(INDEX('교육원 ④ 설정'!$C$6:$C$40,MATCH($D1637,'교육원 ④ 설정'!$B$6:$B$40,0)),""))</f>
        <v/>
      </c>
      <c r="G1637" s="39"/>
      <c r="H1637" s="39"/>
      <c r="I1637" s="40"/>
      <c r="J1637" s="41"/>
      <c r="K1637" s="38"/>
      <c r="L1637" s="42" t="str">
        <f aca="false">IF($B1637="","",IF(AND(N($I1637)=0,N($J1637)=0),"금액이 없습니다",IF(AND($I1637&gt;0,$J1637&gt;0),"수입·지출 둘 다 적혔습니다",IF($C1637="","결제수단을 고르십시오",IF(ISNA(MATCH($C1637,'교육원 ③ 통장·카드'!$A$5:$A$11,0)),"③ 통장·카드에 없는 결제수단입니다",IF($D1637="","계정과목을 고르십시오",IF($E1637="※없는 과목","④ 설정에 없는 과목입니다",IF(AND($E1637="수입",$J1637&gt;0),"수입 과목인데 지출에 적혔습니다",IF(AND(LEFT($E1637,2)&lt;&gt;"수입",$E1637&lt;&gt;"대체",$I1637&gt;0),"지출 과목인데 수입에 적혔습니다",IF($K1637="","증빙을 고르십시오",IF($H1637="","적요를 적으십시오","")))))))))))</f>
        <v/>
      </c>
      <c r="M1637" s="39"/>
      <c r="O1637" s="11" t="str">
        <f aca="false">IF($B1637="","",YEAR($B1637)*100+MONTH($B1637))</f>
        <v/>
      </c>
      <c r="P1637" s="11" t="str">
        <f aca="false">IF($B1637="","",IF($E1637="대체",0,1))</f>
        <v/>
      </c>
    </row>
    <row r="1638" customFormat="false" ht="15" hidden="false" customHeight="false" outlineLevel="0" collapsed="false">
      <c r="A1638" s="36" t="str">
        <f aca="false">IF($B1638="","",COUNT($B$15:$B1638))</f>
        <v/>
      </c>
      <c r="B1638" s="37"/>
      <c r="C1638" s="38"/>
      <c r="D1638" s="20"/>
      <c r="E1638" s="36" t="str">
        <f aca="false">IF($D1638="","",IFERROR(INDEX('교육원 ④ 설정'!$A$6:$A$40,MATCH($D1638,'교육원 ④ 설정'!$B$6:$B$40,0)),"※없는 과목"))</f>
        <v/>
      </c>
      <c r="F1638" s="36" t="str">
        <f aca="false">IF($D1638="","",IFERROR(INDEX('교육원 ④ 설정'!$C$6:$C$40,MATCH($D1638,'교육원 ④ 설정'!$B$6:$B$40,0)),""))</f>
        <v/>
      </c>
      <c r="G1638" s="39"/>
      <c r="H1638" s="39"/>
      <c r="I1638" s="40"/>
      <c r="J1638" s="41"/>
      <c r="K1638" s="38"/>
      <c r="L1638" s="42" t="str">
        <f aca="false">IF($B1638="","",IF(AND(N($I1638)=0,N($J1638)=0),"금액이 없습니다",IF(AND($I1638&gt;0,$J1638&gt;0),"수입·지출 둘 다 적혔습니다",IF($C1638="","결제수단을 고르십시오",IF(ISNA(MATCH($C1638,'교육원 ③ 통장·카드'!$A$5:$A$11,0)),"③ 통장·카드에 없는 결제수단입니다",IF($D1638="","계정과목을 고르십시오",IF($E1638="※없는 과목","④ 설정에 없는 과목입니다",IF(AND($E1638="수입",$J1638&gt;0),"수입 과목인데 지출에 적혔습니다",IF(AND(LEFT($E1638,2)&lt;&gt;"수입",$E1638&lt;&gt;"대체",$I1638&gt;0),"지출 과목인데 수입에 적혔습니다",IF($K1638="","증빙을 고르십시오",IF($H1638="","적요를 적으십시오","")))))))))))</f>
        <v/>
      </c>
      <c r="M1638" s="39"/>
      <c r="O1638" s="11" t="str">
        <f aca="false">IF($B1638="","",YEAR($B1638)*100+MONTH($B1638))</f>
        <v/>
      </c>
      <c r="P1638" s="11" t="str">
        <f aca="false">IF($B1638="","",IF($E1638="대체",0,1))</f>
        <v/>
      </c>
    </row>
    <row r="1639" customFormat="false" ht="15" hidden="false" customHeight="false" outlineLevel="0" collapsed="false">
      <c r="A1639" s="36" t="str">
        <f aca="false">IF($B1639="","",COUNT($B$15:$B1639))</f>
        <v/>
      </c>
      <c r="B1639" s="37"/>
      <c r="C1639" s="38"/>
      <c r="D1639" s="20"/>
      <c r="E1639" s="36" t="str">
        <f aca="false">IF($D1639="","",IFERROR(INDEX('교육원 ④ 설정'!$A$6:$A$40,MATCH($D1639,'교육원 ④ 설정'!$B$6:$B$40,0)),"※없는 과목"))</f>
        <v/>
      </c>
      <c r="F1639" s="36" t="str">
        <f aca="false">IF($D1639="","",IFERROR(INDEX('교육원 ④ 설정'!$C$6:$C$40,MATCH($D1639,'교육원 ④ 설정'!$B$6:$B$40,0)),""))</f>
        <v/>
      </c>
      <c r="G1639" s="39"/>
      <c r="H1639" s="39"/>
      <c r="I1639" s="40"/>
      <c r="J1639" s="41"/>
      <c r="K1639" s="38"/>
      <c r="L1639" s="42" t="str">
        <f aca="false">IF($B1639="","",IF(AND(N($I1639)=0,N($J1639)=0),"금액이 없습니다",IF(AND($I1639&gt;0,$J1639&gt;0),"수입·지출 둘 다 적혔습니다",IF($C1639="","결제수단을 고르십시오",IF(ISNA(MATCH($C1639,'교육원 ③ 통장·카드'!$A$5:$A$11,0)),"③ 통장·카드에 없는 결제수단입니다",IF($D1639="","계정과목을 고르십시오",IF($E1639="※없는 과목","④ 설정에 없는 과목입니다",IF(AND($E1639="수입",$J1639&gt;0),"수입 과목인데 지출에 적혔습니다",IF(AND(LEFT($E1639,2)&lt;&gt;"수입",$E1639&lt;&gt;"대체",$I1639&gt;0),"지출 과목인데 수입에 적혔습니다",IF($K1639="","증빙을 고르십시오",IF($H1639="","적요를 적으십시오","")))))))))))</f>
        <v/>
      </c>
      <c r="M1639" s="39"/>
      <c r="O1639" s="11" t="str">
        <f aca="false">IF($B1639="","",YEAR($B1639)*100+MONTH($B1639))</f>
        <v/>
      </c>
      <c r="P1639" s="11" t="str">
        <f aca="false">IF($B1639="","",IF($E1639="대체",0,1))</f>
        <v/>
      </c>
    </row>
    <row r="1640" customFormat="false" ht="15" hidden="false" customHeight="false" outlineLevel="0" collapsed="false">
      <c r="A1640" s="36" t="str">
        <f aca="false">IF($B1640="","",COUNT($B$15:$B1640))</f>
        <v/>
      </c>
      <c r="B1640" s="37"/>
      <c r="C1640" s="38"/>
      <c r="D1640" s="20"/>
      <c r="E1640" s="36" t="str">
        <f aca="false">IF($D1640="","",IFERROR(INDEX('교육원 ④ 설정'!$A$6:$A$40,MATCH($D1640,'교육원 ④ 설정'!$B$6:$B$40,0)),"※없는 과목"))</f>
        <v/>
      </c>
      <c r="F1640" s="36" t="str">
        <f aca="false">IF($D1640="","",IFERROR(INDEX('교육원 ④ 설정'!$C$6:$C$40,MATCH($D1640,'교육원 ④ 설정'!$B$6:$B$40,0)),""))</f>
        <v/>
      </c>
      <c r="G1640" s="39"/>
      <c r="H1640" s="39"/>
      <c r="I1640" s="40"/>
      <c r="J1640" s="41"/>
      <c r="K1640" s="38"/>
      <c r="L1640" s="42" t="str">
        <f aca="false">IF($B1640="","",IF(AND(N($I1640)=0,N($J1640)=0),"금액이 없습니다",IF(AND($I1640&gt;0,$J1640&gt;0),"수입·지출 둘 다 적혔습니다",IF($C1640="","결제수단을 고르십시오",IF(ISNA(MATCH($C1640,'교육원 ③ 통장·카드'!$A$5:$A$11,0)),"③ 통장·카드에 없는 결제수단입니다",IF($D1640="","계정과목을 고르십시오",IF($E1640="※없는 과목","④ 설정에 없는 과목입니다",IF(AND($E1640="수입",$J1640&gt;0),"수입 과목인데 지출에 적혔습니다",IF(AND(LEFT($E1640,2)&lt;&gt;"수입",$E1640&lt;&gt;"대체",$I1640&gt;0),"지출 과목인데 수입에 적혔습니다",IF($K1640="","증빙을 고르십시오",IF($H1640="","적요를 적으십시오","")))))))))))</f>
        <v/>
      </c>
      <c r="M1640" s="39"/>
      <c r="O1640" s="11" t="str">
        <f aca="false">IF($B1640="","",YEAR($B1640)*100+MONTH($B1640))</f>
        <v/>
      </c>
      <c r="P1640" s="11" t="str">
        <f aca="false">IF($B1640="","",IF($E1640="대체",0,1))</f>
        <v/>
      </c>
    </row>
    <row r="1641" customFormat="false" ht="15" hidden="false" customHeight="false" outlineLevel="0" collapsed="false">
      <c r="A1641" s="36" t="str">
        <f aca="false">IF($B1641="","",COUNT($B$15:$B1641))</f>
        <v/>
      </c>
      <c r="B1641" s="37"/>
      <c r="C1641" s="38"/>
      <c r="D1641" s="20"/>
      <c r="E1641" s="36" t="str">
        <f aca="false">IF($D1641="","",IFERROR(INDEX('교육원 ④ 설정'!$A$6:$A$40,MATCH($D1641,'교육원 ④ 설정'!$B$6:$B$40,0)),"※없는 과목"))</f>
        <v/>
      </c>
      <c r="F1641" s="36" t="str">
        <f aca="false">IF($D1641="","",IFERROR(INDEX('교육원 ④ 설정'!$C$6:$C$40,MATCH($D1641,'교육원 ④ 설정'!$B$6:$B$40,0)),""))</f>
        <v/>
      </c>
      <c r="G1641" s="39"/>
      <c r="H1641" s="39"/>
      <c r="I1641" s="40"/>
      <c r="J1641" s="41"/>
      <c r="K1641" s="38"/>
      <c r="L1641" s="42" t="str">
        <f aca="false">IF($B1641="","",IF(AND(N($I1641)=0,N($J1641)=0),"금액이 없습니다",IF(AND($I1641&gt;0,$J1641&gt;0),"수입·지출 둘 다 적혔습니다",IF($C1641="","결제수단을 고르십시오",IF(ISNA(MATCH($C1641,'교육원 ③ 통장·카드'!$A$5:$A$11,0)),"③ 통장·카드에 없는 결제수단입니다",IF($D1641="","계정과목을 고르십시오",IF($E1641="※없는 과목","④ 설정에 없는 과목입니다",IF(AND($E1641="수입",$J1641&gt;0),"수입 과목인데 지출에 적혔습니다",IF(AND(LEFT($E1641,2)&lt;&gt;"수입",$E1641&lt;&gt;"대체",$I1641&gt;0),"지출 과목인데 수입에 적혔습니다",IF($K1641="","증빙을 고르십시오",IF($H1641="","적요를 적으십시오","")))))))))))</f>
        <v/>
      </c>
      <c r="M1641" s="39"/>
      <c r="O1641" s="11" t="str">
        <f aca="false">IF($B1641="","",YEAR($B1641)*100+MONTH($B1641))</f>
        <v/>
      </c>
      <c r="P1641" s="11" t="str">
        <f aca="false">IF($B1641="","",IF($E1641="대체",0,1))</f>
        <v/>
      </c>
    </row>
    <row r="1642" customFormat="false" ht="15" hidden="false" customHeight="false" outlineLevel="0" collapsed="false">
      <c r="A1642" s="36" t="str">
        <f aca="false">IF($B1642="","",COUNT($B$15:$B1642))</f>
        <v/>
      </c>
      <c r="B1642" s="37"/>
      <c r="C1642" s="38"/>
      <c r="D1642" s="20"/>
      <c r="E1642" s="36" t="str">
        <f aca="false">IF($D1642="","",IFERROR(INDEX('교육원 ④ 설정'!$A$6:$A$40,MATCH($D1642,'교육원 ④ 설정'!$B$6:$B$40,0)),"※없는 과목"))</f>
        <v/>
      </c>
      <c r="F1642" s="36" t="str">
        <f aca="false">IF($D1642="","",IFERROR(INDEX('교육원 ④ 설정'!$C$6:$C$40,MATCH($D1642,'교육원 ④ 설정'!$B$6:$B$40,0)),""))</f>
        <v/>
      </c>
      <c r="G1642" s="39"/>
      <c r="H1642" s="39"/>
      <c r="I1642" s="40"/>
      <c r="J1642" s="41"/>
      <c r="K1642" s="38"/>
      <c r="L1642" s="42" t="str">
        <f aca="false">IF($B1642="","",IF(AND(N($I1642)=0,N($J1642)=0),"금액이 없습니다",IF(AND($I1642&gt;0,$J1642&gt;0),"수입·지출 둘 다 적혔습니다",IF($C1642="","결제수단을 고르십시오",IF(ISNA(MATCH($C1642,'교육원 ③ 통장·카드'!$A$5:$A$11,0)),"③ 통장·카드에 없는 결제수단입니다",IF($D1642="","계정과목을 고르십시오",IF($E1642="※없는 과목","④ 설정에 없는 과목입니다",IF(AND($E1642="수입",$J1642&gt;0),"수입 과목인데 지출에 적혔습니다",IF(AND(LEFT($E1642,2)&lt;&gt;"수입",$E1642&lt;&gt;"대체",$I1642&gt;0),"지출 과목인데 수입에 적혔습니다",IF($K1642="","증빙을 고르십시오",IF($H1642="","적요를 적으십시오","")))))))))))</f>
        <v/>
      </c>
      <c r="M1642" s="39"/>
      <c r="O1642" s="11" t="str">
        <f aca="false">IF($B1642="","",YEAR($B1642)*100+MONTH($B1642))</f>
        <v/>
      </c>
      <c r="P1642" s="11" t="str">
        <f aca="false">IF($B1642="","",IF($E1642="대체",0,1))</f>
        <v/>
      </c>
    </row>
    <row r="1643" customFormat="false" ht="15" hidden="false" customHeight="false" outlineLevel="0" collapsed="false">
      <c r="A1643" s="36" t="str">
        <f aca="false">IF($B1643="","",COUNT($B$15:$B1643))</f>
        <v/>
      </c>
      <c r="B1643" s="37"/>
      <c r="C1643" s="38"/>
      <c r="D1643" s="20"/>
      <c r="E1643" s="36" t="str">
        <f aca="false">IF($D1643="","",IFERROR(INDEX('교육원 ④ 설정'!$A$6:$A$40,MATCH($D1643,'교육원 ④ 설정'!$B$6:$B$40,0)),"※없는 과목"))</f>
        <v/>
      </c>
      <c r="F1643" s="36" t="str">
        <f aca="false">IF($D1643="","",IFERROR(INDEX('교육원 ④ 설정'!$C$6:$C$40,MATCH($D1643,'교육원 ④ 설정'!$B$6:$B$40,0)),""))</f>
        <v/>
      </c>
      <c r="G1643" s="39"/>
      <c r="H1643" s="39"/>
      <c r="I1643" s="40"/>
      <c r="J1643" s="41"/>
      <c r="K1643" s="38"/>
      <c r="L1643" s="42" t="str">
        <f aca="false">IF($B1643="","",IF(AND(N($I1643)=0,N($J1643)=0),"금액이 없습니다",IF(AND($I1643&gt;0,$J1643&gt;0),"수입·지출 둘 다 적혔습니다",IF($C1643="","결제수단을 고르십시오",IF(ISNA(MATCH($C1643,'교육원 ③ 통장·카드'!$A$5:$A$11,0)),"③ 통장·카드에 없는 결제수단입니다",IF($D1643="","계정과목을 고르십시오",IF($E1643="※없는 과목","④ 설정에 없는 과목입니다",IF(AND($E1643="수입",$J1643&gt;0),"수입 과목인데 지출에 적혔습니다",IF(AND(LEFT($E1643,2)&lt;&gt;"수입",$E1643&lt;&gt;"대체",$I1643&gt;0),"지출 과목인데 수입에 적혔습니다",IF($K1643="","증빙을 고르십시오",IF($H1643="","적요를 적으십시오","")))))))))))</f>
        <v/>
      </c>
      <c r="M1643" s="39"/>
      <c r="O1643" s="11" t="str">
        <f aca="false">IF($B1643="","",YEAR($B1643)*100+MONTH($B1643))</f>
        <v/>
      </c>
      <c r="P1643" s="11" t="str">
        <f aca="false">IF($B1643="","",IF($E1643="대체",0,1))</f>
        <v/>
      </c>
    </row>
    <row r="1644" customFormat="false" ht="15" hidden="false" customHeight="false" outlineLevel="0" collapsed="false">
      <c r="A1644" s="36" t="str">
        <f aca="false">IF($B1644="","",COUNT($B$15:$B1644))</f>
        <v/>
      </c>
      <c r="B1644" s="37"/>
      <c r="C1644" s="38"/>
      <c r="D1644" s="20"/>
      <c r="E1644" s="36" t="str">
        <f aca="false">IF($D1644="","",IFERROR(INDEX('교육원 ④ 설정'!$A$6:$A$40,MATCH($D1644,'교육원 ④ 설정'!$B$6:$B$40,0)),"※없는 과목"))</f>
        <v/>
      </c>
      <c r="F1644" s="36" t="str">
        <f aca="false">IF($D1644="","",IFERROR(INDEX('교육원 ④ 설정'!$C$6:$C$40,MATCH($D1644,'교육원 ④ 설정'!$B$6:$B$40,0)),""))</f>
        <v/>
      </c>
      <c r="G1644" s="39"/>
      <c r="H1644" s="39"/>
      <c r="I1644" s="40"/>
      <c r="J1644" s="41"/>
      <c r="K1644" s="38"/>
      <c r="L1644" s="42" t="str">
        <f aca="false">IF($B1644="","",IF(AND(N($I1644)=0,N($J1644)=0),"금액이 없습니다",IF(AND($I1644&gt;0,$J1644&gt;0),"수입·지출 둘 다 적혔습니다",IF($C1644="","결제수단을 고르십시오",IF(ISNA(MATCH($C1644,'교육원 ③ 통장·카드'!$A$5:$A$11,0)),"③ 통장·카드에 없는 결제수단입니다",IF($D1644="","계정과목을 고르십시오",IF($E1644="※없는 과목","④ 설정에 없는 과목입니다",IF(AND($E1644="수입",$J1644&gt;0),"수입 과목인데 지출에 적혔습니다",IF(AND(LEFT($E1644,2)&lt;&gt;"수입",$E1644&lt;&gt;"대체",$I1644&gt;0),"지출 과목인데 수입에 적혔습니다",IF($K1644="","증빙을 고르십시오",IF($H1644="","적요를 적으십시오","")))))))))))</f>
        <v/>
      </c>
      <c r="M1644" s="39"/>
      <c r="O1644" s="11" t="str">
        <f aca="false">IF($B1644="","",YEAR($B1644)*100+MONTH($B1644))</f>
        <v/>
      </c>
      <c r="P1644" s="11" t="str">
        <f aca="false">IF($B1644="","",IF($E1644="대체",0,1))</f>
        <v/>
      </c>
    </row>
    <row r="1645" customFormat="false" ht="15" hidden="false" customHeight="false" outlineLevel="0" collapsed="false">
      <c r="A1645" s="36" t="str">
        <f aca="false">IF($B1645="","",COUNT($B$15:$B1645))</f>
        <v/>
      </c>
      <c r="B1645" s="37"/>
      <c r="C1645" s="38"/>
      <c r="D1645" s="20"/>
      <c r="E1645" s="36" t="str">
        <f aca="false">IF($D1645="","",IFERROR(INDEX('교육원 ④ 설정'!$A$6:$A$40,MATCH($D1645,'교육원 ④ 설정'!$B$6:$B$40,0)),"※없는 과목"))</f>
        <v/>
      </c>
      <c r="F1645" s="36" t="str">
        <f aca="false">IF($D1645="","",IFERROR(INDEX('교육원 ④ 설정'!$C$6:$C$40,MATCH($D1645,'교육원 ④ 설정'!$B$6:$B$40,0)),""))</f>
        <v/>
      </c>
      <c r="G1645" s="39"/>
      <c r="H1645" s="39"/>
      <c r="I1645" s="40"/>
      <c r="J1645" s="41"/>
      <c r="K1645" s="38"/>
      <c r="L1645" s="42" t="str">
        <f aca="false">IF($B1645="","",IF(AND(N($I1645)=0,N($J1645)=0),"금액이 없습니다",IF(AND($I1645&gt;0,$J1645&gt;0),"수입·지출 둘 다 적혔습니다",IF($C1645="","결제수단을 고르십시오",IF(ISNA(MATCH($C1645,'교육원 ③ 통장·카드'!$A$5:$A$11,0)),"③ 통장·카드에 없는 결제수단입니다",IF($D1645="","계정과목을 고르십시오",IF($E1645="※없는 과목","④ 설정에 없는 과목입니다",IF(AND($E1645="수입",$J1645&gt;0),"수입 과목인데 지출에 적혔습니다",IF(AND(LEFT($E1645,2)&lt;&gt;"수입",$E1645&lt;&gt;"대체",$I1645&gt;0),"지출 과목인데 수입에 적혔습니다",IF($K1645="","증빙을 고르십시오",IF($H1645="","적요를 적으십시오","")))))))))))</f>
        <v/>
      </c>
      <c r="M1645" s="39"/>
      <c r="O1645" s="11" t="str">
        <f aca="false">IF($B1645="","",YEAR($B1645)*100+MONTH($B1645))</f>
        <v/>
      </c>
      <c r="P1645" s="11" t="str">
        <f aca="false">IF($B1645="","",IF($E1645="대체",0,1))</f>
        <v/>
      </c>
    </row>
    <row r="1646" customFormat="false" ht="15" hidden="false" customHeight="false" outlineLevel="0" collapsed="false">
      <c r="A1646" s="36" t="str">
        <f aca="false">IF($B1646="","",COUNT($B$15:$B1646))</f>
        <v/>
      </c>
      <c r="B1646" s="37"/>
      <c r="C1646" s="38"/>
      <c r="D1646" s="20"/>
      <c r="E1646" s="36" t="str">
        <f aca="false">IF($D1646="","",IFERROR(INDEX('교육원 ④ 설정'!$A$6:$A$40,MATCH($D1646,'교육원 ④ 설정'!$B$6:$B$40,0)),"※없는 과목"))</f>
        <v/>
      </c>
      <c r="F1646" s="36" t="str">
        <f aca="false">IF($D1646="","",IFERROR(INDEX('교육원 ④ 설정'!$C$6:$C$40,MATCH($D1646,'교육원 ④ 설정'!$B$6:$B$40,0)),""))</f>
        <v/>
      </c>
      <c r="G1646" s="39"/>
      <c r="H1646" s="39"/>
      <c r="I1646" s="40"/>
      <c r="J1646" s="41"/>
      <c r="K1646" s="38"/>
      <c r="L1646" s="42" t="str">
        <f aca="false">IF($B1646="","",IF(AND(N($I1646)=0,N($J1646)=0),"금액이 없습니다",IF(AND($I1646&gt;0,$J1646&gt;0),"수입·지출 둘 다 적혔습니다",IF($C1646="","결제수단을 고르십시오",IF(ISNA(MATCH($C1646,'교육원 ③ 통장·카드'!$A$5:$A$11,0)),"③ 통장·카드에 없는 결제수단입니다",IF($D1646="","계정과목을 고르십시오",IF($E1646="※없는 과목","④ 설정에 없는 과목입니다",IF(AND($E1646="수입",$J1646&gt;0),"수입 과목인데 지출에 적혔습니다",IF(AND(LEFT($E1646,2)&lt;&gt;"수입",$E1646&lt;&gt;"대체",$I1646&gt;0),"지출 과목인데 수입에 적혔습니다",IF($K1646="","증빙을 고르십시오",IF($H1646="","적요를 적으십시오","")))))))))))</f>
        <v/>
      </c>
      <c r="M1646" s="39"/>
      <c r="O1646" s="11" t="str">
        <f aca="false">IF($B1646="","",YEAR($B1646)*100+MONTH($B1646))</f>
        <v/>
      </c>
      <c r="P1646" s="11" t="str">
        <f aca="false">IF($B1646="","",IF($E1646="대체",0,1))</f>
        <v/>
      </c>
    </row>
    <row r="1647" customFormat="false" ht="15" hidden="false" customHeight="false" outlineLevel="0" collapsed="false">
      <c r="A1647" s="36" t="str">
        <f aca="false">IF($B1647="","",COUNT($B$15:$B1647))</f>
        <v/>
      </c>
      <c r="B1647" s="37"/>
      <c r="C1647" s="38"/>
      <c r="D1647" s="20"/>
      <c r="E1647" s="36" t="str">
        <f aca="false">IF($D1647="","",IFERROR(INDEX('교육원 ④ 설정'!$A$6:$A$40,MATCH($D1647,'교육원 ④ 설정'!$B$6:$B$40,0)),"※없는 과목"))</f>
        <v/>
      </c>
      <c r="F1647" s="36" t="str">
        <f aca="false">IF($D1647="","",IFERROR(INDEX('교육원 ④ 설정'!$C$6:$C$40,MATCH($D1647,'교육원 ④ 설정'!$B$6:$B$40,0)),""))</f>
        <v/>
      </c>
      <c r="G1647" s="39"/>
      <c r="H1647" s="39"/>
      <c r="I1647" s="40"/>
      <c r="J1647" s="41"/>
      <c r="K1647" s="38"/>
      <c r="L1647" s="42" t="str">
        <f aca="false">IF($B1647="","",IF(AND(N($I1647)=0,N($J1647)=0),"금액이 없습니다",IF(AND($I1647&gt;0,$J1647&gt;0),"수입·지출 둘 다 적혔습니다",IF($C1647="","결제수단을 고르십시오",IF(ISNA(MATCH($C1647,'교육원 ③ 통장·카드'!$A$5:$A$11,0)),"③ 통장·카드에 없는 결제수단입니다",IF($D1647="","계정과목을 고르십시오",IF($E1647="※없는 과목","④ 설정에 없는 과목입니다",IF(AND($E1647="수입",$J1647&gt;0),"수입 과목인데 지출에 적혔습니다",IF(AND(LEFT($E1647,2)&lt;&gt;"수입",$E1647&lt;&gt;"대체",$I1647&gt;0),"지출 과목인데 수입에 적혔습니다",IF($K1647="","증빙을 고르십시오",IF($H1647="","적요를 적으십시오","")))))))))))</f>
        <v/>
      </c>
      <c r="M1647" s="39"/>
      <c r="O1647" s="11" t="str">
        <f aca="false">IF($B1647="","",YEAR($B1647)*100+MONTH($B1647))</f>
        <v/>
      </c>
      <c r="P1647" s="11" t="str">
        <f aca="false">IF($B1647="","",IF($E1647="대체",0,1))</f>
        <v/>
      </c>
    </row>
    <row r="1648" customFormat="false" ht="15" hidden="false" customHeight="false" outlineLevel="0" collapsed="false">
      <c r="A1648" s="36" t="str">
        <f aca="false">IF($B1648="","",COUNT($B$15:$B1648))</f>
        <v/>
      </c>
      <c r="B1648" s="37"/>
      <c r="C1648" s="38"/>
      <c r="D1648" s="20"/>
      <c r="E1648" s="36" t="str">
        <f aca="false">IF($D1648="","",IFERROR(INDEX('교육원 ④ 설정'!$A$6:$A$40,MATCH($D1648,'교육원 ④ 설정'!$B$6:$B$40,0)),"※없는 과목"))</f>
        <v/>
      </c>
      <c r="F1648" s="36" t="str">
        <f aca="false">IF($D1648="","",IFERROR(INDEX('교육원 ④ 설정'!$C$6:$C$40,MATCH($D1648,'교육원 ④ 설정'!$B$6:$B$40,0)),""))</f>
        <v/>
      </c>
      <c r="G1648" s="39"/>
      <c r="H1648" s="39"/>
      <c r="I1648" s="40"/>
      <c r="J1648" s="41"/>
      <c r="K1648" s="38"/>
      <c r="L1648" s="42" t="str">
        <f aca="false">IF($B1648="","",IF(AND(N($I1648)=0,N($J1648)=0),"금액이 없습니다",IF(AND($I1648&gt;0,$J1648&gt;0),"수입·지출 둘 다 적혔습니다",IF($C1648="","결제수단을 고르십시오",IF(ISNA(MATCH($C1648,'교육원 ③ 통장·카드'!$A$5:$A$11,0)),"③ 통장·카드에 없는 결제수단입니다",IF($D1648="","계정과목을 고르십시오",IF($E1648="※없는 과목","④ 설정에 없는 과목입니다",IF(AND($E1648="수입",$J1648&gt;0),"수입 과목인데 지출에 적혔습니다",IF(AND(LEFT($E1648,2)&lt;&gt;"수입",$E1648&lt;&gt;"대체",$I1648&gt;0),"지출 과목인데 수입에 적혔습니다",IF($K1648="","증빙을 고르십시오",IF($H1648="","적요를 적으십시오","")))))))))))</f>
        <v/>
      </c>
      <c r="M1648" s="39"/>
      <c r="O1648" s="11" t="str">
        <f aca="false">IF($B1648="","",YEAR($B1648)*100+MONTH($B1648))</f>
        <v/>
      </c>
      <c r="P1648" s="11" t="str">
        <f aca="false">IF($B1648="","",IF($E1648="대체",0,1))</f>
        <v/>
      </c>
    </row>
    <row r="1649" customFormat="false" ht="15" hidden="false" customHeight="false" outlineLevel="0" collapsed="false">
      <c r="A1649" s="36" t="str">
        <f aca="false">IF($B1649="","",COUNT($B$15:$B1649))</f>
        <v/>
      </c>
      <c r="B1649" s="37"/>
      <c r="C1649" s="38"/>
      <c r="D1649" s="20"/>
      <c r="E1649" s="36" t="str">
        <f aca="false">IF($D1649="","",IFERROR(INDEX('교육원 ④ 설정'!$A$6:$A$40,MATCH($D1649,'교육원 ④ 설정'!$B$6:$B$40,0)),"※없는 과목"))</f>
        <v/>
      </c>
      <c r="F1649" s="36" t="str">
        <f aca="false">IF($D1649="","",IFERROR(INDEX('교육원 ④ 설정'!$C$6:$C$40,MATCH($D1649,'교육원 ④ 설정'!$B$6:$B$40,0)),""))</f>
        <v/>
      </c>
      <c r="G1649" s="39"/>
      <c r="H1649" s="39"/>
      <c r="I1649" s="40"/>
      <c r="J1649" s="41"/>
      <c r="K1649" s="38"/>
      <c r="L1649" s="42" t="str">
        <f aca="false">IF($B1649="","",IF(AND(N($I1649)=0,N($J1649)=0),"금액이 없습니다",IF(AND($I1649&gt;0,$J1649&gt;0),"수입·지출 둘 다 적혔습니다",IF($C1649="","결제수단을 고르십시오",IF(ISNA(MATCH($C1649,'교육원 ③ 통장·카드'!$A$5:$A$11,0)),"③ 통장·카드에 없는 결제수단입니다",IF($D1649="","계정과목을 고르십시오",IF($E1649="※없는 과목","④ 설정에 없는 과목입니다",IF(AND($E1649="수입",$J1649&gt;0),"수입 과목인데 지출에 적혔습니다",IF(AND(LEFT($E1649,2)&lt;&gt;"수입",$E1649&lt;&gt;"대체",$I1649&gt;0),"지출 과목인데 수입에 적혔습니다",IF($K1649="","증빙을 고르십시오",IF($H1649="","적요를 적으십시오","")))))))))))</f>
        <v/>
      </c>
      <c r="M1649" s="39"/>
      <c r="O1649" s="11" t="str">
        <f aca="false">IF($B1649="","",YEAR($B1649)*100+MONTH($B1649))</f>
        <v/>
      </c>
      <c r="P1649" s="11" t="str">
        <f aca="false">IF($B1649="","",IF($E1649="대체",0,1))</f>
        <v/>
      </c>
    </row>
    <row r="1650" customFormat="false" ht="15" hidden="false" customHeight="false" outlineLevel="0" collapsed="false">
      <c r="A1650" s="36" t="str">
        <f aca="false">IF($B1650="","",COUNT($B$15:$B1650))</f>
        <v/>
      </c>
      <c r="B1650" s="37"/>
      <c r="C1650" s="38"/>
      <c r="D1650" s="20"/>
      <c r="E1650" s="36" t="str">
        <f aca="false">IF($D1650="","",IFERROR(INDEX('교육원 ④ 설정'!$A$6:$A$40,MATCH($D1650,'교육원 ④ 설정'!$B$6:$B$40,0)),"※없는 과목"))</f>
        <v/>
      </c>
      <c r="F1650" s="36" t="str">
        <f aca="false">IF($D1650="","",IFERROR(INDEX('교육원 ④ 설정'!$C$6:$C$40,MATCH($D1650,'교육원 ④ 설정'!$B$6:$B$40,0)),""))</f>
        <v/>
      </c>
      <c r="G1650" s="39"/>
      <c r="H1650" s="39"/>
      <c r="I1650" s="40"/>
      <c r="J1650" s="41"/>
      <c r="K1650" s="38"/>
      <c r="L1650" s="42" t="str">
        <f aca="false">IF($B1650="","",IF(AND(N($I1650)=0,N($J1650)=0),"금액이 없습니다",IF(AND($I1650&gt;0,$J1650&gt;0),"수입·지출 둘 다 적혔습니다",IF($C1650="","결제수단을 고르십시오",IF(ISNA(MATCH($C1650,'교육원 ③ 통장·카드'!$A$5:$A$11,0)),"③ 통장·카드에 없는 결제수단입니다",IF($D1650="","계정과목을 고르십시오",IF($E1650="※없는 과목","④ 설정에 없는 과목입니다",IF(AND($E1650="수입",$J1650&gt;0),"수입 과목인데 지출에 적혔습니다",IF(AND(LEFT($E1650,2)&lt;&gt;"수입",$E1650&lt;&gt;"대체",$I1650&gt;0),"지출 과목인데 수입에 적혔습니다",IF($K1650="","증빙을 고르십시오",IF($H1650="","적요를 적으십시오","")))))))))))</f>
        <v/>
      </c>
      <c r="M1650" s="39"/>
      <c r="O1650" s="11" t="str">
        <f aca="false">IF($B1650="","",YEAR($B1650)*100+MONTH($B1650))</f>
        <v/>
      </c>
      <c r="P1650" s="11" t="str">
        <f aca="false">IF($B1650="","",IF($E1650="대체",0,1))</f>
        <v/>
      </c>
    </row>
    <row r="1651" customFormat="false" ht="15" hidden="false" customHeight="false" outlineLevel="0" collapsed="false">
      <c r="A1651" s="36" t="str">
        <f aca="false">IF($B1651="","",COUNT($B$15:$B1651))</f>
        <v/>
      </c>
      <c r="B1651" s="37"/>
      <c r="C1651" s="38"/>
      <c r="D1651" s="20"/>
      <c r="E1651" s="36" t="str">
        <f aca="false">IF($D1651="","",IFERROR(INDEX('교육원 ④ 설정'!$A$6:$A$40,MATCH($D1651,'교육원 ④ 설정'!$B$6:$B$40,0)),"※없는 과목"))</f>
        <v/>
      </c>
      <c r="F1651" s="36" t="str">
        <f aca="false">IF($D1651="","",IFERROR(INDEX('교육원 ④ 설정'!$C$6:$C$40,MATCH($D1651,'교육원 ④ 설정'!$B$6:$B$40,0)),""))</f>
        <v/>
      </c>
      <c r="G1651" s="39"/>
      <c r="H1651" s="39"/>
      <c r="I1651" s="40"/>
      <c r="J1651" s="41"/>
      <c r="K1651" s="38"/>
      <c r="L1651" s="42" t="str">
        <f aca="false">IF($B1651="","",IF(AND(N($I1651)=0,N($J1651)=0),"금액이 없습니다",IF(AND($I1651&gt;0,$J1651&gt;0),"수입·지출 둘 다 적혔습니다",IF($C1651="","결제수단을 고르십시오",IF(ISNA(MATCH($C1651,'교육원 ③ 통장·카드'!$A$5:$A$11,0)),"③ 통장·카드에 없는 결제수단입니다",IF($D1651="","계정과목을 고르십시오",IF($E1651="※없는 과목","④ 설정에 없는 과목입니다",IF(AND($E1651="수입",$J1651&gt;0),"수입 과목인데 지출에 적혔습니다",IF(AND(LEFT($E1651,2)&lt;&gt;"수입",$E1651&lt;&gt;"대체",$I1651&gt;0),"지출 과목인데 수입에 적혔습니다",IF($K1651="","증빙을 고르십시오",IF($H1651="","적요를 적으십시오","")))))))))))</f>
        <v/>
      </c>
      <c r="M1651" s="39"/>
      <c r="O1651" s="11" t="str">
        <f aca="false">IF($B1651="","",YEAR($B1651)*100+MONTH($B1651))</f>
        <v/>
      </c>
      <c r="P1651" s="11" t="str">
        <f aca="false">IF($B1651="","",IF($E1651="대체",0,1))</f>
        <v/>
      </c>
    </row>
    <row r="1652" customFormat="false" ht="15" hidden="false" customHeight="false" outlineLevel="0" collapsed="false">
      <c r="A1652" s="36" t="str">
        <f aca="false">IF($B1652="","",COUNT($B$15:$B1652))</f>
        <v/>
      </c>
      <c r="B1652" s="37"/>
      <c r="C1652" s="38"/>
      <c r="D1652" s="20"/>
      <c r="E1652" s="36" t="str">
        <f aca="false">IF($D1652="","",IFERROR(INDEX('교육원 ④ 설정'!$A$6:$A$40,MATCH($D1652,'교육원 ④ 설정'!$B$6:$B$40,0)),"※없는 과목"))</f>
        <v/>
      </c>
      <c r="F1652" s="36" t="str">
        <f aca="false">IF($D1652="","",IFERROR(INDEX('교육원 ④ 설정'!$C$6:$C$40,MATCH($D1652,'교육원 ④ 설정'!$B$6:$B$40,0)),""))</f>
        <v/>
      </c>
      <c r="G1652" s="39"/>
      <c r="H1652" s="39"/>
      <c r="I1652" s="40"/>
      <c r="J1652" s="41"/>
      <c r="K1652" s="38"/>
      <c r="L1652" s="42" t="str">
        <f aca="false">IF($B1652="","",IF(AND(N($I1652)=0,N($J1652)=0),"금액이 없습니다",IF(AND($I1652&gt;0,$J1652&gt;0),"수입·지출 둘 다 적혔습니다",IF($C1652="","결제수단을 고르십시오",IF(ISNA(MATCH($C1652,'교육원 ③ 통장·카드'!$A$5:$A$11,0)),"③ 통장·카드에 없는 결제수단입니다",IF($D1652="","계정과목을 고르십시오",IF($E1652="※없는 과목","④ 설정에 없는 과목입니다",IF(AND($E1652="수입",$J1652&gt;0),"수입 과목인데 지출에 적혔습니다",IF(AND(LEFT($E1652,2)&lt;&gt;"수입",$E1652&lt;&gt;"대체",$I1652&gt;0),"지출 과목인데 수입에 적혔습니다",IF($K1652="","증빙을 고르십시오",IF($H1652="","적요를 적으십시오","")))))))))))</f>
        <v/>
      </c>
      <c r="M1652" s="39"/>
      <c r="O1652" s="11" t="str">
        <f aca="false">IF($B1652="","",YEAR($B1652)*100+MONTH($B1652))</f>
        <v/>
      </c>
      <c r="P1652" s="11" t="str">
        <f aca="false">IF($B1652="","",IF($E1652="대체",0,1))</f>
        <v/>
      </c>
    </row>
    <row r="1653" customFormat="false" ht="15" hidden="false" customHeight="false" outlineLevel="0" collapsed="false">
      <c r="A1653" s="36" t="str">
        <f aca="false">IF($B1653="","",COUNT($B$15:$B1653))</f>
        <v/>
      </c>
      <c r="B1653" s="37"/>
      <c r="C1653" s="38"/>
      <c r="D1653" s="20"/>
      <c r="E1653" s="36" t="str">
        <f aca="false">IF($D1653="","",IFERROR(INDEX('교육원 ④ 설정'!$A$6:$A$40,MATCH($D1653,'교육원 ④ 설정'!$B$6:$B$40,0)),"※없는 과목"))</f>
        <v/>
      </c>
      <c r="F1653" s="36" t="str">
        <f aca="false">IF($D1653="","",IFERROR(INDEX('교육원 ④ 설정'!$C$6:$C$40,MATCH($D1653,'교육원 ④ 설정'!$B$6:$B$40,0)),""))</f>
        <v/>
      </c>
      <c r="G1653" s="39"/>
      <c r="H1653" s="39"/>
      <c r="I1653" s="40"/>
      <c r="J1653" s="41"/>
      <c r="K1653" s="38"/>
      <c r="L1653" s="42" t="str">
        <f aca="false">IF($B1653="","",IF(AND(N($I1653)=0,N($J1653)=0),"금액이 없습니다",IF(AND($I1653&gt;0,$J1653&gt;0),"수입·지출 둘 다 적혔습니다",IF($C1653="","결제수단을 고르십시오",IF(ISNA(MATCH($C1653,'교육원 ③ 통장·카드'!$A$5:$A$11,0)),"③ 통장·카드에 없는 결제수단입니다",IF($D1653="","계정과목을 고르십시오",IF($E1653="※없는 과목","④ 설정에 없는 과목입니다",IF(AND($E1653="수입",$J1653&gt;0),"수입 과목인데 지출에 적혔습니다",IF(AND(LEFT($E1653,2)&lt;&gt;"수입",$E1653&lt;&gt;"대체",$I1653&gt;0),"지출 과목인데 수입에 적혔습니다",IF($K1653="","증빙을 고르십시오",IF($H1653="","적요를 적으십시오","")))))))))))</f>
        <v/>
      </c>
      <c r="M1653" s="39"/>
      <c r="O1653" s="11" t="str">
        <f aca="false">IF($B1653="","",YEAR($B1653)*100+MONTH($B1653))</f>
        <v/>
      </c>
      <c r="P1653" s="11" t="str">
        <f aca="false">IF($B1653="","",IF($E1653="대체",0,1))</f>
        <v/>
      </c>
    </row>
    <row r="1654" customFormat="false" ht="15" hidden="false" customHeight="false" outlineLevel="0" collapsed="false">
      <c r="A1654" s="36" t="str">
        <f aca="false">IF($B1654="","",COUNT($B$15:$B1654))</f>
        <v/>
      </c>
      <c r="B1654" s="37"/>
      <c r="C1654" s="38"/>
      <c r="D1654" s="20"/>
      <c r="E1654" s="36" t="str">
        <f aca="false">IF($D1654="","",IFERROR(INDEX('교육원 ④ 설정'!$A$6:$A$40,MATCH($D1654,'교육원 ④ 설정'!$B$6:$B$40,0)),"※없는 과목"))</f>
        <v/>
      </c>
      <c r="F1654" s="36" t="str">
        <f aca="false">IF($D1654="","",IFERROR(INDEX('교육원 ④ 설정'!$C$6:$C$40,MATCH($D1654,'교육원 ④ 설정'!$B$6:$B$40,0)),""))</f>
        <v/>
      </c>
      <c r="G1654" s="39"/>
      <c r="H1654" s="39"/>
      <c r="I1654" s="40"/>
      <c r="J1654" s="41"/>
      <c r="K1654" s="38"/>
      <c r="L1654" s="42" t="str">
        <f aca="false">IF($B1654="","",IF(AND(N($I1654)=0,N($J1654)=0),"금액이 없습니다",IF(AND($I1654&gt;0,$J1654&gt;0),"수입·지출 둘 다 적혔습니다",IF($C1654="","결제수단을 고르십시오",IF(ISNA(MATCH($C1654,'교육원 ③ 통장·카드'!$A$5:$A$11,0)),"③ 통장·카드에 없는 결제수단입니다",IF($D1654="","계정과목을 고르십시오",IF($E1654="※없는 과목","④ 설정에 없는 과목입니다",IF(AND($E1654="수입",$J1654&gt;0),"수입 과목인데 지출에 적혔습니다",IF(AND(LEFT($E1654,2)&lt;&gt;"수입",$E1654&lt;&gt;"대체",$I1654&gt;0),"지출 과목인데 수입에 적혔습니다",IF($K1654="","증빙을 고르십시오",IF($H1654="","적요를 적으십시오","")))))))))))</f>
        <v/>
      </c>
      <c r="M1654" s="39"/>
      <c r="O1654" s="11" t="str">
        <f aca="false">IF($B1654="","",YEAR($B1654)*100+MONTH($B1654))</f>
        <v/>
      </c>
      <c r="P1654" s="11" t="str">
        <f aca="false">IF($B1654="","",IF($E1654="대체",0,1))</f>
        <v/>
      </c>
    </row>
    <row r="1655" customFormat="false" ht="15" hidden="false" customHeight="false" outlineLevel="0" collapsed="false">
      <c r="A1655" s="36" t="str">
        <f aca="false">IF($B1655="","",COUNT($B$15:$B1655))</f>
        <v/>
      </c>
      <c r="B1655" s="37"/>
      <c r="C1655" s="38"/>
      <c r="D1655" s="20"/>
      <c r="E1655" s="36" t="str">
        <f aca="false">IF($D1655="","",IFERROR(INDEX('교육원 ④ 설정'!$A$6:$A$40,MATCH($D1655,'교육원 ④ 설정'!$B$6:$B$40,0)),"※없는 과목"))</f>
        <v/>
      </c>
      <c r="F1655" s="36" t="str">
        <f aca="false">IF($D1655="","",IFERROR(INDEX('교육원 ④ 설정'!$C$6:$C$40,MATCH($D1655,'교육원 ④ 설정'!$B$6:$B$40,0)),""))</f>
        <v/>
      </c>
      <c r="G1655" s="39"/>
      <c r="H1655" s="39"/>
      <c r="I1655" s="40"/>
      <c r="J1655" s="41"/>
      <c r="K1655" s="38"/>
      <c r="L1655" s="42" t="str">
        <f aca="false">IF($B1655="","",IF(AND(N($I1655)=0,N($J1655)=0),"금액이 없습니다",IF(AND($I1655&gt;0,$J1655&gt;0),"수입·지출 둘 다 적혔습니다",IF($C1655="","결제수단을 고르십시오",IF(ISNA(MATCH($C1655,'교육원 ③ 통장·카드'!$A$5:$A$11,0)),"③ 통장·카드에 없는 결제수단입니다",IF($D1655="","계정과목을 고르십시오",IF($E1655="※없는 과목","④ 설정에 없는 과목입니다",IF(AND($E1655="수입",$J1655&gt;0),"수입 과목인데 지출에 적혔습니다",IF(AND(LEFT($E1655,2)&lt;&gt;"수입",$E1655&lt;&gt;"대체",$I1655&gt;0),"지출 과목인데 수입에 적혔습니다",IF($K1655="","증빙을 고르십시오",IF($H1655="","적요를 적으십시오","")))))))))))</f>
        <v/>
      </c>
      <c r="M1655" s="39"/>
      <c r="O1655" s="11" t="str">
        <f aca="false">IF($B1655="","",YEAR($B1655)*100+MONTH($B1655))</f>
        <v/>
      </c>
      <c r="P1655" s="11" t="str">
        <f aca="false">IF($B1655="","",IF($E1655="대체",0,1))</f>
        <v/>
      </c>
    </row>
    <row r="1656" customFormat="false" ht="15" hidden="false" customHeight="false" outlineLevel="0" collapsed="false">
      <c r="A1656" s="36" t="str">
        <f aca="false">IF($B1656="","",COUNT($B$15:$B1656))</f>
        <v/>
      </c>
      <c r="B1656" s="37"/>
      <c r="C1656" s="38"/>
      <c r="D1656" s="20"/>
      <c r="E1656" s="36" t="str">
        <f aca="false">IF($D1656="","",IFERROR(INDEX('교육원 ④ 설정'!$A$6:$A$40,MATCH($D1656,'교육원 ④ 설정'!$B$6:$B$40,0)),"※없는 과목"))</f>
        <v/>
      </c>
      <c r="F1656" s="36" t="str">
        <f aca="false">IF($D1656="","",IFERROR(INDEX('교육원 ④ 설정'!$C$6:$C$40,MATCH($D1656,'교육원 ④ 설정'!$B$6:$B$40,0)),""))</f>
        <v/>
      </c>
      <c r="G1656" s="39"/>
      <c r="H1656" s="39"/>
      <c r="I1656" s="40"/>
      <c r="J1656" s="41"/>
      <c r="K1656" s="38"/>
      <c r="L1656" s="42" t="str">
        <f aca="false">IF($B1656="","",IF(AND(N($I1656)=0,N($J1656)=0),"금액이 없습니다",IF(AND($I1656&gt;0,$J1656&gt;0),"수입·지출 둘 다 적혔습니다",IF($C1656="","결제수단을 고르십시오",IF(ISNA(MATCH($C1656,'교육원 ③ 통장·카드'!$A$5:$A$11,0)),"③ 통장·카드에 없는 결제수단입니다",IF($D1656="","계정과목을 고르십시오",IF($E1656="※없는 과목","④ 설정에 없는 과목입니다",IF(AND($E1656="수입",$J1656&gt;0),"수입 과목인데 지출에 적혔습니다",IF(AND(LEFT($E1656,2)&lt;&gt;"수입",$E1656&lt;&gt;"대체",$I1656&gt;0),"지출 과목인데 수입에 적혔습니다",IF($K1656="","증빙을 고르십시오",IF($H1656="","적요를 적으십시오","")))))))))))</f>
        <v/>
      </c>
      <c r="M1656" s="39"/>
      <c r="O1656" s="11" t="str">
        <f aca="false">IF($B1656="","",YEAR($B1656)*100+MONTH($B1656))</f>
        <v/>
      </c>
      <c r="P1656" s="11" t="str">
        <f aca="false">IF($B1656="","",IF($E1656="대체",0,1))</f>
        <v/>
      </c>
    </row>
    <row r="1657" customFormat="false" ht="15" hidden="false" customHeight="false" outlineLevel="0" collapsed="false">
      <c r="A1657" s="36" t="str">
        <f aca="false">IF($B1657="","",COUNT($B$15:$B1657))</f>
        <v/>
      </c>
      <c r="B1657" s="37"/>
      <c r="C1657" s="38"/>
      <c r="D1657" s="20"/>
      <c r="E1657" s="36" t="str">
        <f aca="false">IF($D1657="","",IFERROR(INDEX('교육원 ④ 설정'!$A$6:$A$40,MATCH($D1657,'교육원 ④ 설정'!$B$6:$B$40,0)),"※없는 과목"))</f>
        <v/>
      </c>
      <c r="F1657" s="36" t="str">
        <f aca="false">IF($D1657="","",IFERROR(INDEX('교육원 ④ 설정'!$C$6:$C$40,MATCH($D1657,'교육원 ④ 설정'!$B$6:$B$40,0)),""))</f>
        <v/>
      </c>
      <c r="G1657" s="39"/>
      <c r="H1657" s="39"/>
      <c r="I1657" s="40"/>
      <c r="J1657" s="41"/>
      <c r="K1657" s="38"/>
      <c r="L1657" s="42" t="str">
        <f aca="false">IF($B1657="","",IF(AND(N($I1657)=0,N($J1657)=0),"금액이 없습니다",IF(AND($I1657&gt;0,$J1657&gt;0),"수입·지출 둘 다 적혔습니다",IF($C1657="","결제수단을 고르십시오",IF(ISNA(MATCH($C1657,'교육원 ③ 통장·카드'!$A$5:$A$11,0)),"③ 통장·카드에 없는 결제수단입니다",IF($D1657="","계정과목을 고르십시오",IF($E1657="※없는 과목","④ 설정에 없는 과목입니다",IF(AND($E1657="수입",$J1657&gt;0),"수입 과목인데 지출에 적혔습니다",IF(AND(LEFT($E1657,2)&lt;&gt;"수입",$E1657&lt;&gt;"대체",$I1657&gt;0),"지출 과목인데 수입에 적혔습니다",IF($K1657="","증빙을 고르십시오",IF($H1657="","적요를 적으십시오","")))))))))))</f>
        <v/>
      </c>
      <c r="M1657" s="39"/>
      <c r="O1657" s="11" t="str">
        <f aca="false">IF($B1657="","",YEAR($B1657)*100+MONTH($B1657))</f>
        <v/>
      </c>
      <c r="P1657" s="11" t="str">
        <f aca="false">IF($B1657="","",IF($E1657="대체",0,1))</f>
        <v/>
      </c>
    </row>
    <row r="1658" customFormat="false" ht="15" hidden="false" customHeight="false" outlineLevel="0" collapsed="false">
      <c r="A1658" s="36" t="str">
        <f aca="false">IF($B1658="","",COUNT($B$15:$B1658))</f>
        <v/>
      </c>
      <c r="B1658" s="37"/>
      <c r="C1658" s="38"/>
      <c r="D1658" s="20"/>
      <c r="E1658" s="36" t="str">
        <f aca="false">IF($D1658="","",IFERROR(INDEX('교육원 ④ 설정'!$A$6:$A$40,MATCH($D1658,'교육원 ④ 설정'!$B$6:$B$40,0)),"※없는 과목"))</f>
        <v/>
      </c>
      <c r="F1658" s="36" t="str">
        <f aca="false">IF($D1658="","",IFERROR(INDEX('교육원 ④ 설정'!$C$6:$C$40,MATCH($D1658,'교육원 ④ 설정'!$B$6:$B$40,0)),""))</f>
        <v/>
      </c>
      <c r="G1658" s="39"/>
      <c r="H1658" s="39"/>
      <c r="I1658" s="40"/>
      <c r="J1658" s="41"/>
      <c r="K1658" s="38"/>
      <c r="L1658" s="42" t="str">
        <f aca="false">IF($B1658="","",IF(AND(N($I1658)=0,N($J1658)=0),"금액이 없습니다",IF(AND($I1658&gt;0,$J1658&gt;0),"수입·지출 둘 다 적혔습니다",IF($C1658="","결제수단을 고르십시오",IF(ISNA(MATCH($C1658,'교육원 ③ 통장·카드'!$A$5:$A$11,0)),"③ 통장·카드에 없는 결제수단입니다",IF($D1658="","계정과목을 고르십시오",IF($E1658="※없는 과목","④ 설정에 없는 과목입니다",IF(AND($E1658="수입",$J1658&gt;0),"수입 과목인데 지출에 적혔습니다",IF(AND(LEFT($E1658,2)&lt;&gt;"수입",$E1658&lt;&gt;"대체",$I1658&gt;0),"지출 과목인데 수입에 적혔습니다",IF($K1658="","증빙을 고르십시오",IF($H1658="","적요를 적으십시오","")))))))))))</f>
        <v/>
      </c>
      <c r="M1658" s="39"/>
      <c r="O1658" s="11" t="str">
        <f aca="false">IF($B1658="","",YEAR($B1658)*100+MONTH($B1658))</f>
        <v/>
      </c>
      <c r="P1658" s="11" t="str">
        <f aca="false">IF($B1658="","",IF($E1658="대체",0,1))</f>
        <v/>
      </c>
    </row>
    <row r="1659" customFormat="false" ht="15" hidden="false" customHeight="false" outlineLevel="0" collapsed="false">
      <c r="A1659" s="36" t="str">
        <f aca="false">IF($B1659="","",COUNT($B$15:$B1659))</f>
        <v/>
      </c>
      <c r="B1659" s="37"/>
      <c r="C1659" s="38"/>
      <c r="D1659" s="20"/>
      <c r="E1659" s="36" t="str">
        <f aca="false">IF($D1659="","",IFERROR(INDEX('교육원 ④ 설정'!$A$6:$A$40,MATCH($D1659,'교육원 ④ 설정'!$B$6:$B$40,0)),"※없는 과목"))</f>
        <v/>
      </c>
      <c r="F1659" s="36" t="str">
        <f aca="false">IF($D1659="","",IFERROR(INDEX('교육원 ④ 설정'!$C$6:$C$40,MATCH($D1659,'교육원 ④ 설정'!$B$6:$B$40,0)),""))</f>
        <v/>
      </c>
      <c r="G1659" s="39"/>
      <c r="H1659" s="39"/>
      <c r="I1659" s="40"/>
      <c r="J1659" s="41"/>
      <c r="K1659" s="38"/>
      <c r="L1659" s="42" t="str">
        <f aca="false">IF($B1659="","",IF(AND(N($I1659)=0,N($J1659)=0),"금액이 없습니다",IF(AND($I1659&gt;0,$J1659&gt;0),"수입·지출 둘 다 적혔습니다",IF($C1659="","결제수단을 고르십시오",IF(ISNA(MATCH($C1659,'교육원 ③ 통장·카드'!$A$5:$A$11,0)),"③ 통장·카드에 없는 결제수단입니다",IF($D1659="","계정과목을 고르십시오",IF($E1659="※없는 과목","④ 설정에 없는 과목입니다",IF(AND($E1659="수입",$J1659&gt;0),"수입 과목인데 지출에 적혔습니다",IF(AND(LEFT($E1659,2)&lt;&gt;"수입",$E1659&lt;&gt;"대체",$I1659&gt;0),"지출 과목인데 수입에 적혔습니다",IF($K1659="","증빙을 고르십시오",IF($H1659="","적요를 적으십시오","")))))))))))</f>
        <v/>
      </c>
      <c r="M1659" s="39"/>
      <c r="O1659" s="11" t="str">
        <f aca="false">IF($B1659="","",YEAR($B1659)*100+MONTH($B1659))</f>
        <v/>
      </c>
      <c r="P1659" s="11" t="str">
        <f aca="false">IF($B1659="","",IF($E1659="대체",0,1))</f>
        <v/>
      </c>
    </row>
    <row r="1660" customFormat="false" ht="15" hidden="false" customHeight="false" outlineLevel="0" collapsed="false">
      <c r="A1660" s="36" t="str">
        <f aca="false">IF($B1660="","",COUNT($B$15:$B1660))</f>
        <v/>
      </c>
      <c r="B1660" s="37"/>
      <c r="C1660" s="38"/>
      <c r="D1660" s="20"/>
      <c r="E1660" s="36" t="str">
        <f aca="false">IF($D1660="","",IFERROR(INDEX('교육원 ④ 설정'!$A$6:$A$40,MATCH($D1660,'교육원 ④ 설정'!$B$6:$B$40,0)),"※없는 과목"))</f>
        <v/>
      </c>
      <c r="F1660" s="36" t="str">
        <f aca="false">IF($D1660="","",IFERROR(INDEX('교육원 ④ 설정'!$C$6:$C$40,MATCH($D1660,'교육원 ④ 설정'!$B$6:$B$40,0)),""))</f>
        <v/>
      </c>
      <c r="G1660" s="39"/>
      <c r="H1660" s="39"/>
      <c r="I1660" s="40"/>
      <c r="J1660" s="41"/>
      <c r="K1660" s="38"/>
      <c r="L1660" s="42" t="str">
        <f aca="false">IF($B1660="","",IF(AND(N($I1660)=0,N($J1660)=0),"금액이 없습니다",IF(AND($I1660&gt;0,$J1660&gt;0),"수입·지출 둘 다 적혔습니다",IF($C1660="","결제수단을 고르십시오",IF(ISNA(MATCH($C1660,'교육원 ③ 통장·카드'!$A$5:$A$11,0)),"③ 통장·카드에 없는 결제수단입니다",IF($D1660="","계정과목을 고르십시오",IF($E1660="※없는 과목","④ 설정에 없는 과목입니다",IF(AND($E1660="수입",$J1660&gt;0),"수입 과목인데 지출에 적혔습니다",IF(AND(LEFT($E1660,2)&lt;&gt;"수입",$E1660&lt;&gt;"대체",$I1660&gt;0),"지출 과목인데 수입에 적혔습니다",IF($K1660="","증빙을 고르십시오",IF($H1660="","적요를 적으십시오","")))))))))))</f>
        <v/>
      </c>
      <c r="M1660" s="39"/>
      <c r="O1660" s="11" t="str">
        <f aca="false">IF($B1660="","",YEAR($B1660)*100+MONTH($B1660))</f>
        <v/>
      </c>
      <c r="P1660" s="11" t="str">
        <f aca="false">IF($B1660="","",IF($E1660="대체",0,1))</f>
        <v/>
      </c>
    </row>
    <row r="1661" customFormat="false" ht="15" hidden="false" customHeight="false" outlineLevel="0" collapsed="false">
      <c r="A1661" s="36" t="str">
        <f aca="false">IF($B1661="","",COUNT($B$15:$B1661))</f>
        <v/>
      </c>
      <c r="B1661" s="37"/>
      <c r="C1661" s="38"/>
      <c r="D1661" s="20"/>
      <c r="E1661" s="36" t="str">
        <f aca="false">IF($D1661="","",IFERROR(INDEX('교육원 ④ 설정'!$A$6:$A$40,MATCH($D1661,'교육원 ④ 설정'!$B$6:$B$40,0)),"※없는 과목"))</f>
        <v/>
      </c>
      <c r="F1661" s="36" t="str">
        <f aca="false">IF($D1661="","",IFERROR(INDEX('교육원 ④ 설정'!$C$6:$C$40,MATCH($D1661,'교육원 ④ 설정'!$B$6:$B$40,0)),""))</f>
        <v/>
      </c>
      <c r="G1661" s="39"/>
      <c r="H1661" s="39"/>
      <c r="I1661" s="40"/>
      <c r="J1661" s="41"/>
      <c r="K1661" s="38"/>
      <c r="L1661" s="42" t="str">
        <f aca="false">IF($B1661="","",IF(AND(N($I1661)=0,N($J1661)=0),"금액이 없습니다",IF(AND($I1661&gt;0,$J1661&gt;0),"수입·지출 둘 다 적혔습니다",IF($C1661="","결제수단을 고르십시오",IF(ISNA(MATCH($C1661,'교육원 ③ 통장·카드'!$A$5:$A$11,0)),"③ 통장·카드에 없는 결제수단입니다",IF($D1661="","계정과목을 고르십시오",IF($E1661="※없는 과목","④ 설정에 없는 과목입니다",IF(AND($E1661="수입",$J1661&gt;0),"수입 과목인데 지출에 적혔습니다",IF(AND(LEFT($E1661,2)&lt;&gt;"수입",$E1661&lt;&gt;"대체",$I1661&gt;0),"지출 과목인데 수입에 적혔습니다",IF($K1661="","증빙을 고르십시오",IF($H1661="","적요를 적으십시오","")))))))))))</f>
        <v/>
      </c>
      <c r="M1661" s="39"/>
      <c r="O1661" s="11" t="str">
        <f aca="false">IF($B1661="","",YEAR($B1661)*100+MONTH($B1661))</f>
        <v/>
      </c>
      <c r="P1661" s="11" t="str">
        <f aca="false">IF($B1661="","",IF($E1661="대체",0,1))</f>
        <v/>
      </c>
    </row>
    <row r="1662" customFormat="false" ht="15" hidden="false" customHeight="false" outlineLevel="0" collapsed="false">
      <c r="A1662" s="36" t="str">
        <f aca="false">IF($B1662="","",COUNT($B$15:$B1662))</f>
        <v/>
      </c>
      <c r="B1662" s="37"/>
      <c r="C1662" s="38"/>
      <c r="D1662" s="20"/>
      <c r="E1662" s="36" t="str">
        <f aca="false">IF($D1662="","",IFERROR(INDEX('교육원 ④ 설정'!$A$6:$A$40,MATCH($D1662,'교육원 ④ 설정'!$B$6:$B$40,0)),"※없는 과목"))</f>
        <v/>
      </c>
      <c r="F1662" s="36" t="str">
        <f aca="false">IF($D1662="","",IFERROR(INDEX('교육원 ④ 설정'!$C$6:$C$40,MATCH($D1662,'교육원 ④ 설정'!$B$6:$B$40,0)),""))</f>
        <v/>
      </c>
      <c r="G1662" s="39"/>
      <c r="H1662" s="39"/>
      <c r="I1662" s="40"/>
      <c r="J1662" s="41"/>
      <c r="K1662" s="38"/>
      <c r="L1662" s="42" t="str">
        <f aca="false">IF($B1662="","",IF(AND(N($I1662)=0,N($J1662)=0),"금액이 없습니다",IF(AND($I1662&gt;0,$J1662&gt;0),"수입·지출 둘 다 적혔습니다",IF($C1662="","결제수단을 고르십시오",IF(ISNA(MATCH($C1662,'교육원 ③ 통장·카드'!$A$5:$A$11,0)),"③ 통장·카드에 없는 결제수단입니다",IF($D1662="","계정과목을 고르십시오",IF($E1662="※없는 과목","④ 설정에 없는 과목입니다",IF(AND($E1662="수입",$J1662&gt;0),"수입 과목인데 지출에 적혔습니다",IF(AND(LEFT($E1662,2)&lt;&gt;"수입",$E1662&lt;&gt;"대체",$I1662&gt;0),"지출 과목인데 수입에 적혔습니다",IF($K1662="","증빙을 고르십시오",IF($H1662="","적요를 적으십시오","")))))))))))</f>
        <v/>
      </c>
      <c r="M1662" s="39"/>
      <c r="O1662" s="11" t="str">
        <f aca="false">IF($B1662="","",YEAR($B1662)*100+MONTH($B1662))</f>
        <v/>
      </c>
      <c r="P1662" s="11" t="str">
        <f aca="false">IF($B1662="","",IF($E1662="대체",0,1))</f>
        <v/>
      </c>
    </row>
    <row r="1663" customFormat="false" ht="15" hidden="false" customHeight="false" outlineLevel="0" collapsed="false">
      <c r="A1663" s="36" t="str">
        <f aca="false">IF($B1663="","",COUNT($B$15:$B1663))</f>
        <v/>
      </c>
      <c r="B1663" s="37"/>
      <c r="C1663" s="38"/>
      <c r="D1663" s="20"/>
      <c r="E1663" s="36" t="str">
        <f aca="false">IF($D1663="","",IFERROR(INDEX('교육원 ④ 설정'!$A$6:$A$40,MATCH($D1663,'교육원 ④ 설정'!$B$6:$B$40,0)),"※없는 과목"))</f>
        <v/>
      </c>
      <c r="F1663" s="36" t="str">
        <f aca="false">IF($D1663="","",IFERROR(INDEX('교육원 ④ 설정'!$C$6:$C$40,MATCH($D1663,'교육원 ④ 설정'!$B$6:$B$40,0)),""))</f>
        <v/>
      </c>
      <c r="G1663" s="39"/>
      <c r="H1663" s="39"/>
      <c r="I1663" s="40"/>
      <c r="J1663" s="41"/>
      <c r="K1663" s="38"/>
      <c r="L1663" s="42" t="str">
        <f aca="false">IF($B1663="","",IF(AND(N($I1663)=0,N($J1663)=0),"금액이 없습니다",IF(AND($I1663&gt;0,$J1663&gt;0),"수입·지출 둘 다 적혔습니다",IF($C1663="","결제수단을 고르십시오",IF(ISNA(MATCH($C1663,'교육원 ③ 통장·카드'!$A$5:$A$11,0)),"③ 통장·카드에 없는 결제수단입니다",IF($D1663="","계정과목을 고르십시오",IF($E1663="※없는 과목","④ 설정에 없는 과목입니다",IF(AND($E1663="수입",$J1663&gt;0),"수입 과목인데 지출에 적혔습니다",IF(AND(LEFT($E1663,2)&lt;&gt;"수입",$E1663&lt;&gt;"대체",$I1663&gt;0),"지출 과목인데 수입에 적혔습니다",IF($K1663="","증빙을 고르십시오",IF($H1663="","적요를 적으십시오","")))))))))))</f>
        <v/>
      </c>
      <c r="M1663" s="39"/>
      <c r="O1663" s="11" t="str">
        <f aca="false">IF($B1663="","",YEAR($B1663)*100+MONTH($B1663))</f>
        <v/>
      </c>
      <c r="P1663" s="11" t="str">
        <f aca="false">IF($B1663="","",IF($E1663="대체",0,1))</f>
        <v/>
      </c>
    </row>
    <row r="1664" customFormat="false" ht="15" hidden="false" customHeight="false" outlineLevel="0" collapsed="false">
      <c r="A1664" s="36" t="str">
        <f aca="false">IF($B1664="","",COUNT($B$15:$B1664))</f>
        <v/>
      </c>
      <c r="B1664" s="37"/>
      <c r="C1664" s="38"/>
      <c r="D1664" s="20"/>
      <c r="E1664" s="36" t="str">
        <f aca="false">IF($D1664="","",IFERROR(INDEX('교육원 ④ 설정'!$A$6:$A$40,MATCH($D1664,'교육원 ④ 설정'!$B$6:$B$40,0)),"※없는 과목"))</f>
        <v/>
      </c>
      <c r="F1664" s="36" t="str">
        <f aca="false">IF($D1664="","",IFERROR(INDEX('교육원 ④ 설정'!$C$6:$C$40,MATCH($D1664,'교육원 ④ 설정'!$B$6:$B$40,0)),""))</f>
        <v/>
      </c>
      <c r="G1664" s="39"/>
      <c r="H1664" s="39"/>
      <c r="I1664" s="40"/>
      <c r="J1664" s="41"/>
      <c r="K1664" s="38"/>
      <c r="L1664" s="42" t="str">
        <f aca="false">IF($B1664="","",IF(AND(N($I1664)=0,N($J1664)=0),"금액이 없습니다",IF(AND($I1664&gt;0,$J1664&gt;0),"수입·지출 둘 다 적혔습니다",IF($C1664="","결제수단을 고르십시오",IF(ISNA(MATCH($C1664,'교육원 ③ 통장·카드'!$A$5:$A$11,0)),"③ 통장·카드에 없는 결제수단입니다",IF($D1664="","계정과목을 고르십시오",IF($E1664="※없는 과목","④ 설정에 없는 과목입니다",IF(AND($E1664="수입",$J1664&gt;0),"수입 과목인데 지출에 적혔습니다",IF(AND(LEFT($E1664,2)&lt;&gt;"수입",$E1664&lt;&gt;"대체",$I1664&gt;0),"지출 과목인데 수입에 적혔습니다",IF($K1664="","증빙을 고르십시오",IF($H1664="","적요를 적으십시오","")))))))))))</f>
        <v/>
      </c>
      <c r="M1664" s="39"/>
      <c r="O1664" s="11" t="str">
        <f aca="false">IF($B1664="","",YEAR($B1664)*100+MONTH($B1664))</f>
        <v/>
      </c>
      <c r="P1664" s="11" t="str">
        <f aca="false">IF($B1664="","",IF($E1664="대체",0,1))</f>
        <v/>
      </c>
    </row>
    <row r="1665" customFormat="false" ht="15" hidden="false" customHeight="false" outlineLevel="0" collapsed="false">
      <c r="A1665" s="36" t="str">
        <f aca="false">IF($B1665="","",COUNT($B$15:$B1665))</f>
        <v/>
      </c>
      <c r="B1665" s="37"/>
      <c r="C1665" s="38"/>
      <c r="D1665" s="20"/>
      <c r="E1665" s="36" t="str">
        <f aca="false">IF($D1665="","",IFERROR(INDEX('교육원 ④ 설정'!$A$6:$A$40,MATCH($D1665,'교육원 ④ 설정'!$B$6:$B$40,0)),"※없는 과목"))</f>
        <v/>
      </c>
      <c r="F1665" s="36" t="str">
        <f aca="false">IF($D1665="","",IFERROR(INDEX('교육원 ④ 설정'!$C$6:$C$40,MATCH($D1665,'교육원 ④ 설정'!$B$6:$B$40,0)),""))</f>
        <v/>
      </c>
      <c r="G1665" s="39"/>
      <c r="H1665" s="39"/>
      <c r="I1665" s="40"/>
      <c r="J1665" s="41"/>
      <c r="K1665" s="38"/>
      <c r="L1665" s="42" t="str">
        <f aca="false">IF($B1665="","",IF(AND(N($I1665)=0,N($J1665)=0),"금액이 없습니다",IF(AND($I1665&gt;0,$J1665&gt;0),"수입·지출 둘 다 적혔습니다",IF($C1665="","결제수단을 고르십시오",IF(ISNA(MATCH($C1665,'교육원 ③ 통장·카드'!$A$5:$A$11,0)),"③ 통장·카드에 없는 결제수단입니다",IF($D1665="","계정과목을 고르십시오",IF($E1665="※없는 과목","④ 설정에 없는 과목입니다",IF(AND($E1665="수입",$J1665&gt;0),"수입 과목인데 지출에 적혔습니다",IF(AND(LEFT($E1665,2)&lt;&gt;"수입",$E1665&lt;&gt;"대체",$I1665&gt;0),"지출 과목인데 수입에 적혔습니다",IF($K1665="","증빙을 고르십시오",IF($H1665="","적요를 적으십시오","")))))))))))</f>
        <v/>
      </c>
      <c r="M1665" s="39"/>
      <c r="O1665" s="11" t="str">
        <f aca="false">IF($B1665="","",YEAR($B1665)*100+MONTH($B1665))</f>
        <v/>
      </c>
      <c r="P1665" s="11" t="str">
        <f aca="false">IF($B1665="","",IF($E1665="대체",0,1))</f>
        <v/>
      </c>
    </row>
    <row r="1666" customFormat="false" ht="15" hidden="false" customHeight="false" outlineLevel="0" collapsed="false">
      <c r="A1666" s="36" t="str">
        <f aca="false">IF($B1666="","",COUNT($B$15:$B1666))</f>
        <v/>
      </c>
      <c r="B1666" s="37"/>
      <c r="C1666" s="38"/>
      <c r="D1666" s="20"/>
      <c r="E1666" s="36" t="str">
        <f aca="false">IF($D1666="","",IFERROR(INDEX('교육원 ④ 설정'!$A$6:$A$40,MATCH($D1666,'교육원 ④ 설정'!$B$6:$B$40,0)),"※없는 과목"))</f>
        <v/>
      </c>
      <c r="F1666" s="36" t="str">
        <f aca="false">IF($D1666="","",IFERROR(INDEX('교육원 ④ 설정'!$C$6:$C$40,MATCH($D1666,'교육원 ④ 설정'!$B$6:$B$40,0)),""))</f>
        <v/>
      </c>
      <c r="G1666" s="39"/>
      <c r="H1666" s="39"/>
      <c r="I1666" s="40"/>
      <c r="J1666" s="41"/>
      <c r="K1666" s="38"/>
      <c r="L1666" s="42" t="str">
        <f aca="false">IF($B1666="","",IF(AND(N($I1666)=0,N($J1666)=0),"금액이 없습니다",IF(AND($I1666&gt;0,$J1666&gt;0),"수입·지출 둘 다 적혔습니다",IF($C1666="","결제수단을 고르십시오",IF(ISNA(MATCH($C1666,'교육원 ③ 통장·카드'!$A$5:$A$11,0)),"③ 통장·카드에 없는 결제수단입니다",IF($D1666="","계정과목을 고르십시오",IF($E1666="※없는 과목","④ 설정에 없는 과목입니다",IF(AND($E1666="수입",$J1666&gt;0),"수입 과목인데 지출에 적혔습니다",IF(AND(LEFT($E1666,2)&lt;&gt;"수입",$E1666&lt;&gt;"대체",$I1666&gt;0),"지출 과목인데 수입에 적혔습니다",IF($K1666="","증빙을 고르십시오",IF($H1666="","적요를 적으십시오","")))))))))))</f>
        <v/>
      </c>
      <c r="M1666" s="39"/>
      <c r="O1666" s="11" t="str">
        <f aca="false">IF($B1666="","",YEAR($B1666)*100+MONTH($B1666))</f>
        <v/>
      </c>
      <c r="P1666" s="11" t="str">
        <f aca="false">IF($B1666="","",IF($E1666="대체",0,1))</f>
        <v/>
      </c>
    </row>
    <row r="1667" customFormat="false" ht="15" hidden="false" customHeight="false" outlineLevel="0" collapsed="false">
      <c r="A1667" s="36" t="str">
        <f aca="false">IF($B1667="","",COUNT($B$15:$B1667))</f>
        <v/>
      </c>
      <c r="B1667" s="37"/>
      <c r="C1667" s="38"/>
      <c r="D1667" s="20"/>
      <c r="E1667" s="36" t="str">
        <f aca="false">IF($D1667="","",IFERROR(INDEX('교육원 ④ 설정'!$A$6:$A$40,MATCH($D1667,'교육원 ④ 설정'!$B$6:$B$40,0)),"※없는 과목"))</f>
        <v/>
      </c>
      <c r="F1667" s="36" t="str">
        <f aca="false">IF($D1667="","",IFERROR(INDEX('교육원 ④ 설정'!$C$6:$C$40,MATCH($D1667,'교육원 ④ 설정'!$B$6:$B$40,0)),""))</f>
        <v/>
      </c>
      <c r="G1667" s="39"/>
      <c r="H1667" s="39"/>
      <c r="I1667" s="40"/>
      <c r="J1667" s="41"/>
      <c r="K1667" s="38"/>
      <c r="L1667" s="42" t="str">
        <f aca="false">IF($B1667="","",IF(AND(N($I1667)=0,N($J1667)=0),"금액이 없습니다",IF(AND($I1667&gt;0,$J1667&gt;0),"수입·지출 둘 다 적혔습니다",IF($C1667="","결제수단을 고르십시오",IF(ISNA(MATCH($C1667,'교육원 ③ 통장·카드'!$A$5:$A$11,0)),"③ 통장·카드에 없는 결제수단입니다",IF($D1667="","계정과목을 고르십시오",IF($E1667="※없는 과목","④ 설정에 없는 과목입니다",IF(AND($E1667="수입",$J1667&gt;0),"수입 과목인데 지출에 적혔습니다",IF(AND(LEFT($E1667,2)&lt;&gt;"수입",$E1667&lt;&gt;"대체",$I1667&gt;0),"지출 과목인데 수입에 적혔습니다",IF($K1667="","증빙을 고르십시오",IF($H1667="","적요를 적으십시오","")))))))))))</f>
        <v/>
      </c>
      <c r="M1667" s="39"/>
      <c r="O1667" s="11" t="str">
        <f aca="false">IF($B1667="","",YEAR($B1667)*100+MONTH($B1667))</f>
        <v/>
      </c>
      <c r="P1667" s="11" t="str">
        <f aca="false">IF($B1667="","",IF($E1667="대체",0,1))</f>
        <v/>
      </c>
    </row>
    <row r="1668" customFormat="false" ht="15" hidden="false" customHeight="false" outlineLevel="0" collapsed="false">
      <c r="A1668" s="36" t="str">
        <f aca="false">IF($B1668="","",COUNT($B$15:$B1668))</f>
        <v/>
      </c>
      <c r="B1668" s="37"/>
      <c r="C1668" s="38"/>
      <c r="D1668" s="20"/>
      <c r="E1668" s="36" t="str">
        <f aca="false">IF($D1668="","",IFERROR(INDEX('교육원 ④ 설정'!$A$6:$A$40,MATCH($D1668,'교육원 ④ 설정'!$B$6:$B$40,0)),"※없는 과목"))</f>
        <v/>
      </c>
      <c r="F1668" s="36" t="str">
        <f aca="false">IF($D1668="","",IFERROR(INDEX('교육원 ④ 설정'!$C$6:$C$40,MATCH($D1668,'교육원 ④ 설정'!$B$6:$B$40,0)),""))</f>
        <v/>
      </c>
      <c r="G1668" s="39"/>
      <c r="H1668" s="39"/>
      <c r="I1668" s="40"/>
      <c r="J1668" s="41"/>
      <c r="K1668" s="38"/>
      <c r="L1668" s="42" t="str">
        <f aca="false">IF($B1668="","",IF(AND(N($I1668)=0,N($J1668)=0),"금액이 없습니다",IF(AND($I1668&gt;0,$J1668&gt;0),"수입·지출 둘 다 적혔습니다",IF($C1668="","결제수단을 고르십시오",IF(ISNA(MATCH($C1668,'교육원 ③ 통장·카드'!$A$5:$A$11,0)),"③ 통장·카드에 없는 결제수단입니다",IF($D1668="","계정과목을 고르십시오",IF($E1668="※없는 과목","④ 설정에 없는 과목입니다",IF(AND($E1668="수입",$J1668&gt;0),"수입 과목인데 지출에 적혔습니다",IF(AND(LEFT($E1668,2)&lt;&gt;"수입",$E1668&lt;&gt;"대체",$I1668&gt;0),"지출 과목인데 수입에 적혔습니다",IF($K1668="","증빙을 고르십시오",IF($H1668="","적요를 적으십시오","")))))))))))</f>
        <v/>
      </c>
      <c r="M1668" s="39"/>
      <c r="O1668" s="11" t="str">
        <f aca="false">IF($B1668="","",YEAR($B1668)*100+MONTH($B1668))</f>
        <v/>
      </c>
      <c r="P1668" s="11" t="str">
        <f aca="false">IF($B1668="","",IF($E1668="대체",0,1))</f>
        <v/>
      </c>
    </row>
    <row r="1669" customFormat="false" ht="15" hidden="false" customHeight="false" outlineLevel="0" collapsed="false">
      <c r="A1669" s="36" t="str">
        <f aca="false">IF($B1669="","",COUNT($B$15:$B1669))</f>
        <v/>
      </c>
      <c r="B1669" s="37"/>
      <c r="C1669" s="38"/>
      <c r="D1669" s="20"/>
      <c r="E1669" s="36" t="str">
        <f aca="false">IF($D1669="","",IFERROR(INDEX('교육원 ④ 설정'!$A$6:$A$40,MATCH($D1669,'교육원 ④ 설정'!$B$6:$B$40,0)),"※없는 과목"))</f>
        <v/>
      </c>
      <c r="F1669" s="36" t="str">
        <f aca="false">IF($D1669="","",IFERROR(INDEX('교육원 ④ 설정'!$C$6:$C$40,MATCH($D1669,'교육원 ④ 설정'!$B$6:$B$40,0)),""))</f>
        <v/>
      </c>
      <c r="G1669" s="39"/>
      <c r="H1669" s="39"/>
      <c r="I1669" s="40"/>
      <c r="J1669" s="41"/>
      <c r="K1669" s="38"/>
      <c r="L1669" s="42" t="str">
        <f aca="false">IF($B1669="","",IF(AND(N($I1669)=0,N($J1669)=0),"금액이 없습니다",IF(AND($I1669&gt;0,$J1669&gt;0),"수입·지출 둘 다 적혔습니다",IF($C1669="","결제수단을 고르십시오",IF(ISNA(MATCH($C1669,'교육원 ③ 통장·카드'!$A$5:$A$11,0)),"③ 통장·카드에 없는 결제수단입니다",IF($D1669="","계정과목을 고르십시오",IF($E1669="※없는 과목","④ 설정에 없는 과목입니다",IF(AND($E1669="수입",$J1669&gt;0),"수입 과목인데 지출에 적혔습니다",IF(AND(LEFT($E1669,2)&lt;&gt;"수입",$E1669&lt;&gt;"대체",$I1669&gt;0),"지출 과목인데 수입에 적혔습니다",IF($K1669="","증빙을 고르십시오",IF($H1669="","적요를 적으십시오","")))))))))))</f>
        <v/>
      </c>
      <c r="M1669" s="39"/>
      <c r="O1669" s="11" t="str">
        <f aca="false">IF($B1669="","",YEAR($B1669)*100+MONTH($B1669))</f>
        <v/>
      </c>
      <c r="P1669" s="11" t="str">
        <f aca="false">IF($B1669="","",IF($E1669="대체",0,1))</f>
        <v/>
      </c>
    </row>
    <row r="1670" customFormat="false" ht="15" hidden="false" customHeight="false" outlineLevel="0" collapsed="false">
      <c r="A1670" s="36" t="str">
        <f aca="false">IF($B1670="","",COUNT($B$15:$B1670))</f>
        <v/>
      </c>
      <c r="B1670" s="37"/>
      <c r="C1670" s="38"/>
      <c r="D1670" s="20"/>
      <c r="E1670" s="36" t="str">
        <f aca="false">IF($D1670="","",IFERROR(INDEX('교육원 ④ 설정'!$A$6:$A$40,MATCH($D1670,'교육원 ④ 설정'!$B$6:$B$40,0)),"※없는 과목"))</f>
        <v/>
      </c>
      <c r="F1670" s="36" t="str">
        <f aca="false">IF($D1670="","",IFERROR(INDEX('교육원 ④ 설정'!$C$6:$C$40,MATCH($D1670,'교육원 ④ 설정'!$B$6:$B$40,0)),""))</f>
        <v/>
      </c>
      <c r="G1670" s="39"/>
      <c r="H1670" s="39"/>
      <c r="I1670" s="40"/>
      <c r="J1670" s="41"/>
      <c r="K1670" s="38"/>
      <c r="L1670" s="42" t="str">
        <f aca="false">IF($B1670="","",IF(AND(N($I1670)=0,N($J1670)=0),"금액이 없습니다",IF(AND($I1670&gt;0,$J1670&gt;0),"수입·지출 둘 다 적혔습니다",IF($C1670="","결제수단을 고르십시오",IF(ISNA(MATCH($C1670,'교육원 ③ 통장·카드'!$A$5:$A$11,0)),"③ 통장·카드에 없는 결제수단입니다",IF($D1670="","계정과목을 고르십시오",IF($E1670="※없는 과목","④ 설정에 없는 과목입니다",IF(AND($E1670="수입",$J1670&gt;0),"수입 과목인데 지출에 적혔습니다",IF(AND(LEFT($E1670,2)&lt;&gt;"수입",$E1670&lt;&gt;"대체",$I1670&gt;0),"지출 과목인데 수입에 적혔습니다",IF($K1670="","증빙을 고르십시오",IF($H1670="","적요를 적으십시오","")))))))))))</f>
        <v/>
      </c>
      <c r="M1670" s="39"/>
      <c r="O1670" s="11" t="str">
        <f aca="false">IF($B1670="","",YEAR($B1670)*100+MONTH($B1670))</f>
        <v/>
      </c>
      <c r="P1670" s="11" t="str">
        <f aca="false">IF($B1670="","",IF($E1670="대체",0,1))</f>
        <v/>
      </c>
    </row>
    <row r="1671" customFormat="false" ht="15" hidden="false" customHeight="false" outlineLevel="0" collapsed="false">
      <c r="A1671" s="36" t="str">
        <f aca="false">IF($B1671="","",COUNT($B$15:$B1671))</f>
        <v/>
      </c>
      <c r="B1671" s="37"/>
      <c r="C1671" s="38"/>
      <c r="D1671" s="20"/>
      <c r="E1671" s="36" t="str">
        <f aca="false">IF($D1671="","",IFERROR(INDEX('교육원 ④ 설정'!$A$6:$A$40,MATCH($D1671,'교육원 ④ 설정'!$B$6:$B$40,0)),"※없는 과목"))</f>
        <v/>
      </c>
      <c r="F1671" s="36" t="str">
        <f aca="false">IF($D1671="","",IFERROR(INDEX('교육원 ④ 설정'!$C$6:$C$40,MATCH($D1671,'교육원 ④ 설정'!$B$6:$B$40,0)),""))</f>
        <v/>
      </c>
      <c r="G1671" s="39"/>
      <c r="H1671" s="39"/>
      <c r="I1671" s="40"/>
      <c r="J1671" s="41"/>
      <c r="K1671" s="38"/>
      <c r="L1671" s="42" t="str">
        <f aca="false">IF($B1671="","",IF(AND(N($I1671)=0,N($J1671)=0),"금액이 없습니다",IF(AND($I1671&gt;0,$J1671&gt;0),"수입·지출 둘 다 적혔습니다",IF($C1671="","결제수단을 고르십시오",IF(ISNA(MATCH($C1671,'교육원 ③ 통장·카드'!$A$5:$A$11,0)),"③ 통장·카드에 없는 결제수단입니다",IF($D1671="","계정과목을 고르십시오",IF($E1671="※없는 과목","④ 설정에 없는 과목입니다",IF(AND($E1671="수입",$J1671&gt;0),"수입 과목인데 지출에 적혔습니다",IF(AND(LEFT($E1671,2)&lt;&gt;"수입",$E1671&lt;&gt;"대체",$I1671&gt;0),"지출 과목인데 수입에 적혔습니다",IF($K1671="","증빙을 고르십시오",IF($H1671="","적요를 적으십시오","")))))))))))</f>
        <v/>
      </c>
      <c r="M1671" s="39"/>
      <c r="O1671" s="11" t="str">
        <f aca="false">IF($B1671="","",YEAR($B1671)*100+MONTH($B1671))</f>
        <v/>
      </c>
      <c r="P1671" s="11" t="str">
        <f aca="false">IF($B1671="","",IF($E1671="대체",0,1))</f>
        <v/>
      </c>
    </row>
    <row r="1672" customFormat="false" ht="15" hidden="false" customHeight="false" outlineLevel="0" collapsed="false">
      <c r="A1672" s="36" t="str">
        <f aca="false">IF($B1672="","",COUNT($B$15:$B1672))</f>
        <v/>
      </c>
      <c r="B1672" s="37"/>
      <c r="C1672" s="38"/>
      <c r="D1672" s="20"/>
      <c r="E1672" s="36" t="str">
        <f aca="false">IF($D1672="","",IFERROR(INDEX('교육원 ④ 설정'!$A$6:$A$40,MATCH($D1672,'교육원 ④ 설정'!$B$6:$B$40,0)),"※없는 과목"))</f>
        <v/>
      </c>
      <c r="F1672" s="36" t="str">
        <f aca="false">IF($D1672="","",IFERROR(INDEX('교육원 ④ 설정'!$C$6:$C$40,MATCH($D1672,'교육원 ④ 설정'!$B$6:$B$40,0)),""))</f>
        <v/>
      </c>
      <c r="G1672" s="39"/>
      <c r="H1672" s="39"/>
      <c r="I1672" s="40"/>
      <c r="J1672" s="41"/>
      <c r="K1672" s="38"/>
      <c r="L1672" s="42" t="str">
        <f aca="false">IF($B1672="","",IF(AND(N($I1672)=0,N($J1672)=0),"금액이 없습니다",IF(AND($I1672&gt;0,$J1672&gt;0),"수입·지출 둘 다 적혔습니다",IF($C1672="","결제수단을 고르십시오",IF(ISNA(MATCH($C1672,'교육원 ③ 통장·카드'!$A$5:$A$11,0)),"③ 통장·카드에 없는 결제수단입니다",IF($D1672="","계정과목을 고르십시오",IF($E1672="※없는 과목","④ 설정에 없는 과목입니다",IF(AND($E1672="수입",$J1672&gt;0),"수입 과목인데 지출에 적혔습니다",IF(AND(LEFT($E1672,2)&lt;&gt;"수입",$E1672&lt;&gt;"대체",$I1672&gt;0),"지출 과목인데 수입에 적혔습니다",IF($K1672="","증빙을 고르십시오",IF($H1672="","적요를 적으십시오","")))))))))))</f>
        <v/>
      </c>
      <c r="M1672" s="39"/>
      <c r="O1672" s="11" t="str">
        <f aca="false">IF($B1672="","",YEAR($B1672)*100+MONTH($B1672))</f>
        <v/>
      </c>
      <c r="P1672" s="11" t="str">
        <f aca="false">IF($B1672="","",IF($E1672="대체",0,1))</f>
        <v/>
      </c>
    </row>
    <row r="1673" customFormat="false" ht="15" hidden="false" customHeight="false" outlineLevel="0" collapsed="false">
      <c r="A1673" s="36" t="str">
        <f aca="false">IF($B1673="","",COUNT($B$15:$B1673))</f>
        <v/>
      </c>
      <c r="B1673" s="37"/>
      <c r="C1673" s="38"/>
      <c r="D1673" s="20"/>
      <c r="E1673" s="36" t="str">
        <f aca="false">IF($D1673="","",IFERROR(INDEX('교육원 ④ 설정'!$A$6:$A$40,MATCH($D1673,'교육원 ④ 설정'!$B$6:$B$40,0)),"※없는 과목"))</f>
        <v/>
      </c>
      <c r="F1673" s="36" t="str">
        <f aca="false">IF($D1673="","",IFERROR(INDEX('교육원 ④ 설정'!$C$6:$C$40,MATCH($D1673,'교육원 ④ 설정'!$B$6:$B$40,0)),""))</f>
        <v/>
      </c>
      <c r="G1673" s="39"/>
      <c r="H1673" s="39"/>
      <c r="I1673" s="40"/>
      <c r="J1673" s="41"/>
      <c r="K1673" s="38"/>
      <c r="L1673" s="42" t="str">
        <f aca="false">IF($B1673="","",IF(AND(N($I1673)=0,N($J1673)=0),"금액이 없습니다",IF(AND($I1673&gt;0,$J1673&gt;0),"수입·지출 둘 다 적혔습니다",IF($C1673="","결제수단을 고르십시오",IF(ISNA(MATCH($C1673,'교육원 ③ 통장·카드'!$A$5:$A$11,0)),"③ 통장·카드에 없는 결제수단입니다",IF($D1673="","계정과목을 고르십시오",IF($E1673="※없는 과목","④ 설정에 없는 과목입니다",IF(AND($E1673="수입",$J1673&gt;0),"수입 과목인데 지출에 적혔습니다",IF(AND(LEFT($E1673,2)&lt;&gt;"수입",$E1673&lt;&gt;"대체",$I1673&gt;0),"지출 과목인데 수입에 적혔습니다",IF($K1673="","증빙을 고르십시오",IF($H1673="","적요를 적으십시오","")))))))))))</f>
        <v/>
      </c>
      <c r="M1673" s="39"/>
      <c r="O1673" s="11" t="str">
        <f aca="false">IF($B1673="","",YEAR($B1673)*100+MONTH($B1673))</f>
        <v/>
      </c>
      <c r="P1673" s="11" t="str">
        <f aca="false">IF($B1673="","",IF($E1673="대체",0,1))</f>
        <v/>
      </c>
    </row>
    <row r="1674" customFormat="false" ht="15" hidden="false" customHeight="false" outlineLevel="0" collapsed="false">
      <c r="A1674" s="36" t="str">
        <f aca="false">IF($B1674="","",COUNT($B$15:$B1674))</f>
        <v/>
      </c>
      <c r="B1674" s="37"/>
      <c r="C1674" s="38"/>
      <c r="D1674" s="20"/>
      <c r="E1674" s="36" t="str">
        <f aca="false">IF($D1674="","",IFERROR(INDEX('교육원 ④ 설정'!$A$6:$A$40,MATCH($D1674,'교육원 ④ 설정'!$B$6:$B$40,0)),"※없는 과목"))</f>
        <v/>
      </c>
      <c r="F1674" s="36" t="str">
        <f aca="false">IF($D1674="","",IFERROR(INDEX('교육원 ④ 설정'!$C$6:$C$40,MATCH($D1674,'교육원 ④ 설정'!$B$6:$B$40,0)),""))</f>
        <v/>
      </c>
      <c r="G1674" s="39"/>
      <c r="H1674" s="39"/>
      <c r="I1674" s="40"/>
      <c r="J1674" s="41"/>
      <c r="K1674" s="38"/>
      <c r="L1674" s="42" t="str">
        <f aca="false">IF($B1674="","",IF(AND(N($I1674)=0,N($J1674)=0),"금액이 없습니다",IF(AND($I1674&gt;0,$J1674&gt;0),"수입·지출 둘 다 적혔습니다",IF($C1674="","결제수단을 고르십시오",IF(ISNA(MATCH($C1674,'교육원 ③ 통장·카드'!$A$5:$A$11,0)),"③ 통장·카드에 없는 결제수단입니다",IF($D1674="","계정과목을 고르십시오",IF($E1674="※없는 과목","④ 설정에 없는 과목입니다",IF(AND($E1674="수입",$J1674&gt;0),"수입 과목인데 지출에 적혔습니다",IF(AND(LEFT($E1674,2)&lt;&gt;"수입",$E1674&lt;&gt;"대체",$I1674&gt;0),"지출 과목인데 수입에 적혔습니다",IF($K1674="","증빙을 고르십시오",IF($H1674="","적요를 적으십시오","")))))))))))</f>
        <v/>
      </c>
      <c r="M1674" s="39"/>
      <c r="O1674" s="11" t="str">
        <f aca="false">IF($B1674="","",YEAR($B1674)*100+MONTH($B1674))</f>
        <v/>
      </c>
      <c r="P1674" s="11" t="str">
        <f aca="false">IF($B1674="","",IF($E1674="대체",0,1))</f>
        <v/>
      </c>
    </row>
    <row r="1675" customFormat="false" ht="15" hidden="false" customHeight="false" outlineLevel="0" collapsed="false">
      <c r="A1675" s="36" t="str">
        <f aca="false">IF($B1675="","",COUNT($B$15:$B1675))</f>
        <v/>
      </c>
      <c r="B1675" s="37"/>
      <c r="C1675" s="38"/>
      <c r="D1675" s="20"/>
      <c r="E1675" s="36" t="str">
        <f aca="false">IF($D1675="","",IFERROR(INDEX('교육원 ④ 설정'!$A$6:$A$40,MATCH($D1675,'교육원 ④ 설정'!$B$6:$B$40,0)),"※없는 과목"))</f>
        <v/>
      </c>
      <c r="F1675" s="36" t="str">
        <f aca="false">IF($D1675="","",IFERROR(INDEX('교육원 ④ 설정'!$C$6:$C$40,MATCH($D1675,'교육원 ④ 설정'!$B$6:$B$40,0)),""))</f>
        <v/>
      </c>
      <c r="G1675" s="39"/>
      <c r="H1675" s="39"/>
      <c r="I1675" s="40"/>
      <c r="J1675" s="41"/>
      <c r="K1675" s="38"/>
      <c r="L1675" s="42" t="str">
        <f aca="false">IF($B1675="","",IF(AND(N($I1675)=0,N($J1675)=0),"금액이 없습니다",IF(AND($I1675&gt;0,$J1675&gt;0),"수입·지출 둘 다 적혔습니다",IF($C1675="","결제수단을 고르십시오",IF(ISNA(MATCH($C1675,'교육원 ③ 통장·카드'!$A$5:$A$11,0)),"③ 통장·카드에 없는 결제수단입니다",IF($D1675="","계정과목을 고르십시오",IF($E1675="※없는 과목","④ 설정에 없는 과목입니다",IF(AND($E1675="수입",$J1675&gt;0),"수입 과목인데 지출에 적혔습니다",IF(AND(LEFT($E1675,2)&lt;&gt;"수입",$E1675&lt;&gt;"대체",$I1675&gt;0),"지출 과목인데 수입에 적혔습니다",IF($K1675="","증빙을 고르십시오",IF($H1675="","적요를 적으십시오","")))))))))))</f>
        <v/>
      </c>
      <c r="M1675" s="39"/>
      <c r="O1675" s="11" t="str">
        <f aca="false">IF($B1675="","",YEAR($B1675)*100+MONTH($B1675))</f>
        <v/>
      </c>
      <c r="P1675" s="11" t="str">
        <f aca="false">IF($B1675="","",IF($E1675="대체",0,1))</f>
        <v/>
      </c>
    </row>
    <row r="1676" customFormat="false" ht="15" hidden="false" customHeight="false" outlineLevel="0" collapsed="false">
      <c r="A1676" s="36" t="str">
        <f aca="false">IF($B1676="","",COUNT($B$15:$B1676))</f>
        <v/>
      </c>
      <c r="B1676" s="37"/>
      <c r="C1676" s="38"/>
      <c r="D1676" s="20"/>
      <c r="E1676" s="36" t="str">
        <f aca="false">IF($D1676="","",IFERROR(INDEX('교육원 ④ 설정'!$A$6:$A$40,MATCH($D1676,'교육원 ④ 설정'!$B$6:$B$40,0)),"※없는 과목"))</f>
        <v/>
      </c>
      <c r="F1676" s="36" t="str">
        <f aca="false">IF($D1676="","",IFERROR(INDEX('교육원 ④ 설정'!$C$6:$C$40,MATCH($D1676,'교육원 ④ 설정'!$B$6:$B$40,0)),""))</f>
        <v/>
      </c>
      <c r="G1676" s="39"/>
      <c r="H1676" s="39"/>
      <c r="I1676" s="40"/>
      <c r="J1676" s="41"/>
      <c r="K1676" s="38"/>
      <c r="L1676" s="42" t="str">
        <f aca="false">IF($B1676="","",IF(AND(N($I1676)=0,N($J1676)=0),"금액이 없습니다",IF(AND($I1676&gt;0,$J1676&gt;0),"수입·지출 둘 다 적혔습니다",IF($C1676="","결제수단을 고르십시오",IF(ISNA(MATCH($C1676,'교육원 ③ 통장·카드'!$A$5:$A$11,0)),"③ 통장·카드에 없는 결제수단입니다",IF($D1676="","계정과목을 고르십시오",IF($E1676="※없는 과목","④ 설정에 없는 과목입니다",IF(AND($E1676="수입",$J1676&gt;0),"수입 과목인데 지출에 적혔습니다",IF(AND(LEFT($E1676,2)&lt;&gt;"수입",$E1676&lt;&gt;"대체",$I1676&gt;0),"지출 과목인데 수입에 적혔습니다",IF($K1676="","증빙을 고르십시오",IF($H1676="","적요를 적으십시오","")))))))))))</f>
        <v/>
      </c>
      <c r="M1676" s="39"/>
      <c r="O1676" s="11" t="str">
        <f aca="false">IF($B1676="","",YEAR($B1676)*100+MONTH($B1676))</f>
        <v/>
      </c>
      <c r="P1676" s="11" t="str">
        <f aca="false">IF($B1676="","",IF($E1676="대체",0,1))</f>
        <v/>
      </c>
    </row>
    <row r="1677" customFormat="false" ht="15" hidden="false" customHeight="false" outlineLevel="0" collapsed="false">
      <c r="A1677" s="36" t="str">
        <f aca="false">IF($B1677="","",COUNT($B$15:$B1677))</f>
        <v/>
      </c>
      <c r="B1677" s="37"/>
      <c r="C1677" s="38"/>
      <c r="D1677" s="20"/>
      <c r="E1677" s="36" t="str">
        <f aca="false">IF($D1677="","",IFERROR(INDEX('교육원 ④ 설정'!$A$6:$A$40,MATCH($D1677,'교육원 ④ 설정'!$B$6:$B$40,0)),"※없는 과목"))</f>
        <v/>
      </c>
      <c r="F1677" s="36" t="str">
        <f aca="false">IF($D1677="","",IFERROR(INDEX('교육원 ④ 설정'!$C$6:$C$40,MATCH($D1677,'교육원 ④ 설정'!$B$6:$B$40,0)),""))</f>
        <v/>
      </c>
      <c r="G1677" s="39"/>
      <c r="H1677" s="39"/>
      <c r="I1677" s="40"/>
      <c r="J1677" s="41"/>
      <c r="K1677" s="38"/>
      <c r="L1677" s="42" t="str">
        <f aca="false">IF($B1677="","",IF(AND(N($I1677)=0,N($J1677)=0),"금액이 없습니다",IF(AND($I1677&gt;0,$J1677&gt;0),"수입·지출 둘 다 적혔습니다",IF($C1677="","결제수단을 고르십시오",IF(ISNA(MATCH($C1677,'교육원 ③ 통장·카드'!$A$5:$A$11,0)),"③ 통장·카드에 없는 결제수단입니다",IF($D1677="","계정과목을 고르십시오",IF($E1677="※없는 과목","④ 설정에 없는 과목입니다",IF(AND($E1677="수입",$J1677&gt;0),"수입 과목인데 지출에 적혔습니다",IF(AND(LEFT($E1677,2)&lt;&gt;"수입",$E1677&lt;&gt;"대체",$I1677&gt;0),"지출 과목인데 수입에 적혔습니다",IF($K1677="","증빙을 고르십시오",IF($H1677="","적요를 적으십시오","")))))))))))</f>
        <v/>
      </c>
      <c r="M1677" s="39"/>
      <c r="O1677" s="11" t="str">
        <f aca="false">IF($B1677="","",YEAR($B1677)*100+MONTH($B1677))</f>
        <v/>
      </c>
      <c r="P1677" s="11" t="str">
        <f aca="false">IF($B1677="","",IF($E1677="대체",0,1))</f>
        <v/>
      </c>
    </row>
    <row r="1678" customFormat="false" ht="15" hidden="false" customHeight="false" outlineLevel="0" collapsed="false">
      <c r="A1678" s="36" t="str">
        <f aca="false">IF($B1678="","",COUNT($B$15:$B1678))</f>
        <v/>
      </c>
      <c r="B1678" s="37"/>
      <c r="C1678" s="38"/>
      <c r="D1678" s="20"/>
      <c r="E1678" s="36" t="str">
        <f aca="false">IF($D1678="","",IFERROR(INDEX('교육원 ④ 설정'!$A$6:$A$40,MATCH($D1678,'교육원 ④ 설정'!$B$6:$B$40,0)),"※없는 과목"))</f>
        <v/>
      </c>
      <c r="F1678" s="36" t="str">
        <f aca="false">IF($D1678="","",IFERROR(INDEX('교육원 ④ 설정'!$C$6:$C$40,MATCH($D1678,'교육원 ④ 설정'!$B$6:$B$40,0)),""))</f>
        <v/>
      </c>
      <c r="G1678" s="39"/>
      <c r="H1678" s="39"/>
      <c r="I1678" s="40"/>
      <c r="J1678" s="41"/>
      <c r="K1678" s="38"/>
      <c r="L1678" s="42" t="str">
        <f aca="false">IF($B1678="","",IF(AND(N($I1678)=0,N($J1678)=0),"금액이 없습니다",IF(AND($I1678&gt;0,$J1678&gt;0),"수입·지출 둘 다 적혔습니다",IF($C1678="","결제수단을 고르십시오",IF(ISNA(MATCH($C1678,'교육원 ③ 통장·카드'!$A$5:$A$11,0)),"③ 통장·카드에 없는 결제수단입니다",IF($D1678="","계정과목을 고르십시오",IF($E1678="※없는 과목","④ 설정에 없는 과목입니다",IF(AND($E1678="수입",$J1678&gt;0),"수입 과목인데 지출에 적혔습니다",IF(AND(LEFT($E1678,2)&lt;&gt;"수입",$E1678&lt;&gt;"대체",$I1678&gt;0),"지출 과목인데 수입에 적혔습니다",IF($K1678="","증빙을 고르십시오",IF($H1678="","적요를 적으십시오","")))))))))))</f>
        <v/>
      </c>
      <c r="M1678" s="39"/>
      <c r="O1678" s="11" t="str">
        <f aca="false">IF($B1678="","",YEAR($B1678)*100+MONTH($B1678))</f>
        <v/>
      </c>
      <c r="P1678" s="11" t="str">
        <f aca="false">IF($B1678="","",IF($E1678="대체",0,1))</f>
        <v/>
      </c>
    </row>
    <row r="1679" customFormat="false" ht="15" hidden="false" customHeight="false" outlineLevel="0" collapsed="false">
      <c r="A1679" s="36" t="str">
        <f aca="false">IF($B1679="","",COUNT($B$15:$B1679))</f>
        <v/>
      </c>
      <c r="B1679" s="37"/>
      <c r="C1679" s="38"/>
      <c r="D1679" s="20"/>
      <c r="E1679" s="36" t="str">
        <f aca="false">IF($D1679="","",IFERROR(INDEX('교육원 ④ 설정'!$A$6:$A$40,MATCH($D1679,'교육원 ④ 설정'!$B$6:$B$40,0)),"※없는 과목"))</f>
        <v/>
      </c>
      <c r="F1679" s="36" t="str">
        <f aca="false">IF($D1679="","",IFERROR(INDEX('교육원 ④ 설정'!$C$6:$C$40,MATCH($D1679,'교육원 ④ 설정'!$B$6:$B$40,0)),""))</f>
        <v/>
      </c>
      <c r="G1679" s="39"/>
      <c r="H1679" s="39"/>
      <c r="I1679" s="40"/>
      <c r="J1679" s="41"/>
      <c r="K1679" s="38"/>
      <c r="L1679" s="42" t="str">
        <f aca="false">IF($B1679="","",IF(AND(N($I1679)=0,N($J1679)=0),"금액이 없습니다",IF(AND($I1679&gt;0,$J1679&gt;0),"수입·지출 둘 다 적혔습니다",IF($C1679="","결제수단을 고르십시오",IF(ISNA(MATCH($C1679,'교육원 ③ 통장·카드'!$A$5:$A$11,0)),"③ 통장·카드에 없는 결제수단입니다",IF($D1679="","계정과목을 고르십시오",IF($E1679="※없는 과목","④ 설정에 없는 과목입니다",IF(AND($E1679="수입",$J1679&gt;0),"수입 과목인데 지출에 적혔습니다",IF(AND(LEFT($E1679,2)&lt;&gt;"수입",$E1679&lt;&gt;"대체",$I1679&gt;0),"지출 과목인데 수입에 적혔습니다",IF($K1679="","증빙을 고르십시오",IF($H1679="","적요를 적으십시오","")))))))))))</f>
        <v/>
      </c>
      <c r="M1679" s="39"/>
      <c r="O1679" s="11" t="str">
        <f aca="false">IF($B1679="","",YEAR($B1679)*100+MONTH($B1679))</f>
        <v/>
      </c>
      <c r="P1679" s="11" t="str">
        <f aca="false">IF($B1679="","",IF($E1679="대체",0,1))</f>
        <v/>
      </c>
    </row>
    <row r="1680" customFormat="false" ht="15" hidden="false" customHeight="false" outlineLevel="0" collapsed="false">
      <c r="A1680" s="36" t="str">
        <f aca="false">IF($B1680="","",COUNT($B$15:$B1680))</f>
        <v/>
      </c>
      <c r="B1680" s="37"/>
      <c r="C1680" s="38"/>
      <c r="D1680" s="20"/>
      <c r="E1680" s="36" t="str">
        <f aca="false">IF($D1680="","",IFERROR(INDEX('교육원 ④ 설정'!$A$6:$A$40,MATCH($D1680,'교육원 ④ 설정'!$B$6:$B$40,0)),"※없는 과목"))</f>
        <v/>
      </c>
      <c r="F1680" s="36" t="str">
        <f aca="false">IF($D1680="","",IFERROR(INDEX('교육원 ④ 설정'!$C$6:$C$40,MATCH($D1680,'교육원 ④ 설정'!$B$6:$B$40,0)),""))</f>
        <v/>
      </c>
      <c r="G1680" s="39"/>
      <c r="H1680" s="39"/>
      <c r="I1680" s="40"/>
      <c r="J1680" s="41"/>
      <c r="K1680" s="38"/>
      <c r="L1680" s="42" t="str">
        <f aca="false">IF($B1680="","",IF(AND(N($I1680)=0,N($J1680)=0),"금액이 없습니다",IF(AND($I1680&gt;0,$J1680&gt;0),"수입·지출 둘 다 적혔습니다",IF($C1680="","결제수단을 고르십시오",IF(ISNA(MATCH($C1680,'교육원 ③ 통장·카드'!$A$5:$A$11,0)),"③ 통장·카드에 없는 결제수단입니다",IF($D1680="","계정과목을 고르십시오",IF($E1680="※없는 과목","④ 설정에 없는 과목입니다",IF(AND($E1680="수입",$J1680&gt;0),"수입 과목인데 지출에 적혔습니다",IF(AND(LEFT($E1680,2)&lt;&gt;"수입",$E1680&lt;&gt;"대체",$I1680&gt;0),"지출 과목인데 수입에 적혔습니다",IF($K1680="","증빙을 고르십시오",IF($H1680="","적요를 적으십시오","")))))))))))</f>
        <v/>
      </c>
      <c r="M1680" s="39"/>
      <c r="O1680" s="11" t="str">
        <f aca="false">IF($B1680="","",YEAR($B1680)*100+MONTH($B1680))</f>
        <v/>
      </c>
      <c r="P1680" s="11" t="str">
        <f aca="false">IF($B1680="","",IF($E1680="대체",0,1))</f>
        <v/>
      </c>
    </row>
    <row r="1681" customFormat="false" ht="15" hidden="false" customHeight="false" outlineLevel="0" collapsed="false">
      <c r="A1681" s="36" t="str">
        <f aca="false">IF($B1681="","",COUNT($B$15:$B1681))</f>
        <v/>
      </c>
      <c r="B1681" s="37"/>
      <c r="C1681" s="38"/>
      <c r="D1681" s="20"/>
      <c r="E1681" s="36" t="str">
        <f aca="false">IF($D1681="","",IFERROR(INDEX('교육원 ④ 설정'!$A$6:$A$40,MATCH($D1681,'교육원 ④ 설정'!$B$6:$B$40,0)),"※없는 과목"))</f>
        <v/>
      </c>
      <c r="F1681" s="36" t="str">
        <f aca="false">IF($D1681="","",IFERROR(INDEX('교육원 ④ 설정'!$C$6:$C$40,MATCH($D1681,'교육원 ④ 설정'!$B$6:$B$40,0)),""))</f>
        <v/>
      </c>
      <c r="G1681" s="39"/>
      <c r="H1681" s="39"/>
      <c r="I1681" s="40"/>
      <c r="J1681" s="41"/>
      <c r="K1681" s="38"/>
      <c r="L1681" s="42" t="str">
        <f aca="false">IF($B1681="","",IF(AND(N($I1681)=0,N($J1681)=0),"금액이 없습니다",IF(AND($I1681&gt;0,$J1681&gt;0),"수입·지출 둘 다 적혔습니다",IF($C1681="","결제수단을 고르십시오",IF(ISNA(MATCH($C1681,'교육원 ③ 통장·카드'!$A$5:$A$11,0)),"③ 통장·카드에 없는 결제수단입니다",IF($D1681="","계정과목을 고르십시오",IF($E1681="※없는 과목","④ 설정에 없는 과목입니다",IF(AND($E1681="수입",$J1681&gt;0),"수입 과목인데 지출에 적혔습니다",IF(AND(LEFT($E1681,2)&lt;&gt;"수입",$E1681&lt;&gt;"대체",$I1681&gt;0),"지출 과목인데 수입에 적혔습니다",IF($K1681="","증빙을 고르십시오",IF($H1681="","적요를 적으십시오","")))))))))))</f>
        <v/>
      </c>
      <c r="M1681" s="39"/>
      <c r="O1681" s="11" t="str">
        <f aca="false">IF($B1681="","",YEAR($B1681)*100+MONTH($B1681))</f>
        <v/>
      </c>
      <c r="P1681" s="11" t="str">
        <f aca="false">IF($B1681="","",IF($E1681="대체",0,1))</f>
        <v/>
      </c>
    </row>
    <row r="1682" customFormat="false" ht="15" hidden="false" customHeight="false" outlineLevel="0" collapsed="false">
      <c r="A1682" s="36" t="str">
        <f aca="false">IF($B1682="","",COUNT($B$15:$B1682))</f>
        <v/>
      </c>
      <c r="B1682" s="37"/>
      <c r="C1682" s="38"/>
      <c r="D1682" s="20"/>
      <c r="E1682" s="36" t="str">
        <f aca="false">IF($D1682="","",IFERROR(INDEX('교육원 ④ 설정'!$A$6:$A$40,MATCH($D1682,'교육원 ④ 설정'!$B$6:$B$40,0)),"※없는 과목"))</f>
        <v/>
      </c>
      <c r="F1682" s="36" t="str">
        <f aca="false">IF($D1682="","",IFERROR(INDEX('교육원 ④ 설정'!$C$6:$C$40,MATCH($D1682,'교육원 ④ 설정'!$B$6:$B$40,0)),""))</f>
        <v/>
      </c>
      <c r="G1682" s="39"/>
      <c r="H1682" s="39"/>
      <c r="I1682" s="40"/>
      <c r="J1682" s="41"/>
      <c r="K1682" s="38"/>
      <c r="L1682" s="42" t="str">
        <f aca="false">IF($B1682="","",IF(AND(N($I1682)=0,N($J1682)=0),"금액이 없습니다",IF(AND($I1682&gt;0,$J1682&gt;0),"수입·지출 둘 다 적혔습니다",IF($C1682="","결제수단을 고르십시오",IF(ISNA(MATCH($C1682,'교육원 ③ 통장·카드'!$A$5:$A$11,0)),"③ 통장·카드에 없는 결제수단입니다",IF($D1682="","계정과목을 고르십시오",IF($E1682="※없는 과목","④ 설정에 없는 과목입니다",IF(AND($E1682="수입",$J1682&gt;0),"수입 과목인데 지출에 적혔습니다",IF(AND(LEFT($E1682,2)&lt;&gt;"수입",$E1682&lt;&gt;"대체",$I1682&gt;0),"지출 과목인데 수입에 적혔습니다",IF($K1682="","증빙을 고르십시오",IF($H1682="","적요를 적으십시오","")))))))))))</f>
        <v/>
      </c>
      <c r="M1682" s="39"/>
      <c r="O1682" s="11" t="str">
        <f aca="false">IF($B1682="","",YEAR($B1682)*100+MONTH($B1682))</f>
        <v/>
      </c>
      <c r="P1682" s="11" t="str">
        <f aca="false">IF($B1682="","",IF($E1682="대체",0,1))</f>
        <v/>
      </c>
    </row>
    <row r="1683" customFormat="false" ht="15" hidden="false" customHeight="false" outlineLevel="0" collapsed="false">
      <c r="A1683" s="36" t="str">
        <f aca="false">IF($B1683="","",COUNT($B$15:$B1683))</f>
        <v/>
      </c>
      <c r="B1683" s="37"/>
      <c r="C1683" s="38"/>
      <c r="D1683" s="20"/>
      <c r="E1683" s="36" t="str">
        <f aca="false">IF($D1683="","",IFERROR(INDEX('교육원 ④ 설정'!$A$6:$A$40,MATCH($D1683,'교육원 ④ 설정'!$B$6:$B$40,0)),"※없는 과목"))</f>
        <v/>
      </c>
      <c r="F1683" s="36" t="str">
        <f aca="false">IF($D1683="","",IFERROR(INDEX('교육원 ④ 설정'!$C$6:$C$40,MATCH($D1683,'교육원 ④ 설정'!$B$6:$B$40,0)),""))</f>
        <v/>
      </c>
      <c r="G1683" s="39"/>
      <c r="H1683" s="39"/>
      <c r="I1683" s="40"/>
      <c r="J1683" s="41"/>
      <c r="K1683" s="38"/>
      <c r="L1683" s="42" t="str">
        <f aca="false">IF($B1683="","",IF(AND(N($I1683)=0,N($J1683)=0),"금액이 없습니다",IF(AND($I1683&gt;0,$J1683&gt;0),"수입·지출 둘 다 적혔습니다",IF($C1683="","결제수단을 고르십시오",IF(ISNA(MATCH($C1683,'교육원 ③ 통장·카드'!$A$5:$A$11,0)),"③ 통장·카드에 없는 결제수단입니다",IF($D1683="","계정과목을 고르십시오",IF($E1683="※없는 과목","④ 설정에 없는 과목입니다",IF(AND($E1683="수입",$J1683&gt;0),"수입 과목인데 지출에 적혔습니다",IF(AND(LEFT($E1683,2)&lt;&gt;"수입",$E1683&lt;&gt;"대체",$I1683&gt;0),"지출 과목인데 수입에 적혔습니다",IF($K1683="","증빙을 고르십시오",IF($H1683="","적요를 적으십시오","")))))))))))</f>
        <v/>
      </c>
      <c r="M1683" s="39"/>
      <c r="O1683" s="11" t="str">
        <f aca="false">IF($B1683="","",YEAR($B1683)*100+MONTH($B1683))</f>
        <v/>
      </c>
      <c r="P1683" s="11" t="str">
        <f aca="false">IF($B1683="","",IF($E1683="대체",0,1))</f>
        <v/>
      </c>
    </row>
    <row r="1684" customFormat="false" ht="15" hidden="false" customHeight="false" outlineLevel="0" collapsed="false">
      <c r="A1684" s="36" t="str">
        <f aca="false">IF($B1684="","",COUNT($B$15:$B1684))</f>
        <v/>
      </c>
      <c r="B1684" s="37"/>
      <c r="C1684" s="38"/>
      <c r="D1684" s="20"/>
      <c r="E1684" s="36" t="str">
        <f aca="false">IF($D1684="","",IFERROR(INDEX('교육원 ④ 설정'!$A$6:$A$40,MATCH($D1684,'교육원 ④ 설정'!$B$6:$B$40,0)),"※없는 과목"))</f>
        <v/>
      </c>
      <c r="F1684" s="36" t="str">
        <f aca="false">IF($D1684="","",IFERROR(INDEX('교육원 ④ 설정'!$C$6:$C$40,MATCH($D1684,'교육원 ④ 설정'!$B$6:$B$40,0)),""))</f>
        <v/>
      </c>
      <c r="G1684" s="39"/>
      <c r="H1684" s="39"/>
      <c r="I1684" s="40"/>
      <c r="J1684" s="41"/>
      <c r="K1684" s="38"/>
      <c r="L1684" s="42" t="str">
        <f aca="false">IF($B1684="","",IF(AND(N($I1684)=0,N($J1684)=0),"금액이 없습니다",IF(AND($I1684&gt;0,$J1684&gt;0),"수입·지출 둘 다 적혔습니다",IF($C1684="","결제수단을 고르십시오",IF(ISNA(MATCH($C1684,'교육원 ③ 통장·카드'!$A$5:$A$11,0)),"③ 통장·카드에 없는 결제수단입니다",IF($D1684="","계정과목을 고르십시오",IF($E1684="※없는 과목","④ 설정에 없는 과목입니다",IF(AND($E1684="수입",$J1684&gt;0),"수입 과목인데 지출에 적혔습니다",IF(AND(LEFT($E1684,2)&lt;&gt;"수입",$E1684&lt;&gt;"대체",$I1684&gt;0),"지출 과목인데 수입에 적혔습니다",IF($K1684="","증빙을 고르십시오",IF($H1684="","적요를 적으십시오","")))))))))))</f>
        <v/>
      </c>
      <c r="M1684" s="39"/>
      <c r="O1684" s="11" t="str">
        <f aca="false">IF($B1684="","",YEAR($B1684)*100+MONTH($B1684))</f>
        <v/>
      </c>
      <c r="P1684" s="11" t="str">
        <f aca="false">IF($B1684="","",IF($E1684="대체",0,1))</f>
        <v/>
      </c>
    </row>
    <row r="1685" customFormat="false" ht="15" hidden="false" customHeight="false" outlineLevel="0" collapsed="false">
      <c r="A1685" s="36" t="str">
        <f aca="false">IF($B1685="","",COUNT($B$15:$B1685))</f>
        <v/>
      </c>
      <c r="B1685" s="37"/>
      <c r="C1685" s="38"/>
      <c r="D1685" s="20"/>
      <c r="E1685" s="36" t="str">
        <f aca="false">IF($D1685="","",IFERROR(INDEX('교육원 ④ 설정'!$A$6:$A$40,MATCH($D1685,'교육원 ④ 설정'!$B$6:$B$40,0)),"※없는 과목"))</f>
        <v/>
      </c>
      <c r="F1685" s="36" t="str">
        <f aca="false">IF($D1685="","",IFERROR(INDEX('교육원 ④ 설정'!$C$6:$C$40,MATCH($D1685,'교육원 ④ 설정'!$B$6:$B$40,0)),""))</f>
        <v/>
      </c>
      <c r="G1685" s="39"/>
      <c r="H1685" s="39"/>
      <c r="I1685" s="40"/>
      <c r="J1685" s="41"/>
      <c r="K1685" s="38"/>
      <c r="L1685" s="42" t="str">
        <f aca="false">IF($B1685="","",IF(AND(N($I1685)=0,N($J1685)=0),"금액이 없습니다",IF(AND($I1685&gt;0,$J1685&gt;0),"수입·지출 둘 다 적혔습니다",IF($C1685="","결제수단을 고르십시오",IF(ISNA(MATCH($C1685,'교육원 ③ 통장·카드'!$A$5:$A$11,0)),"③ 통장·카드에 없는 결제수단입니다",IF($D1685="","계정과목을 고르십시오",IF($E1685="※없는 과목","④ 설정에 없는 과목입니다",IF(AND($E1685="수입",$J1685&gt;0),"수입 과목인데 지출에 적혔습니다",IF(AND(LEFT($E1685,2)&lt;&gt;"수입",$E1685&lt;&gt;"대체",$I1685&gt;0),"지출 과목인데 수입에 적혔습니다",IF($K1685="","증빙을 고르십시오",IF($H1685="","적요를 적으십시오","")))))))))))</f>
        <v/>
      </c>
      <c r="M1685" s="39"/>
      <c r="O1685" s="11" t="str">
        <f aca="false">IF($B1685="","",YEAR($B1685)*100+MONTH($B1685))</f>
        <v/>
      </c>
      <c r="P1685" s="11" t="str">
        <f aca="false">IF($B1685="","",IF($E1685="대체",0,1))</f>
        <v/>
      </c>
    </row>
    <row r="1686" customFormat="false" ht="15" hidden="false" customHeight="false" outlineLevel="0" collapsed="false">
      <c r="A1686" s="36" t="str">
        <f aca="false">IF($B1686="","",COUNT($B$15:$B1686))</f>
        <v/>
      </c>
      <c r="B1686" s="37"/>
      <c r="C1686" s="38"/>
      <c r="D1686" s="20"/>
      <c r="E1686" s="36" t="str">
        <f aca="false">IF($D1686="","",IFERROR(INDEX('교육원 ④ 설정'!$A$6:$A$40,MATCH($D1686,'교육원 ④ 설정'!$B$6:$B$40,0)),"※없는 과목"))</f>
        <v/>
      </c>
      <c r="F1686" s="36" t="str">
        <f aca="false">IF($D1686="","",IFERROR(INDEX('교육원 ④ 설정'!$C$6:$C$40,MATCH($D1686,'교육원 ④ 설정'!$B$6:$B$40,0)),""))</f>
        <v/>
      </c>
      <c r="G1686" s="39"/>
      <c r="H1686" s="39"/>
      <c r="I1686" s="40"/>
      <c r="J1686" s="41"/>
      <c r="K1686" s="38"/>
      <c r="L1686" s="42" t="str">
        <f aca="false">IF($B1686="","",IF(AND(N($I1686)=0,N($J1686)=0),"금액이 없습니다",IF(AND($I1686&gt;0,$J1686&gt;0),"수입·지출 둘 다 적혔습니다",IF($C1686="","결제수단을 고르십시오",IF(ISNA(MATCH($C1686,'교육원 ③ 통장·카드'!$A$5:$A$11,0)),"③ 통장·카드에 없는 결제수단입니다",IF($D1686="","계정과목을 고르십시오",IF($E1686="※없는 과목","④ 설정에 없는 과목입니다",IF(AND($E1686="수입",$J1686&gt;0),"수입 과목인데 지출에 적혔습니다",IF(AND(LEFT($E1686,2)&lt;&gt;"수입",$E1686&lt;&gt;"대체",$I1686&gt;0),"지출 과목인데 수입에 적혔습니다",IF($K1686="","증빙을 고르십시오",IF($H1686="","적요를 적으십시오","")))))))))))</f>
        <v/>
      </c>
      <c r="M1686" s="39"/>
      <c r="O1686" s="11" t="str">
        <f aca="false">IF($B1686="","",YEAR($B1686)*100+MONTH($B1686))</f>
        <v/>
      </c>
      <c r="P1686" s="11" t="str">
        <f aca="false">IF($B1686="","",IF($E1686="대체",0,1))</f>
        <v/>
      </c>
    </row>
    <row r="1687" customFormat="false" ht="15" hidden="false" customHeight="false" outlineLevel="0" collapsed="false">
      <c r="A1687" s="36" t="str">
        <f aca="false">IF($B1687="","",COUNT($B$15:$B1687))</f>
        <v/>
      </c>
      <c r="B1687" s="37"/>
      <c r="C1687" s="38"/>
      <c r="D1687" s="20"/>
      <c r="E1687" s="36" t="str">
        <f aca="false">IF($D1687="","",IFERROR(INDEX('교육원 ④ 설정'!$A$6:$A$40,MATCH($D1687,'교육원 ④ 설정'!$B$6:$B$40,0)),"※없는 과목"))</f>
        <v/>
      </c>
      <c r="F1687" s="36" t="str">
        <f aca="false">IF($D1687="","",IFERROR(INDEX('교육원 ④ 설정'!$C$6:$C$40,MATCH($D1687,'교육원 ④ 설정'!$B$6:$B$40,0)),""))</f>
        <v/>
      </c>
      <c r="G1687" s="39"/>
      <c r="H1687" s="39"/>
      <c r="I1687" s="40"/>
      <c r="J1687" s="41"/>
      <c r="K1687" s="38"/>
      <c r="L1687" s="42" t="str">
        <f aca="false">IF($B1687="","",IF(AND(N($I1687)=0,N($J1687)=0),"금액이 없습니다",IF(AND($I1687&gt;0,$J1687&gt;0),"수입·지출 둘 다 적혔습니다",IF($C1687="","결제수단을 고르십시오",IF(ISNA(MATCH($C1687,'교육원 ③ 통장·카드'!$A$5:$A$11,0)),"③ 통장·카드에 없는 결제수단입니다",IF($D1687="","계정과목을 고르십시오",IF($E1687="※없는 과목","④ 설정에 없는 과목입니다",IF(AND($E1687="수입",$J1687&gt;0),"수입 과목인데 지출에 적혔습니다",IF(AND(LEFT($E1687,2)&lt;&gt;"수입",$E1687&lt;&gt;"대체",$I1687&gt;0),"지출 과목인데 수입에 적혔습니다",IF($K1687="","증빙을 고르십시오",IF($H1687="","적요를 적으십시오","")))))))))))</f>
        <v/>
      </c>
      <c r="M1687" s="39"/>
      <c r="O1687" s="11" t="str">
        <f aca="false">IF($B1687="","",YEAR($B1687)*100+MONTH($B1687))</f>
        <v/>
      </c>
      <c r="P1687" s="11" t="str">
        <f aca="false">IF($B1687="","",IF($E1687="대체",0,1))</f>
        <v/>
      </c>
    </row>
    <row r="1688" customFormat="false" ht="15" hidden="false" customHeight="false" outlineLevel="0" collapsed="false">
      <c r="A1688" s="36" t="str">
        <f aca="false">IF($B1688="","",COUNT($B$15:$B1688))</f>
        <v/>
      </c>
      <c r="B1688" s="37"/>
      <c r="C1688" s="38"/>
      <c r="D1688" s="20"/>
      <c r="E1688" s="36" t="str">
        <f aca="false">IF($D1688="","",IFERROR(INDEX('교육원 ④ 설정'!$A$6:$A$40,MATCH($D1688,'교육원 ④ 설정'!$B$6:$B$40,0)),"※없는 과목"))</f>
        <v/>
      </c>
      <c r="F1688" s="36" t="str">
        <f aca="false">IF($D1688="","",IFERROR(INDEX('교육원 ④ 설정'!$C$6:$C$40,MATCH($D1688,'교육원 ④ 설정'!$B$6:$B$40,0)),""))</f>
        <v/>
      </c>
      <c r="G1688" s="39"/>
      <c r="H1688" s="39"/>
      <c r="I1688" s="40"/>
      <c r="J1688" s="41"/>
      <c r="K1688" s="38"/>
      <c r="L1688" s="42" t="str">
        <f aca="false">IF($B1688="","",IF(AND(N($I1688)=0,N($J1688)=0),"금액이 없습니다",IF(AND($I1688&gt;0,$J1688&gt;0),"수입·지출 둘 다 적혔습니다",IF($C1688="","결제수단을 고르십시오",IF(ISNA(MATCH($C1688,'교육원 ③ 통장·카드'!$A$5:$A$11,0)),"③ 통장·카드에 없는 결제수단입니다",IF($D1688="","계정과목을 고르십시오",IF($E1688="※없는 과목","④ 설정에 없는 과목입니다",IF(AND($E1688="수입",$J1688&gt;0),"수입 과목인데 지출에 적혔습니다",IF(AND(LEFT($E1688,2)&lt;&gt;"수입",$E1688&lt;&gt;"대체",$I1688&gt;0),"지출 과목인데 수입에 적혔습니다",IF($K1688="","증빙을 고르십시오",IF($H1688="","적요를 적으십시오","")))))))))))</f>
        <v/>
      </c>
      <c r="M1688" s="39"/>
      <c r="O1688" s="11" t="str">
        <f aca="false">IF($B1688="","",YEAR($B1688)*100+MONTH($B1688))</f>
        <v/>
      </c>
      <c r="P1688" s="11" t="str">
        <f aca="false">IF($B1688="","",IF($E1688="대체",0,1))</f>
        <v/>
      </c>
    </row>
    <row r="1689" customFormat="false" ht="15" hidden="false" customHeight="false" outlineLevel="0" collapsed="false">
      <c r="A1689" s="36" t="str">
        <f aca="false">IF($B1689="","",COUNT($B$15:$B1689))</f>
        <v/>
      </c>
      <c r="B1689" s="37"/>
      <c r="C1689" s="38"/>
      <c r="D1689" s="20"/>
      <c r="E1689" s="36" t="str">
        <f aca="false">IF($D1689="","",IFERROR(INDEX('교육원 ④ 설정'!$A$6:$A$40,MATCH($D1689,'교육원 ④ 설정'!$B$6:$B$40,0)),"※없는 과목"))</f>
        <v/>
      </c>
      <c r="F1689" s="36" t="str">
        <f aca="false">IF($D1689="","",IFERROR(INDEX('교육원 ④ 설정'!$C$6:$C$40,MATCH($D1689,'교육원 ④ 설정'!$B$6:$B$40,0)),""))</f>
        <v/>
      </c>
      <c r="G1689" s="39"/>
      <c r="H1689" s="39"/>
      <c r="I1689" s="40"/>
      <c r="J1689" s="41"/>
      <c r="K1689" s="38"/>
      <c r="L1689" s="42" t="str">
        <f aca="false">IF($B1689="","",IF(AND(N($I1689)=0,N($J1689)=0),"금액이 없습니다",IF(AND($I1689&gt;0,$J1689&gt;0),"수입·지출 둘 다 적혔습니다",IF($C1689="","결제수단을 고르십시오",IF(ISNA(MATCH($C1689,'교육원 ③ 통장·카드'!$A$5:$A$11,0)),"③ 통장·카드에 없는 결제수단입니다",IF($D1689="","계정과목을 고르십시오",IF($E1689="※없는 과목","④ 설정에 없는 과목입니다",IF(AND($E1689="수입",$J1689&gt;0),"수입 과목인데 지출에 적혔습니다",IF(AND(LEFT($E1689,2)&lt;&gt;"수입",$E1689&lt;&gt;"대체",$I1689&gt;0),"지출 과목인데 수입에 적혔습니다",IF($K1689="","증빙을 고르십시오",IF($H1689="","적요를 적으십시오","")))))))))))</f>
        <v/>
      </c>
      <c r="M1689" s="39"/>
      <c r="O1689" s="11" t="str">
        <f aca="false">IF($B1689="","",YEAR($B1689)*100+MONTH($B1689))</f>
        <v/>
      </c>
      <c r="P1689" s="11" t="str">
        <f aca="false">IF($B1689="","",IF($E1689="대체",0,1))</f>
        <v/>
      </c>
    </row>
    <row r="1690" customFormat="false" ht="15" hidden="false" customHeight="false" outlineLevel="0" collapsed="false">
      <c r="A1690" s="36" t="str">
        <f aca="false">IF($B1690="","",COUNT($B$15:$B1690))</f>
        <v/>
      </c>
      <c r="B1690" s="37"/>
      <c r="C1690" s="38"/>
      <c r="D1690" s="20"/>
      <c r="E1690" s="36" t="str">
        <f aca="false">IF($D1690="","",IFERROR(INDEX('교육원 ④ 설정'!$A$6:$A$40,MATCH($D1690,'교육원 ④ 설정'!$B$6:$B$40,0)),"※없는 과목"))</f>
        <v/>
      </c>
      <c r="F1690" s="36" t="str">
        <f aca="false">IF($D1690="","",IFERROR(INDEX('교육원 ④ 설정'!$C$6:$C$40,MATCH($D1690,'교육원 ④ 설정'!$B$6:$B$40,0)),""))</f>
        <v/>
      </c>
      <c r="G1690" s="39"/>
      <c r="H1690" s="39"/>
      <c r="I1690" s="40"/>
      <c r="J1690" s="41"/>
      <c r="K1690" s="38"/>
      <c r="L1690" s="42" t="str">
        <f aca="false">IF($B1690="","",IF(AND(N($I1690)=0,N($J1690)=0),"금액이 없습니다",IF(AND($I1690&gt;0,$J1690&gt;0),"수입·지출 둘 다 적혔습니다",IF($C1690="","결제수단을 고르십시오",IF(ISNA(MATCH($C1690,'교육원 ③ 통장·카드'!$A$5:$A$11,0)),"③ 통장·카드에 없는 결제수단입니다",IF($D1690="","계정과목을 고르십시오",IF($E1690="※없는 과목","④ 설정에 없는 과목입니다",IF(AND($E1690="수입",$J1690&gt;0),"수입 과목인데 지출에 적혔습니다",IF(AND(LEFT($E1690,2)&lt;&gt;"수입",$E1690&lt;&gt;"대체",$I1690&gt;0),"지출 과목인데 수입에 적혔습니다",IF($K1690="","증빙을 고르십시오",IF($H1690="","적요를 적으십시오","")))))))))))</f>
        <v/>
      </c>
      <c r="M1690" s="39"/>
      <c r="O1690" s="11" t="str">
        <f aca="false">IF($B1690="","",YEAR($B1690)*100+MONTH($B1690))</f>
        <v/>
      </c>
      <c r="P1690" s="11" t="str">
        <f aca="false">IF($B1690="","",IF($E1690="대체",0,1))</f>
        <v/>
      </c>
    </row>
    <row r="1691" customFormat="false" ht="15" hidden="false" customHeight="false" outlineLevel="0" collapsed="false">
      <c r="A1691" s="36" t="str">
        <f aca="false">IF($B1691="","",COUNT($B$15:$B1691))</f>
        <v/>
      </c>
      <c r="B1691" s="37"/>
      <c r="C1691" s="38"/>
      <c r="D1691" s="20"/>
      <c r="E1691" s="36" t="str">
        <f aca="false">IF($D1691="","",IFERROR(INDEX('교육원 ④ 설정'!$A$6:$A$40,MATCH($D1691,'교육원 ④ 설정'!$B$6:$B$40,0)),"※없는 과목"))</f>
        <v/>
      </c>
      <c r="F1691" s="36" t="str">
        <f aca="false">IF($D1691="","",IFERROR(INDEX('교육원 ④ 설정'!$C$6:$C$40,MATCH($D1691,'교육원 ④ 설정'!$B$6:$B$40,0)),""))</f>
        <v/>
      </c>
      <c r="G1691" s="39"/>
      <c r="H1691" s="39"/>
      <c r="I1691" s="40"/>
      <c r="J1691" s="41"/>
      <c r="K1691" s="38"/>
      <c r="L1691" s="42" t="str">
        <f aca="false">IF($B1691="","",IF(AND(N($I1691)=0,N($J1691)=0),"금액이 없습니다",IF(AND($I1691&gt;0,$J1691&gt;0),"수입·지출 둘 다 적혔습니다",IF($C1691="","결제수단을 고르십시오",IF(ISNA(MATCH($C1691,'교육원 ③ 통장·카드'!$A$5:$A$11,0)),"③ 통장·카드에 없는 결제수단입니다",IF($D1691="","계정과목을 고르십시오",IF($E1691="※없는 과목","④ 설정에 없는 과목입니다",IF(AND($E1691="수입",$J1691&gt;0),"수입 과목인데 지출에 적혔습니다",IF(AND(LEFT($E1691,2)&lt;&gt;"수입",$E1691&lt;&gt;"대체",$I1691&gt;0),"지출 과목인데 수입에 적혔습니다",IF($K1691="","증빙을 고르십시오",IF($H1691="","적요를 적으십시오","")))))))))))</f>
        <v/>
      </c>
      <c r="M1691" s="39"/>
      <c r="O1691" s="11" t="str">
        <f aca="false">IF($B1691="","",YEAR($B1691)*100+MONTH($B1691))</f>
        <v/>
      </c>
      <c r="P1691" s="11" t="str">
        <f aca="false">IF($B1691="","",IF($E1691="대체",0,1))</f>
        <v/>
      </c>
    </row>
    <row r="1692" customFormat="false" ht="15" hidden="false" customHeight="false" outlineLevel="0" collapsed="false">
      <c r="A1692" s="36" t="str">
        <f aca="false">IF($B1692="","",COUNT($B$15:$B1692))</f>
        <v/>
      </c>
      <c r="B1692" s="37"/>
      <c r="C1692" s="38"/>
      <c r="D1692" s="20"/>
      <c r="E1692" s="36" t="str">
        <f aca="false">IF($D1692="","",IFERROR(INDEX('교육원 ④ 설정'!$A$6:$A$40,MATCH($D1692,'교육원 ④ 설정'!$B$6:$B$40,0)),"※없는 과목"))</f>
        <v/>
      </c>
      <c r="F1692" s="36" t="str">
        <f aca="false">IF($D1692="","",IFERROR(INDEX('교육원 ④ 설정'!$C$6:$C$40,MATCH($D1692,'교육원 ④ 설정'!$B$6:$B$40,0)),""))</f>
        <v/>
      </c>
      <c r="G1692" s="39"/>
      <c r="H1692" s="39"/>
      <c r="I1692" s="40"/>
      <c r="J1692" s="41"/>
      <c r="K1692" s="38"/>
      <c r="L1692" s="42" t="str">
        <f aca="false">IF($B1692="","",IF(AND(N($I1692)=0,N($J1692)=0),"금액이 없습니다",IF(AND($I1692&gt;0,$J1692&gt;0),"수입·지출 둘 다 적혔습니다",IF($C1692="","결제수단을 고르십시오",IF(ISNA(MATCH($C1692,'교육원 ③ 통장·카드'!$A$5:$A$11,0)),"③ 통장·카드에 없는 결제수단입니다",IF($D1692="","계정과목을 고르십시오",IF($E1692="※없는 과목","④ 설정에 없는 과목입니다",IF(AND($E1692="수입",$J1692&gt;0),"수입 과목인데 지출에 적혔습니다",IF(AND(LEFT($E1692,2)&lt;&gt;"수입",$E1692&lt;&gt;"대체",$I1692&gt;0),"지출 과목인데 수입에 적혔습니다",IF($K1692="","증빙을 고르십시오",IF($H1692="","적요를 적으십시오","")))))))))))</f>
        <v/>
      </c>
      <c r="M1692" s="39"/>
      <c r="O1692" s="11" t="str">
        <f aca="false">IF($B1692="","",YEAR($B1692)*100+MONTH($B1692))</f>
        <v/>
      </c>
      <c r="P1692" s="11" t="str">
        <f aca="false">IF($B1692="","",IF($E1692="대체",0,1))</f>
        <v/>
      </c>
    </row>
    <row r="1693" customFormat="false" ht="15" hidden="false" customHeight="false" outlineLevel="0" collapsed="false">
      <c r="A1693" s="36" t="str">
        <f aca="false">IF($B1693="","",COUNT($B$15:$B1693))</f>
        <v/>
      </c>
      <c r="B1693" s="37"/>
      <c r="C1693" s="38"/>
      <c r="D1693" s="20"/>
      <c r="E1693" s="36" t="str">
        <f aca="false">IF($D1693="","",IFERROR(INDEX('교육원 ④ 설정'!$A$6:$A$40,MATCH($D1693,'교육원 ④ 설정'!$B$6:$B$40,0)),"※없는 과목"))</f>
        <v/>
      </c>
      <c r="F1693" s="36" t="str">
        <f aca="false">IF($D1693="","",IFERROR(INDEX('교육원 ④ 설정'!$C$6:$C$40,MATCH($D1693,'교육원 ④ 설정'!$B$6:$B$40,0)),""))</f>
        <v/>
      </c>
      <c r="G1693" s="39"/>
      <c r="H1693" s="39"/>
      <c r="I1693" s="40"/>
      <c r="J1693" s="41"/>
      <c r="K1693" s="38"/>
      <c r="L1693" s="42" t="str">
        <f aca="false">IF($B1693="","",IF(AND(N($I1693)=0,N($J1693)=0),"금액이 없습니다",IF(AND($I1693&gt;0,$J1693&gt;0),"수입·지출 둘 다 적혔습니다",IF($C1693="","결제수단을 고르십시오",IF(ISNA(MATCH($C1693,'교육원 ③ 통장·카드'!$A$5:$A$11,0)),"③ 통장·카드에 없는 결제수단입니다",IF($D1693="","계정과목을 고르십시오",IF($E1693="※없는 과목","④ 설정에 없는 과목입니다",IF(AND($E1693="수입",$J1693&gt;0),"수입 과목인데 지출에 적혔습니다",IF(AND(LEFT($E1693,2)&lt;&gt;"수입",$E1693&lt;&gt;"대체",$I1693&gt;0),"지출 과목인데 수입에 적혔습니다",IF($K1693="","증빙을 고르십시오",IF($H1693="","적요를 적으십시오","")))))))))))</f>
        <v/>
      </c>
      <c r="M1693" s="39"/>
      <c r="O1693" s="11" t="str">
        <f aca="false">IF($B1693="","",YEAR($B1693)*100+MONTH($B1693))</f>
        <v/>
      </c>
      <c r="P1693" s="11" t="str">
        <f aca="false">IF($B1693="","",IF($E1693="대체",0,1))</f>
        <v/>
      </c>
    </row>
    <row r="1694" customFormat="false" ht="15" hidden="false" customHeight="false" outlineLevel="0" collapsed="false">
      <c r="A1694" s="36" t="str">
        <f aca="false">IF($B1694="","",COUNT($B$15:$B1694))</f>
        <v/>
      </c>
      <c r="B1694" s="37"/>
      <c r="C1694" s="38"/>
      <c r="D1694" s="20"/>
      <c r="E1694" s="36" t="str">
        <f aca="false">IF($D1694="","",IFERROR(INDEX('교육원 ④ 설정'!$A$6:$A$40,MATCH($D1694,'교육원 ④ 설정'!$B$6:$B$40,0)),"※없는 과목"))</f>
        <v/>
      </c>
      <c r="F1694" s="36" t="str">
        <f aca="false">IF($D1694="","",IFERROR(INDEX('교육원 ④ 설정'!$C$6:$C$40,MATCH($D1694,'교육원 ④ 설정'!$B$6:$B$40,0)),""))</f>
        <v/>
      </c>
      <c r="G1694" s="39"/>
      <c r="H1694" s="39"/>
      <c r="I1694" s="40"/>
      <c r="J1694" s="41"/>
      <c r="K1694" s="38"/>
      <c r="L1694" s="42" t="str">
        <f aca="false">IF($B1694="","",IF(AND(N($I1694)=0,N($J1694)=0),"금액이 없습니다",IF(AND($I1694&gt;0,$J1694&gt;0),"수입·지출 둘 다 적혔습니다",IF($C1694="","결제수단을 고르십시오",IF(ISNA(MATCH($C1694,'교육원 ③ 통장·카드'!$A$5:$A$11,0)),"③ 통장·카드에 없는 결제수단입니다",IF($D1694="","계정과목을 고르십시오",IF($E1694="※없는 과목","④ 설정에 없는 과목입니다",IF(AND($E1694="수입",$J1694&gt;0),"수입 과목인데 지출에 적혔습니다",IF(AND(LEFT($E1694,2)&lt;&gt;"수입",$E1694&lt;&gt;"대체",$I1694&gt;0),"지출 과목인데 수입에 적혔습니다",IF($K1694="","증빙을 고르십시오",IF($H1694="","적요를 적으십시오","")))))))))))</f>
        <v/>
      </c>
      <c r="M1694" s="39"/>
      <c r="O1694" s="11" t="str">
        <f aca="false">IF($B1694="","",YEAR($B1694)*100+MONTH($B1694))</f>
        <v/>
      </c>
      <c r="P1694" s="11" t="str">
        <f aca="false">IF($B1694="","",IF($E1694="대체",0,1))</f>
        <v/>
      </c>
    </row>
    <row r="1695" customFormat="false" ht="15" hidden="false" customHeight="false" outlineLevel="0" collapsed="false">
      <c r="A1695" s="36" t="str">
        <f aca="false">IF($B1695="","",COUNT($B$15:$B1695))</f>
        <v/>
      </c>
      <c r="B1695" s="37"/>
      <c r="C1695" s="38"/>
      <c r="D1695" s="20"/>
      <c r="E1695" s="36" t="str">
        <f aca="false">IF($D1695="","",IFERROR(INDEX('교육원 ④ 설정'!$A$6:$A$40,MATCH($D1695,'교육원 ④ 설정'!$B$6:$B$40,0)),"※없는 과목"))</f>
        <v/>
      </c>
      <c r="F1695" s="36" t="str">
        <f aca="false">IF($D1695="","",IFERROR(INDEX('교육원 ④ 설정'!$C$6:$C$40,MATCH($D1695,'교육원 ④ 설정'!$B$6:$B$40,0)),""))</f>
        <v/>
      </c>
      <c r="G1695" s="39"/>
      <c r="H1695" s="39"/>
      <c r="I1695" s="40"/>
      <c r="J1695" s="41"/>
      <c r="K1695" s="38"/>
      <c r="L1695" s="42" t="str">
        <f aca="false">IF($B1695="","",IF(AND(N($I1695)=0,N($J1695)=0),"금액이 없습니다",IF(AND($I1695&gt;0,$J1695&gt;0),"수입·지출 둘 다 적혔습니다",IF($C1695="","결제수단을 고르십시오",IF(ISNA(MATCH($C1695,'교육원 ③ 통장·카드'!$A$5:$A$11,0)),"③ 통장·카드에 없는 결제수단입니다",IF($D1695="","계정과목을 고르십시오",IF($E1695="※없는 과목","④ 설정에 없는 과목입니다",IF(AND($E1695="수입",$J1695&gt;0),"수입 과목인데 지출에 적혔습니다",IF(AND(LEFT($E1695,2)&lt;&gt;"수입",$E1695&lt;&gt;"대체",$I1695&gt;0),"지출 과목인데 수입에 적혔습니다",IF($K1695="","증빙을 고르십시오",IF($H1695="","적요를 적으십시오","")))))))))))</f>
        <v/>
      </c>
      <c r="M1695" s="39"/>
      <c r="O1695" s="11" t="str">
        <f aca="false">IF($B1695="","",YEAR($B1695)*100+MONTH($B1695))</f>
        <v/>
      </c>
      <c r="P1695" s="11" t="str">
        <f aca="false">IF($B1695="","",IF($E1695="대체",0,1))</f>
        <v/>
      </c>
    </row>
    <row r="1696" customFormat="false" ht="15" hidden="false" customHeight="false" outlineLevel="0" collapsed="false">
      <c r="A1696" s="36" t="str">
        <f aca="false">IF($B1696="","",COUNT($B$15:$B1696))</f>
        <v/>
      </c>
      <c r="B1696" s="37"/>
      <c r="C1696" s="38"/>
      <c r="D1696" s="20"/>
      <c r="E1696" s="36" t="str">
        <f aca="false">IF($D1696="","",IFERROR(INDEX('교육원 ④ 설정'!$A$6:$A$40,MATCH($D1696,'교육원 ④ 설정'!$B$6:$B$40,0)),"※없는 과목"))</f>
        <v/>
      </c>
      <c r="F1696" s="36" t="str">
        <f aca="false">IF($D1696="","",IFERROR(INDEX('교육원 ④ 설정'!$C$6:$C$40,MATCH($D1696,'교육원 ④ 설정'!$B$6:$B$40,0)),""))</f>
        <v/>
      </c>
      <c r="G1696" s="39"/>
      <c r="H1696" s="39"/>
      <c r="I1696" s="40"/>
      <c r="J1696" s="41"/>
      <c r="K1696" s="38"/>
      <c r="L1696" s="42" t="str">
        <f aca="false">IF($B1696="","",IF(AND(N($I1696)=0,N($J1696)=0),"금액이 없습니다",IF(AND($I1696&gt;0,$J1696&gt;0),"수입·지출 둘 다 적혔습니다",IF($C1696="","결제수단을 고르십시오",IF(ISNA(MATCH($C1696,'교육원 ③ 통장·카드'!$A$5:$A$11,0)),"③ 통장·카드에 없는 결제수단입니다",IF($D1696="","계정과목을 고르십시오",IF($E1696="※없는 과목","④ 설정에 없는 과목입니다",IF(AND($E1696="수입",$J1696&gt;0),"수입 과목인데 지출에 적혔습니다",IF(AND(LEFT($E1696,2)&lt;&gt;"수입",$E1696&lt;&gt;"대체",$I1696&gt;0),"지출 과목인데 수입에 적혔습니다",IF($K1696="","증빙을 고르십시오",IF($H1696="","적요를 적으십시오","")))))))))))</f>
        <v/>
      </c>
      <c r="M1696" s="39"/>
      <c r="O1696" s="11" t="str">
        <f aca="false">IF($B1696="","",YEAR($B1696)*100+MONTH($B1696))</f>
        <v/>
      </c>
      <c r="P1696" s="11" t="str">
        <f aca="false">IF($B1696="","",IF($E1696="대체",0,1))</f>
        <v/>
      </c>
    </row>
    <row r="1697" customFormat="false" ht="15" hidden="false" customHeight="false" outlineLevel="0" collapsed="false">
      <c r="A1697" s="36" t="str">
        <f aca="false">IF($B1697="","",COUNT($B$15:$B1697))</f>
        <v/>
      </c>
      <c r="B1697" s="37"/>
      <c r="C1697" s="38"/>
      <c r="D1697" s="20"/>
      <c r="E1697" s="36" t="str">
        <f aca="false">IF($D1697="","",IFERROR(INDEX('교육원 ④ 설정'!$A$6:$A$40,MATCH($D1697,'교육원 ④ 설정'!$B$6:$B$40,0)),"※없는 과목"))</f>
        <v/>
      </c>
      <c r="F1697" s="36" t="str">
        <f aca="false">IF($D1697="","",IFERROR(INDEX('교육원 ④ 설정'!$C$6:$C$40,MATCH($D1697,'교육원 ④ 설정'!$B$6:$B$40,0)),""))</f>
        <v/>
      </c>
      <c r="G1697" s="39"/>
      <c r="H1697" s="39"/>
      <c r="I1697" s="40"/>
      <c r="J1697" s="41"/>
      <c r="K1697" s="38"/>
      <c r="L1697" s="42" t="str">
        <f aca="false">IF($B1697="","",IF(AND(N($I1697)=0,N($J1697)=0),"금액이 없습니다",IF(AND($I1697&gt;0,$J1697&gt;0),"수입·지출 둘 다 적혔습니다",IF($C1697="","결제수단을 고르십시오",IF(ISNA(MATCH($C1697,'교육원 ③ 통장·카드'!$A$5:$A$11,0)),"③ 통장·카드에 없는 결제수단입니다",IF($D1697="","계정과목을 고르십시오",IF($E1697="※없는 과목","④ 설정에 없는 과목입니다",IF(AND($E1697="수입",$J1697&gt;0),"수입 과목인데 지출에 적혔습니다",IF(AND(LEFT($E1697,2)&lt;&gt;"수입",$E1697&lt;&gt;"대체",$I1697&gt;0),"지출 과목인데 수입에 적혔습니다",IF($K1697="","증빙을 고르십시오",IF($H1697="","적요를 적으십시오","")))))))))))</f>
        <v/>
      </c>
      <c r="M1697" s="39"/>
      <c r="O1697" s="11" t="str">
        <f aca="false">IF($B1697="","",YEAR($B1697)*100+MONTH($B1697))</f>
        <v/>
      </c>
      <c r="P1697" s="11" t="str">
        <f aca="false">IF($B1697="","",IF($E1697="대체",0,1))</f>
        <v/>
      </c>
    </row>
    <row r="1698" customFormat="false" ht="15" hidden="false" customHeight="false" outlineLevel="0" collapsed="false">
      <c r="A1698" s="36" t="str">
        <f aca="false">IF($B1698="","",COUNT($B$15:$B1698))</f>
        <v/>
      </c>
      <c r="B1698" s="37"/>
      <c r="C1698" s="38"/>
      <c r="D1698" s="20"/>
      <c r="E1698" s="36" t="str">
        <f aca="false">IF($D1698="","",IFERROR(INDEX('교육원 ④ 설정'!$A$6:$A$40,MATCH($D1698,'교육원 ④ 설정'!$B$6:$B$40,0)),"※없는 과목"))</f>
        <v/>
      </c>
      <c r="F1698" s="36" t="str">
        <f aca="false">IF($D1698="","",IFERROR(INDEX('교육원 ④ 설정'!$C$6:$C$40,MATCH($D1698,'교육원 ④ 설정'!$B$6:$B$40,0)),""))</f>
        <v/>
      </c>
      <c r="G1698" s="39"/>
      <c r="H1698" s="39"/>
      <c r="I1698" s="40"/>
      <c r="J1698" s="41"/>
      <c r="K1698" s="38"/>
      <c r="L1698" s="42" t="str">
        <f aca="false">IF($B1698="","",IF(AND(N($I1698)=0,N($J1698)=0),"금액이 없습니다",IF(AND($I1698&gt;0,$J1698&gt;0),"수입·지출 둘 다 적혔습니다",IF($C1698="","결제수단을 고르십시오",IF(ISNA(MATCH($C1698,'교육원 ③ 통장·카드'!$A$5:$A$11,0)),"③ 통장·카드에 없는 결제수단입니다",IF($D1698="","계정과목을 고르십시오",IF($E1698="※없는 과목","④ 설정에 없는 과목입니다",IF(AND($E1698="수입",$J1698&gt;0),"수입 과목인데 지출에 적혔습니다",IF(AND(LEFT($E1698,2)&lt;&gt;"수입",$E1698&lt;&gt;"대체",$I1698&gt;0),"지출 과목인데 수입에 적혔습니다",IF($K1698="","증빙을 고르십시오",IF($H1698="","적요를 적으십시오","")))))))))))</f>
        <v/>
      </c>
      <c r="M1698" s="39"/>
      <c r="O1698" s="11" t="str">
        <f aca="false">IF($B1698="","",YEAR($B1698)*100+MONTH($B1698))</f>
        <v/>
      </c>
      <c r="P1698" s="11" t="str">
        <f aca="false">IF($B1698="","",IF($E1698="대체",0,1))</f>
        <v/>
      </c>
    </row>
    <row r="1699" customFormat="false" ht="15" hidden="false" customHeight="false" outlineLevel="0" collapsed="false">
      <c r="A1699" s="36" t="str">
        <f aca="false">IF($B1699="","",COUNT($B$15:$B1699))</f>
        <v/>
      </c>
      <c r="B1699" s="37"/>
      <c r="C1699" s="38"/>
      <c r="D1699" s="20"/>
      <c r="E1699" s="36" t="str">
        <f aca="false">IF($D1699="","",IFERROR(INDEX('교육원 ④ 설정'!$A$6:$A$40,MATCH($D1699,'교육원 ④ 설정'!$B$6:$B$40,0)),"※없는 과목"))</f>
        <v/>
      </c>
      <c r="F1699" s="36" t="str">
        <f aca="false">IF($D1699="","",IFERROR(INDEX('교육원 ④ 설정'!$C$6:$C$40,MATCH($D1699,'교육원 ④ 설정'!$B$6:$B$40,0)),""))</f>
        <v/>
      </c>
      <c r="G1699" s="39"/>
      <c r="H1699" s="39"/>
      <c r="I1699" s="40"/>
      <c r="J1699" s="41"/>
      <c r="K1699" s="38"/>
      <c r="L1699" s="42" t="str">
        <f aca="false">IF($B1699="","",IF(AND(N($I1699)=0,N($J1699)=0),"금액이 없습니다",IF(AND($I1699&gt;0,$J1699&gt;0),"수입·지출 둘 다 적혔습니다",IF($C1699="","결제수단을 고르십시오",IF(ISNA(MATCH($C1699,'교육원 ③ 통장·카드'!$A$5:$A$11,0)),"③ 통장·카드에 없는 결제수단입니다",IF($D1699="","계정과목을 고르십시오",IF($E1699="※없는 과목","④ 설정에 없는 과목입니다",IF(AND($E1699="수입",$J1699&gt;0),"수입 과목인데 지출에 적혔습니다",IF(AND(LEFT($E1699,2)&lt;&gt;"수입",$E1699&lt;&gt;"대체",$I1699&gt;0),"지출 과목인데 수입에 적혔습니다",IF($K1699="","증빙을 고르십시오",IF($H1699="","적요를 적으십시오","")))))))))))</f>
        <v/>
      </c>
      <c r="M1699" s="39"/>
      <c r="O1699" s="11" t="str">
        <f aca="false">IF($B1699="","",YEAR($B1699)*100+MONTH($B1699))</f>
        <v/>
      </c>
      <c r="P1699" s="11" t="str">
        <f aca="false">IF($B1699="","",IF($E1699="대체",0,1))</f>
        <v/>
      </c>
    </row>
    <row r="1700" customFormat="false" ht="15" hidden="false" customHeight="false" outlineLevel="0" collapsed="false">
      <c r="A1700" s="36" t="str">
        <f aca="false">IF($B1700="","",COUNT($B$15:$B1700))</f>
        <v/>
      </c>
      <c r="B1700" s="37"/>
      <c r="C1700" s="38"/>
      <c r="D1700" s="20"/>
      <c r="E1700" s="36" t="str">
        <f aca="false">IF($D1700="","",IFERROR(INDEX('교육원 ④ 설정'!$A$6:$A$40,MATCH($D1700,'교육원 ④ 설정'!$B$6:$B$40,0)),"※없는 과목"))</f>
        <v/>
      </c>
      <c r="F1700" s="36" t="str">
        <f aca="false">IF($D1700="","",IFERROR(INDEX('교육원 ④ 설정'!$C$6:$C$40,MATCH($D1700,'교육원 ④ 설정'!$B$6:$B$40,0)),""))</f>
        <v/>
      </c>
      <c r="G1700" s="39"/>
      <c r="H1700" s="39"/>
      <c r="I1700" s="40"/>
      <c r="J1700" s="41"/>
      <c r="K1700" s="38"/>
      <c r="L1700" s="42" t="str">
        <f aca="false">IF($B1700="","",IF(AND(N($I1700)=0,N($J1700)=0),"금액이 없습니다",IF(AND($I1700&gt;0,$J1700&gt;0),"수입·지출 둘 다 적혔습니다",IF($C1700="","결제수단을 고르십시오",IF(ISNA(MATCH($C1700,'교육원 ③ 통장·카드'!$A$5:$A$11,0)),"③ 통장·카드에 없는 결제수단입니다",IF($D1700="","계정과목을 고르십시오",IF($E1700="※없는 과목","④ 설정에 없는 과목입니다",IF(AND($E1700="수입",$J1700&gt;0),"수입 과목인데 지출에 적혔습니다",IF(AND(LEFT($E1700,2)&lt;&gt;"수입",$E1700&lt;&gt;"대체",$I1700&gt;0),"지출 과목인데 수입에 적혔습니다",IF($K1700="","증빙을 고르십시오",IF($H1700="","적요를 적으십시오","")))))))))))</f>
        <v/>
      </c>
      <c r="M1700" s="39"/>
      <c r="O1700" s="11" t="str">
        <f aca="false">IF($B1700="","",YEAR($B1700)*100+MONTH($B1700))</f>
        <v/>
      </c>
      <c r="P1700" s="11" t="str">
        <f aca="false">IF($B1700="","",IF($E1700="대체",0,1))</f>
        <v/>
      </c>
    </row>
    <row r="1701" customFormat="false" ht="15" hidden="false" customHeight="false" outlineLevel="0" collapsed="false">
      <c r="A1701" s="36" t="str">
        <f aca="false">IF($B1701="","",COUNT($B$15:$B1701))</f>
        <v/>
      </c>
      <c r="B1701" s="37"/>
      <c r="C1701" s="38"/>
      <c r="D1701" s="20"/>
      <c r="E1701" s="36" t="str">
        <f aca="false">IF($D1701="","",IFERROR(INDEX('교육원 ④ 설정'!$A$6:$A$40,MATCH($D1701,'교육원 ④ 설정'!$B$6:$B$40,0)),"※없는 과목"))</f>
        <v/>
      </c>
      <c r="F1701" s="36" t="str">
        <f aca="false">IF($D1701="","",IFERROR(INDEX('교육원 ④ 설정'!$C$6:$C$40,MATCH($D1701,'교육원 ④ 설정'!$B$6:$B$40,0)),""))</f>
        <v/>
      </c>
      <c r="G1701" s="39"/>
      <c r="H1701" s="39"/>
      <c r="I1701" s="40"/>
      <c r="J1701" s="41"/>
      <c r="K1701" s="38"/>
      <c r="L1701" s="42" t="str">
        <f aca="false">IF($B1701="","",IF(AND(N($I1701)=0,N($J1701)=0),"금액이 없습니다",IF(AND($I1701&gt;0,$J1701&gt;0),"수입·지출 둘 다 적혔습니다",IF($C1701="","결제수단을 고르십시오",IF(ISNA(MATCH($C1701,'교육원 ③ 통장·카드'!$A$5:$A$11,0)),"③ 통장·카드에 없는 결제수단입니다",IF($D1701="","계정과목을 고르십시오",IF($E1701="※없는 과목","④ 설정에 없는 과목입니다",IF(AND($E1701="수입",$J1701&gt;0),"수입 과목인데 지출에 적혔습니다",IF(AND(LEFT($E1701,2)&lt;&gt;"수입",$E1701&lt;&gt;"대체",$I1701&gt;0),"지출 과목인데 수입에 적혔습니다",IF($K1701="","증빙을 고르십시오",IF($H1701="","적요를 적으십시오","")))))))))))</f>
        <v/>
      </c>
      <c r="M1701" s="39"/>
      <c r="O1701" s="11" t="str">
        <f aca="false">IF($B1701="","",YEAR($B1701)*100+MONTH($B1701))</f>
        <v/>
      </c>
      <c r="P1701" s="11" t="str">
        <f aca="false">IF($B1701="","",IF($E1701="대체",0,1))</f>
        <v/>
      </c>
    </row>
    <row r="1702" customFormat="false" ht="15" hidden="false" customHeight="false" outlineLevel="0" collapsed="false">
      <c r="A1702" s="36" t="str">
        <f aca="false">IF($B1702="","",COUNT($B$15:$B1702))</f>
        <v/>
      </c>
      <c r="B1702" s="37"/>
      <c r="C1702" s="38"/>
      <c r="D1702" s="20"/>
      <c r="E1702" s="36" t="str">
        <f aca="false">IF($D1702="","",IFERROR(INDEX('교육원 ④ 설정'!$A$6:$A$40,MATCH($D1702,'교육원 ④ 설정'!$B$6:$B$40,0)),"※없는 과목"))</f>
        <v/>
      </c>
      <c r="F1702" s="36" t="str">
        <f aca="false">IF($D1702="","",IFERROR(INDEX('교육원 ④ 설정'!$C$6:$C$40,MATCH($D1702,'교육원 ④ 설정'!$B$6:$B$40,0)),""))</f>
        <v/>
      </c>
      <c r="G1702" s="39"/>
      <c r="H1702" s="39"/>
      <c r="I1702" s="40"/>
      <c r="J1702" s="41"/>
      <c r="K1702" s="38"/>
      <c r="L1702" s="42" t="str">
        <f aca="false">IF($B1702="","",IF(AND(N($I1702)=0,N($J1702)=0),"금액이 없습니다",IF(AND($I1702&gt;0,$J1702&gt;0),"수입·지출 둘 다 적혔습니다",IF($C1702="","결제수단을 고르십시오",IF(ISNA(MATCH($C1702,'교육원 ③ 통장·카드'!$A$5:$A$11,0)),"③ 통장·카드에 없는 결제수단입니다",IF($D1702="","계정과목을 고르십시오",IF($E1702="※없는 과목","④ 설정에 없는 과목입니다",IF(AND($E1702="수입",$J1702&gt;0),"수입 과목인데 지출에 적혔습니다",IF(AND(LEFT($E1702,2)&lt;&gt;"수입",$E1702&lt;&gt;"대체",$I1702&gt;0),"지출 과목인데 수입에 적혔습니다",IF($K1702="","증빙을 고르십시오",IF($H1702="","적요를 적으십시오","")))))))))))</f>
        <v/>
      </c>
      <c r="M1702" s="39"/>
      <c r="O1702" s="11" t="str">
        <f aca="false">IF($B1702="","",YEAR($B1702)*100+MONTH($B1702))</f>
        <v/>
      </c>
      <c r="P1702" s="11" t="str">
        <f aca="false">IF($B1702="","",IF($E1702="대체",0,1))</f>
        <v/>
      </c>
    </row>
    <row r="1703" customFormat="false" ht="15" hidden="false" customHeight="false" outlineLevel="0" collapsed="false">
      <c r="A1703" s="36" t="str">
        <f aca="false">IF($B1703="","",COUNT($B$15:$B1703))</f>
        <v/>
      </c>
      <c r="B1703" s="37"/>
      <c r="C1703" s="38"/>
      <c r="D1703" s="20"/>
      <c r="E1703" s="36" t="str">
        <f aca="false">IF($D1703="","",IFERROR(INDEX('교육원 ④ 설정'!$A$6:$A$40,MATCH($D1703,'교육원 ④ 설정'!$B$6:$B$40,0)),"※없는 과목"))</f>
        <v/>
      </c>
      <c r="F1703" s="36" t="str">
        <f aca="false">IF($D1703="","",IFERROR(INDEX('교육원 ④ 설정'!$C$6:$C$40,MATCH($D1703,'교육원 ④ 설정'!$B$6:$B$40,0)),""))</f>
        <v/>
      </c>
      <c r="G1703" s="39"/>
      <c r="H1703" s="39"/>
      <c r="I1703" s="40"/>
      <c r="J1703" s="41"/>
      <c r="K1703" s="38"/>
      <c r="L1703" s="42" t="str">
        <f aca="false">IF($B1703="","",IF(AND(N($I1703)=0,N($J1703)=0),"금액이 없습니다",IF(AND($I1703&gt;0,$J1703&gt;0),"수입·지출 둘 다 적혔습니다",IF($C1703="","결제수단을 고르십시오",IF(ISNA(MATCH($C1703,'교육원 ③ 통장·카드'!$A$5:$A$11,0)),"③ 통장·카드에 없는 결제수단입니다",IF($D1703="","계정과목을 고르십시오",IF($E1703="※없는 과목","④ 설정에 없는 과목입니다",IF(AND($E1703="수입",$J1703&gt;0),"수입 과목인데 지출에 적혔습니다",IF(AND(LEFT($E1703,2)&lt;&gt;"수입",$E1703&lt;&gt;"대체",$I1703&gt;0),"지출 과목인데 수입에 적혔습니다",IF($K1703="","증빙을 고르십시오",IF($H1703="","적요를 적으십시오","")))))))))))</f>
        <v/>
      </c>
      <c r="M1703" s="39"/>
      <c r="O1703" s="11" t="str">
        <f aca="false">IF($B1703="","",YEAR($B1703)*100+MONTH($B1703))</f>
        <v/>
      </c>
      <c r="P1703" s="11" t="str">
        <f aca="false">IF($B1703="","",IF($E1703="대체",0,1))</f>
        <v/>
      </c>
    </row>
    <row r="1704" customFormat="false" ht="15" hidden="false" customHeight="false" outlineLevel="0" collapsed="false">
      <c r="A1704" s="36" t="str">
        <f aca="false">IF($B1704="","",COUNT($B$15:$B1704))</f>
        <v/>
      </c>
      <c r="B1704" s="37"/>
      <c r="C1704" s="38"/>
      <c r="D1704" s="20"/>
      <c r="E1704" s="36" t="str">
        <f aca="false">IF($D1704="","",IFERROR(INDEX('교육원 ④ 설정'!$A$6:$A$40,MATCH($D1704,'교육원 ④ 설정'!$B$6:$B$40,0)),"※없는 과목"))</f>
        <v/>
      </c>
      <c r="F1704" s="36" t="str">
        <f aca="false">IF($D1704="","",IFERROR(INDEX('교육원 ④ 설정'!$C$6:$C$40,MATCH($D1704,'교육원 ④ 설정'!$B$6:$B$40,0)),""))</f>
        <v/>
      </c>
      <c r="G1704" s="39"/>
      <c r="H1704" s="39"/>
      <c r="I1704" s="40"/>
      <c r="J1704" s="41"/>
      <c r="K1704" s="38"/>
      <c r="L1704" s="42" t="str">
        <f aca="false">IF($B1704="","",IF(AND(N($I1704)=0,N($J1704)=0),"금액이 없습니다",IF(AND($I1704&gt;0,$J1704&gt;0),"수입·지출 둘 다 적혔습니다",IF($C1704="","결제수단을 고르십시오",IF(ISNA(MATCH($C1704,'교육원 ③ 통장·카드'!$A$5:$A$11,0)),"③ 통장·카드에 없는 결제수단입니다",IF($D1704="","계정과목을 고르십시오",IF($E1704="※없는 과목","④ 설정에 없는 과목입니다",IF(AND($E1704="수입",$J1704&gt;0),"수입 과목인데 지출에 적혔습니다",IF(AND(LEFT($E1704,2)&lt;&gt;"수입",$E1704&lt;&gt;"대체",$I1704&gt;0),"지출 과목인데 수입에 적혔습니다",IF($K1704="","증빙을 고르십시오",IF($H1704="","적요를 적으십시오","")))))))))))</f>
        <v/>
      </c>
      <c r="M1704" s="39"/>
      <c r="O1704" s="11" t="str">
        <f aca="false">IF($B1704="","",YEAR($B1704)*100+MONTH($B1704))</f>
        <v/>
      </c>
      <c r="P1704" s="11" t="str">
        <f aca="false">IF($B1704="","",IF($E1704="대체",0,1))</f>
        <v/>
      </c>
    </row>
    <row r="1705" customFormat="false" ht="15" hidden="false" customHeight="false" outlineLevel="0" collapsed="false">
      <c r="A1705" s="36" t="str">
        <f aca="false">IF($B1705="","",COUNT($B$15:$B1705))</f>
        <v/>
      </c>
      <c r="B1705" s="37"/>
      <c r="C1705" s="38"/>
      <c r="D1705" s="20"/>
      <c r="E1705" s="36" t="str">
        <f aca="false">IF($D1705="","",IFERROR(INDEX('교육원 ④ 설정'!$A$6:$A$40,MATCH($D1705,'교육원 ④ 설정'!$B$6:$B$40,0)),"※없는 과목"))</f>
        <v/>
      </c>
      <c r="F1705" s="36" t="str">
        <f aca="false">IF($D1705="","",IFERROR(INDEX('교육원 ④ 설정'!$C$6:$C$40,MATCH($D1705,'교육원 ④ 설정'!$B$6:$B$40,0)),""))</f>
        <v/>
      </c>
      <c r="G1705" s="39"/>
      <c r="H1705" s="39"/>
      <c r="I1705" s="40"/>
      <c r="J1705" s="41"/>
      <c r="K1705" s="38"/>
      <c r="L1705" s="42" t="str">
        <f aca="false">IF($B1705="","",IF(AND(N($I1705)=0,N($J1705)=0),"금액이 없습니다",IF(AND($I1705&gt;0,$J1705&gt;0),"수입·지출 둘 다 적혔습니다",IF($C1705="","결제수단을 고르십시오",IF(ISNA(MATCH($C1705,'교육원 ③ 통장·카드'!$A$5:$A$11,0)),"③ 통장·카드에 없는 결제수단입니다",IF($D1705="","계정과목을 고르십시오",IF($E1705="※없는 과목","④ 설정에 없는 과목입니다",IF(AND($E1705="수입",$J1705&gt;0),"수입 과목인데 지출에 적혔습니다",IF(AND(LEFT($E1705,2)&lt;&gt;"수입",$E1705&lt;&gt;"대체",$I1705&gt;0),"지출 과목인데 수입에 적혔습니다",IF($K1705="","증빙을 고르십시오",IF($H1705="","적요를 적으십시오","")))))))))))</f>
        <v/>
      </c>
      <c r="M1705" s="39"/>
      <c r="O1705" s="11" t="str">
        <f aca="false">IF($B1705="","",YEAR($B1705)*100+MONTH($B1705))</f>
        <v/>
      </c>
      <c r="P1705" s="11" t="str">
        <f aca="false">IF($B1705="","",IF($E1705="대체",0,1))</f>
        <v/>
      </c>
    </row>
    <row r="1706" customFormat="false" ht="15" hidden="false" customHeight="false" outlineLevel="0" collapsed="false">
      <c r="A1706" s="36" t="str">
        <f aca="false">IF($B1706="","",COUNT($B$15:$B1706))</f>
        <v/>
      </c>
      <c r="B1706" s="37"/>
      <c r="C1706" s="38"/>
      <c r="D1706" s="20"/>
      <c r="E1706" s="36" t="str">
        <f aca="false">IF($D1706="","",IFERROR(INDEX('교육원 ④ 설정'!$A$6:$A$40,MATCH($D1706,'교육원 ④ 설정'!$B$6:$B$40,0)),"※없는 과목"))</f>
        <v/>
      </c>
      <c r="F1706" s="36" t="str">
        <f aca="false">IF($D1706="","",IFERROR(INDEX('교육원 ④ 설정'!$C$6:$C$40,MATCH($D1706,'교육원 ④ 설정'!$B$6:$B$40,0)),""))</f>
        <v/>
      </c>
      <c r="G1706" s="39"/>
      <c r="H1706" s="39"/>
      <c r="I1706" s="40"/>
      <c r="J1706" s="41"/>
      <c r="K1706" s="38"/>
      <c r="L1706" s="42" t="str">
        <f aca="false">IF($B1706="","",IF(AND(N($I1706)=0,N($J1706)=0),"금액이 없습니다",IF(AND($I1706&gt;0,$J1706&gt;0),"수입·지출 둘 다 적혔습니다",IF($C1706="","결제수단을 고르십시오",IF(ISNA(MATCH($C1706,'교육원 ③ 통장·카드'!$A$5:$A$11,0)),"③ 통장·카드에 없는 결제수단입니다",IF($D1706="","계정과목을 고르십시오",IF($E1706="※없는 과목","④ 설정에 없는 과목입니다",IF(AND($E1706="수입",$J1706&gt;0),"수입 과목인데 지출에 적혔습니다",IF(AND(LEFT($E1706,2)&lt;&gt;"수입",$E1706&lt;&gt;"대체",$I1706&gt;0),"지출 과목인데 수입에 적혔습니다",IF($K1706="","증빙을 고르십시오",IF($H1706="","적요를 적으십시오","")))))))))))</f>
        <v/>
      </c>
      <c r="M1706" s="39"/>
      <c r="O1706" s="11" t="str">
        <f aca="false">IF($B1706="","",YEAR($B1706)*100+MONTH($B1706))</f>
        <v/>
      </c>
      <c r="P1706" s="11" t="str">
        <f aca="false">IF($B1706="","",IF($E1706="대체",0,1))</f>
        <v/>
      </c>
    </row>
    <row r="1707" customFormat="false" ht="15" hidden="false" customHeight="false" outlineLevel="0" collapsed="false">
      <c r="A1707" s="36" t="str">
        <f aca="false">IF($B1707="","",COUNT($B$15:$B1707))</f>
        <v/>
      </c>
      <c r="B1707" s="37"/>
      <c r="C1707" s="38"/>
      <c r="D1707" s="20"/>
      <c r="E1707" s="36" t="str">
        <f aca="false">IF($D1707="","",IFERROR(INDEX('교육원 ④ 설정'!$A$6:$A$40,MATCH($D1707,'교육원 ④ 설정'!$B$6:$B$40,0)),"※없는 과목"))</f>
        <v/>
      </c>
      <c r="F1707" s="36" t="str">
        <f aca="false">IF($D1707="","",IFERROR(INDEX('교육원 ④ 설정'!$C$6:$C$40,MATCH($D1707,'교육원 ④ 설정'!$B$6:$B$40,0)),""))</f>
        <v/>
      </c>
      <c r="G1707" s="39"/>
      <c r="H1707" s="39"/>
      <c r="I1707" s="40"/>
      <c r="J1707" s="41"/>
      <c r="K1707" s="38"/>
      <c r="L1707" s="42" t="str">
        <f aca="false">IF($B1707="","",IF(AND(N($I1707)=0,N($J1707)=0),"금액이 없습니다",IF(AND($I1707&gt;0,$J1707&gt;0),"수입·지출 둘 다 적혔습니다",IF($C1707="","결제수단을 고르십시오",IF(ISNA(MATCH($C1707,'교육원 ③ 통장·카드'!$A$5:$A$11,0)),"③ 통장·카드에 없는 결제수단입니다",IF($D1707="","계정과목을 고르십시오",IF($E1707="※없는 과목","④ 설정에 없는 과목입니다",IF(AND($E1707="수입",$J1707&gt;0),"수입 과목인데 지출에 적혔습니다",IF(AND(LEFT($E1707,2)&lt;&gt;"수입",$E1707&lt;&gt;"대체",$I1707&gt;0),"지출 과목인데 수입에 적혔습니다",IF($K1707="","증빙을 고르십시오",IF($H1707="","적요를 적으십시오","")))))))))))</f>
        <v/>
      </c>
      <c r="M1707" s="39"/>
      <c r="O1707" s="11" t="str">
        <f aca="false">IF($B1707="","",YEAR($B1707)*100+MONTH($B1707))</f>
        <v/>
      </c>
      <c r="P1707" s="11" t="str">
        <f aca="false">IF($B1707="","",IF($E1707="대체",0,1))</f>
        <v/>
      </c>
    </row>
    <row r="1708" customFormat="false" ht="15" hidden="false" customHeight="false" outlineLevel="0" collapsed="false">
      <c r="A1708" s="36" t="str">
        <f aca="false">IF($B1708="","",COUNT($B$15:$B1708))</f>
        <v/>
      </c>
      <c r="B1708" s="37"/>
      <c r="C1708" s="38"/>
      <c r="D1708" s="20"/>
      <c r="E1708" s="36" t="str">
        <f aca="false">IF($D1708="","",IFERROR(INDEX('교육원 ④ 설정'!$A$6:$A$40,MATCH($D1708,'교육원 ④ 설정'!$B$6:$B$40,0)),"※없는 과목"))</f>
        <v/>
      </c>
      <c r="F1708" s="36" t="str">
        <f aca="false">IF($D1708="","",IFERROR(INDEX('교육원 ④ 설정'!$C$6:$C$40,MATCH($D1708,'교육원 ④ 설정'!$B$6:$B$40,0)),""))</f>
        <v/>
      </c>
      <c r="G1708" s="39"/>
      <c r="H1708" s="39"/>
      <c r="I1708" s="40"/>
      <c r="J1708" s="41"/>
      <c r="K1708" s="38"/>
      <c r="L1708" s="42" t="str">
        <f aca="false">IF($B1708="","",IF(AND(N($I1708)=0,N($J1708)=0),"금액이 없습니다",IF(AND($I1708&gt;0,$J1708&gt;0),"수입·지출 둘 다 적혔습니다",IF($C1708="","결제수단을 고르십시오",IF(ISNA(MATCH($C1708,'교육원 ③ 통장·카드'!$A$5:$A$11,0)),"③ 통장·카드에 없는 결제수단입니다",IF($D1708="","계정과목을 고르십시오",IF($E1708="※없는 과목","④ 설정에 없는 과목입니다",IF(AND($E1708="수입",$J1708&gt;0),"수입 과목인데 지출에 적혔습니다",IF(AND(LEFT($E1708,2)&lt;&gt;"수입",$E1708&lt;&gt;"대체",$I1708&gt;0),"지출 과목인데 수입에 적혔습니다",IF($K1708="","증빙을 고르십시오",IF($H1708="","적요를 적으십시오","")))))))))))</f>
        <v/>
      </c>
      <c r="M1708" s="39"/>
      <c r="O1708" s="11" t="str">
        <f aca="false">IF($B1708="","",YEAR($B1708)*100+MONTH($B1708))</f>
        <v/>
      </c>
      <c r="P1708" s="11" t="str">
        <f aca="false">IF($B1708="","",IF($E1708="대체",0,1))</f>
        <v/>
      </c>
    </row>
    <row r="1709" customFormat="false" ht="15" hidden="false" customHeight="false" outlineLevel="0" collapsed="false">
      <c r="A1709" s="36" t="str">
        <f aca="false">IF($B1709="","",COUNT($B$15:$B1709))</f>
        <v/>
      </c>
      <c r="B1709" s="37"/>
      <c r="C1709" s="38"/>
      <c r="D1709" s="20"/>
      <c r="E1709" s="36" t="str">
        <f aca="false">IF($D1709="","",IFERROR(INDEX('교육원 ④ 설정'!$A$6:$A$40,MATCH($D1709,'교육원 ④ 설정'!$B$6:$B$40,0)),"※없는 과목"))</f>
        <v/>
      </c>
      <c r="F1709" s="36" t="str">
        <f aca="false">IF($D1709="","",IFERROR(INDEX('교육원 ④ 설정'!$C$6:$C$40,MATCH($D1709,'교육원 ④ 설정'!$B$6:$B$40,0)),""))</f>
        <v/>
      </c>
      <c r="G1709" s="39"/>
      <c r="H1709" s="39"/>
      <c r="I1709" s="40"/>
      <c r="J1709" s="41"/>
      <c r="K1709" s="38"/>
      <c r="L1709" s="42" t="str">
        <f aca="false">IF($B1709="","",IF(AND(N($I1709)=0,N($J1709)=0),"금액이 없습니다",IF(AND($I1709&gt;0,$J1709&gt;0),"수입·지출 둘 다 적혔습니다",IF($C1709="","결제수단을 고르십시오",IF(ISNA(MATCH($C1709,'교육원 ③ 통장·카드'!$A$5:$A$11,0)),"③ 통장·카드에 없는 결제수단입니다",IF($D1709="","계정과목을 고르십시오",IF($E1709="※없는 과목","④ 설정에 없는 과목입니다",IF(AND($E1709="수입",$J1709&gt;0),"수입 과목인데 지출에 적혔습니다",IF(AND(LEFT($E1709,2)&lt;&gt;"수입",$E1709&lt;&gt;"대체",$I1709&gt;0),"지출 과목인데 수입에 적혔습니다",IF($K1709="","증빙을 고르십시오",IF($H1709="","적요를 적으십시오","")))))))))))</f>
        <v/>
      </c>
      <c r="M1709" s="39"/>
      <c r="O1709" s="11" t="str">
        <f aca="false">IF($B1709="","",YEAR($B1709)*100+MONTH($B1709))</f>
        <v/>
      </c>
      <c r="P1709" s="11" t="str">
        <f aca="false">IF($B1709="","",IF($E1709="대체",0,1))</f>
        <v/>
      </c>
    </row>
    <row r="1710" customFormat="false" ht="15" hidden="false" customHeight="false" outlineLevel="0" collapsed="false">
      <c r="A1710" s="36" t="str">
        <f aca="false">IF($B1710="","",COUNT($B$15:$B1710))</f>
        <v/>
      </c>
      <c r="B1710" s="37"/>
      <c r="C1710" s="38"/>
      <c r="D1710" s="20"/>
      <c r="E1710" s="36" t="str">
        <f aca="false">IF($D1710="","",IFERROR(INDEX('교육원 ④ 설정'!$A$6:$A$40,MATCH($D1710,'교육원 ④ 설정'!$B$6:$B$40,0)),"※없는 과목"))</f>
        <v/>
      </c>
      <c r="F1710" s="36" t="str">
        <f aca="false">IF($D1710="","",IFERROR(INDEX('교육원 ④ 설정'!$C$6:$C$40,MATCH($D1710,'교육원 ④ 설정'!$B$6:$B$40,0)),""))</f>
        <v/>
      </c>
      <c r="G1710" s="39"/>
      <c r="H1710" s="39"/>
      <c r="I1710" s="40"/>
      <c r="J1710" s="41"/>
      <c r="K1710" s="38"/>
      <c r="L1710" s="42" t="str">
        <f aca="false">IF($B1710="","",IF(AND(N($I1710)=0,N($J1710)=0),"금액이 없습니다",IF(AND($I1710&gt;0,$J1710&gt;0),"수입·지출 둘 다 적혔습니다",IF($C1710="","결제수단을 고르십시오",IF(ISNA(MATCH($C1710,'교육원 ③ 통장·카드'!$A$5:$A$11,0)),"③ 통장·카드에 없는 결제수단입니다",IF($D1710="","계정과목을 고르십시오",IF($E1710="※없는 과목","④ 설정에 없는 과목입니다",IF(AND($E1710="수입",$J1710&gt;0),"수입 과목인데 지출에 적혔습니다",IF(AND(LEFT($E1710,2)&lt;&gt;"수입",$E1710&lt;&gt;"대체",$I1710&gt;0),"지출 과목인데 수입에 적혔습니다",IF($K1710="","증빙을 고르십시오",IF($H1710="","적요를 적으십시오","")))))))))))</f>
        <v/>
      </c>
      <c r="M1710" s="39"/>
      <c r="O1710" s="11" t="str">
        <f aca="false">IF($B1710="","",YEAR($B1710)*100+MONTH($B1710))</f>
        <v/>
      </c>
      <c r="P1710" s="11" t="str">
        <f aca="false">IF($B1710="","",IF($E1710="대체",0,1))</f>
        <v/>
      </c>
    </row>
    <row r="1711" customFormat="false" ht="15" hidden="false" customHeight="false" outlineLevel="0" collapsed="false">
      <c r="A1711" s="36" t="str">
        <f aca="false">IF($B1711="","",COUNT($B$15:$B1711))</f>
        <v/>
      </c>
      <c r="B1711" s="37"/>
      <c r="C1711" s="38"/>
      <c r="D1711" s="20"/>
      <c r="E1711" s="36" t="str">
        <f aca="false">IF($D1711="","",IFERROR(INDEX('교육원 ④ 설정'!$A$6:$A$40,MATCH($D1711,'교육원 ④ 설정'!$B$6:$B$40,0)),"※없는 과목"))</f>
        <v/>
      </c>
      <c r="F1711" s="36" t="str">
        <f aca="false">IF($D1711="","",IFERROR(INDEX('교육원 ④ 설정'!$C$6:$C$40,MATCH($D1711,'교육원 ④ 설정'!$B$6:$B$40,0)),""))</f>
        <v/>
      </c>
      <c r="G1711" s="39"/>
      <c r="H1711" s="39"/>
      <c r="I1711" s="40"/>
      <c r="J1711" s="41"/>
      <c r="K1711" s="38"/>
      <c r="L1711" s="42" t="str">
        <f aca="false">IF($B1711="","",IF(AND(N($I1711)=0,N($J1711)=0),"금액이 없습니다",IF(AND($I1711&gt;0,$J1711&gt;0),"수입·지출 둘 다 적혔습니다",IF($C1711="","결제수단을 고르십시오",IF(ISNA(MATCH($C1711,'교육원 ③ 통장·카드'!$A$5:$A$11,0)),"③ 통장·카드에 없는 결제수단입니다",IF($D1711="","계정과목을 고르십시오",IF($E1711="※없는 과목","④ 설정에 없는 과목입니다",IF(AND($E1711="수입",$J1711&gt;0),"수입 과목인데 지출에 적혔습니다",IF(AND(LEFT($E1711,2)&lt;&gt;"수입",$E1711&lt;&gt;"대체",$I1711&gt;0),"지출 과목인데 수입에 적혔습니다",IF($K1711="","증빙을 고르십시오",IF($H1711="","적요를 적으십시오","")))))))))))</f>
        <v/>
      </c>
      <c r="M1711" s="39"/>
      <c r="O1711" s="11" t="str">
        <f aca="false">IF($B1711="","",YEAR($B1711)*100+MONTH($B1711))</f>
        <v/>
      </c>
      <c r="P1711" s="11" t="str">
        <f aca="false">IF($B1711="","",IF($E1711="대체",0,1))</f>
        <v/>
      </c>
    </row>
    <row r="1712" customFormat="false" ht="15" hidden="false" customHeight="false" outlineLevel="0" collapsed="false">
      <c r="A1712" s="36" t="str">
        <f aca="false">IF($B1712="","",COUNT($B$15:$B1712))</f>
        <v/>
      </c>
      <c r="B1712" s="37"/>
      <c r="C1712" s="38"/>
      <c r="D1712" s="20"/>
      <c r="E1712" s="36" t="str">
        <f aca="false">IF($D1712="","",IFERROR(INDEX('교육원 ④ 설정'!$A$6:$A$40,MATCH($D1712,'교육원 ④ 설정'!$B$6:$B$40,0)),"※없는 과목"))</f>
        <v/>
      </c>
      <c r="F1712" s="36" t="str">
        <f aca="false">IF($D1712="","",IFERROR(INDEX('교육원 ④ 설정'!$C$6:$C$40,MATCH($D1712,'교육원 ④ 설정'!$B$6:$B$40,0)),""))</f>
        <v/>
      </c>
      <c r="G1712" s="39"/>
      <c r="H1712" s="39"/>
      <c r="I1712" s="40"/>
      <c r="J1712" s="41"/>
      <c r="K1712" s="38"/>
      <c r="L1712" s="42" t="str">
        <f aca="false">IF($B1712="","",IF(AND(N($I1712)=0,N($J1712)=0),"금액이 없습니다",IF(AND($I1712&gt;0,$J1712&gt;0),"수입·지출 둘 다 적혔습니다",IF($C1712="","결제수단을 고르십시오",IF(ISNA(MATCH($C1712,'교육원 ③ 통장·카드'!$A$5:$A$11,0)),"③ 통장·카드에 없는 결제수단입니다",IF($D1712="","계정과목을 고르십시오",IF($E1712="※없는 과목","④ 설정에 없는 과목입니다",IF(AND($E1712="수입",$J1712&gt;0),"수입 과목인데 지출에 적혔습니다",IF(AND(LEFT($E1712,2)&lt;&gt;"수입",$E1712&lt;&gt;"대체",$I1712&gt;0),"지출 과목인데 수입에 적혔습니다",IF($K1712="","증빙을 고르십시오",IF($H1712="","적요를 적으십시오","")))))))))))</f>
        <v/>
      </c>
      <c r="M1712" s="39"/>
      <c r="O1712" s="11" t="str">
        <f aca="false">IF($B1712="","",YEAR($B1712)*100+MONTH($B1712))</f>
        <v/>
      </c>
      <c r="P1712" s="11" t="str">
        <f aca="false">IF($B1712="","",IF($E1712="대체",0,1))</f>
        <v/>
      </c>
    </row>
    <row r="1713" customFormat="false" ht="15" hidden="false" customHeight="false" outlineLevel="0" collapsed="false">
      <c r="A1713" s="36" t="str">
        <f aca="false">IF($B1713="","",COUNT($B$15:$B1713))</f>
        <v/>
      </c>
      <c r="B1713" s="37"/>
      <c r="C1713" s="38"/>
      <c r="D1713" s="20"/>
      <c r="E1713" s="36" t="str">
        <f aca="false">IF($D1713="","",IFERROR(INDEX('교육원 ④ 설정'!$A$6:$A$40,MATCH($D1713,'교육원 ④ 설정'!$B$6:$B$40,0)),"※없는 과목"))</f>
        <v/>
      </c>
      <c r="F1713" s="36" t="str">
        <f aca="false">IF($D1713="","",IFERROR(INDEX('교육원 ④ 설정'!$C$6:$C$40,MATCH($D1713,'교육원 ④ 설정'!$B$6:$B$40,0)),""))</f>
        <v/>
      </c>
      <c r="G1713" s="39"/>
      <c r="H1713" s="39"/>
      <c r="I1713" s="40"/>
      <c r="J1713" s="41"/>
      <c r="K1713" s="38"/>
      <c r="L1713" s="42" t="str">
        <f aca="false">IF($B1713="","",IF(AND(N($I1713)=0,N($J1713)=0),"금액이 없습니다",IF(AND($I1713&gt;0,$J1713&gt;0),"수입·지출 둘 다 적혔습니다",IF($C1713="","결제수단을 고르십시오",IF(ISNA(MATCH($C1713,'교육원 ③ 통장·카드'!$A$5:$A$11,0)),"③ 통장·카드에 없는 결제수단입니다",IF($D1713="","계정과목을 고르십시오",IF($E1713="※없는 과목","④ 설정에 없는 과목입니다",IF(AND($E1713="수입",$J1713&gt;0),"수입 과목인데 지출에 적혔습니다",IF(AND(LEFT($E1713,2)&lt;&gt;"수입",$E1713&lt;&gt;"대체",$I1713&gt;0),"지출 과목인데 수입에 적혔습니다",IF($K1713="","증빙을 고르십시오",IF($H1713="","적요를 적으십시오","")))))))))))</f>
        <v/>
      </c>
      <c r="M1713" s="39"/>
      <c r="O1713" s="11" t="str">
        <f aca="false">IF($B1713="","",YEAR($B1713)*100+MONTH($B1713))</f>
        <v/>
      </c>
      <c r="P1713" s="11" t="str">
        <f aca="false">IF($B1713="","",IF($E1713="대체",0,1))</f>
        <v/>
      </c>
    </row>
    <row r="1714" customFormat="false" ht="15" hidden="false" customHeight="false" outlineLevel="0" collapsed="false">
      <c r="A1714" s="36" t="str">
        <f aca="false">IF($B1714="","",COUNT($B$15:$B1714))</f>
        <v/>
      </c>
      <c r="B1714" s="37"/>
      <c r="C1714" s="38"/>
      <c r="D1714" s="20"/>
      <c r="E1714" s="36" t="str">
        <f aca="false">IF($D1714="","",IFERROR(INDEX('교육원 ④ 설정'!$A$6:$A$40,MATCH($D1714,'교육원 ④ 설정'!$B$6:$B$40,0)),"※없는 과목"))</f>
        <v/>
      </c>
      <c r="F1714" s="36" t="str">
        <f aca="false">IF($D1714="","",IFERROR(INDEX('교육원 ④ 설정'!$C$6:$C$40,MATCH($D1714,'교육원 ④ 설정'!$B$6:$B$40,0)),""))</f>
        <v/>
      </c>
      <c r="G1714" s="39"/>
      <c r="H1714" s="39"/>
      <c r="I1714" s="40"/>
      <c r="J1714" s="41"/>
      <c r="K1714" s="38"/>
      <c r="L1714" s="42" t="str">
        <f aca="false">IF($B1714="","",IF(AND(N($I1714)=0,N($J1714)=0),"금액이 없습니다",IF(AND($I1714&gt;0,$J1714&gt;0),"수입·지출 둘 다 적혔습니다",IF($C1714="","결제수단을 고르십시오",IF(ISNA(MATCH($C1714,'교육원 ③ 통장·카드'!$A$5:$A$11,0)),"③ 통장·카드에 없는 결제수단입니다",IF($D1714="","계정과목을 고르십시오",IF($E1714="※없는 과목","④ 설정에 없는 과목입니다",IF(AND($E1714="수입",$J1714&gt;0),"수입 과목인데 지출에 적혔습니다",IF(AND(LEFT($E1714,2)&lt;&gt;"수입",$E1714&lt;&gt;"대체",$I1714&gt;0),"지출 과목인데 수입에 적혔습니다",IF($K1714="","증빙을 고르십시오",IF($H1714="","적요를 적으십시오","")))))))))))</f>
        <v/>
      </c>
      <c r="M1714" s="39"/>
      <c r="O1714" s="11" t="str">
        <f aca="false">IF($B1714="","",YEAR($B1714)*100+MONTH($B1714))</f>
        <v/>
      </c>
      <c r="P1714" s="11" t="str">
        <f aca="false">IF($B1714="","",IF($E1714="대체",0,1))</f>
        <v/>
      </c>
    </row>
    <row r="1715" customFormat="false" ht="15" hidden="false" customHeight="false" outlineLevel="0" collapsed="false">
      <c r="A1715" s="36" t="str">
        <f aca="false">IF($B1715="","",COUNT($B$15:$B1715))</f>
        <v/>
      </c>
      <c r="B1715" s="37"/>
      <c r="C1715" s="38"/>
      <c r="D1715" s="20"/>
      <c r="E1715" s="36" t="str">
        <f aca="false">IF($D1715="","",IFERROR(INDEX('교육원 ④ 설정'!$A$6:$A$40,MATCH($D1715,'교육원 ④ 설정'!$B$6:$B$40,0)),"※없는 과목"))</f>
        <v/>
      </c>
      <c r="F1715" s="36" t="str">
        <f aca="false">IF($D1715="","",IFERROR(INDEX('교육원 ④ 설정'!$C$6:$C$40,MATCH($D1715,'교육원 ④ 설정'!$B$6:$B$40,0)),""))</f>
        <v/>
      </c>
      <c r="G1715" s="39"/>
      <c r="H1715" s="39"/>
      <c r="I1715" s="40"/>
      <c r="J1715" s="41"/>
      <c r="K1715" s="38"/>
      <c r="L1715" s="42" t="str">
        <f aca="false">IF($B1715="","",IF(AND(N($I1715)=0,N($J1715)=0),"금액이 없습니다",IF(AND($I1715&gt;0,$J1715&gt;0),"수입·지출 둘 다 적혔습니다",IF($C1715="","결제수단을 고르십시오",IF(ISNA(MATCH($C1715,'교육원 ③ 통장·카드'!$A$5:$A$11,0)),"③ 통장·카드에 없는 결제수단입니다",IF($D1715="","계정과목을 고르십시오",IF($E1715="※없는 과목","④ 설정에 없는 과목입니다",IF(AND($E1715="수입",$J1715&gt;0),"수입 과목인데 지출에 적혔습니다",IF(AND(LEFT($E1715,2)&lt;&gt;"수입",$E1715&lt;&gt;"대체",$I1715&gt;0),"지출 과목인데 수입에 적혔습니다",IF($K1715="","증빙을 고르십시오",IF($H1715="","적요를 적으십시오","")))))))))))</f>
        <v/>
      </c>
      <c r="M1715" s="39"/>
      <c r="O1715" s="11" t="str">
        <f aca="false">IF($B1715="","",YEAR($B1715)*100+MONTH($B1715))</f>
        <v/>
      </c>
      <c r="P1715" s="11" t="str">
        <f aca="false">IF($B1715="","",IF($E1715="대체",0,1))</f>
        <v/>
      </c>
    </row>
    <row r="1716" customFormat="false" ht="15" hidden="false" customHeight="false" outlineLevel="0" collapsed="false">
      <c r="A1716" s="36" t="str">
        <f aca="false">IF($B1716="","",COUNT($B$15:$B1716))</f>
        <v/>
      </c>
      <c r="B1716" s="37"/>
      <c r="C1716" s="38"/>
      <c r="D1716" s="20"/>
      <c r="E1716" s="36" t="str">
        <f aca="false">IF($D1716="","",IFERROR(INDEX('교육원 ④ 설정'!$A$6:$A$40,MATCH($D1716,'교육원 ④ 설정'!$B$6:$B$40,0)),"※없는 과목"))</f>
        <v/>
      </c>
      <c r="F1716" s="36" t="str">
        <f aca="false">IF($D1716="","",IFERROR(INDEX('교육원 ④ 설정'!$C$6:$C$40,MATCH($D1716,'교육원 ④ 설정'!$B$6:$B$40,0)),""))</f>
        <v/>
      </c>
      <c r="G1716" s="39"/>
      <c r="H1716" s="39"/>
      <c r="I1716" s="40"/>
      <c r="J1716" s="41"/>
      <c r="K1716" s="38"/>
      <c r="L1716" s="42" t="str">
        <f aca="false">IF($B1716="","",IF(AND(N($I1716)=0,N($J1716)=0),"금액이 없습니다",IF(AND($I1716&gt;0,$J1716&gt;0),"수입·지출 둘 다 적혔습니다",IF($C1716="","결제수단을 고르십시오",IF(ISNA(MATCH($C1716,'교육원 ③ 통장·카드'!$A$5:$A$11,0)),"③ 통장·카드에 없는 결제수단입니다",IF($D1716="","계정과목을 고르십시오",IF($E1716="※없는 과목","④ 설정에 없는 과목입니다",IF(AND($E1716="수입",$J1716&gt;0),"수입 과목인데 지출에 적혔습니다",IF(AND(LEFT($E1716,2)&lt;&gt;"수입",$E1716&lt;&gt;"대체",$I1716&gt;0),"지출 과목인데 수입에 적혔습니다",IF($K1716="","증빙을 고르십시오",IF($H1716="","적요를 적으십시오","")))))))))))</f>
        <v/>
      </c>
      <c r="M1716" s="39"/>
      <c r="O1716" s="11" t="str">
        <f aca="false">IF($B1716="","",YEAR($B1716)*100+MONTH($B1716))</f>
        <v/>
      </c>
      <c r="P1716" s="11" t="str">
        <f aca="false">IF($B1716="","",IF($E1716="대체",0,1))</f>
        <v/>
      </c>
    </row>
    <row r="1717" customFormat="false" ht="15" hidden="false" customHeight="false" outlineLevel="0" collapsed="false">
      <c r="A1717" s="36" t="str">
        <f aca="false">IF($B1717="","",COUNT($B$15:$B1717))</f>
        <v/>
      </c>
      <c r="B1717" s="37"/>
      <c r="C1717" s="38"/>
      <c r="D1717" s="20"/>
      <c r="E1717" s="36" t="str">
        <f aca="false">IF($D1717="","",IFERROR(INDEX('교육원 ④ 설정'!$A$6:$A$40,MATCH($D1717,'교육원 ④ 설정'!$B$6:$B$40,0)),"※없는 과목"))</f>
        <v/>
      </c>
      <c r="F1717" s="36" t="str">
        <f aca="false">IF($D1717="","",IFERROR(INDEX('교육원 ④ 설정'!$C$6:$C$40,MATCH($D1717,'교육원 ④ 설정'!$B$6:$B$40,0)),""))</f>
        <v/>
      </c>
      <c r="G1717" s="39"/>
      <c r="H1717" s="39"/>
      <c r="I1717" s="40"/>
      <c r="J1717" s="41"/>
      <c r="K1717" s="38"/>
      <c r="L1717" s="42" t="str">
        <f aca="false">IF($B1717="","",IF(AND(N($I1717)=0,N($J1717)=0),"금액이 없습니다",IF(AND($I1717&gt;0,$J1717&gt;0),"수입·지출 둘 다 적혔습니다",IF($C1717="","결제수단을 고르십시오",IF(ISNA(MATCH($C1717,'교육원 ③ 통장·카드'!$A$5:$A$11,0)),"③ 통장·카드에 없는 결제수단입니다",IF($D1717="","계정과목을 고르십시오",IF($E1717="※없는 과목","④ 설정에 없는 과목입니다",IF(AND($E1717="수입",$J1717&gt;0),"수입 과목인데 지출에 적혔습니다",IF(AND(LEFT($E1717,2)&lt;&gt;"수입",$E1717&lt;&gt;"대체",$I1717&gt;0),"지출 과목인데 수입에 적혔습니다",IF($K1717="","증빙을 고르십시오",IF($H1717="","적요를 적으십시오","")))))))))))</f>
        <v/>
      </c>
      <c r="M1717" s="39"/>
      <c r="O1717" s="11" t="str">
        <f aca="false">IF($B1717="","",YEAR($B1717)*100+MONTH($B1717))</f>
        <v/>
      </c>
      <c r="P1717" s="11" t="str">
        <f aca="false">IF($B1717="","",IF($E1717="대체",0,1))</f>
        <v/>
      </c>
    </row>
    <row r="1718" customFormat="false" ht="15" hidden="false" customHeight="false" outlineLevel="0" collapsed="false">
      <c r="A1718" s="36" t="str">
        <f aca="false">IF($B1718="","",COUNT($B$15:$B1718))</f>
        <v/>
      </c>
      <c r="B1718" s="37"/>
      <c r="C1718" s="38"/>
      <c r="D1718" s="20"/>
      <c r="E1718" s="36" t="str">
        <f aca="false">IF($D1718="","",IFERROR(INDEX('교육원 ④ 설정'!$A$6:$A$40,MATCH($D1718,'교육원 ④ 설정'!$B$6:$B$40,0)),"※없는 과목"))</f>
        <v/>
      </c>
      <c r="F1718" s="36" t="str">
        <f aca="false">IF($D1718="","",IFERROR(INDEX('교육원 ④ 설정'!$C$6:$C$40,MATCH($D1718,'교육원 ④ 설정'!$B$6:$B$40,0)),""))</f>
        <v/>
      </c>
      <c r="G1718" s="39"/>
      <c r="H1718" s="39"/>
      <c r="I1718" s="40"/>
      <c r="J1718" s="41"/>
      <c r="K1718" s="38"/>
      <c r="L1718" s="42" t="str">
        <f aca="false">IF($B1718="","",IF(AND(N($I1718)=0,N($J1718)=0),"금액이 없습니다",IF(AND($I1718&gt;0,$J1718&gt;0),"수입·지출 둘 다 적혔습니다",IF($C1718="","결제수단을 고르십시오",IF(ISNA(MATCH($C1718,'교육원 ③ 통장·카드'!$A$5:$A$11,0)),"③ 통장·카드에 없는 결제수단입니다",IF($D1718="","계정과목을 고르십시오",IF($E1718="※없는 과목","④ 설정에 없는 과목입니다",IF(AND($E1718="수입",$J1718&gt;0),"수입 과목인데 지출에 적혔습니다",IF(AND(LEFT($E1718,2)&lt;&gt;"수입",$E1718&lt;&gt;"대체",$I1718&gt;0),"지출 과목인데 수입에 적혔습니다",IF($K1718="","증빙을 고르십시오",IF($H1718="","적요를 적으십시오","")))))))))))</f>
        <v/>
      </c>
      <c r="M1718" s="39"/>
      <c r="O1718" s="11" t="str">
        <f aca="false">IF($B1718="","",YEAR($B1718)*100+MONTH($B1718))</f>
        <v/>
      </c>
      <c r="P1718" s="11" t="str">
        <f aca="false">IF($B1718="","",IF($E1718="대체",0,1))</f>
        <v/>
      </c>
    </row>
    <row r="1719" customFormat="false" ht="15" hidden="false" customHeight="false" outlineLevel="0" collapsed="false">
      <c r="A1719" s="36" t="str">
        <f aca="false">IF($B1719="","",COUNT($B$15:$B1719))</f>
        <v/>
      </c>
      <c r="B1719" s="37"/>
      <c r="C1719" s="38"/>
      <c r="D1719" s="20"/>
      <c r="E1719" s="36" t="str">
        <f aca="false">IF($D1719="","",IFERROR(INDEX('교육원 ④ 설정'!$A$6:$A$40,MATCH($D1719,'교육원 ④ 설정'!$B$6:$B$40,0)),"※없는 과목"))</f>
        <v/>
      </c>
      <c r="F1719" s="36" t="str">
        <f aca="false">IF($D1719="","",IFERROR(INDEX('교육원 ④ 설정'!$C$6:$C$40,MATCH($D1719,'교육원 ④ 설정'!$B$6:$B$40,0)),""))</f>
        <v/>
      </c>
      <c r="G1719" s="39"/>
      <c r="H1719" s="39"/>
      <c r="I1719" s="40"/>
      <c r="J1719" s="41"/>
      <c r="K1719" s="38"/>
      <c r="L1719" s="42" t="str">
        <f aca="false">IF($B1719="","",IF(AND(N($I1719)=0,N($J1719)=0),"금액이 없습니다",IF(AND($I1719&gt;0,$J1719&gt;0),"수입·지출 둘 다 적혔습니다",IF($C1719="","결제수단을 고르십시오",IF(ISNA(MATCH($C1719,'교육원 ③ 통장·카드'!$A$5:$A$11,0)),"③ 통장·카드에 없는 결제수단입니다",IF($D1719="","계정과목을 고르십시오",IF($E1719="※없는 과목","④ 설정에 없는 과목입니다",IF(AND($E1719="수입",$J1719&gt;0),"수입 과목인데 지출에 적혔습니다",IF(AND(LEFT($E1719,2)&lt;&gt;"수입",$E1719&lt;&gt;"대체",$I1719&gt;0),"지출 과목인데 수입에 적혔습니다",IF($K1719="","증빙을 고르십시오",IF($H1719="","적요를 적으십시오","")))))))))))</f>
        <v/>
      </c>
      <c r="M1719" s="39"/>
      <c r="O1719" s="11" t="str">
        <f aca="false">IF($B1719="","",YEAR($B1719)*100+MONTH($B1719))</f>
        <v/>
      </c>
      <c r="P1719" s="11" t="str">
        <f aca="false">IF($B1719="","",IF($E1719="대체",0,1))</f>
        <v/>
      </c>
    </row>
    <row r="1720" customFormat="false" ht="15" hidden="false" customHeight="false" outlineLevel="0" collapsed="false">
      <c r="A1720" s="36" t="str">
        <f aca="false">IF($B1720="","",COUNT($B$15:$B1720))</f>
        <v/>
      </c>
      <c r="B1720" s="37"/>
      <c r="C1720" s="38"/>
      <c r="D1720" s="20"/>
      <c r="E1720" s="36" t="str">
        <f aca="false">IF($D1720="","",IFERROR(INDEX('교육원 ④ 설정'!$A$6:$A$40,MATCH($D1720,'교육원 ④ 설정'!$B$6:$B$40,0)),"※없는 과목"))</f>
        <v/>
      </c>
      <c r="F1720" s="36" t="str">
        <f aca="false">IF($D1720="","",IFERROR(INDEX('교육원 ④ 설정'!$C$6:$C$40,MATCH($D1720,'교육원 ④ 설정'!$B$6:$B$40,0)),""))</f>
        <v/>
      </c>
      <c r="G1720" s="39"/>
      <c r="H1720" s="39"/>
      <c r="I1720" s="40"/>
      <c r="J1720" s="41"/>
      <c r="K1720" s="38"/>
      <c r="L1720" s="42" t="str">
        <f aca="false">IF($B1720="","",IF(AND(N($I1720)=0,N($J1720)=0),"금액이 없습니다",IF(AND($I1720&gt;0,$J1720&gt;0),"수입·지출 둘 다 적혔습니다",IF($C1720="","결제수단을 고르십시오",IF(ISNA(MATCH($C1720,'교육원 ③ 통장·카드'!$A$5:$A$11,0)),"③ 통장·카드에 없는 결제수단입니다",IF($D1720="","계정과목을 고르십시오",IF($E1720="※없는 과목","④ 설정에 없는 과목입니다",IF(AND($E1720="수입",$J1720&gt;0),"수입 과목인데 지출에 적혔습니다",IF(AND(LEFT($E1720,2)&lt;&gt;"수입",$E1720&lt;&gt;"대체",$I1720&gt;0),"지출 과목인데 수입에 적혔습니다",IF($K1720="","증빙을 고르십시오",IF($H1720="","적요를 적으십시오","")))))))))))</f>
        <v/>
      </c>
      <c r="M1720" s="39"/>
      <c r="O1720" s="11" t="str">
        <f aca="false">IF($B1720="","",YEAR($B1720)*100+MONTH($B1720))</f>
        <v/>
      </c>
      <c r="P1720" s="11" t="str">
        <f aca="false">IF($B1720="","",IF($E1720="대체",0,1))</f>
        <v/>
      </c>
    </row>
    <row r="1721" customFormat="false" ht="15" hidden="false" customHeight="false" outlineLevel="0" collapsed="false">
      <c r="A1721" s="36" t="str">
        <f aca="false">IF($B1721="","",COUNT($B$15:$B1721))</f>
        <v/>
      </c>
      <c r="B1721" s="37"/>
      <c r="C1721" s="38"/>
      <c r="D1721" s="20"/>
      <c r="E1721" s="36" t="str">
        <f aca="false">IF($D1721="","",IFERROR(INDEX('교육원 ④ 설정'!$A$6:$A$40,MATCH($D1721,'교육원 ④ 설정'!$B$6:$B$40,0)),"※없는 과목"))</f>
        <v/>
      </c>
      <c r="F1721" s="36" t="str">
        <f aca="false">IF($D1721="","",IFERROR(INDEX('교육원 ④ 설정'!$C$6:$C$40,MATCH($D1721,'교육원 ④ 설정'!$B$6:$B$40,0)),""))</f>
        <v/>
      </c>
      <c r="G1721" s="39"/>
      <c r="H1721" s="39"/>
      <c r="I1721" s="40"/>
      <c r="J1721" s="41"/>
      <c r="K1721" s="38"/>
      <c r="L1721" s="42" t="str">
        <f aca="false">IF($B1721="","",IF(AND(N($I1721)=0,N($J1721)=0),"금액이 없습니다",IF(AND($I1721&gt;0,$J1721&gt;0),"수입·지출 둘 다 적혔습니다",IF($C1721="","결제수단을 고르십시오",IF(ISNA(MATCH($C1721,'교육원 ③ 통장·카드'!$A$5:$A$11,0)),"③ 통장·카드에 없는 결제수단입니다",IF($D1721="","계정과목을 고르십시오",IF($E1721="※없는 과목","④ 설정에 없는 과목입니다",IF(AND($E1721="수입",$J1721&gt;0),"수입 과목인데 지출에 적혔습니다",IF(AND(LEFT($E1721,2)&lt;&gt;"수입",$E1721&lt;&gt;"대체",$I1721&gt;0),"지출 과목인데 수입에 적혔습니다",IF($K1721="","증빙을 고르십시오",IF($H1721="","적요를 적으십시오","")))))))))))</f>
        <v/>
      </c>
      <c r="M1721" s="39"/>
      <c r="O1721" s="11" t="str">
        <f aca="false">IF($B1721="","",YEAR($B1721)*100+MONTH($B1721))</f>
        <v/>
      </c>
      <c r="P1721" s="11" t="str">
        <f aca="false">IF($B1721="","",IF($E1721="대체",0,1))</f>
        <v/>
      </c>
    </row>
    <row r="1722" customFormat="false" ht="15" hidden="false" customHeight="false" outlineLevel="0" collapsed="false">
      <c r="A1722" s="36" t="str">
        <f aca="false">IF($B1722="","",COUNT($B$15:$B1722))</f>
        <v/>
      </c>
      <c r="B1722" s="37"/>
      <c r="C1722" s="38"/>
      <c r="D1722" s="20"/>
      <c r="E1722" s="36" t="str">
        <f aca="false">IF($D1722="","",IFERROR(INDEX('교육원 ④ 설정'!$A$6:$A$40,MATCH($D1722,'교육원 ④ 설정'!$B$6:$B$40,0)),"※없는 과목"))</f>
        <v/>
      </c>
      <c r="F1722" s="36" t="str">
        <f aca="false">IF($D1722="","",IFERROR(INDEX('교육원 ④ 설정'!$C$6:$C$40,MATCH($D1722,'교육원 ④ 설정'!$B$6:$B$40,0)),""))</f>
        <v/>
      </c>
      <c r="G1722" s="39"/>
      <c r="H1722" s="39"/>
      <c r="I1722" s="40"/>
      <c r="J1722" s="41"/>
      <c r="K1722" s="38"/>
      <c r="L1722" s="42" t="str">
        <f aca="false">IF($B1722="","",IF(AND(N($I1722)=0,N($J1722)=0),"금액이 없습니다",IF(AND($I1722&gt;0,$J1722&gt;0),"수입·지출 둘 다 적혔습니다",IF($C1722="","결제수단을 고르십시오",IF(ISNA(MATCH($C1722,'교육원 ③ 통장·카드'!$A$5:$A$11,0)),"③ 통장·카드에 없는 결제수단입니다",IF($D1722="","계정과목을 고르십시오",IF($E1722="※없는 과목","④ 설정에 없는 과목입니다",IF(AND($E1722="수입",$J1722&gt;0),"수입 과목인데 지출에 적혔습니다",IF(AND(LEFT($E1722,2)&lt;&gt;"수입",$E1722&lt;&gt;"대체",$I1722&gt;0),"지출 과목인데 수입에 적혔습니다",IF($K1722="","증빙을 고르십시오",IF($H1722="","적요를 적으십시오","")))))))))))</f>
        <v/>
      </c>
      <c r="M1722" s="39"/>
      <c r="O1722" s="11" t="str">
        <f aca="false">IF($B1722="","",YEAR($B1722)*100+MONTH($B1722))</f>
        <v/>
      </c>
      <c r="P1722" s="11" t="str">
        <f aca="false">IF($B1722="","",IF($E1722="대체",0,1))</f>
        <v/>
      </c>
    </row>
    <row r="1723" customFormat="false" ht="15" hidden="false" customHeight="false" outlineLevel="0" collapsed="false">
      <c r="A1723" s="36" t="str">
        <f aca="false">IF($B1723="","",COUNT($B$15:$B1723))</f>
        <v/>
      </c>
      <c r="B1723" s="37"/>
      <c r="C1723" s="38"/>
      <c r="D1723" s="20"/>
      <c r="E1723" s="36" t="str">
        <f aca="false">IF($D1723="","",IFERROR(INDEX('교육원 ④ 설정'!$A$6:$A$40,MATCH($D1723,'교육원 ④ 설정'!$B$6:$B$40,0)),"※없는 과목"))</f>
        <v/>
      </c>
      <c r="F1723" s="36" t="str">
        <f aca="false">IF($D1723="","",IFERROR(INDEX('교육원 ④ 설정'!$C$6:$C$40,MATCH($D1723,'교육원 ④ 설정'!$B$6:$B$40,0)),""))</f>
        <v/>
      </c>
      <c r="G1723" s="39"/>
      <c r="H1723" s="39"/>
      <c r="I1723" s="40"/>
      <c r="J1723" s="41"/>
      <c r="K1723" s="38"/>
      <c r="L1723" s="42" t="str">
        <f aca="false">IF($B1723="","",IF(AND(N($I1723)=0,N($J1723)=0),"금액이 없습니다",IF(AND($I1723&gt;0,$J1723&gt;0),"수입·지출 둘 다 적혔습니다",IF($C1723="","결제수단을 고르십시오",IF(ISNA(MATCH($C1723,'교육원 ③ 통장·카드'!$A$5:$A$11,0)),"③ 통장·카드에 없는 결제수단입니다",IF($D1723="","계정과목을 고르십시오",IF($E1723="※없는 과목","④ 설정에 없는 과목입니다",IF(AND($E1723="수입",$J1723&gt;0),"수입 과목인데 지출에 적혔습니다",IF(AND(LEFT($E1723,2)&lt;&gt;"수입",$E1723&lt;&gt;"대체",$I1723&gt;0),"지출 과목인데 수입에 적혔습니다",IF($K1723="","증빙을 고르십시오",IF($H1723="","적요를 적으십시오","")))))))))))</f>
        <v/>
      </c>
      <c r="M1723" s="39"/>
      <c r="O1723" s="11" t="str">
        <f aca="false">IF($B1723="","",YEAR($B1723)*100+MONTH($B1723))</f>
        <v/>
      </c>
      <c r="P1723" s="11" t="str">
        <f aca="false">IF($B1723="","",IF($E1723="대체",0,1))</f>
        <v/>
      </c>
    </row>
    <row r="1724" customFormat="false" ht="15" hidden="false" customHeight="false" outlineLevel="0" collapsed="false">
      <c r="A1724" s="36" t="str">
        <f aca="false">IF($B1724="","",COUNT($B$15:$B1724))</f>
        <v/>
      </c>
      <c r="B1724" s="37"/>
      <c r="C1724" s="38"/>
      <c r="D1724" s="20"/>
      <c r="E1724" s="36" t="str">
        <f aca="false">IF($D1724="","",IFERROR(INDEX('교육원 ④ 설정'!$A$6:$A$40,MATCH($D1724,'교육원 ④ 설정'!$B$6:$B$40,0)),"※없는 과목"))</f>
        <v/>
      </c>
      <c r="F1724" s="36" t="str">
        <f aca="false">IF($D1724="","",IFERROR(INDEX('교육원 ④ 설정'!$C$6:$C$40,MATCH($D1724,'교육원 ④ 설정'!$B$6:$B$40,0)),""))</f>
        <v/>
      </c>
      <c r="G1724" s="39"/>
      <c r="H1724" s="39"/>
      <c r="I1724" s="40"/>
      <c r="J1724" s="41"/>
      <c r="K1724" s="38"/>
      <c r="L1724" s="42" t="str">
        <f aca="false">IF($B1724="","",IF(AND(N($I1724)=0,N($J1724)=0),"금액이 없습니다",IF(AND($I1724&gt;0,$J1724&gt;0),"수입·지출 둘 다 적혔습니다",IF($C1724="","결제수단을 고르십시오",IF(ISNA(MATCH($C1724,'교육원 ③ 통장·카드'!$A$5:$A$11,0)),"③ 통장·카드에 없는 결제수단입니다",IF($D1724="","계정과목을 고르십시오",IF($E1724="※없는 과목","④ 설정에 없는 과목입니다",IF(AND($E1724="수입",$J1724&gt;0),"수입 과목인데 지출에 적혔습니다",IF(AND(LEFT($E1724,2)&lt;&gt;"수입",$E1724&lt;&gt;"대체",$I1724&gt;0),"지출 과목인데 수입에 적혔습니다",IF($K1724="","증빙을 고르십시오",IF($H1724="","적요를 적으십시오","")))))))))))</f>
        <v/>
      </c>
      <c r="M1724" s="39"/>
      <c r="O1724" s="11" t="str">
        <f aca="false">IF($B1724="","",YEAR($B1724)*100+MONTH($B1724))</f>
        <v/>
      </c>
      <c r="P1724" s="11" t="str">
        <f aca="false">IF($B1724="","",IF($E1724="대체",0,1))</f>
        <v/>
      </c>
    </row>
    <row r="1725" customFormat="false" ht="15" hidden="false" customHeight="false" outlineLevel="0" collapsed="false">
      <c r="A1725" s="36" t="str">
        <f aca="false">IF($B1725="","",COUNT($B$15:$B1725))</f>
        <v/>
      </c>
      <c r="B1725" s="37"/>
      <c r="C1725" s="38"/>
      <c r="D1725" s="20"/>
      <c r="E1725" s="36" t="str">
        <f aca="false">IF($D1725="","",IFERROR(INDEX('교육원 ④ 설정'!$A$6:$A$40,MATCH($D1725,'교육원 ④ 설정'!$B$6:$B$40,0)),"※없는 과목"))</f>
        <v/>
      </c>
      <c r="F1725" s="36" t="str">
        <f aca="false">IF($D1725="","",IFERROR(INDEX('교육원 ④ 설정'!$C$6:$C$40,MATCH($D1725,'교육원 ④ 설정'!$B$6:$B$40,0)),""))</f>
        <v/>
      </c>
      <c r="G1725" s="39"/>
      <c r="H1725" s="39"/>
      <c r="I1725" s="40"/>
      <c r="J1725" s="41"/>
      <c r="K1725" s="38"/>
      <c r="L1725" s="42" t="str">
        <f aca="false">IF($B1725="","",IF(AND(N($I1725)=0,N($J1725)=0),"금액이 없습니다",IF(AND($I1725&gt;0,$J1725&gt;0),"수입·지출 둘 다 적혔습니다",IF($C1725="","결제수단을 고르십시오",IF(ISNA(MATCH($C1725,'교육원 ③ 통장·카드'!$A$5:$A$11,0)),"③ 통장·카드에 없는 결제수단입니다",IF($D1725="","계정과목을 고르십시오",IF($E1725="※없는 과목","④ 설정에 없는 과목입니다",IF(AND($E1725="수입",$J1725&gt;0),"수입 과목인데 지출에 적혔습니다",IF(AND(LEFT($E1725,2)&lt;&gt;"수입",$E1725&lt;&gt;"대체",$I1725&gt;0),"지출 과목인데 수입에 적혔습니다",IF($K1725="","증빙을 고르십시오",IF($H1725="","적요를 적으십시오","")))))))))))</f>
        <v/>
      </c>
      <c r="M1725" s="39"/>
      <c r="O1725" s="11" t="str">
        <f aca="false">IF($B1725="","",YEAR($B1725)*100+MONTH($B1725))</f>
        <v/>
      </c>
      <c r="P1725" s="11" t="str">
        <f aca="false">IF($B1725="","",IF($E1725="대체",0,1))</f>
        <v/>
      </c>
    </row>
    <row r="1726" customFormat="false" ht="15" hidden="false" customHeight="false" outlineLevel="0" collapsed="false">
      <c r="A1726" s="36" t="str">
        <f aca="false">IF($B1726="","",COUNT($B$15:$B1726))</f>
        <v/>
      </c>
      <c r="B1726" s="37"/>
      <c r="C1726" s="38"/>
      <c r="D1726" s="20"/>
      <c r="E1726" s="36" t="str">
        <f aca="false">IF($D1726="","",IFERROR(INDEX('교육원 ④ 설정'!$A$6:$A$40,MATCH($D1726,'교육원 ④ 설정'!$B$6:$B$40,0)),"※없는 과목"))</f>
        <v/>
      </c>
      <c r="F1726" s="36" t="str">
        <f aca="false">IF($D1726="","",IFERROR(INDEX('교육원 ④ 설정'!$C$6:$C$40,MATCH($D1726,'교육원 ④ 설정'!$B$6:$B$40,0)),""))</f>
        <v/>
      </c>
      <c r="G1726" s="39"/>
      <c r="H1726" s="39"/>
      <c r="I1726" s="40"/>
      <c r="J1726" s="41"/>
      <c r="K1726" s="38"/>
      <c r="L1726" s="42" t="str">
        <f aca="false">IF($B1726="","",IF(AND(N($I1726)=0,N($J1726)=0),"금액이 없습니다",IF(AND($I1726&gt;0,$J1726&gt;0),"수입·지출 둘 다 적혔습니다",IF($C1726="","결제수단을 고르십시오",IF(ISNA(MATCH($C1726,'교육원 ③ 통장·카드'!$A$5:$A$11,0)),"③ 통장·카드에 없는 결제수단입니다",IF($D1726="","계정과목을 고르십시오",IF($E1726="※없는 과목","④ 설정에 없는 과목입니다",IF(AND($E1726="수입",$J1726&gt;0),"수입 과목인데 지출에 적혔습니다",IF(AND(LEFT($E1726,2)&lt;&gt;"수입",$E1726&lt;&gt;"대체",$I1726&gt;0),"지출 과목인데 수입에 적혔습니다",IF($K1726="","증빙을 고르십시오",IF($H1726="","적요를 적으십시오","")))))))))))</f>
        <v/>
      </c>
      <c r="M1726" s="39"/>
      <c r="O1726" s="11" t="str">
        <f aca="false">IF($B1726="","",YEAR($B1726)*100+MONTH($B1726))</f>
        <v/>
      </c>
      <c r="P1726" s="11" t="str">
        <f aca="false">IF($B1726="","",IF($E1726="대체",0,1))</f>
        <v/>
      </c>
    </row>
    <row r="1727" customFormat="false" ht="15" hidden="false" customHeight="false" outlineLevel="0" collapsed="false">
      <c r="A1727" s="36" t="str">
        <f aca="false">IF($B1727="","",COUNT($B$15:$B1727))</f>
        <v/>
      </c>
      <c r="B1727" s="37"/>
      <c r="C1727" s="38"/>
      <c r="D1727" s="20"/>
      <c r="E1727" s="36" t="str">
        <f aca="false">IF($D1727="","",IFERROR(INDEX('교육원 ④ 설정'!$A$6:$A$40,MATCH($D1727,'교육원 ④ 설정'!$B$6:$B$40,0)),"※없는 과목"))</f>
        <v/>
      </c>
      <c r="F1727" s="36" t="str">
        <f aca="false">IF($D1727="","",IFERROR(INDEX('교육원 ④ 설정'!$C$6:$C$40,MATCH($D1727,'교육원 ④ 설정'!$B$6:$B$40,0)),""))</f>
        <v/>
      </c>
      <c r="G1727" s="39"/>
      <c r="H1727" s="39"/>
      <c r="I1727" s="40"/>
      <c r="J1727" s="41"/>
      <c r="K1727" s="38"/>
      <c r="L1727" s="42" t="str">
        <f aca="false">IF($B1727="","",IF(AND(N($I1727)=0,N($J1727)=0),"금액이 없습니다",IF(AND($I1727&gt;0,$J1727&gt;0),"수입·지출 둘 다 적혔습니다",IF($C1727="","결제수단을 고르십시오",IF(ISNA(MATCH($C1727,'교육원 ③ 통장·카드'!$A$5:$A$11,0)),"③ 통장·카드에 없는 결제수단입니다",IF($D1727="","계정과목을 고르십시오",IF($E1727="※없는 과목","④ 설정에 없는 과목입니다",IF(AND($E1727="수입",$J1727&gt;0),"수입 과목인데 지출에 적혔습니다",IF(AND(LEFT($E1727,2)&lt;&gt;"수입",$E1727&lt;&gt;"대체",$I1727&gt;0),"지출 과목인데 수입에 적혔습니다",IF($K1727="","증빙을 고르십시오",IF($H1727="","적요를 적으십시오","")))))))))))</f>
        <v/>
      </c>
      <c r="M1727" s="39"/>
      <c r="O1727" s="11" t="str">
        <f aca="false">IF($B1727="","",YEAR($B1727)*100+MONTH($B1727))</f>
        <v/>
      </c>
      <c r="P1727" s="11" t="str">
        <f aca="false">IF($B1727="","",IF($E1727="대체",0,1))</f>
        <v/>
      </c>
    </row>
    <row r="1728" customFormat="false" ht="15" hidden="false" customHeight="false" outlineLevel="0" collapsed="false">
      <c r="A1728" s="36" t="str">
        <f aca="false">IF($B1728="","",COUNT($B$15:$B1728))</f>
        <v/>
      </c>
      <c r="B1728" s="37"/>
      <c r="C1728" s="38"/>
      <c r="D1728" s="20"/>
      <c r="E1728" s="36" t="str">
        <f aca="false">IF($D1728="","",IFERROR(INDEX('교육원 ④ 설정'!$A$6:$A$40,MATCH($D1728,'교육원 ④ 설정'!$B$6:$B$40,0)),"※없는 과목"))</f>
        <v/>
      </c>
      <c r="F1728" s="36" t="str">
        <f aca="false">IF($D1728="","",IFERROR(INDEX('교육원 ④ 설정'!$C$6:$C$40,MATCH($D1728,'교육원 ④ 설정'!$B$6:$B$40,0)),""))</f>
        <v/>
      </c>
      <c r="G1728" s="39"/>
      <c r="H1728" s="39"/>
      <c r="I1728" s="40"/>
      <c r="J1728" s="41"/>
      <c r="K1728" s="38"/>
      <c r="L1728" s="42" t="str">
        <f aca="false">IF($B1728="","",IF(AND(N($I1728)=0,N($J1728)=0),"금액이 없습니다",IF(AND($I1728&gt;0,$J1728&gt;0),"수입·지출 둘 다 적혔습니다",IF($C1728="","결제수단을 고르십시오",IF(ISNA(MATCH($C1728,'교육원 ③ 통장·카드'!$A$5:$A$11,0)),"③ 통장·카드에 없는 결제수단입니다",IF($D1728="","계정과목을 고르십시오",IF($E1728="※없는 과목","④ 설정에 없는 과목입니다",IF(AND($E1728="수입",$J1728&gt;0),"수입 과목인데 지출에 적혔습니다",IF(AND(LEFT($E1728,2)&lt;&gt;"수입",$E1728&lt;&gt;"대체",$I1728&gt;0),"지출 과목인데 수입에 적혔습니다",IF($K1728="","증빙을 고르십시오",IF($H1728="","적요를 적으십시오","")))))))))))</f>
        <v/>
      </c>
      <c r="M1728" s="39"/>
      <c r="O1728" s="11" t="str">
        <f aca="false">IF($B1728="","",YEAR($B1728)*100+MONTH($B1728))</f>
        <v/>
      </c>
      <c r="P1728" s="11" t="str">
        <f aca="false">IF($B1728="","",IF($E1728="대체",0,1))</f>
        <v/>
      </c>
    </row>
    <row r="1729" customFormat="false" ht="15" hidden="false" customHeight="false" outlineLevel="0" collapsed="false">
      <c r="A1729" s="36" t="str">
        <f aca="false">IF($B1729="","",COUNT($B$15:$B1729))</f>
        <v/>
      </c>
      <c r="B1729" s="37"/>
      <c r="C1729" s="38"/>
      <c r="D1729" s="20"/>
      <c r="E1729" s="36" t="str">
        <f aca="false">IF($D1729="","",IFERROR(INDEX('교육원 ④ 설정'!$A$6:$A$40,MATCH($D1729,'교육원 ④ 설정'!$B$6:$B$40,0)),"※없는 과목"))</f>
        <v/>
      </c>
      <c r="F1729" s="36" t="str">
        <f aca="false">IF($D1729="","",IFERROR(INDEX('교육원 ④ 설정'!$C$6:$C$40,MATCH($D1729,'교육원 ④ 설정'!$B$6:$B$40,0)),""))</f>
        <v/>
      </c>
      <c r="G1729" s="39"/>
      <c r="H1729" s="39"/>
      <c r="I1729" s="40"/>
      <c r="J1729" s="41"/>
      <c r="K1729" s="38"/>
      <c r="L1729" s="42" t="str">
        <f aca="false">IF($B1729="","",IF(AND(N($I1729)=0,N($J1729)=0),"금액이 없습니다",IF(AND($I1729&gt;0,$J1729&gt;0),"수입·지출 둘 다 적혔습니다",IF($C1729="","결제수단을 고르십시오",IF(ISNA(MATCH($C1729,'교육원 ③ 통장·카드'!$A$5:$A$11,0)),"③ 통장·카드에 없는 결제수단입니다",IF($D1729="","계정과목을 고르십시오",IF($E1729="※없는 과목","④ 설정에 없는 과목입니다",IF(AND($E1729="수입",$J1729&gt;0),"수입 과목인데 지출에 적혔습니다",IF(AND(LEFT($E1729,2)&lt;&gt;"수입",$E1729&lt;&gt;"대체",$I1729&gt;0),"지출 과목인데 수입에 적혔습니다",IF($K1729="","증빙을 고르십시오",IF($H1729="","적요를 적으십시오","")))))))))))</f>
        <v/>
      </c>
      <c r="M1729" s="39"/>
      <c r="O1729" s="11" t="str">
        <f aca="false">IF($B1729="","",YEAR($B1729)*100+MONTH($B1729))</f>
        <v/>
      </c>
      <c r="P1729" s="11" t="str">
        <f aca="false">IF($B1729="","",IF($E1729="대체",0,1))</f>
        <v/>
      </c>
    </row>
    <row r="1730" customFormat="false" ht="15" hidden="false" customHeight="false" outlineLevel="0" collapsed="false">
      <c r="A1730" s="36" t="str">
        <f aca="false">IF($B1730="","",COUNT($B$15:$B1730))</f>
        <v/>
      </c>
      <c r="B1730" s="37"/>
      <c r="C1730" s="38"/>
      <c r="D1730" s="20"/>
      <c r="E1730" s="36" t="str">
        <f aca="false">IF($D1730="","",IFERROR(INDEX('교육원 ④ 설정'!$A$6:$A$40,MATCH($D1730,'교육원 ④ 설정'!$B$6:$B$40,0)),"※없는 과목"))</f>
        <v/>
      </c>
      <c r="F1730" s="36" t="str">
        <f aca="false">IF($D1730="","",IFERROR(INDEX('교육원 ④ 설정'!$C$6:$C$40,MATCH($D1730,'교육원 ④ 설정'!$B$6:$B$40,0)),""))</f>
        <v/>
      </c>
      <c r="G1730" s="39"/>
      <c r="H1730" s="39"/>
      <c r="I1730" s="40"/>
      <c r="J1730" s="41"/>
      <c r="K1730" s="38"/>
      <c r="L1730" s="42" t="str">
        <f aca="false">IF($B1730="","",IF(AND(N($I1730)=0,N($J1730)=0),"금액이 없습니다",IF(AND($I1730&gt;0,$J1730&gt;0),"수입·지출 둘 다 적혔습니다",IF($C1730="","결제수단을 고르십시오",IF(ISNA(MATCH($C1730,'교육원 ③ 통장·카드'!$A$5:$A$11,0)),"③ 통장·카드에 없는 결제수단입니다",IF($D1730="","계정과목을 고르십시오",IF($E1730="※없는 과목","④ 설정에 없는 과목입니다",IF(AND($E1730="수입",$J1730&gt;0),"수입 과목인데 지출에 적혔습니다",IF(AND(LEFT($E1730,2)&lt;&gt;"수입",$E1730&lt;&gt;"대체",$I1730&gt;0),"지출 과목인데 수입에 적혔습니다",IF($K1730="","증빙을 고르십시오",IF($H1730="","적요를 적으십시오","")))))))))))</f>
        <v/>
      </c>
      <c r="M1730" s="39"/>
      <c r="O1730" s="11" t="str">
        <f aca="false">IF($B1730="","",YEAR($B1730)*100+MONTH($B1730))</f>
        <v/>
      </c>
      <c r="P1730" s="11" t="str">
        <f aca="false">IF($B1730="","",IF($E1730="대체",0,1))</f>
        <v/>
      </c>
    </row>
    <row r="1731" customFormat="false" ht="15" hidden="false" customHeight="false" outlineLevel="0" collapsed="false">
      <c r="A1731" s="36" t="str">
        <f aca="false">IF($B1731="","",COUNT($B$15:$B1731))</f>
        <v/>
      </c>
      <c r="B1731" s="37"/>
      <c r="C1731" s="38"/>
      <c r="D1731" s="20"/>
      <c r="E1731" s="36" t="str">
        <f aca="false">IF($D1731="","",IFERROR(INDEX('교육원 ④ 설정'!$A$6:$A$40,MATCH($D1731,'교육원 ④ 설정'!$B$6:$B$40,0)),"※없는 과목"))</f>
        <v/>
      </c>
      <c r="F1731" s="36" t="str">
        <f aca="false">IF($D1731="","",IFERROR(INDEX('교육원 ④ 설정'!$C$6:$C$40,MATCH($D1731,'교육원 ④ 설정'!$B$6:$B$40,0)),""))</f>
        <v/>
      </c>
      <c r="G1731" s="39"/>
      <c r="H1731" s="39"/>
      <c r="I1731" s="40"/>
      <c r="J1731" s="41"/>
      <c r="K1731" s="38"/>
      <c r="L1731" s="42" t="str">
        <f aca="false">IF($B1731="","",IF(AND(N($I1731)=0,N($J1731)=0),"금액이 없습니다",IF(AND($I1731&gt;0,$J1731&gt;0),"수입·지출 둘 다 적혔습니다",IF($C1731="","결제수단을 고르십시오",IF(ISNA(MATCH($C1731,'교육원 ③ 통장·카드'!$A$5:$A$11,0)),"③ 통장·카드에 없는 결제수단입니다",IF($D1731="","계정과목을 고르십시오",IF($E1731="※없는 과목","④ 설정에 없는 과목입니다",IF(AND($E1731="수입",$J1731&gt;0),"수입 과목인데 지출에 적혔습니다",IF(AND(LEFT($E1731,2)&lt;&gt;"수입",$E1731&lt;&gt;"대체",$I1731&gt;0),"지출 과목인데 수입에 적혔습니다",IF($K1731="","증빙을 고르십시오",IF($H1731="","적요를 적으십시오","")))))))))))</f>
        <v/>
      </c>
      <c r="M1731" s="39"/>
      <c r="O1731" s="11" t="str">
        <f aca="false">IF($B1731="","",YEAR($B1731)*100+MONTH($B1731))</f>
        <v/>
      </c>
      <c r="P1731" s="11" t="str">
        <f aca="false">IF($B1731="","",IF($E1731="대체",0,1))</f>
        <v/>
      </c>
    </row>
    <row r="1732" customFormat="false" ht="15" hidden="false" customHeight="false" outlineLevel="0" collapsed="false">
      <c r="A1732" s="36" t="str">
        <f aca="false">IF($B1732="","",COUNT($B$15:$B1732))</f>
        <v/>
      </c>
      <c r="B1732" s="37"/>
      <c r="C1732" s="38"/>
      <c r="D1732" s="20"/>
      <c r="E1732" s="36" t="str">
        <f aca="false">IF($D1732="","",IFERROR(INDEX('교육원 ④ 설정'!$A$6:$A$40,MATCH($D1732,'교육원 ④ 설정'!$B$6:$B$40,0)),"※없는 과목"))</f>
        <v/>
      </c>
      <c r="F1732" s="36" t="str">
        <f aca="false">IF($D1732="","",IFERROR(INDEX('교육원 ④ 설정'!$C$6:$C$40,MATCH($D1732,'교육원 ④ 설정'!$B$6:$B$40,0)),""))</f>
        <v/>
      </c>
      <c r="G1732" s="39"/>
      <c r="H1732" s="39"/>
      <c r="I1732" s="40"/>
      <c r="J1732" s="41"/>
      <c r="K1732" s="38"/>
      <c r="L1732" s="42" t="str">
        <f aca="false">IF($B1732="","",IF(AND(N($I1732)=0,N($J1732)=0),"금액이 없습니다",IF(AND($I1732&gt;0,$J1732&gt;0),"수입·지출 둘 다 적혔습니다",IF($C1732="","결제수단을 고르십시오",IF(ISNA(MATCH($C1732,'교육원 ③ 통장·카드'!$A$5:$A$11,0)),"③ 통장·카드에 없는 결제수단입니다",IF($D1732="","계정과목을 고르십시오",IF($E1732="※없는 과목","④ 설정에 없는 과목입니다",IF(AND($E1732="수입",$J1732&gt;0),"수입 과목인데 지출에 적혔습니다",IF(AND(LEFT($E1732,2)&lt;&gt;"수입",$E1732&lt;&gt;"대체",$I1732&gt;0),"지출 과목인데 수입에 적혔습니다",IF($K1732="","증빙을 고르십시오",IF($H1732="","적요를 적으십시오","")))))))))))</f>
        <v/>
      </c>
      <c r="M1732" s="39"/>
      <c r="O1732" s="11" t="str">
        <f aca="false">IF($B1732="","",YEAR($B1732)*100+MONTH($B1732))</f>
        <v/>
      </c>
      <c r="P1732" s="11" t="str">
        <f aca="false">IF($B1732="","",IF($E1732="대체",0,1))</f>
        <v/>
      </c>
    </row>
    <row r="1733" customFormat="false" ht="15" hidden="false" customHeight="false" outlineLevel="0" collapsed="false">
      <c r="A1733" s="36" t="str">
        <f aca="false">IF($B1733="","",COUNT($B$15:$B1733))</f>
        <v/>
      </c>
      <c r="B1733" s="37"/>
      <c r="C1733" s="38"/>
      <c r="D1733" s="20"/>
      <c r="E1733" s="36" t="str">
        <f aca="false">IF($D1733="","",IFERROR(INDEX('교육원 ④ 설정'!$A$6:$A$40,MATCH($D1733,'교육원 ④ 설정'!$B$6:$B$40,0)),"※없는 과목"))</f>
        <v/>
      </c>
      <c r="F1733" s="36" t="str">
        <f aca="false">IF($D1733="","",IFERROR(INDEX('교육원 ④ 설정'!$C$6:$C$40,MATCH($D1733,'교육원 ④ 설정'!$B$6:$B$40,0)),""))</f>
        <v/>
      </c>
      <c r="G1733" s="39"/>
      <c r="H1733" s="39"/>
      <c r="I1733" s="40"/>
      <c r="J1733" s="41"/>
      <c r="K1733" s="38"/>
      <c r="L1733" s="42" t="str">
        <f aca="false">IF($B1733="","",IF(AND(N($I1733)=0,N($J1733)=0),"금액이 없습니다",IF(AND($I1733&gt;0,$J1733&gt;0),"수입·지출 둘 다 적혔습니다",IF($C1733="","결제수단을 고르십시오",IF(ISNA(MATCH($C1733,'교육원 ③ 통장·카드'!$A$5:$A$11,0)),"③ 통장·카드에 없는 결제수단입니다",IF($D1733="","계정과목을 고르십시오",IF($E1733="※없는 과목","④ 설정에 없는 과목입니다",IF(AND($E1733="수입",$J1733&gt;0),"수입 과목인데 지출에 적혔습니다",IF(AND(LEFT($E1733,2)&lt;&gt;"수입",$E1733&lt;&gt;"대체",$I1733&gt;0),"지출 과목인데 수입에 적혔습니다",IF($K1733="","증빙을 고르십시오",IF($H1733="","적요를 적으십시오","")))))))))))</f>
        <v/>
      </c>
      <c r="M1733" s="39"/>
      <c r="O1733" s="11" t="str">
        <f aca="false">IF($B1733="","",YEAR($B1733)*100+MONTH($B1733))</f>
        <v/>
      </c>
      <c r="P1733" s="11" t="str">
        <f aca="false">IF($B1733="","",IF($E1733="대체",0,1))</f>
        <v/>
      </c>
    </row>
    <row r="1734" customFormat="false" ht="15" hidden="false" customHeight="false" outlineLevel="0" collapsed="false">
      <c r="A1734" s="36" t="str">
        <f aca="false">IF($B1734="","",COUNT($B$15:$B1734))</f>
        <v/>
      </c>
      <c r="B1734" s="37"/>
      <c r="C1734" s="38"/>
      <c r="D1734" s="20"/>
      <c r="E1734" s="36" t="str">
        <f aca="false">IF($D1734="","",IFERROR(INDEX('교육원 ④ 설정'!$A$6:$A$40,MATCH($D1734,'교육원 ④ 설정'!$B$6:$B$40,0)),"※없는 과목"))</f>
        <v/>
      </c>
      <c r="F1734" s="36" t="str">
        <f aca="false">IF($D1734="","",IFERROR(INDEX('교육원 ④ 설정'!$C$6:$C$40,MATCH($D1734,'교육원 ④ 설정'!$B$6:$B$40,0)),""))</f>
        <v/>
      </c>
      <c r="G1734" s="39"/>
      <c r="H1734" s="39"/>
      <c r="I1734" s="40"/>
      <c r="J1734" s="41"/>
      <c r="K1734" s="38"/>
      <c r="L1734" s="42" t="str">
        <f aca="false">IF($B1734="","",IF(AND(N($I1734)=0,N($J1734)=0),"금액이 없습니다",IF(AND($I1734&gt;0,$J1734&gt;0),"수입·지출 둘 다 적혔습니다",IF($C1734="","결제수단을 고르십시오",IF(ISNA(MATCH($C1734,'교육원 ③ 통장·카드'!$A$5:$A$11,0)),"③ 통장·카드에 없는 결제수단입니다",IF($D1734="","계정과목을 고르십시오",IF($E1734="※없는 과목","④ 설정에 없는 과목입니다",IF(AND($E1734="수입",$J1734&gt;0),"수입 과목인데 지출에 적혔습니다",IF(AND(LEFT($E1734,2)&lt;&gt;"수입",$E1734&lt;&gt;"대체",$I1734&gt;0),"지출 과목인데 수입에 적혔습니다",IF($K1734="","증빙을 고르십시오",IF($H1734="","적요를 적으십시오","")))))))))))</f>
        <v/>
      </c>
      <c r="M1734" s="39"/>
      <c r="O1734" s="11" t="str">
        <f aca="false">IF($B1734="","",YEAR($B1734)*100+MONTH($B1734))</f>
        <v/>
      </c>
      <c r="P1734" s="11" t="str">
        <f aca="false">IF($B1734="","",IF($E1734="대체",0,1))</f>
        <v/>
      </c>
    </row>
    <row r="1735" customFormat="false" ht="15" hidden="false" customHeight="false" outlineLevel="0" collapsed="false">
      <c r="A1735" s="36" t="str">
        <f aca="false">IF($B1735="","",COUNT($B$15:$B1735))</f>
        <v/>
      </c>
      <c r="B1735" s="37"/>
      <c r="C1735" s="38"/>
      <c r="D1735" s="20"/>
      <c r="E1735" s="36" t="str">
        <f aca="false">IF($D1735="","",IFERROR(INDEX('교육원 ④ 설정'!$A$6:$A$40,MATCH($D1735,'교육원 ④ 설정'!$B$6:$B$40,0)),"※없는 과목"))</f>
        <v/>
      </c>
      <c r="F1735" s="36" t="str">
        <f aca="false">IF($D1735="","",IFERROR(INDEX('교육원 ④ 설정'!$C$6:$C$40,MATCH($D1735,'교육원 ④ 설정'!$B$6:$B$40,0)),""))</f>
        <v/>
      </c>
      <c r="G1735" s="39"/>
      <c r="H1735" s="39"/>
      <c r="I1735" s="40"/>
      <c r="J1735" s="41"/>
      <c r="K1735" s="38"/>
      <c r="L1735" s="42" t="str">
        <f aca="false">IF($B1735="","",IF(AND(N($I1735)=0,N($J1735)=0),"금액이 없습니다",IF(AND($I1735&gt;0,$J1735&gt;0),"수입·지출 둘 다 적혔습니다",IF($C1735="","결제수단을 고르십시오",IF(ISNA(MATCH($C1735,'교육원 ③ 통장·카드'!$A$5:$A$11,0)),"③ 통장·카드에 없는 결제수단입니다",IF($D1735="","계정과목을 고르십시오",IF($E1735="※없는 과목","④ 설정에 없는 과목입니다",IF(AND($E1735="수입",$J1735&gt;0),"수입 과목인데 지출에 적혔습니다",IF(AND(LEFT($E1735,2)&lt;&gt;"수입",$E1735&lt;&gt;"대체",$I1735&gt;0),"지출 과목인데 수입에 적혔습니다",IF($K1735="","증빙을 고르십시오",IF($H1735="","적요를 적으십시오","")))))))))))</f>
        <v/>
      </c>
      <c r="M1735" s="39"/>
      <c r="O1735" s="11" t="str">
        <f aca="false">IF($B1735="","",YEAR($B1735)*100+MONTH($B1735))</f>
        <v/>
      </c>
      <c r="P1735" s="11" t="str">
        <f aca="false">IF($B1735="","",IF($E1735="대체",0,1))</f>
        <v/>
      </c>
    </row>
    <row r="1736" customFormat="false" ht="15" hidden="false" customHeight="false" outlineLevel="0" collapsed="false">
      <c r="A1736" s="36" t="str">
        <f aca="false">IF($B1736="","",COUNT($B$15:$B1736))</f>
        <v/>
      </c>
      <c r="B1736" s="37"/>
      <c r="C1736" s="38"/>
      <c r="D1736" s="20"/>
      <c r="E1736" s="36" t="str">
        <f aca="false">IF($D1736="","",IFERROR(INDEX('교육원 ④ 설정'!$A$6:$A$40,MATCH($D1736,'교육원 ④ 설정'!$B$6:$B$40,0)),"※없는 과목"))</f>
        <v/>
      </c>
      <c r="F1736" s="36" t="str">
        <f aca="false">IF($D1736="","",IFERROR(INDEX('교육원 ④ 설정'!$C$6:$C$40,MATCH($D1736,'교육원 ④ 설정'!$B$6:$B$40,0)),""))</f>
        <v/>
      </c>
      <c r="G1736" s="39"/>
      <c r="H1736" s="39"/>
      <c r="I1736" s="40"/>
      <c r="J1736" s="41"/>
      <c r="K1736" s="38"/>
      <c r="L1736" s="42" t="str">
        <f aca="false">IF($B1736="","",IF(AND(N($I1736)=0,N($J1736)=0),"금액이 없습니다",IF(AND($I1736&gt;0,$J1736&gt;0),"수입·지출 둘 다 적혔습니다",IF($C1736="","결제수단을 고르십시오",IF(ISNA(MATCH($C1736,'교육원 ③ 통장·카드'!$A$5:$A$11,0)),"③ 통장·카드에 없는 결제수단입니다",IF($D1736="","계정과목을 고르십시오",IF($E1736="※없는 과목","④ 설정에 없는 과목입니다",IF(AND($E1736="수입",$J1736&gt;0),"수입 과목인데 지출에 적혔습니다",IF(AND(LEFT($E1736,2)&lt;&gt;"수입",$E1736&lt;&gt;"대체",$I1736&gt;0),"지출 과목인데 수입에 적혔습니다",IF($K1736="","증빙을 고르십시오",IF($H1736="","적요를 적으십시오","")))))))))))</f>
        <v/>
      </c>
      <c r="M1736" s="39"/>
      <c r="O1736" s="11" t="str">
        <f aca="false">IF($B1736="","",YEAR($B1736)*100+MONTH($B1736))</f>
        <v/>
      </c>
      <c r="P1736" s="11" t="str">
        <f aca="false">IF($B1736="","",IF($E1736="대체",0,1))</f>
        <v/>
      </c>
    </row>
    <row r="1737" customFormat="false" ht="15" hidden="false" customHeight="false" outlineLevel="0" collapsed="false">
      <c r="A1737" s="36" t="str">
        <f aca="false">IF($B1737="","",COUNT($B$15:$B1737))</f>
        <v/>
      </c>
      <c r="B1737" s="37"/>
      <c r="C1737" s="38"/>
      <c r="D1737" s="20"/>
      <c r="E1737" s="36" t="str">
        <f aca="false">IF($D1737="","",IFERROR(INDEX('교육원 ④ 설정'!$A$6:$A$40,MATCH($D1737,'교육원 ④ 설정'!$B$6:$B$40,0)),"※없는 과목"))</f>
        <v/>
      </c>
      <c r="F1737" s="36" t="str">
        <f aca="false">IF($D1737="","",IFERROR(INDEX('교육원 ④ 설정'!$C$6:$C$40,MATCH($D1737,'교육원 ④ 설정'!$B$6:$B$40,0)),""))</f>
        <v/>
      </c>
      <c r="G1737" s="39"/>
      <c r="H1737" s="39"/>
      <c r="I1737" s="40"/>
      <c r="J1737" s="41"/>
      <c r="K1737" s="38"/>
      <c r="L1737" s="42" t="str">
        <f aca="false">IF($B1737="","",IF(AND(N($I1737)=0,N($J1737)=0),"금액이 없습니다",IF(AND($I1737&gt;0,$J1737&gt;0),"수입·지출 둘 다 적혔습니다",IF($C1737="","결제수단을 고르십시오",IF(ISNA(MATCH($C1737,'교육원 ③ 통장·카드'!$A$5:$A$11,0)),"③ 통장·카드에 없는 결제수단입니다",IF($D1737="","계정과목을 고르십시오",IF($E1737="※없는 과목","④ 설정에 없는 과목입니다",IF(AND($E1737="수입",$J1737&gt;0),"수입 과목인데 지출에 적혔습니다",IF(AND(LEFT($E1737,2)&lt;&gt;"수입",$E1737&lt;&gt;"대체",$I1737&gt;0),"지출 과목인데 수입에 적혔습니다",IF($K1737="","증빙을 고르십시오",IF($H1737="","적요를 적으십시오","")))))))))))</f>
        <v/>
      </c>
      <c r="M1737" s="39"/>
      <c r="O1737" s="11" t="str">
        <f aca="false">IF($B1737="","",YEAR($B1737)*100+MONTH($B1737))</f>
        <v/>
      </c>
      <c r="P1737" s="11" t="str">
        <f aca="false">IF($B1737="","",IF($E1737="대체",0,1))</f>
        <v/>
      </c>
    </row>
    <row r="1738" customFormat="false" ht="15" hidden="false" customHeight="false" outlineLevel="0" collapsed="false">
      <c r="A1738" s="36" t="str">
        <f aca="false">IF($B1738="","",COUNT($B$15:$B1738))</f>
        <v/>
      </c>
      <c r="B1738" s="37"/>
      <c r="C1738" s="38"/>
      <c r="D1738" s="20"/>
      <c r="E1738" s="36" t="str">
        <f aca="false">IF($D1738="","",IFERROR(INDEX('교육원 ④ 설정'!$A$6:$A$40,MATCH($D1738,'교육원 ④ 설정'!$B$6:$B$40,0)),"※없는 과목"))</f>
        <v/>
      </c>
      <c r="F1738" s="36" t="str">
        <f aca="false">IF($D1738="","",IFERROR(INDEX('교육원 ④ 설정'!$C$6:$C$40,MATCH($D1738,'교육원 ④ 설정'!$B$6:$B$40,0)),""))</f>
        <v/>
      </c>
      <c r="G1738" s="39"/>
      <c r="H1738" s="39"/>
      <c r="I1738" s="40"/>
      <c r="J1738" s="41"/>
      <c r="K1738" s="38"/>
      <c r="L1738" s="42" t="str">
        <f aca="false">IF($B1738="","",IF(AND(N($I1738)=0,N($J1738)=0),"금액이 없습니다",IF(AND($I1738&gt;0,$J1738&gt;0),"수입·지출 둘 다 적혔습니다",IF($C1738="","결제수단을 고르십시오",IF(ISNA(MATCH($C1738,'교육원 ③ 통장·카드'!$A$5:$A$11,0)),"③ 통장·카드에 없는 결제수단입니다",IF($D1738="","계정과목을 고르십시오",IF($E1738="※없는 과목","④ 설정에 없는 과목입니다",IF(AND($E1738="수입",$J1738&gt;0),"수입 과목인데 지출에 적혔습니다",IF(AND(LEFT($E1738,2)&lt;&gt;"수입",$E1738&lt;&gt;"대체",$I1738&gt;0),"지출 과목인데 수입에 적혔습니다",IF($K1738="","증빙을 고르십시오",IF($H1738="","적요를 적으십시오","")))))))))))</f>
        <v/>
      </c>
      <c r="M1738" s="39"/>
      <c r="O1738" s="11" t="str">
        <f aca="false">IF($B1738="","",YEAR($B1738)*100+MONTH($B1738))</f>
        <v/>
      </c>
      <c r="P1738" s="11" t="str">
        <f aca="false">IF($B1738="","",IF($E1738="대체",0,1))</f>
        <v/>
      </c>
    </row>
    <row r="1739" customFormat="false" ht="15" hidden="false" customHeight="false" outlineLevel="0" collapsed="false">
      <c r="A1739" s="36" t="str">
        <f aca="false">IF($B1739="","",COUNT($B$15:$B1739))</f>
        <v/>
      </c>
      <c r="B1739" s="37"/>
      <c r="C1739" s="38"/>
      <c r="D1739" s="20"/>
      <c r="E1739" s="36" t="str">
        <f aca="false">IF($D1739="","",IFERROR(INDEX('교육원 ④ 설정'!$A$6:$A$40,MATCH($D1739,'교육원 ④ 설정'!$B$6:$B$40,0)),"※없는 과목"))</f>
        <v/>
      </c>
      <c r="F1739" s="36" t="str">
        <f aca="false">IF($D1739="","",IFERROR(INDEX('교육원 ④ 설정'!$C$6:$C$40,MATCH($D1739,'교육원 ④ 설정'!$B$6:$B$40,0)),""))</f>
        <v/>
      </c>
      <c r="G1739" s="39"/>
      <c r="H1739" s="39"/>
      <c r="I1739" s="40"/>
      <c r="J1739" s="41"/>
      <c r="K1739" s="38"/>
      <c r="L1739" s="42" t="str">
        <f aca="false">IF($B1739="","",IF(AND(N($I1739)=0,N($J1739)=0),"금액이 없습니다",IF(AND($I1739&gt;0,$J1739&gt;0),"수입·지출 둘 다 적혔습니다",IF($C1739="","결제수단을 고르십시오",IF(ISNA(MATCH($C1739,'교육원 ③ 통장·카드'!$A$5:$A$11,0)),"③ 통장·카드에 없는 결제수단입니다",IF($D1739="","계정과목을 고르십시오",IF($E1739="※없는 과목","④ 설정에 없는 과목입니다",IF(AND($E1739="수입",$J1739&gt;0),"수입 과목인데 지출에 적혔습니다",IF(AND(LEFT($E1739,2)&lt;&gt;"수입",$E1739&lt;&gt;"대체",$I1739&gt;0),"지출 과목인데 수입에 적혔습니다",IF($K1739="","증빙을 고르십시오",IF($H1739="","적요를 적으십시오","")))))))))))</f>
        <v/>
      </c>
      <c r="M1739" s="39"/>
      <c r="O1739" s="11" t="str">
        <f aca="false">IF($B1739="","",YEAR($B1739)*100+MONTH($B1739))</f>
        <v/>
      </c>
      <c r="P1739" s="11" t="str">
        <f aca="false">IF($B1739="","",IF($E1739="대체",0,1))</f>
        <v/>
      </c>
    </row>
    <row r="1740" customFormat="false" ht="15" hidden="false" customHeight="false" outlineLevel="0" collapsed="false">
      <c r="A1740" s="36" t="str">
        <f aca="false">IF($B1740="","",COUNT($B$15:$B1740))</f>
        <v/>
      </c>
      <c r="B1740" s="37"/>
      <c r="C1740" s="38"/>
      <c r="D1740" s="20"/>
      <c r="E1740" s="36" t="str">
        <f aca="false">IF($D1740="","",IFERROR(INDEX('교육원 ④ 설정'!$A$6:$A$40,MATCH($D1740,'교육원 ④ 설정'!$B$6:$B$40,0)),"※없는 과목"))</f>
        <v/>
      </c>
      <c r="F1740" s="36" t="str">
        <f aca="false">IF($D1740="","",IFERROR(INDEX('교육원 ④ 설정'!$C$6:$C$40,MATCH($D1740,'교육원 ④ 설정'!$B$6:$B$40,0)),""))</f>
        <v/>
      </c>
      <c r="G1740" s="39"/>
      <c r="H1740" s="39"/>
      <c r="I1740" s="40"/>
      <c r="J1740" s="41"/>
      <c r="K1740" s="38"/>
      <c r="L1740" s="42" t="str">
        <f aca="false">IF($B1740="","",IF(AND(N($I1740)=0,N($J1740)=0),"금액이 없습니다",IF(AND($I1740&gt;0,$J1740&gt;0),"수입·지출 둘 다 적혔습니다",IF($C1740="","결제수단을 고르십시오",IF(ISNA(MATCH($C1740,'교육원 ③ 통장·카드'!$A$5:$A$11,0)),"③ 통장·카드에 없는 결제수단입니다",IF($D1740="","계정과목을 고르십시오",IF($E1740="※없는 과목","④ 설정에 없는 과목입니다",IF(AND($E1740="수입",$J1740&gt;0),"수입 과목인데 지출에 적혔습니다",IF(AND(LEFT($E1740,2)&lt;&gt;"수입",$E1740&lt;&gt;"대체",$I1740&gt;0),"지출 과목인데 수입에 적혔습니다",IF($K1740="","증빙을 고르십시오",IF($H1740="","적요를 적으십시오","")))))))))))</f>
        <v/>
      </c>
      <c r="M1740" s="39"/>
      <c r="O1740" s="11" t="str">
        <f aca="false">IF($B1740="","",YEAR($B1740)*100+MONTH($B1740))</f>
        <v/>
      </c>
      <c r="P1740" s="11" t="str">
        <f aca="false">IF($B1740="","",IF($E1740="대체",0,1))</f>
        <v/>
      </c>
    </row>
    <row r="1741" customFormat="false" ht="15" hidden="false" customHeight="false" outlineLevel="0" collapsed="false">
      <c r="A1741" s="36" t="str">
        <f aca="false">IF($B1741="","",COUNT($B$15:$B1741))</f>
        <v/>
      </c>
      <c r="B1741" s="37"/>
      <c r="C1741" s="38"/>
      <c r="D1741" s="20"/>
      <c r="E1741" s="36" t="str">
        <f aca="false">IF($D1741="","",IFERROR(INDEX('교육원 ④ 설정'!$A$6:$A$40,MATCH($D1741,'교육원 ④ 설정'!$B$6:$B$40,0)),"※없는 과목"))</f>
        <v/>
      </c>
      <c r="F1741" s="36" t="str">
        <f aca="false">IF($D1741="","",IFERROR(INDEX('교육원 ④ 설정'!$C$6:$C$40,MATCH($D1741,'교육원 ④ 설정'!$B$6:$B$40,0)),""))</f>
        <v/>
      </c>
      <c r="G1741" s="39"/>
      <c r="H1741" s="39"/>
      <c r="I1741" s="40"/>
      <c r="J1741" s="41"/>
      <c r="K1741" s="38"/>
      <c r="L1741" s="42" t="str">
        <f aca="false">IF($B1741="","",IF(AND(N($I1741)=0,N($J1741)=0),"금액이 없습니다",IF(AND($I1741&gt;0,$J1741&gt;0),"수입·지출 둘 다 적혔습니다",IF($C1741="","결제수단을 고르십시오",IF(ISNA(MATCH($C1741,'교육원 ③ 통장·카드'!$A$5:$A$11,0)),"③ 통장·카드에 없는 결제수단입니다",IF($D1741="","계정과목을 고르십시오",IF($E1741="※없는 과목","④ 설정에 없는 과목입니다",IF(AND($E1741="수입",$J1741&gt;0),"수입 과목인데 지출에 적혔습니다",IF(AND(LEFT($E1741,2)&lt;&gt;"수입",$E1741&lt;&gt;"대체",$I1741&gt;0),"지출 과목인데 수입에 적혔습니다",IF($K1741="","증빙을 고르십시오",IF($H1741="","적요를 적으십시오","")))))))))))</f>
        <v/>
      </c>
      <c r="M1741" s="39"/>
      <c r="O1741" s="11" t="str">
        <f aca="false">IF($B1741="","",YEAR($B1741)*100+MONTH($B1741))</f>
        <v/>
      </c>
      <c r="P1741" s="11" t="str">
        <f aca="false">IF($B1741="","",IF($E1741="대체",0,1))</f>
        <v/>
      </c>
    </row>
    <row r="1742" customFormat="false" ht="15" hidden="false" customHeight="false" outlineLevel="0" collapsed="false">
      <c r="A1742" s="36" t="str">
        <f aca="false">IF($B1742="","",COUNT($B$15:$B1742))</f>
        <v/>
      </c>
      <c r="B1742" s="37"/>
      <c r="C1742" s="38"/>
      <c r="D1742" s="20"/>
      <c r="E1742" s="36" t="str">
        <f aca="false">IF($D1742="","",IFERROR(INDEX('교육원 ④ 설정'!$A$6:$A$40,MATCH($D1742,'교육원 ④ 설정'!$B$6:$B$40,0)),"※없는 과목"))</f>
        <v/>
      </c>
      <c r="F1742" s="36" t="str">
        <f aca="false">IF($D1742="","",IFERROR(INDEX('교육원 ④ 설정'!$C$6:$C$40,MATCH($D1742,'교육원 ④ 설정'!$B$6:$B$40,0)),""))</f>
        <v/>
      </c>
      <c r="G1742" s="39"/>
      <c r="H1742" s="39"/>
      <c r="I1742" s="40"/>
      <c r="J1742" s="41"/>
      <c r="K1742" s="38"/>
      <c r="L1742" s="42" t="str">
        <f aca="false">IF($B1742="","",IF(AND(N($I1742)=0,N($J1742)=0),"금액이 없습니다",IF(AND($I1742&gt;0,$J1742&gt;0),"수입·지출 둘 다 적혔습니다",IF($C1742="","결제수단을 고르십시오",IF(ISNA(MATCH($C1742,'교육원 ③ 통장·카드'!$A$5:$A$11,0)),"③ 통장·카드에 없는 결제수단입니다",IF($D1742="","계정과목을 고르십시오",IF($E1742="※없는 과목","④ 설정에 없는 과목입니다",IF(AND($E1742="수입",$J1742&gt;0),"수입 과목인데 지출에 적혔습니다",IF(AND(LEFT($E1742,2)&lt;&gt;"수입",$E1742&lt;&gt;"대체",$I1742&gt;0),"지출 과목인데 수입에 적혔습니다",IF($K1742="","증빙을 고르십시오",IF($H1742="","적요를 적으십시오","")))))))))))</f>
        <v/>
      </c>
      <c r="M1742" s="39"/>
      <c r="O1742" s="11" t="str">
        <f aca="false">IF($B1742="","",YEAR($B1742)*100+MONTH($B1742))</f>
        <v/>
      </c>
      <c r="P1742" s="11" t="str">
        <f aca="false">IF($B1742="","",IF($E1742="대체",0,1))</f>
        <v/>
      </c>
    </row>
    <row r="1743" customFormat="false" ht="15" hidden="false" customHeight="false" outlineLevel="0" collapsed="false">
      <c r="A1743" s="36" t="str">
        <f aca="false">IF($B1743="","",COUNT($B$15:$B1743))</f>
        <v/>
      </c>
      <c r="B1743" s="37"/>
      <c r="C1743" s="38"/>
      <c r="D1743" s="20"/>
      <c r="E1743" s="36" t="str">
        <f aca="false">IF($D1743="","",IFERROR(INDEX('교육원 ④ 설정'!$A$6:$A$40,MATCH($D1743,'교육원 ④ 설정'!$B$6:$B$40,0)),"※없는 과목"))</f>
        <v/>
      </c>
      <c r="F1743" s="36" t="str">
        <f aca="false">IF($D1743="","",IFERROR(INDEX('교육원 ④ 설정'!$C$6:$C$40,MATCH($D1743,'교육원 ④ 설정'!$B$6:$B$40,0)),""))</f>
        <v/>
      </c>
      <c r="G1743" s="39"/>
      <c r="H1743" s="39"/>
      <c r="I1743" s="40"/>
      <c r="J1743" s="41"/>
      <c r="K1743" s="38"/>
      <c r="L1743" s="42" t="str">
        <f aca="false">IF($B1743="","",IF(AND(N($I1743)=0,N($J1743)=0),"금액이 없습니다",IF(AND($I1743&gt;0,$J1743&gt;0),"수입·지출 둘 다 적혔습니다",IF($C1743="","결제수단을 고르십시오",IF(ISNA(MATCH($C1743,'교육원 ③ 통장·카드'!$A$5:$A$11,0)),"③ 통장·카드에 없는 결제수단입니다",IF($D1743="","계정과목을 고르십시오",IF($E1743="※없는 과목","④ 설정에 없는 과목입니다",IF(AND($E1743="수입",$J1743&gt;0),"수입 과목인데 지출에 적혔습니다",IF(AND(LEFT($E1743,2)&lt;&gt;"수입",$E1743&lt;&gt;"대체",$I1743&gt;0),"지출 과목인데 수입에 적혔습니다",IF($K1743="","증빙을 고르십시오",IF($H1743="","적요를 적으십시오","")))))))))))</f>
        <v/>
      </c>
      <c r="M1743" s="39"/>
      <c r="O1743" s="11" t="str">
        <f aca="false">IF($B1743="","",YEAR($B1743)*100+MONTH($B1743))</f>
        <v/>
      </c>
      <c r="P1743" s="11" t="str">
        <f aca="false">IF($B1743="","",IF($E1743="대체",0,1))</f>
        <v/>
      </c>
    </row>
    <row r="1744" customFormat="false" ht="15" hidden="false" customHeight="false" outlineLevel="0" collapsed="false">
      <c r="A1744" s="36" t="str">
        <f aca="false">IF($B1744="","",COUNT($B$15:$B1744))</f>
        <v/>
      </c>
      <c r="B1744" s="37"/>
      <c r="C1744" s="38"/>
      <c r="D1744" s="20"/>
      <c r="E1744" s="36" t="str">
        <f aca="false">IF($D1744="","",IFERROR(INDEX('교육원 ④ 설정'!$A$6:$A$40,MATCH($D1744,'교육원 ④ 설정'!$B$6:$B$40,0)),"※없는 과목"))</f>
        <v/>
      </c>
      <c r="F1744" s="36" t="str">
        <f aca="false">IF($D1744="","",IFERROR(INDEX('교육원 ④ 설정'!$C$6:$C$40,MATCH($D1744,'교육원 ④ 설정'!$B$6:$B$40,0)),""))</f>
        <v/>
      </c>
      <c r="G1744" s="39"/>
      <c r="H1744" s="39"/>
      <c r="I1744" s="40"/>
      <c r="J1744" s="41"/>
      <c r="K1744" s="38"/>
      <c r="L1744" s="42" t="str">
        <f aca="false">IF($B1744="","",IF(AND(N($I1744)=0,N($J1744)=0),"금액이 없습니다",IF(AND($I1744&gt;0,$J1744&gt;0),"수입·지출 둘 다 적혔습니다",IF($C1744="","결제수단을 고르십시오",IF(ISNA(MATCH($C1744,'교육원 ③ 통장·카드'!$A$5:$A$11,0)),"③ 통장·카드에 없는 결제수단입니다",IF($D1744="","계정과목을 고르십시오",IF($E1744="※없는 과목","④ 설정에 없는 과목입니다",IF(AND($E1744="수입",$J1744&gt;0),"수입 과목인데 지출에 적혔습니다",IF(AND(LEFT($E1744,2)&lt;&gt;"수입",$E1744&lt;&gt;"대체",$I1744&gt;0),"지출 과목인데 수입에 적혔습니다",IF($K1744="","증빙을 고르십시오",IF($H1744="","적요를 적으십시오","")))))))))))</f>
        <v/>
      </c>
      <c r="M1744" s="39"/>
      <c r="O1744" s="11" t="str">
        <f aca="false">IF($B1744="","",YEAR($B1744)*100+MONTH($B1744))</f>
        <v/>
      </c>
      <c r="P1744" s="11" t="str">
        <f aca="false">IF($B1744="","",IF($E1744="대체",0,1))</f>
        <v/>
      </c>
    </row>
    <row r="1745" customFormat="false" ht="15" hidden="false" customHeight="false" outlineLevel="0" collapsed="false">
      <c r="A1745" s="36" t="str">
        <f aca="false">IF($B1745="","",COUNT($B$15:$B1745))</f>
        <v/>
      </c>
      <c r="B1745" s="37"/>
      <c r="C1745" s="38"/>
      <c r="D1745" s="20"/>
      <c r="E1745" s="36" t="str">
        <f aca="false">IF($D1745="","",IFERROR(INDEX('교육원 ④ 설정'!$A$6:$A$40,MATCH($D1745,'교육원 ④ 설정'!$B$6:$B$40,0)),"※없는 과목"))</f>
        <v/>
      </c>
      <c r="F1745" s="36" t="str">
        <f aca="false">IF($D1745="","",IFERROR(INDEX('교육원 ④ 설정'!$C$6:$C$40,MATCH($D1745,'교육원 ④ 설정'!$B$6:$B$40,0)),""))</f>
        <v/>
      </c>
      <c r="G1745" s="39"/>
      <c r="H1745" s="39"/>
      <c r="I1745" s="40"/>
      <c r="J1745" s="41"/>
      <c r="K1745" s="38"/>
      <c r="L1745" s="42" t="str">
        <f aca="false">IF($B1745="","",IF(AND(N($I1745)=0,N($J1745)=0),"금액이 없습니다",IF(AND($I1745&gt;0,$J1745&gt;0),"수입·지출 둘 다 적혔습니다",IF($C1745="","결제수단을 고르십시오",IF(ISNA(MATCH($C1745,'교육원 ③ 통장·카드'!$A$5:$A$11,0)),"③ 통장·카드에 없는 결제수단입니다",IF($D1745="","계정과목을 고르십시오",IF($E1745="※없는 과목","④ 설정에 없는 과목입니다",IF(AND($E1745="수입",$J1745&gt;0),"수입 과목인데 지출에 적혔습니다",IF(AND(LEFT($E1745,2)&lt;&gt;"수입",$E1745&lt;&gt;"대체",$I1745&gt;0),"지출 과목인데 수입에 적혔습니다",IF($K1745="","증빙을 고르십시오",IF($H1745="","적요를 적으십시오","")))))))))))</f>
        <v/>
      </c>
      <c r="M1745" s="39"/>
      <c r="O1745" s="11" t="str">
        <f aca="false">IF($B1745="","",YEAR($B1745)*100+MONTH($B1745))</f>
        <v/>
      </c>
      <c r="P1745" s="11" t="str">
        <f aca="false">IF($B1745="","",IF($E1745="대체",0,1))</f>
        <v/>
      </c>
    </row>
    <row r="1746" customFormat="false" ht="15" hidden="false" customHeight="false" outlineLevel="0" collapsed="false">
      <c r="A1746" s="36" t="str">
        <f aca="false">IF($B1746="","",COUNT($B$15:$B1746))</f>
        <v/>
      </c>
      <c r="B1746" s="37"/>
      <c r="C1746" s="38"/>
      <c r="D1746" s="20"/>
      <c r="E1746" s="36" t="str">
        <f aca="false">IF($D1746="","",IFERROR(INDEX('교육원 ④ 설정'!$A$6:$A$40,MATCH($D1746,'교육원 ④ 설정'!$B$6:$B$40,0)),"※없는 과목"))</f>
        <v/>
      </c>
      <c r="F1746" s="36" t="str">
        <f aca="false">IF($D1746="","",IFERROR(INDEX('교육원 ④ 설정'!$C$6:$C$40,MATCH($D1746,'교육원 ④ 설정'!$B$6:$B$40,0)),""))</f>
        <v/>
      </c>
      <c r="G1746" s="39"/>
      <c r="H1746" s="39"/>
      <c r="I1746" s="40"/>
      <c r="J1746" s="41"/>
      <c r="K1746" s="38"/>
      <c r="L1746" s="42" t="str">
        <f aca="false">IF($B1746="","",IF(AND(N($I1746)=0,N($J1746)=0),"금액이 없습니다",IF(AND($I1746&gt;0,$J1746&gt;0),"수입·지출 둘 다 적혔습니다",IF($C1746="","결제수단을 고르십시오",IF(ISNA(MATCH($C1746,'교육원 ③ 통장·카드'!$A$5:$A$11,0)),"③ 통장·카드에 없는 결제수단입니다",IF($D1746="","계정과목을 고르십시오",IF($E1746="※없는 과목","④ 설정에 없는 과목입니다",IF(AND($E1746="수입",$J1746&gt;0),"수입 과목인데 지출에 적혔습니다",IF(AND(LEFT($E1746,2)&lt;&gt;"수입",$E1746&lt;&gt;"대체",$I1746&gt;0),"지출 과목인데 수입에 적혔습니다",IF($K1746="","증빙을 고르십시오",IF($H1746="","적요를 적으십시오","")))))))))))</f>
        <v/>
      </c>
      <c r="M1746" s="39"/>
      <c r="O1746" s="11" t="str">
        <f aca="false">IF($B1746="","",YEAR($B1746)*100+MONTH($B1746))</f>
        <v/>
      </c>
      <c r="P1746" s="11" t="str">
        <f aca="false">IF($B1746="","",IF($E1746="대체",0,1))</f>
        <v/>
      </c>
    </row>
    <row r="1747" customFormat="false" ht="15" hidden="false" customHeight="false" outlineLevel="0" collapsed="false">
      <c r="A1747" s="36" t="str">
        <f aca="false">IF($B1747="","",COUNT($B$15:$B1747))</f>
        <v/>
      </c>
      <c r="B1747" s="37"/>
      <c r="C1747" s="38"/>
      <c r="D1747" s="20"/>
      <c r="E1747" s="36" t="str">
        <f aca="false">IF($D1747="","",IFERROR(INDEX('교육원 ④ 설정'!$A$6:$A$40,MATCH($D1747,'교육원 ④ 설정'!$B$6:$B$40,0)),"※없는 과목"))</f>
        <v/>
      </c>
      <c r="F1747" s="36" t="str">
        <f aca="false">IF($D1747="","",IFERROR(INDEX('교육원 ④ 설정'!$C$6:$C$40,MATCH($D1747,'교육원 ④ 설정'!$B$6:$B$40,0)),""))</f>
        <v/>
      </c>
      <c r="G1747" s="39"/>
      <c r="H1747" s="39"/>
      <c r="I1747" s="40"/>
      <c r="J1747" s="41"/>
      <c r="K1747" s="38"/>
      <c r="L1747" s="42" t="str">
        <f aca="false">IF($B1747="","",IF(AND(N($I1747)=0,N($J1747)=0),"금액이 없습니다",IF(AND($I1747&gt;0,$J1747&gt;0),"수입·지출 둘 다 적혔습니다",IF($C1747="","결제수단을 고르십시오",IF(ISNA(MATCH($C1747,'교육원 ③ 통장·카드'!$A$5:$A$11,0)),"③ 통장·카드에 없는 결제수단입니다",IF($D1747="","계정과목을 고르십시오",IF($E1747="※없는 과목","④ 설정에 없는 과목입니다",IF(AND($E1747="수입",$J1747&gt;0),"수입 과목인데 지출에 적혔습니다",IF(AND(LEFT($E1747,2)&lt;&gt;"수입",$E1747&lt;&gt;"대체",$I1747&gt;0),"지출 과목인데 수입에 적혔습니다",IF($K1747="","증빙을 고르십시오",IF($H1747="","적요를 적으십시오","")))))))))))</f>
        <v/>
      </c>
      <c r="M1747" s="39"/>
      <c r="O1747" s="11" t="str">
        <f aca="false">IF($B1747="","",YEAR($B1747)*100+MONTH($B1747))</f>
        <v/>
      </c>
      <c r="P1747" s="11" t="str">
        <f aca="false">IF($B1747="","",IF($E1747="대체",0,1))</f>
        <v/>
      </c>
    </row>
    <row r="1748" customFormat="false" ht="15" hidden="false" customHeight="false" outlineLevel="0" collapsed="false">
      <c r="A1748" s="36" t="str">
        <f aca="false">IF($B1748="","",COUNT($B$15:$B1748))</f>
        <v/>
      </c>
      <c r="B1748" s="37"/>
      <c r="C1748" s="38"/>
      <c r="D1748" s="20"/>
      <c r="E1748" s="36" t="str">
        <f aca="false">IF($D1748="","",IFERROR(INDEX('교육원 ④ 설정'!$A$6:$A$40,MATCH($D1748,'교육원 ④ 설정'!$B$6:$B$40,0)),"※없는 과목"))</f>
        <v/>
      </c>
      <c r="F1748" s="36" t="str">
        <f aca="false">IF($D1748="","",IFERROR(INDEX('교육원 ④ 설정'!$C$6:$C$40,MATCH($D1748,'교육원 ④ 설정'!$B$6:$B$40,0)),""))</f>
        <v/>
      </c>
      <c r="G1748" s="39"/>
      <c r="H1748" s="39"/>
      <c r="I1748" s="40"/>
      <c r="J1748" s="41"/>
      <c r="K1748" s="38"/>
      <c r="L1748" s="42" t="str">
        <f aca="false">IF($B1748="","",IF(AND(N($I1748)=0,N($J1748)=0),"금액이 없습니다",IF(AND($I1748&gt;0,$J1748&gt;0),"수입·지출 둘 다 적혔습니다",IF($C1748="","결제수단을 고르십시오",IF(ISNA(MATCH($C1748,'교육원 ③ 통장·카드'!$A$5:$A$11,0)),"③ 통장·카드에 없는 결제수단입니다",IF($D1748="","계정과목을 고르십시오",IF($E1748="※없는 과목","④ 설정에 없는 과목입니다",IF(AND($E1748="수입",$J1748&gt;0),"수입 과목인데 지출에 적혔습니다",IF(AND(LEFT($E1748,2)&lt;&gt;"수입",$E1748&lt;&gt;"대체",$I1748&gt;0),"지출 과목인데 수입에 적혔습니다",IF($K1748="","증빙을 고르십시오",IF($H1748="","적요를 적으십시오","")))))))))))</f>
        <v/>
      </c>
      <c r="M1748" s="39"/>
      <c r="O1748" s="11" t="str">
        <f aca="false">IF($B1748="","",YEAR($B1748)*100+MONTH($B1748))</f>
        <v/>
      </c>
      <c r="P1748" s="11" t="str">
        <f aca="false">IF($B1748="","",IF($E1748="대체",0,1))</f>
        <v/>
      </c>
    </row>
    <row r="1749" customFormat="false" ht="15" hidden="false" customHeight="false" outlineLevel="0" collapsed="false">
      <c r="A1749" s="36" t="str">
        <f aca="false">IF($B1749="","",COUNT($B$15:$B1749))</f>
        <v/>
      </c>
      <c r="B1749" s="37"/>
      <c r="C1749" s="38"/>
      <c r="D1749" s="20"/>
      <c r="E1749" s="36" t="str">
        <f aca="false">IF($D1749="","",IFERROR(INDEX('교육원 ④ 설정'!$A$6:$A$40,MATCH($D1749,'교육원 ④ 설정'!$B$6:$B$40,0)),"※없는 과목"))</f>
        <v/>
      </c>
      <c r="F1749" s="36" t="str">
        <f aca="false">IF($D1749="","",IFERROR(INDEX('교육원 ④ 설정'!$C$6:$C$40,MATCH($D1749,'교육원 ④ 설정'!$B$6:$B$40,0)),""))</f>
        <v/>
      </c>
      <c r="G1749" s="39"/>
      <c r="H1749" s="39"/>
      <c r="I1749" s="40"/>
      <c r="J1749" s="41"/>
      <c r="K1749" s="38"/>
      <c r="L1749" s="42" t="str">
        <f aca="false">IF($B1749="","",IF(AND(N($I1749)=0,N($J1749)=0),"금액이 없습니다",IF(AND($I1749&gt;0,$J1749&gt;0),"수입·지출 둘 다 적혔습니다",IF($C1749="","결제수단을 고르십시오",IF(ISNA(MATCH($C1749,'교육원 ③ 통장·카드'!$A$5:$A$11,0)),"③ 통장·카드에 없는 결제수단입니다",IF($D1749="","계정과목을 고르십시오",IF($E1749="※없는 과목","④ 설정에 없는 과목입니다",IF(AND($E1749="수입",$J1749&gt;0),"수입 과목인데 지출에 적혔습니다",IF(AND(LEFT($E1749,2)&lt;&gt;"수입",$E1749&lt;&gt;"대체",$I1749&gt;0),"지출 과목인데 수입에 적혔습니다",IF($K1749="","증빙을 고르십시오",IF($H1749="","적요를 적으십시오","")))))))))))</f>
        <v/>
      </c>
      <c r="M1749" s="39"/>
      <c r="O1749" s="11" t="str">
        <f aca="false">IF($B1749="","",YEAR($B1749)*100+MONTH($B1749))</f>
        <v/>
      </c>
      <c r="P1749" s="11" t="str">
        <f aca="false">IF($B1749="","",IF($E1749="대체",0,1))</f>
        <v/>
      </c>
    </row>
    <row r="1750" customFormat="false" ht="15" hidden="false" customHeight="false" outlineLevel="0" collapsed="false">
      <c r="A1750" s="36" t="str">
        <f aca="false">IF($B1750="","",COUNT($B$15:$B1750))</f>
        <v/>
      </c>
      <c r="B1750" s="37"/>
      <c r="C1750" s="38"/>
      <c r="D1750" s="20"/>
      <c r="E1750" s="36" t="str">
        <f aca="false">IF($D1750="","",IFERROR(INDEX('교육원 ④ 설정'!$A$6:$A$40,MATCH($D1750,'교육원 ④ 설정'!$B$6:$B$40,0)),"※없는 과목"))</f>
        <v/>
      </c>
      <c r="F1750" s="36" t="str">
        <f aca="false">IF($D1750="","",IFERROR(INDEX('교육원 ④ 설정'!$C$6:$C$40,MATCH($D1750,'교육원 ④ 설정'!$B$6:$B$40,0)),""))</f>
        <v/>
      </c>
      <c r="G1750" s="39"/>
      <c r="H1750" s="39"/>
      <c r="I1750" s="40"/>
      <c r="J1750" s="41"/>
      <c r="K1750" s="38"/>
      <c r="L1750" s="42" t="str">
        <f aca="false">IF($B1750="","",IF(AND(N($I1750)=0,N($J1750)=0),"금액이 없습니다",IF(AND($I1750&gt;0,$J1750&gt;0),"수입·지출 둘 다 적혔습니다",IF($C1750="","결제수단을 고르십시오",IF(ISNA(MATCH($C1750,'교육원 ③ 통장·카드'!$A$5:$A$11,0)),"③ 통장·카드에 없는 결제수단입니다",IF($D1750="","계정과목을 고르십시오",IF($E1750="※없는 과목","④ 설정에 없는 과목입니다",IF(AND($E1750="수입",$J1750&gt;0),"수입 과목인데 지출에 적혔습니다",IF(AND(LEFT($E1750,2)&lt;&gt;"수입",$E1750&lt;&gt;"대체",$I1750&gt;0),"지출 과목인데 수입에 적혔습니다",IF($K1750="","증빙을 고르십시오",IF($H1750="","적요를 적으십시오","")))))))))))</f>
        <v/>
      </c>
      <c r="M1750" s="39"/>
      <c r="O1750" s="11" t="str">
        <f aca="false">IF($B1750="","",YEAR($B1750)*100+MONTH($B1750))</f>
        <v/>
      </c>
      <c r="P1750" s="11" t="str">
        <f aca="false">IF($B1750="","",IF($E1750="대체",0,1))</f>
        <v/>
      </c>
    </row>
    <row r="1751" customFormat="false" ht="15" hidden="false" customHeight="false" outlineLevel="0" collapsed="false">
      <c r="A1751" s="36" t="str">
        <f aca="false">IF($B1751="","",COUNT($B$15:$B1751))</f>
        <v/>
      </c>
      <c r="B1751" s="37"/>
      <c r="C1751" s="38"/>
      <c r="D1751" s="20"/>
      <c r="E1751" s="36" t="str">
        <f aca="false">IF($D1751="","",IFERROR(INDEX('교육원 ④ 설정'!$A$6:$A$40,MATCH($D1751,'교육원 ④ 설정'!$B$6:$B$40,0)),"※없는 과목"))</f>
        <v/>
      </c>
      <c r="F1751" s="36" t="str">
        <f aca="false">IF($D1751="","",IFERROR(INDEX('교육원 ④ 설정'!$C$6:$C$40,MATCH($D1751,'교육원 ④ 설정'!$B$6:$B$40,0)),""))</f>
        <v/>
      </c>
      <c r="G1751" s="39"/>
      <c r="H1751" s="39"/>
      <c r="I1751" s="40"/>
      <c r="J1751" s="41"/>
      <c r="K1751" s="38"/>
      <c r="L1751" s="42" t="str">
        <f aca="false">IF($B1751="","",IF(AND(N($I1751)=0,N($J1751)=0),"금액이 없습니다",IF(AND($I1751&gt;0,$J1751&gt;0),"수입·지출 둘 다 적혔습니다",IF($C1751="","결제수단을 고르십시오",IF(ISNA(MATCH($C1751,'교육원 ③ 통장·카드'!$A$5:$A$11,0)),"③ 통장·카드에 없는 결제수단입니다",IF($D1751="","계정과목을 고르십시오",IF($E1751="※없는 과목","④ 설정에 없는 과목입니다",IF(AND($E1751="수입",$J1751&gt;0),"수입 과목인데 지출에 적혔습니다",IF(AND(LEFT($E1751,2)&lt;&gt;"수입",$E1751&lt;&gt;"대체",$I1751&gt;0),"지출 과목인데 수입에 적혔습니다",IF($K1751="","증빙을 고르십시오",IF($H1751="","적요를 적으십시오","")))))))))))</f>
        <v/>
      </c>
      <c r="M1751" s="39"/>
      <c r="O1751" s="11" t="str">
        <f aca="false">IF($B1751="","",YEAR($B1751)*100+MONTH($B1751))</f>
        <v/>
      </c>
      <c r="P1751" s="11" t="str">
        <f aca="false">IF($B1751="","",IF($E1751="대체",0,1))</f>
        <v/>
      </c>
    </row>
    <row r="1752" customFormat="false" ht="15" hidden="false" customHeight="false" outlineLevel="0" collapsed="false">
      <c r="A1752" s="36" t="str">
        <f aca="false">IF($B1752="","",COUNT($B$15:$B1752))</f>
        <v/>
      </c>
      <c r="B1752" s="37"/>
      <c r="C1752" s="38"/>
      <c r="D1752" s="20"/>
      <c r="E1752" s="36" t="str">
        <f aca="false">IF($D1752="","",IFERROR(INDEX('교육원 ④ 설정'!$A$6:$A$40,MATCH($D1752,'교육원 ④ 설정'!$B$6:$B$40,0)),"※없는 과목"))</f>
        <v/>
      </c>
      <c r="F1752" s="36" t="str">
        <f aca="false">IF($D1752="","",IFERROR(INDEX('교육원 ④ 설정'!$C$6:$C$40,MATCH($D1752,'교육원 ④ 설정'!$B$6:$B$40,0)),""))</f>
        <v/>
      </c>
      <c r="G1752" s="39"/>
      <c r="H1752" s="39"/>
      <c r="I1752" s="40"/>
      <c r="J1752" s="41"/>
      <c r="K1752" s="38"/>
      <c r="L1752" s="42" t="str">
        <f aca="false">IF($B1752="","",IF(AND(N($I1752)=0,N($J1752)=0),"금액이 없습니다",IF(AND($I1752&gt;0,$J1752&gt;0),"수입·지출 둘 다 적혔습니다",IF($C1752="","결제수단을 고르십시오",IF(ISNA(MATCH($C1752,'교육원 ③ 통장·카드'!$A$5:$A$11,0)),"③ 통장·카드에 없는 결제수단입니다",IF($D1752="","계정과목을 고르십시오",IF($E1752="※없는 과목","④ 설정에 없는 과목입니다",IF(AND($E1752="수입",$J1752&gt;0),"수입 과목인데 지출에 적혔습니다",IF(AND(LEFT($E1752,2)&lt;&gt;"수입",$E1752&lt;&gt;"대체",$I1752&gt;0),"지출 과목인데 수입에 적혔습니다",IF($K1752="","증빙을 고르십시오",IF($H1752="","적요를 적으십시오","")))))))))))</f>
        <v/>
      </c>
      <c r="M1752" s="39"/>
      <c r="O1752" s="11" t="str">
        <f aca="false">IF($B1752="","",YEAR($B1752)*100+MONTH($B1752))</f>
        <v/>
      </c>
      <c r="P1752" s="11" t="str">
        <f aca="false">IF($B1752="","",IF($E1752="대체",0,1))</f>
        <v/>
      </c>
    </row>
    <row r="1753" customFormat="false" ht="15" hidden="false" customHeight="false" outlineLevel="0" collapsed="false">
      <c r="A1753" s="36" t="str">
        <f aca="false">IF($B1753="","",COUNT($B$15:$B1753))</f>
        <v/>
      </c>
      <c r="B1753" s="37"/>
      <c r="C1753" s="38"/>
      <c r="D1753" s="20"/>
      <c r="E1753" s="36" t="str">
        <f aca="false">IF($D1753="","",IFERROR(INDEX('교육원 ④ 설정'!$A$6:$A$40,MATCH($D1753,'교육원 ④ 설정'!$B$6:$B$40,0)),"※없는 과목"))</f>
        <v/>
      </c>
      <c r="F1753" s="36" t="str">
        <f aca="false">IF($D1753="","",IFERROR(INDEX('교육원 ④ 설정'!$C$6:$C$40,MATCH($D1753,'교육원 ④ 설정'!$B$6:$B$40,0)),""))</f>
        <v/>
      </c>
      <c r="G1753" s="39"/>
      <c r="H1753" s="39"/>
      <c r="I1753" s="40"/>
      <c r="J1753" s="41"/>
      <c r="K1753" s="38"/>
      <c r="L1753" s="42" t="str">
        <f aca="false">IF($B1753="","",IF(AND(N($I1753)=0,N($J1753)=0),"금액이 없습니다",IF(AND($I1753&gt;0,$J1753&gt;0),"수입·지출 둘 다 적혔습니다",IF($C1753="","결제수단을 고르십시오",IF(ISNA(MATCH($C1753,'교육원 ③ 통장·카드'!$A$5:$A$11,0)),"③ 통장·카드에 없는 결제수단입니다",IF($D1753="","계정과목을 고르십시오",IF($E1753="※없는 과목","④ 설정에 없는 과목입니다",IF(AND($E1753="수입",$J1753&gt;0),"수입 과목인데 지출에 적혔습니다",IF(AND(LEFT($E1753,2)&lt;&gt;"수입",$E1753&lt;&gt;"대체",$I1753&gt;0),"지출 과목인데 수입에 적혔습니다",IF($K1753="","증빙을 고르십시오",IF($H1753="","적요를 적으십시오","")))))))))))</f>
        <v/>
      </c>
      <c r="M1753" s="39"/>
      <c r="O1753" s="11" t="str">
        <f aca="false">IF($B1753="","",YEAR($B1753)*100+MONTH($B1753))</f>
        <v/>
      </c>
      <c r="P1753" s="11" t="str">
        <f aca="false">IF($B1753="","",IF($E1753="대체",0,1))</f>
        <v/>
      </c>
    </row>
    <row r="1754" customFormat="false" ht="15" hidden="false" customHeight="false" outlineLevel="0" collapsed="false">
      <c r="A1754" s="36" t="str">
        <f aca="false">IF($B1754="","",COUNT($B$15:$B1754))</f>
        <v/>
      </c>
      <c r="B1754" s="37"/>
      <c r="C1754" s="38"/>
      <c r="D1754" s="20"/>
      <c r="E1754" s="36" t="str">
        <f aca="false">IF($D1754="","",IFERROR(INDEX('교육원 ④ 설정'!$A$6:$A$40,MATCH($D1754,'교육원 ④ 설정'!$B$6:$B$40,0)),"※없는 과목"))</f>
        <v/>
      </c>
      <c r="F1754" s="36" t="str">
        <f aca="false">IF($D1754="","",IFERROR(INDEX('교육원 ④ 설정'!$C$6:$C$40,MATCH($D1754,'교육원 ④ 설정'!$B$6:$B$40,0)),""))</f>
        <v/>
      </c>
      <c r="G1754" s="39"/>
      <c r="H1754" s="39"/>
      <c r="I1754" s="40"/>
      <c r="J1754" s="41"/>
      <c r="K1754" s="38"/>
      <c r="L1754" s="42" t="str">
        <f aca="false">IF($B1754="","",IF(AND(N($I1754)=0,N($J1754)=0),"금액이 없습니다",IF(AND($I1754&gt;0,$J1754&gt;0),"수입·지출 둘 다 적혔습니다",IF($C1754="","결제수단을 고르십시오",IF(ISNA(MATCH($C1754,'교육원 ③ 통장·카드'!$A$5:$A$11,0)),"③ 통장·카드에 없는 결제수단입니다",IF($D1754="","계정과목을 고르십시오",IF($E1754="※없는 과목","④ 설정에 없는 과목입니다",IF(AND($E1754="수입",$J1754&gt;0),"수입 과목인데 지출에 적혔습니다",IF(AND(LEFT($E1754,2)&lt;&gt;"수입",$E1754&lt;&gt;"대체",$I1754&gt;0),"지출 과목인데 수입에 적혔습니다",IF($K1754="","증빙을 고르십시오",IF($H1754="","적요를 적으십시오","")))))))))))</f>
        <v/>
      </c>
      <c r="M1754" s="39"/>
      <c r="O1754" s="11" t="str">
        <f aca="false">IF($B1754="","",YEAR($B1754)*100+MONTH($B1754))</f>
        <v/>
      </c>
      <c r="P1754" s="11" t="str">
        <f aca="false">IF($B1754="","",IF($E1754="대체",0,1))</f>
        <v/>
      </c>
    </row>
    <row r="1755" customFormat="false" ht="15" hidden="false" customHeight="false" outlineLevel="0" collapsed="false">
      <c r="A1755" s="36" t="str">
        <f aca="false">IF($B1755="","",COUNT($B$15:$B1755))</f>
        <v/>
      </c>
      <c r="B1755" s="37"/>
      <c r="C1755" s="38"/>
      <c r="D1755" s="20"/>
      <c r="E1755" s="36" t="str">
        <f aca="false">IF($D1755="","",IFERROR(INDEX('교육원 ④ 설정'!$A$6:$A$40,MATCH($D1755,'교육원 ④ 설정'!$B$6:$B$40,0)),"※없는 과목"))</f>
        <v/>
      </c>
      <c r="F1755" s="36" t="str">
        <f aca="false">IF($D1755="","",IFERROR(INDEX('교육원 ④ 설정'!$C$6:$C$40,MATCH($D1755,'교육원 ④ 설정'!$B$6:$B$40,0)),""))</f>
        <v/>
      </c>
      <c r="G1755" s="39"/>
      <c r="H1755" s="39"/>
      <c r="I1755" s="40"/>
      <c r="J1755" s="41"/>
      <c r="K1755" s="38"/>
      <c r="L1755" s="42" t="str">
        <f aca="false">IF($B1755="","",IF(AND(N($I1755)=0,N($J1755)=0),"금액이 없습니다",IF(AND($I1755&gt;0,$J1755&gt;0),"수입·지출 둘 다 적혔습니다",IF($C1755="","결제수단을 고르십시오",IF(ISNA(MATCH($C1755,'교육원 ③ 통장·카드'!$A$5:$A$11,0)),"③ 통장·카드에 없는 결제수단입니다",IF($D1755="","계정과목을 고르십시오",IF($E1755="※없는 과목","④ 설정에 없는 과목입니다",IF(AND($E1755="수입",$J1755&gt;0),"수입 과목인데 지출에 적혔습니다",IF(AND(LEFT($E1755,2)&lt;&gt;"수입",$E1755&lt;&gt;"대체",$I1755&gt;0),"지출 과목인데 수입에 적혔습니다",IF($K1755="","증빙을 고르십시오",IF($H1755="","적요를 적으십시오","")))))))))))</f>
        <v/>
      </c>
      <c r="M1755" s="39"/>
      <c r="O1755" s="11" t="str">
        <f aca="false">IF($B1755="","",YEAR($B1755)*100+MONTH($B1755))</f>
        <v/>
      </c>
      <c r="P1755" s="11" t="str">
        <f aca="false">IF($B1755="","",IF($E1755="대체",0,1))</f>
        <v/>
      </c>
    </row>
    <row r="1756" customFormat="false" ht="15" hidden="false" customHeight="false" outlineLevel="0" collapsed="false">
      <c r="A1756" s="36" t="str">
        <f aca="false">IF($B1756="","",COUNT($B$15:$B1756))</f>
        <v/>
      </c>
      <c r="B1756" s="37"/>
      <c r="C1756" s="38"/>
      <c r="D1756" s="20"/>
      <c r="E1756" s="36" t="str">
        <f aca="false">IF($D1756="","",IFERROR(INDEX('교육원 ④ 설정'!$A$6:$A$40,MATCH($D1756,'교육원 ④ 설정'!$B$6:$B$40,0)),"※없는 과목"))</f>
        <v/>
      </c>
      <c r="F1756" s="36" t="str">
        <f aca="false">IF($D1756="","",IFERROR(INDEX('교육원 ④ 설정'!$C$6:$C$40,MATCH($D1756,'교육원 ④ 설정'!$B$6:$B$40,0)),""))</f>
        <v/>
      </c>
      <c r="G1756" s="39"/>
      <c r="H1756" s="39"/>
      <c r="I1756" s="40"/>
      <c r="J1756" s="41"/>
      <c r="K1756" s="38"/>
      <c r="L1756" s="42" t="str">
        <f aca="false">IF($B1756="","",IF(AND(N($I1756)=0,N($J1756)=0),"금액이 없습니다",IF(AND($I1756&gt;0,$J1756&gt;0),"수입·지출 둘 다 적혔습니다",IF($C1756="","결제수단을 고르십시오",IF(ISNA(MATCH($C1756,'교육원 ③ 통장·카드'!$A$5:$A$11,0)),"③ 통장·카드에 없는 결제수단입니다",IF($D1756="","계정과목을 고르십시오",IF($E1756="※없는 과목","④ 설정에 없는 과목입니다",IF(AND($E1756="수입",$J1756&gt;0),"수입 과목인데 지출에 적혔습니다",IF(AND(LEFT($E1756,2)&lt;&gt;"수입",$E1756&lt;&gt;"대체",$I1756&gt;0),"지출 과목인데 수입에 적혔습니다",IF($K1756="","증빙을 고르십시오",IF($H1756="","적요를 적으십시오","")))))))))))</f>
        <v/>
      </c>
      <c r="M1756" s="39"/>
      <c r="O1756" s="11" t="str">
        <f aca="false">IF($B1756="","",YEAR($B1756)*100+MONTH($B1756))</f>
        <v/>
      </c>
      <c r="P1756" s="11" t="str">
        <f aca="false">IF($B1756="","",IF($E1756="대체",0,1))</f>
        <v/>
      </c>
    </row>
    <row r="1757" customFormat="false" ht="15" hidden="false" customHeight="false" outlineLevel="0" collapsed="false">
      <c r="A1757" s="36" t="str">
        <f aca="false">IF($B1757="","",COUNT($B$15:$B1757))</f>
        <v/>
      </c>
      <c r="B1757" s="37"/>
      <c r="C1757" s="38"/>
      <c r="D1757" s="20"/>
      <c r="E1757" s="36" t="str">
        <f aca="false">IF($D1757="","",IFERROR(INDEX('교육원 ④ 설정'!$A$6:$A$40,MATCH($D1757,'교육원 ④ 설정'!$B$6:$B$40,0)),"※없는 과목"))</f>
        <v/>
      </c>
      <c r="F1757" s="36" t="str">
        <f aca="false">IF($D1757="","",IFERROR(INDEX('교육원 ④ 설정'!$C$6:$C$40,MATCH($D1757,'교육원 ④ 설정'!$B$6:$B$40,0)),""))</f>
        <v/>
      </c>
      <c r="G1757" s="39"/>
      <c r="H1757" s="39"/>
      <c r="I1757" s="40"/>
      <c r="J1757" s="41"/>
      <c r="K1757" s="38"/>
      <c r="L1757" s="42" t="str">
        <f aca="false">IF($B1757="","",IF(AND(N($I1757)=0,N($J1757)=0),"금액이 없습니다",IF(AND($I1757&gt;0,$J1757&gt;0),"수입·지출 둘 다 적혔습니다",IF($C1757="","결제수단을 고르십시오",IF(ISNA(MATCH($C1757,'교육원 ③ 통장·카드'!$A$5:$A$11,0)),"③ 통장·카드에 없는 결제수단입니다",IF($D1757="","계정과목을 고르십시오",IF($E1757="※없는 과목","④ 설정에 없는 과목입니다",IF(AND($E1757="수입",$J1757&gt;0),"수입 과목인데 지출에 적혔습니다",IF(AND(LEFT($E1757,2)&lt;&gt;"수입",$E1757&lt;&gt;"대체",$I1757&gt;0),"지출 과목인데 수입에 적혔습니다",IF($K1757="","증빙을 고르십시오",IF($H1757="","적요를 적으십시오","")))))))))))</f>
        <v/>
      </c>
      <c r="M1757" s="39"/>
      <c r="O1757" s="11" t="str">
        <f aca="false">IF($B1757="","",YEAR($B1757)*100+MONTH($B1757))</f>
        <v/>
      </c>
      <c r="P1757" s="11" t="str">
        <f aca="false">IF($B1757="","",IF($E1757="대체",0,1))</f>
        <v/>
      </c>
    </row>
    <row r="1758" customFormat="false" ht="15" hidden="false" customHeight="false" outlineLevel="0" collapsed="false">
      <c r="A1758" s="36" t="str">
        <f aca="false">IF($B1758="","",COUNT($B$15:$B1758))</f>
        <v/>
      </c>
      <c r="B1758" s="37"/>
      <c r="C1758" s="38"/>
      <c r="D1758" s="20"/>
      <c r="E1758" s="36" t="str">
        <f aca="false">IF($D1758="","",IFERROR(INDEX('교육원 ④ 설정'!$A$6:$A$40,MATCH($D1758,'교육원 ④ 설정'!$B$6:$B$40,0)),"※없는 과목"))</f>
        <v/>
      </c>
      <c r="F1758" s="36" t="str">
        <f aca="false">IF($D1758="","",IFERROR(INDEX('교육원 ④ 설정'!$C$6:$C$40,MATCH($D1758,'교육원 ④ 설정'!$B$6:$B$40,0)),""))</f>
        <v/>
      </c>
      <c r="G1758" s="39"/>
      <c r="H1758" s="39"/>
      <c r="I1758" s="40"/>
      <c r="J1758" s="41"/>
      <c r="K1758" s="38"/>
      <c r="L1758" s="42" t="str">
        <f aca="false">IF($B1758="","",IF(AND(N($I1758)=0,N($J1758)=0),"금액이 없습니다",IF(AND($I1758&gt;0,$J1758&gt;0),"수입·지출 둘 다 적혔습니다",IF($C1758="","결제수단을 고르십시오",IF(ISNA(MATCH($C1758,'교육원 ③ 통장·카드'!$A$5:$A$11,0)),"③ 통장·카드에 없는 결제수단입니다",IF($D1758="","계정과목을 고르십시오",IF($E1758="※없는 과목","④ 설정에 없는 과목입니다",IF(AND($E1758="수입",$J1758&gt;0),"수입 과목인데 지출에 적혔습니다",IF(AND(LEFT($E1758,2)&lt;&gt;"수입",$E1758&lt;&gt;"대체",$I1758&gt;0),"지출 과목인데 수입에 적혔습니다",IF($K1758="","증빙을 고르십시오",IF($H1758="","적요를 적으십시오","")))))))))))</f>
        <v/>
      </c>
      <c r="M1758" s="39"/>
      <c r="O1758" s="11" t="str">
        <f aca="false">IF($B1758="","",YEAR($B1758)*100+MONTH($B1758))</f>
        <v/>
      </c>
      <c r="P1758" s="11" t="str">
        <f aca="false">IF($B1758="","",IF($E1758="대체",0,1))</f>
        <v/>
      </c>
    </row>
    <row r="1759" customFormat="false" ht="15" hidden="false" customHeight="false" outlineLevel="0" collapsed="false">
      <c r="A1759" s="36" t="str">
        <f aca="false">IF($B1759="","",COUNT($B$15:$B1759))</f>
        <v/>
      </c>
      <c r="B1759" s="37"/>
      <c r="C1759" s="38"/>
      <c r="D1759" s="20"/>
      <c r="E1759" s="36" t="str">
        <f aca="false">IF($D1759="","",IFERROR(INDEX('교육원 ④ 설정'!$A$6:$A$40,MATCH($D1759,'교육원 ④ 설정'!$B$6:$B$40,0)),"※없는 과목"))</f>
        <v/>
      </c>
      <c r="F1759" s="36" t="str">
        <f aca="false">IF($D1759="","",IFERROR(INDEX('교육원 ④ 설정'!$C$6:$C$40,MATCH($D1759,'교육원 ④ 설정'!$B$6:$B$40,0)),""))</f>
        <v/>
      </c>
      <c r="G1759" s="39"/>
      <c r="H1759" s="39"/>
      <c r="I1759" s="40"/>
      <c r="J1759" s="41"/>
      <c r="K1759" s="38"/>
      <c r="L1759" s="42" t="str">
        <f aca="false">IF($B1759="","",IF(AND(N($I1759)=0,N($J1759)=0),"금액이 없습니다",IF(AND($I1759&gt;0,$J1759&gt;0),"수입·지출 둘 다 적혔습니다",IF($C1759="","결제수단을 고르십시오",IF(ISNA(MATCH($C1759,'교육원 ③ 통장·카드'!$A$5:$A$11,0)),"③ 통장·카드에 없는 결제수단입니다",IF($D1759="","계정과목을 고르십시오",IF($E1759="※없는 과목","④ 설정에 없는 과목입니다",IF(AND($E1759="수입",$J1759&gt;0),"수입 과목인데 지출에 적혔습니다",IF(AND(LEFT($E1759,2)&lt;&gt;"수입",$E1759&lt;&gt;"대체",$I1759&gt;0),"지출 과목인데 수입에 적혔습니다",IF($K1759="","증빙을 고르십시오",IF($H1759="","적요를 적으십시오","")))))))))))</f>
        <v/>
      </c>
      <c r="M1759" s="39"/>
      <c r="O1759" s="11" t="str">
        <f aca="false">IF($B1759="","",YEAR($B1759)*100+MONTH($B1759))</f>
        <v/>
      </c>
      <c r="P1759" s="11" t="str">
        <f aca="false">IF($B1759="","",IF($E1759="대체",0,1))</f>
        <v/>
      </c>
    </row>
    <row r="1760" customFormat="false" ht="15" hidden="false" customHeight="false" outlineLevel="0" collapsed="false">
      <c r="A1760" s="36" t="str">
        <f aca="false">IF($B1760="","",COUNT($B$15:$B1760))</f>
        <v/>
      </c>
      <c r="B1760" s="37"/>
      <c r="C1760" s="38"/>
      <c r="D1760" s="20"/>
      <c r="E1760" s="36" t="str">
        <f aca="false">IF($D1760="","",IFERROR(INDEX('교육원 ④ 설정'!$A$6:$A$40,MATCH($D1760,'교육원 ④ 설정'!$B$6:$B$40,0)),"※없는 과목"))</f>
        <v/>
      </c>
      <c r="F1760" s="36" t="str">
        <f aca="false">IF($D1760="","",IFERROR(INDEX('교육원 ④ 설정'!$C$6:$C$40,MATCH($D1760,'교육원 ④ 설정'!$B$6:$B$40,0)),""))</f>
        <v/>
      </c>
      <c r="G1760" s="39"/>
      <c r="H1760" s="39"/>
      <c r="I1760" s="40"/>
      <c r="J1760" s="41"/>
      <c r="K1760" s="38"/>
      <c r="L1760" s="42" t="str">
        <f aca="false">IF($B1760="","",IF(AND(N($I1760)=0,N($J1760)=0),"금액이 없습니다",IF(AND($I1760&gt;0,$J1760&gt;0),"수입·지출 둘 다 적혔습니다",IF($C1760="","결제수단을 고르십시오",IF(ISNA(MATCH($C1760,'교육원 ③ 통장·카드'!$A$5:$A$11,0)),"③ 통장·카드에 없는 결제수단입니다",IF($D1760="","계정과목을 고르십시오",IF($E1760="※없는 과목","④ 설정에 없는 과목입니다",IF(AND($E1760="수입",$J1760&gt;0),"수입 과목인데 지출에 적혔습니다",IF(AND(LEFT($E1760,2)&lt;&gt;"수입",$E1760&lt;&gt;"대체",$I1760&gt;0),"지출 과목인데 수입에 적혔습니다",IF($K1760="","증빙을 고르십시오",IF($H1760="","적요를 적으십시오","")))))))))))</f>
        <v/>
      </c>
      <c r="M1760" s="39"/>
      <c r="O1760" s="11" t="str">
        <f aca="false">IF($B1760="","",YEAR($B1760)*100+MONTH($B1760))</f>
        <v/>
      </c>
      <c r="P1760" s="11" t="str">
        <f aca="false">IF($B1760="","",IF($E1760="대체",0,1))</f>
        <v/>
      </c>
    </row>
    <row r="1761" customFormat="false" ht="15" hidden="false" customHeight="false" outlineLevel="0" collapsed="false">
      <c r="A1761" s="36" t="str">
        <f aca="false">IF($B1761="","",COUNT($B$15:$B1761))</f>
        <v/>
      </c>
      <c r="B1761" s="37"/>
      <c r="C1761" s="38"/>
      <c r="D1761" s="20"/>
      <c r="E1761" s="36" t="str">
        <f aca="false">IF($D1761="","",IFERROR(INDEX('교육원 ④ 설정'!$A$6:$A$40,MATCH($D1761,'교육원 ④ 설정'!$B$6:$B$40,0)),"※없는 과목"))</f>
        <v/>
      </c>
      <c r="F1761" s="36" t="str">
        <f aca="false">IF($D1761="","",IFERROR(INDEX('교육원 ④ 설정'!$C$6:$C$40,MATCH($D1761,'교육원 ④ 설정'!$B$6:$B$40,0)),""))</f>
        <v/>
      </c>
      <c r="G1761" s="39"/>
      <c r="H1761" s="39"/>
      <c r="I1761" s="40"/>
      <c r="J1761" s="41"/>
      <c r="K1761" s="38"/>
      <c r="L1761" s="42" t="str">
        <f aca="false">IF($B1761="","",IF(AND(N($I1761)=0,N($J1761)=0),"금액이 없습니다",IF(AND($I1761&gt;0,$J1761&gt;0),"수입·지출 둘 다 적혔습니다",IF($C1761="","결제수단을 고르십시오",IF(ISNA(MATCH($C1761,'교육원 ③ 통장·카드'!$A$5:$A$11,0)),"③ 통장·카드에 없는 결제수단입니다",IF($D1761="","계정과목을 고르십시오",IF($E1761="※없는 과목","④ 설정에 없는 과목입니다",IF(AND($E1761="수입",$J1761&gt;0),"수입 과목인데 지출에 적혔습니다",IF(AND(LEFT($E1761,2)&lt;&gt;"수입",$E1761&lt;&gt;"대체",$I1761&gt;0),"지출 과목인데 수입에 적혔습니다",IF($K1761="","증빙을 고르십시오",IF($H1761="","적요를 적으십시오","")))))))))))</f>
        <v/>
      </c>
      <c r="M1761" s="39"/>
      <c r="O1761" s="11" t="str">
        <f aca="false">IF($B1761="","",YEAR($B1761)*100+MONTH($B1761))</f>
        <v/>
      </c>
      <c r="P1761" s="11" t="str">
        <f aca="false">IF($B1761="","",IF($E1761="대체",0,1))</f>
        <v/>
      </c>
    </row>
    <row r="1762" customFormat="false" ht="15" hidden="false" customHeight="false" outlineLevel="0" collapsed="false">
      <c r="A1762" s="36" t="str">
        <f aca="false">IF($B1762="","",COUNT($B$15:$B1762))</f>
        <v/>
      </c>
      <c r="B1762" s="37"/>
      <c r="C1762" s="38"/>
      <c r="D1762" s="20"/>
      <c r="E1762" s="36" t="str">
        <f aca="false">IF($D1762="","",IFERROR(INDEX('교육원 ④ 설정'!$A$6:$A$40,MATCH($D1762,'교육원 ④ 설정'!$B$6:$B$40,0)),"※없는 과목"))</f>
        <v/>
      </c>
      <c r="F1762" s="36" t="str">
        <f aca="false">IF($D1762="","",IFERROR(INDEX('교육원 ④ 설정'!$C$6:$C$40,MATCH($D1762,'교육원 ④ 설정'!$B$6:$B$40,0)),""))</f>
        <v/>
      </c>
      <c r="G1762" s="39"/>
      <c r="H1762" s="39"/>
      <c r="I1762" s="40"/>
      <c r="J1762" s="41"/>
      <c r="K1762" s="38"/>
      <c r="L1762" s="42" t="str">
        <f aca="false">IF($B1762="","",IF(AND(N($I1762)=0,N($J1762)=0),"금액이 없습니다",IF(AND($I1762&gt;0,$J1762&gt;0),"수입·지출 둘 다 적혔습니다",IF($C1762="","결제수단을 고르십시오",IF(ISNA(MATCH($C1762,'교육원 ③ 통장·카드'!$A$5:$A$11,0)),"③ 통장·카드에 없는 결제수단입니다",IF($D1762="","계정과목을 고르십시오",IF($E1762="※없는 과목","④ 설정에 없는 과목입니다",IF(AND($E1762="수입",$J1762&gt;0),"수입 과목인데 지출에 적혔습니다",IF(AND(LEFT($E1762,2)&lt;&gt;"수입",$E1762&lt;&gt;"대체",$I1762&gt;0),"지출 과목인데 수입에 적혔습니다",IF($K1762="","증빙을 고르십시오",IF($H1762="","적요를 적으십시오","")))))))))))</f>
        <v/>
      </c>
      <c r="M1762" s="39"/>
      <c r="O1762" s="11" t="str">
        <f aca="false">IF($B1762="","",YEAR($B1762)*100+MONTH($B1762))</f>
        <v/>
      </c>
      <c r="P1762" s="11" t="str">
        <f aca="false">IF($B1762="","",IF($E1762="대체",0,1))</f>
        <v/>
      </c>
    </row>
    <row r="1763" customFormat="false" ht="15" hidden="false" customHeight="false" outlineLevel="0" collapsed="false">
      <c r="A1763" s="36" t="str">
        <f aca="false">IF($B1763="","",COUNT($B$15:$B1763))</f>
        <v/>
      </c>
      <c r="B1763" s="37"/>
      <c r="C1763" s="38"/>
      <c r="D1763" s="20"/>
      <c r="E1763" s="36" t="str">
        <f aca="false">IF($D1763="","",IFERROR(INDEX('교육원 ④ 설정'!$A$6:$A$40,MATCH($D1763,'교육원 ④ 설정'!$B$6:$B$40,0)),"※없는 과목"))</f>
        <v/>
      </c>
      <c r="F1763" s="36" t="str">
        <f aca="false">IF($D1763="","",IFERROR(INDEX('교육원 ④ 설정'!$C$6:$C$40,MATCH($D1763,'교육원 ④ 설정'!$B$6:$B$40,0)),""))</f>
        <v/>
      </c>
      <c r="G1763" s="39"/>
      <c r="H1763" s="39"/>
      <c r="I1763" s="40"/>
      <c r="J1763" s="41"/>
      <c r="K1763" s="38"/>
      <c r="L1763" s="42" t="str">
        <f aca="false">IF($B1763="","",IF(AND(N($I1763)=0,N($J1763)=0),"금액이 없습니다",IF(AND($I1763&gt;0,$J1763&gt;0),"수입·지출 둘 다 적혔습니다",IF($C1763="","결제수단을 고르십시오",IF(ISNA(MATCH($C1763,'교육원 ③ 통장·카드'!$A$5:$A$11,0)),"③ 통장·카드에 없는 결제수단입니다",IF($D1763="","계정과목을 고르십시오",IF($E1763="※없는 과목","④ 설정에 없는 과목입니다",IF(AND($E1763="수입",$J1763&gt;0),"수입 과목인데 지출에 적혔습니다",IF(AND(LEFT($E1763,2)&lt;&gt;"수입",$E1763&lt;&gt;"대체",$I1763&gt;0),"지출 과목인데 수입에 적혔습니다",IF($K1763="","증빙을 고르십시오",IF($H1763="","적요를 적으십시오","")))))))))))</f>
        <v/>
      </c>
      <c r="M1763" s="39"/>
      <c r="O1763" s="11" t="str">
        <f aca="false">IF($B1763="","",YEAR($B1763)*100+MONTH($B1763))</f>
        <v/>
      </c>
      <c r="P1763" s="11" t="str">
        <f aca="false">IF($B1763="","",IF($E1763="대체",0,1))</f>
        <v/>
      </c>
    </row>
    <row r="1764" customFormat="false" ht="15" hidden="false" customHeight="false" outlineLevel="0" collapsed="false">
      <c r="A1764" s="36" t="str">
        <f aca="false">IF($B1764="","",COUNT($B$15:$B1764))</f>
        <v/>
      </c>
      <c r="B1764" s="37"/>
      <c r="C1764" s="38"/>
      <c r="D1764" s="20"/>
      <c r="E1764" s="36" t="str">
        <f aca="false">IF($D1764="","",IFERROR(INDEX('교육원 ④ 설정'!$A$6:$A$40,MATCH($D1764,'교육원 ④ 설정'!$B$6:$B$40,0)),"※없는 과목"))</f>
        <v/>
      </c>
      <c r="F1764" s="36" t="str">
        <f aca="false">IF($D1764="","",IFERROR(INDEX('교육원 ④ 설정'!$C$6:$C$40,MATCH($D1764,'교육원 ④ 설정'!$B$6:$B$40,0)),""))</f>
        <v/>
      </c>
      <c r="G1764" s="39"/>
      <c r="H1764" s="39"/>
      <c r="I1764" s="40"/>
      <c r="J1764" s="41"/>
      <c r="K1764" s="38"/>
      <c r="L1764" s="42" t="str">
        <f aca="false">IF($B1764="","",IF(AND(N($I1764)=0,N($J1764)=0),"금액이 없습니다",IF(AND($I1764&gt;0,$J1764&gt;0),"수입·지출 둘 다 적혔습니다",IF($C1764="","결제수단을 고르십시오",IF(ISNA(MATCH($C1764,'교육원 ③ 통장·카드'!$A$5:$A$11,0)),"③ 통장·카드에 없는 결제수단입니다",IF($D1764="","계정과목을 고르십시오",IF($E1764="※없는 과목","④ 설정에 없는 과목입니다",IF(AND($E1764="수입",$J1764&gt;0),"수입 과목인데 지출에 적혔습니다",IF(AND(LEFT($E1764,2)&lt;&gt;"수입",$E1764&lt;&gt;"대체",$I1764&gt;0),"지출 과목인데 수입에 적혔습니다",IF($K1764="","증빙을 고르십시오",IF($H1764="","적요를 적으십시오","")))))))))))</f>
        <v/>
      </c>
      <c r="M1764" s="39"/>
      <c r="O1764" s="11" t="str">
        <f aca="false">IF($B1764="","",YEAR($B1764)*100+MONTH($B1764))</f>
        <v/>
      </c>
      <c r="P1764" s="11" t="str">
        <f aca="false">IF($B1764="","",IF($E1764="대체",0,1))</f>
        <v/>
      </c>
    </row>
    <row r="1765" customFormat="false" ht="15" hidden="false" customHeight="false" outlineLevel="0" collapsed="false">
      <c r="A1765" s="36" t="str">
        <f aca="false">IF($B1765="","",COUNT($B$15:$B1765))</f>
        <v/>
      </c>
      <c r="B1765" s="37"/>
      <c r="C1765" s="38"/>
      <c r="D1765" s="20"/>
      <c r="E1765" s="36" t="str">
        <f aca="false">IF($D1765="","",IFERROR(INDEX('교육원 ④ 설정'!$A$6:$A$40,MATCH($D1765,'교육원 ④ 설정'!$B$6:$B$40,0)),"※없는 과목"))</f>
        <v/>
      </c>
      <c r="F1765" s="36" t="str">
        <f aca="false">IF($D1765="","",IFERROR(INDEX('교육원 ④ 설정'!$C$6:$C$40,MATCH($D1765,'교육원 ④ 설정'!$B$6:$B$40,0)),""))</f>
        <v/>
      </c>
      <c r="G1765" s="39"/>
      <c r="H1765" s="39"/>
      <c r="I1765" s="40"/>
      <c r="J1765" s="41"/>
      <c r="K1765" s="38"/>
      <c r="L1765" s="42" t="str">
        <f aca="false">IF($B1765="","",IF(AND(N($I1765)=0,N($J1765)=0),"금액이 없습니다",IF(AND($I1765&gt;0,$J1765&gt;0),"수입·지출 둘 다 적혔습니다",IF($C1765="","결제수단을 고르십시오",IF(ISNA(MATCH($C1765,'교육원 ③ 통장·카드'!$A$5:$A$11,0)),"③ 통장·카드에 없는 결제수단입니다",IF($D1765="","계정과목을 고르십시오",IF($E1765="※없는 과목","④ 설정에 없는 과목입니다",IF(AND($E1765="수입",$J1765&gt;0),"수입 과목인데 지출에 적혔습니다",IF(AND(LEFT($E1765,2)&lt;&gt;"수입",$E1765&lt;&gt;"대체",$I1765&gt;0),"지출 과목인데 수입에 적혔습니다",IF($K1765="","증빙을 고르십시오",IF($H1765="","적요를 적으십시오","")))))))))))</f>
        <v/>
      </c>
      <c r="M1765" s="39"/>
      <c r="O1765" s="11" t="str">
        <f aca="false">IF($B1765="","",YEAR($B1765)*100+MONTH($B1765))</f>
        <v/>
      </c>
      <c r="P1765" s="11" t="str">
        <f aca="false">IF($B1765="","",IF($E1765="대체",0,1))</f>
        <v/>
      </c>
    </row>
    <row r="1766" customFormat="false" ht="15" hidden="false" customHeight="false" outlineLevel="0" collapsed="false">
      <c r="A1766" s="36" t="str">
        <f aca="false">IF($B1766="","",COUNT($B$15:$B1766))</f>
        <v/>
      </c>
      <c r="B1766" s="37"/>
      <c r="C1766" s="38"/>
      <c r="D1766" s="20"/>
      <c r="E1766" s="36" t="str">
        <f aca="false">IF($D1766="","",IFERROR(INDEX('교육원 ④ 설정'!$A$6:$A$40,MATCH($D1766,'교육원 ④ 설정'!$B$6:$B$40,0)),"※없는 과목"))</f>
        <v/>
      </c>
      <c r="F1766" s="36" t="str">
        <f aca="false">IF($D1766="","",IFERROR(INDEX('교육원 ④ 설정'!$C$6:$C$40,MATCH($D1766,'교육원 ④ 설정'!$B$6:$B$40,0)),""))</f>
        <v/>
      </c>
      <c r="G1766" s="39"/>
      <c r="H1766" s="39"/>
      <c r="I1766" s="40"/>
      <c r="J1766" s="41"/>
      <c r="K1766" s="38"/>
      <c r="L1766" s="42" t="str">
        <f aca="false">IF($B1766="","",IF(AND(N($I1766)=0,N($J1766)=0),"금액이 없습니다",IF(AND($I1766&gt;0,$J1766&gt;0),"수입·지출 둘 다 적혔습니다",IF($C1766="","결제수단을 고르십시오",IF(ISNA(MATCH($C1766,'교육원 ③ 통장·카드'!$A$5:$A$11,0)),"③ 통장·카드에 없는 결제수단입니다",IF($D1766="","계정과목을 고르십시오",IF($E1766="※없는 과목","④ 설정에 없는 과목입니다",IF(AND($E1766="수입",$J1766&gt;0),"수입 과목인데 지출에 적혔습니다",IF(AND(LEFT($E1766,2)&lt;&gt;"수입",$E1766&lt;&gt;"대체",$I1766&gt;0),"지출 과목인데 수입에 적혔습니다",IF($K1766="","증빙을 고르십시오",IF($H1766="","적요를 적으십시오","")))))))))))</f>
        <v/>
      </c>
      <c r="M1766" s="39"/>
      <c r="O1766" s="11" t="str">
        <f aca="false">IF($B1766="","",YEAR($B1766)*100+MONTH($B1766))</f>
        <v/>
      </c>
      <c r="P1766" s="11" t="str">
        <f aca="false">IF($B1766="","",IF($E1766="대체",0,1))</f>
        <v/>
      </c>
    </row>
    <row r="1767" customFormat="false" ht="15" hidden="false" customHeight="false" outlineLevel="0" collapsed="false">
      <c r="A1767" s="36" t="str">
        <f aca="false">IF($B1767="","",COUNT($B$15:$B1767))</f>
        <v/>
      </c>
      <c r="B1767" s="37"/>
      <c r="C1767" s="38"/>
      <c r="D1767" s="20"/>
      <c r="E1767" s="36" t="str">
        <f aca="false">IF($D1767="","",IFERROR(INDEX('교육원 ④ 설정'!$A$6:$A$40,MATCH($D1767,'교육원 ④ 설정'!$B$6:$B$40,0)),"※없는 과목"))</f>
        <v/>
      </c>
      <c r="F1767" s="36" t="str">
        <f aca="false">IF($D1767="","",IFERROR(INDEX('교육원 ④ 설정'!$C$6:$C$40,MATCH($D1767,'교육원 ④ 설정'!$B$6:$B$40,0)),""))</f>
        <v/>
      </c>
      <c r="G1767" s="39"/>
      <c r="H1767" s="39"/>
      <c r="I1767" s="40"/>
      <c r="J1767" s="41"/>
      <c r="K1767" s="38"/>
      <c r="L1767" s="42" t="str">
        <f aca="false">IF($B1767="","",IF(AND(N($I1767)=0,N($J1767)=0),"금액이 없습니다",IF(AND($I1767&gt;0,$J1767&gt;0),"수입·지출 둘 다 적혔습니다",IF($C1767="","결제수단을 고르십시오",IF(ISNA(MATCH($C1767,'교육원 ③ 통장·카드'!$A$5:$A$11,0)),"③ 통장·카드에 없는 결제수단입니다",IF($D1767="","계정과목을 고르십시오",IF($E1767="※없는 과목","④ 설정에 없는 과목입니다",IF(AND($E1767="수입",$J1767&gt;0),"수입 과목인데 지출에 적혔습니다",IF(AND(LEFT($E1767,2)&lt;&gt;"수입",$E1767&lt;&gt;"대체",$I1767&gt;0),"지출 과목인데 수입에 적혔습니다",IF($K1767="","증빙을 고르십시오",IF($H1767="","적요를 적으십시오","")))))))))))</f>
        <v/>
      </c>
      <c r="M1767" s="39"/>
      <c r="O1767" s="11" t="str">
        <f aca="false">IF($B1767="","",YEAR($B1767)*100+MONTH($B1767))</f>
        <v/>
      </c>
      <c r="P1767" s="11" t="str">
        <f aca="false">IF($B1767="","",IF($E1767="대체",0,1))</f>
        <v/>
      </c>
    </row>
    <row r="1768" customFormat="false" ht="15" hidden="false" customHeight="false" outlineLevel="0" collapsed="false">
      <c r="A1768" s="36" t="str">
        <f aca="false">IF($B1768="","",COUNT($B$15:$B1768))</f>
        <v/>
      </c>
      <c r="B1768" s="37"/>
      <c r="C1768" s="38"/>
      <c r="D1768" s="20"/>
      <c r="E1768" s="36" t="str">
        <f aca="false">IF($D1768="","",IFERROR(INDEX('교육원 ④ 설정'!$A$6:$A$40,MATCH($D1768,'교육원 ④ 설정'!$B$6:$B$40,0)),"※없는 과목"))</f>
        <v/>
      </c>
      <c r="F1768" s="36" t="str">
        <f aca="false">IF($D1768="","",IFERROR(INDEX('교육원 ④ 설정'!$C$6:$C$40,MATCH($D1768,'교육원 ④ 설정'!$B$6:$B$40,0)),""))</f>
        <v/>
      </c>
      <c r="G1768" s="39"/>
      <c r="H1768" s="39"/>
      <c r="I1768" s="40"/>
      <c r="J1768" s="41"/>
      <c r="K1768" s="38"/>
      <c r="L1768" s="42" t="str">
        <f aca="false">IF($B1768="","",IF(AND(N($I1768)=0,N($J1768)=0),"금액이 없습니다",IF(AND($I1768&gt;0,$J1768&gt;0),"수입·지출 둘 다 적혔습니다",IF($C1768="","결제수단을 고르십시오",IF(ISNA(MATCH($C1768,'교육원 ③ 통장·카드'!$A$5:$A$11,0)),"③ 통장·카드에 없는 결제수단입니다",IF($D1768="","계정과목을 고르십시오",IF($E1768="※없는 과목","④ 설정에 없는 과목입니다",IF(AND($E1768="수입",$J1768&gt;0),"수입 과목인데 지출에 적혔습니다",IF(AND(LEFT($E1768,2)&lt;&gt;"수입",$E1768&lt;&gt;"대체",$I1768&gt;0),"지출 과목인데 수입에 적혔습니다",IF($K1768="","증빙을 고르십시오",IF($H1768="","적요를 적으십시오","")))))))))))</f>
        <v/>
      </c>
      <c r="M1768" s="39"/>
      <c r="O1768" s="11" t="str">
        <f aca="false">IF($B1768="","",YEAR($B1768)*100+MONTH($B1768))</f>
        <v/>
      </c>
      <c r="P1768" s="11" t="str">
        <f aca="false">IF($B1768="","",IF($E1768="대체",0,1))</f>
        <v/>
      </c>
    </row>
    <row r="1769" customFormat="false" ht="15" hidden="false" customHeight="false" outlineLevel="0" collapsed="false">
      <c r="A1769" s="36" t="str">
        <f aca="false">IF($B1769="","",COUNT($B$15:$B1769))</f>
        <v/>
      </c>
      <c r="B1769" s="37"/>
      <c r="C1769" s="38"/>
      <c r="D1769" s="20"/>
      <c r="E1769" s="36" t="str">
        <f aca="false">IF($D1769="","",IFERROR(INDEX('교육원 ④ 설정'!$A$6:$A$40,MATCH($D1769,'교육원 ④ 설정'!$B$6:$B$40,0)),"※없는 과목"))</f>
        <v/>
      </c>
      <c r="F1769" s="36" t="str">
        <f aca="false">IF($D1769="","",IFERROR(INDEX('교육원 ④ 설정'!$C$6:$C$40,MATCH($D1769,'교육원 ④ 설정'!$B$6:$B$40,0)),""))</f>
        <v/>
      </c>
      <c r="G1769" s="39"/>
      <c r="H1769" s="39"/>
      <c r="I1769" s="40"/>
      <c r="J1769" s="41"/>
      <c r="K1769" s="38"/>
      <c r="L1769" s="42" t="str">
        <f aca="false">IF($B1769="","",IF(AND(N($I1769)=0,N($J1769)=0),"금액이 없습니다",IF(AND($I1769&gt;0,$J1769&gt;0),"수입·지출 둘 다 적혔습니다",IF($C1769="","결제수단을 고르십시오",IF(ISNA(MATCH($C1769,'교육원 ③ 통장·카드'!$A$5:$A$11,0)),"③ 통장·카드에 없는 결제수단입니다",IF($D1769="","계정과목을 고르십시오",IF($E1769="※없는 과목","④ 설정에 없는 과목입니다",IF(AND($E1769="수입",$J1769&gt;0),"수입 과목인데 지출에 적혔습니다",IF(AND(LEFT($E1769,2)&lt;&gt;"수입",$E1769&lt;&gt;"대체",$I1769&gt;0),"지출 과목인데 수입에 적혔습니다",IF($K1769="","증빙을 고르십시오",IF($H1769="","적요를 적으십시오","")))))))))))</f>
        <v/>
      </c>
      <c r="M1769" s="39"/>
      <c r="O1769" s="11" t="str">
        <f aca="false">IF($B1769="","",YEAR($B1769)*100+MONTH($B1769))</f>
        <v/>
      </c>
      <c r="P1769" s="11" t="str">
        <f aca="false">IF($B1769="","",IF($E1769="대체",0,1))</f>
        <v/>
      </c>
    </row>
    <row r="1770" customFormat="false" ht="15" hidden="false" customHeight="false" outlineLevel="0" collapsed="false">
      <c r="A1770" s="36" t="str">
        <f aca="false">IF($B1770="","",COUNT($B$15:$B1770))</f>
        <v/>
      </c>
      <c r="B1770" s="37"/>
      <c r="C1770" s="38"/>
      <c r="D1770" s="20"/>
      <c r="E1770" s="36" t="str">
        <f aca="false">IF($D1770="","",IFERROR(INDEX('교육원 ④ 설정'!$A$6:$A$40,MATCH($D1770,'교육원 ④ 설정'!$B$6:$B$40,0)),"※없는 과목"))</f>
        <v/>
      </c>
      <c r="F1770" s="36" t="str">
        <f aca="false">IF($D1770="","",IFERROR(INDEX('교육원 ④ 설정'!$C$6:$C$40,MATCH($D1770,'교육원 ④ 설정'!$B$6:$B$40,0)),""))</f>
        <v/>
      </c>
      <c r="G1770" s="39"/>
      <c r="H1770" s="39"/>
      <c r="I1770" s="40"/>
      <c r="J1770" s="41"/>
      <c r="K1770" s="38"/>
      <c r="L1770" s="42" t="str">
        <f aca="false">IF($B1770="","",IF(AND(N($I1770)=0,N($J1770)=0),"금액이 없습니다",IF(AND($I1770&gt;0,$J1770&gt;0),"수입·지출 둘 다 적혔습니다",IF($C1770="","결제수단을 고르십시오",IF(ISNA(MATCH($C1770,'교육원 ③ 통장·카드'!$A$5:$A$11,0)),"③ 통장·카드에 없는 결제수단입니다",IF($D1770="","계정과목을 고르십시오",IF($E1770="※없는 과목","④ 설정에 없는 과목입니다",IF(AND($E1770="수입",$J1770&gt;0),"수입 과목인데 지출에 적혔습니다",IF(AND(LEFT($E1770,2)&lt;&gt;"수입",$E1770&lt;&gt;"대체",$I1770&gt;0),"지출 과목인데 수입에 적혔습니다",IF($K1770="","증빙을 고르십시오",IF($H1770="","적요를 적으십시오","")))))))))))</f>
        <v/>
      </c>
      <c r="M1770" s="39"/>
      <c r="O1770" s="11" t="str">
        <f aca="false">IF($B1770="","",YEAR($B1770)*100+MONTH($B1770))</f>
        <v/>
      </c>
      <c r="P1770" s="11" t="str">
        <f aca="false">IF($B1770="","",IF($E1770="대체",0,1))</f>
        <v/>
      </c>
    </row>
    <row r="1771" customFormat="false" ht="15" hidden="false" customHeight="false" outlineLevel="0" collapsed="false">
      <c r="A1771" s="36" t="str">
        <f aca="false">IF($B1771="","",COUNT($B$15:$B1771))</f>
        <v/>
      </c>
      <c r="B1771" s="37"/>
      <c r="C1771" s="38"/>
      <c r="D1771" s="20"/>
      <c r="E1771" s="36" t="str">
        <f aca="false">IF($D1771="","",IFERROR(INDEX('교육원 ④ 설정'!$A$6:$A$40,MATCH($D1771,'교육원 ④ 설정'!$B$6:$B$40,0)),"※없는 과목"))</f>
        <v/>
      </c>
      <c r="F1771" s="36" t="str">
        <f aca="false">IF($D1771="","",IFERROR(INDEX('교육원 ④ 설정'!$C$6:$C$40,MATCH($D1771,'교육원 ④ 설정'!$B$6:$B$40,0)),""))</f>
        <v/>
      </c>
      <c r="G1771" s="39"/>
      <c r="H1771" s="39"/>
      <c r="I1771" s="40"/>
      <c r="J1771" s="41"/>
      <c r="K1771" s="38"/>
      <c r="L1771" s="42" t="str">
        <f aca="false">IF($B1771="","",IF(AND(N($I1771)=0,N($J1771)=0),"금액이 없습니다",IF(AND($I1771&gt;0,$J1771&gt;0),"수입·지출 둘 다 적혔습니다",IF($C1771="","결제수단을 고르십시오",IF(ISNA(MATCH($C1771,'교육원 ③ 통장·카드'!$A$5:$A$11,0)),"③ 통장·카드에 없는 결제수단입니다",IF($D1771="","계정과목을 고르십시오",IF($E1771="※없는 과목","④ 설정에 없는 과목입니다",IF(AND($E1771="수입",$J1771&gt;0),"수입 과목인데 지출에 적혔습니다",IF(AND(LEFT($E1771,2)&lt;&gt;"수입",$E1771&lt;&gt;"대체",$I1771&gt;0),"지출 과목인데 수입에 적혔습니다",IF($K1771="","증빙을 고르십시오",IF($H1771="","적요를 적으십시오","")))))))))))</f>
        <v/>
      </c>
      <c r="M1771" s="39"/>
      <c r="O1771" s="11" t="str">
        <f aca="false">IF($B1771="","",YEAR($B1771)*100+MONTH($B1771))</f>
        <v/>
      </c>
      <c r="P1771" s="11" t="str">
        <f aca="false">IF($B1771="","",IF($E1771="대체",0,1))</f>
        <v/>
      </c>
    </row>
    <row r="1772" customFormat="false" ht="15" hidden="false" customHeight="false" outlineLevel="0" collapsed="false">
      <c r="A1772" s="36" t="str">
        <f aca="false">IF($B1772="","",COUNT($B$15:$B1772))</f>
        <v/>
      </c>
      <c r="B1772" s="37"/>
      <c r="C1772" s="38"/>
      <c r="D1772" s="20"/>
      <c r="E1772" s="36" t="str">
        <f aca="false">IF($D1772="","",IFERROR(INDEX('교육원 ④ 설정'!$A$6:$A$40,MATCH($D1772,'교육원 ④ 설정'!$B$6:$B$40,0)),"※없는 과목"))</f>
        <v/>
      </c>
      <c r="F1772" s="36" t="str">
        <f aca="false">IF($D1772="","",IFERROR(INDEX('교육원 ④ 설정'!$C$6:$C$40,MATCH($D1772,'교육원 ④ 설정'!$B$6:$B$40,0)),""))</f>
        <v/>
      </c>
      <c r="G1772" s="39"/>
      <c r="H1772" s="39"/>
      <c r="I1772" s="40"/>
      <c r="J1772" s="41"/>
      <c r="K1772" s="38"/>
      <c r="L1772" s="42" t="str">
        <f aca="false">IF($B1772="","",IF(AND(N($I1772)=0,N($J1772)=0),"금액이 없습니다",IF(AND($I1772&gt;0,$J1772&gt;0),"수입·지출 둘 다 적혔습니다",IF($C1772="","결제수단을 고르십시오",IF(ISNA(MATCH($C1772,'교육원 ③ 통장·카드'!$A$5:$A$11,0)),"③ 통장·카드에 없는 결제수단입니다",IF($D1772="","계정과목을 고르십시오",IF($E1772="※없는 과목","④ 설정에 없는 과목입니다",IF(AND($E1772="수입",$J1772&gt;0),"수입 과목인데 지출에 적혔습니다",IF(AND(LEFT($E1772,2)&lt;&gt;"수입",$E1772&lt;&gt;"대체",$I1772&gt;0),"지출 과목인데 수입에 적혔습니다",IF($K1772="","증빙을 고르십시오",IF($H1772="","적요를 적으십시오","")))))))))))</f>
        <v/>
      </c>
      <c r="M1772" s="39"/>
      <c r="O1772" s="11" t="str">
        <f aca="false">IF($B1772="","",YEAR($B1772)*100+MONTH($B1772))</f>
        <v/>
      </c>
      <c r="P1772" s="11" t="str">
        <f aca="false">IF($B1772="","",IF($E1772="대체",0,1))</f>
        <v/>
      </c>
    </row>
    <row r="1773" customFormat="false" ht="15" hidden="false" customHeight="false" outlineLevel="0" collapsed="false">
      <c r="A1773" s="36" t="str">
        <f aca="false">IF($B1773="","",COUNT($B$15:$B1773))</f>
        <v/>
      </c>
      <c r="B1773" s="37"/>
      <c r="C1773" s="38"/>
      <c r="D1773" s="20"/>
      <c r="E1773" s="36" t="str">
        <f aca="false">IF($D1773="","",IFERROR(INDEX('교육원 ④ 설정'!$A$6:$A$40,MATCH($D1773,'교육원 ④ 설정'!$B$6:$B$40,0)),"※없는 과목"))</f>
        <v/>
      </c>
      <c r="F1773" s="36" t="str">
        <f aca="false">IF($D1773="","",IFERROR(INDEX('교육원 ④ 설정'!$C$6:$C$40,MATCH($D1773,'교육원 ④ 설정'!$B$6:$B$40,0)),""))</f>
        <v/>
      </c>
      <c r="G1773" s="39"/>
      <c r="H1773" s="39"/>
      <c r="I1773" s="40"/>
      <c r="J1773" s="41"/>
      <c r="K1773" s="38"/>
      <c r="L1773" s="42" t="str">
        <f aca="false">IF($B1773="","",IF(AND(N($I1773)=0,N($J1773)=0),"금액이 없습니다",IF(AND($I1773&gt;0,$J1773&gt;0),"수입·지출 둘 다 적혔습니다",IF($C1773="","결제수단을 고르십시오",IF(ISNA(MATCH($C1773,'교육원 ③ 통장·카드'!$A$5:$A$11,0)),"③ 통장·카드에 없는 결제수단입니다",IF($D1773="","계정과목을 고르십시오",IF($E1773="※없는 과목","④ 설정에 없는 과목입니다",IF(AND($E1773="수입",$J1773&gt;0),"수입 과목인데 지출에 적혔습니다",IF(AND(LEFT($E1773,2)&lt;&gt;"수입",$E1773&lt;&gt;"대체",$I1773&gt;0),"지출 과목인데 수입에 적혔습니다",IF($K1773="","증빙을 고르십시오",IF($H1773="","적요를 적으십시오","")))))))))))</f>
        <v/>
      </c>
      <c r="M1773" s="39"/>
      <c r="O1773" s="11" t="str">
        <f aca="false">IF($B1773="","",YEAR($B1773)*100+MONTH($B1773))</f>
        <v/>
      </c>
      <c r="P1773" s="11" t="str">
        <f aca="false">IF($B1773="","",IF($E1773="대체",0,1))</f>
        <v/>
      </c>
    </row>
    <row r="1774" customFormat="false" ht="15" hidden="false" customHeight="false" outlineLevel="0" collapsed="false">
      <c r="A1774" s="36" t="str">
        <f aca="false">IF($B1774="","",COUNT($B$15:$B1774))</f>
        <v/>
      </c>
      <c r="B1774" s="37"/>
      <c r="C1774" s="38"/>
      <c r="D1774" s="20"/>
      <c r="E1774" s="36" t="str">
        <f aca="false">IF($D1774="","",IFERROR(INDEX('교육원 ④ 설정'!$A$6:$A$40,MATCH($D1774,'교육원 ④ 설정'!$B$6:$B$40,0)),"※없는 과목"))</f>
        <v/>
      </c>
      <c r="F1774" s="36" t="str">
        <f aca="false">IF($D1774="","",IFERROR(INDEX('교육원 ④ 설정'!$C$6:$C$40,MATCH($D1774,'교육원 ④ 설정'!$B$6:$B$40,0)),""))</f>
        <v/>
      </c>
      <c r="G1774" s="39"/>
      <c r="H1774" s="39"/>
      <c r="I1774" s="40"/>
      <c r="J1774" s="41"/>
      <c r="K1774" s="38"/>
      <c r="L1774" s="42" t="str">
        <f aca="false">IF($B1774="","",IF(AND(N($I1774)=0,N($J1774)=0),"금액이 없습니다",IF(AND($I1774&gt;0,$J1774&gt;0),"수입·지출 둘 다 적혔습니다",IF($C1774="","결제수단을 고르십시오",IF(ISNA(MATCH($C1774,'교육원 ③ 통장·카드'!$A$5:$A$11,0)),"③ 통장·카드에 없는 결제수단입니다",IF($D1774="","계정과목을 고르십시오",IF($E1774="※없는 과목","④ 설정에 없는 과목입니다",IF(AND($E1774="수입",$J1774&gt;0),"수입 과목인데 지출에 적혔습니다",IF(AND(LEFT($E1774,2)&lt;&gt;"수입",$E1774&lt;&gt;"대체",$I1774&gt;0),"지출 과목인데 수입에 적혔습니다",IF($K1774="","증빙을 고르십시오",IF($H1774="","적요를 적으십시오","")))))))))))</f>
        <v/>
      </c>
      <c r="M1774" s="39"/>
      <c r="O1774" s="11" t="str">
        <f aca="false">IF($B1774="","",YEAR($B1774)*100+MONTH($B1774))</f>
        <v/>
      </c>
      <c r="P1774" s="11" t="str">
        <f aca="false">IF($B1774="","",IF($E1774="대체",0,1))</f>
        <v/>
      </c>
    </row>
    <row r="1775" customFormat="false" ht="15" hidden="false" customHeight="false" outlineLevel="0" collapsed="false">
      <c r="A1775" s="36" t="str">
        <f aca="false">IF($B1775="","",COUNT($B$15:$B1775))</f>
        <v/>
      </c>
      <c r="B1775" s="37"/>
      <c r="C1775" s="38"/>
      <c r="D1775" s="20"/>
      <c r="E1775" s="36" t="str">
        <f aca="false">IF($D1775="","",IFERROR(INDEX('교육원 ④ 설정'!$A$6:$A$40,MATCH($D1775,'교육원 ④ 설정'!$B$6:$B$40,0)),"※없는 과목"))</f>
        <v/>
      </c>
      <c r="F1775" s="36" t="str">
        <f aca="false">IF($D1775="","",IFERROR(INDEX('교육원 ④ 설정'!$C$6:$C$40,MATCH($D1775,'교육원 ④ 설정'!$B$6:$B$40,0)),""))</f>
        <v/>
      </c>
      <c r="G1775" s="39"/>
      <c r="H1775" s="39"/>
      <c r="I1775" s="40"/>
      <c r="J1775" s="41"/>
      <c r="K1775" s="38"/>
      <c r="L1775" s="42" t="str">
        <f aca="false">IF($B1775="","",IF(AND(N($I1775)=0,N($J1775)=0),"금액이 없습니다",IF(AND($I1775&gt;0,$J1775&gt;0),"수입·지출 둘 다 적혔습니다",IF($C1775="","결제수단을 고르십시오",IF(ISNA(MATCH($C1775,'교육원 ③ 통장·카드'!$A$5:$A$11,0)),"③ 통장·카드에 없는 결제수단입니다",IF($D1775="","계정과목을 고르십시오",IF($E1775="※없는 과목","④ 설정에 없는 과목입니다",IF(AND($E1775="수입",$J1775&gt;0),"수입 과목인데 지출에 적혔습니다",IF(AND(LEFT($E1775,2)&lt;&gt;"수입",$E1775&lt;&gt;"대체",$I1775&gt;0),"지출 과목인데 수입에 적혔습니다",IF($K1775="","증빙을 고르십시오",IF($H1775="","적요를 적으십시오","")))))))))))</f>
        <v/>
      </c>
      <c r="M1775" s="39"/>
      <c r="O1775" s="11" t="str">
        <f aca="false">IF($B1775="","",YEAR($B1775)*100+MONTH($B1775))</f>
        <v/>
      </c>
      <c r="P1775" s="11" t="str">
        <f aca="false">IF($B1775="","",IF($E1775="대체",0,1))</f>
        <v/>
      </c>
    </row>
    <row r="1776" customFormat="false" ht="15" hidden="false" customHeight="false" outlineLevel="0" collapsed="false">
      <c r="A1776" s="36" t="str">
        <f aca="false">IF($B1776="","",COUNT($B$15:$B1776))</f>
        <v/>
      </c>
      <c r="B1776" s="37"/>
      <c r="C1776" s="38"/>
      <c r="D1776" s="20"/>
      <c r="E1776" s="36" t="str">
        <f aca="false">IF($D1776="","",IFERROR(INDEX('교육원 ④ 설정'!$A$6:$A$40,MATCH($D1776,'교육원 ④ 설정'!$B$6:$B$40,0)),"※없는 과목"))</f>
        <v/>
      </c>
      <c r="F1776" s="36" t="str">
        <f aca="false">IF($D1776="","",IFERROR(INDEX('교육원 ④ 설정'!$C$6:$C$40,MATCH($D1776,'교육원 ④ 설정'!$B$6:$B$40,0)),""))</f>
        <v/>
      </c>
      <c r="G1776" s="39"/>
      <c r="H1776" s="39"/>
      <c r="I1776" s="40"/>
      <c r="J1776" s="41"/>
      <c r="K1776" s="38"/>
      <c r="L1776" s="42" t="str">
        <f aca="false">IF($B1776="","",IF(AND(N($I1776)=0,N($J1776)=0),"금액이 없습니다",IF(AND($I1776&gt;0,$J1776&gt;0),"수입·지출 둘 다 적혔습니다",IF($C1776="","결제수단을 고르십시오",IF(ISNA(MATCH($C1776,'교육원 ③ 통장·카드'!$A$5:$A$11,0)),"③ 통장·카드에 없는 결제수단입니다",IF($D1776="","계정과목을 고르십시오",IF($E1776="※없는 과목","④ 설정에 없는 과목입니다",IF(AND($E1776="수입",$J1776&gt;0),"수입 과목인데 지출에 적혔습니다",IF(AND(LEFT($E1776,2)&lt;&gt;"수입",$E1776&lt;&gt;"대체",$I1776&gt;0),"지출 과목인데 수입에 적혔습니다",IF($K1776="","증빙을 고르십시오",IF($H1776="","적요를 적으십시오","")))))))))))</f>
        <v/>
      </c>
      <c r="M1776" s="39"/>
      <c r="O1776" s="11" t="str">
        <f aca="false">IF($B1776="","",YEAR($B1776)*100+MONTH($B1776))</f>
        <v/>
      </c>
      <c r="P1776" s="11" t="str">
        <f aca="false">IF($B1776="","",IF($E1776="대체",0,1))</f>
        <v/>
      </c>
    </row>
    <row r="1777" customFormat="false" ht="15" hidden="false" customHeight="false" outlineLevel="0" collapsed="false">
      <c r="A1777" s="36" t="str">
        <f aca="false">IF($B1777="","",COUNT($B$15:$B1777))</f>
        <v/>
      </c>
      <c r="B1777" s="37"/>
      <c r="C1777" s="38"/>
      <c r="D1777" s="20"/>
      <c r="E1777" s="36" t="str">
        <f aca="false">IF($D1777="","",IFERROR(INDEX('교육원 ④ 설정'!$A$6:$A$40,MATCH($D1777,'교육원 ④ 설정'!$B$6:$B$40,0)),"※없는 과목"))</f>
        <v/>
      </c>
      <c r="F1777" s="36" t="str">
        <f aca="false">IF($D1777="","",IFERROR(INDEX('교육원 ④ 설정'!$C$6:$C$40,MATCH($D1777,'교육원 ④ 설정'!$B$6:$B$40,0)),""))</f>
        <v/>
      </c>
      <c r="G1777" s="39"/>
      <c r="H1777" s="39"/>
      <c r="I1777" s="40"/>
      <c r="J1777" s="41"/>
      <c r="K1777" s="38"/>
      <c r="L1777" s="42" t="str">
        <f aca="false">IF($B1777="","",IF(AND(N($I1777)=0,N($J1777)=0),"금액이 없습니다",IF(AND($I1777&gt;0,$J1777&gt;0),"수입·지출 둘 다 적혔습니다",IF($C1777="","결제수단을 고르십시오",IF(ISNA(MATCH($C1777,'교육원 ③ 통장·카드'!$A$5:$A$11,0)),"③ 통장·카드에 없는 결제수단입니다",IF($D1777="","계정과목을 고르십시오",IF($E1777="※없는 과목","④ 설정에 없는 과목입니다",IF(AND($E1777="수입",$J1777&gt;0),"수입 과목인데 지출에 적혔습니다",IF(AND(LEFT($E1777,2)&lt;&gt;"수입",$E1777&lt;&gt;"대체",$I1777&gt;0),"지출 과목인데 수입에 적혔습니다",IF($K1777="","증빙을 고르십시오",IF($H1777="","적요를 적으십시오","")))))))))))</f>
        <v/>
      </c>
      <c r="M1777" s="39"/>
      <c r="O1777" s="11" t="str">
        <f aca="false">IF($B1777="","",YEAR($B1777)*100+MONTH($B1777))</f>
        <v/>
      </c>
      <c r="P1777" s="11" t="str">
        <f aca="false">IF($B1777="","",IF($E1777="대체",0,1))</f>
        <v/>
      </c>
    </row>
    <row r="1778" customFormat="false" ht="15" hidden="false" customHeight="false" outlineLevel="0" collapsed="false">
      <c r="A1778" s="36" t="str">
        <f aca="false">IF($B1778="","",COUNT($B$15:$B1778))</f>
        <v/>
      </c>
      <c r="B1778" s="37"/>
      <c r="C1778" s="38"/>
      <c r="D1778" s="20"/>
      <c r="E1778" s="36" t="str">
        <f aca="false">IF($D1778="","",IFERROR(INDEX('교육원 ④ 설정'!$A$6:$A$40,MATCH($D1778,'교육원 ④ 설정'!$B$6:$B$40,0)),"※없는 과목"))</f>
        <v/>
      </c>
      <c r="F1778" s="36" t="str">
        <f aca="false">IF($D1778="","",IFERROR(INDEX('교육원 ④ 설정'!$C$6:$C$40,MATCH($D1778,'교육원 ④ 설정'!$B$6:$B$40,0)),""))</f>
        <v/>
      </c>
      <c r="G1778" s="39"/>
      <c r="H1778" s="39"/>
      <c r="I1778" s="40"/>
      <c r="J1778" s="41"/>
      <c r="K1778" s="38"/>
      <c r="L1778" s="42" t="str">
        <f aca="false">IF($B1778="","",IF(AND(N($I1778)=0,N($J1778)=0),"금액이 없습니다",IF(AND($I1778&gt;0,$J1778&gt;0),"수입·지출 둘 다 적혔습니다",IF($C1778="","결제수단을 고르십시오",IF(ISNA(MATCH($C1778,'교육원 ③ 통장·카드'!$A$5:$A$11,0)),"③ 통장·카드에 없는 결제수단입니다",IF($D1778="","계정과목을 고르십시오",IF($E1778="※없는 과목","④ 설정에 없는 과목입니다",IF(AND($E1778="수입",$J1778&gt;0),"수입 과목인데 지출에 적혔습니다",IF(AND(LEFT($E1778,2)&lt;&gt;"수입",$E1778&lt;&gt;"대체",$I1778&gt;0),"지출 과목인데 수입에 적혔습니다",IF($K1778="","증빙을 고르십시오",IF($H1778="","적요를 적으십시오","")))))))))))</f>
        <v/>
      </c>
      <c r="M1778" s="39"/>
      <c r="O1778" s="11" t="str">
        <f aca="false">IF($B1778="","",YEAR($B1778)*100+MONTH($B1778))</f>
        <v/>
      </c>
      <c r="P1778" s="11" t="str">
        <f aca="false">IF($B1778="","",IF($E1778="대체",0,1))</f>
        <v/>
      </c>
    </row>
    <row r="1779" customFormat="false" ht="15" hidden="false" customHeight="false" outlineLevel="0" collapsed="false">
      <c r="A1779" s="36" t="str">
        <f aca="false">IF($B1779="","",COUNT($B$15:$B1779))</f>
        <v/>
      </c>
      <c r="B1779" s="37"/>
      <c r="C1779" s="38"/>
      <c r="D1779" s="20"/>
      <c r="E1779" s="36" t="str">
        <f aca="false">IF($D1779="","",IFERROR(INDEX('교육원 ④ 설정'!$A$6:$A$40,MATCH($D1779,'교육원 ④ 설정'!$B$6:$B$40,0)),"※없는 과목"))</f>
        <v/>
      </c>
      <c r="F1779" s="36" t="str">
        <f aca="false">IF($D1779="","",IFERROR(INDEX('교육원 ④ 설정'!$C$6:$C$40,MATCH($D1779,'교육원 ④ 설정'!$B$6:$B$40,0)),""))</f>
        <v/>
      </c>
      <c r="G1779" s="39"/>
      <c r="H1779" s="39"/>
      <c r="I1779" s="40"/>
      <c r="J1779" s="41"/>
      <c r="K1779" s="38"/>
      <c r="L1779" s="42" t="str">
        <f aca="false">IF($B1779="","",IF(AND(N($I1779)=0,N($J1779)=0),"금액이 없습니다",IF(AND($I1779&gt;0,$J1779&gt;0),"수입·지출 둘 다 적혔습니다",IF($C1779="","결제수단을 고르십시오",IF(ISNA(MATCH($C1779,'교육원 ③ 통장·카드'!$A$5:$A$11,0)),"③ 통장·카드에 없는 결제수단입니다",IF($D1779="","계정과목을 고르십시오",IF($E1779="※없는 과목","④ 설정에 없는 과목입니다",IF(AND($E1779="수입",$J1779&gt;0),"수입 과목인데 지출에 적혔습니다",IF(AND(LEFT($E1779,2)&lt;&gt;"수입",$E1779&lt;&gt;"대체",$I1779&gt;0),"지출 과목인데 수입에 적혔습니다",IF($K1779="","증빙을 고르십시오",IF($H1779="","적요를 적으십시오","")))))))))))</f>
        <v/>
      </c>
      <c r="M1779" s="39"/>
      <c r="O1779" s="11" t="str">
        <f aca="false">IF($B1779="","",YEAR($B1779)*100+MONTH($B1779))</f>
        <v/>
      </c>
      <c r="P1779" s="11" t="str">
        <f aca="false">IF($B1779="","",IF($E1779="대체",0,1))</f>
        <v/>
      </c>
    </row>
    <row r="1780" customFormat="false" ht="15" hidden="false" customHeight="false" outlineLevel="0" collapsed="false">
      <c r="A1780" s="36" t="str">
        <f aca="false">IF($B1780="","",COUNT($B$15:$B1780))</f>
        <v/>
      </c>
      <c r="B1780" s="37"/>
      <c r="C1780" s="38"/>
      <c r="D1780" s="20"/>
      <c r="E1780" s="36" t="str">
        <f aca="false">IF($D1780="","",IFERROR(INDEX('교육원 ④ 설정'!$A$6:$A$40,MATCH($D1780,'교육원 ④ 설정'!$B$6:$B$40,0)),"※없는 과목"))</f>
        <v/>
      </c>
      <c r="F1780" s="36" t="str">
        <f aca="false">IF($D1780="","",IFERROR(INDEX('교육원 ④ 설정'!$C$6:$C$40,MATCH($D1780,'교육원 ④ 설정'!$B$6:$B$40,0)),""))</f>
        <v/>
      </c>
      <c r="G1780" s="39"/>
      <c r="H1780" s="39"/>
      <c r="I1780" s="40"/>
      <c r="J1780" s="41"/>
      <c r="K1780" s="38"/>
      <c r="L1780" s="42" t="str">
        <f aca="false">IF($B1780="","",IF(AND(N($I1780)=0,N($J1780)=0),"금액이 없습니다",IF(AND($I1780&gt;0,$J1780&gt;0),"수입·지출 둘 다 적혔습니다",IF($C1780="","결제수단을 고르십시오",IF(ISNA(MATCH($C1780,'교육원 ③ 통장·카드'!$A$5:$A$11,0)),"③ 통장·카드에 없는 결제수단입니다",IF($D1780="","계정과목을 고르십시오",IF($E1780="※없는 과목","④ 설정에 없는 과목입니다",IF(AND($E1780="수입",$J1780&gt;0),"수입 과목인데 지출에 적혔습니다",IF(AND(LEFT($E1780,2)&lt;&gt;"수입",$E1780&lt;&gt;"대체",$I1780&gt;0),"지출 과목인데 수입에 적혔습니다",IF($K1780="","증빙을 고르십시오",IF($H1780="","적요를 적으십시오","")))))))))))</f>
        <v/>
      </c>
      <c r="M1780" s="39"/>
      <c r="O1780" s="11" t="str">
        <f aca="false">IF($B1780="","",YEAR($B1780)*100+MONTH($B1780))</f>
        <v/>
      </c>
      <c r="P1780" s="11" t="str">
        <f aca="false">IF($B1780="","",IF($E1780="대체",0,1))</f>
        <v/>
      </c>
    </row>
    <row r="1781" customFormat="false" ht="15" hidden="false" customHeight="false" outlineLevel="0" collapsed="false">
      <c r="A1781" s="36" t="str">
        <f aca="false">IF($B1781="","",COUNT($B$15:$B1781))</f>
        <v/>
      </c>
      <c r="B1781" s="37"/>
      <c r="C1781" s="38"/>
      <c r="D1781" s="20"/>
      <c r="E1781" s="36" t="str">
        <f aca="false">IF($D1781="","",IFERROR(INDEX('교육원 ④ 설정'!$A$6:$A$40,MATCH($D1781,'교육원 ④ 설정'!$B$6:$B$40,0)),"※없는 과목"))</f>
        <v/>
      </c>
      <c r="F1781" s="36" t="str">
        <f aca="false">IF($D1781="","",IFERROR(INDEX('교육원 ④ 설정'!$C$6:$C$40,MATCH($D1781,'교육원 ④ 설정'!$B$6:$B$40,0)),""))</f>
        <v/>
      </c>
      <c r="G1781" s="39"/>
      <c r="H1781" s="39"/>
      <c r="I1781" s="40"/>
      <c r="J1781" s="41"/>
      <c r="K1781" s="38"/>
      <c r="L1781" s="42" t="str">
        <f aca="false">IF($B1781="","",IF(AND(N($I1781)=0,N($J1781)=0),"금액이 없습니다",IF(AND($I1781&gt;0,$J1781&gt;0),"수입·지출 둘 다 적혔습니다",IF($C1781="","결제수단을 고르십시오",IF(ISNA(MATCH($C1781,'교육원 ③ 통장·카드'!$A$5:$A$11,0)),"③ 통장·카드에 없는 결제수단입니다",IF($D1781="","계정과목을 고르십시오",IF($E1781="※없는 과목","④ 설정에 없는 과목입니다",IF(AND($E1781="수입",$J1781&gt;0),"수입 과목인데 지출에 적혔습니다",IF(AND(LEFT($E1781,2)&lt;&gt;"수입",$E1781&lt;&gt;"대체",$I1781&gt;0),"지출 과목인데 수입에 적혔습니다",IF($K1781="","증빙을 고르십시오",IF($H1781="","적요를 적으십시오","")))))))))))</f>
        <v/>
      </c>
      <c r="M1781" s="39"/>
      <c r="O1781" s="11" t="str">
        <f aca="false">IF($B1781="","",YEAR($B1781)*100+MONTH($B1781))</f>
        <v/>
      </c>
      <c r="P1781" s="11" t="str">
        <f aca="false">IF($B1781="","",IF($E1781="대체",0,1))</f>
        <v/>
      </c>
    </row>
    <row r="1782" customFormat="false" ht="15" hidden="false" customHeight="false" outlineLevel="0" collapsed="false">
      <c r="A1782" s="36" t="str">
        <f aca="false">IF($B1782="","",COUNT($B$15:$B1782))</f>
        <v/>
      </c>
      <c r="B1782" s="37"/>
      <c r="C1782" s="38"/>
      <c r="D1782" s="20"/>
      <c r="E1782" s="36" t="str">
        <f aca="false">IF($D1782="","",IFERROR(INDEX('교육원 ④ 설정'!$A$6:$A$40,MATCH($D1782,'교육원 ④ 설정'!$B$6:$B$40,0)),"※없는 과목"))</f>
        <v/>
      </c>
      <c r="F1782" s="36" t="str">
        <f aca="false">IF($D1782="","",IFERROR(INDEX('교육원 ④ 설정'!$C$6:$C$40,MATCH($D1782,'교육원 ④ 설정'!$B$6:$B$40,0)),""))</f>
        <v/>
      </c>
      <c r="G1782" s="39"/>
      <c r="H1782" s="39"/>
      <c r="I1782" s="40"/>
      <c r="J1782" s="41"/>
      <c r="K1782" s="38"/>
      <c r="L1782" s="42" t="str">
        <f aca="false">IF($B1782="","",IF(AND(N($I1782)=0,N($J1782)=0),"금액이 없습니다",IF(AND($I1782&gt;0,$J1782&gt;0),"수입·지출 둘 다 적혔습니다",IF($C1782="","결제수단을 고르십시오",IF(ISNA(MATCH($C1782,'교육원 ③ 통장·카드'!$A$5:$A$11,0)),"③ 통장·카드에 없는 결제수단입니다",IF($D1782="","계정과목을 고르십시오",IF($E1782="※없는 과목","④ 설정에 없는 과목입니다",IF(AND($E1782="수입",$J1782&gt;0),"수입 과목인데 지출에 적혔습니다",IF(AND(LEFT($E1782,2)&lt;&gt;"수입",$E1782&lt;&gt;"대체",$I1782&gt;0),"지출 과목인데 수입에 적혔습니다",IF($K1782="","증빙을 고르십시오",IF($H1782="","적요를 적으십시오","")))))))))))</f>
        <v/>
      </c>
      <c r="M1782" s="39"/>
      <c r="O1782" s="11" t="str">
        <f aca="false">IF($B1782="","",YEAR($B1782)*100+MONTH($B1782))</f>
        <v/>
      </c>
      <c r="P1782" s="11" t="str">
        <f aca="false">IF($B1782="","",IF($E1782="대체",0,1))</f>
        <v/>
      </c>
    </row>
    <row r="1783" customFormat="false" ht="15" hidden="false" customHeight="false" outlineLevel="0" collapsed="false">
      <c r="A1783" s="36" t="str">
        <f aca="false">IF($B1783="","",COUNT($B$15:$B1783))</f>
        <v/>
      </c>
      <c r="B1783" s="37"/>
      <c r="C1783" s="38"/>
      <c r="D1783" s="20"/>
      <c r="E1783" s="36" t="str">
        <f aca="false">IF($D1783="","",IFERROR(INDEX('교육원 ④ 설정'!$A$6:$A$40,MATCH($D1783,'교육원 ④ 설정'!$B$6:$B$40,0)),"※없는 과목"))</f>
        <v/>
      </c>
      <c r="F1783" s="36" t="str">
        <f aca="false">IF($D1783="","",IFERROR(INDEX('교육원 ④ 설정'!$C$6:$C$40,MATCH($D1783,'교육원 ④ 설정'!$B$6:$B$40,0)),""))</f>
        <v/>
      </c>
      <c r="G1783" s="39"/>
      <c r="H1783" s="39"/>
      <c r="I1783" s="40"/>
      <c r="J1783" s="41"/>
      <c r="K1783" s="38"/>
      <c r="L1783" s="42" t="str">
        <f aca="false">IF($B1783="","",IF(AND(N($I1783)=0,N($J1783)=0),"금액이 없습니다",IF(AND($I1783&gt;0,$J1783&gt;0),"수입·지출 둘 다 적혔습니다",IF($C1783="","결제수단을 고르십시오",IF(ISNA(MATCH($C1783,'교육원 ③ 통장·카드'!$A$5:$A$11,0)),"③ 통장·카드에 없는 결제수단입니다",IF($D1783="","계정과목을 고르십시오",IF($E1783="※없는 과목","④ 설정에 없는 과목입니다",IF(AND($E1783="수입",$J1783&gt;0),"수입 과목인데 지출에 적혔습니다",IF(AND(LEFT($E1783,2)&lt;&gt;"수입",$E1783&lt;&gt;"대체",$I1783&gt;0),"지출 과목인데 수입에 적혔습니다",IF($K1783="","증빙을 고르십시오",IF($H1783="","적요를 적으십시오","")))))))))))</f>
        <v/>
      </c>
      <c r="M1783" s="39"/>
      <c r="O1783" s="11" t="str">
        <f aca="false">IF($B1783="","",YEAR($B1783)*100+MONTH($B1783))</f>
        <v/>
      </c>
      <c r="P1783" s="11" t="str">
        <f aca="false">IF($B1783="","",IF($E1783="대체",0,1))</f>
        <v/>
      </c>
    </row>
    <row r="1784" customFormat="false" ht="15" hidden="false" customHeight="false" outlineLevel="0" collapsed="false">
      <c r="A1784" s="36" t="str">
        <f aca="false">IF($B1784="","",COUNT($B$15:$B1784))</f>
        <v/>
      </c>
      <c r="B1784" s="37"/>
      <c r="C1784" s="38"/>
      <c r="D1784" s="20"/>
      <c r="E1784" s="36" t="str">
        <f aca="false">IF($D1784="","",IFERROR(INDEX('교육원 ④ 설정'!$A$6:$A$40,MATCH($D1784,'교육원 ④ 설정'!$B$6:$B$40,0)),"※없는 과목"))</f>
        <v/>
      </c>
      <c r="F1784" s="36" t="str">
        <f aca="false">IF($D1784="","",IFERROR(INDEX('교육원 ④ 설정'!$C$6:$C$40,MATCH($D1784,'교육원 ④ 설정'!$B$6:$B$40,0)),""))</f>
        <v/>
      </c>
      <c r="G1784" s="39"/>
      <c r="H1784" s="39"/>
      <c r="I1784" s="40"/>
      <c r="J1784" s="41"/>
      <c r="K1784" s="38"/>
      <c r="L1784" s="42" t="str">
        <f aca="false">IF($B1784="","",IF(AND(N($I1784)=0,N($J1784)=0),"금액이 없습니다",IF(AND($I1784&gt;0,$J1784&gt;0),"수입·지출 둘 다 적혔습니다",IF($C1784="","결제수단을 고르십시오",IF(ISNA(MATCH($C1784,'교육원 ③ 통장·카드'!$A$5:$A$11,0)),"③ 통장·카드에 없는 결제수단입니다",IF($D1784="","계정과목을 고르십시오",IF($E1784="※없는 과목","④ 설정에 없는 과목입니다",IF(AND($E1784="수입",$J1784&gt;0),"수입 과목인데 지출에 적혔습니다",IF(AND(LEFT($E1784,2)&lt;&gt;"수입",$E1784&lt;&gt;"대체",$I1784&gt;0),"지출 과목인데 수입에 적혔습니다",IF($K1784="","증빙을 고르십시오",IF($H1784="","적요를 적으십시오","")))))))))))</f>
        <v/>
      </c>
      <c r="M1784" s="39"/>
      <c r="O1784" s="11" t="str">
        <f aca="false">IF($B1784="","",YEAR($B1784)*100+MONTH($B1784))</f>
        <v/>
      </c>
      <c r="P1784" s="11" t="str">
        <f aca="false">IF($B1784="","",IF($E1784="대체",0,1))</f>
        <v/>
      </c>
    </row>
    <row r="1785" customFormat="false" ht="15" hidden="false" customHeight="false" outlineLevel="0" collapsed="false">
      <c r="A1785" s="36" t="str">
        <f aca="false">IF($B1785="","",COUNT($B$15:$B1785))</f>
        <v/>
      </c>
      <c r="B1785" s="37"/>
      <c r="C1785" s="38"/>
      <c r="D1785" s="20"/>
      <c r="E1785" s="36" t="str">
        <f aca="false">IF($D1785="","",IFERROR(INDEX('교육원 ④ 설정'!$A$6:$A$40,MATCH($D1785,'교육원 ④ 설정'!$B$6:$B$40,0)),"※없는 과목"))</f>
        <v/>
      </c>
      <c r="F1785" s="36" t="str">
        <f aca="false">IF($D1785="","",IFERROR(INDEX('교육원 ④ 설정'!$C$6:$C$40,MATCH($D1785,'교육원 ④ 설정'!$B$6:$B$40,0)),""))</f>
        <v/>
      </c>
      <c r="G1785" s="39"/>
      <c r="H1785" s="39"/>
      <c r="I1785" s="40"/>
      <c r="J1785" s="41"/>
      <c r="K1785" s="38"/>
      <c r="L1785" s="42" t="str">
        <f aca="false">IF($B1785="","",IF(AND(N($I1785)=0,N($J1785)=0),"금액이 없습니다",IF(AND($I1785&gt;0,$J1785&gt;0),"수입·지출 둘 다 적혔습니다",IF($C1785="","결제수단을 고르십시오",IF(ISNA(MATCH($C1785,'교육원 ③ 통장·카드'!$A$5:$A$11,0)),"③ 통장·카드에 없는 결제수단입니다",IF($D1785="","계정과목을 고르십시오",IF($E1785="※없는 과목","④ 설정에 없는 과목입니다",IF(AND($E1785="수입",$J1785&gt;0),"수입 과목인데 지출에 적혔습니다",IF(AND(LEFT($E1785,2)&lt;&gt;"수입",$E1785&lt;&gt;"대체",$I1785&gt;0),"지출 과목인데 수입에 적혔습니다",IF($K1785="","증빙을 고르십시오",IF($H1785="","적요를 적으십시오","")))))))))))</f>
        <v/>
      </c>
      <c r="M1785" s="39"/>
      <c r="O1785" s="11" t="str">
        <f aca="false">IF($B1785="","",YEAR($B1785)*100+MONTH($B1785))</f>
        <v/>
      </c>
      <c r="P1785" s="11" t="str">
        <f aca="false">IF($B1785="","",IF($E1785="대체",0,1))</f>
        <v/>
      </c>
    </row>
    <row r="1786" customFormat="false" ht="15" hidden="false" customHeight="false" outlineLevel="0" collapsed="false">
      <c r="A1786" s="36" t="str">
        <f aca="false">IF($B1786="","",COUNT($B$15:$B1786))</f>
        <v/>
      </c>
      <c r="B1786" s="37"/>
      <c r="C1786" s="38"/>
      <c r="D1786" s="20"/>
      <c r="E1786" s="36" t="str">
        <f aca="false">IF($D1786="","",IFERROR(INDEX('교육원 ④ 설정'!$A$6:$A$40,MATCH($D1786,'교육원 ④ 설정'!$B$6:$B$40,0)),"※없는 과목"))</f>
        <v/>
      </c>
      <c r="F1786" s="36" t="str">
        <f aca="false">IF($D1786="","",IFERROR(INDEX('교육원 ④ 설정'!$C$6:$C$40,MATCH($D1786,'교육원 ④ 설정'!$B$6:$B$40,0)),""))</f>
        <v/>
      </c>
      <c r="G1786" s="39"/>
      <c r="H1786" s="39"/>
      <c r="I1786" s="40"/>
      <c r="J1786" s="41"/>
      <c r="K1786" s="38"/>
      <c r="L1786" s="42" t="str">
        <f aca="false">IF($B1786="","",IF(AND(N($I1786)=0,N($J1786)=0),"금액이 없습니다",IF(AND($I1786&gt;0,$J1786&gt;0),"수입·지출 둘 다 적혔습니다",IF($C1786="","결제수단을 고르십시오",IF(ISNA(MATCH($C1786,'교육원 ③ 통장·카드'!$A$5:$A$11,0)),"③ 통장·카드에 없는 결제수단입니다",IF($D1786="","계정과목을 고르십시오",IF($E1786="※없는 과목","④ 설정에 없는 과목입니다",IF(AND($E1786="수입",$J1786&gt;0),"수입 과목인데 지출에 적혔습니다",IF(AND(LEFT($E1786,2)&lt;&gt;"수입",$E1786&lt;&gt;"대체",$I1786&gt;0),"지출 과목인데 수입에 적혔습니다",IF($K1786="","증빙을 고르십시오",IF($H1786="","적요를 적으십시오","")))))))))))</f>
        <v/>
      </c>
      <c r="M1786" s="39"/>
      <c r="O1786" s="11" t="str">
        <f aca="false">IF($B1786="","",YEAR($B1786)*100+MONTH($B1786))</f>
        <v/>
      </c>
      <c r="P1786" s="11" t="str">
        <f aca="false">IF($B1786="","",IF($E1786="대체",0,1))</f>
        <v/>
      </c>
    </row>
    <row r="1787" customFormat="false" ht="15" hidden="false" customHeight="false" outlineLevel="0" collapsed="false">
      <c r="A1787" s="36" t="str">
        <f aca="false">IF($B1787="","",COUNT($B$15:$B1787))</f>
        <v/>
      </c>
      <c r="B1787" s="37"/>
      <c r="C1787" s="38"/>
      <c r="D1787" s="20"/>
      <c r="E1787" s="36" t="str">
        <f aca="false">IF($D1787="","",IFERROR(INDEX('교육원 ④ 설정'!$A$6:$A$40,MATCH($D1787,'교육원 ④ 설정'!$B$6:$B$40,0)),"※없는 과목"))</f>
        <v/>
      </c>
      <c r="F1787" s="36" t="str">
        <f aca="false">IF($D1787="","",IFERROR(INDEX('교육원 ④ 설정'!$C$6:$C$40,MATCH($D1787,'교육원 ④ 설정'!$B$6:$B$40,0)),""))</f>
        <v/>
      </c>
      <c r="G1787" s="39"/>
      <c r="H1787" s="39"/>
      <c r="I1787" s="40"/>
      <c r="J1787" s="41"/>
      <c r="K1787" s="38"/>
      <c r="L1787" s="42" t="str">
        <f aca="false">IF($B1787="","",IF(AND(N($I1787)=0,N($J1787)=0),"금액이 없습니다",IF(AND($I1787&gt;0,$J1787&gt;0),"수입·지출 둘 다 적혔습니다",IF($C1787="","결제수단을 고르십시오",IF(ISNA(MATCH($C1787,'교육원 ③ 통장·카드'!$A$5:$A$11,0)),"③ 통장·카드에 없는 결제수단입니다",IF($D1787="","계정과목을 고르십시오",IF($E1787="※없는 과목","④ 설정에 없는 과목입니다",IF(AND($E1787="수입",$J1787&gt;0),"수입 과목인데 지출에 적혔습니다",IF(AND(LEFT($E1787,2)&lt;&gt;"수입",$E1787&lt;&gt;"대체",$I1787&gt;0),"지출 과목인데 수입에 적혔습니다",IF($K1787="","증빙을 고르십시오",IF($H1787="","적요를 적으십시오","")))))))))))</f>
        <v/>
      </c>
      <c r="M1787" s="39"/>
      <c r="O1787" s="11" t="str">
        <f aca="false">IF($B1787="","",YEAR($B1787)*100+MONTH($B1787))</f>
        <v/>
      </c>
      <c r="P1787" s="11" t="str">
        <f aca="false">IF($B1787="","",IF($E1787="대체",0,1))</f>
        <v/>
      </c>
    </row>
    <row r="1788" customFormat="false" ht="15" hidden="false" customHeight="false" outlineLevel="0" collapsed="false">
      <c r="A1788" s="36" t="str">
        <f aca="false">IF($B1788="","",COUNT($B$15:$B1788))</f>
        <v/>
      </c>
      <c r="B1788" s="37"/>
      <c r="C1788" s="38"/>
      <c r="D1788" s="20"/>
      <c r="E1788" s="36" t="str">
        <f aca="false">IF($D1788="","",IFERROR(INDEX('교육원 ④ 설정'!$A$6:$A$40,MATCH($D1788,'교육원 ④ 설정'!$B$6:$B$40,0)),"※없는 과목"))</f>
        <v/>
      </c>
      <c r="F1788" s="36" t="str">
        <f aca="false">IF($D1788="","",IFERROR(INDEX('교육원 ④ 설정'!$C$6:$C$40,MATCH($D1788,'교육원 ④ 설정'!$B$6:$B$40,0)),""))</f>
        <v/>
      </c>
      <c r="G1788" s="39"/>
      <c r="H1788" s="39"/>
      <c r="I1788" s="40"/>
      <c r="J1788" s="41"/>
      <c r="K1788" s="38"/>
      <c r="L1788" s="42" t="str">
        <f aca="false">IF($B1788="","",IF(AND(N($I1788)=0,N($J1788)=0),"금액이 없습니다",IF(AND($I1788&gt;0,$J1788&gt;0),"수입·지출 둘 다 적혔습니다",IF($C1788="","결제수단을 고르십시오",IF(ISNA(MATCH($C1788,'교육원 ③ 통장·카드'!$A$5:$A$11,0)),"③ 통장·카드에 없는 결제수단입니다",IF($D1788="","계정과목을 고르십시오",IF($E1788="※없는 과목","④ 설정에 없는 과목입니다",IF(AND($E1788="수입",$J1788&gt;0),"수입 과목인데 지출에 적혔습니다",IF(AND(LEFT($E1788,2)&lt;&gt;"수입",$E1788&lt;&gt;"대체",$I1788&gt;0),"지출 과목인데 수입에 적혔습니다",IF($K1788="","증빙을 고르십시오",IF($H1788="","적요를 적으십시오","")))))))))))</f>
        <v/>
      </c>
      <c r="M1788" s="39"/>
      <c r="O1788" s="11" t="str">
        <f aca="false">IF($B1788="","",YEAR($B1788)*100+MONTH($B1788))</f>
        <v/>
      </c>
      <c r="P1788" s="11" t="str">
        <f aca="false">IF($B1788="","",IF($E1788="대체",0,1))</f>
        <v/>
      </c>
    </row>
    <row r="1789" customFormat="false" ht="15" hidden="false" customHeight="false" outlineLevel="0" collapsed="false">
      <c r="A1789" s="36" t="str">
        <f aca="false">IF($B1789="","",COUNT($B$15:$B1789))</f>
        <v/>
      </c>
      <c r="B1789" s="37"/>
      <c r="C1789" s="38"/>
      <c r="D1789" s="20"/>
      <c r="E1789" s="36" t="str">
        <f aca="false">IF($D1789="","",IFERROR(INDEX('교육원 ④ 설정'!$A$6:$A$40,MATCH($D1789,'교육원 ④ 설정'!$B$6:$B$40,0)),"※없는 과목"))</f>
        <v/>
      </c>
      <c r="F1789" s="36" t="str">
        <f aca="false">IF($D1789="","",IFERROR(INDEX('교육원 ④ 설정'!$C$6:$C$40,MATCH($D1789,'교육원 ④ 설정'!$B$6:$B$40,0)),""))</f>
        <v/>
      </c>
      <c r="G1789" s="39"/>
      <c r="H1789" s="39"/>
      <c r="I1789" s="40"/>
      <c r="J1789" s="41"/>
      <c r="K1789" s="38"/>
      <c r="L1789" s="42" t="str">
        <f aca="false">IF($B1789="","",IF(AND(N($I1789)=0,N($J1789)=0),"금액이 없습니다",IF(AND($I1789&gt;0,$J1789&gt;0),"수입·지출 둘 다 적혔습니다",IF($C1789="","결제수단을 고르십시오",IF(ISNA(MATCH($C1789,'교육원 ③ 통장·카드'!$A$5:$A$11,0)),"③ 통장·카드에 없는 결제수단입니다",IF($D1789="","계정과목을 고르십시오",IF($E1789="※없는 과목","④ 설정에 없는 과목입니다",IF(AND($E1789="수입",$J1789&gt;0),"수입 과목인데 지출에 적혔습니다",IF(AND(LEFT($E1789,2)&lt;&gt;"수입",$E1789&lt;&gt;"대체",$I1789&gt;0),"지출 과목인데 수입에 적혔습니다",IF($K1789="","증빙을 고르십시오",IF($H1789="","적요를 적으십시오","")))))))))))</f>
        <v/>
      </c>
      <c r="M1789" s="39"/>
      <c r="O1789" s="11" t="str">
        <f aca="false">IF($B1789="","",YEAR($B1789)*100+MONTH($B1789))</f>
        <v/>
      </c>
      <c r="P1789" s="11" t="str">
        <f aca="false">IF($B1789="","",IF($E1789="대체",0,1))</f>
        <v/>
      </c>
    </row>
    <row r="1790" customFormat="false" ht="15" hidden="false" customHeight="false" outlineLevel="0" collapsed="false">
      <c r="A1790" s="36" t="str">
        <f aca="false">IF($B1790="","",COUNT($B$15:$B1790))</f>
        <v/>
      </c>
      <c r="B1790" s="37"/>
      <c r="C1790" s="38"/>
      <c r="D1790" s="20"/>
      <c r="E1790" s="36" t="str">
        <f aca="false">IF($D1790="","",IFERROR(INDEX('교육원 ④ 설정'!$A$6:$A$40,MATCH($D1790,'교육원 ④ 설정'!$B$6:$B$40,0)),"※없는 과목"))</f>
        <v/>
      </c>
      <c r="F1790" s="36" t="str">
        <f aca="false">IF($D1790="","",IFERROR(INDEX('교육원 ④ 설정'!$C$6:$C$40,MATCH($D1790,'교육원 ④ 설정'!$B$6:$B$40,0)),""))</f>
        <v/>
      </c>
      <c r="G1790" s="39"/>
      <c r="H1790" s="39"/>
      <c r="I1790" s="40"/>
      <c r="J1790" s="41"/>
      <c r="K1790" s="38"/>
      <c r="L1790" s="42" t="str">
        <f aca="false">IF($B1790="","",IF(AND(N($I1790)=0,N($J1790)=0),"금액이 없습니다",IF(AND($I1790&gt;0,$J1790&gt;0),"수입·지출 둘 다 적혔습니다",IF($C1790="","결제수단을 고르십시오",IF(ISNA(MATCH($C1790,'교육원 ③ 통장·카드'!$A$5:$A$11,0)),"③ 통장·카드에 없는 결제수단입니다",IF($D1790="","계정과목을 고르십시오",IF($E1790="※없는 과목","④ 설정에 없는 과목입니다",IF(AND($E1790="수입",$J1790&gt;0),"수입 과목인데 지출에 적혔습니다",IF(AND(LEFT($E1790,2)&lt;&gt;"수입",$E1790&lt;&gt;"대체",$I1790&gt;0),"지출 과목인데 수입에 적혔습니다",IF($K1790="","증빙을 고르십시오",IF($H1790="","적요를 적으십시오","")))))))))))</f>
        <v/>
      </c>
      <c r="M1790" s="39"/>
      <c r="O1790" s="11" t="str">
        <f aca="false">IF($B1790="","",YEAR($B1790)*100+MONTH($B1790))</f>
        <v/>
      </c>
      <c r="P1790" s="11" t="str">
        <f aca="false">IF($B1790="","",IF($E1790="대체",0,1))</f>
        <v/>
      </c>
    </row>
    <row r="1791" customFormat="false" ht="15" hidden="false" customHeight="false" outlineLevel="0" collapsed="false">
      <c r="A1791" s="36" t="str">
        <f aca="false">IF($B1791="","",COUNT($B$15:$B1791))</f>
        <v/>
      </c>
      <c r="B1791" s="37"/>
      <c r="C1791" s="38"/>
      <c r="D1791" s="20"/>
      <c r="E1791" s="36" t="str">
        <f aca="false">IF($D1791="","",IFERROR(INDEX('교육원 ④ 설정'!$A$6:$A$40,MATCH($D1791,'교육원 ④ 설정'!$B$6:$B$40,0)),"※없는 과목"))</f>
        <v/>
      </c>
      <c r="F1791" s="36" t="str">
        <f aca="false">IF($D1791="","",IFERROR(INDEX('교육원 ④ 설정'!$C$6:$C$40,MATCH($D1791,'교육원 ④ 설정'!$B$6:$B$40,0)),""))</f>
        <v/>
      </c>
      <c r="G1791" s="39"/>
      <c r="H1791" s="39"/>
      <c r="I1791" s="40"/>
      <c r="J1791" s="41"/>
      <c r="K1791" s="38"/>
      <c r="L1791" s="42" t="str">
        <f aca="false">IF($B1791="","",IF(AND(N($I1791)=0,N($J1791)=0),"금액이 없습니다",IF(AND($I1791&gt;0,$J1791&gt;0),"수입·지출 둘 다 적혔습니다",IF($C1791="","결제수단을 고르십시오",IF(ISNA(MATCH($C1791,'교육원 ③ 통장·카드'!$A$5:$A$11,0)),"③ 통장·카드에 없는 결제수단입니다",IF($D1791="","계정과목을 고르십시오",IF($E1791="※없는 과목","④ 설정에 없는 과목입니다",IF(AND($E1791="수입",$J1791&gt;0),"수입 과목인데 지출에 적혔습니다",IF(AND(LEFT($E1791,2)&lt;&gt;"수입",$E1791&lt;&gt;"대체",$I1791&gt;0),"지출 과목인데 수입에 적혔습니다",IF($K1791="","증빙을 고르십시오",IF($H1791="","적요를 적으십시오","")))))))))))</f>
        <v/>
      </c>
      <c r="M1791" s="39"/>
      <c r="O1791" s="11" t="str">
        <f aca="false">IF($B1791="","",YEAR($B1791)*100+MONTH($B1791))</f>
        <v/>
      </c>
      <c r="P1791" s="11" t="str">
        <f aca="false">IF($B1791="","",IF($E1791="대체",0,1))</f>
        <v/>
      </c>
    </row>
    <row r="1792" customFormat="false" ht="15" hidden="false" customHeight="false" outlineLevel="0" collapsed="false">
      <c r="A1792" s="36" t="str">
        <f aca="false">IF($B1792="","",COUNT($B$15:$B1792))</f>
        <v/>
      </c>
      <c r="B1792" s="37"/>
      <c r="C1792" s="38"/>
      <c r="D1792" s="20"/>
      <c r="E1792" s="36" t="str">
        <f aca="false">IF($D1792="","",IFERROR(INDEX('교육원 ④ 설정'!$A$6:$A$40,MATCH($D1792,'교육원 ④ 설정'!$B$6:$B$40,0)),"※없는 과목"))</f>
        <v/>
      </c>
      <c r="F1792" s="36" t="str">
        <f aca="false">IF($D1792="","",IFERROR(INDEX('교육원 ④ 설정'!$C$6:$C$40,MATCH($D1792,'교육원 ④ 설정'!$B$6:$B$40,0)),""))</f>
        <v/>
      </c>
      <c r="G1792" s="39"/>
      <c r="H1792" s="39"/>
      <c r="I1792" s="40"/>
      <c r="J1792" s="41"/>
      <c r="K1792" s="38"/>
      <c r="L1792" s="42" t="str">
        <f aca="false">IF($B1792="","",IF(AND(N($I1792)=0,N($J1792)=0),"금액이 없습니다",IF(AND($I1792&gt;0,$J1792&gt;0),"수입·지출 둘 다 적혔습니다",IF($C1792="","결제수단을 고르십시오",IF(ISNA(MATCH($C1792,'교육원 ③ 통장·카드'!$A$5:$A$11,0)),"③ 통장·카드에 없는 결제수단입니다",IF($D1792="","계정과목을 고르십시오",IF($E1792="※없는 과목","④ 설정에 없는 과목입니다",IF(AND($E1792="수입",$J1792&gt;0),"수입 과목인데 지출에 적혔습니다",IF(AND(LEFT($E1792,2)&lt;&gt;"수입",$E1792&lt;&gt;"대체",$I1792&gt;0),"지출 과목인데 수입에 적혔습니다",IF($K1792="","증빙을 고르십시오",IF($H1792="","적요를 적으십시오","")))))))))))</f>
        <v/>
      </c>
      <c r="M1792" s="39"/>
      <c r="O1792" s="11" t="str">
        <f aca="false">IF($B1792="","",YEAR($B1792)*100+MONTH($B1792))</f>
        <v/>
      </c>
      <c r="P1792" s="11" t="str">
        <f aca="false">IF($B1792="","",IF($E1792="대체",0,1))</f>
        <v/>
      </c>
    </row>
    <row r="1793" customFormat="false" ht="15" hidden="false" customHeight="false" outlineLevel="0" collapsed="false">
      <c r="A1793" s="36" t="str">
        <f aca="false">IF($B1793="","",COUNT($B$15:$B1793))</f>
        <v/>
      </c>
      <c r="B1793" s="37"/>
      <c r="C1793" s="38"/>
      <c r="D1793" s="20"/>
      <c r="E1793" s="36" t="str">
        <f aca="false">IF($D1793="","",IFERROR(INDEX('교육원 ④ 설정'!$A$6:$A$40,MATCH($D1793,'교육원 ④ 설정'!$B$6:$B$40,0)),"※없는 과목"))</f>
        <v/>
      </c>
      <c r="F1793" s="36" t="str">
        <f aca="false">IF($D1793="","",IFERROR(INDEX('교육원 ④ 설정'!$C$6:$C$40,MATCH($D1793,'교육원 ④ 설정'!$B$6:$B$40,0)),""))</f>
        <v/>
      </c>
      <c r="G1793" s="39"/>
      <c r="H1793" s="39"/>
      <c r="I1793" s="40"/>
      <c r="J1793" s="41"/>
      <c r="K1793" s="38"/>
      <c r="L1793" s="42" t="str">
        <f aca="false">IF($B1793="","",IF(AND(N($I1793)=0,N($J1793)=0),"금액이 없습니다",IF(AND($I1793&gt;0,$J1793&gt;0),"수입·지출 둘 다 적혔습니다",IF($C1793="","결제수단을 고르십시오",IF(ISNA(MATCH($C1793,'교육원 ③ 통장·카드'!$A$5:$A$11,0)),"③ 통장·카드에 없는 결제수단입니다",IF($D1793="","계정과목을 고르십시오",IF($E1793="※없는 과목","④ 설정에 없는 과목입니다",IF(AND($E1793="수입",$J1793&gt;0),"수입 과목인데 지출에 적혔습니다",IF(AND(LEFT($E1793,2)&lt;&gt;"수입",$E1793&lt;&gt;"대체",$I1793&gt;0),"지출 과목인데 수입에 적혔습니다",IF($K1793="","증빙을 고르십시오",IF($H1793="","적요를 적으십시오","")))))))))))</f>
        <v/>
      </c>
      <c r="M1793" s="39"/>
      <c r="O1793" s="11" t="str">
        <f aca="false">IF($B1793="","",YEAR($B1793)*100+MONTH($B1793))</f>
        <v/>
      </c>
      <c r="P1793" s="11" t="str">
        <f aca="false">IF($B1793="","",IF($E1793="대체",0,1))</f>
        <v/>
      </c>
    </row>
    <row r="1794" customFormat="false" ht="15" hidden="false" customHeight="false" outlineLevel="0" collapsed="false">
      <c r="A1794" s="36" t="str">
        <f aca="false">IF($B1794="","",COUNT($B$15:$B1794))</f>
        <v/>
      </c>
      <c r="B1794" s="37"/>
      <c r="C1794" s="38"/>
      <c r="D1794" s="20"/>
      <c r="E1794" s="36" t="str">
        <f aca="false">IF($D1794="","",IFERROR(INDEX('교육원 ④ 설정'!$A$6:$A$40,MATCH($D1794,'교육원 ④ 설정'!$B$6:$B$40,0)),"※없는 과목"))</f>
        <v/>
      </c>
      <c r="F1794" s="36" t="str">
        <f aca="false">IF($D1794="","",IFERROR(INDEX('교육원 ④ 설정'!$C$6:$C$40,MATCH($D1794,'교육원 ④ 설정'!$B$6:$B$40,0)),""))</f>
        <v/>
      </c>
      <c r="G1794" s="39"/>
      <c r="H1794" s="39"/>
      <c r="I1794" s="40"/>
      <c r="J1794" s="41"/>
      <c r="K1794" s="38"/>
      <c r="L1794" s="42" t="str">
        <f aca="false">IF($B1794="","",IF(AND(N($I1794)=0,N($J1794)=0),"금액이 없습니다",IF(AND($I1794&gt;0,$J1794&gt;0),"수입·지출 둘 다 적혔습니다",IF($C1794="","결제수단을 고르십시오",IF(ISNA(MATCH($C1794,'교육원 ③ 통장·카드'!$A$5:$A$11,0)),"③ 통장·카드에 없는 결제수단입니다",IF($D1794="","계정과목을 고르십시오",IF($E1794="※없는 과목","④ 설정에 없는 과목입니다",IF(AND($E1794="수입",$J1794&gt;0),"수입 과목인데 지출에 적혔습니다",IF(AND(LEFT($E1794,2)&lt;&gt;"수입",$E1794&lt;&gt;"대체",$I1794&gt;0),"지출 과목인데 수입에 적혔습니다",IF($K1794="","증빙을 고르십시오",IF($H1794="","적요를 적으십시오","")))))))))))</f>
        <v/>
      </c>
      <c r="M1794" s="39"/>
      <c r="O1794" s="11" t="str">
        <f aca="false">IF($B1794="","",YEAR($B1794)*100+MONTH($B1794))</f>
        <v/>
      </c>
      <c r="P1794" s="11" t="str">
        <f aca="false">IF($B1794="","",IF($E1794="대체",0,1))</f>
        <v/>
      </c>
    </row>
    <row r="1795" customFormat="false" ht="15" hidden="false" customHeight="false" outlineLevel="0" collapsed="false">
      <c r="A1795" s="36" t="str">
        <f aca="false">IF($B1795="","",COUNT($B$15:$B1795))</f>
        <v/>
      </c>
      <c r="B1795" s="37"/>
      <c r="C1795" s="38"/>
      <c r="D1795" s="20"/>
      <c r="E1795" s="36" t="str">
        <f aca="false">IF($D1795="","",IFERROR(INDEX('교육원 ④ 설정'!$A$6:$A$40,MATCH($D1795,'교육원 ④ 설정'!$B$6:$B$40,0)),"※없는 과목"))</f>
        <v/>
      </c>
      <c r="F1795" s="36" t="str">
        <f aca="false">IF($D1795="","",IFERROR(INDEX('교육원 ④ 설정'!$C$6:$C$40,MATCH($D1795,'교육원 ④ 설정'!$B$6:$B$40,0)),""))</f>
        <v/>
      </c>
      <c r="G1795" s="39"/>
      <c r="H1795" s="39"/>
      <c r="I1795" s="40"/>
      <c r="J1795" s="41"/>
      <c r="K1795" s="38"/>
      <c r="L1795" s="42" t="str">
        <f aca="false">IF($B1795="","",IF(AND(N($I1795)=0,N($J1795)=0),"금액이 없습니다",IF(AND($I1795&gt;0,$J1795&gt;0),"수입·지출 둘 다 적혔습니다",IF($C1795="","결제수단을 고르십시오",IF(ISNA(MATCH($C1795,'교육원 ③ 통장·카드'!$A$5:$A$11,0)),"③ 통장·카드에 없는 결제수단입니다",IF($D1795="","계정과목을 고르십시오",IF($E1795="※없는 과목","④ 설정에 없는 과목입니다",IF(AND($E1795="수입",$J1795&gt;0),"수입 과목인데 지출에 적혔습니다",IF(AND(LEFT($E1795,2)&lt;&gt;"수입",$E1795&lt;&gt;"대체",$I1795&gt;0),"지출 과목인데 수입에 적혔습니다",IF($K1795="","증빙을 고르십시오",IF($H1795="","적요를 적으십시오","")))))))))))</f>
        <v/>
      </c>
      <c r="M1795" s="39"/>
      <c r="O1795" s="11" t="str">
        <f aca="false">IF($B1795="","",YEAR($B1795)*100+MONTH($B1795))</f>
        <v/>
      </c>
      <c r="P1795" s="11" t="str">
        <f aca="false">IF($B1795="","",IF($E1795="대체",0,1))</f>
        <v/>
      </c>
    </row>
    <row r="1796" customFormat="false" ht="15" hidden="false" customHeight="false" outlineLevel="0" collapsed="false">
      <c r="A1796" s="36" t="str">
        <f aca="false">IF($B1796="","",COUNT($B$15:$B1796))</f>
        <v/>
      </c>
      <c r="B1796" s="37"/>
      <c r="C1796" s="38"/>
      <c r="D1796" s="20"/>
      <c r="E1796" s="36" t="str">
        <f aca="false">IF($D1796="","",IFERROR(INDEX('교육원 ④ 설정'!$A$6:$A$40,MATCH($D1796,'교육원 ④ 설정'!$B$6:$B$40,0)),"※없는 과목"))</f>
        <v/>
      </c>
      <c r="F1796" s="36" t="str">
        <f aca="false">IF($D1796="","",IFERROR(INDEX('교육원 ④ 설정'!$C$6:$C$40,MATCH($D1796,'교육원 ④ 설정'!$B$6:$B$40,0)),""))</f>
        <v/>
      </c>
      <c r="G1796" s="39"/>
      <c r="H1796" s="39"/>
      <c r="I1796" s="40"/>
      <c r="J1796" s="41"/>
      <c r="K1796" s="38"/>
      <c r="L1796" s="42" t="str">
        <f aca="false">IF($B1796="","",IF(AND(N($I1796)=0,N($J1796)=0),"금액이 없습니다",IF(AND($I1796&gt;0,$J1796&gt;0),"수입·지출 둘 다 적혔습니다",IF($C1796="","결제수단을 고르십시오",IF(ISNA(MATCH($C1796,'교육원 ③ 통장·카드'!$A$5:$A$11,0)),"③ 통장·카드에 없는 결제수단입니다",IF($D1796="","계정과목을 고르십시오",IF($E1796="※없는 과목","④ 설정에 없는 과목입니다",IF(AND($E1796="수입",$J1796&gt;0),"수입 과목인데 지출에 적혔습니다",IF(AND(LEFT($E1796,2)&lt;&gt;"수입",$E1796&lt;&gt;"대체",$I1796&gt;0),"지출 과목인데 수입에 적혔습니다",IF($K1796="","증빙을 고르십시오",IF($H1796="","적요를 적으십시오","")))))))))))</f>
        <v/>
      </c>
      <c r="M1796" s="39"/>
      <c r="O1796" s="11" t="str">
        <f aca="false">IF($B1796="","",YEAR($B1796)*100+MONTH($B1796))</f>
        <v/>
      </c>
      <c r="P1796" s="11" t="str">
        <f aca="false">IF($B1796="","",IF($E1796="대체",0,1))</f>
        <v/>
      </c>
    </row>
    <row r="1797" customFormat="false" ht="15" hidden="false" customHeight="false" outlineLevel="0" collapsed="false">
      <c r="A1797" s="36" t="str">
        <f aca="false">IF($B1797="","",COUNT($B$15:$B1797))</f>
        <v/>
      </c>
      <c r="B1797" s="37"/>
      <c r="C1797" s="38"/>
      <c r="D1797" s="20"/>
      <c r="E1797" s="36" t="str">
        <f aca="false">IF($D1797="","",IFERROR(INDEX('교육원 ④ 설정'!$A$6:$A$40,MATCH($D1797,'교육원 ④ 설정'!$B$6:$B$40,0)),"※없는 과목"))</f>
        <v/>
      </c>
      <c r="F1797" s="36" t="str">
        <f aca="false">IF($D1797="","",IFERROR(INDEX('교육원 ④ 설정'!$C$6:$C$40,MATCH($D1797,'교육원 ④ 설정'!$B$6:$B$40,0)),""))</f>
        <v/>
      </c>
      <c r="G1797" s="39"/>
      <c r="H1797" s="39"/>
      <c r="I1797" s="40"/>
      <c r="J1797" s="41"/>
      <c r="K1797" s="38"/>
      <c r="L1797" s="42" t="str">
        <f aca="false">IF($B1797="","",IF(AND(N($I1797)=0,N($J1797)=0),"금액이 없습니다",IF(AND($I1797&gt;0,$J1797&gt;0),"수입·지출 둘 다 적혔습니다",IF($C1797="","결제수단을 고르십시오",IF(ISNA(MATCH($C1797,'교육원 ③ 통장·카드'!$A$5:$A$11,0)),"③ 통장·카드에 없는 결제수단입니다",IF($D1797="","계정과목을 고르십시오",IF($E1797="※없는 과목","④ 설정에 없는 과목입니다",IF(AND($E1797="수입",$J1797&gt;0),"수입 과목인데 지출에 적혔습니다",IF(AND(LEFT($E1797,2)&lt;&gt;"수입",$E1797&lt;&gt;"대체",$I1797&gt;0),"지출 과목인데 수입에 적혔습니다",IF($K1797="","증빙을 고르십시오",IF($H1797="","적요를 적으십시오","")))))))))))</f>
        <v/>
      </c>
      <c r="M1797" s="39"/>
      <c r="O1797" s="11" t="str">
        <f aca="false">IF($B1797="","",YEAR($B1797)*100+MONTH($B1797))</f>
        <v/>
      </c>
      <c r="P1797" s="11" t="str">
        <f aca="false">IF($B1797="","",IF($E1797="대체",0,1))</f>
        <v/>
      </c>
    </row>
    <row r="1798" customFormat="false" ht="15" hidden="false" customHeight="false" outlineLevel="0" collapsed="false">
      <c r="A1798" s="36" t="str">
        <f aca="false">IF($B1798="","",COUNT($B$15:$B1798))</f>
        <v/>
      </c>
      <c r="B1798" s="37"/>
      <c r="C1798" s="38"/>
      <c r="D1798" s="20"/>
      <c r="E1798" s="36" t="str">
        <f aca="false">IF($D1798="","",IFERROR(INDEX('교육원 ④ 설정'!$A$6:$A$40,MATCH($D1798,'교육원 ④ 설정'!$B$6:$B$40,0)),"※없는 과목"))</f>
        <v/>
      </c>
      <c r="F1798" s="36" t="str">
        <f aca="false">IF($D1798="","",IFERROR(INDEX('교육원 ④ 설정'!$C$6:$C$40,MATCH($D1798,'교육원 ④ 설정'!$B$6:$B$40,0)),""))</f>
        <v/>
      </c>
      <c r="G1798" s="39"/>
      <c r="H1798" s="39"/>
      <c r="I1798" s="40"/>
      <c r="J1798" s="41"/>
      <c r="K1798" s="38"/>
      <c r="L1798" s="42" t="str">
        <f aca="false">IF($B1798="","",IF(AND(N($I1798)=0,N($J1798)=0),"금액이 없습니다",IF(AND($I1798&gt;0,$J1798&gt;0),"수입·지출 둘 다 적혔습니다",IF($C1798="","결제수단을 고르십시오",IF(ISNA(MATCH($C1798,'교육원 ③ 통장·카드'!$A$5:$A$11,0)),"③ 통장·카드에 없는 결제수단입니다",IF($D1798="","계정과목을 고르십시오",IF($E1798="※없는 과목","④ 설정에 없는 과목입니다",IF(AND($E1798="수입",$J1798&gt;0),"수입 과목인데 지출에 적혔습니다",IF(AND(LEFT($E1798,2)&lt;&gt;"수입",$E1798&lt;&gt;"대체",$I1798&gt;0),"지출 과목인데 수입에 적혔습니다",IF($K1798="","증빙을 고르십시오",IF($H1798="","적요를 적으십시오","")))))))))))</f>
        <v/>
      </c>
      <c r="M1798" s="39"/>
      <c r="O1798" s="11" t="str">
        <f aca="false">IF($B1798="","",YEAR($B1798)*100+MONTH($B1798))</f>
        <v/>
      </c>
      <c r="P1798" s="11" t="str">
        <f aca="false">IF($B1798="","",IF($E1798="대체",0,1))</f>
        <v/>
      </c>
    </row>
    <row r="1799" customFormat="false" ht="15" hidden="false" customHeight="false" outlineLevel="0" collapsed="false">
      <c r="A1799" s="36" t="str">
        <f aca="false">IF($B1799="","",COUNT($B$15:$B1799))</f>
        <v/>
      </c>
      <c r="B1799" s="37"/>
      <c r="C1799" s="38"/>
      <c r="D1799" s="20"/>
      <c r="E1799" s="36" t="str">
        <f aca="false">IF($D1799="","",IFERROR(INDEX('교육원 ④ 설정'!$A$6:$A$40,MATCH($D1799,'교육원 ④ 설정'!$B$6:$B$40,0)),"※없는 과목"))</f>
        <v/>
      </c>
      <c r="F1799" s="36" t="str">
        <f aca="false">IF($D1799="","",IFERROR(INDEX('교육원 ④ 설정'!$C$6:$C$40,MATCH($D1799,'교육원 ④ 설정'!$B$6:$B$40,0)),""))</f>
        <v/>
      </c>
      <c r="G1799" s="39"/>
      <c r="H1799" s="39"/>
      <c r="I1799" s="40"/>
      <c r="J1799" s="41"/>
      <c r="K1799" s="38"/>
      <c r="L1799" s="42" t="str">
        <f aca="false">IF($B1799="","",IF(AND(N($I1799)=0,N($J1799)=0),"금액이 없습니다",IF(AND($I1799&gt;0,$J1799&gt;0),"수입·지출 둘 다 적혔습니다",IF($C1799="","결제수단을 고르십시오",IF(ISNA(MATCH($C1799,'교육원 ③ 통장·카드'!$A$5:$A$11,0)),"③ 통장·카드에 없는 결제수단입니다",IF($D1799="","계정과목을 고르십시오",IF($E1799="※없는 과목","④ 설정에 없는 과목입니다",IF(AND($E1799="수입",$J1799&gt;0),"수입 과목인데 지출에 적혔습니다",IF(AND(LEFT($E1799,2)&lt;&gt;"수입",$E1799&lt;&gt;"대체",$I1799&gt;0),"지출 과목인데 수입에 적혔습니다",IF($K1799="","증빙을 고르십시오",IF($H1799="","적요를 적으십시오","")))))))))))</f>
        <v/>
      </c>
      <c r="M1799" s="39"/>
      <c r="O1799" s="11" t="str">
        <f aca="false">IF($B1799="","",YEAR($B1799)*100+MONTH($B1799))</f>
        <v/>
      </c>
      <c r="P1799" s="11" t="str">
        <f aca="false">IF($B1799="","",IF($E1799="대체",0,1))</f>
        <v/>
      </c>
    </row>
    <row r="1800" customFormat="false" ht="15" hidden="false" customHeight="false" outlineLevel="0" collapsed="false">
      <c r="A1800" s="36" t="str">
        <f aca="false">IF($B1800="","",COUNT($B$15:$B1800))</f>
        <v/>
      </c>
      <c r="B1800" s="37"/>
      <c r="C1800" s="38"/>
      <c r="D1800" s="20"/>
      <c r="E1800" s="36" t="str">
        <f aca="false">IF($D1800="","",IFERROR(INDEX('교육원 ④ 설정'!$A$6:$A$40,MATCH($D1800,'교육원 ④ 설정'!$B$6:$B$40,0)),"※없는 과목"))</f>
        <v/>
      </c>
      <c r="F1800" s="36" t="str">
        <f aca="false">IF($D1800="","",IFERROR(INDEX('교육원 ④ 설정'!$C$6:$C$40,MATCH($D1800,'교육원 ④ 설정'!$B$6:$B$40,0)),""))</f>
        <v/>
      </c>
      <c r="G1800" s="39"/>
      <c r="H1800" s="39"/>
      <c r="I1800" s="40"/>
      <c r="J1800" s="41"/>
      <c r="K1800" s="38"/>
      <c r="L1800" s="42" t="str">
        <f aca="false">IF($B1800="","",IF(AND(N($I1800)=0,N($J1800)=0),"금액이 없습니다",IF(AND($I1800&gt;0,$J1800&gt;0),"수입·지출 둘 다 적혔습니다",IF($C1800="","결제수단을 고르십시오",IF(ISNA(MATCH($C1800,'교육원 ③ 통장·카드'!$A$5:$A$11,0)),"③ 통장·카드에 없는 결제수단입니다",IF($D1800="","계정과목을 고르십시오",IF($E1800="※없는 과목","④ 설정에 없는 과목입니다",IF(AND($E1800="수입",$J1800&gt;0),"수입 과목인데 지출에 적혔습니다",IF(AND(LEFT($E1800,2)&lt;&gt;"수입",$E1800&lt;&gt;"대체",$I1800&gt;0),"지출 과목인데 수입에 적혔습니다",IF($K1800="","증빙을 고르십시오",IF($H1800="","적요를 적으십시오","")))))))))))</f>
        <v/>
      </c>
      <c r="M1800" s="39"/>
      <c r="O1800" s="11" t="str">
        <f aca="false">IF($B1800="","",YEAR($B1800)*100+MONTH($B1800))</f>
        <v/>
      </c>
      <c r="P1800" s="11" t="str">
        <f aca="false">IF($B1800="","",IF($E1800="대체",0,1))</f>
        <v/>
      </c>
    </row>
    <row r="1801" customFormat="false" ht="15" hidden="false" customHeight="false" outlineLevel="0" collapsed="false">
      <c r="A1801" s="36" t="str">
        <f aca="false">IF($B1801="","",COUNT($B$15:$B1801))</f>
        <v/>
      </c>
      <c r="B1801" s="37"/>
      <c r="C1801" s="38"/>
      <c r="D1801" s="20"/>
      <c r="E1801" s="36" t="str">
        <f aca="false">IF($D1801="","",IFERROR(INDEX('교육원 ④ 설정'!$A$6:$A$40,MATCH($D1801,'교육원 ④ 설정'!$B$6:$B$40,0)),"※없는 과목"))</f>
        <v/>
      </c>
      <c r="F1801" s="36" t="str">
        <f aca="false">IF($D1801="","",IFERROR(INDEX('교육원 ④ 설정'!$C$6:$C$40,MATCH($D1801,'교육원 ④ 설정'!$B$6:$B$40,0)),""))</f>
        <v/>
      </c>
      <c r="G1801" s="39"/>
      <c r="H1801" s="39"/>
      <c r="I1801" s="40"/>
      <c r="J1801" s="41"/>
      <c r="K1801" s="38"/>
      <c r="L1801" s="42" t="str">
        <f aca="false">IF($B1801="","",IF(AND(N($I1801)=0,N($J1801)=0),"금액이 없습니다",IF(AND($I1801&gt;0,$J1801&gt;0),"수입·지출 둘 다 적혔습니다",IF($C1801="","결제수단을 고르십시오",IF(ISNA(MATCH($C1801,'교육원 ③ 통장·카드'!$A$5:$A$11,0)),"③ 통장·카드에 없는 결제수단입니다",IF($D1801="","계정과목을 고르십시오",IF($E1801="※없는 과목","④ 설정에 없는 과목입니다",IF(AND($E1801="수입",$J1801&gt;0),"수입 과목인데 지출에 적혔습니다",IF(AND(LEFT($E1801,2)&lt;&gt;"수입",$E1801&lt;&gt;"대체",$I1801&gt;0),"지출 과목인데 수입에 적혔습니다",IF($K1801="","증빙을 고르십시오",IF($H1801="","적요를 적으십시오","")))))))))))</f>
        <v/>
      </c>
      <c r="M1801" s="39"/>
      <c r="O1801" s="11" t="str">
        <f aca="false">IF($B1801="","",YEAR($B1801)*100+MONTH($B1801))</f>
        <v/>
      </c>
      <c r="P1801" s="11" t="str">
        <f aca="false">IF($B1801="","",IF($E1801="대체",0,1))</f>
        <v/>
      </c>
    </row>
    <row r="1802" customFormat="false" ht="15" hidden="false" customHeight="false" outlineLevel="0" collapsed="false">
      <c r="A1802" s="36" t="str">
        <f aca="false">IF($B1802="","",COUNT($B$15:$B1802))</f>
        <v/>
      </c>
      <c r="B1802" s="37"/>
      <c r="C1802" s="38"/>
      <c r="D1802" s="20"/>
      <c r="E1802" s="36" t="str">
        <f aca="false">IF($D1802="","",IFERROR(INDEX('교육원 ④ 설정'!$A$6:$A$40,MATCH($D1802,'교육원 ④ 설정'!$B$6:$B$40,0)),"※없는 과목"))</f>
        <v/>
      </c>
      <c r="F1802" s="36" t="str">
        <f aca="false">IF($D1802="","",IFERROR(INDEX('교육원 ④ 설정'!$C$6:$C$40,MATCH($D1802,'교육원 ④ 설정'!$B$6:$B$40,0)),""))</f>
        <v/>
      </c>
      <c r="G1802" s="39"/>
      <c r="H1802" s="39"/>
      <c r="I1802" s="40"/>
      <c r="J1802" s="41"/>
      <c r="K1802" s="38"/>
      <c r="L1802" s="42" t="str">
        <f aca="false">IF($B1802="","",IF(AND(N($I1802)=0,N($J1802)=0),"금액이 없습니다",IF(AND($I1802&gt;0,$J1802&gt;0),"수입·지출 둘 다 적혔습니다",IF($C1802="","결제수단을 고르십시오",IF(ISNA(MATCH($C1802,'교육원 ③ 통장·카드'!$A$5:$A$11,0)),"③ 통장·카드에 없는 결제수단입니다",IF($D1802="","계정과목을 고르십시오",IF($E1802="※없는 과목","④ 설정에 없는 과목입니다",IF(AND($E1802="수입",$J1802&gt;0),"수입 과목인데 지출에 적혔습니다",IF(AND(LEFT($E1802,2)&lt;&gt;"수입",$E1802&lt;&gt;"대체",$I1802&gt;0),"지출 과목인데 수입에 적혔습니다",IF($K1802="","증빙을 고르십시오",IF($H1802="","적요를 적으십시오","")))))))))))</f>
        <v/>
      </c>
      <c r="M1802" s="39"/>
      <c r="O1802" s="11" t="str">
        <f aca="false">IF($B1802="","",YEAR($B1802)*100+MONTH($B1802))</f>
        <v/>
      </c>
      <c r="P1802" s="11" t="str">
        <f aca="false">IF($B1802="","",IF($E1802="대체",0,1))</f>
        <v/>
      </c>
    </row>
    <row r="1803" customFormat="false" ht="15" hidden="false" customHeight="false" outlineLevel="0" collapsed="false">
      <c r="A1803" s="36" t="str">
        <f aca="false">IF($B1803="","",COUNT($B$15:$B1803))</f>
        <v/>
      </c>
      <c r="B1803" s="37"/>
      <c r="C1803" s="38"/>
      <c r="D1803" s="20"/>
      <c r="E1803" s="36" t="str">
        <f aca="false">IF($D1803="","",IFERROR(INDEX('교육원 ④ 설정'!$A$6:$A$40,MATCH($D1803,'교육원 ④ 설정'!$B$6:$B$40,0)),"※없는 과목"))</f>
        <v/>
      </c>
      <c r="F1803" s="36" t="str">
        <f aca="false">IF($D1803="","",IFERROR(INDEX('교육원 ④ 설정'!$C$6:$C$40,MATCH($D1803,'교육원 ④ 설정'!$B$6:$B$40,0)),""))</f>
        <v/>
      </c>
      <c r="G1803" s="39"/>
      <c r="H1803" s="39"/>
      <c r="I1803" s="40"/>
      <c r="J1803" s="41"/>
      <c r="K1803" s="38"/>
      <c r="L1803" s="42" t="str">
        <f aca="false">IF($B1803="","",IF(AND(N($I1803)=0,N($J1803)=0),"금액이 없습니다",IF(AND($I1803&gt;0,$J1803&gt;0),"수입·지출 둘 다 적혔습니다",IF($C1803="","결제수단을 고르십시오",IF(ISNA(MATCH($C1803,'교육원 ③ 통장·카드'!$A$5:$A$11,0)),"③ 통장·카드에 없는 결제수단입니다",IF($D1803="","계정과목을 고르십시오",IF($E1803="※없는 과목","④ 설정에 없는 과목입니다",IF(AND($E1803="수입",$J1803&gt;0),"수입 과목인데 지출에 적혔습니다",IF(AND(LEFT($E1803,2)&lt;&gt;"수입",$E1803&lt;&gt;"대체",$I1803&gt;0),"지출 과목인데 수입에 적혔습니다",IF($K1803="","증빙을 고르십시오",IF($H1803="","적요를 적으십시오","")))))))))))</f>
        <v/>
      </c>
      <c r="M1803" s="39"/>
      <c r="O1803" s="11" t="str">
        <f aca="false">IF($B1803="","",YEAR($B1803)*100+MONTH($B1803))</f>
        <v/>
      </c>
      <c r="P1803" s="11" t="str">
        <f aca="false">IF($B1803="","",IF($E1803="대체",0,1))</f>
        <v/>
      </c>
    </row>
    <row r="1804" customFormat="false" ht="15" hidden="false" customHeight="false" outlineLevel="0" collapsed="false">
      <c r="A1804" s="36" t="str">
        <f aca="false">IF($B1804="","",COUNT($B$15:$B1804))</f>
        <v/>
      </c>
      <c r="B1804" s="37"/>
      <c r="C1804" s="38"/>
      <c r="D1804" s="20"/>
      <c r="E1804" s="36" t="str">
        <f aca="false">IF($D1804="","",IFERROR(INDEX('교육원 ④ 설정'!$A$6:$A$40,MATCH($D1804,'교육원 ④ 설정'!$B$6:$B$40,0)),"※없는 과목"))</f>
        <v/>
      </c>
      <c r="F1804" s="36" t="str">
        <f aca="false">IF($D1804="","",IFERROR(INDEX('교육원 ④ 설정'!$C$6:$C$40,MATCH($D1804,'교육원 ④ 설정'!$B$6:$B$40,0)),""))</f>
        <v/>
      </c>
      <c r="G1804" s="39"/>
      <c r="H1804" s="39"/>
      <c r="I1804" s="40"/>
      <c r="J1804" s="41"/>
      <c r="K1804" s="38"/>
      <c r="L1804" s="42" t="str">
        <f aca="false">IF($B1804="","",IF(AND(N($I1804)=0,N($J1804)=0),"금액이 없습니다",IF(AND($I1804&gt;0,$J1804&gt;0),"수입·지출 둘 다 적혔습니다",IF($C1804="","결제수단을 고르십시오",IF(ISNA(MATCH($C1804,'교육원 ③ 통장·카드'!$A$5:$A$11,0)),"③ 통장·카드에 없는 결제수단입니다",IF($D1804="","계정과목을 고르십시오",IF($E1804="※없는 과목","④ 설정에 없는 과목입니다",IF(AND($E1804="수입",$J1804&gt;0),"수입 과목인데 지출에 적혔습니다",IF(AND(LEFT($E1804,2)&lt;&gt;"수입",$E1804&lt;&gt;"대체",$I1804&gt;0),"지출 과목인데 수입에 적혔습니다",IF($K1804="","증빙을 고르십시오",IF($H1804="","적요를 적으십시오","")))))))))))</f>
        <v/>
      </c>
      <c r="M1804" s="39"/>
      <c r="O1804" s="11" t="str">
        <f aca="false">IF($B1804="","",YEAR($B1804)*100+MONTH($B1804))</f>
        <v/>
      </c>
      <c r="P1804" s="11" t="str">
        <f aca="false">IF($B1804="","",IF($E1804="대체",0,1))</f>
        <v/>
      </c>
    </row>
    <row r="1805" customFormat="false" ht="15" hidden="false" customHeight="false" outlineLevel="0" collapsed="false">
      <c r="A1805" s="36" t="str">
        <f aca="false">IF($B1805="","",COUNT($B$15:$B1805))</f>
        <v/>
      </c>
      <c r="B1805" s="37"/>
      <c r="C1805" s="38"/>
      <c r="D1805" s="20"/>
      <c r="E1805" s="36" t="str">
        <f aca="false">IF($D1805="","",IFERROR(INDEX('교육원 ④ 설정'!$A$6:$A$40,MATCH($D1805,'교육원 ④ 설정'!$B$6:$B$40,0)),"※없는 과목"))</f>
        <v/>
      </c>
      <c r="F1805" s="36" t="str">
        <f aca="false">IF($D1805="","",IFERROR(INDEX('교육원 ④ 설정'!$C$6:$C$40,MATCH($D1805,'교육원 ④ 설정'!$B$6:$B$40,0)),""))</f>
        <v/>
      </c>
      <c r="G1805" s="39"/>
      <c r="H1805" s="39"/>
      <c r="I1805" s="40"/>
      <c r="J1805" s="41"/>
      <c r="K1805" s="38"/>
      <c r="L1805" s="42" t="str">
        <f aca="false">IF($B1805="","",IF(AND(N($I1805)=0,N($J1805)=0),"금액이 없습니다",IF(AND($I1805&gt;0,$J1805&gt;0),"수입·지출 둘 다 적혔습니다",IF($C1805="","결제수단을 고르십시오",IF(ISNA(MATCH($C1805,'교육원 ③ 통장·카드'!$A$5:$A$11,0)),"③ 통장·카드에 없는 결제수단입니다",IF($D1805="","계정과목을 고르십시오",IF($E1805="※없는 과목","④ 설정에 없는 과목입니다",IF(AND($E1805="수입",$J1805&gt;0),"수입 과목인데 지출에 적혔습니다",IF(AND(LEFT($E1805,2)&lt;&gt;"수입",$E1805&lt;&gt;"대체",$I1805&gt;0),"지출 과목인데 수입에 적혔습니다",IF($K1805="","증빙을 고르십시오",IF($H1805="","적요를 적으십시오","")))))))))))</f>
        <v/>
      </c>
      <c r="M1805" s="39"/>
      <c r="O1805" s="11" t="str">
        <f aca="false">IF($B1805="","",YEAR($B1805)*100+MONTH($B1805))</f>
        <v/>
      </c>
      <c r="P1805" s="11" t="str">
        <f aca="false">IF($B1805="","",IF($E1805="대체",0,1))</f>
        <v/>
      </c>
    </row>
    <row r="1806" customFormat="false" ht="15" hidden="false" customHeight="false" outlineLevel="0" collapsed="false">
      <c r="A1806" s="36" t="str">
        <f aca="false">IF($B1806="","",COUNT($B$15:$B1806))</f>
        <v/>
      </c>
      <c r="B1806" s="37"/>
      <c r="C1806" s="38"/>
      <c r="D1806" s="20"/>
      <c r="E1806" s="36" t="str">
        <f aca="false">IF($D1806="","",IFERROR(INDEX('교육원 ④ 설정'!$A$6:$A$40,MATCH($D1806,'교육원 ④ 설정'!$B$6:$B$40,0)),"※없는 과목"))</f>
        <v/>
      </c>
      <c r="F1806" s="36" t="str">
        <f aca="false">IF($D1806="","",IFERROR(INDEX('교육원 ④ 설정'!$C$6:$C$40,MATCH($D1806,'교육원 ④ 설정'!$B$6:$B$40,0)),""))</f>
        <v/>
      </c>
      <c r="G1806" s="39"/>
      <c r="H1806" s="39"/>
      <c r="I1806" s="40"/>
      <c r="J1806" s="41"/>
      <c r="K1806" s="38"/>
      <c r="L1806" s="42" t="str">
        <f aca="false">IF($B1806="","",IF(AND(N($I1806)=0,N($J1806)=0),"금액이 없습니다",IF(AND($I1806&gt;0,$J1806&gt;0),"수입·지출 둘 다 적혔습니다",IF($C1806="","결제수단을 고르십시오",IF(ISNA(MATCH($C1806,'교육원 ③ 통장·카드'!$A$5:$A$11,0)),"③ 통장·카드에 없는 결제수단입니다",IF($D1806="","계정과목을 고르십시오",IF($E1806="※없는 과목","④ 설정에 없는 과목입니다",IF(AND($E1806="수입",$J1806&gt;0),"수입 과목인데 지출에 적혔습니다",IF(AND(LEFT($E1806,2)&lt;&gt;"수입",$E1806&lt;&gt;"대체",$I1806&gt;0),"지출 과목인데 수입에 적혔습니다",IF($K1806="","증빙을 고르십시오",IF($H1806="","적요를 적으십시오","")))))))))))</f>
        <v/>
      </c>
      <c r="M1806" s="39"/>
      <c r="O1806" s="11" t="str">
        <f aca="false">IF($B1806="","",YEAR($B1806)*100+MONTH($B1806))</f>
        <v/>
      </c>
      <c r="P1806" s="11" t="str">
        <f aca="false">IF($B1806="","",IF($E1806="대체",0,1))</f>
        <v/>
      </c>
    </row>
    <row r="1807" customFormat="false" ht="15" hidden="false" customHeight="false" outlineLevel="0" collapsed="false">
      <c r="A1807" s="36" t="str">
        <f aca="false">IF($B1807="","",COUNT($B$15:$B1807))</f>
        <v/>
      </c>
      <c r="B1807" s="37"/>
      <c r="C1807" s="38"/>
      <c r="D1807" s="20"/>
      <c r="E1807" s="36" t="str">
        <f aca="false">IF($D1807="","",IFERROR(INDEX('교육원 ④ 설정'!$A$6:$A$40,MATCH($D1807,'교육원 ④ 설정'!$B$6:$B$40,0)),"※없는 과목"))</f>
        <v/>
      </c>
      <c r="F1807" s="36" t="str">
        <f aca="false">IF($D1807="","",IFERROR(INDEX('교육원 ④ 설정'!$C$6:$C$40,MATCH($D1807,'교육원 ④ 설정'!$B$6:$B$40,0)),""))</f>
        <v/>
      </c>
      <c r="G1807" s="39"/>
      <c r="H1807" s="39"/>
      <c r="I1807" s="40"/>
      <c r="J1807" s="41"/>
      <c r="K1807" s="38"/>
      <c r="L1807" s="42" t="str">
        <f aca="false">IF($B1807="","",IF(AND(N($I1807)=0,N($J1807)=0),"금액이 없습니다",IF(AND($I1807&gt;0,$J1807&gt;0),"수입·지출 둘 다 적혔습니다",IF($C1807="","결제수단을 고르십시오",IF(ISNA(MATCH($C1807,'교육원 ③ 통장·카드'!$A$5:$A$11,0)),"③ 통장·카드에 없는 결제수단입니다",IF($D1807="","계정과목을 고르십시오",IF($E1807="※없는 과목","④ 설정에 없는 과목입니다",IF(AND($E1807="수입",$J1807&gt;0),"수입 과목인데 지출에 적혔습니다",IF(AND(LEFT($E1807,2)&lt;&gt;"수입",$E1807&lt;&gt;"대체",$I1807&gt;0),"지출 과목인데 수입에 적혔습니다",IF($K1807="","증빙을 고르십시오",IF($H1807="","적요를 적으십시오","")))))))))))</f>
        <v/>
      </c>
      <c r="M1807" s="39"/>
      <c r="O1807" s="11" t="str">
        <f aca="false">IF($B1807="","",YEAR($B1807)*100+MONTH($B1807))</f>
        <v/>
      </c>
      <c r="P1807" s="11" t="str">
        <f aca="false">IF($B1807="","",IF($E1807="대체",0,1))</f>
        <v/>
      </c>
    </row>
    <row r="1808" customFormat="false" ht="15" hidden="false" customHeight="false" outlineLevel="0" collapsed="false">
      <c r="A1808" s="36" t="str">
        <f aca="false">IF($B1808="","",COUNT($B$15:$B1808))</f>
        <v/>
      </c>
      <c r="B1808" s="37"/>
      <c r="C1808" s="38"/>
      <c r="D1808" s="20"/>
      <c r="E1808" s="36" t="str">
        <f aca="false">IF($D1808="","",IFERROR(INDEX('교육원 ④ 설정'!$A$6:$A$40,MATCH($D1808,'교육원 ④ 설정'!$B$6:$B$40,0)),"※없는 과목"))</f>
        <v/>
      </c>
      <c r="F1808" s="36" t="str">
        <f aca="false">IF($D1808="","",IFERROR(INDEX('교육원 ④ 설정'!$C$6:$C$40,MATCH($D1808,'교육원 ④ 설정'!$B$6:$B$40,0)),""))</f>
        <v/>
      </c>
      <c r="G1808" s="39"/>
      <c r="H1808" s="39"/>
      <c r="I1808" s="40"/>
      <c r="J1808" s="41"/>
      <c r="K1808" s="38"/>
      <c r="L1808" s="42" t="str">
        <f aca="false">IF($B1808="","",IF(AND(N($I1808)=0,N($J1808)=0),"금액이 없습니다",IF(AND($I1808&gt;0,$J1808&gt;0),"수입·지출 둘 다 적혔습니다",IF($C1808="","결제수단을 고르십시오",IF(ISNA(MATCH($C1808,'교육원 ③ 통장·카드'!$A$5:$A$11,0)),"③ 통장·카드에 없는 결제수단입니다",IF($D1808="","계정과목을 고르십시오",IF($E1808="※없는 과목","④ 설정에 없는 과목입니다",IF(AND($E1808="수입",$J1808&gt;0),"수입 과목인데 지출에 적혔습니다",IF(AND(LEFT($E1808,2)&lt;&gt;"수입",$E1808&lt;&gt;"대체",$I1808&gt;0),"지출 과목인데 수입에 적혔습니다",IF($K1808="","증빙을 고르십시오",IF($H1808="","적요를 적으십시오","")))))))))))</f>
        <v/>
      </c>
      <c r="M1808" s="39"/>
      <c r="O1808" s="11" t="str">
        <f aca="false">IF($B1808="","",YEAR($B1808)*100+MONTH($B1808))</f>
        <v/>
      </c>
      <c r="P1808" s="11" t="str">
        <f aca="false">IF($B1808="","",IF($E1808="대체",0,1))</f>
        <v/>
      </c>
    </row>
    <row r="1809" customFormat="false" ht="15" hidden="false" customHeight="false" outlineLevel="0" collapsed="false">
      <c r="A1809" s="36" t="str">
        <f aca="false">IF($B1809="","",COUNT($B$15:$B1809))</f>
        <v/>
      </c>
      <c r="B1809" s="37"/>
      <c r="C1809" s="38"/>
      <c r="D1809" s="20"/>
      <c r="E1809" s="36" t="str">
        <f aca="false">IF($D1809="","",IFERROR(INDEX('교육원 ④ 설정'!$A$6:$A$40,MATCH($D1809,'교육원 ④ 설정'!$B$6:$B$40,0)),"※없는 과목"))</f>
        <v/>
      </c>
      <c r="F1809" s="36" t="str">
        <f aca="false">IF($D1809="","",IFERROR(INDEX('교육원 ④ 설정'!$C$6:$C$40,MATCH($D1809,'교육원 ④ 설정'!$B$6:$B$40,0)),""))</f>
        <v/>
      </c>
      <c r="G1809" s="39"/>
      <c r="H1809" s="39"/>
      <c r="I1809" s="40"/>
      <c r="J1809" s="41"/>
      <c r="K1809" s="38"/>
      <c r="L1809" s="42" t="str">
        <f aca="false">IF($B1809="","",IF(AND(N($I1809)=0,N($J1809)=0),"금액이 없습니다",IF(AND($I1809&gt;0,$J1809&gt;0),"수입·지출 둘 다 적혔습니다",IF($C1809="","결제수단을 고르십시오",IF(ISNA(MATCH($C1809,'교육원 ③ 통장·카드'!$A$5:$A$11,0)),"③ 통장·카드에 없는 결제수단입니다",IF($D1809="","계정과목을 고르십시오",IF($E1809="※없는 과목","④ 설정에 없는 과목입니다",IF(AND($E1809="수입",$J1809&gt;0),"수입 과목인데 지출에 적혔습니다",IF(AND(LEFT($E1809,2)&lt;&gt;"수입",$E1809&lt;&gt;"대체",$I1809&gt;0),"지출 과목인데 수입에 적혔습니다",IF($K1809="","증빙을 고르십시오",IF($H1809="","적요를 적으십시오","")))))))))))</f>
        <v/>
      </c>
      <c r="M1809" s="39"/>
      <c r="O1809" s="11" t="str">
        <f aca="false">IF($B1809="","",YEAR($B1809)*100+MONTH($B1809))</f>
        <v/>
      </c>
      <c r="P1809" s="11" t="str">
        <f aca="false">IF($B1809="","",IF($E1809="대체",0,1))</f>
        <v/>
      </c>
    </row>
    <row r="1810" customFormat="false" ht="15" hidden="false" customHeight="false" outlineLevel="0" collapsed="false">
      <c r="A1810" s="36" t="str">
        <f aca="false">IF($B1810="","",COUNT($B$15:$B1810))</f>
        <v/>
      </c>
      <c r="B1810" s="37"/>
      <c r="C1810" s="38"/>
      <c r="D1810" s="20"/>
      <c r="E1810" s="36" t="str">
        <f aca="false">IF($D1810="","",IFERROR(INDEX('교육원 ④ 설정'!$A$6:$A$40,MATCH($D1810,'교육원 ④ 설정'!$B$6:$B$40,0)),"※없는 과목"))</f>
        <v/>
      </c>
      <c r="F1810" s="36" t="str">
        <f aca="false">IF($D1810="","",IFERROR(INDEX('교육원 ④ 설정'!$C$6:$C$40,MATCH($D1810,'교육원 ④ 설정'!$B$6:$B$40,0)),""))</f>
        <v/>
      </c>
      <c r="G1810" s="39"/>
      <c r="H1810" s="39"/>
      <c r="I1810" s="40"/>
      <c r="J1810" s="41"/>
      <c r="K1810" s="38"/>
      <c r="L1810" s="42" t="str">
        <f aca="false">IF($B1810="","",IF(AND(N($I1810)=0,N($J1810)=0),"금액이 없습니다",IF(AND($I1810&gt;0,$J1810&gt;0),"수입·지출 둘 다 적혔습니다",IF($C1810="","결제수단을 고르십시오",IF(ISNA(MATCH($C1810,'교육원 ③ 통장·카드'!$A$5:$A$11,0)),"③ 통장·카드에 없는 결제수단입니다",IF($D1810="","계정과목을 고르십시오",IF($E1810="※없는 과목","④ 설정에 없는 과목입니다",IF(AND($E1810="수입",$J1810&gt;0),"수입 과목인데 지출에 적혔습니다",IF(AND(LEFT($E1810,2)&lt;&gt;"수입",$E1810&lt;&gt;"대체",$I1810&gt;0),"지출 과목인데 수입에 적혔습니다",IF($K1810="","증빙을 고르십시오",IF($H1810="","적요를 적으십시오","")))))))))))</f>
        <v/>
      </c>
      <c r="M1810" s="39"/>
      <c r="O1810" s="11" t="str">
        <f aca="false">IF($B1810="","",YEAR($B1810)*100+MONTH($B1810))</f>
        <v/>
      </c>
      <c r="P1810" s="11" t="str">
        <f aca="false">IF($B1810="","",IF($E1810="대체",0,1))</f>
        <v/>
      </c>
    </row>
    <row r="1811" customFormat="false" ht="15" hidden="false" customHeight="false" outlineLevel="0" collapsed="false">
      <c r="A1811" s="36" t="str">
        <f aca="false">IF($B1811="","",COUNT($B$15:$B1811))</f>
        <v/>
      </c>
      <c r="B1811" s="37"/>
      <c r="C1811" s="38"/>
      <c r="D1811" s="20"/>
      <c r="E1811" s="36" t="str">
        <f aca="false">IF($D1811="","",IFERROR(INDEX('교육원 ④ 설정'!$A$6:$A$40,MATCH($D1811,'교육원 ④ 설정'!$B$6:$B$40,0)),"※없는 과목"))</f>
        <v/>
      </c>
      <c r="F1811" s="36" t="str">
        <f aca="false">IF($D1811="","",IFERROR(INDEX('교육원 ④ 설정'!$C$6:$C$40,MATCH($D1811,'교육원 ④ 설정'!$B$6:$B$40,0)),""))</f>
        <v/>
      </c>
      <c r="G1811" s="39"/>
      <c r="H1811" s="39"/>
      <c r="I1811" s="40"/>
      <c r="J1811" s="41"/>
      <c r="K1811" s="38"/>
      <c r="L1811" s="42" t="str">
        <f aca="false">IF($B1811="","",IF(AND(N($I1811)=0,N($J1811)=0),"금액이 없습니다",IF(AND($I1811&gt;0,$J1811&gt;0),"수입·지출 둘 다 적혔습니다",IF($C1811="","결제수단을 고르십시오",IF(ISNA(MATCH($C1811,'교육원 ③ 통장·카드'!$A$5:$A$11,0)),"③ 통장·카드에 없는 결제수단입니다",IF($D1811="","계정과목을 고르십시오",IF($E1811="※없는 과목","④ 설정에 없는 과목입니다",IF(AND($E1811="수입",$J1811&gt;0),"수입 과목인데 지출에 적혔습니다",IF(AND(LEFT($E1811,2)&lt;&gt;"수입",$E1811&lt;&gt;"대체",$I1811&gt;0),"지출 과목인데 수입에 적혔습니다",IF($K1811="","증빙을 고르십시오",IF($H1811="","적요를 적으십시오","")))))))))))</f>
        <v/>
      </c>
      <c r="M1811" s="39"/>
      <c r="O1811" s="11" t="str">
        <f aca="false">IF($B1811="","",YEAR($B1811)*100+MONTH($B1811))</f>
        <v/>
      </c>
      <c r="P1811" s="11" t="str">
        <f aca="false">IF($B1811="","",IF($E1811="대체",0,1))</f>
        <v/>
      </c>
    </row>
    <row r="1812" customFormat="false" ht="15" hidden="false" customHeight="false" outlineLevel="0" collapsed="false">
      <c r="A1812" s="36" t="str">
        <f aca="false">IF($B1812="","",COUNT($B$15:$B1812))</f>
        <v/>
      </c>
      <c r="B1812" s="37"/>
      <c r="C1812" s="38"/>
      <c r="D1812" s="20"/>
      <c r="E1812" s="36" t="str">
        <f aca="false">IF($D1812="","",IFERROR(INDEX('교육원 ④ 설정'!$A$6:$A$40,MATCH($D1812,'교육원 ④ 설정'!$B$6:$B$40,0)),"※없는 과목"))</f>
        <v/>
      </c>
      <c r="F1812" s="36" t="str">
        <f aca="false">IF($D1812="","",IFERROR(INDEX('교육원 ④ 설정'!$C$6:$C$40,MATCH($D1812,'교육원 ④ 설정'!$B$6:$B$40,0)),""))</f>
        <v/>
      </c>
      <c r="G1812" s="39"/>
      <c r="H1812" s="39"/>
      <c r="I1812" s="40"/>
      <c r="J1812" s="41"/>
      <c r="K1812" s="38"/>
      <c r="L1812" s="42" t="str">
        <f aca="false">IF($B1812="","",IF(AND(N($I1812)=0,N($J1812)=0),"금액이 없습니다",IF(AND($I1812&gt;0,$J1812&gt;0),"수입·지출 둘 다 적혔습니다",IF($C1812="","결제수단을 고르십시오",IF(ISNA(MATCH($C1812,'교육원 ③ 통장·카드'!$A$5:$A$11,0)),"③ 통장·카드에 없는 결제수단입니다",IF($D1812="","계정과목을 고르십시오",IF($E1812="※없는 과목","④ 설정에 없는 과목입니다",IF(AND($E1812="수입",$J1812&gt;0),"수입 과목인데 지출에 적혔습니다",IF(AND(LEFT($E1812,2)&lt;&gt;"수입",$E1812&lt;&gt;"대체",$I1812&gt;0),"지출 과목인데 수입에 적혔습니다",IF($K1812="","증빙을 고르십시오",IF($H1812="","적요를 적으십시오","")))))))))))</f>
        <v/>
      </c>
      <c r="M1812" s="39"/>
      <c r="O1812" s="11" t="str">
        <f aca="false">IF($B1812="","",YEAR($B1812)*100+MONTH($B1812))</f>
        <v/>
      </c>
      <c r="P1812" s="11" t="str">
        <f aca="false">IF($B1812="","",IF($E1812="대체",0,1))</f>
        <v/>
      </c>
    </row>
    <row r="1813" customFormat="false" ht="15" hidden="false" customHeight="false" outlineLevel="0" collapsed="false">
      <c r="A1813" s="36" t="str">
        <f aca="false">IF($B1813="","",COUNT($B$15:$B1813))</f>
        <v/>
      </c>
      <c r="B1813" s="37"/>
      <c r="C1813" s="38"/>
      <c r="D1813" s="20"/>
      <c r="E1813" s="36" t="str">
        <f aca="false">IF($D1813="","",IFERROR(INDEX('교육원 ④ 설정'!$A$6:$A$40,MATCH($D1813,'교육원 ④ 설정'!$B$6:$B$40,0)),"※없는 과목"))</f>
        <v/>
      </c>
      <c r="F1813" s="36" t="str">
        <f aca="false">IF($D1813="","",IFERROR(INDEX('교육원 ④ 설정'!$C$6:$C$40,MATCH($D1813,'교육원 ④ 설정'!$B$6:$B$40,0)),""))</f>
        <v/>
      </c>
      <c r="G1813" s="39"/>
      <c r="H1813" s="39"/>
      <c r="I1813" s="40"/>
      <c r="J1813" s="41"/>
      <c r="K1813" s="38"/>
      <c r="L1813" s="42" t="str">
        <f aca="false">IF($B1813="","",IF(AND(N($I1813)=0,N($J1813)=0),"금액이 없습니다",IF(AND($I1813&gt;0,$J1813&gt;0),"수입·지출 둘 다 적혔습니다",IF($C1813="","결제수단을 고르십시오",IF(ISNA(MATCH($C1813,'교육원 ③ 통장·카드'!$A$5:$A$11,0)),"③ 통장·카드에 없는 결제수단입니다",IF($D1813="","계정과목을 고르십시오",IF($E1813="※없는 과목","④ 설정에 없는 과목입니다",IF(AND($E1813="수입",$J1813&gt;0),"수입 과목인데 지출에 적혔습니다",IF(AND(LEFT($E1813,2)&lt;&gt;"수입",$E1813&lt;&gt;"대체",$I1813&gt;0),"지출 과목인데 수입에 적혔습니다",IF($K1813="","증빙을 고르십시오",IF($H1813="","적요를 적으십시오","")))))))))))</f>
        <v/>
      </c>
      <c r="M1813" s="39"/>
      <c r="O1813" s="11" t="str">
        <f aca="false">IF($B1813="","",YEAR($B1813)*100+MONTH($B1813))</f>
        <v/>
      </c>
      <c r="P1813" s="11" t="str">
        <f aca="false">IF($B1813="","",IF($E1813="대체",0,1))</f>
        <v/>
      </c>
    </row>
    <row r="1814" customFormat="false" ht="15" hidden="false" customHeight="false" outlineLevel="0" collapsed="false">
      <c r="A1814" s="36" t="str">
        <f aca="false">IF($B1814="","",COUNT($B$15:$B1814))</f>
        <v/>
      </c>
      <c r="B1814" s="37"/>
      <c r="C1814" s="38"/>
      <c r="D1814" s="20"/>
      <c r="E1814" s="36" t="str">
        <f aca="false">IF($D1814="","",IFERROR(INDEX('교육원 ④ 설정'!$A$6:$A$40,MATCH($D1814,'교육원 ④ 설정'!$B$6:$B$40,0)),"※없는 과목"))</f>
        <v/>
      </c>
      <c r="F1814" s="36" t="str">
        <f aca="false">IF($D1814="","",IFERROR(INDEX('교육원 ④ 설정'!$C$6:$C$40,MATCH($D1814,'교육원 ④ 설정'!$B$6:$B$40,0)),""))</f>
        <v/>
      </c>
      <c r="G1814" s="39"/>
      <c r="H1814" s="39"/>
      <c r="I1814" s="40"/>
      <c r="J1814" s="41"/>
      <c r="K1814" s="38"/>
      <c r="L1814" s="42" t="str">
        <f aca="false">IF($B1814="","",IF(AND(N($I1814)=0,N($J1814)=0),"금액이 없습니다",IF(AND($I1814&gt;0,$J1814&gt;0),"수입·지출 둘 다 적혔습니다",IF($C1814="","결제수단을 고르십시오",IF(ISNA(MATCH($C1814,'교육원 ③ 통장·카드'!$A$5:$A$11,0)),"③ 통장·카드에 없는 결제수단입니다",IF($D1814="","계정과목을 고르십시오",IF($E1814="※없는 과목","④ 설정에 없는 과목입니다",IF(AND($E1814="수입",$J1814&gt;0),"수입 과목인데 지출에 적혔습니다",IF(AND(LEFT($E1814,2)&lt;&gt;"수입",$E1814&lt;&gt;"대체",$I1814&gt;0),"지출 과목인데 수입에 적혔습니다",IF($K1814="","증빙을 고르십시오",IF($H1814="","적요를 적으십시오","")))))))))))</f>
        <v/>
      </c>
      <c r="M1814" s="39"/>
      <c r="O1814" s="11" t="str">
        <f aca="false">IF($B1814="","",YEAR($B1814)*100+MONTH($B1814))</f>
        <v/>
      </c>
      <c r="P1814" s="11" t="str">
        <f aca="false">IF($B1814="","",IF($E1814="대체",0,1))</f>
        <v/>
      </c>
    </row>
    <row r="1815" customFormat="false" ht="15" hidden="false" customHeight="false" outlineLevel="0" collapsed="false">
      <c r="A1815" s="36" t="str">
        <f aca="false">IF($B1815="","",COUNT($B$15:$B1815))</f>
        <v/>
      </c>
      <c r="B1815" s="37"/>
      <c r="C1815" s="38"/>
      <c r="D1815" s="20"/>
      <c r="E1815" s="36" t="str">
        <f aca="false">IF($D1815="","",IFERROR(INDEX('교육원 ④ 설정'!$A$6:$A$40,MATCH($D1815,'교육원 ④ 설정'!$B$6:$B$40,0)),"※없는 과목"))</f>
        <v/>
      </c>
      <c r="F1815" s="36" t="str">
        <f aca="false">IF($D1815="","",IFERROR(INDEX('교육원 ④ 설정'!$C$6:$C$40,MATCH($D1815,'교육원 ④ 설정'!$B$6:$B$40,0)),""))</f>
        <v/>
      </c>
      <c r="G1815" s="39"/>
      <c r="H1815" s="39"/>
      <c r="I1815" s="40"/>
      <c r="J1815" s="41"/>
      <c r="K1815" s="38"/>
      <c r="L1815" s="42" t="str">
        <f aca="false">IF($B1815="","",IF(AND(N($I1815)=0,N($J1815)=0),"금액이 없습니다",IF(AND($I1815&gt;0,$J1815&gt;0),"수입·지출 둘 다 적혔습니다",IF($C1815="","결제수단을 고르십시오",IF(ISNA(MATCH($C1815,'교육원 ③ 통장·카드'!$A$5:$A$11,0)),"③ 통장·카드에 없는 결제수단입니다",IF($D1815="","계정과목을 고르십시오",IF($E1815="※없는 과목","④ 설정에 없는 과목입니다",IF(AND($E1815="수입",$J1815&gt;0),"수입 과목인데 지출에 적혔습니다",IF(AND(LEFT($E1815,2)&lt;&gt;"수입",$E1815&lt;&gt;"대체",$I1815&gt;0),"지출 과목인데 수입에 적혔습니다",IF($K1815="","증빙을 고르십시오",IF($H1815="","적요를 적으십시오","")))))))))))</f>
        <v/>
      </c>
      <c r="M1815" s="39"/>
      <c r="O1815" s="11" t="str">
        <f aca="false">IF($B1815="","",YEAR($B1815)*100+MONTH($B1815))</f>
        <v/>
      </c>
      <c r="P1815" s="11" t="str">
        <f aca="false">IF($B1815="","",IF($E1815="대체",0,1))</f>
        <v/>
      </c>
    </row>
    <row r="1816" customFormat="false" ht="15" hidden="false" customHeight="false" outlineLevel="0" collapsed="false">
      <c r="A1816" s="36" t="str">
        <f aca="false">IF($B1816="","",COUNT($B$15:$B1816))</f>
        <v/>
      </c>
      <c r="B1816" s="37"/>
      <c r="C1816" s="38"/>
      <c r="D1816" s="20"/>
      <c r="E1816" s="36" t="str">
        <f aca="false">IF($D1816="","",IFERROR(INDEX('교육원 ④ 설정'!$A$6:$A$40,MATCH($D1816,'교육원 ④ 설정'!$B$6:$B$40,0)),"※없는 과목"))</f>
        <v/>
      </c>
      <c r="F1816" s="36" t="str">
        <f aca="false">IF($D1816="","",IFERROR(INDEX('교육원 ④ 설정'!$C$6:$C$40,MATCH($D1816,'교육원 ④ 설정'!$B$6:$B$40,0)),""))</f>
        <v/>
      </c>
      <c r="G1816" s="39"/>
      <c r="H1816" s="39"/>
      <c r="I1816" s="40"/>
      <c r="J1816" s="41"/>
      <c r="K1816" s="38"/>
      <c r="L1816" s="42" t="str">
        <f aca="false">IF($B1816="","",IF(AND(N($I1816)=0,N($J1816)=0),"금액이 없습니다",IF(AND($I1816&gt;0,$J1816&gt;0),"수입·지출 둘 다 적혔습니다",IF($C1816="","결제수단을 고르십시오",IF(ISNA(MATCH($C1816,'교육원 ③ 통장·카드'!$A$5:$A$11,0)),"③ 통장·카드에 없는 결제수단입니다",IF($D1816="","계정과목을 고르십시오",IF($E1816="※없는 과목","④ 설정에 없는 과목입니다",IF(AND($E1816="수입",$J1816&gt;0),"수입 과목인데 지출에 적혔습니다",IF(AND(LEFT($E1816,2)&lt;&gt;"수입",$E1816&lt;&gt;"대체",$I1816&gt;0),"지출 과목인데 수입에 적혔습니다",IF($K1816="","증빙을 고르십시오",IF($H1816="","적요를 적으십시오","")))))))))))</f>
        <v/>
      </c>
      <c r="M1816" s="39"/>
      <c r="O1816" s="11" t="str">
        <f aca="false">IF($B1816="","",YEAR($B1816)*100+MONTH($B1816))</f>
        <v/>
      </c>
      <c r="P1816" s="11" t="str">
        <f aca="false">IF($B1816="","",IF($E1816="대체",0,1))</f>
        <v/>
      </c>
    </row>
    <row r="1817" customFormat="false" ht="15" hidden="false" customHeight="false" outlineLevel="0" collapsed="false">
      <c r="A1817" s="36" t="str">
        <f aca="false">IF($B1817="","",COUNT($B$15:$B1817))</f>
        <v/>
      </c>
      <c r="B1817" s="37"/>
      <c r="C1817" s="38"/>
      <c r="D1817" s="20"/>
      <c r="E1817" s="36" t="str">
        <f aca="false">IF($D1817="","",IFERROR(INDEX('교육원 ④ 설정'!$A$6:$A$40,MATCH($D1817,'교육원 ④ 설정'!$B$6:$B$40,0)),"※없는 과목"))</f>
        <v/>
      </c>
      <c r="F1817" s="36" t="str">
        <f aca="false">IF($D1817="","",IFERROR(INDEX('교육원 ④ 설정'!$C$6:$C$40,MATCH($D1817,'교육원 ④ 설정'!$B$6:$B$40,0)),""))</f>
        <v/>
      </c>
      <c r="G1817" s="39"/>
      <c r="H1817" s="39"/>
      <c r="I1817" s="40"/>
      <c r="J1817" s="41"/>
      <c r="K1817" s="38"/>
      <c r="L1817" s="42" t="str">
        <f aca="false">IF($B1817="","",IF(AND(N($I1817)=0,N($J1817)=0),"금액이 없습니다",IF(AND($I1817&gt;0,$J1817&gt;0),"수입·지출 둘 다 적혔습니다",IF($C1817="","결제수단을 고르십시오",IF(ISNA(MATCH($C1817,'교육원 ③ 통장·카드'!$A$5:$A$11,0)),"③ 통장·카드에 없는 결제수단입니다",IF($D1817="","계정과목을 고르십시오",IF($E1817="※없는 과목","④ 설정에 없는 과목입니다",IF(AND($E1817="수입",$J1817&gt;0),"수입 과목인데 지출에 적혔습니다",IF(AND(LEFT($E1817,2)&lt;&gt;"수입",$E1817&lt;&gt;"대체",$I1817&gt;0),"지출 과목인데 수입에 적혔습니다",IF($K1817="","증빙을 고르십시오",IF($H1817="","적요를 적으십시오","")))))))))))</f>
        <v/>
      </c>
      <c r="M1817" s="39"/>
      <c r="O1817" s="11" t="str">
        <f aca="false">IF($B1817="","",YEAR($B1817)*100+MONTH($B1817))</f>
        <v/>
      </c>
      <c r="P1817" s="11" t="str">
        <f aca="false">IF($B1817="","",IF($E1817="대체",0,1))</f>
        <v/>
      </c>
    </row>
    <row r="1818" customFormat="false" ht="15" hidden="false" customHeight="false" outlineLevel="0" collapsed="false">
      <c r="A1818" s="36" t="str">
        <f aca="false">IF($B1818="","",COUNT($B$15:$B1818))</f>
        <v/>
      </c>
      <c r="B1818" s="37"/>
      <c r="C1818" s="38"/>
      <c r="D1818" s="20"/>
      <c r="E1818" s="36" t="str">
        <f aca="false">IF($D1818="","",IFERROR(INDEX('교육원 ④ 설정'!$A$6:$A$40,MATCH($D1818,'교육원 ④ 설정'!$B$6:$B$40,0)),"※없는 과목"))</f>
        <v/>
      </c>
      <c r="F1818" s="36" t="str">
        <f aca="false">IF($D1818="","",IFERROR(INDEX('교육원 ④ 설정'!$C$6:$C$40,MATCH($D1818,'교육원 ④ 설정'!$B$6:$B$40,0)),""))</f>
        <v/>
      </c>
      <c r="G1818" s="39"/>
      <c r="H1818" s="39"/>
      <c r="I1818" s="40"/>
      <c r="J1818" s="41"/>
      <c r="K1818" s="38"/>
      <c r="L1818" s="42" t="str">
        <f aca="false">IF($B1818="","",IF(AND(N($I1818)=0,N($J1818)=0),"금액이 없습니다",IF(AND($I1818&gt;0,$J1818&gt;0),"수입·지출 둘 다 적혔습니다",IF($C1818="","결제수단을 고르십시오",IF(ISNA(MATCH($C1818,'교육원 ③ 통장·카드'!$A$5:$A$11,0)),"③ 통장·카드에 없는 결제수단입니다",IF($D1818="","계정과목을 고르십시오",IF($E1818="※없는 과목","④ 설정에 없는 과목입니다",IF(AND($E1818="수입",$J1818&gt;0),"수입 과목인데 지출에 적혔습니다",IF(AND(LEFT($E1818,2)&lt;&gt;"수입",$E1818&lt;&gt;"대체",$I1818&gt;0),"지출 과목인데 수입에 적혔습니다",IF($K1818="","증빙을 고르십시오",IF($H1818="","적요를 적으십시오","")))))))))))</f>
        <v/>
      </c>
      <c r="M1818" s="39"/>
      <c r="O1818" s="11" t="str">
        <f aca="false">IF($B1818="","",YEAR($B1818)*100+MONTH($B1818))</f>
        <v/>
      </c>
      <c r="P1818" s="11" t="str">
        <f aca="false">IF($B1818="","",IF($E1818="대체",0,1))</f>
        <v/>
      </c>
    </row>
    <row r="1819" customFormat="false" ht="15" hidden="false" customHeight="false" outlineLevel="0" collapsed="false">
      <c r="A1819" s="36" t="str">
        <f aca="false">IF($B1819="","",COUNT($B$15:$B1819))</f>
        <v/>
      </c>
      <c r="B1819" s="37"/>
      <c r="C1819" s="38"/>
      <c r="D1819" s="20"/>
      <c r="E1819" s="36" t="str">
        <f aca="false">IF($D1819="","",IFERROR(INDEX('교육원 ④ 설정'!$A$6:$A$40,MATCH($D1819,'교육원 ④ 설정'!$B$6:$B$40,0)),"※없는 과목"))</f>
        <v/>
      </c>
      <c r="F1819" s="36" t="str">
        <f aca="false">IF($D1819="","",IFERROR(INDEX('교육원 ④ 설정'!$C$6:$C$40,MATCH($D1819,'교육원 ④ 설정'!$B$6:$B$40,0)),""))</f>
        <v/>
      </c>
      <c r="G1819" s="39"/>
      <c r="H1819" s="39"/>
      <c r="I1819" s="40"/>
      <c r="J1819" s="41"/>
      <c r="K1819" s="38"/>
      <c r="L1819" s="42" t="str">
        <f aca="false">IF($B1819="","",IF(AND(N($I1819)=0,N($J1819)=0),"금액이 없습니다",IF(AND($I1819&gt;0,$J1819&gt;0),"수입·지출 둘 다 적혔습니다",IF($C1819="","결제수단을 고르십시오",IF(ISNA(MATCH($C1819,'교육원 ③ 통장·카드'!$A$5:$A$11,0)),"③ 통장·카드에 없는 결제수단입니다",IF($D1819="","계정과목을 고르십시오",IF($E1819="※없는 과목","④ 설정에 없는 과목입니다",IF(AND($E1819="수입",$J1819&gt;0),"수입 과목인데 지출에 적혔습니다",IF(AND(LEFT($E1819,2)&lt;&gt;"수입",$E1819&lt;&gt;"대체",$I1819&gt;0),"지출 과목인데 수입에 적혔습니다",IF($K1819="","증빙을 고르십시오",IF($H1819="","적요를 적으십시오","")))))))))))</f>
        <v/>
      </c>
      <c r="M1819" s="39"/>
      <c r="O1819" s="11" t="str">
        <f aca="false">IF($B1819="","",YEAR($B1819)*100+MONTH($B1819))</f>
        <v/>
      </c>
      <c r="P1819" s="11" t="str">
        <f aca="false">IF($B1819="","",IF($E1819="대체",0,1))</f>
        <v/>
      </c>
    </row>
    <row r="1820" customFormat="false" ht="15" hidden="false" customHeight="false" outlineLevel="0" collapsed="false">
      <c r="A1820" s="36" t="str">
        <f aca="false">IF($B1820="","",COUNT($B$15:$B1820))</f>
        <v/>
      </c>
      <c r="B1820" s="37"/>
      <c r="C1820" s="38"/>
      <c r="D1820" s="20"/>
      <c r="E1820" s="36" t="str">
        <f aca="false">IF($D1820="","",IFERROR(INDEX('교육원 ④ 설정'!$A$6:$A$40,MATCH($D1820,'교육원 ④ 설정'!$B$6:$B$40,0)),"※없는 과목"))</f>
        <v/>
      </c>
      <c r="F1820" s="36" t="str">
        <f aca="false">IF($D1820="","",IFERROR(INDEX('교육원 ④ 설정'!$C$6:$C$40,MATCH($D1820,'교육원 ④ 설정'!$B$6:$B$40,0)),""))</f>
        <v/>
      </c>
      <c r="G1820" s="39"/>
      <c r="H1820" s="39"/>
      <c r="I1820" s="40"/>
      <c r="J1820" s="41"/>
      <c r="K1820" s="38"/>
      <c r="L1820" s="42" t="str">
        <f aca="false">IF($B1820="","",IF(AND(N($I1820)=0,N($J1820)=0),"금액이 없습니다",IF(AND($I1820&gt;0,$J1820&gt;0),"수입·지출 둘 다 적혔습니다",IF($C1820="","결제수단을 고르십시오",IF(ISNA(MATCH($C1820,'교육원 ③ 통장·카드'!$A$5:$A$11,0)),"③ 통장·카드에 없는 결제수단입니다",IF($D1820="","계정과목을 고르십시오",IF($E1820="※없는 과목","④ 설정에 없는 과목입니다",IF(AND($E1820="수입",$J1820&gt;0),"수입 과목인데 지출에 적혔습니다",IF(AND(LEFT($E1820,2)&lt;&gt;"수입",$E1820&lt;&gt;"대체",$I1820&gt;0),"지출 과목인데 수입에 적혔습니다",IF($K1820="","증빙을 고르십시오",IF($H1820="","적요를 적으십시오","")))))))))))</f>
        <v/>
      </c>
      <c r="M1820" s="39"/>
      <c r="O1820" s="11" t="str">
        <f aca="false">IF($B1820="","",YEAR($B1820)*100+MONTH($B1820))</f>
        <v/>
      </c>
      <c r="P1820" s="11" t="str">
        <f aca="false">IF($B1820="","",IF($E1820="대체",0,1))</f>
        <v/>
      </c>
    </row>
    <row r="1821" customFormat="false" ht="15" hidden="false" customHeight="false" outlineLevel="0" collapsed="false">
      <c r="A1821" s="36" t="str">
        <f aca="false">IF($B1821="","",COUNT($B$15:$B1821))</f>
        <v/>
      </c>
      <c r="B1821" s="37"/>
      <c r="C1821" s="38"/>
      <c r="D1821" s="20"/>
      <c r="E1821" s="36" t="str">
        <f aca="false">IF($D1821="","",IFERROR(INDEX('교육원 ④ 설정'!$A$6:$A$40,MATCH($D1821,'교육원 ④ 설정'!$B$6:$B$40,0)),"※없는 과목"))</f>
        <v/>
      </c>
      <c r="F1821" s="36" t="str">
        <f aca="false">IF($D1821="","",IFERROR(INDEX('교육원 ④ 설정'!$C$6:$C$40,MATCH($D1821,'교육원 ④ 설정'!$B$6:$B$40,0)),""))</f>
        <v/>
      </c>
      <c r="G1821" s="39"/>
      <c r="H1821" s="39"/>
      <c r="I1821" s="40"/>
      <c r="J1821" s="41"/>
      <c r="K1821" s="38"/>
      <c r="L1821" s="42" t="str">
        <f aca="false">IF($B1821="","",IF(AND(N($I1821)=0,N($J1821)=0),"금액이 없습니다",IF(AND($I1821&gt;0,$J1821&gt;0),"수입·지출 둘 다 적혔습니다",IF($C1821="","결제수단을 고르십시오",IF(ISNA(MATCH($C1821,'교육원 ③ 통장·카드'!$A$5:$A$11,0)),"③ 통장·카드에 없는 결제수단입니다",IF($D1821="","계정과목을 고르십시오",IF($E1821="※없는 과목","④ 설정에 없는 과목입니다",IF(AND($E1821="수입",$J1821&gt;0),"수입 과목인데 지출에 적혔습니다",IF(AND(LEFT($E1821,2)&lt;&gt;"수입",$E1821&lt;&gt;"대체",$I1821&gt;0),"지출 과목인데 수입에 적혔습니다",IF($K1821="","증빙을 고르십시오",IF($H1821="","적요를 적으십시오","")))))))))))</f>
        <v/>
      </c>
      <c r="M1821" s="39"/>
      <c r="O1821" s="11" t="str">
        <f aca="false">IF($B1821="","",YEAR($B1821)*100+MONTH($B1821))</f>
        <v/>
      </c>
      <c r="P1821" s="11" t="str">
        <f aca="false">IF($B1821="","",IF($E1821="대체",0,1))</f>
        <v/>
      </c>
    </row>
    <row r="1822" customFormat="false" ht="15" hidden="false" customHeight="false" outlineLevel="0" collapsed="false">
      <c r="A1822" s="36" t="str">
        <f aca="false">IF($B1822="","",COUNT($B$15:$B1822))</f>
        <v/>
      </c>
      <c r="B1822" s="37"/>
      <c r="C1822" s="38"/>
      <c r="D1822" s="20"/>
      <c r="E1822" s="36" t="str">
        <f aca="false">IF($D1822="","",IFERROR(INDEX('교육원 ④ 설정'!$A$6:$A$40,MATCH($D1822,'교육원 ④ 설정'!$B$6:$B$40,0)),"※없는 과목"))</f>
        <v/>
      </c>
      <c r="F1822" s="36" t="str">
        <f aca="false">IF($D1822="","",IFERROR(INDEX('교육원 ④ 설정'!$C$6:$C$40,MATCH($D1822,'교육원 ④ 설정'!$B$6:$B$40,0)),""))</f>
        <v/>
      </c>
      <c r="G1822" s="39"/>
      <c r="H1822" s="39"/>
      <c r="I1822" s="40"/>
      <c r="J1822" s="41"/>
      <c r="K1822" s="38"/>
      <c r="L1822" s="42" t="str">
        <f aca="false">IF($B1822="","",IF(AND(N($I1822)=0,N($J1822)=0),"금액이 없습니다",IF(AND($I1822&gt;0,$J1822&gt;0),"수입·지출 둘 다 적혔습니다",IF($C1822="","결제수단을 고르십시오",IF(ISNA(MATCH($C1822,'교육원 ③ 통장·카드'!$A$5:$A$11,0)),"③ 통장·카드에 없는 결제수단입니다",IF($D1822="","계정과목을 고르십시오",IF($E1822="※없는 과목","④ 설정에 없는 과목입니다",IF(AND($E1822="수입",$J1822&gt;0),"수입 과목인데 지출에 적혔습니다",IF(AND(LEFT($E1822,2)&lt;&gt;"수입",$E1822&lt;&gt;"대체",$I1822&gt;0),"지출 과목인데 수입에 적혔습니다",IF($K1822="","증빙을 고르십시오",IF($H1822="","적요를 적으십시오","")))))))))))</f>
        <v/>
      </c>
      <c r="M1822" s="39"/>
      <c r="O1822" s="11" t="str">
        <f aca="false">IF($B1822="","",YEAR($B1822)*100+MONTH($B1822))</f>
        <v/>
      </c>
      <c r="P1822" s="11" t="str">
        <f aca="false">IF($B1822="","",IF($E1822="대체",0,1))</f>
        <v/>
      </c>
    </row>
    <row r="1823" customFormat="false" ht="15" hidden="false" customHeight="false" outlineLevel="0" collapsed="false">
      <c r="A1823" s="36" t="str">
        <f aca="false">IF($B1823="","",COUNT($B$15:$B1823))</f>
        <v/>
      </c>
      <c r="B1823" s="37"/>
      <c r="C1823" s="38"/>
      <c r="D1823" s="20"/>
      <c r="E1823" s="36" t="str">
        <f aca="false">IF($D1823="","",IFERROR(INDEX('교육원 ④ 설정'!$A$6:$A$40,MATCH($D1823,'교육원 ④ 설정'!$B$6:$B$40,0)),"※없는 과목"))</f>
        <v/>
      </c>
      <c r="F1823" s="36" t="str">
        <f aca="false">IF($D1823="","",IFERROR(INDEX('교육원 ④ 설정'!$C$6:$C$40,MATCH($D1823,'교육원 ④ 설정'!$B$6:$B$40,0)),""))</f>
        <v/>
      </c>
      <c r="G1823" s="39"/>
      <c r="H1823" s="39"/>
      <c r="I1823" s="40"/>
      <c r="J1823" s="41"/>
      <c r="K1823" s="38"/>
      <c r="L1823" s="42" t="str">
        <f aca="false">IF($B1823="","",IF(AND(N($I1823)=0,N($J1823)=0),"금액이 없습니다",IF(AND($I1823&gt;0,$J1823&gt;0),"수입·지출 둘 다 적혔습니다",IF($C1823="","결제수단을 고르십시오",IF(ISNA(MATCH($C1823,'교육원 ③ 통장·카드'!$A$5:$A$11,0)),"③ 통장·카드에 없는 결제수단입니다",IF($D1823="","계정과목을 고르십시오",IF($E1823="※없는 과목","④ 설정에 없는 과목입니다",IF(AND($E1823="수입",$J1823&gt;0),"수입 과목인데 지출에 적혔습니다",IF(AND(LEFT($E1823,2)&lt;&gt;"수입",$E1823&lt;&gt;"대체",$I1823&gt;0),"지출 과목인데 수입에 적혔습니다",IF($K1823="","증빙을 고르십시오",IF($H1823="","적요를 적으십시오","")))))))))))</f>
        <v/>
      </c>
      <c r="M1823" s="39"/>
      <c r="O1823" s="11" t="str">
        <f aca="false">IF($B1823="","",YEAR($B1823)*100+MONTH($B1823))</f>
        <v/>
      </c>
      <c r="P1823" s="11" t="str">
        <f aca="false">IF($B1823="","",IF($E1823="대체",0,1))</f>
        <v/>
      </c>
    </row>
    <row r="1824" customFormat="false" ht="15" hidden="false" customHeight="false" outlineLevel="0" collapsed="false">
      <c r="A1824" s="36" t="str">
        <f aca="false">IF($B1824="","",COUNT($B$15:$B1824))</f>
        <v/>
      </c>
      <c r="B1824" s="37"/>
      <c r="C1824" s="38"/>
      <c r="D1824" s="20"/>
      <c r="E1824" s="36" t="str">
        <f aca="false">IF($D1824="","",IFERROR(INDEX('교육원 ④ 설정'!$A$6:$A$40,MATCH($D1824,'교육원 ④ 설정'!$B$6:$B$40,0)),"※없는 과목"))</f>
        <v/>
      </c>
      <c r="F1824" s="36" t="str">
        <f aca="false">IF($D1824="","",IFERROR(INDEX('교육원 ④ 설정'!$C$6:$C$40,MATCH($D1824,'교육원 ④ 설정'!$B$6:$B$40,0)),""))</f>
        <v/>
      </c>
      <c r="G1824" s="39"/>
      <c r="H1824" s="39"/>
      <c r="I1824" s="40"/>
      <c r="J1824" s="41"/>
      <c r="K1824" s="38"/>
      <c r="L1824" s="42" t="str">
        <f aca="false">IF($B1824="","",IF(AND(N($I1824)=0,N($J1824)=0),"금액이 없습니다",IF(AND($I1824&gt;0,$J1824&gt;0),"수입·지출 둘 다 적혔습니다",IF($C1824="","결제수단을 고르십시오",IF(ISNA(MATCH($C1824,'교육원 ③ 통장·카드'!$A$5:$A$11,0)),"③ 통장·카드에 없는 결제수단입니다",IF($D1824="","계정과목을 고르십시오",IF($E1824="※없는 과목","④ 설정에 없는 과목입니다",IF(AND($E1824="수입",$J1824&gt;0),"수입 과목인데 지출에 적혔습니다",IF(AND(LEFT($E1824,2)&lt;&gt;"수입",$E1824&lt;&gt;"대체",$I1824&gt;0),"지출 과목인데 수입에 적혔습니다",IF($K1824="","증빙을 고르십시오",IF($H1824="","적요를 적으십시오","")))))))))))</f>
        <v/>
      </c>
      <c r="M1824" s="39"/>
      <c r="O1824" s="11" t="str">
        <f aca="false">IF($B1824="","",YEAR($B1824)*100+MONTH($B1824))</f>
        <v/>
      </c>
      <c r="P1824" s="11" t="str">
        <f aca="false">IF($B1824="","",IF($E1824="대체",0,1))</f>
        <v/>
      </c>
    </row>
    <row r="1825" customFormat="false" ht="15" hidden="false" customHeight="false" outlineLevel="0" collapsed="false">
      <c r="A1825" s="36" t="str">
        <f aca="false">IF($B1825="","",COUNT($B$15:$B1825))</f>
        <v/>
      </c>
      <c r="B1825" s="37"/>
      <c r="C1825" s="38"/>
      <c r="D1825" s="20"/>
      <c r="E1825" s="36" t="str">
        <f aca="false">IF($D1825="","",IFERROR(INDEX('교육원 ④ 설정'!$A$6:$A$40,MATCH($D1825,'교육원 ④ 설정'!$B$6:$B$40,0)),"※없는 과목"))</f>
        <v/>
      </c>
      <c r="F1825" s="36" t="str">
        <f aca="false">IF($D1825="","",IFERROR(INDEX('교육원 ④ 설정'!$C$6:$C$40,MATCH($D1825,'교육원 ④ 설정'!$B$6:$B$40,0)),""))</f>
        <v/>
      </c>
      <c r="G1825" s="39"/>
      <c r="H1825" s="39"/>
      <c r="I1825" s="40"/>
      <c r="J1825" s="41"/>
      <c r="K1825" s="38"/>
      <c r="L1825" s="42" t="str">
        <f aca="false">IF($B1825="","",IF(AND(N($I1825)=0,N($J1825)=0),"금액이 없습니다",IF(AND($I1825&gt;0,$J1825&gt;0),"수입·지출 둘 다 적혔습니다",IF($C1825="","결제수단을 고르십시오",IF(ISNA(MATCH($C1825,'교육원 ③ 통장·카드'!$A$5:$A$11,0)),"③ 통장·카드에 없는 결제수단입니다",IF($D1825="","계정과목을 고르십시오",IF($E1825="※없는 과목","④ 설정에 없는 과목입니다",IF(AND($E1825="수입",$J1825&gt;0),"수입 과목인데 지출에 적혔습니다",IF(AND(LEFT($E1825,2)&lt;&gt;"수입",$E1825&lt;&gt;"대체",$I1825&gt;0),"지출 과목인데 수입에 적혔습니다",IF($K1825="","증빙을 고르십시오",IF($H1825="","적요를 적으십시오","")))))))))))</f>
        <v/>
      </c>
      <c r="M1825" s="39"/>
      <c r="O1825" s="11" t="str">
        <f aca="false">IF($B1825="","",YEAR($B1825)*100+MONTH($B1825))</f>
        <v/>
      </c>
      <c r="P1825" s="11" t="str">
        <f aca="false">IF($B1825="","",IF($E1825="대체",0,1))</f>
        <v/>
      </c>
    </row>
    <row r="1826" customFormat="false" ht="15" hidden="false" customHeight="false" outlineLevel="0" collapsed="false">
      <c r="A1826" s="36" t="str">
        <f aca="false">IF($B1826="","",COUNT($B$15:$B1826))</f>
        <v/>
      </c>
      <c r="B1826" s="37"/>
      <c r="C1826" s="38"/>
      <c r="D1826" s="20"/>
      <c r="E1826" s="36" t="str">
        <f aca="false">IF($D1826="","",IFERROR(INDEX('교육원 ④ 설정'!$A$6:$A$40,MATCH($D1826,'교육원 ④ 설정'!$B$6:$B$40,0)),"※없는 과목"))</f>
        <v/>
      </c>
      <c r="F1826" s="36" t="str">
        <f aca="false">IF($D1826="","",IFERROR(INDEX('교육원 ④ 설정'!$C$6:$C$40,MATCH($D1826,'교육원 ④ 설정'!$B$6:$B$40,0)),""))</f>
        <v/>
      </c>
      <c r="G1826" s="39"/>
      <c r="H1826" s="39"/>
      <c r="I1826" s="40"/>
      <c r="J1826" s="41"/>
      <c r="K1826" s="38"/>
      <c r="L1826" s="42" t="str">
        <f aca="false">IF($B1826="","",IF(AND(N($I1826)=0,N($J1826)=0),"금액이 없습니다",IF(AND($I1826&gt;0,$J1826&gt;0),"수입·지출 둘 다 적혔습니다",IF($C1826="","결제수단을 고르십시오",IF(ISNA(MATCH($C1826,'교육원 ③ 통장·카드'!$A$5:$A$11,0)),"③ 통장·카드에 없는 결제수단입니다",IF($D1826="","계정과목을 고르십시오",IF($E1826="※없는 과목","④ 설정에 없는 과목입니다",IF(AND($E1826="수입",$J1826&gt;0),"수입 과목인데 지출에 적혔습니다",IF(AND(LEFT($E1826,2)&lt;&gt;"수입",$E1826&lt;&gt;"대체",$I1826&gt;0),"지출 과목인데 수입에 적혔습니다",IF($K1826="","증빙을 고르십시오",IF($H1826="","적요를 적으십시오","")))))))))))</f>
        <v/>
      </c>
      <c r="M1826" s="39"/>
      <c r="O1826" s="11" t="str">
        <f aca="false">IF($B1826="","",YEAR($B1826)*100+MONTH($B1826))</f>
        <v/>
      </c>
      <c r="P1826" s="11" t="str">
        <f aca="false">IF($B1826="","",IF($E1826="대체",0,1))</f>
        <v/>
      </c>
    </row>
    <row r="1827" customFormat="false" ht="15" hidden="false" customHeight="false" outlineLevel="0" collapsed="false">
      <c r="A1827" s="36" t="str">
        <f aca="false">IF($B1827="","",COUNT($B$15:$B1827))</f>
        <v/>
      </c>
      <c r="B1827" s="37"/>
      <c r="C1827" s="38"/>
      <c r="D1827" s="20"/>
      <c r="E1827" s="36" t="str">
        <f aca="false">IF($D1827="","",IFERROR(INDEX('교육원 ④ 설정'!$A$6:$A$40,MATCH($D1827,'교육원 ④ 설정'!$B$6:$B$40,0)),"※없는 과목"))</f>
        <v/>
      </c>
      <c r="F1827" s="36" t="str">
        <f aca="false">IF($D1827="","",IFERROR(INDEX('교육원 ④ 설정'!$C$6:$C$40,MATCH($D1827,'교육원 ④ 설정'!$B$6:$B$40,0)),""))</f>
        <v/>
      </c>
      <c r="G1827" s="39"/>
      <c r="H1827" s="39"/>
      <c r="I1827" s="40"/>
      <c r="J1827" s="41"/>
      <c r="K1827" s="38"/>
      <c r="L1827" s="42" t="str">
        <f aca="false">IF($B1827="","",IF(AND(N($I1827)=0,N($J1827)=0),"금액이 없습니다",IF(AND($I1827&gt;0,$J1827&gt;0),"수입·지출 둘 다 적혔습니다",IF($C1827="","결제수단을 고르십시오",IF(ISNA(MATCH($C1827,'교육원 ③ 통장·카드'!$A$5:$A$11,0)),"③ 통장·카드에 없는 결제수단입니다",IF($D1827="","계정과목을 고르십시오",IF($E1827="※없는 과목","④ 설정에 없는 과목입니다",IF(AND($E1827="수입",$J1827&gt;0),"수입 과목인데 지출에 적혔습니다",IF(AND(LEFT($E1827,2)&lt;&gt;"수입",$E1827&lt;&gt;"대체",$I1827&gt;0),"지출 과목인데 수입에 적혔습니다",IF($K1827="","증빙을 고르십시오",IF($H1827="","적요를 적으십시오","")))))))))))</f>
        <v/>
      </c>
      <c r="M1827" s="39"/>
      <c r="O1827" s="11" t="str">
        <f aca="false">IF($B1827="","",YEAR($B1827)*100+MONTH($B1827))</f>
        <v/>
      </c>
      <c r="P1827" s="11" t="str">
        <f aca="false">IF($B1827="","",IF($E1827="대체",0,1))</f>
        <v/>
      </c>
    </row>
    <row r="1828" customFormat="false" ht="15" hidden="false" customHeight="false" outlineLevel="0" collapsed="false">
      <c r="A1828" s="36" t="str">
        <f aca="false">IF($B1828="","",COUNT($B$15:$B1828))</f>
        <v/>
      </c>
      <c r="B1828" s="37"/>
      <c r="C1828" s="38"/>
      <c r="D1828" s="20"/>
      <c r="E1828" s="36" t="str">
        <f aca="false">IF($D1828="","",IFERROR(INDEX('교육원 ④ 설정'!$A$6:$A$40,MATCH($D1828,'교육원 ④ 설정'!$B$6:$B$40,0)),"※없는 과목"))</f>
        <v/>
      </c>
      <c r="F1828" s="36" t="str">
        <f aca="false">IF($D1828="","",IFERROR(INDEX('교육원 ④ 설정'!$C$6:$C$40,MATCH($D1828,'교육원 ④ 설정'!$B$6:$B$40,0)),""))</f>
        <v/>
      </c>
      <c r="G1828" s="39"/>
      <c r="H1828" s="39"/>
      <c r="I1828" s="40"/>
      <c r="J1828" s="41"/>
      <c r="K1828" s="38"/>
      <c r="L1828" s="42" t="str">
        <f aca="false">IF($B1828="","",IF(AND(N($I1828)=0,N($J1828)=0),"금액이 없습니다",IF(AND($I1828&gt;0,$J1828&gt;0),"수입·지출 둘 다 적혔습니다",IF($C1828="","결제수단을 고르십시오",IF(ISNA(MATCH($C1828,'교육원 ③ 통장·카드'!$A$5:$A$11,0)),"③ 통장·카드에 없는 결제수단입니다",IF($D1828="","계정과목을 고르십시오",IF($E1828="※없는 과목","④ 설정에 없는 과목입니다",IF(AND($E1828="수입",$J1828&gt;0),"수입 과목인데 지출에 적혔습니다",IF(AND(LEFT($E1828,2)&lt;&gt;"수입",$E1828&lt;&gt;"대체",$I1828&gt;0),"지출 과목인데 수입에 적혔습니다",IF($K1828="","증빙을 고르십시오",IF($H1828="","적요를 적으십시오","")))))))))))</f>
        <v/>
      </c>
      <c r="M1828" s="39"/>
      <c r="O1828" s="11" t="str">
        <f aca="false">IF($B1828="","",YEAR($B1828)*100+MONTH($B1828))</f>
        <v/>
      </c>
      <c r="P1828" s="11" t="str">
        <f aca="false">IF($B1828="","",IF($E1828="대체",0,1))</f>
        <v/>
      </c>
    </row>
    <row r="1829" customFormat="false" ht="15" hidden="false" customHeight="false" outlineLevel="0" collapsed="false">
      <c r="A1829" s="36" t="str">
        <f aca="false">IF($B1829="","",COUNT($B$15:$B1829))</f>
        <v/>
      </c>
      <c r="B1829" s="37"/>
      <c r="C1829" s="38"/>
      <c r="D1829" s="20"/>
      <c r="E1829" s="36" t="str">
        <f aca="false">IF($D1829="","",IFERROR(INDEX('교육원 ④ 설정'!$A$6:$A$40,MATCH($D1829,'교육원 ④ 설정'!$B$6:$B$40,0)),"※없는 과목"))</f>
        <v/>
      </c>
      <c r="F1829" s="36" t="str">
        <f aca="false">IF($D1829="","",IFERROR(INDEX('교육원 ④ 설정'!$C$6:$C$40,MATCH($D1829,'교육원 ④ 설정'!$B$6:$B$40,0)),""))</f>
        <v/>
      </c>
      <c r="G1829" s="39"/>
      <c r="H1829" s="39"/>
      <c r="I1829" s="40"/>
      <c r="J1829" s="41"/>
      <c r="K1829" s="38"/>
      <c r="L1829" s="42" t="str">
        <f aca="false">IF($B1829="","",IF(AND(N($I1829)=0,N($J1829)=0),"금액이 없습니다",IF(AND($I1829&gt;0,$J1829&gt;0),"수입·지출 둘 다 적혔습니다",IF($C1829="","결제수단을 고르십시오",IF(ISNA(MATCH($C1829,'교육원 ③ 통장·카드'!$A$5:$A$11,0)),"③ 통장·카드에 없는 결제수단입니다",IF($D1829="","계정과목을 고르십시오",IF($E1829="※없는 과목","④ 설정에 없는 과목입니다",IF(AND($E1829="수입",$J1829&gt;0),"수입 과목인데 지출에 적혔습니다",IF(AND(LEFT($E1829,2)&lt;&gt;"수입",$E1829&lt;&gt;"대체",$I1829&gt;0),"지출 과목인데 수입에 적혔습니다",IF($K1829="","증빙을 고르십시오",IF($H1829="","적요를 적으십시오","")))))))))))</f>
        <v/>
      </c>
      <c r="M1829" s="39"/>
      <c r="O1829" s="11" t="str">
        <f aca="false">IF($B1829="","",YEAR($B1829)*100+MONTH($B1829))</f>
        <v/>
      </c>
      <c r="P1829" s="11" t="str">
        <f aca="false">IF($B1829="","",IF($E1829="대체",0,1))</f>
        <v/>
      </c>
    </row>
    <row r="1830" customFormat="false" ht="15" hidden="false" customHeight="false" outlineLevel="0" collapsed="false">
      <c r="A1830" s="36" t="str">
        <f aca="false">IF($B1830="","",COUNT($B$15:$B1830))</f>
        <v/>
      </c>
      <c r="B1830" s="37"/>
      <c r="C1830" s="38"/>
      <c r="D1830" s="20"/>
      <c r="E1830" s="36" t="str">
        <f aca="false">IF($D1830="","",IFERROR(INDEX('교육원 ④ 설정'!$A$6:$A$40,MATCH($D1830,'교육원 ④ 설정'!$B$6:$B$40,0)),"※없는 과목"))</f>
        <v/>
      </c>
      <c r="F1830" s="36" t="str">
        <f aca="false">IF($D1830="","",IFERROR(INDEX('교육원 ④ 설정'!$C$6:$C$40,MATCH($D1830,'교육원 ④ 설정'!$B$6:$B$40,0)),""))</f>
        <v/>
      </c>
      <c r="G1830" s="39"/>
      <c r="H1830" s="39"/>
      <c r="I1830" s="40"/>
      <c r="J1830" s="41"/>
      <c r="K1830" s="38"/>
      <c r="L1830" s="42" t="str">
        <f aca="false">IF($B1830="","",IF(AND(N($I1830)=0,N($J1830)=0),"금액이 없습니다",IF(AND($I1830&gt;0,$J1830&gt;0),"수입·지출 둘 다 적혔습니다",IF($C1830="","결제수단을 고르십시오",IF(ISNA(MATCH($C1830,'교육원 ③ 통장·카드'!$A$5:$A$11,0)),"③ 통장·카드에 없는 결제수단입니다",IF($D1830="","계정과목을 고르십시오",IF($E1830="※없는 과목","④ 설정에 없는 과목입니다",IF(AND($E1830="수입",$J1830&gt;0),"수입 과목인데 지출에 적혔습니다",IF(AND(LEFT($E1830,2)&lt;&gt;"수입",$E1830&lt;&gt;"대체",$I1830&gt;0),"지출 과목인데 수입에 적혔습니다",IF($K1830="","증빙을 고르십시오",IF($H1830="","적요를 적으십시오","")))))))))))</f>
        <v/>
      </c>
      <c r="M1830" s="39"/>
      <c r="O1830" s="11" t="str">
        <f aca="false">IF($B1830="","",YEAR($B1830)*100+MONTH($B1830))</f>
        <v/>
      </c>
      <c r="P1830" s="11" t="str">
        <f aca="false">IF($B1830="","",IF($E1830="대체",0,1))</f>
        <v/>
      </c>
    </row>
    <row r="1831" customFormat="false" ht="15" hidden="false" customHeight="false" outlineLevel="0" collapsed="false">
      <c r="A1831" s="36" t="str">
        <f aca="false">IF($B1831="","",COUNT($B$15:$B1831))</f>
        <v/>
      </c>
      <c r="B1831" s="37"/>
      <c r="C1831" s="38"/>
      <c r="D1831" s="20"/>
      <c r="E1831" s="36" t="str">
        <f aca="false">IF($D1831="","",IFERROR(INDEX('교육원 ④ 설정'!$A$6:$A$40,MATCH($D1831,'교육원 ④ 설정'!$B$6:$B$40,0)),"※없는 과목"))</f>
        <v/>
      </c>
      <c r="F1831" s="36" t="str">
        <f aca="false">IF($D1831="","",IFERROR(INDEX('교육원 ④ 설정'!$C$6:$C$40,MATCH($D1831,'교육원 ④ 설정'!$B$6:$B$40,0)),""))</f>
        <v/>
      </c>
      <c r="G1831" s="39"/>
      <c r="H1831" s="39"/>
      <c r="I1831" s="40"/>
      <c r="J1831" s="41"/>
      <c r="K1831" s="38"/>
      <c r="L1831" s="42" t="str">
        <f aca="false">IF($B1831="","",IF(AND(N($I1831)=0,N($J1831)=0),"금액이 없습니다",IF(AND($I1831&gt;0,$J1831&gt;0),"수입·지출 둘 다 적혔습니다",IF($C1831="","결제수단을 고르십시오",IF(ISNA(MATCH($C1831,'교육원 ③ 통장·카드'!$A$5:$A$11,0)),"③ 통장·카드에 없는 결제수단입니다",IF($D1831="","계정과목을 고르십시오",IF($E1831="※없는 과목","④ 설정에 없는 과목입니다",IF(AND($E1831="수입",$J1831&gt;0),"수입 과목인데 지출에 적혔습니다",IF(AND(LEFT($E1831,2)&lt;&gt;"수입",$E1831&lt;&gt;"대체",$I1831&gt;0),"지출 과목인데 수입에 적혔습니다",IF($K1831="","증빙을 고르십시오",IF($H1831="","적요를 적으십시오","")))))))))))</f>
        <v/>
      </c>
      <c r="M1831" s="39"/>
      <c r="O1831" s="11" t="str">
        <f aca="false">IF($B1831="","",YEAR($B1831)*100+MONTH($B1831))</f>
        <v/>
      </c>
      <c r="P1831" s="11" t="str">
        <f aca="false">IF($B1831="","",IF($E1831="대체",0,1))</f>
        <v/>
      </c>
    </row>
    <row r="1832" customFormat="false" ht="15" hidden="false" customHeight="false" outlineLevel="0" collapsed="false">
      <c r="A1832" s="36" t="str">
        <f aca="false">IF($B1832="","",COUNT($B$15:$B1832))</f>
        <v/>
      </c>
      <c r="B1832" s="37"/>
      <c r="C1832" s="38"/>
      <c r="D1832" s="20"/>
      <c r="E1832" s="36" t="str">
        <f aca="false">IF($D1832="","",IFERROR(INDEX('교육원 ④ 설정'!$A$6:$A$40,MATCH($D1832,'교육원 ④ 설정'!$B$6:$B$40,0)),"※없는 과목"))</f>
        <v/>
      </c>
      <c r="F1832" s="36" t="str">
        <f aca="false">IF($D1832="","",IFERROR(INDEX('교육원 ④ 설정'!$C$6:$C$40,MATCH($D1832,'교육원 ④ 설정'!$B$6:$B$40,0)),""))</f>
        <v/>
      </c>
      <c r="G1832" s="39"/>
      <c r="H1832" s="39"/>
      <c r="I1832" s="40"/>
      <c r="J1832" s="41"/>
      <c r="K1832" s="38"/>
      <c r="L1832" s="42" t="str">
        <f aca="false">IF($B1832="","",IF(AND(N($I1832)=0,N($J1832)=0),"금액이 없습니다",IF(AND($I1832&gt;0,$J1832&gt;0),"수입·지출 둘 다 적혔습니다",IF($C1832="","결제수단을 고르십시오",IF(ISNA(MATCH($C1832,'교육원 ③ 통장·카드'!$A$5:$A$11,0)),"③ 통장·카드에 없는 결제수단입니다",IF($D1832="","계정과목을 고르십시오",IF($E1832="※없는 과목","④ 설정에 없는 과목입니다",IF(AND($E1832="수입",$J1832&gt;0),"수입 과목인데 지출에 적혔습니다",IF(AND(LEFT($E1832,2)&lt;&gt;"수입",$E1832&lt;&gt;"대체",$I1832&gt;0),"지출 과목인데 수입에 적혔습니다",IF($K1832="","증빙을 고르십시오",IF($H1832="","적요를 적으십시오","")))))))))))</f>
        <v/>
      </c>
      <c r="M1832" s="39"/>
      <c r="O1832" s="11" t="str">
        <f aca="false">IF($B1832="","",YEAR($B1832)*100+MONTH($B1832))</f>
        <v/>
      </c>
      <c r="P1832" s="11" t="str">
        <f aca="false">IF($B1832="","",IF($E1832="대체",0,1))</f>
        <v/>
      </c>
    </row>
    <row r="1833" customFormat="false" ht="15" hidden="false" customHeight="false" outlineLevel="0" collapsed="false">
      <c r="A1833" s="36" t="str">
        <f aca="false">IF($B1833="","",COUNT($B$15:$B1833))</f>
        <v/>
      </c>
      <c r="B1833" s="37"/>
      <c r="C1833" s="38"/>
      <c r="D1833" s="20"/>
      <c r="E1833" s="36" t="str">
        <f aca="false">IF($D1833="","",IFERROR(INDEX('교육원 ④ 설정'!$A$6:$A$40,MATCH($D1833,'교육원 ④ 설정'!$B$6:$B$40,0)),"※없는 과목"))</f>
        <v/>
      </c>
      <c r="F1833" s="36" t="str">
        <f aca="false">IF($D1833="","",IFERROR(INDEX('교육원 ④ 설정'!$C$6:$C$40,MATCH($D1833,'교육원 ④ 설정'!$B$6:$B$40,0)),""))</f>
        <v/>
      </c>
      <c r="G1833" s="39"/>
      <c r="H1833" s="39"/>
      <c r="I1833" s="40"/>
      <c r="J1833" s="41"/>
      <c r="K1833" s="38"/>
      <c r="L1833" s="42" t="str">
        <f aca="false">IF($B1833="","",IF(AND(N($I1833)=0,N($J1833)=0),"금액이 없습니다",IF(AND($I1833&gt;0,$J1833&gt;0),"수입·지출 둘 다 적혔습니다",IF($C1833="","결제수단을 고르십시오",IF(ISNA(MATCH($C1833,'교육원 ③ 통장·카드'!$A$5:$A$11,0)),"③ 통장·카드에 없는 결제수단입니다",IF($D1833="","계정과목을 고르십시오",IF($E1833="※없는 과목","④ 설정에 없는 과목입니다",IF(AND($E1833="수입",$J1833&gt;0),"수입 과목인데 지출에 적혔습니다",IF(AND(LEFT($E1833,2)&lt;&gt;"수입",$E1833&lt;&gt;"대체",$I1833&gt;0),"지출 과목인데 수입에 적혔습니다",IF($K1833="","증빙을 고르십시오",IF($H1833="","적요를 적으십시오","")))))))))))</f>
        <v/>
      </c>
      <c r="M1833" s="39"/>
      <c r="O1833" s="11" t="str">
        <f aca="false">IF($B1833="","",YEAR($B1833)*100+MONTH($B1833))</f>
        <v/>
      </c>
      <c r="P1833" s="11" t="str">
        <f aca="false">IF($B1833="","",IF($E1833="대체",0,1))</f>
        <v/>
      </c>
    </row>
    <row r="1834" customFormat="false" ht="15" hidden="false" customHeight="false" outlineLevel="0" collapsed="false">
      <c r="A1834" s="36" t="str">
        <f aca="false">IF($B1834="","",COUNT($B$15:$B1834))</f>
        <v/>
      </c>
      <c r="B1834" s="37"/>
      <c r="C1834" s="38"/>
      <c r="D1834" s="20"/>
      <c r="E1834" s="36" t="str">
        <f aca="false">IF($D1834="","",IFERROR(INDEX('교육원 ④ 설정'!$A$6:$A$40,MATCH($D1834,'교육원 ④ 설정'!$B$6:$B$40,0)),"※없는 과목"))</f>
        <v/>
      </c>
      <c r="F1834" s="36" t="str">
        <f aca="false">IF($D1834="","",IFERROR(INDEX('교육원 ④ 설정'!$C$6:$C$40,MATCH($D1834,'교육원 ④ 설정'!$B$6:$B$40,0)),""))</f>
        <v/>
      </c>
      <c r="G1834" s="39"/>
      <c r="H1834" s="39"/>
      <c r="I1834" s="40"/>
      <c r="J1834" s="41"/>
      <c r="K1834" s="38"/>
      <c r="L1834" s="42" t="str">
        <f aca="false">IF($B1834="","",IF(AND(N($I1834)=0,N($J1834)=0),"금액이 없습니다",IF(AND($I1834&gt;0,$J1834&gt;0),"수입·지출 둘 다 적혔습니다",IF($C1834="","결제수단을 고르십시오",IF(ISNA(MATCH($C1834,'교육원 ③ 통장·카드'!$A$5:$A$11,0)),"③ 통장·카드에 없는 결제수단입니다",IF($D1834="","계정과목을 고르십시오",IF($E1834="※없는 과목","④ 설정에 없는 과목입니다",IF(AND($E1834="수입",$J1834&gt;0),"수입 과목인데 지출에 적혔습니다",IF(AND(LEFT($E1834,2)&lt;&gt;"수입",$E1834&lt;&gt;"대체",$I1834&gt;0),"지출 과목인데 수입에 적혔습니다",IF($K1834="","증빙을 고르십시오",IF($H1834="","적요를 적으십시오","")))))))))))</f>
        <v/>
      </c>
      <c r="M1834" s="39"/>
      <c r="O1834" s="11" t="str">
        <f aca="false">IF($B1834="","",YEAR($B1834)*100+MONTH($B1834))</f>
        <v/>
      </c>
      <c r="P1834" s="11" t="str">
        <f aca="false">IF($B1834="","",IF($E1834="대체",0,1))</f>
        <v/>
      </c>
    </row>
    <row r="1835" customFormat="false" ht="15" hidden="false" customHeight="false" outlineLevel="0" collapsed="false">
      <c r="A1835" s="36" t="str">
        <f aca="false">IF($B1835="","",COUNT($B$15:$B1835))</f>
        <v/>
      </c>
      <c r="B1835" s="37"/>
      <c r="C1835" s="38"/>
      <c r="D1835" s="20"/>
      <c r="E1835" s="36" t="str">
        <f aca="false">IF($D1835="","",IFERROR(INDEX('교육원 ④ 설정'!$A$6:$A$40,MATCH($D1835,'교육원 ④ 설정'!$B$6:$B$40,0)),"※없는 과목"))</f>
        <v/>
      </c>
      <c r="F1835" s="36" t="str">
        <f aca="false">IF($D1835="","",IFERROR(INDEX('교육원 ④ 설정'!$C$6:$C$40,MATCH($D1835,'교육원 ④ 설정'!$B$6:$B$40,0)),""))</f>
        <v/>
      </c>
      <c r="G1835" s="39"/>
      <c r="H1835" s="39"/>
      <c r="I1835" s="40"/>
      <c r="J1835" s="41"/>
      <c r="K1835" s="38"/>
      <c r="L1835" s="42" t="str">
        <f aca="false">IF($B1835="","",IF(AND(N($I1835)=0,N($J1835)=0),"금액이 없습니다",IF(AND($I1835&gt;0,$J1835&gt;0),"수입·지출 둘 다 적혔습니다",IF($C1835="","결제수단을 고르십시오",IF(ISNA(MATCH($C1835,'교육원 ③ 통장·카드'!$A$5:$A$11,0)),"③ 통장·카드에 없는 결제수단입니다",IF($D1835="","계정과목을 고르십시오",IF($E1835="※없는 과목","④ 설정에 없는 과목입니다",IF(AND($E1835="수입",$J1835&gt;0),"수입 과목인데 지출에 적혔습니다",IF(AND(LEFT($E1835,2)&lt;&gt;"수입",$E1835&lt;&gt;"대체",$I1835&gt;0),"지출 과목인데 수입에 적혔습니다",IF($K1835="","증빙을 고르십시오",IF($H1835="","적요를 적으십시오","")))))))))))</f>
        <v/>
      </c>
      <c r="M1835" s="39"/>
      <c r="O1835" s="11" t="str">
        <f aca="false">IF($B1835="","",YEAR($B1835)*100+MONTH($B1835))</f>
        <v/>
      </c>
      <c r="P1835" s="11" t="str">
        <f aca="false">IF($B1835="","",IF($E1835="대체",0,1))</f>
        <v/>
      </c>
    </row>
    <row r="1836" customFormat="false" ht="15" hidden="false" customHeight="false" outlineLevel="0" collapsed="false">
      <c r="A1836" s="36" t="str">
        <f aca="false">IF($B1836="","",COUNT($B$15:$B1836))</f>
        <v/>
      </c>
      <c r="B1836" s="37"/>
      <c r="C1836" s="38"/>
      <c r="D1836" s="20"/>
      <c r="E1836" s="36" t="str">
        <f aca="false">IF($D1836="","",IFERROR(INDEX('교육원 ④ 설정'!$A$6:$A$40,MATCH($D1836,'교육원 ④ 설정'!$B$6:$B$40,0)),"※없는 과목"))</f>
        <v/>
      </c>
      <c r="F1836" s="36" t="str">
        <f aca="false">IF($D1836="","",IFERROR(INDEX('교육원 ④ 설정'!$C$6:$C$40,MATCH($D1836,'교육원 ④ 설정'!$B$6:$B$40,0)),""))</f>
        <v/>
      </c>
      <c r="G1836" s="39"/>
      <c r="H1836" s="39"/>
      <c r="I1836" s="40"/>
      <c r="J1836" s="41"/>
      <c r="K1836" s="38"/>
      <c r="L1836" s="42" t="str">
        <f aca="false">IF($B1836="","",IF(AND(N($I1836)=0,N($J1836)=0),"금액이 없습니다",IF(AND($I1836&gt;0,$J1836&gt;0),"수입·지출 둘 다 적혔습니다",IF($C1836="","결제수단을 고르십시오",IF(ISNA(MATCH($C1836,'교육원 ③ 통장·카드'!$A$5:$A$11,0)),"③ 통장·카드에 없는 결제수단입니다",IF($D1836="","계정과목을 고르십시오",IF($E1836="※없는 과목","④ 설정에 없는 과목입니다",IF(AND($E1836="수입",$J1836&gt;0),"수입 과목인데 지출에 적혔습니다",IF(AND(LEFT($E1836,2)&lt;&gt;"수입",$E1836&lt;&gt;"대체",$I1836&gt;0),"지출 과목인데 수입에 적혔습니다",IF($K1836="","증빙을 고르십시오",IF($H1836="","적요를 적으십시오","")))))))))))</f>
        <v/>
      </c>
      <c r="M1836" s="39"/>
      <c r="O1836" s="11" t="str">
        <f aca="false">IF($B1836="","",YEAR($B1836)*100+MONTH($B1836))</f>
        <v/>
      </c>
      <c r="P1836" s="11" t="str">
        <f aca="false">IF($B1836="","",IF($E1836="대체",0,1))</f>
        <v/>
      </c>
    </row>
    <row r="1837" customFormat="false" ht="15" hidden="false" customHeight="false" outlineLevel="0" collapsed="false">
      <c r="A1837" s="36" t="str">
        <f aca="false">IF($B1837="","",COUNT($B$15:$B1837))</f>
        <v/>
      </c>
      <c r="B1837" s="37"/>
      <c r="C1837" s="38"/>
      <c r="D1837" s="20"/>
      <c r="E1837" s="36" t="str">
        <f aca="false">IF($D1837="","",IFERROR(INDEX('교육원 ④ 설정'!$A$6:$A$40,MATCH($D1837,'교육원 ④ 설정'!$B$6:$B$40,0)),"※없는 과목"))</f>
        <v/>
      </c>
      <c r="F1837" s="36" t="str">
        <f aca="false">IF($D1837="","",IFERROR(INDEX('교육원 ④ 설정'!$C$6:$C$40,MATCH($D1837,'교육원 ④ 설정'!$B$6:$B$40,0)),""))</f>
        <v/>
      </c>
      <c r="G1837" s="39"/>
      <c r="H1837" s="39"/>
      <c r="I1837" s="40"/>
      <c r="J1837" s="41"/>
      <c r="K1837" s="38"/>
      <c r="L1837" s="42" t="str">
        <f aca="false">IF($B1837="","",IF(AND(N($I1837)=0,N($J1837)=0),"금액이 없습니다",IF(AND($I1837&gt;0,$J1837&gt;0),"수입·지출 둘 다 적혔습니다",IF($C1837="","결제수단을 고르십시오",IF(ISNA(MATCH($C1837,'교육원 ③ 통장·카드'!$A$5:$A$11,0)),"③ 통장·카드에 없는 결제수단입니다",IF($D1837="","계정과목을 고르십시오",IF($E1837="※없는 과목","④ 설정에 없는 과목입니다",IF(AND($E1837="수입",$J1837&gt;0),"수입 과목인데 지출에 적혔습니다",IF(AND(LEFT($E1837,2)&lt;&gt;"수입",$E1837&lt;&gt;"대체",$I1837&gt;0),"지출 과목인데 수입에 적혔습니다",IF($K1837="","증빙을 고르십시오",IF($H1837="","적요를 적으십시오","")))))))))))</f>
        <v/>
      </c>
      <c r="M1837" s="39"/>
      <c r="O1837" s="11" t="str">
        <f aca="false">IF($B1837="","",YEAR($B1837)*100+MONTH($B1837))</f>
        <v/>
      </c>
      <c r="P1837" s="11" t="str">
        <f aca="false">IF($B1837="","",IF($E1837="대체",0,1))</f>
        <v/>
      </c>
    </row>
    <row r="1838" customFormat="false" ht="15" hidden="false" customHeight="false" outlineLevel="0" collapsed="false">
      <c r="A1838" s="36" t="str">
        <f aca="false">IF($B1838="","",COUNT($B$15:$B1838))</f>
        <v/>
      </c>
      <c r="B1838" s="37"/>
      <c r="C1838" s="38"/>
      <c r="D1838" s="20"/>
      <c r="E1838" s="36" t="str">
        <f aca="false">IF($D1838="","",IFERROR(INDEX('교육원 ④ 설정'!$A$6:$A$40,MATCH($D1838,'교육원 ④ 설정'!$B$6:$B$40,0)),"※없는 과목"))</f>
        <v/>
      </c>
      <c r="F1838" s="36" t="str">
        <f aca="false">IF($D1838="","",IFERROR(INDEX('교육원 ④ 설정'!$C$6:$C$40,MATCH($D1838,'교육원 ④ 설정'!$B$6:$B$40,0)),""))</f>
        <v/>
      </c>
      <c r="G1838" s="39"/>
      <c r="H1838" s="39"/>
      <c r="I1838" s="40"/>
      <c r="J1838" s="41"/>
      <c r="K1838" s="38"/>
      <c r="L1838" s="42" t="str">
        <f aca="false">IF($B1838="","",IF(AND(N($I1838)=0,N($J1838)=0),"금액이 없습니다",IF(AND($I1838&gt;0,$J1838&gt;0),"수입·지출 둘 다 적혔습니다",IF($C1838="","결제수단을 고르십시오",IF(ISNA(MATCH($C1838,'교육원 ③ 통장·카드'!$A$5:$A$11,0)),"③ 통장·카드에 없는 결제수단입니다",IF($D1838="","계정과목을 고르십시오",IF($E1838="※없는 과목","④ 설정에 없는 과목입니다",IF(AND($E1838="수입",$J1838&gt;0),"수입 과목인데 지출에 적혔습니다",IF(AND(LEFT($E1838,2)&lt;&gt;"수입",$E1838&lt;&gt;"대체",$I1838&gt;0),"지출 과목인데 수입에 적혔습니다",IF($K1838="","증빙을 고르십시오",IF($H1838="","적요를 적으십시오","")))))))))))</f>
        <v/>
      </c>
      <c r="M1838" s="39"/>
      <c r="O1838" s="11" t="str">
        <f aca="false">IF($B1838="","",YEAR($B1838)*100+MONTH($B1838))</f>
        <v/>
      </c>
      <c r="P1838" s="11" t="str">
        <f aca="false">IF($B1838="","",IF($E1838="대체",0,1))</f>
        <v/>
      </c>
    </row>
    <row r="1839" customFormat="false" ht="15" hidden="false" customHeight="false" outlineLevel="0" collapsed="false">
      <c r="A1839" s="36" t="str">
        <f aca="false">IF($B1839="","",COUNT($B$15:$B1839))</f>
        <v/>
      </c>
      <c r="B1839" s="37"/>
      <c r="C1839" s="38"/>
      <c r="D1839" s="20"/>
      <c r="E1839" s="36" t="str">
        <f aca="false">IF($D1839="","",IFERROR(INDEX('교육원 ④ 설정'!$A$6:$A$40,MATCH($D1839,'교육원 ④ 설정'!$B$6:$B$40,0)),"※없는 과목"))</f>
        <v/>
      </c>
      <c r="F1839" s="36" t="str">
        <f aca="false">IF($D1839="","",IFERROR(INDEX('교육원 ④ 설정'!$C$6:$C$40,MATCH($D1839,'교육원 ④ 설정'!$B$6:$B$40,0)),""))</f>
        <v/>
      </c>
      <c r="G1839" s="39"/>
      <c r="H1839" s="39"/>
      <c r="I1839" s="40"/>
      <c r="J1839" s="41"/>
      <c r="K1839" s="38"/>
      <c r="L1839" s="42" t="str">
        <f aca="false">IF($B1839="","",IF(AND(N($I1839)=0,N($J1839)=0),"금액이 없습니다",IF(AND($I1839&gt;0,$J1839&gt;0),"수입·지출 둘 다 적혔습니다",IF($C1839="","결제수단을 고르십시오",IF(ISNA(MATCH($C1839,'교육원 ③ 통장·카드'!$A$5:$A$11,0)),"③ 통장·카드에 없는 결제수단입니다",IF($D1839="","계정과목을 고르십시오",IF($E1839="※없는 과목","④ 설정에 없는 과목입니다",IF(AND($E1839="수입",$J1839&gt;0),"수입 과목인데 지출에 적혔습니다",IF(AND(LEFT($E1839,2)&lt;&gt;"수입",$E1839&lt;&gt;"대체",$I1839&gt;0),"지출 과목인데 수입에 적혔습니다",IF($K1839="","증빙을 고르십시오",IF($H1839="","적요를 적으십시오","")))))))))))</f>
        <v/>
      </c>
      <c r="M1839" s="39"/>
      <c r="O1839" s="11" t="str">
        <f aca="false">IF($B1839="","",YEAR($B1839)*100+MONTH($B1839))</f>
        <v/>
      </c>
      <c r="P1839" s="11" t="str">
        <f aca="false">IF($B1839="","",IF($E1839="대체",0,1))</f>
        <v/>
      </c>
    </row>
    <row r="1840" customFormat="false" ht="15" hidden="false" customHeight="false" outlineLevel="0" collapsed="false">
      <c r="A1840" s="36" t="str">
        <f aca="false">IF($B1840="","",COUNT($B$15:$B1840))</f>
        <v/>
      </c>
      <c r="B1840" s="37"/>
      <c r="C1840" s="38"/>
      <c r="D1840" s="20"/>
      <c r="E1840" s="36" t="str">
        <f aca="false">IF($D1840="","",IFERROR(INDEX('교육원 ④ 설정'!$A$6:$A$40,MATCH($D1840,'교육원 ④ 설정'!$B$6:$B$40,0)),"※없는 과목"))</f>
        <v/>
      </c>
      <c r="F1840" s="36" t="str">
        <f aca="false">IF($D1840="","",IFERROR(INDEX('교육원 ④ 설정'!$C$6:$C$40,MATCH($D1840,'교육원 ④ 설정'!$B$6:$B$40,0)),""))</f>
        <v/>
      </c>
      <c r="G1840" s="39"/>
      <c r="H1840" s="39"/>
      <c r="I1840" s="40"/>
      <c r="J1840" s="41"/>
      <c r="K1840" s="38"/>
      <c r="L1840" s="42" t="str">
        <f aca="false">IF($B1840="","",IF(AND(N($I1840)=0,N($J1840)=0),"금액이 없습니다",IF(AND($I1840&gt;0,$J1840&gt;0),"수입·지출 둘 다 적혔습니다",IF($C1840="","결제수단을 고르십시오",IF(ISNA(MATCH($C1840,'교육원 ③ 통장·카드'!$A$5:$A$11,0)),"③ 통장·카드에 없는 결제수단입니다",IF($D1840="","계정과목을 고르십시오",IF($E1840="※없는 과목","④ 설정에 없는 과목입니다",IF(AND($E1840="수입",$J1840&gt;0),"수입 과목인데 지출에 적혔습니다",IF(AND(LEFT($E1840,2)&lt;&gt;"수입",$E1840&lt;&gt;"대체",$I1840&gt;0),"지출 과목인데 수입에 적혔습니다",IF($K1840="","증빙을 고르십시오",IF($H1840="","적요를 적으십시오","")))))))))))</f>
        <v/>
      </c>
      <c r="M1840" s="39"/>
      <c r="O1840" s="11" t="str">
        <f aca="false">IF($B1840="","",YEAR($B1840)*100+MONTH($B1840))</f>
        <v/>
      </c>
      <c r="P1840" s="11" t="str">
        <f aca="false">IF($B1840="","",IF($E1840="대체",0,1))</f>
        <v/>
      </c>
    </row>
    <row r="1841" customFormat="false" ht="15" hidden="false" customHeight="false" outlineLevel="0" collapsed="false">
      <c r="A1841" s="36" t="str">
        <f aca="false">IF($B1841="","",COUNT($B$15:$B1841))</f>
        <v/>
      </c>
      <c r="B1841" s="37"/>
      <c r="C1841" s="38"/>
      <c r="D1841" s="20"/>
      <c r="E1841" s="36" t="str">
        <f aca="false">IF($D1841="","",IFERROR(INDEX('교육원 ④ 설정'!$A$6:$A$40,MATCH($D1841,'교육원 ④ 설정'!$B$6:$B$40,0)),"※없는 과목"))</f>
        <v/>
      </c>
      <c r="F1841" s="36" t="str">
        <f aca="false">IF($D1841="","",IFERROR(INDEX('교육원 ④ 설정'!$C$6:$C$40,MATCH($D1841,'교육원 ④ 설정'!$B$6:$B$40,0)),""))</f>
        <v/>
      </c>
      <c r="G1841" s="39"/>
      <c r="H1841" s="39"/>
      <c r="I1841" s="40"/>
      <c r="J1841" s="41"/>
      <c r="K1841" s="38"/>
      <c r="L1841" s="42" t="str">
        <f aca="false">IF($B1841="","",IF(AND(N($I1841)=0,N($J1841)=0),"금액이 없습니다",IF(AND($I1841&gt;0,$J1841&gt;0),"수입·지출 둘 다 적혔습니다",IF($C1841="","결제수단을 고르십시오",IF(ISNA(MATCH($C1841,'교육원 ③ 통장·카드'!$A$5:$A$11,0)),"③ 통장·카드에 없는 결제수단입니다",IF($D1841="","계정과목을 고르십시오",IF($E1841="※없는 과목","④ 설정에 없는 과목입니다",IF(AND($E1841="수입",$J1841&gt;0),"수입 과목인데 지출에 적혔습니다",IF(AND(LEFT($E1841,2)&lt;&gt;"수입",$E1841&lt;&gt;"대체",$I1841&gt;0),"지출 과목인데 수입에 적혔습니다",IF($K1841="","증빙을 고르십시오",IF($H1841="","적요를 적으십시오","")))))))))))</f>
        <v/>
      </c>
      <c r="M1841" s="39"/>
      <c r="O1841" s="11" t="str">
        <f aca="false">IF($B1841="","",YEAR($B1841)*100+MONTH($B1841))</f>
        <v/>
      </c>
      <c r="P1841" s="11" t="str">
        <f aca="false">IF($B1841="","",IF($E1841="대체",0,1))</f>
        <v/>
      </c>
    </row>
    <row r="1842" customFormat="false" ht="15" hidden="false" customHeight="false" outlineLevel="0" collapsed="false">
      <c r="A1842" s="36" t="str">
        <f aca="false">IF($B1842="","",COUNT($B$15:$B1842))</f>
        <v/>
      </c>
      <c r="B1842" s="37"/>
      <c r="C1842" s="38"/>
      <c r="D1842" s="20"/>
      <c r="E1842" s="36" t="str">
        <f aca="false">IF($D1842="","",IFERROR(INDEX('교육원 ④ 설정'!$A$6:$A$40,MATCH($D1842,'교육원 ④ 설정'!$B$6:$B$40,0)),"※없는 과목"))</f>
        <v/>
      </c>
      <c r="F1842" s="36" t="str">
        <f aca="false">IF($D1842="","",IFERROR(INDEX('교육원 ④ 설정'!$C$6:$C$40,MATCH($D1842,'교육원 ④ 설정'!$B$6:$B$40,0)),""))</f>
        <v/>
      </c>
      <c r="G1842" s="39"/>
      <c r="H1842" s="39"/>
      <c r="I1842" s="40"/>
      <c r="J1842" s="41"/>
      <c r="K1842" s="38"/>
      <c r="L1842" s="42" t="str">
        <f aca="false">IF($B1842="","",IF(AND(N($I1842)=0,N($J1842)=0),"금액이 없습니다",IF(AND($I1842&gt;0,$J1842&gt;0),"수입·지출 둘 다 적혔습니다",IF($C1842="","결제수단을 고르십시오",IF(ISNA(MATCH($C1842,'교육원 ③ 통장·카드'!$A$5:$A$11,0)),"③ 통장·카드에 없는 결제수단입니다",IF($D1842="","계정과목을 고르십시오",IF($E1842="※없는 과목","④ 설정에 없는 과목입니다",IF(AND($E1842="수입",$J1842&gt;0),"수입 과목인데 지출에 적혔습니다",IF(AND(LEFT($E1842,2)&lt;&gt;"수입",$E1842&lt;&gt;"대체",$I1842&gt;0),"지출 과목인데 수입에 적혔습니다",IF($K1842="","증빙을 고르십시오",IF($H1842="","적요를 적으십시오","")))))))))))</f>
        <v/>
      </c>
      <c r="M1842" s="39"/>
      <c r="O1842" s="11" t="str">
        <f aca="false">IF($B1842="","",YEAR($B1842)*100+MONTH($B1842))</f>
        <v/>
      </c>
      <c r="P1842" s="11" t="str">
        <f aca="false">IF($B1842="","",IF($E1842="대체",0,1))</f>
        <v/>
      </c>
    </row>
    <row r="1843" customFormat="false" ht="15" hidden="false" customHeight="false" outlineLevel="0" collapsed="false">
      <c r="A1843" s="36" t="str">
        <f aca="false">IF($B1843="","",COUNT($B$15:$B1843))</f>
        <v/>
      </c>
      <c r="B1843" s="37"/>
      <c r="C1843" s="38"/>
      <c r="D1843" s="20"/>
      <c r="E1843" s="36" t="str">
        <f aca="false">IF($D1843="","",IFERROR(INDEX('교육원 ④ 설정'!$A$6:$A$40,MATCH($D1843,'교육원 ④ 설정'!$B$6:$B$40,0)),"※없는 과목"))</f>
        <v/>
      </c>
      <c r="F1843" s="36" t="str">
        <f aca="false">IF($D1843="","",IFERROR(INDEX('교육원 ④ 설정'!$C$6:$C$40,MATCH($D1843,'교육원 ④ 설정'!$B$6:$B$40,0)),""))</f>
        <v/>
      </c>
      <c r="G1843" s="39"/>
      <c r="H1843" s="39"/>
      <c r="I1843" s="40"/>
      <c r="J1843" s="41"/>
      <c r="K1843" s="38"/>
      <c r="L1843" s="42" t="str">
        <f aca="false">IF($B1843="","",IF(AND(N($I1843)=0,N($J1843)=0),"금액이 없습니다",IF(AND($I1843&gt;0,$J1843&gt;0),"수입·지출 둘 다 적혔습니다",IF($C1843="","결제수단을 고르십시오",IF(ISNA(MATCH($C1843,'교육원 ③ 통장·카드'!$A$5:$A$11,0)),"③ 통장·카드에 없는 결제수단입니다",IF($D1843="","계정과목을 고르십시오",IF($E1843="※없는 과목","④ 설정에 없는 과목입니다",IF(AND($E1843="수입",$J1843&gt;0),"수입 과목인데 지출에 적혔습니다",IF(AND(LEFT($E1843,2)&lt;&gt;"수입",$E1843&lt;&gt;"대체",$I1843&gt;0),"지출 과목인데 수입에 적혔습니다",IF($K1843="","증빙을 고르십시오",IF($H1843="","적요를 적으십시오","")))))))))))</f>
        <v/>
      </c>
      <c r="M1843" s="39"/>
      <c r="O1843" s="11" t="str">
        <f aca="false">IF($B1843="","",YEAR($B1843)*100+MONTH($B1843))</f>
        <v/>
      </c>
      <c r="P1843" s="11" t="str">
        <f aca="false">IF($B1843="","",IF($E1843="대체",0,1))</f>
        <v/>
      </c>
    </row>
    <row r="1844" customFormat="false" ht="15" hidden="false" customHeight="false" outlineLevel="0" collapsed="false">
      <c r="A1844" s="36" t="str">
        <f aca="false">IF($B1844="","",COUNT($B$15:$B1844))</f>
        <v/>
      </c>
      <c r="B1844" s="37"/>
      <c r="C1844" s="38"/>
      <c r="D1844" s="20"/>
      <c r="E1844" s="36" t="str">
        <f aca="false">IF($D1844="","",IFERROR(INDEX('교육원 ④ 설정'!$A$6:$A$40,MATCH($D1844,'교육원 ④ 설정'!$B$6:$B$40,0)),"※없는 과목"))</f>
        <v/>
      </c>
      <c r="F1844" s="36" t="str">
        <f aca="false">IF($D1844="","",IFERROR(INDEX('교육원 ④ 설정'!$C$6:$C$40,MATCH($D1844,'교육원 ④ 설정'!$B$6:$B$40,0)),""))</f>
        <v/>
      </c>
      <c r="G1844" s="39"/>
      <c r="H1844" s="39"/>
      <c r="I1844" s="40"/>
      <c r="J1844" s="41"/>
      <c r="K1844" s="38"/>
      <c r="L1844" s="42" t="str">
        <f aca="false">IF($B1844="","",IF(AND(N($I1844)=0,N($J1844)=0),"금액이 없습니다",IF(AND($I1844&gt;0,$J1844&gt;0),"수입·지출 둘 다 적혔습니다",IF($C1844="","결제수단을 고르십시오",IF(ISNA(MATCH($C1844,'교육원 ③ 통장·카드'!$A$5:$A$11,0)),"③ 통장·카드에 없는 결제수단입니다",IF($D1844="","계정과목을 고르십시오",IF($E1844="※없는 과목","④ 설정에 없는 과목입니다",IF(AND($E1844="수입",$J1844&gt;0),"수입 과목인데 지출에 적혔습니다",IF(AND(LEFT($E1844,2)&lt;&gt;"수입",$E1844&lt;&gt;"대체",$I1844&gt;0),"지출 과목인데 수입에 적혔습니다",IF($K1844="","증빙을 고르십시오",IF($H1844="","적요를 적으십시오","")))))))))))</f>
        <v/>
      </c>
      <c r="M1844" s="39"/>
      <c r="O1844" s="11" t="str">
        <f aca="false">IF($B1844="","",YEAR($B1844)*100+MONTH($B1844))</f>
        <v/>
      </c>
      <c r="P1844" s="11" t="str">
        <f aca="false">IF($B1844="","",IF($E1844="대체",0,1))</f>
        <v/>
      </c>
    </row>
    <row r="1845" customFormat="false" ht="15" hidden="false" customHeight="false" outlineLevel="0" collapsed="false">
      <c r="A1845" s="36" t="str">
        <f aca="false">IF($B1845="","",COUNT($B$15:$B1845))</f>
        <v/>
      </c>
      <c r="B1845" s="37"/>
      <c r="C1845" s="38"/>
      <c r="D1845" s="20"/>
      <c r="E1845" s="36" t="str">
        <f aca="false">IF($D1845="","",IFERROR(INDEX('교육원 ④ 설정'!$A$6:$A$40,MATCH($D1845,'교육원 ④ 설정'!$B$6:$B$40,0)),"※없는 과목"))</f>
        <v/>
      </c>
      <c r="F1845" s="36" t="str">
        <f aca="false">IF($D1845="","",IFERROR(INDEX('교육원 ④ 설정'!$C$6:$C$40,MATCH($D1845,'교육원 ④ 설정'!$B$6:$B$40,0)),""))</f>
        <v/>
      </c>
      <c r="G1845" s="39"/>
      <c r="H1845" s="39"/>
      <c r="I1845" s="40"/>
      <c r="J1845" s="41"/>
      <c r="K1845" s="38"/>
      <c r="L1845" s="42" t="str">
        <f aca="false">IF($B1845="","",IF(AND(N($I1845)=0,N($J1845)=0),"금액이 없습니다",IF(AND($I1845&gt;0,$J1845&gt;0),"수입·지출 둘 다 적혔습니다",IF($C1845="","결제수단을 고르십시오",IF(ISNA(MATCH($C1845,'교육원 ③ 통장·카드'!$A$5:$A$11,0)),"③ 통장·카드에 없는 결제수단입니다",IF($D1845="","계정과목을 고르십시오",IF($E1845="※없는 과목","④ 설정에 없는 과목입니다",IF(AND($E1845="수입",$J1845&gt;0),"수입 과목인데 지출에 적혔습니다",IF(AND(LEFT($E1845,2)&lt;&gt;"수입",$E1845&lt;&gt;"대체",$I1845&gt;0),"지출 과목인데 수입에 적혔습니다",IF($K1845="","증빙을 고르십시오",IF($H1845="","적요를 적으십시오","")))))))))))</f>
        <v/>
      </c>
      <c r="M1845" s="39"/>
      <c r="O1845" s="11" t="str">
        <f aca="false">IF($B1845="","",YEAR($B1845)*100+MONTH($B1845))</f>
        <v/>
      </c>
      <c r="P1845" s="11" t="str">
        <f aca="false">IF($B1845="","",IF($E1845="대체",0,1))</f>
        <v/>
      </c>
    </row>
    <row r="1846" customFormat="false" ht="15" hidden="false" customHeight="false" outlineLevel="0" collapsed="false">
      <c r="A1846" s="36" t="str">
        <f aca="false">IF($B1846="","",COUNT($B$15:$B1846))</f>
        <v/>
      </c>
      <c r="B1846" s="37"/>
      <c r="C1846" s="38"/>
      <c r="D1846" s="20"/>
      <c r="E1846" s="36" t="str">
        <f aca="false">IF($D1846="","",IFERROR(INDEX('교육원 ④ 설정'!$A$6:$A$40,MATCH($D1846,'교육원 ④ 설정'!$B$6:$B$40,0)),"※없는 과목"))</f>
        <v/>
      </c>
      <c r="F1846" s="36" t="str">
        <f aca="false">IF($D1846="","",IFERROR(INDEX('교육원 ④ 설정'!$C$6:$C$40,MATCH($D1846,'교육원 ④ 설정'!$B$6:$B$40,0)),""))</f>
        <v/>
      </c>
      <c r="G1846" s="39"/>
      <c r="H1846" s="39"/>
      <c r="I1846" s="40"/>
      <c r="J1846" s="41"/>
      <c r="K1846" s="38"/>
      <c r="L1846" s="42" t="str">
        <f aca="false">IF($B1846="","",IF(AND(N($I1846)=0,N($J1846)=0),"금액이 없습니다",IF(AND($I1846&gt;0,$J1846&gt;0),"수입·지출 둘 다 적혔습니다",IF($C1846="","결제수단을 고르십시오",IF(ISNA(MATCH($C1846,'교육원 ③ 통장·카드'!$A$5:$A$11,0)),"③ 통장·카드에 없는 결제수단입니다",IF($D1846="","계정과목을 고르십시오",IF($E1846="※없는 과목","④ 설정에 없는 과목입니다",IF(AND($E1846="수입",$J1846&gt;0),"수입 과목인데 지출에 적혔습니다",IF(AND(LEFT($E1846,2)&lt;&gt;"수입",$E1846&lt;&gt;"대체",$I1846&gt;0),"지출 과목인데 수입에 적혔습니다",IF($K1846="","증빙을 고르십시오",IF($H1846="","적요를 적으십시오","")))))))))))</f>
        <v/>
      </c>
      <c r="M1846" s="39"/>
      <c r="O1846" s="11" t="str">
        <f aca="false">IF($B1846="","",YEAR($B1846)*100+MONTH($B1846))</f>
        <v/>
      </c>
      <c r="P1846" s="11" t="str">
        <f aca="false">IF($B1846="","",IF($E1846="대체",0,1))</f>
        <v/>
      </c>
    </row>
    <row r="1847" customFormat="false" ht="15" hidden="false" customHeight="false" outlineLevel="0" collapsed="false">
      <c r="A1847" s="36" t="str">
        <f aca="false">IF($B1847="","",COUNT($B$15:$B1847))</f>
        <v/>
      </c>
      <c r="B1847" s="37"/>
      <c r="C1847" s="38"/>
      <c r="D1847" s="20"/>
      <c r="E1847" s="36" t="str">
        <f aca="false">IF($D1847="","",IFERROR(INDEX('교육원 ④ 설정'!$A$6:$A$40,MATCH($D1847,'교육원 ④ 설정'!$B$6:$B$40,0)),"※없는 과목"))</f>
        <v/>
      </c>
      <c r="F1847" s="36" t="str">
        <f aca="false">IF($D1847="","",IFERROR(INDEX('교육원 ④ 설정'!$C$6:$C$40,MATCH($D1847,'교육원 ④ 설정'!$B$6:$B$40,0)),""))</f>
        <v/>
      </c>
      <c r="G1847" s="39"/>
      <c r="H1847" s="39"/>
      <c r="I1847" s="40"/>
      <c r="J1847" s="41"/>
      <c r="K1847" s="38"/>
      <c r="L1847" s="42" t="str">
        <f aca="false">IF($B1847="","",IF(AND(N($I1847)=0,N($J1847)=0),"금액이 없습니다",IF(AND($I1847&gt;0,$J1847&gt;0),"수입·지출 둘 다 적혔습니다",IF($C1847="","결제수단을 고르십시오",IF(ISNA(MATCH($C1847,'교육원 ③ 통장·카드'!$A$5:$A$11,0)),"③ 통장·카드에 없는 결제수단입니다",IF($D1847="","계정과목을 고르십시오",IF($E1847="※없는 과목","④ 설정에 없는 과목입니다",IF(AND($E1847="수입",$J1847&gt;0),"수입 과목인데 지출에 적혔습니다",IF(AND(LEFT($E1847,2)&lt;&gt;"수입",$E1847&lt;&gt;"대체",$I1847&gt;0),"지출 과목인데 수입에 적혔습니다",IF($K1847="","증빙을 고르십시오",IF($H1847="","적요를 적으십시오","")))))))))))</f>
        <v/>
      </c>
      <c r="M1847" s="39"/>
      <c r="O1847" s="11" t="str">
        <f aca="false">IF($B1847="","",YEAR($B1847)*100+MONTH($B1847))</f>
        <v/>
      </c>
      <c r="P1847" s="11" t="str">
        <f aca="false">IF($B1847="","",IF($E1847="대체",0,1))</f>
        <v/>
      </c>
    </row>
    <row r="1848" customFormat="false" ht="15" hidden="false" customHeight="false" outlineLevel="0" collapsed="false">
      <c r="A1848" s="36" t="str">
        <f aca="false">IF($B1848="","",COUNT($B$15:$B1848))</f>
        <v/>
      </c>
      <c r="B1848" s="37"/>
      <c r="C1848" s="38"/>
      <c r="D1848" s="20"/>
      <c r="E1848" s="36" t="str">
        <f aca="false">IF($D1848="","",IFERROR(INDEX('교육원 ④ 설정'!$A$6:$A$40,MATCH($D1848,'교육원 ④ 설정'!$B$6:$B$40,0)),"※없는 과목"))</f>
        <v/>
      </c>
      <c r="F1848" s="36" t="str">
        <f aca="false">IF($D1848="","",IFERROR(INDEX('교육원 ④ 설정'!$C$6:$C$40,MATCH($D1848,'교육원 ④ 설정'!$B$6:$B$40,0)),""))</f>
        <v/>
      </c>
      <c r="G1848" s="39"/>
      <c r="H1848" s="39"/>
      <c r="I1848" s="40"/>
      <c r="J1848" s="41"/>
      <c r="K1848" s="38"/>
      <c r="L1848" s="42" t="str">
        <f aca="false">IF($B1848="","",IF(AND(N($I1848)=0,N($J1848)=0),"금액이 없습니다",IF(AND($I1848&gt;0,$J1848&gt;0),"수입·지출 둘 다 적혔습니다",IF($C1848="","결제수단을 고르십시오",IF(ISNA(MATCH($C1848,'교육원 ③ 통장·카드'!$A$5:$A$11,0)),"③ 통장·카드에 없는 결제수단입니다",IF($D1848="","계정과목을 고르십시오",IF($E1848="※없는 과목","④ 설정에 없는 과목입니다",IF(AND($E1848="수입",$J1848&gt;0),"수입 과목인데 지출에 적혔습니다",IF(AND(LEFT($E1848,2)&lt;&gt;"수입",$E1848&lt;&gt;"대체",$I1848&gt;0),"지출 과목인데 수입에 적혔습니다",IF($K1848="","증빙을 고르십시오",IF($H1848="","적요를 적으십시오","")))))))))))</f>
        <v/>
      </c>
      <c r="M1848" s="39"/>
      <c r="O1848" s="11" t="str">
        <f aca="false">IF($B1848="","",YEAR($B1848)*100+MONTH($B1848))</f>
        <v/>
      </c>
      <c r="P1848" s="11" t="str">
        <f aca="false">IF($B1848="","",IF($E1848="대체",0,1))</f>
        <v/>
      </c>
    </row>
    <row r="1849" customFormat="false" ht="15" hidden="false" customHeight="false" outlineLevel="0" collapsed="false">
      <c r="A1849" s="36" t="str">
        <f aca="false">IF($B1849="","",COUNT($B$15:$B1849))</f>
        <v/>
      </c>
      <c r="B1849" s="37"/>
      <c r="C1849" s="38"/>
      <c r="D1849" s="20"/>
      <c r="E1849" s="36" t="str">
        <f aca="false">IF($D1849="","",IFERROR(INDEX('교육원 ④ 설정'!$A$6:$A$40,MATCH($D1849,'교육원 ④ 설정'!$B$6:$B$40,0)),"※없는 과목"))</f>
        <v/>
      </c>
      <c r="F1849" s="36" t="str">
        <f aca="false">IF($D1849="","",IFERROR(INDEX('교육원 ④ 설정'!$C$6:$C$40,MATCH($D1849,'교육원 ④ 설정'!$B$6:$B$40,0)),""))</f>
        <v/>
      </c>
      <c r="G1849" s="39"/>
      <c r="H1849" s="39"/>
      <c r="I1849" s="40"/>
      <c r="J1849" s="41"/>
      <c r="K1849" s="38"/>
      <c r="L1849" s="42" t="str">
        <f aca="false">IF($B1849="","",IF(AND(N($I1849)=0,N($J1849)=0),"금액이 없습니다",IF(AND($I1849&gt;0,$J1849&gt;0),"수입·지출 둘 다 적혔습니다",IF($C1849="","결제수단을 고르십시오",IF(ISNA(MATCH($C1849,'교육원 ③ 통장·카드'!$A$5:$A$11,0)),"③ 통장·카드에 없는 결제수단입니다",IF($D1849="","계정과목을 고르십시오",IF($E1849="※없는 과목","④ 설정에 없는 과목입니다",IF(AND($E1849="수입",$J1849&gt;0),"수입 과목인데 지출에 적혔습니다",IF(AND(LEFT($E1849,2)&lt;&gt;"수입",$E1849&lt;&gt;"대체",$I1849&gt;0),"지출 과목인데 수입에 적혔습니다",IF($K1849="","증빙을 고르십시오",IF($H1849="","적요를 적으십시오","")))))))))))</f>
        <v/>
      </c>
      <c r="M1849" s="39"/>
      <c r="O1849" s="11" t="str">
        <f aca="false">IF($B1849="","",YEAR($B1849)*100+MONTH($B1849))</f>
        <v/>
      </c>
      <c r="P1849" s="11" t="str">
        <f aca="false">IF($B1849="","",IF($E1849="대체",0,1))</f>
        <v/>
      </c>
    </row>
    <row r="1850" customFormat="false" ht="15" hidden="false" customHeight="false" outlineLevel="0" collapsed="false">
      <c r="A1850" s="36" t="str">
        <f aca="false">IF($B1850="","",COUNT($B$15:$B1850))</f>
        <v/>
      </c>
      <c r="B1850" s="37"/>
      <c r="C1850" s="38"/>
      <c r="D1850" s="20"/>
      <c r="E1850" s="36" t="str">
        <f aca="false">IF($D1850="","",IFERROR(INDEX('교육원 ④ 설정'!$A$6:$A$40,MATCH($D1850,'교육원 ④ 설정'!$B$6:$B$40,0)),"※없는 과목"))</f>
        <v/>
      </c>
      <c r="F1850" s="36" t="str">
        <f aca="false">IF($D1850="","",IFERROR(INDEX('교육원 ④ 설정'!$C$6:$C$40,MATCH($D1850,'교육원 ④ 설정'!$B$6:$B$40,0)),""))</f>
        <v/>
      </c>
      <c r="G1850" s="39"/>
      <c r="H1850" s="39"/>
      <c r="I1850" s="40"/>
      <c r="J1850" s="41"/>
      <c r="K1850" s="38"/>
      <c r="L1850" s="42" t="str">
        <f aca="false">IF($B1850="","",IF(AND(N($I1850)=0,N($J1850)=0),"금액이 없습니다",IF(AND($I1850&gt;0,$J1850&gt;0),"수입·지출 둘 다 적혔습니다",IF($C1850="","결제수단을 고르십시오",IF(ISNA(MATCH($C1850,'교육원 ③ 통장·카드'!$A$5:$A$11,0)),"③ 통장·카드에 없는 결제수단입니다",IF($D1850="","계정과목을 고르십시오",IF($E1850="※없는 과목","④ 설정에 없는 과목입니다",IF(AND($E1850="수입",$J1850&gt;0),"수입 과목인데 지출에 적혔습니다",IF(AND(LEFT($E1850,2)&lt;&gt;"수입",$E1850&lt;&gt;"대체",$I1850&gt;0),"지출 과목인데 수입에 적혔습니다",IF($K1850="","증빙을 고르십시오",IF($H1850="","적요를 적으십시오","")))))))))))</f>
        <v/>
      </c>
      <c r="M1850" s="39"/>
      <c r="O1850" s="11" t="str">
        <f aca="false">IF($B1850="","",YEAR($B1850)*100+MONTH($B1850))</f>
        <v/>
      </c>
      <c r="P1850" s="11" t="str">
        <f aca="false">IF($B1850="","",IF($E1850="대체",0,1))</f>
        <v/>
      </c>
    </row>
    <row r="1851" customFormat="false" ht="15" hidden="false" customHeight="false" outlineLevel="0" collapsed="false">
      <c r="A1851" s="36" t="str">
        <f aca="false">IF($B1851="","",COUNT($B$15:$B1851))</f>
        <v/>
      </c>
      <c r="B1851" s="37"/>
      <c r="C1851" s="38"/>
      <c r="D1851" s="20"/>
      <c r="E1851" s="36" t="str">
        <f aca="false">IF($D1851="","",IFERROR(INDEX('교육원 ④ 설정'!$A$6:$A$40,MATCH($D1851,'교육원 ④ 설정'!$B$6:$B$40,0)),"※없는 과목"))</f>
        <v/>
      </c>
      <c r="F1851" s="36" t="str">
        <f aca="false">IF($D1851="","",IFERROR(INDEX('교육원 ④ 설정'!$C$6:$C$40,MATCH($D1851,'교육원 ④ 설정'!$B$6:$B$40,0)),""))</f>
        <v/>
      </c>
      <c r="G1851" s="39"/>
      <c r="H1851" s="39"/>
      <c r="I1851" s="40"/>
      <c r="J1851" s="41"/>
      <c r="K1851" s="38"/>
      <c r="L1851" s="42" t="str">
        <f aca="false">IF($B1851="","",IF(AND(N($I1851)=0,N($J1851)=0),"금액이 없습니다",IF(AND($I1851&gt;0,$J1851&gt;0),"수입·지출 둘 다 적혔습니다",IF($C1851="","결제수단을 고르십시오",IF(ISNA(MATCH($C1851,'교육원 ③ 통장·카드'!$A$5:$A$11,0)),"③ 통장·카드에 없는 결제수단입니다",IF($D1851="","계정과목을 고르십시오",IF($E1851="※없는 과목","④ 설정에 없는 과목입니다",IF(AND($E1851="수입",$J1851&gt;0),"수입 과목인데 지출에 적혔습니다",IF(AND(LEFT($E1851,2)&lt;&gt;"수입",$E1851&lt;&gt;"대체",$I1851&gt;0),"지출 과목인데 수입에 적혔습니다",IF($K1851="","증빙을 고르십시오",IF($H1851="","적요를 적으십시오","")))))))))))</f>
        <v/>
      </c>
      <c r="M1851" s="39"/>
      <c r="O1851" s="11" t="str">
        <f aca="false">IF($B1851="","",YEAR($B1851)*100+MONTH($B1851))</f>
        <v/>
      </c>
      <c r="P1851" s="11" t="str">
        <f aca="false">IF($B1851="","",IF($E1851="대체",0,1))</f>
        <v/>
      </c>
    </row>
    <row r="1852" customFormat="false" ht="15" hidden="false" customHeight="false" outlineLevel="0" collapsed="false">
      <c r="A1852" s="36" t="str">
        <f aca="false">IF($B1852="","",COUNT($B$15:$B1852))</f>
        <v/>
      </c>
      <c r="B1852" s="37"/>
      <c r="C1852" s="38"/>
      <c r="D1852" s="20"/>
      <c r="E1852" s="36" t="str">
        <f aca="false">IF($D1852="","",IFERROR(INDEX('교육원 ④ 설정'!$A$6:$A$40,MATCH($D1852,'교육원 ④ 설정'!$B$6:$B$40,0)),"※없는 과목"))</f>
        <v/>
      </c>
      <c r="F1852" s="36" t="str">
        <f aca="false">IF($D1852="","",IFERROR(INDEX('교육원 ④ 설정'!$C$6:$C$40,MATCH($D1852,'교육원 ④ 설정'!$B$6:$B$40,0)),""))</f>
        <v/>
      </c>
      <c r="G1852" s="39"/>
      <c r="H1852" s="39"/>
      <c r="I1852" s="40"/>
      <c r="J1852" s="41"/>
      <c r="K1852" s="38"/>
      <c r="L1852" s="42" t="str">
        <f aca="false">IF($B1852="","",IF(AND(N($I1852)=0,N($J1852)=0),"금액이 없습니다",IF(AND($I1852&gt;0,$J1852&gt;0),"수입·지출 둘 다 적혔습니다",IF($C1852="","결제수단을 고르십시오",IF(ISNA(MATCH($C1852,'교육원 ③ 통장·카드'!$A$5:$A$11,0)),"③ 통장·카드에 없는 결제수단입니다",IF($D1852="","계정과목을 고르십시오",IF($E1852="※없는 과목","④ 설정에 없는 과목입니다",IF(AND($E1852="수입",$J1852&gt;0),"수입 과목인데 지출에 적혔습니다",IF(AND(LEFT($E1852,2)&lt;&gt;"수입",$E1852&lt;&gt;"대체",$I1852&gt;0),"지출 과목인데 수입에 적혔습니다",IF($K1852="","증빙을 고르십시오",IF($H1852="","적요를 적으십시오","")))))))))))</f>
        <v/>
      </c>
      <c r="M1852" s="39"/>
      <c r="O1852" s="11" t="str">
        <f aca="false">IF($B1852="","",YEAR($B1852)*100+MONTH($B1852))</f>
        <v/>
      </c>
      <c r="P1852" s="11" t="str">
        <f aca="false">IF($B1852="","",IF($E1852="대체",0,1))</f>
        <v/>
      </c>
    </row>
    <row r="1853" customFormat="false" ht="15" hidden="false" customHeight="false" outlineLevel="0" collapsed="false">
      <c r="A1853" s="36" t="str">
        <f aca="false">IF($B1853="","",COUNT($B$15:$B1853))</f>
        <v/>
      </c>
      <c r="B1853" s="37"/>
      <c r="C1853" s="38"/>
      <c r="D1853" s="20"/>
      <c r="E1853" s="36" t="str">
        <f aca="false">IF($D1853="","",IFERROR(INDEX('교육원 ④ 설정'!$A$6:$A$40,MATCH($D1853,'교육원 ④ 설정'!$B$6:$B$40,0)),"※없는 과목"))</f>
        <v/>
      </c>
      <c r="F1853" s="36" t="str">
        <f aca="false">IF($D1853="","",IFERROR(INDEX('교육원 ④ 설정'!$C$6:$C$40,MATCH($D1853,'교육원 ④ 설정'!$B$6:$B$40,0)),""))</f>
        <v/>
      </c>
      <c r="G1853" s="39"/>
      <c r="H1853" s="39"/>
      <c r="I1853" s="40"/>
      <c r="J1853" s="41"/>
      <c r="K1853" s="38"/>
      <c r="L1853" s="42" t="str">
        <f aca="false">IF($B1853="","",IF(AND(N($I1853)=0,N($J1853)=0),"금액이 없습니다",IF(AND($I1853&gt;0,$J1853&gt;0),"수입·지출 둘 다 적혔습니다",IF($C1853="","결제수단을 고르십시오",IF(ISNA(MATCH($C1853,'교육원 ③ 통장·카드'!$A$5:$A$11,0)),"③ 통장·카드에 없는 결제수단입니다",IF($D1853="","계정과목을 고르십시오",IF($E1853="※없는 과목","④ 설정에 없는 과목입니다",IF(AND($E1853="수입",$J1853&gt;0),"수입 과목인데 지출에 적혔습니다",IF(AND(LEFT($E1853,2)&lt;&gt;"수입",$E1853&lt;&gt;"대체",$I1853&gt;0),"지출 과목인데 수입에 적혔습니다",IF($K1853="","증빙을 고르십시오",IF($H1853="","적요를 적으십시오","")))))))))))</f>
        <v/>
      </c>
      <c r="M1853" s="39"/>
      <c r="O1853" s="11" t="str">
        <f aca="false">IF($B1853="","",YEAR($B1853)*100+MONTH($B1853))</f>
        <v/>
      </c>
      <c r="P1853" s="11" t="str">
        <f aca="false">IF($B1853="","",IF($E1853="대체",0,1))</f>
        <v/>
      </c>
    </row>
    <row r="1854" customFormat="false" ht="15" hidden="false" customHeight="false" outlineLevel="0" collapsed="false">
      <c r="A1854" s="36" t="str">
        <f aca="false">IF($B1854="","",COUNT($B$15:$B1854))</f>
        <v/>
      </c>
      <c r="B1854" s="37"/>
      <c r="C1854" s="38"/>
      <c r="D1854" s="20"/>
      <c r="E1854" s="36" t="str">
        <f aca="false">IF($D1854="","",IFERROR(INDEX('교육원 ④ 설정'!$A$6:$A$40,MATCH($D1854,'교육원 ④ 설정'!$B$6:$B$40,0)),"※없는 과목"))</f>
        <v/>
      </c>
      <c r="F1854" s="36" t="str">
        <f aca="false">IF($D1854="","",IFERROR(INDEX('교육원 ④ 설정'!$C$6:$C$40,MATCH($D1854,'교육원 ④ 설정'!$B$6:$B$40,0)),""))</f>
        <v/>
      </c>
      <c r="G1854" s="39"/>
      <c r="H1854" s="39"/>
      <c r="I1854" s="40"/>
      <c r="J1854" s="41"/>
      <c r="K1854" s="38"/>
      <c r="L1854" s="42" t="str">
        <f aca="false">IF($B1854="","",IF(AND(N($I1854)=0,N($J1854)=0),"금액이 없습니다",IF(AND($I1854&gt;0,$J1854&gt;0),"수입·지출 둘 다 적혔습니다",IF($C1854="","결제수단을 고르십시오",IF(ISNA(MATCH($C1854,'교육원 ③ 통장·카드'!$A$5:$A$11,0)),"③ 통장·카드에 없는 결제수단입니다",IF($D1854="","계정과목을 고르십시오",IF($E1854="※없는 과목","④ 설정에 없는 과목입니다",IF(AND($E1854="수입",$J1854&gt;0),"수입 과목인데 지출에 적혔습니다",IF(AND(LEFT($E1854,2)&lt;&gt;"수입",$E1854&lt;&gt;"대체",$I1854&gt;0),"지출 과목인데 수입에 적혔습니다",IF($K1854="","증빙을 고르십시오",IF($H1854="","적요를 적으십시오","")))))))))))</f>
        <v/>
      </c>
      <c r="M1854" s="39"/>
      <c r="O1854" s="11" t="str">
        <f aca="false">IF($B1854="","",YEAR($B1854)*100+MONTH($B1854))</f>
        <v/>
      </c>
      <c r="P1854" s="11" t="str">
        <f aca="false">IF($B1854="","",IF($E1854="대체",0,1))</f>
        <v/>
      </c>
    </row>
    <row r="1855" customFormat="false" ht="15" hidden="false" customHeight="false" outlineLevel="0" collapsed="false">
      <c r="A1855" s="36" t="str">
        <f aca="false">IF($B1855="","",COUNT($B$15:$B1855))</f>
        <v/>
      </c>
      <c r="B1855" s="37"/>
      <c r="C1855" s="38"/>
      <c r="D1855" s="20"/>
      <c r="E1855" s="36" t="str">
        <f aca="false">IF($D1855="","",IFERROR(INDEX('교육원 ④ 설정'!$A$6:$A$40,MATCH($D1855,'교육원 ④ 설정'!$B$6:$B$40,0)),"※없는 과목"))</f>
        <v/>
      </c>
      <c r="F1855" s="36" t="str">
        <f aca="false">IF($D1855="","",IFERROR(INDEX('교육원 ④ 설정'!$C$6:$C$40,MATCH($D1855,'교육원 ④ 설정'!$B$6:$B$40,0)),""))</f>
        <v/>
      </c>
      <c r="G1855" s="39"/>
      <c r="H1855" s="39"/>
      <c r="I1855" s="40"/>
      <c r="J1855" s="41"/>
      <c r="K1855" s="38"/>
      <c r="L1855" s="42" t="str">
        <f aca="false">IF($B1855="","",IF(AND(N($I1855)=0,N($J1855)=0),"금액이 없습니다",IF(AND($I1855&gt;0,$J1855&gt;0),"수입·지출 둘 다 적혔습니다",IF($C1855="","결제수단을 고르십시오",IF(ISNA(MATCH($C1855,'교육원 ③ 통장·카드'!$A$5:$A$11,0)),"③ 통장·카드에 없는 결제수단입니다",IF($D1855="","계정과목을 고르십시오",IF($E1855="※없는 과목","④ 설정에 없는 과목입니다",IF(AND($E1855="수입",$J1855&gt;0),"수입 과목인데 지출에 적혔습니다",IF(AND(LEFT($E1855,2)&lt;&gt;"수입",$E1855&lt;&gt;"대체",$I1855&gt;0),"지출 과목인데 수입에 적혔습니다",IF($K1855="","증빙을 고르십시오",IF($H1855="","적요를 적으십시오","")))))))))))</f>
        <v/>
      </c>
      <c r="M1855" s="39"/>
      <c r="O1855" s="11" t="str">
        <f aca="false">IF($B1855="","",YEAR($B1855)*100+MONTH($B1855))</f>
        <v/>
      </c>
      <c r="P1855" s="11" t="str">
        <f aca="false">IF($B1855="","",IF($E1855="대체",0,1))</f>
        <v/>
      </c>
    </row>
    <row r="1856" customFormat="false" ht="15" hidden="false" customHeight="false" outlineLevel="0" collapsed="false">
      <c r="A1856" s="36" t="str">
        <f aca="false">IF($B1856="","",COUNT($B$15:$B1856))</f>
        <v/>
      </c>
      <c r="B1856" s="37"/>
      <c r="C1856" s="38"/>
      <c r="D1856" s="20"/>
      <c r="E1856" s="36" t="str">
        <f aca="false">IF($D1856="","",IFERROR(INDEX('교육원 ④ 설정'!$A$6:$A$40,MATCH($D1856,'교육원 ④ 설정'!$B$6:$B$40,0)),"※없는 과목"))</f>
        <v/>
      </c>
      <c r="F1856" s="36" t="str">
        <f aca="false">IF($D1856="","",IFERROR(INDEX('교육원 ④ 설정'!$C$6:$C$40,MATCH($D1856,'교육원 ④ 설정'!$B$6:$B$40,0)),""))</f>
        <v/>
      </c>
      <c r="G1856" s="39"/>
      <c r="H1856" s="39"/>
      <c r="I1856" s="40"/>
      <c r="J1856" s="41"/>
      <c r="K1856" s="38"/>
      <c r="L1856" s="42" t="str">
        <f aca="false">IF($B1856="","",IF(AND(N($I1856)=0,N($J1856)=0),"금액이 없습니다",IF(AND($I1856&gt;0,$J1856&gt;0),"수입·지출 둘 다 적혔습니다",IF($C1856="","결제수단을 고르십시오",IF(ISNA(MATCH($C1856,'교육원 ③ 통장·카드'!$A$5:$A$11,0)),"③ 통장·카드에 없는 결제수단입니다",IF($D1856="","계정과목을 고르십시오",IF($E1856="※없는 과목","④ 설정에 없는 과목입니다",IF(AND($E1856="수입",$J1856&gt;0),"수입 과목인데 지출에 적혔습니다",IF(AND(LEFT($E1856,2)&lt;&gt;"수입",$E1856&lt;&gt;"대체",$I1856&gt;0),"지출 과목인데 수입에 적혔습니다",IF($K1856="","증빙을 고르십시오",IF($H1856="","적요를 적으십시오","")))))))))))</f>
        <v/>
      </c>
      <c r="M1856" s="39"/>
      <c r="O1856" s="11" t="str">
        <f aca="false">IF($B1856="","",YEAR($B1856)*100+MONTH($B1856))</f>
        <v/>
      </c>
      <c r="P1856" s="11" t="str">
        <f aca="false">IF($B1856="","",IF($E1856="대체",0,1))</f>
        <v/>
      </c>
    </row>
    <row r="1857" customFormat="false" ht="15" hidden="false" customHeight="false" outlineLevel="0" collapsed="false">
      <c r="A1857" s="36" t="str">
        <f aca="false">IF($B1857="","",COUNT($B$15:$B1857))</f>
        <v/>
      </c>
      <c r="B1857" s="37"/>
      <c r="C1857" s="38"/>
      <c r="D1857" s="20"/>
      <c r="E1857" s="36" t="str">
        <f aca="false">IF($D1857="","",IFERROR(INDEX('교육원 ④ 설정'!$A$6:$A$40,MATCH($D1857,'교육원 ④ 설정'!$B$6:$B$40,0)),"※없는 과목"))</f>
        <v/>
      </c>
      <c r="F1857" s="36" t="str">
        <f aca="false">IF($D1857="","",IFERROR(INDEX('교육원 ④ 설정'!$C$6:$C$40,MATCH($D1857,'교육원 ④ 설정'!$B$6:$B$40,0)),""))</f>
        <v/>
      </c>
      <c r="G1857" s="39"/>
      <c r="H1857" s="39"/>
      <c r="I1857" s="40"/>
      <c r="J1857" s="41"/>
      <c r="K1857" s="38"/>
      <c r="L1857" s="42" t="str">
        <f aca="false">IF($B1857="","",IF(AND(N($I1857)=0,N($J1857)=0),"금액이 없습니다",IF(AND($I1857&gt;0,$J1857&gt;0),"수입·지출 둘 다 적혔습니다",IF($C1857="","결제수단을 고르십시오",IF(ISNA(MATCH($C1857,'교육원 ③ 통장·카드'!$A$5:$A$11,0)),"③ 통장·카드에 없는 결제수단입니다",IF($D1857="","계정과목을 고르십시오",IF($E1857="※없는 과목","④ 설정에 없는 과목입니다",IF(AND($E1857="수입",$J1857&gt;0),"수입 과목인데 지출에 적혔습니다",IF(AND(LEFT($E1857,2)&lt;&gt;"수입",$E1857&lt;&gt;"대체",$I1857&gt;0),"지출 과목인데 수입에 적혔습니다",IF($K1857="","증빙을 고르십시오",IF($H1857="","적요를 적으십시오","")))))))))))</f>
        <v/>
      </c>
      <c r="M1857" s="39"/>
      <c r="O1857" s="11" t="str">
        <f aca="false">IF($B1857="","",YEAR($B1857)*100+MONTH($B1857))</f>
        <v/>
      </c>
      <c r="P1857" s="11" t="str">
        <f aca="false">IF($B1857="","",IF($E1857="대체",0,1))</f>
        <v/>
      </c>
    </row>
    <row r="1858" customFormat="false" ht="15" hidden="false" customHeight="false" outlineLevel="0" collapsed="false">
      <c r="A1858" s="36" t="str">
        <f aca="false">IF($B1858="","",COUNT($B$15:$B1858))</f>
        <v/>
      </c>
      <c r="B1858" s="37"/>
      <c r="C1858" s="38"/>
      <c r="D1858" s="20"/>
      <c r="E1858" s="36" t="str">
        <f aca="false">IF($D1858="","",IFERROR(INDEX('교육원 ④ 설정'!$A$6:$A$40,MATCH($D1858,'교육원 ④ 설정'!$B$6:$B$40,0)),"※없는 과목"))</f>
        <v/>
      </c>
      <c r="F1858" s="36" t="str">
        <f aca="false">IF($D1858="","",IFERROR(INDEX('교육원 ④ 설정'!$C$6:$C$40,MATCH($D1858,'교육원 ④ 설정'!$B$6:$B$40,0)),""))</f>
        <v/>
      </c>
      <c r="G1858" s="39"/>
      <c r="H1858" s="39"/>
      <c r="I1858" s="40"/>
      <c r="J1858" s="41"/>
      <c r="K1858" s="38"/>
      <c r="L1858" s="42" t="str">
        <f aca="false">IF($B1858="","",IF(AND(N($I1858)=0,N($J1858)=0),"금액이 없습니다",IF(AND($I1858&gt;0,$J1858&gt;0),"수입·지출 둘 다 적혔습니다",IF($C1858="","결제수단을 고르십시오",IF(ISNA(MATCH($C1858,'교육원 ③ 통장·카드'!$A$5:$A$11,0)),"③ 통장·카드에 없는 결제수단입니다",IF($D1858="","계정과목을 고르십시오",IF($E1858="※없는 과목","④ 설정에 없는 과목입니다",IF(AND($E1858="수입",$J1858&gt;0),"수입 과목인데 지출에 적혔습니다",IF(AND(LEFT($E1858,2)&lt;&gt;"수입",$E1858&lt;&gt;"대체",$I1858&gt;0),"지출 과목인데 수입에 적혔습니다",IF($K1858="","증빙을 고르십시오",IF($H1858="","적요를 적으십시오","")))))))))))</f>
        <v/>
      </c>
      <c r="M1858" s="39"/>
      <c r="O1858" s="11" t="str">
        <f aca="false">IF($B1858="","",YEAR($B1858)*100+MONTH($B1858))</f>
        <v/>
      </c>
      <c r="P1858" s="11" t="str">
        <f aca="false">IF($B1858="","",IF($E1858="대체",0,1))</f>
        <v/>
      </c>
    </row>
    <row r="1859" customFormat="false" ht="15" hidden="false" customHeight="false" outlineLevel="0" collapsed="false">
      <c r="A1859" s="36" t="str">
        <f aca="false">IF($B1859="","",COUNT($B$15:$B1859))</f>
        <v/>
      </c>
      <c r="B1859" s="37"/>
      <c r="C1859" s="38"/>
      <c r="D1859" s="20"/>
      <c r="E1859" s="36" t="str">
        <f aca="false">IF($D1859="","",IFERROR(INDEX('교육원 ④ 설정'!$A$6:$A$40,MATCH($D1859,'교육원 ④ 설정'!$B$6:$B$40,0)),"※없는 과목"))</f>
        <v/>
      </c>
      <c r="F1859" s="36" t="str">
        <f aca="false">IF($D1859="","",IFERROR(INDEX('교육원 ④ 설정'!$C$6:$C$40,MATCH($D1859,'교육원 ④ 설정'!$B$6:$B$40,0)),""))</f>
        <v/>
      </c>
      <c r="G1859" s="39"/>
      <c r="H1859" s="39"/>
      <c r="I1859" s="40"/>
      <c r="J1859" s="41"/>
      <c r="K1859" s="38"/>
      <c r="L1859" s="42" t="str">
        <f aca="false">IF($B1859="","",IF(AND(N($I1859)=0,N($J1859)=0),"금액이 없습니다",IF(AND($I1859&gt;0,$J1859&gt;0),"수입·지출 둘 다 적혔습니다",IF($C1859="","결제수단을 고르십시오",IF(ISNA(MATCH($C1859,'교육원 ③ 통장·카드'!$A$5:$A$11,0)),"③ 통장·카드에 없는 결제수단입니다",IF($D1859="","계정과목을 고르십시오",IF($E1859="※없는 과목","④ 설정에 없는 과목입니다",IF(AND($E1859="수입",$J1859&gt;0),"수입 과목인데 지출에 적혔습니다",IF(AND(LEFT($E1859,2)&lt;&gt;"수입",$E1859&lt;&gt;"대체",$I1859&gt;0),"지출 과목인데 수입에 적혔습니다",IF($K1859="","증빙을 고르십시오",IF($H1859="","적요를 적으십시오","")))))))))))</f>
        <v/>
      </c>
      <c r="M1859" s="39"/>
      <c r="O1859" s="11" t="str">
        <f aca="false">IF($B1859="","",YEAR($B1859)*100+MONTH($B1859))</f>
        <v/>
      </c>
      <c r="P1859" s="11" t="str">
        <f aca="false">IF($B1859="","",IF($E1859="대체",0,1))</f>
        <v/>
      </c>
    </row>
    <row r="1860" customFormat="false" ht="15" hidden="false" customHeight="false" outlineLevel="0" collapsed="false">
      <c r="A1860" s="36" t="str">
        <f aca="false">IF($B1860="","",COUNT($B$15:$B1860))</f>
        <v/>
      </c>
      <c r="B1860" s="37"/>
      <c r="C1860" s="38"/>
      <c r="D1860" s="20"/>
      <c r="E1860" s="36" t="str">
        <f aca="false">IF($D1860="","",IFERROR(INDEX('교육원 ④ 설정'!$A$6:$A$40,MATCH($D1860,'교육원 ④ 설정'!$B$6:$B$40,0)),"※없는 과목"))</f>
        <v/>
      </c>
      <c r="F1860" s="36" t="str">
        <f aca="false">IF($D1860="","",IFERROR(INDEX('교육원 ④ 설정'!$C$6:$C$40,MATCH($D1860,'교육원 ④ 설정'!$B$6:$B$40,0)),""))</f>
        <v/>
      </c>
      <c r="G1860" s="39"/>
      <c r="H1860" s="39"/>
      <c r="I1860" s="40"/>
      <c r="J1860" s="41"/>
      <c r="K1860" s="38"/>
      <c r="L1860" s="42" t="str">
        <f aca="false">IF($B1860="","",IF(AND(N($I1860)=0,N($J1860)=0),"금액이 없습니다",IF(AND($I1860&gt;0,$J1860&gt;0),"수입·지출 둘 다 적혔습니다",IF($C1860="","결제수단을 고르십시오",IF(ISNA(MATCH($C1860,'교육원 ③ 통장·카드'!$A$5:$A$11,0)),"③ 통장·카드에 없는 결제수단입니다",IF($D1860="","계정과목을 고르십시오",IF($E1860="※없는 과목","④ 설정에 없는 과목입니다",IF(AND($E1860="수입",$J1860&gt;0),"수입 과목인데 지출에 적혔습니다",IF(AND(LEFT($E1860,2)&lt;&gt;"수입",$E1860&lt;&gt;"대체",$I1860&gt;0),"지출 과목인데 수입에 적혔습니다",IF($K1860="","증빙을 고르십시오",IF($H1860="","적요를 적으십시오","")))))))))))</f>
        <v/>
      </c>
      <c r="M1860" s="39"/>
      <c r="O1860" s="11" t="str">
        <f aca="false">IF($B1860="","",YEAR($B1860)*100+MONTH($B1860))</f>
        <v/>
      </c>
      <c r="P1860" s="11" t="str">
        <f aca="false">IF($B1860="","",IF($E1860="대체",0,1))</f>
        <v/>
      </c>
    </row>
    <row r="1861" customFormat="false" ht="15" hidden="false" customHeight="false" outlineLevel="0" collapsed="false">
      <c r="A1861" s="36" t="str">
        <f aca="false">IF($B1861="","",COUNT($B$15:$B1861))</f>
        <v/>
      </c>
      <c r="B1861" s="37"/>
      <c r="C1861" s="38"/>
      <c r="D1861" s="20"/>
      <c r="E1861" s="36" t="str">
        <f aca="false">IF($D1861="","",IFERROR(INDEX('교육원 ④ 설정'!$A$6:$A$40,MATCH($D1861,'교육원 ④ 설정'!$B$6:$B$40,0)),"※없는 과목"))</f>
        <v/>
      </c>
      <c r="F1861" s="36" t="str">
        <f aca="false">IF($D1861="","",IFERROR(INDEX('교육원 ④ 설정'!$C$6:$C$40,MATCH($D1861,'교육원 ④ 설정'!$B$6:$B$40,0)),""))</f>
        <v/>
      </c>
      <c r="G1861" s="39"/>
      <c r="H1861" s="39"/>
      <c r="I1861" s="40"/>
      <c r="J1861" s="41"/>
      <c r="K1861" s="38"/>
      <c r="L1861" s="42" t="str">
        <f aca="false">IF($B1861="","",IF(AND(N($I1861)=0,N($J1861)=0),"금액이 없습니다",IF(AND($I1861&gt;0,$J1861&gt;0),"수입·지출 둘 다 적혔습니다",IF($C1861="","결제수단을 고르십시오",IF(ISNA(MATCH($C1861,'교육원 ③ 통장·카드'!$A$5:$A$11,0)),"③ 통장·카드에 없는 결제수단입니다",IF($D1861="","계정과목을 고르십시오",IF($E1861="※없는 과목","④ 설정에 없는 과목입니다",IF(AND($E1861="수입",$J1861&gt;0),"수입 과목인데 지출에 적혔습니다",IF(AND(LEFT($E1861,2)&lt;&gt;"수입",$E1861&lt;&gt;"대체",$I1861&gt;0),"지출 과목인데 수입에 적혔습니다",IF($K1861="","증빙을 고르십시오",IF($H1861="","적요를 적으십시오","")))))))))))</f>
        <v/>
      </c>
      <c r="M1861" s="39"/>
      <c r="O1861" s="11" t="str">
        <f aca="false">IF($B1861="","",YEAR($B1861)*100+MONTH($B1861))</f>
        <v/>
      </c>
      <c r="P1861" s="11" t="str">
        <f aca="false">IF($B1861="","",IF($E1861="대체",0,1))</f>
        <v/>
      </c>
    </row>
    <row r="1862" customFormat="false" ht="15" hidden="false" customHeight="false" outlineLevel="0" collapsed="false">
      <c r="A1862" s="36" t="str">
        <f aca="false">IF($B1862="","",COUNT($B$15:$B1862))</f>
        <v/>
      </c>
      <c r="B1862" s="37"/>
      <c r="C1862" s="38"/>
      <c r="D1862" s="20"/>
      <c r="E1862" s="36" t="str">
        <f aca="false">IF($D1862="","",IFERROR(INDEX('교육원 ④ 설정'!$A$6:$A$40,MATCH($D1862,'교육원 ④ 설정'!$B$6:$B$40,0)),"※없는 과목"))</f>
        <v/>
      </c>
      <c r="F1862" s="36" t="str">
        <f aca="false">IF($D1862="","",IFERROR(INDEX('교육원 ④ 설정'!$C$6:$C$40,MATCH($D1862,'교육원 ④ 설정'!$B$6:$B$40,0)),""))</f>
        <v/>
      </c>
      <c r="G1862" s="39"/>
      <c r="H1862" s="39"/>
      <c r="I1862" s="40"/>
      <c r="J1862" s="41"/>
      <c r="K1862" s="38"/>
      <c r="L1862" s="42" t="str">
        <f aca="false">IF($B1862="","",IF(AND(N($I1862)=0,N($J1862)=0),"금액이 없습니다",IF(AND($I1862&gt;0,$J1862&gt;0),"수입·지출 둘 다 적혔습니다",IF($C1862="","결제수단을 고르십시오",IF(ISNA(MATCH($C1862,'교육원 ③ 통장·카드'!$A$5:$A$11,0)),"③ 통장·카드에 없는 결제수단입니다",IF($D1862="","계정과목을 고르십시오",IF($E1862="※없는 과목","④ 설정에 없는 과목입니다",IF(AND($E1862="수입",$J1862&gt;0),"수입 과목인데 지출에 적혔습니다",IF(AND(LEFT($E1862,2)&lt;&gt;"수입",$E1862&lt;&gt;"대체",$I1862&gt;0),"지출 과목인데 수입에 적혔습니다",IF($K1862="","증빙을 고르십시오",IF($H1862="","적요를 적으십시오","")))))))))))</f>
        <v/>
      </c>
      <c r="M1862" s="39"/>
      <c r="O1862" s="11" t="str">
        <f aca="false">IF($B1862="","",YEAR($B1862)*100+MONTH($B1862))</f>
        <v/>
      </c>
      <c r="P1862" s="11" t="str">
        <f aca="false">IF($B1862="","",IF($E1862="대체",0,1))</f>
        <v/>
      </c>
    </row>
    <row r="1863" customFormat="false" ht="15" hidden="false" customHeight="false" outlineLevel="0" collapsed="false">
      <c r="A1863" s="36" t="str">
        <f aca="false">IF($B1863="","",COUNT($B$15:$B1863))</f>
        <v/>
      </c>
      <c r="B1863" s="37"/>
      <c r="C1863" s="38"/>
      <c r="D1863" s="20"/>
      <c r="E1863" s="36" t="str">
        <f aca="false">IF($D1863="","",IFERROR(INDEX('교육원 ④ 설정'!$A$6:$A$40,MATCH($D1863,'교육원 ④ 설정'!$B$6:$B$40,0)),"※없는 과목"))</f>
        <v/>
      </c>
      <c r="F1863" s="36" t="str">
        <f aca="false">IF($D1863="","",IFERROR(INDEX('교육원 ④ 설정'!$C$6:$C$40,MATCH($D1863,'교육원 ④ 설정'!$B$6:$B$40,0)),""))</f>
        <v/>
      </c>
      <c r="G1863" s="39"/>
      <c r="H1863" s="39"/>
      <c r="I1863" s="40"/>
      <c r="J1863" s="41"/>
      <c r="K1863" s="38"/>
      <c r="L1863" s="42" t="str">
        <f aca="false">IF($B1863="","",IF(AND(N($I1863)=0,N($J1863)=0),"금액이 없습니다",IF(AND($I1863&gt;0,$J1863&gt;0),"수입·지출 둘 다 적혔습니다",IF($C1863="","결제수단을 고르십시오",IF(ISNA(MATCH($C1863,'교육원 ③ 통장·카드'!$A$5:$A$11,0)),"③ 통장·카드에 없는 결제수단입니다",IF($D1863="","계정과목을 고르십시오",IF($E1863="※없는 과목","④ 설정에 없는 과목입니다",IF(AND($E1863="수입",$J1863&gt;0),"수입 과목인데 지출에 적혔습니다",IF(AND(LEFT($E1863,2)&lt;&gt;"수입",$E1863&lt;&gt;"대체",$I1863&gt;0),"지출 과목인데 수입에 적혔습니다",IF($K1863="","증빙을 고르십시오",IF($H1863="","적요를 적으십시오","")))))))))))</f>
        <v/>
      </c>
      <c r="M1863" s="39"/>
      <c r="O1863" s="11" t="str">
        <f aca="false">IF($B1863="","",YEAR($B1863)*100+MONTH($B1863))</f>
        <v/>
      </c>
      <c r="P1863" s="11" t="str">
        <f aca="false">IF($B1863="","",IF($E1863="대체",0,1))</f>
        <v/>
      </c>
    </row>
    <row r="1864" customFormat="false" ht="15" hidden="false" customHeight="false" outlineLevel="0" collapsed="false">
      <c r="A1864" s="36" t="str">
        <f aca="false">IF($B1864="","",COUNT($B$15:$B1864))</f>
        <v/>
      </c>
      <c r="B1864" s="37"/>
      <c r="C1864" s="38"/>
      <c r="D1864" s="20"/>
      <c r="E1864" s="36" t="str">
        <f aca="false">IF($D1864="","",IFERROR(INDEX('교육원 ④ 설정'!$A$6:$A$40,MATCH($D1864,'교육원 ④ 설정'!$B$6:$B$40,0)),"※없는 과목"))</f>
        <v/>
      </c>
      <c r="F1864" s="36" t="str">
        <f aca="false">IF($D1864="","",IFERROR(INDEX('교육원 ④ 설정'!$C$6:$C$40,MATCH($D1864,'교육원 ④ 설정'!$B$6:$B$40,0)),""))</f>
        <v/>
      </c>
      <c r="G1864" s="39"/>
      <c r="H1864" s="39"/>
      <c r="I1864" s="40"/>
      <c r="J1864" s="41"/>
      <c r="K1864" s="38"/>
      <c r="L1864" s="42" t="str">
        <f aca="false">IF($B1864="","",IF(AND(N($I1864)=0,N($J1864)=0),"금액이 없습니다",IF(AND($I1864&gt;0,$J1864&gt;0),"수입·지출 둘 다 적혔습니다",IF($C1864="","결제수단을 고르십시오",IF(ISNA(MATCH($C1864,'교육원 ③ 통장·카드'!$A$5:$A$11,0)),"③ 통장·카드에 없는 결제수단입니다",IF($D1864="","계정과목을 고르십시오",IF($E1864="※없는 과목","④ 설정에 없는 과목입니다",IF(AND($E1864="수입",$J1864&gt;0),"수입 과목인데 지출에 적혔습니다",IF(AND(LEFT($E1864,2)&lt;&gt;"수입",$E1864&lt;&gt;"대체",$I1864&gt;0),"지출 과목인데 수입에 적혔습니다",IF($K1864="","증빙을 고르십시오",IF($H1864="","적요를 적으십시오","")))))))))))</f>
        <v/>
      </c>
      <c r="M1864" s="39"/>
      <c r="O1864" s="11" t="str">
        <f aca="false">IF($B1864="","",YEAR($B1864)*100+MONTH($B1864))</f>
        <v/>
      </c>
      <c r="P1864" s="11" t="str">
        <f aca="false">IF($B1864="","",IF($E1864="대체",0,1))</f>
        <v/>
      </c>
    </row>
    <row r="1865" customFormat="false" ht="15" hidden="false" customHeight="false" outlineLevel="0" collapsed="false">
      <c r="A1865" s="36" t="str">
        <f aca="false">IF($B1865="","",COUNT($B$15:$B1865))</f>
        <v/>
      </c>
      <c r="B1865" s="37"/>
      <c r="C1865" s="38"/>
      <c r="D1865" s="20"/>
      <c r="E1865" s="36" t="str">
        <f aca="false">IF($D1865="","",IFERROR(INDEX('교육원 ④ 설정'!$A$6:$A$40,MATCH($D1865,'교육원 ④ 설정'!$B$6:$B$40,0)),"※없는 과목"))</f>
        <v/>
      </c>
      <c r="F1865" s="36" t="str">
        <f aca="false">IF($D1865="","",IFERROR(INDEX('교육원 ④ 설정'!$C$6:$C$40,MATCH($D1865,'교육원 ④ 설정'!$B$6:$B$40,0)),""))</f>
        <v/>
      </c>
      <c r="G1865" s="39"/>
      <c r="H1865" s="39"/>
      <c r="I1865" s="40"/>
      <c r="J1865" s="41"/>
      <c r="K1865" s="38"/>
      <c r="L1865" s="42" t="str">
        <f aca="false">IF($B1865="","",IF(AND(N($I1865)=0,N($J1865)=0),"금액이 없습니다",IF(AND($I1865&gt;0,$J1865&gt;0),"수입·지출 둘 다 적혔습니다",IF($C1865="","결제수단을 고르십시오",IF(ISNA(MATCH($C1865,'교육원 ③ 통장·카드'!$A$5:$A$11,0)),"③ 통장·카드에 없는 결제수단입니다",IF($D1865="","계정과목을 고르십시오",IF($E1865="※없는 과목","④ 설정에 없는 과목입니다",IF(AND($E1865="수입",$J1865&gt;0),"수입 과목인데 지출에 적혔습니다",IF(AND(LEFT($E1865,2)&lt;&gt;"수입",$E1865&lt;&gt;"대체",$I1865&gt;0),"지출 과목인데 수입에 적혔습니다",IF($K1865="","증빙을 고르십시오",IF($H1865="","적요를 적으십시오","")))))))))))</f>
        <v/>
      </c>
      <c r="M1865" s="39"/>
      <c r="O1865" s="11" t="str">
        <f aca="false">IF($B1865="","",YEAR($B1865)*100+MONTH($B1865))</f>
        <v/>
      </c>
      <c r="P1865" s="11" t="str">
        <f aca="false">IF($B1865="","",IF($E1865="대체",0,1))</f>
        <v/>
      </c>
    </row>
    <row r="1866" customFormat="false" ht="15" hidden="false" customHeight="false" outlineLevel="0" collapsed="false">
      <c r="A1866" s="36" t="str">
        <f aca="false">IF($B1866="","",COUNT($B$15:$B1866))</f>
        <v/>
      </c>
      <c r="B1866" s="37"/>
      <c r="C1866" s="38"/>
      <c r="D1866" s="20"/>
      <c r="E1866" s="36" t="str">
        <f aca="false">IF($D1866="","",IFERROR(INDEX('교육원 ④ 설정'!$A$6:$A$40,MATCH($D1866,'교육원 ④ 설정'!$B$6:$B$40,0)),"※없는 과목"))</f>
        <v/>
      </c>
      <c r="F1866" s="36" t="str">
        <f aca="false">IF($D1866="","",IFERROR(INDEX('교육원 ④ 설정'!$C$6:$C$40,MATCH($D1866,'교육원 ④ 설정'!$B$6:$B$40,0)),""))</f>
        <v/>
      </c>
      <c r="G1866" s="39"/>
      <c r="H1866" s="39"/>
      <c r="I1866" s="40"/>
      <c r="J1866" s="41"/>
      <c r="K1866" s="38"/>
      <c r="L1866" s="42" t="str">
        <f aca="false">IF($B1866="","",IF(AND(N($I1866)=0,N($J1866)=0),"금액이 없습니다",IF(AND($I1866&gt;0,$J1866&gt;0),"수입·지출 둘 다 적혔습니다",IF($C1866="","결제수단을 고르십시오",IF(ISNA(MATCH($C1866,'교육원 ③ 통장·카드'!$A$5:$A$11,0)),"③ 통장·카드에 없는 결제수단입니다",IF($D1866="","계정과목을 고르십시오",IF($E1866="※없는 과목","④ 설정에 없는 과목입니다",IF(AND($E1866="수입",$J1866&gt;0),"수입 과목인데 지출에 적혔습니다",IF(AND(LEFT($E1866,2)&lt;&gt;"수입",$E1866&lt;&gt;"대체",$I1866&gt;0),"지출 과목인데 수입에 적혔습니다",IF($K1866="","증빙을 고르십시오",IF($H1866="","적요를 적으십시오","")))))))))))</f>
        <v/>
      </c>
      <c r="M1866" s="39"/>
      <c r="O1866" s="11" t="str">
        <f aca="false">IF($B1866="","",YEAR($B1866)*100+MONTH($B1866))</f>
        <v/>
      </c>
      <c r="P1866" s="11" t="str">
        <f aca="false">IF($B1866="","",IF($E1866="대체",0,1))</f>
        <v/>
      </c>
    </row>
    <row r="1867" customFormat="false" ht="15" hidden="false" customHeight="false" outlineLevel="0" collapsed="false">
      <c r="A1867" s="36" t="str">
        <f aca="false">IF($B1867="","",COUNT($B$15:$B1867))</f>
        <v/>
      </c>
      <c r="B1867" s="37"/>
      <c r="C1867" s="38"/>
      <c r="D1867" s="20"/>
      <c r="E1867" s="36" t="str">
        <f aca="false">IF($D1867="","",IFERROR(INDEX('교육원 ④ 설정'!$A$6:$A$40,MATCH($D1867,'교육원 ④ 설정'!$B$6:$B$40,0)),"※없는 과목"))</f>
        <v/>
      </c>
      <c r="F1867" s="36" t="str">
        <f aca="false">IF($D1867="","",IFERROR(INDEX('교육원 ④ 설정'!$C$6:$C$40,MATCH($D1867,'교육원 ④ 설정'!$B$6:$B$40,0)),""))</f>
        <v/>
      </c>
      <c r="G1867" s="39"/>
      <c r="H1867" s="39"/>
      <c r="I1867" s="40"/>
      <c r="J1867" s="41"/>
      <c r="K1867" s="38"/>
      <c r="L1867" s="42" t="str">
        <f aca="false">IF($B1867="","",IF(AND(N($I1867)=0,N($J1867)=0),"금액이 없습니다",IF(AND($I1867&gt;0,$J1867&gt;0),"수입·지출 둘 다 적혔습니다",IF($C1867="","결제수단을 고르십시오",IF(ISNA(MATCH($C1867,'교육원 ③ 통장·카드'!$A$5:$A$11,0)),"③ 통장·카드에 없는 결제수단입니다",IF($D1867="","계정과목을 고르십시오",IF($E1867="※없는 과목","④ 설정에 없는 과목입니다",IF(AND($E1867="수입",$J1867&gt;0),"수입 과목인데 지출에 적혔습니다",IF(AND(LEFT($E1867,2)&lt;&gt;"수입",$E1867&lt;&gt;"대체",$I1867&gt;0),"지출 과목인데 수입에 적혔습니다",IF($K1867="","증빙을 고르십시오",IF($H1867="","적요를 적으십시오","")))))))))))</f>
        <v/>
      </c>
      <c r="M1867" s="39"/>
      <c r="O1867" s="11" t="str">
        <f aca="false">IF($B1867="","",YEAR($B1867)*100+MONTH($B1867))</f>
        <v/>
      </c>
      <c r="P1867" s="11" t="str">
        <f aca="false">IF($B1867="","",IF($E1867="대체",0,1))</f>
        <v/>
      </c>
    </row>
    <row r="1868" customFormat="false" ht="15" hidden="false" customHeight="false" outlineLevel="0" collapsed="false">
      <c r="A1868" s="36" t="str">
        <f aca="false">IF($B1868="","",COUNT($B$15:$B1868))</f>
        <v/>
      </c>
      <c r="B1868" s="37"/>
      <c r="C1868" s="38"/>
      <c r="D1868" s="20"/>
      <c r="E1868" s="36" t="str">
        <f aca="false">IF($D1868="","",IFERROR(INDEX('교육원 ④ 설정'!$A$6:$A$40,MATCH($D1868,'교육원 ④ 설정'!$B$6:$B$40,0)),"※없는 과목"))</f>
        <v/>
      </c>
      <c r="F1868" s="36" t="str">
        <f aca="false">IF($D1868="","",IFERROR(INDEX('교육원 ④ 설정'!$C$6:$C$40,MATCH($D1868,'교육원 ④ 설정'!$B$6:$B$40,0)),""))</f>
        <v/>
      </c>
      <c r="G1868" s="39"/>
      <c r="H1868" s="39"/>
      <c r="I1868" s="40"/>
      <c r="J1868" s="41"/>
      <c r="K1868" s="38"/>
      <c r="L1868" s="42" t="str">
        <f aca="false">IF($B1868="","",IF(AND(N($I1868)=0,N($J1868)=0),"금액이 없습니다",IF(AND($I1868&gt;0,$J1868&gt;0),"수입·지출 둘 다 적혔습니다",IF($C1868="","결제수단을 고르십시오",IF(ISNA(MATCH($C1868,'교육원 ③ 통장·카드'!$A$5:$A$11,0)),"③ 통장·카드에 없는 결제수단입니다",IF($D1868="","계정과목을 고르십시오",IF($E1868="※없는 과목","④ 설정에 없는 과목입니다",IF(AND($E1868="수입",$J1868&gt;0),"수입 과목인데 지출에 적혔습니다",IF(AND(LEFT($E1868,2)&lt;&gt;"수입",$E1868&lt;&gt;"대체",$I1868&gt;0),"지출 과목인데 수입에 적혔습니다",IF($K1868="","증빙을 고르십시오",IF($H1868="","적요를 적으십시오","")))))))))))</f>
        <v/>
      </c>
      <c r="M1868" s="39"/>
      <c r="O1868" s="11" t="str">
        <f aca="false">IF($B1868="","",YEAR($B1868)*100+MONTH($B1868))</f>
        <v/>
      </c>
      <c r="P1868" s="11" t="str">
        <f aca="false">IF($B1868="","",IF($E1868="대체",0,1))</f>
        <v/>
      </c>
    </row>
    <row r="1869" customFormat="false" ht="15" hidden="false" customHeight="false" outlineLevel="0" collapsed="false">
      <c r="A1869" s="36" t="str">
        <f aca="false">IF($B1869="","",COUNT($B$15:$B1869))</f>
        <v/>
      </c>
      <c r="B1869" s="37"/>
      <c r="C1869" s="38"/>
      <c r="D1869" s="20"/>
      <c r="E1869" s="36" t="str">
        <f aca="false">IF($D1869="","",IFERROR(INDEX('교육원 ④ 설정'!$A$6:$A$40,MATCH($D1869,'교육원 ④ 설정'!$B$6:$B$40,0)),"※없는 과목"))</f>
        <v/>
      </c>
      <c r="F1869" s="36" t="str">
        <f aca="false">IF($D1869="","",IFERROR(INDEX('교육원 ④ 설정'!$C$6:$C$40,MATCH($D1869,'교육원 ④ 설정'!$B$6:$B$40,0)),""))</f>
        <v/>
      </c>
      <c r="G1869" s="39"/>
      <c r="H1869" s="39"/>
      <c r="I1869" s="40"/>
      <c r="J1869" s="41"/>
      <c r="K1869" s="38"/>
      <c r="L1869" s="42" t="str">
        <f aca="false">IF($B1869="","",IF(AND(N($I1869)=0,N($J1869)=0),"금액이 없습니다",IF(AND($I1869&gt;0,$J1869&gt;0),"수입·지출 둘 다 적혔습니다",IF($C1869="","결제수단을 고르십시오",IF(ISNA(MATCH($C1869,'교육원 ③ 통장·카드'!$A$5:$A$11,0)),"③ 통장·카드에 없는 결제수단입니다",IF($D1869="","계정과목을 고르십시오",IF($E1869="※없는 과목","④ 설정에 없는 과목입니다",IF(AND($E1869="수입",$J1869&gt;0),"수입 과목인데 지출에 적혔습니다",IF(AND(LEFT($E1869,2)&lt;&gt;"수입",$E1869&lt;&gt;"대체",$I1869&gt;0),"지출 과목인데 수입에 적혔습니다",IF($K1869="","증빙을 고르십시오",IF($H1869="","적요를 적으십시오","")))))))))))</f>
        <v/>
      </c>
      <c r="M1869" s="39"/>
      <c r="O1869" s="11" t="str">
        <f aca="false">IF($B1869="","",YEAR($B1869)*100+MONTH($B1869))</f>
        <v/>
      </c>
      <c r="P1869" s="11" t="str">
        <f aca="false">IF($B1869="","",IF($E1869="대체",0,1))</f>
        <v/>
      </c>
    </row>
    <row r="1870" customFormat="false" ht="15" hidden="false" customHeight="false" outlineLevel="0" collapsed="false">
      <c r="A1870" s="36" t="str">
        <f aca="false">IF($B1870="","",COUNT($B$15:$B1870))</f>
        <v/>
      </c>
      <c r="B1870" s="37"/>
      <c r="C1870" s="38"/>
      <c r="D1870" s="20"/>
      <c r="E1870" s="36" t="str">
        <f aca="false">IF($D1870="","",IFERROR(INDEX('교육원 ④ 설정'!$A$6:$A$40,MATCH($D1870,'교육원 ④ 설정'!$B$6:$B$40,0)),"※없는 과목"))</f>
        <v/>
      </c>
      <c r="F1870" s="36" t="str">
        <f aca="false">IF($D1870="","",IFERROR(INDEX('교육원 ④ 설정'!$C$6:$C$40,MATCH($D1870,'교육원 ④ 설정'!$B$6:$B$40,0)),""))</f>
        <v/>
      </c>
      <c r="G1870" s="39"/>
      <c r="H1870" s="39"/>
      <c r="I1870" s="40"/>
      <c r="J1870" s="41"/>
      <c r="K1870" s="38"/>
      <c r="L1870" s="42" t="str">
        <f aca="false">IF($B1870="","",IF(AND(N($I1870)=0,N($J1870)=0),"금액이 없습니다",IF(AND($I1870&gt;0,$J1870&gt;0),"수입·지출 둘 다 적혔습니다",IF($C1870="","결제수단을 고르십시오",IF(ISNA(MATCH($C1870,'교육원 ③ 통장·카드'!$A$5:$A$11,0)),"③ 통장·카드에 없는 결제수단입니다",IF($D1870="","계정과목을 고르십시오",IF($E1870="※없는 과목","④ 설정에 없는 과목입니다",IF(AND($E1870="수입",$J1870&gt;0),"수입 과목인데 지출에 적혔습니다",IF(AND(LEFT($E1870,2)&lt;&gt;"수입",$E1870&lt;&gt;"대체",$I1870&gt;0),"지출 과목인데 수입에 적혔습니다",IF($K1870="","증빙을 고르십시오",IF($H1870="","적요를 적으십시오","")))))))))))</f>
        <v/>
      </c>
      <c r="M1870" s="39"/>
      <c r="O1870" s="11" t="str">
        <f aca="false">IF($B1870="","",YEAR($B1870)*100+MONTH($B1870))</f>
        <v/>
      </c>
      <c r="P1870" s="11" t="str">
        <f aca="false">IF($B1870="","",IF($E1870="대체",0,1))</f>
        <v/>
      </c>
    </row>
    <row r="1871" customFormat="false" ht="15" hidden="false" customHeight="false" outlineLevel="0" collapsed="false">
      <c r="A1871" s="36" t="str">
        <f aca="false">IF($B1871="","",COUNT($B$15:$B1871))</f>
        <v/>
      </c>
      <c r="B1871" s="37"/>
      <c r="C1871" s="38"/>
      <c r="D1871" s="20"/>
      <c r="E1871" s="36" t="str">
        <f aca="false">IF($D1871="","",IFERROR(INDEX('교육원 ④ 설정'!$A$6:$A$40,MATCH($D1871,'교육원 ④ 설정'!$B$6:$B$40,0)),"※없는 과목"))</f>
        <v/>
      </c>
      <c r="F1871" s="36" t="str">
        <f aca="false">IF($D1871="","",IFERROR(INDEX('교육원 ④ 설정'!$C$6:$C$40,MATCH($D1871,'교육원 ④ 설정'!$B$6:$B$40,0)),""))</f>
        <v/>
      </c>
      <c r="G1871" s="39"/>
      <c r="H1871" s="39"/>
      <c r="I1871" s="40"/>
      <c r="J1871" s="41"/>
      <c r="K1871" s="38"/>
      <c r="L1871" s="42" t="str">
        <f aca="false">IF($B1871="","",IF(AND(N($I1871)=0,N($J1871)=0),"금액이 없습니다",IF(AND($I1871&gt;0,$J1871&gt;0),"수입·지출 둘 다 적혔습니다",IF($C1871="","결제수단을 고르십시오",IF(ISNA(MATCH($C1871,'교육원 ③ 통장·카드'!$A$5:$A$11,0)),"③ 통장·카드에 없는 결제수단입니다",IF($D1871="","계정과목을 고르십시오",IF($E1871="※없는 과목","④ 설정에 없는 과목입니다",IF(AND($E1871="수입",$J1871&gt;0),"수입 과목인데 지출에 적혔습니다",IF(AND(LEFT($E1871,2)&lt;&gt;"수입",$E1871&lt;&gt;"대체",$I1871&gt;0),"지출 과목인데 수입에 적혔습니다",IF($K1871="","증빙을 고르십시오",IF($H1871="","적요를 적으십시오","")))))))))))</f>
        <v/>
      </c>
      <c r="M1871" s="39"/>
      <c r="O1871" s="11" t="str">
        <f aca="false">IF($B1871="","",YEAR($B1871)*100+MONTH($B1871))</f>
        <v/>
      </c>
      <c r="P1871" s="11" t="str">
        <f aca="false">IF($B1871="","",IF($E1871="대체",0,1))</f>
        <v/>
      </c>
    </row>
    <row r="1872" customFormat="false" ht="15" hidden="false" customHeight="false" outlineLevel="0" collapsed="false">
      <c r="A1872" s="36" t="str">
        <f aca="false">IF($B1872="","",COUNT($B$15:$B1872))</f>
        <v/>
      </c>
      <c r="B1872" s="37"/>
      <c r="C1872" s="38"/>
      <c r="D1872" s="20"/>
      <c r="E1872" s="36" t="str">
        <f aca="false">IF($D1872="","",IFERROR(INDEX('교육원 ④ 설정'!$A$6:$A$40,MATCH($D1872,'교육원 ④ 설정'!$B$6:$B$40,0)),"※없는 과목"))</f>
        <v/>
      </c>
      <c r="F1872" s="36" t="str">
        <f aca="false">IF($D1872="","",IFERROR(INDEX('교육원 ④ 설정'!$C$6:$C$40,MATCH($D1872,'교육원 ④ 설정'!$B$6:$B$40,0)),""))</f>
        <v/>
      </c>
      <c r="G1872" s="39"/>
      <c r="H1872" s="39"/>
      <c r="I1872" s="40"/>
      <c r="J1872" s="41"/>
      <c r="K1872" s="38"/>
      <c r="L1872" s="42" t="str">
        <f aca="false">IF($B1872="","",IF(AND(N($I1872)=0,N($J1872)=0),"금액이 없습니다",IF(AND($I1872&gt;0,$J1872&gt;0),"수입·지출 둘 다 적혔습니다",IF($C1872="","결제수단을 고르십시오",IF(ISNA(MATCH($C1872,'교육원 ③ 통장·카드'!$A$5:$A$11,0)),"③ 통장·카드에 없는 결제수단입니다",IF($D1872="","계정과목을 고르십시오",IF($E1872="※없는 과목","④ 설정에 없는 과목입니다",IF(AND($E1872="수입",$J1872&gt;0),"수입 과목인데 지출에 적혔습니다",IF(AND(LEFT($E1872,2)&lt;&gt;"수입",$E1872&lt;&gt;"대체",$I1872&gt;0),"지출 과목인데 수입에 적혔습니다",IF($K1872="","증빙을 고르십시오",IF($H1872="","적요를 적으십시오","")))))))))))</f>
        <v/>
      </c>
      <c r="M1872" s="39"/>
      <c r="O1872" s="11" t="str">
        <f aca="false">IF($B1872="","",YEAR($B1872)*100+MONTH($B1872))</f>
        <v/>
      </c>
      <c r="P1872" s="11" t="str">
        <f aca="false">IF($B1872="","",IF($E1872="대체",0,1))</f>
        <v/>
      </c>
    </row>
    <row r="1873" customFormat="false" ht="15" hidden="false" customHeight="false" outlineLevel="0" collapsed="false">
      <c r="A1873" s="36" t="str">
        <f aca="false">IF($B1873="","",COUNT($B$15:$B1873))</f>
        <v/>
      </c>
      <c r="B1873" s="37"/>
      <c r="C1873" s="38"/>
      <c r="D1873" s="20"/>
      <c r="E1873" s="36" t="str">
        <f aca="false">IF($D1873="","",IFERROR(INDEX('교육원 ④ 설정'!$A$6:$A$40,MATCH($D1873,'교육원 ④ 설정'!$B$6:$B$40,0)),"※없는 과목"))</f>
        <v/>
      </c>
      <c r="F1873" s="36" t="str">
        <f aca="false">IF($D1873="","",IFERROR(INDEX('교육원 ④ 설정'!$C$6:$C$40,MATCH($D1873,'교육원 ④ 설정'!$B$6:$B$40,0)),""))</f>
        <v/>
      </c>
      <c r="G1873" s="39"/>
      <c r="H1873" s="39"/>
      <c r="I1873" s="40"/>
      <c r="J1873" s="41"/>
      <c r="K1873" s="38"/>
      <c r="L1873" s="42" t="str">
        <f aca="false">IF($B1873="","",IF(AND(N($I1873)=0,N($J1873)=0),"금액이 없습니다",IF(AND($I1873&gt;0,$J1873&gt;0),"수입·지출 둘 다 적혔습니다",IF($C1873="","결제수단을 고르십시오",IF(ISNA(MATCH($C1873,'교육원 ③ 통장·카드'!$A$5:$A$11,0)),"③ 통장·카드에 없는 결제수단입니다",IF($D1873="","계정과목을 고르십시오",IF($E1873="※없는 과목","④ 설정에 없는 과목입니다",IF(AND($E1873="수입",$J1873&gt;0),"수입 과목인데 지출에 적혔습니다",IF(AND(LEFT($E1873,2)&lt;&gt;"수입",$E1873&lt;&gt;"대체",$I1873&gt;0),"지출 과목인데 수입에 적혔습니다",IF($K1873="","증빙을 고르십시오",IF($H1873="","적요를 적으십시오","")))))))))))</f>
        <v/>
      </c>
      <c r="M1873" s="39"/>
      <c r="O1873" s="11" t="str">
        <f aca="false">IF($B1873="","",YEAR($B1873)*100+MONTH($B1873))</f>
        <v/>
      </c>
      <c r="P1873" s="11" t="str">
        <f aca="false">IF($B1873="","",IF($E1873="대체",0,1))</f>
        <v/>
      </c>
    </row>
    <row r="1874" customFormat="false" ht="15" hidden="false" customHeight="false" outlineLevel="0" collapsed="false">
      <c r="A1874" s="36" t="str">
        <f aca="false">IF($B1874="","",COUNT($B$15:$B1874))</f>
        <v/>
      </c>
      <c r="B1874" s="37"/>
      <c r="C1874" s="38"/>
      <c r="D1874" s="20"/>
      <c r="E1874" s="36" t="str">
        <f aca="false">IF($D1874="","",IFERROR(INDEX('교육원 ④ 설정'!$A$6:$A$40,MATCH($D1874,'교육원 ④ 설정'!$B$6:$B$40,0)),"※없는 과목"))</f>
        <v/>
      </c>
      <c r="F1874" s="36" t="str">
        <f aca="false">IF($D1874="","",IFERROR(INDEX('교육원 ④ 설정'!$C$6:$C$40,MATCH($D1874,'교육원 ④ 설정'!$B$6:$B$40,0)),""))</f>
        <v/>
      </c>
      <c r="G1874" s="39"/>
      <c r="H1874" s="39"/>
      <c r="I1874" s="40"/>
      <c r="J1874" s="41"/>
      <c r="K1874" s="38"/>
      <c r="L1874" s="42" t="str">
        <f aca="false">IF($B1874="","",IF(AND(N($I1874)=0,N($J1874)=0),"금액이 없습니다",IF(AND($I1874&gt;0,$J1874&gt;0),"수입·지출 둘 다 적혔습니다",IF($C1874="","결제수단을 고르십시오",IF(ISNA(MATCH($C1874,'교육원 ③ 통장·카드'!$A$5:$A$11,0)),"③ 통장·카드에 없는 결제수단입니다",IF($D1874="","계정과목을 고르십시오",IF($E1874="※없는 과목","④ 설정에 없는 과목입니다",IF(AND($E1874="수입",$J1874&gt;0),"수입 과목인데 지출에 적혔습니다",IF(AND(LEFT($E1874,2)&lt;&gt;"수입",$E1874&lt;&gt;"대체",$I1874&gt;0),"지출 과목인데 수입에 적혔습니다",IF($K1874="","증빙을 고르십시오",IF($H1874="","적요를 적으십시오","")))))))))))</f>
        <v/>
      </c>
      <c r="M1874" s="39"/>
      <c r="O1874" s="11" t="str">
        <f aca="false">IF($B1874="","",YEAR($B1874)*100+MONTH($B1874))</f>
        <v/>
      </c>
      <c r="P1874" s="11" t="str">
        <f aca="false">IF($B1874="","",IF($E1874="대체",0,1))</f>
        <v/>
      </c>
    </row>
    <row r="1875" customFormat="false" ht="15" hidden="false" customHeight="false" outlineLevel="0" collapsed="false">
      <c r="A1875" s="36" t="str">
        <f aca="false">IF($B1875="","",COUNT($B$15:$B1875))</f>
        <v/>
      </c>
      <c r="B1875" s="37"/>
      <c r="C1875" s="38"/>
      <c r="D1875" s="20"/>
      <c r="E1875" s="36" t="str">
        <f aca="false">IF($D1875="","",IFERROR(INDEX('교육원 ④ 설정'!$A$6:$A$40,MATCH($D1875,'교육원 ④ 설정'!$B$6:$B$40,0)),"※없는 과목"))</f>
        <v/>
      </c>
      <c r="F1875" s="36" t="str">
        <f aca="false">IF($D1875="","",IFERROR(INDEX('교육원 ④ 설정'!$C$6:$C$40,MATCH($D1875,'교육원 ④ 설정'!$B$6:$B$40,0)),""))</f>
        <v/>
      </c>
      <c r="G1875" s="39"/>
      <c r="H1875" s="39"/>
      <c r="I1875" s="40"/>
      <c r="J1875" s="41"/>
      <c r="K1875" s="38"/>
      <c r="L1875" s="42" t="str">
        <f aca="false">IF($B1875="","",IF(AND(N($I1875)=0,N($J1875)=0),"금액이 없습니다",IF(AND($I1875&gt;0,$J1875&gt;0),"수입·지출 둘 다 적혔습니다",IF($C1875="","결제수단을 고르십시오",IF(ISNA(MATCH($C1875,'교육원 ③ 통장·카드'!$A$5:$A$11,0)),"③ 통장·카드에 없는 결제수단입니다",IF($D1875="","계정과목을 고르십시오",IF($E1875="※없는 과목","④ 설정에 없는 과목입니다",IF(AND($E1875="수입",$J1875&gt;0),"수입 과목인데 지출에 적혔습니다",IF(AND(LEFT($E1875,2)&lt;&gt;"수입",$E1875&lt;&gt;"대체",$I1875&gt;0),"지출 과목인데 수입에 적혔습니다",IF($K1875="","증빙을 고르십시오",IF($H1875="","적요를 적으십시오","")))))))))))</f>
        <v/>
      </c>
      <c r="M1875" s="39"/>
      <c r="O1875" s="11" t="str">
        <f aca="false">IF($B1875="","",YEAR($B1875)*100+MONTH($B1875))</f>
        <v/>
      </c>
      <c r="P1875" s="11" t="str">
        <f aca="false">IF($B1875="","",IF($E1875="대체",0,1))</f>
        <v/>
      </c>
    </row>
    <row r="1876" customFormat="false" ht="15" hidden="false" customHeight="false" outlineLevel="0" collapsed="false">
      <c r="A1876" s="36" t="str">
        <f aca="false">IF($B1876="","",COUNT($B$15:$B1876))</f>
        <v/>
      </c>
      <c r="B1876" s="37"/>
      <c r="C1876" s="38"/>
      <c r="D1876" s="20"/>
      <c r="E1876" s="36" t="str">
        <f aca="false">IF($D1876="","",IFERROR(INDEX('교육원 ④ 설정'!$A$6:$A$40,MATCH($D1876,'교육원 ④ 설정'!$B$6:$B$40,0)),"※없는 과목"))</f>
        <v/>
      </c>
      <c r="F1876" s="36" t="str">
        <f aca="false">IF($D1876="","",IFERROR(INDEX('교육원 ④ 설정'!$C$6:$C$40,MATCH($D1876,'교육원 ④ 설정'!$B$6:$B$40,0)),""))</f>
        <v/>
      </c>
      <c r="G1876" s="39"/>
      <c r="H1876" s="39"/>
      <c r="I1876" s="40"/>
      <c r="J1876" s="41"/>
      <c r="K1876" s="38"/>
      <c r="L1876" s="42" t="str">
        <f aca="false">IF($B1876="","",IF(AND(N($I1876)=0,N($J1876)=0),"금액이 없습니다",IF(AND($I1876&gt;0,$J1876&gt;0),"수입·지출 둘 다 적혔습니다",IF($C1876="","결제수단을 고르십시오",IF(ISNA(MATCH($C1876,'교육원 ③ 통장·카드'!$A$5:$A$11,0)),"③ 통장·카드에 없는 결제수단입니다",IF($D1876="","계정과목을 고르십시오",IF($E1876="※없는 과목","④ 설정에 없는 과목입니다",IF(AND($E1876="수입",$J1876&gt;0),"수입 과목인데 지출에 적혔습니다",IF(AND(LEFT($E1876,2)&lt;&gt;"수입",$E1876&lt;&gt;"대체",$I1876&gt;0),"지출 과목인데 수입에 적혔습니다",IF($K1876="","증빙을 고르십시오",IF($H1876="","적요를 적으십시오","")))))))))))</f>
        <v/>
      </c>
      <c r="M1876" s="39"/>
      <c r="O1876" s="11" t="str">
        <f aca="false">IF($B1876="","",YEAR($B1876)*100+MONTH($B1876))</f>
        <v/>
      </c>
      <c r="P1876" s="11" t="str">
        <f aca="false">IF($B1876="","",IF($E1876="대체",0,1))</f>
        <v/>
      </c>
    </row>
    <row r="1877" customFormat="false" ht="15" hidden="false" customHeight="false" outlineLevel="0" collapsed="false">
      <c r="A1877" s="36" t="str">
        <f aca="false">IF($B1877="","",COUNT($B$15:$B1877))</f>
        <v/>
      </c>
      <c r="B1877" s="37"/>
      <c r="C1877" s="38"/>
      <c r="D1877" s="20"/>
      <c r="E1877" s="36" t="str">
        <f aca="false">IF($D1877="","",IFERROR(INDEX('교육원 ④ 설정'!$A$6:$A$40,MATCH($D1877,'교육원 ④ 설정'!$B$6:$B$40,0)),"※없는 과목"))</f>
        <v/>
      </c>
      <c r="F1877" s="36" t="str">
        <f aca="false">IF($D1877="","",IFERROR(INDEX('교육원 ④ 설정'!$C$6:$C$40,MATCH($D1877,'교육원 ④ 설정'!$B$6:$B$40,0)),""))</f>
        <v/>
      </c>
      <c r="G1877" s="39"/>
      <c r="H1877" s="39"/>
      <c r="I1877" s="40"/>
      <c r="J1877" s="41"/>
      <c r="K1877" s="38"/>
      <c r="L1877" s="42" t="str">
        <f aca="false">IF($B1877="","",IF(AND(N($I1877)=0,N($J1877)=0),"금액이 없습니다",IF(AND($I1877&gt;0,$J1877&gt;0),"수입·지출 둘 다 적혔습니다",IF($C1877="","결제수단을 고르십시오",IF(ISNA(MATCH($C1877,'교육원 ③ 통장·카드'!$A$5:$A$11,0)),"③ 통장·카드에 없는 결제수단입니다",IF($D1877="","계정과목을 고르십시오",IF($E1877="※없는 과목","④ 설정에 없는 과목입니다",IF(AND($E1877="수입",$J1877&gt;0),"수입 과목인데 지출에 적혔습니다",IF(AND(LEFT($E1877,2)&lt;&gt;"수입",$E1877&lt;&gt;"대체",$I1877&gt;0),"지출 과목인데 수입에 적혔습니다",IF($K1877="","증빙을 고르십시오",IF($H1877="","적요를 적으십시오","")))))))))))</f>
        <v/>
      </c>
      <c r="M1877" s="39"/>
      <c r="O1877" s="11" t="str">
        <f aca="false">IF($B1877="","",YEAR($B1877)*100+MONTH($B1877))</f>
        <v/>
      </c>
      <c r="P1877" s="11" t="str">
        <f aca="false">IF($B1877="","",IF($E1877="대체",0,1))</f>
        <v/>
      </c>
    </row>
    <row r="1878" customFormat="false" ht="15" hidden="false" customHeight="false" outlineLevel="0" collapsed="false">
      <c r="A1878" s="36" t="str">
        <f aca="false">IF($B1878="","",COUNT($B$15:$B1878))</f>
        <v/>
      </c>
      <c r="B1878" s="37"/>
      <c r="C1878" s="38"/>
      <c r="D1878" s="20"/>
      <c r="E1878" s="36" t="str">
        <f aca="false">IF($D1878="","",IFERROR(INDEX('교육원 ④ 설정'!$A$6:$A$40,MATCH($D1878,'교육원 ④ 설정'!$B$6:$B$40,0)),"※없는 과목"))</f>
        <v/>
      </c>
      <c r="F1878" s="36" t="str">
        <f aca="false">IF($D1878="","",IFERROR(INDEX('교육원 ④ 설정'!$C$6:$C$40,MATCH($D1878,'교육원 ④ 설정'!$B$6:$B$40,0)),""))</f>
        <v/>
      </c>
      <c r="G1878" s="39"/>
      <c r="H1878" s="39"/>
      <c r="I1878" s="40"/>
      <c r="J1878" s="41"/>
      <c r="K1878" s="38"/>
      <c r="L1878" s="42" t="str">
        <f aca="false">IF($B1878="","",IF(AND(N($I1878)=0,N($J1878)=0),"금액이 없습니다",IF(AND($I1878&gt;0,$J1878&gt;0),"수입·지출 둘 다 적혔습니다",IF($C1878="","결제수단을 고르십시오",IF(ISNA(MATCH($C1878,'교육원 ③ 통장·카드'!$A$5:$A$11,0)),"③ 통장·카드에 없는 결제수단입니다",IF($D1878="","계정과목을 고르십시오",IF($E1878="※없는 과목","④ 설정에 없는 과목입니다",IF(AND($E1878="수입",$J1878&gt;0),"수입 과목인데 지출에 적혔습니다",IF(AND(LEFT($E1878,2)&lt;&gt;"수입",$E1878&lt;&gt;"대체",$I1878&gt;0),"지출 과목인데 수입에 적혔습니다",IF($K1878="","증빙을 고르십시오",IF($H1878="","적요를 적으십시오","")))))))))))</f>
        <v/>
      </c>
      <c r="M1878" s="39"/>
      <c r="O1878" s="11" t="str">
        <f aca="false">IF($B1878="","",YEAR($B1878)*100+MONTH($B1878))</f>
        <v/>
      </c>
      <c r="P1878" s="11" t="str">
        <f aca="false">IF($B1878="","",IF($E1878="대체",0,1))</f>
        <v/>
      </c>
    </row>
    <row r="1879" customFormat="false" ht="15" hidden="false" customHeight="false" outlineLevel="0" collapsed="false">
      <c r="A1879" s="36" t="str">
        <f aca="false">IF($B1879="","",COUNT($B$15:$B1879))</f>
        <v/>
      </c>
      <c r="B1879" s="37"/>
      <c r="C1879" s="38"/>
      <c r="D1879" s="20"/>
      <c r="E1879" s="36" t="str">
        <f aca="false">IF($D1879="","",IFERROR(INDEX('교육원 ④ 설정'!$A$6:$A$40,MATCH($D1879,'교육원 ④ 설정'!$B$6:$B$40,0)),"※없는 과목"))</f>
        <v/>
      </c>
      <c r="F1879" s="36" t="str">
        <f aca="false">IF($D1879="","",IFERROR(INDEX('교육원 ④ 설정'!$C$6:$C$40,MATCH($D1879,'교육원 ④ 설정'!$B$6:$B$40,0)),""))</f>
        <v/>
      </c>
      <c r="G1879" s="39"/>
      <c r="H1879" s="39"/>
      <c r="I1879" s="40"/>
      <c r="J1879" s="41"/>
      <c r="K1879" s="38"/>
      <c r="L1879" s="42" t="str">
        <f aca="false">IF($B1879="","",IF(AND(N($I1879)=0,N($J1879)=0),"금액이 없습니다",IF(AND($I1879&gt;0,$J1879&gt;0),"수입·지출 둘 다 적혔습니다",IF($C1879="","결제수단을 고르십시오",IF(ISNA(MATCH($C1879,'교육원 ③ 통장·카드'!$A$5:$A$11,0)),"③ 통장·카드에 없는 결제수단입니다",IF($D1879="","계정과목을 고르십시오",IF($E1879="※없는 과목","④ 설정에 없는 과목입니다",IF(AND($E1879="수입",$J1879&gt;0),"수입 과목인데 지출에 적혔습니다",IF(AND(LEFT($E1879,2)&lt;&gt;"수입",$E1879&lt;&gt;"대체",$I1879&gt;0),"지출 과목인데 수입에 적혔습니다",IF($K1879="","증빙을 고르십시오",IF($H1879="","적요를 적으십시오","")))))))))))</f>
        <v/>
      </c>
      <c r="M1879" s="39"/>
      <c r="O1879" s="11" t="str">
        <f aca="false">IF($B1879="","",YEAR($B1879)*100+MONTH($B1879))</f>
        <v/>
      </c>
      <c r="P1879" s="11" t="str">
        <f aca="false">IF($B1879="","",IF($E1879="대체",0,1))</f>
        <v/>
      </c>
    </row>
    <row r="1880" customFormat="false" ht="15" hidden="false" customHeight="false" outlineLevel="0" collapsed="false">
      <c r="A1880" s="36" t="str">
        <f aca="false">IF($B1880="","",COUNT($B$15:$B1880))</f>
        <v/>
      </c>
      <c r="B1880" s="37"/>
      <c r="C1880" s="38"/>
      <c r="D1880" s="20"/>
      <c r="E1880" s="36" t="str">
        <f aca="false">IF($D1880="","",IFERROR(INDEX('교육원 ④ 설정'!$A$6:$A$40,MATCH($D1880,'교육원 ④ 설정'!$B$6:$B$40,0)),"※없는 과목"))</f>
        <v/>
      </c>
      <c r="F1880" s="36" t="str">
        <f aca="false">IF($D1880="","",IFERROR(INDEX('교육원 ④ 설정'!$C$6:$C$40,MATCH($D1880,'교육원 ④ 설정'!$B$6:$B$40,0)),""))</f>
        <v/>
      </c>
      <c r="G1880" s="39"/>
      <c r="H1880" s="39"/>
      <c r="I1880" s="40"/>
      <c r="J1880" s="41"/>
      <c r="K1880" s="38"/>
      <c r="L1880" s="42" t="str">
        <f aca="false">IF($B1880="","",IF(AND(N($I1880)=0,N($J1880)=0),"금액이 없습니다",IF(AND($I1880&gt;0,$J1880&gt;0),"수입·지출 둘 다 적혔습니다",IF($C1880="","결제수단을 고르십시오",IF(ISNA(MATCH($C1880,'교육원 ③ 통장·카드'!$A$5:$A$11,0)),"③ 통장·카드에 없는 결제수단입니다",IF($D1880="","계정과목을 고르십시오",IF($E1880="※없는 과목","④ 설정에 없는 과목입니다",IF(AND($E1880="수입",$J1880&gt;0),"수입 과목인데 지출에 적혔습니다",IF(AND(LEFT($E1880,2)&lt;&gt;"수입",$E1880&lt;&gt;"대체",$I1880&gt;0),"지출 과목인데 수입에 적혔습니다",IF($K1880="","증빙을 고르십시오",IF($H1880="","적요를 적으십시오","")))))))))))</f>
        <v/>
      </c>
      <c r="M1880" s="39"/>
      <c r="O1880" s="11" t="str">
        <f aca="false">IF($B1880="","",YEAR($B1880)*100+MONTH($B1880))</f>
        <v/>
      </c>
      <c r="P1880" s="11" t="str">
        <f aca="false">IF($B1880="","",IF($E1880="대체",0,1))</f>
        <v/>
      </c>
    </row>
    <row r="1881" customFormat="false" ht="15" hidden="false" customHeight="false" outlineLevel="0" collapsed="false">
      <c r="A1881" s="36" t="str">
        <f aca="false">IF($B1881="","",COUNT($B$15:$B1881))</f>
        <v/>
      </c>
      <c r="B1881" s="37"/>
      <c r="C1881" s="38"/>
      <c r="D1881" s="20"/>
      <c r="E1881" s="36" t="str">
        <f aca="false">IF($D1881="","",IFERROR(INDEX('교육원 ④ 설정'!$A$6:$A$40,MATCH($D1881,'교육원 ④ 설정'!$B$6:$B$40,0)),"※없는 과목"))</f>
        <v/>
      </c>
      <c r="F1881" s="36" t="str">
        <f aca="false">IF($D1881="","",IFERROR(INDEX('교육원 ④ 설정'!$C$6:$C$40,MATCH($D1881,'교육원 ④ 설정'!$B$6:$B$40,0)),""))</f>
        <v/>
      </c>
      <c r="G1881" s="39"/>
      <c r="H1881" s="39"/>
      <c r="I1881" s="40"/>
      <c r="J1881" s="41"/>
      <c r="K1881" s="38"/>
      <c r="L1881" s="42" t="str">
        <f aca="false">IF($B1881="","",IF(AND(N($I1881)=0,N($J1881)=0),"금액이 없습니다",IF(AND($I1881&gt;0,$J1881&gt;0),"수입·지출 둘 다 적혔습니다",IF($C1881="","결제수단을 고르십시오",IF(ISNA(MATCH($C1881,'교육원 ③ 통장·카드'!$A$5:$A$11,0)),"③ 통장·카드에 없는 결제수단입니다",IF($D1881="","계정과목을 고르십시오",IF($E1881="※없는 과목","④ 설정에 없는 과목입니다",IF(AND($E1881="수입",$J1881&gt;0),"수입 과목인데 지출에 적혔습니다",IF(AND(LEFT($E1881,2)&lt;&gt;"수입",$E1881&lt;&gt;"대체",$I1881&gt;0),"지출 과목인데 수입에 적혔습니다",IF($K1881="","증빙을 고르십시오",IF($H1881="","적요를 적으십시오","")))))))))))</f>
        <v/>
      </c>
      <c r="M1881" s="39"/>
      <c r="O1881" s="11" t="str">
        <f aca="false">IF($B1881="","",YEAR($B1881)*100+MONTH($B1881))</f>
        <v/>
      </c>
      <c r="P1881" s="11" t="str">
        <f aca="false">IF($B1881="","",IF($E1881="대체",0,1))</f>
        <v/>
      </c>
    </row>
    <row r="1882" customFormat="false" ht="15" hidden="false" customHeight="false" outlineLevel="0" collapsed="false">
      <c r="A1882" s="36" t="str">
        <f aca="false">IF($B1882="","",COUNT($B$15:$B1882))</f>
        <v/>
      </c>
      <c r="B1882" s="37"/>
      <c r="C1882" s="38"/>
      <c r="D1882" s="20"/>
      <c r="E1882" s="36" t="str">
        <f aca="false">IF($D1882="","",IFERROR(INDEX('교육원 ④ 설정'!$A$6:$A$40,MATCH($D1882,'교육원 ④ 설정'!$B$6:$B$40,0)),"※없는 과목"))</f>
        <v/>
      </c>
      <c r="F1882" s="36" t="str">
        <f aca="false">IF($D1882="","",IFERROR(INDEX('교육원 ④ 설정'!$C$6:$C$40,MATCH($D1882,'교육원 ④ 설정'!$B$6:$B$40,0)),""))</f>
        <v/>
      </c>
      <c r="G1882" s="39"/>
      <c r="H1882" s="39"/>
      <c r="I1882" s="40"/>
      <c r="J1882" s="41"/>
      <c r="K1882" s="38"/>
      <c r="L1882" s="42" t="str">
        <f aca="false">IF($B1882="","",IF(AND(N($I1882)=0,N($J1882)=0),"금액이 없습니다",IF(AND($I1882&gt;0,$J1882&gt;0),"수입·지출 둘 다 적혔습니다",IF($C1882="","결제수단을 고르십시오",IF(ISNA(MATCH($C1882,'교육원 ③ 통장·카드'!$A$5:$A$11,0)),"③ 통장·카드에 없는 결제수단입니다",IF($D1882="","계정과목을 고르십시오",IF($E1882="※없는 과목","④ 설정에 없는 과목입니다",IF(AND($E1882="수입",$J1882&gt;0),"수입 과목인데 지출에 적혔습니다",IF(AND(LEFT($E1882,2)&lt;&gt;"수입",$E1882&lt;&gt;"대체",$I1882&gt;0),"지출 과목인데 수입에 적혔습니다",IF($K1882="","증빙을 고르십시오",IF($H1882="","적요를 적으십시오","")))))))))))</f>
        <v/>
      </c>
      <c r="M1882" s="39"/>
      <c r="O1882" s="11" t="str">
        <f aca="false">IF($B1882="","",YEAR($B1882)*100+MONTH($B1882))</f>
        <v/>
      </c>
      <c r="P1882" s="11" t="str">
        <f aca="false">IF($B1882="","",IF($E1882="대체",0,1))</f>
        <v/>
      </c>
    </row>
    <row r="1883" customFormat="false" ht="15" hidden="false" customHeight="false" outlineLevel="0" collapsed="false">
      <c r="A1883" s="36" t="str">
        <f aca="false">IF($B1883="","",COUNT($B$15:$B1883))</f>
        <v/>
      </c>
      <c r="B1883" s="37"/>
      <c r="C1883" s="38"/>
      <c r="D1883" s="20"/>
      <c r="E1883" s="36" t="str">
        <f aca="false">IF($D1883="","",IFERROR(INDEX('교육원 ④ 설정'!$A$6:$A$40,MATCH($D1883,'교육원 ④ 설정'!$B$6:$B$40,0)),"※없는 과목"))</f>
        <v/>
      </c>
      <c r="F1883" s="36" t="str">
        <f aca="false">IF($D1883="","",IFERROR(INDEX('교육원 ④ 설정'!$C$6:$C$40,MATCH($D1883,'교육원 ④ 설정'!$B$6:$B$40,0)),""))</f>
        <v/>
      </c>
      <c r="G1883" s="39"/>
      <c r="H1883" s="39"/>
      <c r="I1883" s="40"/>
      <c r="J1883" s="41"/>
      <c r="K1883" s="38"/>
      <c r="L1883" s="42" t="str">
        <f aca="false">IF($B1883="","",IF(AND(N($I1883)=0,N($J1883)=0),"금액이 없습니다",IF(AND($I1883&gt;0,$J1883&gt;0),"수입·지출 둘 다 적혔습니다",IF($C1883="","결제수단을 고르십시오",IF(ISNA(MATCH($C1883,'교육원 ③ 통장·카드'!$A$5:$A$11,0)),"③ 통장·카드에 없는 결제수단입니다",IF($D1883="","계정과목을 고르십시오",IF($E1883="※없는 과목","④ 설정에 없는 과목입니다",IF(AND($E1883="수입",$J1883&gt;0),"수입 과목인데 지출에 적혔습니다",IF(AND(LEFT($E1883,2)&lt;&gt;"수입",$E1883&lt;&gt;"대체",$I1883&gt;0),"지출 과목인데 수입에 적혔습니다",IF($K1883="","증빙을 고르십시오",IF($H1883="","적요를 적으십시오","")))))))))))</f>
        <v/>
      </c>
      <c r="M1883" s="39"/>
      <c r="O1883" s="11" t="str">
        <f aca="false">IF($B1883="","",YEAR($B1883)*100+MONTH($B1883))</f>
        <v/>
      </c>
      <c r="P1883" s="11" t="str">
        <f aca="false">IF($B1883="","",IF($E1883="대체",0,1))</f>
        <v/>
      </c>
    </row>
    <row r="1884" customFormat="false" ht="15" hidden="false" customHeight="false" outlineLevel="0" collapsed="false">
      <c r="A1884" s="36" t="str">
        <f aca="false">IF($B1884="","",COUNT($B$15:$B1884))</f>
        <v/>
      </c>
      <c r="B1884" s="37"/>
      <c r="C1884" s="38"/>
      <c r="D1884" s="20"/>
      <c r="E1884" s="36" t="str">
        <f aca="false">IF($D1884="","",IFERROR(INDEX('교육원 ④ 설정'!$A$6:$A$40,MATCH($D1884,'교육원 ④ 설정'!$B$6:$B$40,0)),"※없는 과목"))</f>
        <v/>
      </c>
      <c r="F1884" s="36" t="str">
        <f aca="false">IF($D1884="","",IFERROR(INDEX('교육원 ④ 설정'!$C$6:$C$40,MATCH($D1884,'교육원 ④ 설정'!$B$6:$B$40,0)),""))</f>
        <v/>
      </c>
      <c r="G1884" s="39"/>
      <c r="H1884" s="39"/>
      <c r="I1884" s="40"/>
      <c r="J1884" s="41"/>
      <c r="K1884" s="38"/>
      <c r="L1884" s="42" t="str">
        <f aca="false">IF($B1884="","",IF(AND(N($I1884)=0,N($J1884)=0),"금액이 없습니다",IF(AND($I1884&gt;0,$J1884&gt;0),"수입·지출 둘 다 적혔습니다",IF($C1884="","결제수단을 고르십시오",IF(ISNA(MATCH($C1884,'교육원 ③ 통장·카드'!$A$5:$A$11,0)),"③ 통장·카드에 없는 결제수단입니다",IF($D1884="","계정과목을 고르십시오",IF($E1884="※없는 과목","④ 설정에 없는 과목입니다",IF(AND($E1884="수입",$J1884&gt;0),"수입 과목인데 지출에 적혔습니다",IF(AND(LEFT($E1884,2)&lt;&gt;"수입",$E1884&lt;&gt;"대체",$I1884&gt;0),"지출 과목인데 수입에 적혔습니다",IF($K1884="","증빙을 고르십시오",IF($H1884="","적요를 적으십시오","")))))))))))</f>
        <v/>
      </c>
      <c r="M1884" s="39"/>
      <c r="O1884" s="11" t="str">
        <f aca="false">IF($B1884="","",YEAR($B1884)*100+MONTH($B1884))</f>
        <v/>
      </c>
      <c r="P1884" s="11" t="str">
        <f aca="false">IF($B1884="","",IF($E1884="대체",0,1))</f>
        <v/>
      </c>
    </row>
    <row r="1885" customFormat="false" ht="15" hidden="false" customHeight="false" outlineLevel="0" collapsed="false">
      <c r="A1885" s="36" t="str">
        <f aca="false">IF($B1885="","",COUNT($B$15:$B1885))</f>
        <v/>
      </c>
      <c r="B1885" s="37"/>
      <c r="C1885" s="38"/>
      <c r="D1885" s="20"/>
      <c r="E1885" s="36" t="str">
        <f aca="false">IF($D1885="","",IFERROR(INDEX('교육원 ④ 설정'!$A$6:$A$40,MATCH($D1885,'교육원 ④ 설정'!$B$6:$B$40,0)),"※없는 과목"))</f>
        <v/>
      </c>
      <c r="F1885" s="36" t="str">
        <f aca="false">IF($D1885="","",IFERROR(INDEX('교육원 ④ 설정'!$C$6:$C$40,MATCH($D1885,'교육원 ④ 설정'!$B$6:$B$40,0)),""))</f>
        <v/>
      </c>
      <c r="G1885" s="39"/>
      <c r="H1885" s="39"/>
      <c r="I1885" s="40"/>
      <c r="J1885" s="41"/>
      <c r="K1885" s="38"/>
      <c r="L1885" s="42" t="str">
        <f aca="false">IF($B1885="","",IF(AND(N($I1885)=0,N($J1885)=0),"금액이 없습니다",IF(AND($I1885&gt;0,$J1885&gt;0),"수입·지출 둘 다 적혔습니다",IF($C1885="","결제수단을 고르십시오",IF(ISNA(MATCH($C1885,'교육원 ③ 통장·카드'!$A$5:$A$11,0)),"③ 통장·카드에 없는 결제수단입니다",IF($D1885="","계정과목을 고르십시오",IF($E1885="※없는 과목","④ 설정에 없는 과목입니다",IF(AND($E1885="수입",$J1885&gt;0),"수입 과목인데 지출에 적혔습니다",IF(AND(LEFT($E1885,2)&lt;&gt;"수입",$E1885&lt;&gt;"대체",$I1885&gt;0),"지출 과목인데 수입에 적혔습니다",IF($K1885="","증빙을 고르십시오",IF($H1885="","적요를 적으십시오","")))))))))))</f>
        <v/>
      </c>
      <c r="M1885" s="39"/>
      <c r="O1885" s="11" t="str">
        <f aca="false">IF($B1885="","",YEAR($B1885)*100+MONTH($B1885))</f>
        <v/>
      </c>
      <c r="P1885" s="11" t="str">
        <f aca="false">IF($B1885="","",IF($E1885="대체",0,1))</f>
        <v/>
      </c>
    </row>
    <row r="1886" customFormat="false" ht="15" hidden="false" customHeight="false" outlineLevel="0" collapsed="false">
      <c r="A1886" s="36" t="str">
        <f aca="false">IF($B1886="","",COUNT($B$15:$B1886))</f>
        <v/>
      </c>
      <c r="B1886" s="37"/>
      <c r="C1886" s="38"/>
      <c r="D1886" s="20"/>
      <c r="E1886" s="36" t="str">
        <f aca="false">IF($D1886="","",IFERROR(INDEX('교육원 ④ 설정'!$A$6:$A$40,MATCH($D1886,'교육원 ④ 설정'!$B$6:$B$40,0)),"※없는 과목"))</f>
        <v/>
      </c>
      <c r="F1886" s="36" t="str">
        <f aca="false">IF($D1886="","",IFERROR(INDEX('교육원 ④ 설정'!$C$6:$C$40,MATCH($D1886,'교육원 ④ 설정'!$B$6:$B$40,0)),""))</f>
        <v/>
      </c>
      <c r="G1886" s="39"/>
      <c r="H1886" s="39"/>
      <c r="I1886" s="40"/>
      <c r="J1886" s="41"/>
      <c r="K1886" s="38"/>
      <c r="L1886" s="42" t="str">
        <f aca="false">IF($B1886="","",IF(AND(N($I1886)=0,N($J1886)=0),"금액이 없습니다",IF(AND($I1886&gt;0,$J1886&gt;0),"수입·지출 둘 다 적혔습니다",IF($C1886="","결제수단을 고르십시오",IF(ISNA(MATCH($C1886,'교육원 ③ 통장·카드'!$A$5:$A$11,0)),"③ 통장·카드에 없는 결제수단입니다",IF($D1886="","계정과목을 고르십시오",IF($E1886="※없는 과목","④ 설정에 없는 과목입니다",IF(AND($E1886="수입",$J1886&gt;0),"수입 과목인데 지출에 적혔습니다",IF(AND(LEFT($E1886,2)&lt;&gt;"수입",$E1886&lt;&gt;"대체",$I1886&gt;0),"지출 과목인데 수입에 적혔습니다",IF($K1886="","증빙을 고르십시오",IF($H1886="","적요를 적으십시오","")))))))))))</f>
        <v/>
      </c>
      <c r="M1886" s="39"/>
      <c r="O1886" s="11" t="str">
        <f aca="false">IF($B1886="","",YEAR($B1886)*100+MONTH($B1886))</f>
        <v/>
      </c>
      <c r="P1886" s="11" t="str">
        <f aca="false">IF($B1886="","",IF($E1886="대체",0,1))</f>
        <v/>
      </c>
    </row>
    <row r="1887" customFormat="false" ht="15" hidden="false" customHeight="false" outlineLevel="0" collapsed="false">
      <c r="A1887" s="36" t="str">
        <f aca="false">IF($B1887="","",COUNT($B$15:$B1887))</f>
        <v/>
      </c>
      <c r="B1887" s="37"/>
      <c r="C1887" s="38"/>
      <c r="D1887" s="20"/>
      <c r="E1887" s="36" t="str">
        <f aca="false">IF($D1887="","",IFERROR(INDEX('교육원 ④ 설정'!$A$6:$A$40,MATCH($D1887,'교육원 ④ 설정'!$B$6:$B$40,0)),"※없는 과목"))</f>
        <v/>
      </c>
      <c r="F1887" s="36" t="str">
        <f aca="false">IF($D1887="","",IFERROR(INDEX('교육원 ④ 설정'!$C$6:$C$40,MATCH($D1887,'교육원 ④ 설정'!$B$6:$B$40,0)),""))</f>
        <v/>
      </c>
      <c r="G1887" s="39"/>
      <c r="H1887" s="39"/>
      <c r="I1887" s="40"/>
      <c r="J1887" s="41"/>
      <c r="K1887" s="38"/>
      <c r="L1887" s="42" t="str">
        <f aca="false">IF($B1887="","",IF(AND(N($I1887)=0,N($J1887)=0),"금액이 없습니다",IF(AND($I1887&gt;0,$J1887&gt;0),"수입·지출 둘 다 적혔습니다",IF($C1887="","결제수단을 고르십시오",IF(ISNA(MATCH($C1887,'교육원 ③ 통장·카드'!$A$5:$A$11,0)),"③ 통장·카드에 없는 결제수단입니다",IF($D1887="","계정과목을 고르십시오",IF($E1887="※없는 과목","④ 설정에 없는 과목입니다",IF(AND($E1887="수입",$J1887&gt;0),"수입 과목인데 지출에 적혔습니다",IF(AND(LEFT($E1887,2)&lt;&gt;"수입",$E1887&lt;&gt;"대체",$I1887&gt;0),"지출 과목인데 수입에 적혔습니다",IF($K1887="","증빙을 고르십시오",IF($H1887="","적요를 적으십시오","")))))))))))</f>
        <v/>
      </c>
      <c r="M1887" s="39"/>
      <c r="O1887" s="11" t="str">
        <f aca="false">IF($B1887="","",YEAR($B1887)*100+MONTH($B1887))</f>
        <v/>
      </c>
      <c r="P1887" s="11" t="str">
        <f aca="false">IF($B1887="","",IF($E1887="대체",0,1))</f>
        <v/>
      </c>
    </row>
    <row r="1888" customFormat="false" ht="15" hidden="false" customHeight="false" outlineLevel="0" collapsed="false">
      <c r="A1888" s="36" t="str">
        <f aca="false">IF($B1888="","",COUNT($B$15:$B1888))</f>
        <v/>
      </c>
      <c r="B1888" s="37"/>
      <c r="C1888" s="38"/>
      <c r="D1888" s="20"/>
      <c r="E1888" s="36" t="str">
        <f aca="false">IF($D1888="","",IFERROR(INDEX('교육원 ④ 설정'!$A$6:$A$40,MATCH($D1888,'교육원 ④ 설정'!$B$6:$B$40,0)),"※없는 과목"))</f>
        <v/>
      </c>
      <c r="F1888" s="36" t="str">
        <f aca="false">IF($D1888="","",IFERROR(INDEX('교육원 ④ 설정'!$C$6:$C$40,MATCH($D1888,'교육원 ④ 설정'!$B$6:$B$40,0)),""))</f>
        <v/>
      </c>
      <c r="G1888" s="39"/>
      <c r="H1888" s="39"/>
      <c r="I1888" s="40"/>
      <c r="J1888" s="41"/>
      <c r="K1888" s="38"/>
      <c r="L1888" s="42" t="str">
        <f aca="false">IF($B1888="","",IF(AND(N($I1888)=0,N($J1888)=0),"금액이 없습니다",IF(AND($I1888&gt;0,$J1888&gt;0),"수입·지출 둘 다 적혔습니다",IF($C1888="","결제수단을 고르십시오",IF(ISNA(MATCH($C1888,'교육원 ③ 통장·카드'!$A$5:$A$11,0)),"③ 통장·카드에 없는 결제수단입니다",IF($D1888="","계정과목을 고르십시오",IF($E1888="※없는 과목","④ 설정에 없는 과목입니다",IF(AND($E1888="수입",$J1888&gt;0),"수입 과목인데 지출에 적혔습니다",IF(AND(LEFT($E1888,2)&lt;&gt;"수입",$E1888&lt;&gt;"대체",$I1888&gt;0),"지출 과목인데 수입에 적혔습니다",IF($K1888="","증빙을 고르십시오",IF($H1888="","적요를 적으십시오","")))))))))))</f>
        <v/>
      </c>
      <c r="M1888" s="39"/>
      <c r="O1888" s="11" t="str">
        <f aca="false">IF($B1888="","",YEAR($B1888)*100+MONTH($B1888))</f>
        <v/>
      </c>
      <c r="P1888" s="11" t="str">
        <f aca="false">IF($B1888="","",IF($E1888="대체",0,1))</f>
        <v/>
      </c>
    </row>
    <row r="1889" customFormat="false" ht="15" hidden="false" customHeight="false" outlineLevel="0" collapsed="false">
      <c r="A1889" s="36" t="str">
        <f aca="false">IF($B1889="","",COUNT($B$15:$B1889))</f>
        <v/>
      </c>
      <c r="B1889" s="37"/>
      <c r="C1889" s="38"/>
      <c r="D1889" s="20"/>
      <c r="E1889" s="36" t="str">
        <f aca="false">IF($D1889="","",IFERROR(INDEX('교육원 ④ 설정'!$A$6:$A$40,MATCH($D1889,'교육원 ④ 설정'!$B$6:$B$40,0)),"※없는 과목"))</f>
        <v/>
      </c>
      <c r="F1889" s="36" t="str">
        <f aca="false">IF($D1889="","",IFERROR(INDEX('교육원 ④ 설정'!$C$6:$C$40,MATCH($D1889,'교육원 ④ 설정'!$B$6:$B$40,0)),""))</f>
        <v/>
      </c>
      <c r="G1889" s="39"/>
      <c r="H1889" s="39"/>
      <c r="I1889" s="40"/>
      <c r="J1889" s="41"/>
      <c r="K1889" s="38"/>
      <c r="L1889" s="42" t="str">
        <f aca="false">IF($B1889="","",IF(AND(N($I1889)=0,N($J1889)=0),"금액이 없습니다",IF(AND($I1889&gt;0,$J1889&gt;0),"수입·지출 둘 다 적혔습니다",IF($C1889="","결제수단을 고르십시오",IF(ISNA(MATCH($C1889,'교육원 ③ 통장·카드'!$A$5:$A$11,0)),"③ 통장·카드에 없는 결제수단입니다",IF($D1889="","계정과목을 고르십시오",IF($E1889="※없는 과목","④ 설정에 없는 과목입니다",IF(AND($E1889="수입",$J1889&gt;0),"수입 과목인데 지출에 적혔습니다",IF(AND(LEFT($E1889,2)&lt;&gt;"수입",$E1889&lt;&gt;"대체",$I1889&gt;0),"지출 과목인데 수입에 적혔습니다",IF($K1889="","증빙을 고르십시오",IF($H1889="","적요를 적으십시오","")))))))))))</f>
        <v/>
      </c>
      <c r="M1889" s="39"/>
      <c r="O1889" s="11" t="str">
        <f aca="false">IF($B1889="","",YEAR($B1889)*100+MONTH($B1889))</f>
        <v/>
      </c>
      <c r="P1889" s="11" t="str">
        <f aca="false">IF($B1889="","",IF($E1889="대체",0,1))</f>
        <v/>
      </c>
    </row>
    <row r="1890" customFormat="false" ht="15" hidden="false" customHeight="false" outlineLevel="0" collapsed="false">
      <c r="A1890" s="36" t="str">
        <f aca="false">IF($B1890="","",COUNT($B$15:$B1890))</f>
        <v/>
      </c>
      <c r="B1890" s="37"/>
      <c r="C1890" s="38"/>
      <c r="D1890" s="20"/>
      <c r="E1890" s="36" t="str">
        <f aca="false">IF($D1890="","",IFERROR(INDEX('교육원 ④ 설정'!$A$6:$A$40,MATCH($D1890,'교육원 ④ 설정'!$B$6:$B$40,0)),"※없는 과목"))</f>
        <v/>
      </c>
      <c r="F1890" s="36" t="str">
        <f aca="false">IF($D1890="","",IFERROR(INDEX('교육원 ④ 설정'!$C$6:$C$40,MATCH($D1890,'교육원 ④ 설정'!$B$6:$B$40,0)),""))</f>
        <v/>
      </c>
      <c r="G1890" s="39"/>
      <c r="H1890" s="39"/>
      <c r="I1890" s="40"/>
      <c r="J1890" s="41"/>
      <c r="K1890" s="38"/>
      <c r="L1890" s="42" t="str">
        <f aca="false">IF($B1890="","",IF(AND(N($I1890)=0,N($J1890)=0),"금액이 없습니다",IF(AND($I1890&gt;0,$J1890&gt;0),"수입·지출 둘 다 적혔습니다",IF($C1890="","결제수단을 고르십시오",IF(ISNA(MATCH($C1890,'교육원 ③ 통장·카드'!$A$5:$A$11,0)),"③ 통장·카드에 없는 결제수단입니다",IF($D1890="","계정과목을 고르십시오",IF($E1890="※없는 과목","④ 설정에 없는 과목입니다",IF(AND($E1890="수입",$J1890&gt;0),"수입 과목인데 지출에 적혔습니다",IF(AND(LEFT($E1890,2)&lt;&gt;"수입",$E1890&lt;&gt;"대체",$I1890&gt;0),"지출 과목인데 수입에 적혔습니다",IF($K1890="","증빙을 고르십시오",IF($H1890="","적요를 적으십시오","")))))))))))</f>
        <v/>
      </c>
      <c r="M1890" s="39"/>
      <c r="O1890" s="11" t="str">
        <f aca="false">IF($B1890="","",YEAR($B1890)*100+MONTH($B1890))</f>
        <v/>
      </c>
      <c r="P1890" s="11" t="str">
        <f aca="false">IF($B1890="","",IF($E1890="대체",0,1))</f>
        <v/>
      </c>
    </row>
    <row r="1891" customFormat="false" ht="15" hidden="false" customHeight="false" outlineLevel="0" collapsed="false">
      <c r="A1891" s="36" t="str">
        <f aca="false">IF($B1891="","",COUNT($B$15:$B1891))</f>
        <v/>
      </c>
      <c r="B1891" s="37"/>
      <c r="C1891" s="38"/>
      <c r="D1891" s="20"/>
      <c r="E1891" s="36" t="str">
        <f aca="false">IF($D1891="","",IFERROR(INDEX('교육원 ④ 설정'!$A$6:$A$40,MATCH($D1891,'교육원 ④ 설정'!$B$6:$B$40,0)),"※없는 과목"))</f>
        <v/>
      </c>
      <c r="F1891" s="36" t="str">
        <f aca="false">IF($D1891="","",IFERROR(INDEX('교육원 ④ 설정'!$C$6:$C$40,MATCH($D1891,'교육원 ④ 설정'!$B$6:$B$40,0)),""))</f>
        <v/>
      </c>
      <c r="G1891" s="39"/>
      <c r="H1891" s="39"/>
      <c r="I1891" s="40"/>
      <c r="J1891" s="41"/>
      <c r="K1891" s="38"/>
      <c r="L1891" s="42" t="str">
        <f aca="false">IF($B1891="","",IF(AND(N($I1891)=0,N($J1891)=0),"금액이 없습니다",IF(AND($I1891&gt;0,$J1891&gt;0),"수입·지출 둘 다 적혔습니다",IF($C1891="","결제수단을 고르십시오",IF(ISNA(MATCH($C1891,'교육원 ③ 통장·카드'!$A$5:$A$11,0)),"③ 통장·카드에 없는 결제수단입니다",IF($D1891="","계정과목을 고르십시오",IF($E1891="※없는 과목","④ 설정에 없는 과목입니다",IF(AND($E1891="수입",$J1891&gt;0),"수입 과목인데 지출에 적혔습니다",IF(AND(LEFT($E1891,2)&lt;&gt;"수입",$E1891&lt;&gt;"대체",$I1891&gt;0),"지출 과목인데 수입에 적혔습니다",IF($K1891="","증빙을 고르십시오",IF($H1891="","적요를 적으십시오","")))))))))))</f>
        <v/>
      </c>
      <c r="M1891" s="39"/>
      <c r="O1891" s="11" t="str">
        <f aca="false">IF($B1891="","",YEAR($B1891)*100+MONTH($B1891))</f>
        <v/>
      </c>
      <c r="P1891" s="11" t="str">
        <f aca="false">IF($B1891="","",IF($E1891="대체",0,1))</f>
        <v/>
      </c>
    </row>
    <row r="1892" customFormat="false" ht="15" hidden="false" customHeight="false" outlineLevel="0" collapsed="false">
      <c r="A1892" s="36" t="str">
        <f aca="false">IF($B1892="","",COUNT($B$15:$B1892))</f>
        <v/>
      </c>
      <c r="B1892" s="37"/>
      <c r="C1892" s="38"/>
      <c r="D1892" s="20"/>
      <c r="E1892" s="36" t="str">
        <f aca="false">IF($D1892="","",IFERROR(INDEX('교육원 ④ 설정'!$A$6:$A$40,MATCH($D1892,'교육원 ④ 설정'!$B$6:$B$40,0)),"※없는 과목"))</f>
        <v/>
      </c>
      <c r="F1892" s="36" t="str">
        <f aca="false">IF($D1892="","",IFERROR(INDEX('교육원 ④ 설정'!$C$6:$C$40,MATCH($D1892,'교육원 ④ 설정'!$B$6:$B$40,0)),""))</f>
        <v/>
      </c>
      <c r="G1892" s="39"/>
      <c r="H1892" s="39"/>
      <c r="I1892" s="40"/>
      <c r="J1892" s="41"/>
      <c r="K1892" s="38"/>
      <c r="L1892" s="42" t="str">
        <f aca="false">IF($B1892="","",IF(AND(N($I1892)=0,N($J1892)=0),"금액이 없습니다",IF(AND($I1892&gt;0,$J1892&gt;0),"수입·지출 둘 다 적혔습니다",IF($C1892="","결제수단을 고르십시오",IF(ISNA(MATCH($C1892,'교육원 ③ 통장·카드'!$A$5:$A$11,0)),"③ 통장·카드에 없는 결제수단입니다",IF($D1892="","계정과목을 고르십시오",IF($E1892="※없는 과목","④ 설정에 없는 과목입니다",IF(AND($E1892="수입",$J1892&gt;0),"수입 과목인데 지출에 적혔습니다",IF(AND(LEFT($E1892,2)&lt;&gt;"수입",$E1892&lt;&gt;"대체",$I1892&gt;0),"지출 과목인데 수입에 적혔습니다",IF($K1892="","증빙을 고르십시오",IF($H1892="","적요를 적으십시오","")))))))))))</f>
        <v/>
      </c>
      <c r="M1892" s="39"/>
      <c r="O1892" s="11" t="str">
        <f aca="false">IF($B1892="","",YEAR($B1892)*100+MONTH($B1892))</f>
        <v/>
      </c>
      <c r="P1892" s="11" t="str">
        <f aca="false">IF($B1892="","",IF($E1892="대체",0,1))</f>
        <v/>
      </c>
    </row>
    <row r="1893" customFormat="false" ht="15" hidden="false" customHeight="false" outlineLevel="0" collapsed="false">
      <c r="A1893" s="36" t="str">
        <f aca="false">IF($B1893="","",COUNT($B$15:$B1893))</f>
        <v/>
      </c>
      <c r="B1893" s="37"/>
      <c r="C1893" s="38"/>
      <c r="D1893" s="20"/>
      <c r="E1893" s="36" t="str">
        <f aca="false">IF($D1893="","",IFERROR(INDEX('교육원 ④ 설정'!$A$6:$A$40,MATCH($D1893,'교육원 ④ 설정'!$B$6:$B$40,0)),"※없는 과목"))</f>
        <v/>
      </c>
      <c r="F1893" s="36" t="str">
        <f aca="false">IF($D1893="","",IFERROR(INDEX('교육원 ④ 설정'!$C$6:$C$40,MATCH($D1893,'교육원 ④ 설정'!$B$6:$B$40,0)),""))</f>
        <v/>
      </c>
      <c r="G1893" s="39"/>
      <c r="H1893" s="39"/>
      <c r="I1893" s="40"/>
      <c r="J1893" s="41"/>
      <c r="K1893" s="38"/>
      <c r="L1893" s="42" t="str">
        <f aca="false">IF($B1893="","",IF(AND(N($I1893)=0,N($J1893)=0),"금액이 없습니다",IF(AND($I1893&gt;0,$J1893&gt;0),"수입·지출 둘 다 적혔습니다",IF($C1893="","결제수단을 고르십시오",IF(ISNA(MATCH($C1893,'교육원 ③ 통장·카드'!$A$5:$A$11,0)),"③ 통장·카드에 없는 결제수단입니다",IF($D1893="","계정과목을 고르십시오",IF($E1893="※없는 과목","④ 설정에 없는 과목입니다",IF(AND($E1893="수입",$J1893&gt;0),"수입 과목인데 지출에 적혔습니다",IF(AND(LEFT($E1893,2)&lt;&gt;"수입",$E1893&lt;&gt;"대체",$I1893&gt;0),"지출 과목인데 수입에 적혔습니다",IF($K1893="","증빙을 고르십시오",IF($H1893="","적요를 적으십시오","")))))))))))</f>
        <v/>
      </c>
      <c r="M1893" s="39"/>
      <c r="O1893" s="11" t="str">
        <f aca="false">IF($B1893="","",YEAR($B1893)*100+MONTH($B1893))</f>
        <v/>
      </c>
      <c r="P1893" s="11" t="str">
        <f aca="false">IF($B1893="","",IF($E1893="대체",0,1))</f>
        <v/>
      </c>
    </row>
    <row r="1894" customFormat="false" ht="15" hidden="false" customHeight="false" outlineLevel="0" collapsed="false">
      <c r="A1894" s="36" t="str">
        <f aca="false">IF($B1894="","",COUNT($B$15:$B1894))</f>
        <v/>
      </c>
      <c r="B1894" s="37"/>
      <c r="C1894" s="38"/>
      <c r="D1894" s="20"/>
      <c r="E1894" s="36" t="str">
        <f aca="false">IF($D1894="","",IFERROR(INDEX('교육원 ④ 설정'!$A$6:$A$40,MATCH($D1894,'교육원 ④ 설정'!$B$6:$B$40,0)),"※없는 과목"))</f>
        <v/>
      </c>
      <c r="F1894" s="36" t="str">
        <f aca="false">IF($D1894="","",IFERROR(INDEX('교육원 ④ 설정'!$C$6:$C$40,MATCH($D1894,'교육원 ④ 설정'!$B$6:$B$40,0)),""))</f>
        <v/>
      </c>
      <c r="G1894" s="39"/>
      <c r="H1894" s="39"/>
      <c r="I1894" s="40"/>
      <c r="J1894" s="41"/>
      <c r="K1894" s="38"/>
      <c r="L1894" s="42" t="str">
        <f aca="false">IF($B1894="","",IF(AND(N($I1894)=0,N($J1894)=0),"금액이 없습니다",IF(AND($I1894&gt;0,$J1894&gt;0),"수입·지출 둘 다 적혔습니다",IF($C1894="","결제수단을 고르십시오",IF(ISNA(MATCH($C1894,'교육원 ③ 통장·카드'!$A$5:$A$11,0)),"③ 통장·카드에 없는 결제수단입니다",IF($D1894="","계정과목을 고르십시오",IF($E1894="※없는 과목","④ 설정에 없는 과목입니다",IF(AND($E1894="수입",$J1894&gt;0),"수입 과목인데 지출에 적혔습니다",IF(AND(LEFT($E1894,2)&lt;&gt;"수입",$E1894&lt;&gt;"대체",$I1894&gt;0),"지출 과목인데 수입에 적혔습니다",IF($K1894="","증빙을 고르십시오",IF($H1894="","적요를 적으십시오","")))))))))))</f>
        <v/>
      </c>
      <c r="M1894" s="39"/>
      <c r="O1894" s="11" t="str">
        <f aca="false">IF($B1894="","",YEAR($B1894)*100+MONTH($B1894))</f>
        <v/>
      </c>
      <c r="P1894" s="11" t="str">
        <f aca="false">IF($B1894="","",IF($E1894="대체",0,1))</f>
        <v/>
      </c>
    </row>
    <row r="1895" customFormat="false" ht="15" hidden="false" customHeight="false" outlineLevel="0" collapsed="false">
      <c r="A1895" s="36" t="str">
        <f aca="false">IF($B1895="","",COUNT($B$15:$B1895))</f>
        <v/>
      </c>
      <c r="B1895" s="37"/>
      <c r="C1895" s="38"/>
      <c r="D1895" s="20"/>
      <c r="E1895" s="36" t="str">
        <f aca="false">IF($D1895="","",IFERROR(INDEX('교육원 ④ 설정'!$A$6:$A$40,MATCH($D1895,'교육원 ④ 설정'!$B$6:$B$40,0)),"※없는 과목"))</f>
        <v/>
      </c>
      <c r="F1895" s="36" t="str">
        <f aca="false">IF($D1895="","",IFERROR(INDEX('교육원 ④ 설정'!$C$6:$C$40,MATCH($D1895,'교육원 ④ 설정'!$B$6:$B$40,0)),""))</f>
        <v/>
      </c>
      <c r="G1895" s="39"/>
      <c r="H1895" s="39"/>
      <c r="I1895" s="40"/>
      <c r="J1895" s="41"/>
      <c r="K1895" s="38"/>
      <c r="L1895" s="42" t="str">
        <f aca="false">IF($B1895="","",IF(AND(N($I1895)=0,N($J1895)=0),"금액이 없습니다",IF(AND($I1895&gt;0,$J1895&gt;0),"수입·지출 둘 다 적혔습니다",IF($C1895="","결제수단을 고르십시오",IF(ISNA(MATCH($C1895,'교육원 ③ 통장·카드'!$A$5:$A$11,0)),"③ 통장·카드에 없는 결제수단입니다",IF($D1895="","계정과목을 고르십시오",IF($E1895="※없는 과목","④ 설정에 없는 과목입니다",IF(AND($E1895="수입",$J1895&gt;0),"수입 과목인데 지출에 적혔습니다",IF(AND(LEFT($E1895,2)&lt;&gt;"수입",$E1895&lt;&gt;"대체",$I1895&gt;0),"지출 과목인데 수입에 적혔습니다",IF($K1895="","증빙을 고르십시오",IF($H1895="","적요를 적으십시오","")))))))))))</f>
        <v/>
      </c>
      <c r="M1895" s="39"/>
      <c r="O1895" s="11" t="str">
        <f aca="false">IF($B1895="","",YEAR($B1895)*100+MONTH($B1895))</f>
        <v/>
      </c>
      <c r="P1895" s="11" t="str">
        <f aca="false">IF($B1895="","",IF($E1895="대체",0,1))</f>
        <v/>
      </c>
    </row>
    <row r="1896" customFormat="false" ht="15" hidden="false" customHeight="false" outlineLevel="0" collapsed="false">
      <c r="A1896" s="36" t="str">
        <f aca="false">IF($B1896="","",COUNT($B$15:$B1896))</f>
        <v/>
      </c>
      <c r="B1896" s="37"/>
      <c r="C1896" s="38"/>
      <c r="D1896" s="20"/>
      <c r="E1896" s="36" t="str">
        <f aca="false">IF($D1896="","",IFERROR(INDEX('교육원 ④ 설정'!$A$6:$A$40,MATCH($D1896,'교육원 ④ 설정'!$B$6:$B$40,0)),"※없는 과목"))</f>
        <v/>
      </c>
      <c r="F1896" s="36" t="str">
        <f aca="false">IF($D1896="","",IFERROR(INDEX('교육원 ④ 설정'!$C$6:$C$40,MATCH($D1896,'교육원 ④ 설정'!$B$6:$B$40,0)),""))</f>
        <v/>
      </c>
      <c r="G1896" s="39"/>
      <c r="H1896" s="39"/>
      <c r="I1896" s="40"/>
      <c r="J1896" s="41"/>
      <c r="K1896" s="38"/>
      <c r="L1896" s="42" t="str">
        <f aca="false">IF($B1896="","",IF(AND(N($I1896)=0,N($J1896)=0),"금액이 없습니다",IF(AND($I1896&gt;0,$J1896&gt;0),"수입·지출 둘 다 적혔습니다",IF($C1896="","결제수단을 고르십시오",IF(ISNA(MATCH($C1896,'교육원 ③ 통장·카드'!$A$5:$A$11,0)),"③ 통장·카드에 없는 결제수단입니다",IF($D1896="","계정과목을 고르십시오",IF($E1896="※없는 과목","④ 설정에 없는 과목입니다",IF(AND($E1896="수입",$J1896&gt;0),"수입 과목인데 지출에 적혔습니다",IF(AND(LEFT($E1896,2)&lt;&gt;"수입",$E1896&lt;&gt;"대체",$I1896&gt;0),"지출 과목인데 수입에 적혔습니다",IF($K1896="","증빙을 고르십시오",IF($H1896="","적요를 적으십시오","")))))))))))</f>
        <v/>
      </c>
      <c r="M1896" s="39"/>
      <c r="O1896" s="11" t="str">
        <f aca="false">IF($B1896="","",YEAR($B1896)*100+MONTH($B1896))</f>
        <v/>
      </c>
      <c r="P1896" s="11" t="str">
        <f aca="false">IF($B1896="","",IF($E1896="대체",0,1))</f>
        <v/>
      </c>
    </row>
    <row r="1897" customFormat="false" ht="15" hidden="false" customHeight="false" outlineLevel="0" collapsed="false">
      <c r="A1897" s="36" t="str">
        <f aca="false">IF($B1897="","",COUNT($B$15:$B1897))</f>
        <v/>
      </c>
      <c r="B1897" s="37"/>
      <c r="C1897" s="38"/>
      <c r="D1897" s="20"/>
      <c r="E1897" s="36" t="str">
        <f aca="false">IF($D1897="","",IFERROR(INDEX('교육원 ④ 설정'!$A$6:$A$40,MATCH($D1897,'교육원 ④ 설정'!$B$6:$B$40,0)),"※없는 과목"))</f>
        <v/>
      </c>
      <c r="F1897" s="36" t="str">
        <f aca="false">IF($D1897="","",IFERROR(INDEX('교육원 ④ 설정'!$C$6:$C$40,MATCH($D1897,'교육원 ④ 설정'!$B$6:$B$40,0)),""))</f>
        <v/>
      </c>
      <c r="G1897" s="39"/>
      <c r="H1897" s="39"/>
      <c r="I1897" s="40"/>
      <c r="J1897" s="41"/>
      <c r="K1897" s="38"/>
      <c r="L1897" s="42" t="str">
        <f aca="false">IF($B1897="","",IF(AND(N($I1897)=0,N($J1897)=0),"금액이 없습니다",IF(AND($I1897&gt;0,$J1897&gt;0),"수입·지출 둘 다 적혔습니다",IF($C1897="","결제수단을 고르십시오",IF(ISNA(MATCH($C1897,'교육원 ③ 통장·카드'!$A$5:$A$11,0)),"③ 통장·카드에 없는 결제수단입니다",IF($D1897="","계정과목을 고르십시오",IF($E1897="※없는 과목","④ 설정에 없는 과목입니다",IF(AND($E1897="수입",$J1897&gt;0),"수입 과목인데 지출에 적혔습니다",IF(AND(LEFT($E1897,2)&lt;&gt;"수입",$E1897&lt;&gt;"대체",$I1897&gt;0),"지출 과목인데 수입에 적혔습니다",IF($K1897="","증빙을 고르십시오",IF($H1897="","적요를 적으십시오","")))))))))))</f>
        <v/>
      </c>
      <c r="M1897" s="39"/>
      <c r="O1897" s="11" t="str">
        <f aca="false">IF($B1897="","",YEAR($B1897)*100+MONTH($B1897))</f>
        <v/>
      </c>
      <c r="P1897" s="11" t="str">
        <f aca="false">IF($B1897="","",IF($E1897="대체",0,1))</f>
        <v/>
      </c>
    </row>
    <row r="1898" customFormat="false" ht="15" hidden="false" customHeight="false" outlineLevel="0" collapsed="false">
      <c r="A1898" s="36" t="str">
        <f aca="false">IF($B1898="","",COUNT($B$15:$B1898))</f>
        <v/>
      </c>
      <c r="B1898" s="37"/>
      <c r="C1898" s="38"/>
      <c r="D1898" s="20"/>
      <c r="E1898" s="36" t="str">
        <f aca="false">IF($D1898="","",IFERROR(INDEX('교육원 ④ 설정'!$A$6:$A$40,MATCH($D1898,'교육원 ④ 설정'!$B$6:$B$40,0)),"※없는 과목"))</f>
        <v/>
      </c>
      <c r="F1898" s="36" t="str">
        <f aca="false">IF($D1898="","",IFERROR(INDEX('교육원 ④ 설정'!$C$6:$C$40,MATCH($D1898,'교육원 ④ 설정'!$B$6:$B$40,0)),""))</f>
        <v/>
      </c>
      <c r="G1898" s="39"/>
      <c r="H1898" s="39"/>
      <c r="I1898" s="40"/>
      <c r="J1898" s="41"/>
      <c r="K1898" s="38"/>
      <c r="L1898" s="42" t="str">
        <f aca="false">IF($B1898="","",IF(AND(N($I1898)=0,N($J1898)=0),"금액이 없습니다",IF(AND($I1898&gt;0,$J1898&gt;0),"수입·지출 둘 다 적혔습니다",IF($C1898="","결제수단을 고르십시오",IF(ISNA(MATCH($C1898,'교육원 ③ 통장·카드'!$A$5:$A$11,0)),"③ 통장·카드에 없는 결제수단입니다",IF($D1898="","계정과목을 고르십시오",IF($E1898="※없는 과목","④ 설정에 없는 과목입니다",IF(AND($E1898="수입",$J1898&gt;0),"수입 과목인데 지출에 적혔습니다",IF(AND(LEFT($E1898,2)&lt;&gt;"수입",$E1898&lt;&gt;"대체",$I1898&gt;0),"지출 과목인데 수입에 적혔습니다",IF($K1898="","증빙을 고르십시오",IF($H1898="","적요를 적으십시오","")))))))))))</f>
        <v/>
      </c>
      <c r="M1898" s="39"/>
      <c r="O1898" s="11" t="str">
        <f aca="false">IF($B1898="","",YEAR($B1898)*100+MONTH($B1898))</f>
        <v/>
      </c>
      <c r="P1898" s="11" t="str">
        <f aca="false">IF($B1898="","",IF($E1898="대체",0,1))</f>
        <v/>
      </c>
    </row>
    <row r="1899" customFormat="false" ht="15" hidden="false" customHeight="false" outlineLevel="0" collapsed="false">
      <c r="A1899" s="36" t="str">
        <f aca="false">IF($B1899="","",COUNT($B$15:$B1899))</f>
        <v/>
      </c>
      <c r="B1899" s="37"/>
      <c r="C1899" s="38"/>
      <c r="D1899" s="20"/>
      <c r="E1899" s="36" t="str">
        <f aca="false">IF($D1899="","",IFERROR(INDEX('교육원 ④ 설정'!$A$6:$A$40,MATCH($D1899,'교육원 ④ 설정'!$B$6:$B$40,0)),"※없는 과목"))</f>
        <v/>
      </c>
      <c r="F1899" s="36" t="str">
        <f aca="false">IF($D1899="","",IFERROR(INDEX('교육원 ④ 설정'!$C$6:$C$40,MATCH($D1899,'교육원 ④ 설정'!$B$6:$B$40,0)),""))</f>
        <v/>
      </c>
      <c r="G1899" s="39"/>
      <c r="H1899" s="39"/>
      <c r="I1899" s="40"/>
      <c r="J1899" s="41"/>
      <c r="K1899" s="38"/>
      <c r="L1899" s="42" t="str">
        <f aca="false">IF($B1899="","",IF(AND(N($I1899)=0,N($J1899)=0),"금액이 없습니다",IF(AND($I1899&gt;0,$J1899&gt;0),"수입·지출 둘 다 적혔습니다",IF($C1899="","결제수단을 고르십시오",IF(ISNA(MATCH($C1899,'교육원 ③ 통장·카드'!$A$5:$A$11,0)),"③ 통장·카드에 없는 결제수단입니다",IF($D1899="","계정과목을 고르십시오",IF($E1899="※없는 과목","④ 설정에 없는 과목입니다",IF(AND($E1899="수입",$J1899&gt;0),"수입 과목인데 지출에 적혔습니다",IF(AND(LEFT($E1899,2)&lt;&gt;"수입",$E1899&lt;&gt;"대체",$I1899&gt;0),"지출 과목인데 수입에 적혔습니다",IF($K1899="","증빙을 고르십시오",IF($H1899="","적요를 적으십시오","")))))))))))</f>
        <v/>
      </c>
      <c r="M1899" s="39"/>
      <c r="O1899" s="11" t="str">
        <f aca="false">IF($B1899="","",YEAR($B1899)*100+MONTH($B1899))</f>
        <v/>
      </c>
      <c r="P1899" s="11" t="str">
        <f aca="false">IF($B1899="","",IF($E1899="대체",0,1))</f>
        <v/>
      </c>
    </row>
    <row r="1900" customFormat="false" ht="15" hidden="false" customHeight="false" outlineLevel="0" collapsed="false">
      <c r="A1900" s="36" t="str">
        <f aca="false">IF($B1900="","",COUNT($B$15:$B1900))</f>
        <v/>
      </c>
      <c r="B1900" s="37"/>
      <c r="C1900" s="38"/>
      <c r="D1900" s="20"/>
      <c r="E1900" s="36" t="str">
        <f aca="false">IF($D1900="","",IFERROR(INDEX('교육원 ④ 설정'!$A$6:$A$40,MATCH($D1900,'교육원 ④ 설정'!$B$6:$B$40,0)),"※없는 과목"))</f>
        <v/>
      </c>
      <c r="F1900" s="36" t="str">
        <f aca="false">IF($D1900="","",IFERROR(INDEX('교육원 ④ 설정'!$C$6:$C$40,MATCH($D1900,'교육원 ④ 설정'!$B$6:$B$40,0)),""))</f>
        <v/>
      </c>
      <c r="G1900" s="39"/>
      <c r="H1900" s="39"/>
      <c r="I1900" s="40"/>
      <c r="J1900" s="41"/>
      <c r="K1900" s="38"/>
      <c r="L1900" s="42" t="str">
        <f aca="false">IF($B1900="","",IF(AND(N($I1900)=0,N($J1900)=0),"금액이 없습니다",IF(AND($I1900&gt;0,$J1900&gt;0),"수입·지출 둘 다 적혔습니다",IF($C1900="","결제수단을 고르십시오",IF(ISNA(MATCH($C1900,'교육원 ③ 통장·카드'!$A$5:$A$11,0)),"③ 통장·카드에 없는 결제수단입니다",IF($D1900="","계정과목을 고르십시오",IF($E1900="※없는 과목","④ 설정에 없는 과목입니다",IF(AND($E1900="수입",$J1900&gt;0),"수입 과목인데 지출에 적혔습니다",IF(AND(LEFT($E1900,2)&lt;&gt;"수입",$E1900&lt;&gt;"대체",$I1900&gt;0),"지출 과목인데 수입에 적혔습니다",IF($K1900="","증빙을 고르십시오",IF($H1900="","적요를 적으십시오","")))))))))))</f>
        <v/>
      </c>
      <c r="M1900" s="39"/>
      <c r="O1900" s="11" t="str">
        <f aca="false">IF($B1900="","",YEAR($B1900)*100+MONTH($B1900))</f>
        <v/>
      </c>
      <c r="P1900" s="11" t="str">
        <f aca="false">IF($B1900="","",IF($E1900="대체",0,1))</f>
        <v/>
      </c>
    </row>
    <row r="1901" customFormat="false" ht="15" hidden="false" customHeight="false" outlineLevel="0" collapsed="false">
      <c r="A1901" s="36" t="str">
        <f aca="false">IF($B1901="","",COUNT($B$15:$B1901))</f>
        <v/>
      </c>
      <c r="B1901" s="37"/>
      <c r="C1901" s="38"/>
      <c r="D1901" s="20"/>
      <c r="E1901" s="36" t="str">
        <f aca="false">IF($D1901="","",IFERROR(INDEX('교육원 ④ 설정'!$A$6:$A$40,MATCH($D1901,'교육원 ④ 설정'!$B$6:$B$40,0)),"※없는 과목"))</f>
        <v/>
      </c>
      <c r="F1901" s="36" t="str">
        <f aca="false">IF($D1901="","",IFERROR(INDEX('교육원 ④ 설정'!$C$6:$C$40,MATCH($D1901,'교육원 ④ 설정'!$B$6:$B$40,0)),""))</f>
        <v/>
      </c>
      <c r="G1901" s="39"/>
      <c r="H1901" s="39"/>
      <c r="I1901" s="40"/>
      <c r="J1901" s="41"/>
      <c r="K1901" s="38"/>
      <c r="L1901" s="42" t="str">
        <f aca="false">IF($B1901="","",IF(AND(N($I1901)=0,N($J1901)=0),"금액이 없습니다",IF(AND($I1901&gt;0,$J1901&gt;0),"수입·지출 둘 다 적혔습니다",IF($C1901="","결제수단을 고르십시오",IF(ISNA(MATCH($C1901,'교육원 ③ 통장·카드'!$A$5:$A$11,0)),"③ 통장·카드에 없는 결제수단입니다",IF($D1901="","계정과목을 고르십시오",IF($E1901="※없는 과목","④ 설정에 없는 과목입니다",IF(AND($E1901="수입",$J1901&gt;0),"수입 과목인데 지출에 적혔습니다",IF(AND(LEFT($E1901,2)&lt;&gt;"수입",$E1901&lt;&gt;"대체",$I1901&gt;0),"지출 과목인데 수입에 적혔습니다",IF($K1901="","증빙을 고르십시오",IF($H1901="","적요를 적으십시오","")))))))))))</f>
        <v/>
      </c>
      <c r="M1901" s="39"/>
      <c r="O1901" s="11" t="str">
        <f aca="false">IF($B1901="","",YEAR($B1901)*100+MONTH($B1901))</f>
        <v/>
      </c>
      <c r="P1901" s="11" t="str">
        <f aca="false">IF($B1901="","",IF($E1901="대체",0,1))</f>
        <v/>
      </c>
    </row>
    <row r="1902" customFormat="false" ht="15" hidden="false" customHeight="false" outlineLevel="0" collapsed="false">
      <c r="A1902" s="36" t="str">
        <f aca="false">IF($B1902="","",COUNT($B$15:$B1902))</f>
        <v/>
      </c>
      <c r="B1902" s="37"/>
      <c r="C1902" s="38"/>
      <c r="D1902" s="20"/>
      <c r="E1902" s="36" t="str">
        <f aca="false">IF($D1902="","",IFERROR(INDEX('교육원 ④ 설정'!$A$6:$A$40,MATCH($D1902,'교육원 ④ 설정'!$B$6:$B$40,0)),"※없는 과목"))</f>
        <v/>
      </c>
      <c r="F1902" s="36" t="str">
        <f aca="false">IF($D1902="","",IFERROR(INDEX('교육원 ④ 설정'!$C$6:$C$40,MATCH($D1902,'교육원 ④ 설정'!$B$6:$B$40,0)),""))</f>
        <v/>
      </c>
      <c r="G1902" s="39"/>
      <c r="H1902" s="39"/>
      <c r="I1902" s="40"/>
      <c r="J1902" s="41"/>
      <c r="K1902" s="38"/>
      <c r="L1902" s="42" t="str">
        <f aca="false">IF($B1902="","",IF(AND(N($I1902)=0,N($J1902)=0),"금액이 없습니다",IF(AND($I1902&gt;0,$J1902&gt;0),"수입·지출 둘 다 적혔습니다",IF($C1902="","결제수단을 고르십시오",IF(ISNA(MATCH($C1902,'교육원 ③ 통장·카드'!$A$5:$A$11,0)),"③ 통장·카드에 없는 결제수단입니다",IF($D1902="","계정과목을 고르십시오",IF($E1902="※없는 과목","④ 설정에 없는 과목입니다",IF(AND($E1902="수입",$J1902&gt;0),"수입 과목인데 지출에 적혔습니다",IF(AND(LEFT($E1902,2)&lt;&gt;"수입",$E1902&lt;&gt;"대체",$I1902&gt;0),"지출 과목인데 수입에 적혔습니다",IF($K1902="","증빙을 고르십시오",IF($H1902="","적요를 적으십시오","")))))))))))</f>
        <v/>
      </c>
      <c r="M1902" s="39"/>
      <c r="O1902" s="11" t="str">
        <f aca="false">IF($B1902="","",YEAR($B1902)*100+MONTH($B1902))</f>
        <v/>
      </c>
      <c r="P1902" s="11" t="str">
        <f aca="false">IF($B1902="","",IF($E1902="대체",0,1))</f>
        <v/>
      </c>
    </row>
    <row r="1903" customFormat="false" ht="15" hidden="false" customHeight="false" outlineLevel="0" collapsed="false">
      <c r="A1903" s="36" t="str">
        <f aca="false">IF($B1903="","",COUNT($B$15:$B1903))</f>
        <v/>
      </c>
      <c r="B1903" s="37"/>
      <c r="C1903" s="38"/>
      <c r="D1903" s="20"/>
      <c r="E1903" s="36" t="str">
        <f aca="false">IF($D1903="","",IFERROR(INDEX('교육원 ④ 설정'!$A$6:$A$40,MATCH($D1903,'교육원 ④ 설정'!$B$6:$B$40,0)),"※없는 과목"))</f>
        <v/>
      </c>
      <c r="F1903" s="36" t="str">
        <f aca="false">IF($D1903="","",IFERROR(INDEX('교육원 ④ 설정'!$C$6:$C$40,MATCH($D1903,'교육원 ④ 설정'!$B$6:$B$40,0)),""))</f>
        <v/>
      </c>
      <c r="G1903" s="39"/>
      <c r="H1903" s="39"/>
      <c r="I1903" s="40"/>
      <c r="J1903" s="41"/>
      <c r="K1903" s="38"/>
      <c r="L1903" s="42" t="str">
        <f aca="false">IF($B1903="","",IF(AND(N($I1903)=0,N($J1903)=0),"금액이 없습니다",IF(AND($I1903&gt;0,$J1903&gt;0),"수입·지출 둘 다 적혔습니다",IF($C1903="","결제수단을 고르십시오",IF(ISNA(MATCH($C1903,'교육원 ③ 통장·카드'!$A$5:$A$11,0)),"③ 통장·카드에 없는 결제수단입니다",IF($D1903="","계정과목을 고르십시오",IF($E1903="※없는 과목","④ 설정에 없는 과목입니다",IF(AND($E1903="수입",$J1903&gt;0),"수입 과목인데 지출에 적혔습니다",IF(AND(LEFT($E1903,2)&lt;&gt;"수입",$E1903&lt;&gt;"대체",$I1903&gt;0),"지출 과목인데 수입에 적혔습니다",IF($K1903="","증빙을 고르십시오",IF($H1903="","적요를 적으십시오","")))))))))))</f>
        <v/>
      </c>
      <c r="M1903" s="39"/>
      <c r="O1903" s="11" t="str">
        <f aca="false">IF($B1903="","",YEAR($B1903)*100+MONTH($B1903))</f>
        <v/>
      </c>
      <c r="P1903" s="11" t="str">
        <f aca="false">IF($B1903="","",IF($E1903="대체",0,1))</f>
        <v/>
      </c>
    </row>
    <row r="1904" customFormat="false" ht="15" hidden="false" customHeight="false" outlineLevel="0" collapsed="false">
      <c r="A1904" s="36" t="str">
        <f aca="false">IF($B1904="","",COUNT($B$15:$B1904))</f>
        <v/>
      </c>
      <c r="B1904" s="37"/>
      <c r="C1904" s="38"/>
      <c r="D1904" s="20"/>
      <c r="E1904" s="36" t="str">
        <f aca="false">IF($D1904="","",IFERROR(INDEX('교육원 ④ 설정'!$A$6:$A$40,MATCH($D1904,'교육원 ④ 설정'!$B$6:$B$40,0)),"※없는 과목"))</f>
        <v/>
      </c>
      <c r="F1904" s="36" t="str">
        <f aca="false">IF($D1904="","",IFERROR(INDEX('교육원 ④ 설정'!$C$6:$C$40,MATCH($D1904,'교육원 ④ 설정'!$B$6:$B$40,0)),""))</f>
        <v/>
      </c>
      <c r="G1904" s="39"/>
      <c r="H1904" s="39"/>
      <c r="I1904" s="40"/>
      <c r="J1904" s="41"/>
      <c r="K1904" s="38"/>
      <c r="L1904" s="42" t="str">
        <f aca="false">IF($B1904="","",IF(AND(N($I1904)=0,N($J1904)=0),"금액이 없습니다",IF(AND($I1904&gt;0,$J1904&gt;0),"수입·지출 둘 다 적혔습니다",IF($C1904="","결제수단을 고르십시오",IF(ISNA(MATCH($C1904,'교육원 ③ 통장·카드'!$A$5:$A$11,0)),"③ 통장·카드에 없는 결제수단입니다",IF($D1904="","계정과목을 고르십시오",IF($E1904="※없는 과목","④ 설정에 없는 과목입니다",IF(AND($E1904="수입",$J1904&gt;0),"수입 과목인데 지출에 적혔습니다",IF(AND(LEFT($E1904,2)&lt;&gt;"수입",$E1904&lt;&gt;"대체",$I1904&gt;0),"지출 과목인데 수입에 적혔습니다",IF($K1904="","증빙을 고르십시오",IF($H1904="","적요를 적으십시오","")))))))))))</f>
        <v/>
      </c>
      <c r="M1904" s="39"/>
      <c r="O1904" s="11" t="str">
        <f aca="false">IF($B1904="","",YEAR($B1904)*100+MONTH($B1904))</f>
        <v/>
      </c>
      <c r="P1904" s="11" t="str">
        <f aca="false">IF($B1904="","",IF($E1904="대체",0,1))</f>
        <v/>
      </c>
    </row>
    <row r="1905" customFormat="false" ht="15" hidden="false" customHeight="false" outlineLevel="0" collapsed="false">
      <c r="A1905" s="36" t="str">
        <f aca="false">IF($B1905="","",COUNT($B$15:$B1905))</f>
        <v/>
      </c>
      <c r="B1905" s="37"/>
      <c r="C1905" s="38"/>
      <c r="D1905" s="20"/>
      <c r="E1905" s="36" t="str">
        <f aca="false">IF($D1905="","",IFERROR(INDEX('교육원 ④ 설정'!$A$6:$A$40,MATCH($D1905,'교육원 ④ 설정'!$B$6:$B$40,0)),"※없는 과목"))</f>
        <v/>
      </c>
      <c r="F1905" s="36" t="str">
        <f aca="false">IF($D1905="","",IFERROR(INDEX('교육원 ④ 설정'!$C$6:$C$40,MATCH($D1905,'교육원 ④ 설정'!$B$6:$B$40,0)),""))</f>
        <v/>
      </c>
      <c r="G1905" s="39"/>
      <c r="H1905" s="39"/>
      <c r="I1905" s="40"/>
      <c r="J1905" s="41"/>
      <c r="K1905" s="38"/>
      <c r="L1905" s="42" t="str">
        <f aca="false">IF($B1905="","",IF(AND(N($I1905)=0,N($J1905)=0),"금액이 없습니다",IF(AND($I1905&gt;0,$J1905&gt;0),"수입·지출 둘 다 적혔습니다",IF($C1905="","결제수단을 고르십시오",IF(ISNA(MATCH($C1905,'교육원 ③ 통장·카드'!$A$5:$A$11,0)),"③ 통장·카드에 없는 결제수단입니다",IF($D1905="","계정과목을 고르십시오",IF($E1905="※없는 과목","④ 설정에 없는 과목입니다",IF(AND($E1905="수입",$J1905&gt;0),"수입 과목인데 지출에 적혔습니다",IF(AND(LEFT($E1905,2)&lt;&gt;"수입",$E1905&lt;&gt;"대체",$I1905&gt;0),"지출 과목인데 수입에 적혔습니다",IF($K1905="","증빙을 고르십시오",IF($H1905="","적요를 적으십시오","")))))))))))</f>
        <v/>
      </c>
      <c r="M1905" s="39"/>
      <c r="O1905" s="11" t="str">
        <f aca="false">IF($B1905="","",YEAR($B1905)*100+MONTH($B1905))</f>
        <v/>
      </c>
      <c r="P1905" s="11" t="str">
        <f aca="false">IF($B1905="","",IF($E1905="대체",0,1))</f>
        <v/>
      </c>
    </row>
    <row r="1906" customFormat="false" ht="15" hidden="false" customHeight="false" outlineLevel="0" collapsed="false">
      <c r="A1906" s="36" t="str">
        <f aca="false">IF($B1906="","",COUNT($B$15:$B1906))</f>
        <v/>
      </c>
      <c r="B1906" s="37"/>
      <c r="C1906" s="38"/>
      <c r="D1906" s="20"/>
      <c r="E1906" s="36" t="str">
        <f aca="false">IF($D1906="","",IFERROR(INDEX('교육원 ④ 설정'!$A$6:$A$40,MATCH($D1906,'교육원 ④ 설정'!$B$6:$B$40,0)),"※없는 과목"))</f>
        <v/>
      </c>
      <c r="F1906" s="36" t="str">
        <f aca="false">IF($D1906="","",IFERROR(INDEX('교육원 ④ 설정'!$C$6:$C$40,MATCH($D1906,'교육원 ④ 설정'!$B$6:$B$40,0)),""))</f>
        <v/>
      </c>
      <c r="G1906" s="39"/>
      <c r="H1906" s="39"/>
      <c r="I1906" s="40"/>
      <c r="J1906" s="41"/>
      <c r="K1906" s="38"/>
      <c r="L1906" s="42" t="str">
        <f aca="false">IF($B1906="","",IF(AND(N($I1906)=0,N($J1906)=0),"금액이 없습니다",IF(AND($I1906&gt;0,$J1906&gt;0),"수입·지출 둘 다 적혔습니다",IF($C1906="","결제수단을 고르십시오",IF(ISNA(MATCH($C1906,'교육원 ③ 통장·카드'!$A$5:$A$11,0)),"③ 통장·카드에 없는 결제수단입니다",IF($D1906="","계정과목을 고르십시오",IF($E1906="※없는 과목","④ 설정에 없는 과목입니다",IF(AND($E1906="수입",$J1906&gt;0),"수입 과목인데 지출에 적혔습니다",IF(AND(LEFT($E1906,2)&lt;&gt;"수입",$E1906&lt;&gt;"대체",$I1906&gt;0),"지출 과목인데 수입에 적혔습니다",IF($K1906="","증빙을 고르십시오",IF($H1906="","적요를 적으십시오","")))))))))))</f>
        <v/>
      </c>
      <c r="M1906" s="39"/>
      <c r="O1906" s="11" t="str">
        <f aca="false">IF($B1906="","",YEAR($B1906)*100+MONTH($B1906))</f>
        <v/>
      </c>
      <c r="P1906" s="11" t="str">
        <f aca="false">IF($B1906="","",IF($E1906="대체",0,1))</f>
        <v/>
      </c>
    </row>
    <row r="1907" customFormat="false" ht="15" hidden="false" customHeight="false" outlineLevel="0" collapsed="false">
      <c r="A1907" s="36" t="str">
        <f aca="false">IF($B1907="","",COUNT($B$15:$B1907))</f>
        <v/>
      </c>
      <c r="B1907" s="37"/>
      <c r="C1907" s="38"/>
      <c r="D1907" s="20"/>
      <c r="E1907" s="36" t="str">
        <f aca="false">IF($D1907="","",IFERROR(INDEX('교육원 ④ 설정'!$A$6:$A$40,MATCH($D1907,'교육원 ④ 설정'!$B$6:$B$40,0)),"※없는 과목"))</f>
        <v/>
      </c>
      <c r="F1907" s="36" t="str">
        <f aca="false">IF($D1907="","",IFERROR(INDEX('교육원 ④ 설정'!$C$6:$C$40,MATCH($D1907,'교육원 ④ 설정'!$B$6:$B$40,0)),""))</f>
        <v/>
      </c>
      <c r="G1907" s="39"/>
      <c r="H1907" s="39"/>
      <c r="I1907" s="40"/>
      <c r="J1907" s="41"/>
      <c r="K1907" s="38"/>
      <c r="L1907" s="42" t="str">
        <f aca="false">IF($B1907="","",IF(AND(N($I1907)=0,N($J1907)=0),"금액이 없습니다",IF(AND($I1907&gt;0,$J1907&gt;0),"수입·지출 둘 다 적혔습니다",IF($C1907="","결제수단을 고르십시오",IF(ISNA(MATCH($C1907,'교육원 ③ 통장·카드'!$A$5:$A$11,0)),"③ 통장·카드에 없는 결제수단입니다",IF($D1907="","계정과목을 고르십시오",IF($E1907="※없는 과목","④ 설정에 없는 과목입니다",IF(AND($E1907="수입",$J1907&gt;0),"수입 과목인데 지출에 적혔습니다",IF(AND(LEFT($E1907,2)&lt;&gt;"수입",$E1907&lt;&gt;"대체",$I1907&gt;0),"지출 과목인데 수입에 적혔습니다",IF($K1907="","증빙을 고르십시오",IF($H1907="","적요를 적으십시오","")))))))))))</f>
        <v/>
      </c>
      <c r="M1907" s="39"/>
      <c r="O1907" s="11" t="str">
        <f aca="false">IF($B1907="","",YEAR($B1907)*100+MONTH($B1907))</f>
        <v/>
      </c>
      <c r="P1907" s="11" t="str">
        <f aca="false">IF($B1907="","",IF($E1907="대체",0,1))</f>
        <v/>
      </c>
    </row>
    <row r="1908" customFormat="false" ht="15" hidden="false" customHeight="false" outlineLevel="0" collapsed="false">
      <c r="A1908" s="36" t="str">
        <f aca="false">IF($B1908="","",COUNT($B$15:$B1908))</f>
        <v/>
      </c>
      <c r="B1908" s="37"/>
      <c r="C1908" s="38"/>
      <c r="D1908" s="20"/>
      <c r="E1908" s="36" t="str">
        <f aca="false">IF($D1908="","",IFERROR(INDEX('교육원 ④ 설정'!$A$6:$A$40,MATCH($D1908,'교육원 ④ 설정'!$B$6:$B$40,0)),"※없는 과목"))</f>
        <v/>
      </c>
      <c r="F1908" s="36" t="str">
        <f aca="false">IF($D1908="","",IFERROR(INDEX('교육원 ④ 설정'!$C$6:$C$40,MATCH($D1908,'교육원 ④ 설정'!$B$6:$B$40,0)),""))</f>
        <v/>
      </c>
      <c r="G1908" s="39"/>
      <c r="H1908" s="39"/>
      <c r="I1908" s="40"/>
      <c r="J1908" s="41"/>
      <c r="K1908" s="38"/>
      <c r="L1908" s="42" t="str">
        <f aca="false">IF($B1908="","",IF(AND(N($I1908)=0,N($J1908)=0),"금액이 없습니다",IF(AND($I1908&gt;0,$J1908&gt;0),"수입·지출 둘 다 적혔습니다",IF($C1908="","결제수단을 고르십시오",IF(ISNA(MATCH($C1908,'교육원 ③ 통장·카드'!$A$5:$A$11,0)),"③ 통장·카드에 없는 결제수단입니다",IF($D1908="","계정과목을 고르십시오",IF($E1908="※없는 과목","④ 설정에 없는 과목입니다",IF(AND($E1908="수입",$J1908&gt;0),"수입 과목인데 지출에 적혔습니다",IF(AND(LEFT($E1908,2)&lt;&gt;"수입",$E1908&lt;&gt;"대체",$I1908&gt;0),"지출 과목인데 수입에 적혔습니다",IF($K1908="","증빙을 고르십시오",IF($H1908="","적요를 적으십시오","")))))))))))</f>
        <v/>
      </c>
      <c r="M1908" s="39"/>
      <c r="O1908" s="11" t="str">
        <f aca="false">IF($B1908="","",YEAR($B1908)*100+MONTH($B1908))</f>
        <v/>
      </c>
      <c r="P1908" s="11" t="str">
        <f aca="false">IF($B1908="","",IF($E1908="대체",0,1))</f>
        <v/>
      </c>
    </row>
    <row r="1909" customFormat="false" ht="15" hidden="false" customHeight="false" outlineLevel="0" collapsed="false">
      <c r="A1909" s="36" t="str">
        <f aca="false">IF($B1909="","",COUNT($B$15:$B1909))</f>
        <v/>
      </c>
      <c r="B1909" s="37"/>
      <c r="C1909" s="38"/>
      <c r="D1909" s="20"/>
      <c r="E1909" s="36" t="str">
        <f aca="false">IF($D1909="","",IFERROR(INDEX('교육원 ④ 설정'!$A$6:$A$40,MATCH($D1909,'교육원 ④ 설정'!$B$6:$B$40,0)),"※없는 과목"))</f>
        <v/>
      </c>
      <c r="F1909" s="36" t="str">
        <f aca="false">IF($D1909="","",IFERROR(INDEX('교육원 ④ 설정'!$C$6:$C$40,MATCH($D1909,'교육원 ④ 설정'!$B$6:$B$40,0)),""))</f>
        <v/>
      </c>
      <c r="G1909" s="39"/>
      <c r="H1909" s="39"/>
      <c r="I1909" s="40"/>
      <c r="J1909" s="41"/>
      <c r="K1909" s="38"/>
      <c r="L1909" s="42" t="str">
        <f aca="false">IF($B1909="","",IF(AND(N($I1909)=0,N($J1909)=0),"금액이 없습니다",IF(AND($I1909&gt;0,$J1909&gt;0),"수입·지출 둘 다 적혔습니다",IF($C1909="","결제수단을 고르십시오",IF(ISNA(MATCH($C1909,'교육원 ③ 통장·카드'!$A$5:$A$11,0)),"③ 통장·카드에 없는 결제수단입니다",IF($D1909="","계정과목을 고르십시오",IF($E1909="※없는 과목","④ 설정에 없는 과목입니다",IF(AND($E1909="수입",$J1909&gt;0),"수입 과목인데 지출에 적혔습니다",IF(AND(LEFT($E1909,2)&lt;&gt;"수입",$E1909&lt;&gt;"대체",$I1909&gt;0),"지출 과목인데 수입에 적혔습니다",IF($K1909="","증빙을 고르십시오",IF($H1909="","적요를 적으십시오","")))))))))))</f>
        <v/>
      </c>
      <c r="M1909" s="39"/>
      <c r="O1909" s="11" t="str">
        <f aca="false">IF($B1909="","",YEAR($B1909)*100+MONTH($B1909))</f>
        <v/>
      </c>
      <c r="P1909" s="11" t="str">
        <f aca="false">IF($B1909="","",IF($E1909="대체",0,1))</f>
        <v/>
      </c>
    </row>
    <row r="1910" customFormat="false" ht="15" hidden="false" customHeight="false" outlineLevel="0" collapsed="false">
      <c r="A1910" s="36" t="str">
        <f aca="false">IF($B1910="","",COUNT($B$15:$B1910))</f>
        <v/>
      </c>
      <c r="B1910" s="37"/>
      <c r="C1910" s="38"/>
      <c r="D1910" s="20"/>
      <c r="E1910" s="36" t="str">
        <f aca="false">IF($D1910="","",IFERROR(INDEX('교육원 ④ 설정'!$A$6:$A$40,MATCH($D1910,'교육원 ④ 설정'!$B$6:$B$40,0)),"※없는 과목"))</f>
        <v/>
      </c>
      <c r="F1910" s="36" t="str">
        <f aca="false">IF($D1910="","",IFERROR(INDEX('교육원 ④ 설정'!$C$6:$C$40,MATCH($D1910,'교육원 ④ 설정'!$B$6:$B$40,0)),""))</f>
        <v/>
      </c>
      <c r="G1910" s="39"/>
      <c r="H1910" s="39"/>
      <c r="I1910" s="40"/>
      <c r="J1910" s="41"/>
      <c r="K1910" s="38"/>
      <c r="L1910" s="42" t="str">
        <f aca="false">IF($B1910="","",IF(AND(N($I1910)=0,N($J1910)=0),"금액이 없습니다",IF(AND($I1910&gt;0,$J1910&gt;0),"수입·지출 둘 다 적혔습니다",IF($C1910="","결제수단을 고르십시오",IF(ISNA(MATCH($C1910,'교육원 ③ 통장·카드'!$A$5:$A$11,0)),"③ 통장·카드에 없는 결제수단입니다",IF($D1910="","계정과목을 고르십시오",IF($E1910="※없는 과목","④ 설정에 없는 과목입니다",IF(AND($E1910="수입",$J1910&gt;0),"수입 과목인데 지출에 적혔습니다",IF(AND(LEFT($E1910,2)&lt;&gt;"수입",$E1910&lt;&gt;"대체",$I1910&gt;0),"지출 과목인데 수입에 적혔습니다",IF($K1910="","증빙을 고르십시오",IF($H1910="","적요를 적으십시오","")))))))))))</f>
        <v/>
      </c>
      <c r="M1910" s="39"/>
      <c r="O1910" s="11" t="str">
        <f aca="false">IF($B1910="","",YEAR($B1910)*100+MONTH($B1910))</f>
        <v/>
      </c>
      <c r="P1910" s="11" t="str">
        <f aca="false">IF($B1910="","",IF($E1910="대체",0,1))</f>
        <v/>
      </c>
    </row>
    <row r="1911" customFormat="false" ht="15" hidden="false" customHeight="false" outlineLevel="0" collapsed="false">
      <c r="A1911" s="36" t="str">
        <f aca="false">IF($B1911="","",COUNT($B$15:$B1911))</f>
        <v/>
      </c>
      <c r="B1911" s="37"/>
      <c r="C1911" s="38"/>
      <c r="D1911" s="20"/>
      <c r="E1911" s="36" t="str">
        <f aca="false">IF($D1911="","",IFERROR(INDEX('교육원 ④ 설정'!$A$6:$A$40,MATCH($D1911,'교육원 ④ 설정'!$B$6:$B$40,0)),"※없는 과목"))</f>
        <v/>
      </c>
      <c r="F1911" s="36" t="str">
        <f aca="false">IF($D1911="","",IFERROR(INDEX('교육원 ④ 설정'!$C$6:$C$40,MATCH($D1911,'교육원 ④ 설정'!$B$6:$B$40,0)),""))</f>
        <v/>
      </c>
      <c r="G1911" s="39"/>
      <c r="H1911" s="39"/>
      <c r="I1911" s="40"/>
      <c r="J1911" s="41"/>
      <c r="K1911" s="38"/>
      <c r="L1911" s="42" t="str">
        <f aca="false">IF($B1911="","",IF(AND(N($I1911)=0,N($J1911)=0),"금액이 없습니다",IF(AND($I1911&gt;0,$J1911&gt;0),"수입·지출 둘 다 적혔습니다",IF($C1911="","결제수단을 고르십시오",IF(ISNA(MATCH($C1911,'교육원 ③ 통장·카드'!$A$5:$A$11,0)),"③ 통장·카드에 없는 결제수단입니다",IF($D1911="","계정과목을 고르십시오",IF($E1911="※없는 과목","④ 설정에 없는 과목입니다",IF(AND($E1911="수입",$J1911&gt;0),"수입 과목인데 지출에 적혔습니다",IF(AND(LEFT($E1911,2)&lt;&gt;"수입",$E1911&lt;&gt;"대체",$I1911&gt;0),"지출 과목인데 수입에 적혔습니다",IF($K1911="","증빙을 고르십시오",IF($H1911="","적요를 적으십시오","")))))))))))</f>
        <v/>
      </c>
      <c r="M1911" s="39"/>
      <c r="O1911" s="11" t="str">
        <f aca="false">IF($B1911="","",YEAR($B1911)*100+MONTH($B1911))</f>
        <v/>
      </c>
      <c r="P1911" s="11" t="str">
        <f aca="false">IF($B1911="","",IF($E1911="대체",0,1))</f>
        <v/>
      </c>
    </row>
    <row r="1912" customFormat="false" ht="15" hidden="false" customHeight="false" outlineLevel="0" collapsed="false">
      <c r="A1912" s="36" t="str">
        <f aca="false">IF($B1912="","",COUNT($B$15:$B1912))</f>
        <v/>
      </c>
      <c r="B1912" s="37"/>
      <c r="C1912" s="38"/>
      <c r="D1912" s="20"/>
      <c r="E1912" s="36" t="str">
        <f aca="false">IF($D1912="","",IFERROR(INDEX('교육원 ④ 설정'!$A$6:$A$40,MATCH($D1912,'교육원 ④ 설정'!$B$6:$B$40,0)),"※없는 과목"))</f>
        <v/>
      </c>
      <c r="F1912" s="36" t="str">
        <f aca="false">IF($D1912="","",IFERROR(INDEX('교육원 ④ 설정'!$C$6:$C$40,MATCH($D1912,'교육원 ④ 설정'!$B$6:$B$40,0)),""))</f>
        <v/>
      </c>
      <c r="G1912" s="39"/>
      <c r="H1912" s="39"/>
      <c r="I1912" s="40"/>
      <c r="J1912" s="41"/>
      <c r="K1912" s="38"/>
      <c r="L1912" s="42" t="str">
        <f aca="false">IF($B1912="","",IF(AND(N($I1912)=0,N($J1912)=0),"금액이 없습니다",IF(AND($I1912&gt;0,$J1912&gt;0),"수입·지출 둘 다 적혔습니다",IF($C1912="","결제수단을 고르십시오",IF(ISNA(MATCH($C1912,'교육원 ③ 통장·카드'!$A$5:$A$11,0)),"③ 통장·카드에 없는 결제수단입니다",IF($D1912="","계정과목을 고르십시오",IF($E1912="※없는 과목","④ 설정에 없는 과목입니다",IF(AND($E1912="수입",$J1912&gt;0),"수입 과목인데 지출에 적혔습니다",IF(AND(LEFT($E1912,2)&lt;&gt;"수입",$E1912&lt;&gt;"대체",$I1912&gt;0),"지출 과목인데 수입에 적혔습니다",IF($K1912="","증빙을 고르십시오",IF($H1912="","적요를 적으십시오","")))))))))))</f>
        <v/>
      </c>
      <c r="M1912" s="39"/>
      <c r="O1912" s="11" t="str">
        <f aca="false">IF($B1912="","",YEAR($B1912)*100+MONTH($B1912))</f>
        <v/>
      </c>
      <c r="P1912" s="11" t="str">
        <f aca="false">IF($B1912="","",IF($E1912="대체",0,1))</f>
        <v/>
      </c>
    </row>
    <row r="1913" customFormat="false" ht="15" hidden="false" customHeight="false" outlineLevel="0" collapsed="false">
      <c r="A1913" s="36" t="str">
        <f aca="false">IF($B1913="","",COUNT($B$15:$B1913))</f>
        <v/>
      </c>
      <c r="B1913" s="37"/>
      <c r="C1913" s="38"/>
      <c r="D1913" s="20"/>
      <c r="E1913" s="36" t="str">
        <f aca="false">IF($D1913="","",IFERROR(INDEX('교육원 ④ 설정'!$A$6:$A$40,MATCH($D1913,'교육원 ④ 설정'!$B$6:$B$40,0)),"※없는 과목"))</f>
        <v/>
      </c>
      <c r="F1913" s="36" t="str">
        <f aca="false">IF($D1913="","",IFERROR(INDEX('교육원 ④ 설정'!$C$6:$C$40,MATCH($D1913,'교육원 ④ 설정'!$B$6:$B$40,0)),""))</f>
        <v/>
      </c>
      <c r="G1913" s="39"/>
      <c r="H1913" s="39"/>
      <c r="I1913" s="40"/>
      <c r="J1913" s="41"/>
      <c r="K1913" s="38"/>
      <c r="L1913" s="42" t="str">
        <f aca="false">IF($B1913="","",IF(AND(N($I1913)=0,N($J1913)=0),"금액이 없습니다",IF(AND($I1913&gt;0,$J1913&gt;0),"수입·지출 둘 다 적혔습니다",IF($C1913="","결제수단을 고르십시오",IF(ISNA(MATCH($C1913,'교육원 ③ 통장·카드'!$A$5:$A$11,0)),"③ 통장·카드에 없는 결제수단입니다",IF($D1913="","계정과목을 고르십시오",IF($E1913="※없는 과목","④ 설정에 없는 과목입니다",IF(AND($E1913="수입",$J1913&gt;0),"수입 과목인데 지출에 적혔습니다",IF(AND(LEFT($E1913,2)&lt;&gt;"수입",$E1913&lt;&gt;"대체",$I1913&gt;0),"지출 과목인데 수입에 적혔습니다",IF($K1913="","증빙을 고르십시오",IF($H1913="","적요를 적으십시오","")))))))))))</f>
        <v/>
      </c>
      <c r="M1913" s="39"/>
      <c r="O1913" s="11" t="str">
        <f aca="false">IF($B1913="","",YEAR($B1913)*100+MONTH($B1913))</f>
        <v/>
      </c>
      <c r="P1913" s="11" t="str">
        <f aca="false">IF($B1913="","",IF($E1913="대체",0,1))</f>
        <v/>
      </c>
    </row>
    <row r="1914" customFormat="false" ht="15" hidden="false" customHeight="false" outlineLevel="0" collapsed="false">
      <c r="A1914" s="36" t="str">
        <f aca="false">IF($B1914="","",COUNT($B$15:$B1914))</f>
        <v/>
      </c>
      <c r="B1914" s="37"/>
      <c r="C1914" s="38"/>
      <c r="D1914" s="20"/>
      <c r="E1914" s="36" t="str">
        <f aca="false">IF($D1914="","",IFERROR(INDEX('교육원 ④ 설정'!$A$6:$A$40,MATCH($D1914,'교육원 ④ 설정'!$B$6:$B$40,0)),"※없는 과목"))</f>
        <v/>
      </c>
      <c r="F1914" s="36" t="str">
        <f aca="false">IF($D1914="","",IFERROR(INDEX('교육원 ④ 설정'!$C$6:$C$40,MATCH($D1914,'교육원 ④ 설정'!$B$6:$B$40,0)),""))</f>
        <v/>
      </c>
      <c r="G1914" s="39"/>
      <c r="H1914" s="39"/>
      <c r="I1914" s="40"/>
      <c r="J1914" s="41"/>
      <c r="K1914" s="38"/>
      <c r="L1914" s="42" t="str">
        <f aca="false">IF($B1914="","",IF(AND(N($I1914)=0,N($J1914)=0),"금액이 없습니다",IF(AND($I1914&gt;0,$J1914&gt;0),"수입·지출 둘 다 적혔습니다",IF($C1914="","결제수단을 고르십시오",IF(ISNA(MATCH($C1914,'교육원 ③ 통장·카드'!$A$5:$A$11,0)),"③ 통장·카드에 없는 결제수단입니다",IF($D1914="","계정과목을 고르십시오",IF($E1914="※없는 과목","④ 설정에 없는 과목입니다",IF(AND($E1914="수입",$J1914&gt;0),"수입 과목인데 지출에 적혔습니다",IF(AND(LEFT($E1914,2)&lt;&gt;"수입",$E1914&lt;&gt;"대체",$I1914&gt;0),"지출 과목인데 수입에 적혔습니다",IF($K1914="","증빙을 고르십시오",IF($H1914="","적요를 적으십시오","")))))))))))</f>
        <v/>
      </c>
      <c r="M1914" s="39"/>
      <c r="O1914" s="11" t="str">
        <f aca="false">IF($B1914="","",YEAR($B1914)*100+MONTH($B1914))</f>
        <v/>
      </c>
      <c r="P1914" s="11" t="str">
        <f aca="false">IF($B1914="","",IF($E1914="대체",0,1))</f>
        <v/>
      </c>
    </row>
    <row r="1915" customFormat="false" ht="15" hidden="false" customHeight="false" outlineLevel="0" collapsed="false">
      <c r="A1915" s="36" t="str">
        <f aca="false">IF($B1915="","",COUNT($B$15:$B1915))</f>
        <v/>
      </c>
      <c r="B1915" s="37"/>
      <c r="C1915" s="38"/>
      <c r="D1915" s="20"/>
      <c r="E1915" s="36" t="str">
        <f aca="false">IF($D1915="","",IFERROR(INDEX('교육원 ④ 설정'!$A$6:$A$40,MATCH($D1915,'교육원 ④ 설정'!$B$6:$B$40,0)),"※없는 과목"))</f>
        <v/>
      </c>
      <c r="F1915" s="36" t="str">
        <f aca="false">IF($D1915="","",IFERROR(INDEX('교육원 ④ 설정'!$C$6:$C$40,MATCH($D1915,'교육원 ④ 설정'!$B$6:$B$40,0)),""))</f>
        <v/>
      </c>
      <c r="G1915" s="39"/>
      <c r="H1915" s="39"/>
      <c r="I1915" s="40"/>
      <c r="J1915" s="41"/>
      <c r="K1915" s="38"/>
      <c r="L1915" s="42" t="str">
        <f aca="false">IF($B1915="","",IF(AND(N($I1915)=0,N($J1915)=0),"금액이 없습니다",IF(AND($I1915&gt;0,$J1915&gt;0),"수입·지출 둘 다 적혔습니다",IF($C1915="","결제수단을 고르십시오",IF(ISNA(MATCH($C1915,'교육원 ③ 통장·카드'!$A$5:$A$11,0)),"③ 통장·카드에 없는 결제수단입니다",IF($D1915="","계정과목을 고르십시오",IF($E1915="※없는 과목","④ 설정에 없는 과목입니다",IF(AND($E1915="수입",$J1915&gt;0),"수입 과목인데 지출에 적혔습니다",IF(AND(LEFT($E1915,2)&lt;&gt;"수입",$E1915&lt;&gt;"대체",$I1915&gt;0),"지출 과목인데 수입에 적혔습니다",IF($K1915="","증빙을 고르십시오",IF($H1915="","적요를 적으십시오","")))))))))))</f>
        <v/>
      </c>
      <c r="M1915" s="39"/>
      <c r="O1915" s="11" t="str">
        <f aca="false">IF($B1915="","",YEAR($B1915)*100+MONTH($B1915))</f>
        <v/>
      </c>
      <c r="P1915" s="11" t="str">
        <f aca="false">IF($B1915="","",IF($E1915="대체",0,1))</f>
        <v/>
      </c>
    </row>
    <row r="1916" customFormat="false" ht="15" hidden="false" customHeight="false" outlineLevel="0" collapsed="false">
      <c r="A1916" s="36" t="str">
        <f aca="false">IF($B1916="","",COUNT($B$15:$B1916))</f>
        <v/>
      </c>
      <c r="B1916" s="37"/>
      <c r="C1916" s="38"/>
      <c r="D1916" s="20"/>
      <c r="E1916" s="36" t="str">
        <f aca="false">IF($D1916="","",IFERROR(INDEX('교육원 ④ 설정'!$A$6:$A$40,MATCH($D1916,'교육원 ④ 설정'!$B$6:$B$40,0)),"※없는 과목"))</f>
        <v/>
      </c>
      <c r="F1916" s="36" t="str">
        <f aca="false">IF($D1916="","",IFERROR(INDEX('교육원 ④ 설정'!$C$6:$C$40,MATCH($D1916,'교육원 ④ 설정'!$B$6:$B$40,0)),""))</f>
        <v/>
      </c>
      <c r="G1916" s="39"/>
      <c r="H1916" s="39"/>
      <c r="I1916" s="40"/>
      <c r="J1916" s="41"/>
      <c r="K1916" s="38"/>
      <c r="L1916" s="42" t="str">
        <f aca="false">IF($B1916="","",IF(AND(N($I1916)=0,N($J1916)=0),"금액이 없습니다",IF(AND($I1916&gt;0,$J1916&gt;0),"수입·지출 둘 다 적혔습니다",IF($C1916="","결제수단을 고르십시오",IF(ISNA(MATCH($C1916,'교육원 ③ 통장·카드'!$A$5:$A$11,0)),"③ 통장·카드에 없는 결제수단입니다",IF($D1916="","계정과목을 고르십시오",IF($E1916="※없는 과목","④ 설정에 없는 과목입니다",IF(AND($E1916="수입",$J1916&gt;0),"수입 과목인데 지출에 적혔습니다",IF(AND(LEFT($E1916,2)&lt;&gt;"수입",$E1916&lt;&gt;"대체",$I1916&gt;0),"지출 과목인데 수입에 적혔습니다",IF($K1916="","증빙을 고르십시오",IF($H1916="","적요를 적으십시오","")))))))))))</f>
        <v/>
      </c>
      <c r="M1916" s="39"/>
      <c r="O1916" s="11" t="str">
        <f aca="false">IF($B1916="","",YEAR($B1916)*100+MONTH($B1916))</f>
        <v/>
      </c>
      <c r="P1916" s="11" t="str">
        <f aca="false">IF($B1916="","",IF($E1916="대체",0,1))</f>
        <v/>
      </c>
    </row>
    <row r="1917" customFormat="false" ht="15" hidden="false" customHeight="false" outlineLevel="0" collapsed="false">
      <c r="A1917" s="36" t="str">
        <f aca="false">IF($B1917="","",COUNT($B$15:$B1917))</f>
        <v/>
      </c>
      <c r="B1917" s="37"/>
      <c r="C1917" s="38"/>
      <c r="D1917" s="20"/>
      <c r="E1917" s="36" t="str">
        <f aca="false">IF($D1917="","",IFERROR(INDEX('교육원 ④ 설정'!$A$6:$A$40,MATCH($D1917,'교육원 ④ 설정'!$B$6:$B$40,0)),"※없는 과목"))</f>
        <v/>
      </c>
      <c r="F1917" s="36" t="str">
        <f aca="false">IF($D1917="","",IFERROR(INDEX('교육원 ④ 설정'!$C$6:$C$40,MATCH($D1917,'교육원 ④ 설정'!$B$6:$B$40,0)),""))</f>
        <v/>
      </c>
      <c r="G1917" s="39"/>
      <c r="H1917" s="39"/>
      <c r="I1917" s="40"/>
      <c r="J1917" s="41"/>
      <c r="K1917" s="38"/>
      <c r="L1917" s="42" t="str">
        <f aca="false">IF($B1917="","",IF(AND(N($I1917)=0,N($J1917)=0),"금액이 없습니다",IF(AND($I1917&gt;0,$J1917&gt;0),"수입·지출 둘 다 적혔습니다",IF($C1917="","결제수단을 고르십시오",IF(ISNA(MATCH($C1917,'교육원 ③ 통장·카드'!$A$5:$A$11,0)),"③ 통장·카드에 없는 결제수단입니다",IF($D1917="","계정과목을 고르십시오",IF($E1917="※없는 과목","④ 설정에 없는 과목입니다",IF(AND($E1917="수입",$J1917&gt;0),"수입 과목인데 지출에 적혔습니다",IF(AND(LEFT($E1917,2)&lt;&gt;"수입",$E1917&lt;&gt;"대체",$I1917&gt;0),"지출 과목인데 수입에 적혔습니다",IF($K1917="","증빙을 고르십시오",IF($H1917="","적요를 적으십시오","")))))))))))</f>
        <v/>
      </c>
      <c r="M1917" s="39"/>
      <c r="O1917" s="11" t="str">
        <f aca="false">IF($B1917="","",YEAR($B1917)*100+MONTH($B1917))</f>
        <v/>
      </c>
      <c r="P1917" s="11" t="str">
        <f aca="false">IF($B1917="","",IF($E1917="대체",0,1))</f>
        <v/>
      </c>
    </row>
    <row r="1918" customFormat="false" ht="15" hidden="false" customHeight="false" outlineLevel="0" collapsed="false">
      <c r="A1918" s="36" t="str">
        <f aca="false">IF($B1918="","",COUNT($B$15:$B1918))</f>
        <v/>
      </c>
      <c r="B1918" s="37"/>
      <c r="C1918" s="38"/>
      <c r="D1918" s="20"/>
      <c r="E1918" s="36" t="str">
        <f aca="false">IF($D1918="","",IFERROR(INDEX('교육원 ④ 설정'!$A$6:$A$40,MATCH($D1918,'교육원 ④ 설정'!$B$6:$B$40,0)),"※없는 과목"))</f>
        <v/>
      </c>
      <c r="F1918" s="36" t="str">
        <f aca="false">IF($D1918="","",IFERROR(INDEX('교육원 ④ 설정'!$C$6:$C$40,MATCH($D1918,'교육원 ④ 설정'!$B$6:$B$40,0)),""))</f>
        <v/>
      </c>
      <c r="G1918" s="39"/>
      <c r="H1918" s="39"/>
      <c r="I1918" s="40"/>
      <c r="J1918" s="41"/>
      <c r="K1918" s="38"/>
      <c r="L1918" s="42" t="str">
        <f aca="false">IF($B1918="","",IF(AND(N($I1918)=0,N($J1918)=0),"금액이 없습니다",IF(AND($I1918&gt;0,$J1918&gt;0),"수입·지출 둘 다 적혔습니다",IF($C1918="","결제수단을 고르십시오",IF(ISNA(MATCH($C1918,'교육원 ③ 통장·카드'!$A$5:$A$11,0)),"③ 통장·카드에 없는 결제수단입니다",IF($D1918="","계정과목을 고르십시오",IF($E1918="※없는 과목","④ 설정에 없는 과목입니다",IF(AND($E1918="수입",$J1918&gt;0),"수입 과목인데 지출에 적혔습니다",IF(AND(LEFT($E1918,2)&lt;&gt;"수입",$E1918&lt;&gt;"대체",$I1918&gt;0),"지출 과목인데 수입에 적혔습니다",IF($K1918="","증빙을 고르십시오",IF($H1918="","적요를 적으십시오","")))))))))))</f>
        <v/>
      </c>
      <c r="M1918" s="39"/>
      <c r="O1918" s="11" t="str">
        <f aca="false">IF($B1918="","",YEAR($B1918)*100+MONTH($B1918))</f>
        <v/>
      </c>
      <c r="P1918" s="11" t="str">
        <f aca="false">IF($B1918="","",IF($E1918="대체",0,1))</f>
        <v/>
      </c>
    </row>
    <row r="1919" customFormat="false" ht="15" hidden="false" customHeight="false" outlineLevel="0" collapsed="false">
      <c r="A1919" s="36" t="str">
        <f aca="false">IF($B1919="","",COUNT($B$15:$B1919))</f>
        <v/>
      </c>
      <c r="B1919" s="37"/>
      <c r="C1919" s="38"/>
      <c r="D1919" s="20"/>
      <c r="E1919" s="36" t="str">
        <f aca="false">IF($D1919="","",IFERROR(INDEX('교육원 ④ 설정'!$A$6:$A$40,MATCH($D1919,'교육원 ④ 설정'!$B$6:$B$40,0)),"※없는 과목"))</f>
        <v/>
      </c>
      <c r="F1919" s="36" t="str">
        <f aca="false">IF($D1919="","",IFERROR(INDEX('교육원 ④ 설정'!$C$6:$C$40,MATCH($D1919,'교육원 ④ 설정'!$B$6:$B$40,0)),""))</f>
        <v/>
      </c>
      <c r="G1919" s="39"/>
      <c r="H1919" s="39"/>
      <c r="I1919" s="40"/>
      <c r="J1919" s="41"/>
      <c r="K1919" s="38"/>
      <c r="L1919" s="42" t="str">
        <f aca="false">IF($B1919="","",IF(AND(N($I1919)=0,N($J1919)=0),"금액이 없습니다",IF(AND($I1919&gt;0,$J1919&gt;0),"수입·지출 둘 다 적혔습니다",IF($C1919="","결제수단을 고르십시오",IF(ISNA(MATCH($C1919,'교육원 ③ 통장·카드'!$A$5:$A$11,0)),"③ 통장·카드에 없는 결제수단입니다",IF($D1919="","계정과목을 고르십시오",IF($E1919="※없는 과목","④ 설정에 없는 과목입니다",IF(AND($E1919="수입",$J1919&gt;0),"수입 과목인데 지출에 적혔습니다",IF(AND(LEFT($E1919,2)&lt;&gt;"수입",$E1919&lt;&gt;"대체",$I1919&gt;0),"지출 과목인데 수입에 적혔습니다",IF($K1919="","증빙을 고르십시오",IF($H1919="","적요를 적으십시오","")))))))))))</f>
        <v/>
      </c>
      <c r="M1919" s="39"/>
      <c r="O1919" s="11" t="str">
        <f aca="false">IF($B1919="","",YEAR($B1919)*100+MONTH($B1919))</f>
        <v/>
      </c>
      <c r="P1919" s="11" t="str">
        <f aca="false">IF($B1919="","",IF($E1919="대체",0,1))</f>
        <v/>
      </c>
    </row>
    <row r="1920" customFormat="false" ht="15" hidden="false" customHeight="false" outlineLevel="0" collapsed="false">
      <c r="A1920" s="36" t="str">
        <f aca="false">IF($B1920="","",COUNT($B$15:$B1920))</f>
        <v/>
      </c>
      <c r="B1920" s="37"/>
      <c r="C1920" s="38"/>
      <c r="D1920" s="20"/>
      <c r="E1920" s="36" t="str">
        <f aca="false">IF($D1920="","",IFERROR(INDEX('교육원 ④ 설정'!$A$6:$A$40,MATCH($D1920,'교육원 ④ 설정'!$B$6:$B$40,0)),"※없는 과목"))</f>
        <v/>
      </c>
      <c r="F1920" s="36" t="str">
        <f aca="false">IF($D1920="","",IFERROR(INDEX('교육원 ④ 설정'!$C$6:$C$40,MATCH($D1920,'교육원 ④ 설정'!$B$6:$B$40,0)),""))</f>
        <v/>
      </c>
      <c r="G1920" s="39"/>
      <c r="H1920" s="39"/>
      <c r="I1920" s="40"/>
      <c r="J1920" s="41"/>
      <c r="K1920" s="38"/>
      <c r="L1920" s="42" t="str">
        <f aca="false">IF($B1920="","",IF(AND(N($I1920)=0,N($J1920)=0),"금액이 없습니다",IF(AND($I1920&gt;0,$J1920&gt;0),"수입·지출 둘 다 적혔습니다",IF($C1920="","결제수단을 고르십시오",IF(ISNA(MATCH($C1920,'교육원 ③ 통장·카드'!$A$5:$A$11,0)),"③ 통장·카드에 없는 결제수단입니다",IF($D1920="","계정과목을 고르십시오",IF($E1920="※없는 과목","④ 설정에 없는 과목입니다",IF(AND($E1920="수입",$J1920&gt;0),"수입 과목인데 지출에 적혔습니다",IF(AND(LEFT($E1920,2)&lt;&gt;"수입",$E1920&lt;&gt;"대체",$I1920&gt;0),"지출 과목인데 수입에 적혔습니다",IF($K1920="","증빙을 고르십시오",IF($H1920="","적요를 적으십시오","")))))))))))</f>
        <v/>
      </c>
      <c r="M1920" s="39"/>
      <c r="O1920" s="11" t="str">
        <f aca="false">IF($B1920="","",YEAR($B1920)*100+MONTH($B1920))</f>
        <v/>
      </c>
      <c r="P1920" s="11" t="str">
        <f aca="false">IF($B1920="","",IF($E1920="대체",0,1))</f>
        <v/>
      </c>
    </row>
    <row r="1921" customFormat="false" ht="15" hidden="false" customHeight="false" outlineLevel="0" collapsed="false">
      <c r="A1921" s="36" t="str">
        <f aca="false">IF($B1921="","",COUNT($B$15:$B1921))</f>
        <v/>
      </c>
      <c r="B1921" s="37"/>
      <c r="C1921" s="38"/>
      <c r="D1921" s="20"/>
      <c r="E1921" s="36" t="str">
        <f aca="false">IF($D1921="","",IFERROR(INDEX('교육원 ④ 설정'!$A$6:$A$40,MATCH($D1921,'교육원 ④ 설정'!$B$6:$B$40,0)),"※없는 과목"))</f>
        <v/>
      </c>
      <c r="F1921" s="36" t="str">
        <f aca="false">IF($D1921="","",IFERROR(INDEX('교육원 ④ 설정'!$C$6:$C$40,MATCH($D1921,'교육원 ④ 설정'!$B$6:$B$40,0)),""))</f>
        <v/>
      </c>
      <c r="G1921" s="39"/>
      <c r="H1921" s="39"/>
      <c r="I1921" s="40"/>
      <c r="J1921" s="41"/>
      <c r="K1921" s="38"/>
      <c r="L1921" s="42" t="str">
        <f aca="false">IF($B1921="","",IF(AND(N($I1921)=0,N($J1921)=0),"금액이 없습니다",IF(AND($I1921&gt;0,$J1921&gt;0),"수입·지출 둘 다 적혔습니다",IF($C1921="","결제수단을 고르십시오",IF(ISNA(MATCH($C1921,'교육원 ③ 통장·카드'!$A$5:$A$11,0)),"③ 통장·카드에 없는 결제수단입니다",IF($D1921="","계정과목을 고르십시오",IF($E1921="※없는 과목","④ 설정에 없는 과목입니다",IF(AND($E1921="수입",$J1921&gt;0),"수입 과목인데 지출에 적혔습니다",IF(AND(LEFT($E1921,2)&lt;&gt;"수입",$E1921&lt;&gt;"대체",$I1921&gt;0),"지출 과목인데 수입에 적혔습니다",IF($K1921="","증빙을 고르십시오",IF($H1921="","적요를 적으십시오","")))))))))))</f>
        <v/>
      </c>
      <c r="M1921" s="39"/>
      <c r="O1921" s="11" t="str">
        <f aca="false">IF($B1921="","",YEAR($B1921)*100+MONTH($B1921))</f>
        <v/>
      </c>
      <c r="P1921" s="11" t="str">
        <f aca="false">IF($B1921="","",IF($E1921="대체",0,1))</f>
        <v/>
      </c>
    </row>
    <row r="1922" customFormat="false" ht="15" hidden="false" customHeight="false" outlineLevel="0" collapsed="false">
      <c r="A1922" s="36" t="str">
        <f aca="false">IF($B1922="","",COUNT($B$15:$B1922))</f>
        <v/>
      </c>
      <c r="B1922" s="37"/>
      <c r="C1922" s="38"/>
      <c r="D1922" s="20"/>
      <c r="E1922" s="36" t="str">
        <f aca="false">IF($D1922="","",IFERROR(INDEX('교육원 ④ 설정'!$A$6:$A$40,MATCH($D1922,'교육원 ④ 설정'!$B$6:$B$40,0)),"※없는 과목"))</f>
        <v/>
      </c>
      <c r="F1922" s="36" t="str">
        <f aca="false">IF($D1922="","",IFERROR(INDEX('교육원 ④ 설정'!$C$6:$C$40,MATCH($D1922,'교육원 ④ 설정'!$B$6:$B$40,0)),""))</f>
        <v/>
      </c>
      <c r="G1922" s="39"/>
      <c r="H1922" s="39"/>
      <c r="I1922" s="40"/>
      <c r="J1922" s="41"/>
      <c r="K1922" s="38"/>
      <c r="L1922" s="42" t="str">
        <f aca="false">IF($B1922="","",IF(AND(N($I1922)=0,N($J1922)=0),"금액이 없습니다",IF(AND($I1922&gt;0,$J1922&gt;0),"수입·지출 둘 다 적혔습니다",IF($C1922="","결제수단을 고르십시오",IF(ISNA(MATCH($C1922,'교육원 ③ 통장·카드'!$A$5:$A$11,0)),"③ 통장·카드에 없는 결제수단입니다",IF($D1922="","계정과목을 고르십시오",IF($E1922="※없는 과목","④ 설정에 없는 과목입니다",IF(AND($E1922="수입",$J1922&gt;0),"수입 과목인데 지출에 적혔습니다",IF(AND(LEFT($E1922,2)&lt;&gt;"수입",$E1922&lt;&gt;"대체",$I1922&gt;0),"지출 과목인데 수입에 적혔습니다",IF($K1922="","증빙을 고르십시오",IF($H1922="","적요를 적으십시오","")))))))))))</f>
        <v/>
      </c>
      <c r="M1922" s="39"/>
      <c r="O1922" s="11" t="str">
        <f aca="false">IF($B1922="","",YEAR($B1922)*100+MONTH($B1922))</f>
        <v/>
      </c>
      <c r="P1922" s="11" t="str">
        <f aca="false">IF($B1922="","",IF($E1922="대체",0,1))</f>
        <v/>
      </c>
    </row>
    <row r="1923" customFormat="false" ht="15" hidden="false" customHeight="false" outlineLevel="0" collapsed="false">
      <c r="A1923" s="36" t="str">
        <f aca="false">IF($B1923="","",COUNT($B$15:$B1923))</f>
        <v/>
      </c>
      <c r="B1923" s="37"/>
      <c r="C1923" s="38"/>
      <c r="D1923" s="20"/>
      <c r="E1923" s="36" t="str">
        <f aca="false">IF($D1923="","",IFERROR(INDEX('교육원 ④ 설정'!$A$6:$A$40,MATCH($D1923,'교육원 ④ 설정'!$B$6:$B$40,0)),"※없는 과목"))</f>
        <v/>
      </c>
      <c r="F1923" s="36" t="str">
        <f aca="false">IF($D1923="","",IFERROR(INDEX('교육원 ④ 설정'!$C$6:$C$40,MATCH($D1923,'교육원 ④ 설정'!$B$6:$B$40,0)),""))</f>
        <v/>
      </c>
      <c r="G1923" s="39"/>
      <c r="H1923" s="39"/>
      <c r="I1923" s="40"/>
      <c r="J1923" s="41"/>
      <c r="K1923" s="38"/>
      <c r="L1923" s="42" t="str">
        <f aca="false">IF($B1923="","",IF(AND(N($I1923)=0,N($J1923)=0),"금액이 없습니다",IF(AND($I1923&gt;0,$J1923&gt;0),"수입·지출 둘 다 적혔습니다",IF($C1923="","결제수단을 고르십시오",IF(ISNA(MATCH($C1923,'교육원 ③ 통장·카드'!$A$5:$A$11,0)),"③ 통장·카드에 없는 결제수단입니다",IF($D1923="","계정과목을 고르십시오",IF($E1923="※없는 과목","④ 설정에 없는 과목입니다",IF(AND($E1923="수입",$J1923&gt;0),"수입 과목인데 지출에 적혔습니다",IF(AND(LEFT($E1923,2)&lt;&gt;"수입",$E1923&lt;&gt;"대체",$I1923&gt;0),"지출 과목인데 수입에 적혔습니다",IF($K1923="","증빙을 고르십시오",IF($H1923="","적요를 적으십시오","")))))))))))</f>
        <v/>
      </c>
      <c r="M1923" s="39"/>
      <c r="O1923" s="11" t="str">
        <f aca="false">IF($B1923="","",YEAR($B1923)*100+MONTH($B1923))</f>
        <v/>
      </c>
      <c r="P1923" s="11" t="str">
        <f aca="false">IF($B1923="","",IF($E1923="대체",0,1))</f>
        <v/>
      </c>
    </row>
    <row r="1924" customFormat="false" ht="15" hidden="false" customHeight="false" outlineLevel="0" collapsed="false">
      <c r="A1924" s="36" t="str">
        <f aca="false">IF($B1924="","",COUNT($B$15:$B1924))</f>
        <v/>
      </c>
      <c r="B1924" s="37"/>
      <c r="C1924" s="38"/>
      <c r="D1924" s="20"/>
      <c r="E1924" s="36" t="str">
        <f aca="false">IF($D1924="","",IFERROR(INDEX('교육원 ④ 설정'!$A$6:$A$40,MATCH($D1924,'교육원 ④ 설정'!$B$6:$B$40,0)),"※없는 과목"))</f>
        <v/>
      </c>
      <c r="F1924" s="36" t="str">
        <f aca="false">IF($D1924="","",IFERROR(INDEX('교육원 ④ 설정'!$C$6:$C$40,MATCH($D1924,'교육원 ④ 설정'!$B$6:$B$40,0)),""))</f>
        <v/>
      </c>
      <c r="G1924" s="39"/>
      <c r="H1924" s="39"/>
      <c r="I1924" s="40"/>
      <c r="J1924" s="41"/>
      <c r="K1924" s="38"/>
      <c r="L1924" s="42" t="str">
        <f aca="false">IF($B1924="","",IF(AND(N($I1924)=0,N($J1924)=0),"금액이 없습니다",IF(AND($I1924&gt;0,$J1924&gt;0),"수입·지출 둘 다 적혔습니다",IF($C1924="","결제수단을 고르십시오",IF(ISNA(MATCH($C1924,'교육원 ③ 통장·카드'!$A$5:$A$11,0)),"③ 통장·카드에 없는 결제수단입니다",IF($D1924="","계정과목을 고르십시오",IF($E1924="※없는 과목","④ 설정에 없는 과목입니다",IF(AND($E1924="수입",$J1924&gt;0),"수입 과목인데 지출에 적혔습니다",IF(AND(LEFT($E1924,2)&lt;&gt;"수입",$E1924&lt;&gt;"대체",$I1924&gt;0),"지출 과목인데 수입에 적혔습니다",IF($K1924="","증빙을 고르십시오",IF($H1924="","적요를 적으십시오","")))))))))))</f>
        <v/>
      </c>
      <c r="M1924" s="39"/>
      <c r="O1924" s="11" t="str">
        <f aca="false">IF($B1924="","",YEAR($B1924)*100+MONTH($B1924))</f>
        <v/>
      </c>
      <c r="P1924" s="11" t="str">
        <f aca="false">IF($B1924="","",IF($E1924="대체",0,1))</f>
        <v/>
      </c>
    </row>
    <row r="1925" customFormat="false" ht="15" hidden="false" customHeight="false" outlineLevel="0" collapsed="false">
      <c r="A1925" s="36" t="str">
        <f aca="false">IF($B1925="","",COUNT($B$15:$B1925))</f>
        <v/>
      </c>
      <c r="B1925" s="37"/>
      <c r="C1925" s="38"/>
      <c r="D1925" s="20"/>
      <c r="E1925" s="36" t="str">
        <f aca="false">IF($D1925="","",IFERROR(INDEX('교육원 ④ 설정'!$A$6:$A$40,MATCH($D1925,'교육원 ④ 설정'!$B$6:$B$40,0)),"※없는 과목"))</f>
        <v/>
      </c>
      <c r="F1925" s="36" t="str">
        <f aca="false">IF($D1925="","",IFERROR(INDEX('교육원 ④ 설정'!$C$6:$C$40,MATCH($D1925,'교육원 ④ 설정'!$B$6:$B$40,0)),""))</f>
        <v/>
      </c>
      <c r="G1925" s="39"/>
      <c r="H1925" s="39"/>
      <c r="I1925" s="40"/>
      <c r="J1925" s="41"/>
      <c r="K1925" s="38"/>
      <c r="L1925" s="42" t="str">
        <f aca="false">IF($B1925="","",IF(AND(N($I1925)=0,N($J1925)=0),"금액이 없습니다",IF(AND($I1925&gt;0,$J1925&gt;0),"수입·지출 둘 다 적혔습니다",IF($C1925="","결제수단을 고르십시오",IF(ISNA(MATCH($C1925,'교육원 ③ 통장·카드'!$A$5:$A$11,0)),"③ 통장·카드에 없는 결제수단입니다",IF($D1925="","계정과목을 고르십시오",IF($E1925="※없는 과목","④ 설정에 없는 과목입니다",IF(AND($E1925="수입",$J1925&gt;0),"수입 과목인데 지출에 적혔습니다",IF(AND(LEFT($E1925,2)&lt;&gt;"수입",$E1925&lt;&gt;"대체",$I1925&gt;0),"지출 과목인데 수입에 적혔습니다",IF($K1925="","증빙을 고르십시오",IF($H1925="","적요를 적으십시오","")))))))))))</f>
        <v/>
      </c>
      <c r="M1925" s="39"/>
      <c r="O1925" s="11" t="str">
        <f aca="false">IF($B1925="","",YEAR($B1925)*100+MONTH($B1925))</f>
        <v/>
      </c>
      <c r="P1925" s="11" t="str">
        <f aca="false">IF($B1925="","",IF($E1925="대체",0,1))</f>
        <v/>
      </c>
    </row>
    <row r="1926" customFormat="false" ht="15" hidden="false" customHeight="false" outlineLevel="0" collapsed="false">
      <c r="A1926" s="36" t="str">
        <f aca="false">IF($B1926="","",COUNT($B$15:$B1926))</f>
        <v/>
      </c>
      <c r="B1926" s="37"/>
      <c r="C1926" s="38"/>
      <c r="D1926" s="20"/>
      <c r="E1926" s="36" t="str">
        <f aca="false">IF($D1926="","",IFERROR(INDEX('교육원 ④ 설정'!$A$6:$A$40,MATCH($D1926,'교육원 ④ 설정'!$B$6:$B$40,0)),"※없는 과목"))</f>
        <v/>
      </c>
      <c r="F1926" s="36" t="str">
        <f aca="false">IF($D1926="","",IFERROR(INDEX('교육원 ④ 설정'!$C$6:$C$40,MATCH($D1926,'교육원 ④ 설정'!$B$6:$B$40,0)),""))</f>
        <v/>
      </c>
      <c r="G1926" s="39"/>
      <c r="H1926" s="39"/>
      <c r="I1926" s="40"/>
      <c r="J1926" s="41"/>
      <c r="K1926" s="38"/>
      <c r="L1926" s="42" t="str">
        <f aca="false">IF($B1926="","",IF(AND(N($I1926)=0,N($J1926)=0),"금액이 없습니다",IF(AND($I1926&gt;0,$J1926&gt;0),"수입·지출 둘 다 적혔습니다",IF($C1926="","결제수단을 고르십시오",IF(ISNA(MATCH($C1926,'교육원 ③ 통장·카드'!$A$5:$A$11,0)),"③ 통장·카드에 없는 결제수단입니다",IF($D1926="","계정과목을 고르십시오",IF($E1926="※없는 과목","④ 설정에 없는 과목입니다",IF(AND($E1926="수입",$J1926&gt;0),"수입 과목인데 지출에 적혔습니다",IF(AND(LEFT($E1926,2)&lt;&gt;"수입",$E1926&lt;&gt;"대체",$I1926&gt;0),"지출 과목인데 수입에 적혔습니다",IF($K1926="","증빙을 고르십시오",IF($H1926="","적요를 적으십시오","")))))))))))</f>
        <v/>
      </c>
      <c r="M1926" s="39"/>
      <c r="O1926" s="11" t="str">
        <f aca="false">IF($B1926="","",YEAR($B1926)*100+MONTH($B1926))</f>
        <v/>
      </c>
      <c r="P1926" s="11" t="str">
        <f aca="false">IF($B1926="","",IF($E1926="대체",0,1))</f>
        <v/>
      </c>
    </row>
    <row r="1927" customFormat="false" ht="15" hidden="false" customHeight="false" outlineLevel="0" collapsed="false">
      <c r="A1927" s="36" t="str">
        <f aca="false">IF($B1927="","",COUNT($B$15:$B1927))</f>
        <v/>
      </c>
      <c r="B1927" s="37"/>
      <c r="C1927" s="38"/>
      <c r="D1927" s="20"/>
      <c r="E1927" s="36" t="str">
        <f aca="false">IF($D1927="","",IFERROR(INDEX('교육원 ④ 설정'!$A$6:$A$40,MATCH($D1927,'교육원 ④ 설정'!$B$6:$B$40,0)),"※없는 과목"))</f>
        <v/>
      </c>
      <c r="F1927" s="36" t="str">
        <f aca="false">IF($D1927="","",IFERROR(INDEX('교육원 ④ 설정'!$C$6:$C$40,MATCH($D1927,'교육원 ④ 설정'!$B$6:$B$40,0)),""))</f>
        <v/>
      </c>
      <c r="G1927" s="39"/>
      <c r="H1927" s="39"/>
      <c r="I1927" s="40"/>
      <c r="J1927" s="41"/>
      <c r="K1927" s="38"/>
      <c r="L1927" s="42" t="str">
        <f aca="false">IF($B1927="","",IF(AND(N($I1927)=0,N($J1927)=0),"금액이 없습니다",IF(AND($I1927&gt;0,$J1927&gt;0),"수입·지출 둘 다 적혔습니다",IF($C1927="","결제수단을 고르십시오",IF(ISNA(MATCH($C1927,'교육원 ③ 통장·카드'!$A$5:$A$11,0)),"③ 통장·카드에 없는 결제수단입니다",IF($D1927="","계정과목을 고르십시오",IF($E1927="※없는 과목","④ 설정에 없는 과목입니다",IF(AND($E1927="수입",$J1927&gt;0),"수입 과목인데 지출에 적혔습니다",IF(AND(LEFT($E1927,2)&lt;&gt;"수입",$E1927&lt;&gt;"대체",$I1927&gt;0),"지출 과목인데 수입에 적혔습니다",IF($K1927="","증빙을 고르십시오",IF($H1927="","적요를 적으십시오","")))))))))))</f>
        <v/>
      </c>
      <c r="M1927" s="39"/>
      <c r="O1927" s="11" t="str">
        <f aca="false">IF($B1927="","",YEAR($B1927)*100+MONTH($B1927))</f>
        <v/>
      </c>
      <c r="P1927" s="11" t="str">
        <f aca="false">IF($B1927="","",IF($E1927="대체",0,1))</f>
        <v/>
      </c>
    </row>
    <row r="1928" customFormat="false" ht="15" hidden="false" customHeight="false" outlineLevel="0" collapsed="false">
      <c r="A1928" s="36" t="str">
        <f aca="false">IF($B1928="","",COUNT($B$15:$B1928))</f>
        <v/>
      </c>
      <c r="B1928" s="37"/>
      <c r="C1928" s="38"/>
      <c r="D1928" s="20"/>
      <c r="E1928" s="36" t="str">
        <f aca="false">IF($D1928="","",IFERROR(INDEX('교육원 ④ 설정'!$A$6:$A$40,MATCH($D1928,'교육원 ④ 설정'!$B$6:$B$40,0)),"※없는 과목"))</f>
        <v/>
      </c>
      <c r="F1928" s="36" t="str">
        <f aca="false">IF($D1928="","",IFERROR(INDEX('교육원 ④ 설정'!$C$6:$C$40,MATCH($D1928,'교육원 ④ 설정'!$B$6:$B$40,0)),""))</f>
        <v/>
      </c>
      <c r="G1928" s="39"/>
      <c r="H1928" s="39"/>
      <c r="I1928" s="40"/>
      <c r="J1928" s="41"/>
      <c r="K1928" s="38"/>
      <c r="L1928" s="42" t="str">
        <f aca="false">IF($B1928="","",IF(AND(N($I1928)=0,N($J1928)=0),"금액이 없습니다",IF(AND($I1928&gt;0,$J1928&gt;0),"수입·지출 둘 다 적혔습니다",IF($C1928="","결제수단을 고르십시오",IF(ISNA(MATCH($C1928,'교육원 ③ 통장·카드'!$A$5:$A$11,0)),"③ 통장·카드에 없는 결제수단입니다",IF($D1928="","계정과목을 고르십시오",IF($E1928="※없는 과목","④ 설정에 없는 과목입니다",IF(AND($E1928="수입",$J1928&gt;0),"수입 과목인데 지출에 적혔습니다",IF(AND(LEFT($E1928,2)&lt;&gt;"수입",$E1928&lt;&gt;"대체",$I1928&gt;0),"지출 과목인데 수입에 적혔습니다",IF($K1928="","증빙을 고르십시오",IF($H1928="","적요를 적으십시오","")))))))))))</f>
        <v/>
      </c>
      <c r="M1928" s="39"/>
      <c r="O1928" s="11" t="str">
        <f aca="false">IF($B1928="","",YEAR($B1928)*100+MONTH($B1928))</f>
        <v/>
      </c>
      <c r="P1928" s="11" t="str">
        <f aca="false">IF($B1928="","",IF($E1928="대체",0,1))</f>
        <v/>
      </c>
    </row>
    <row r="1929" customFormat="false" ht="15" hidden="false" customHeight="false" outlineLevel="0" collapsed="false">
      <c r="A1929" s="36" t="str">
        <f aca="false">IF($B1929="","",COUNT($B$15:$B1929))</f>
        <v/>
      </c>
      <c r="B1929" s="37"/>
      <c r="C1929" s="38"/>
      <c r="D1929" s="20"/>
      <c r="E1929" s="36" t="str">
        <f aca="false">IF($D1929="","",IFERROR(INDEX('교육원 ④ 설정'!$A$6:$A$40,MATCH($D1929,'교육원 ④ 설정'!$B$6:$B$40,0)),"※없는 과목"))</f>
        <v/>
      </c>
      <c r="F1929" s="36" t="str">
        <f aca="false">IF($D1929="","",IFERROR(INDEX('교육원 ④ 설정'!$C$6:$C$40,MATCH($D1929,'교육원 ④ 설정'!$B$6:$B$40,0)),""))</f>
        <v/>
      </c>
      <c r="G1929" s="39"/>
      <c r="H1929" s="39"/>
      <c r="I1929" s="40"/>
      <c r="J1929" s="41"/>
      <c r="K1929" s="38"/>
      <c r="L1929" s="42" t="str">
        <f aca="false">IF($B1929="","",IF(AND(N($I1929)=0,N($J1929)=0),"금액이 없습니다",IF(AND($I1929&gt;0,$J1929&gt;0),"수입·지출 둘 다 적혔습니다",IF($C1929="","결제수단을 고르십시오",IF(ISNA(MATCH($C1929,'교육원 ③ 통장·카드'!$A$5:$A$11,0)),"③ 통장·카드에 없는 결제수단입니다",IF($D1929="","계정과목을 고르십시오",IF($E1929="※없는 과목","④ 설정에 없는 과목입니다",IF(AND($E1929="수입",$J1929&gt;0),"수입 과목인데 지출에 적혔습니다",IF(AND(LEFT($E1929,2)&lt;&gt;"수입",$E1929&lt;&gt;"대체",$I1929&gt;0),"지출 과목인데 수입에 적혔습니다",IF($K1929="","증빙을 고르십시오",IF($H1929="","적요를 적으십시오","")))))))))))</f>
        <v/>
      </c>
      <c r="M1929" s="39"/>
      <c r="O1929" s="11" t="str">
        <f aca="false">IF($B1929="","",YEAR($B1929)*100+MONTH($B1929))</f>
        <v/>
      </c>
      <c r="P1929" s="11" t="str">
        <f aca="false">IF($B1929="","",IF($E1929="대체",0,1))</f>
        <v/>
      </c>
    </row>
    <row r="1930" customFormat="false" ht="15" hidden="false" customHeight="false" outlineLevel="0" collapsed="false">
      <c r="A1930" s="36" t="str">
        <f aca="false">IF($B1930="","",COUNT($B$15:$B1930))</f>
        <v/>
      </c>
      <c r="B1930" s="37"/>
      <c r="C1930" s="38"/>
      <c r="D1930" s="20"/>
      <c r="E1930" s="36" t="str">
        <f aca="false">IF($D1930="","",IFERROR(INDEX('교육원 ④ 설정'!$A$6:$A$40,MATCH($D1930,'교육원 ④ 설정'!$B$6:$B$40,0)),"※없는 과목"))</f>
        <v/>
      </c>
      <c r="F1930" s="36" t="str">
        <f aca="false">IF($D1930="","",IFERROR(INDEX('교육원 ④ 설정'!$C$6:$C$40,MATCH($D1930,'교육원 ④ 설정'!$B$6:$B$40,0)),""))</f>
        <v/>
      </c>
      <c r="G1930" s="39"/>
      <c r="H1930" s="39"/>
      <c r="I1930" s="40"/>
      <c r="J1930" s="41"/>
      <c r="K1930" s="38"/>
      <c r="L1930" s="42" t="str">
        <f aca="false">IF($B1930="","",IF(AND(N($I1930)=0,N($J1930)=0),"금액이 없습니다",IF(AND($I1930&gt;0,$J1930&gt;0),"수입·지출 둘 다 적혔습니다",IF($C1930="","결제수단을 고르십시오",IF(ISNA(MATCH($C1930,'교육원 ③ 통장·카드'!$A$5:$A$11,0)),"③ 통장·카드에 없는 결제수단입니다",IF($D1930="","계정과목을 고르십시오",IF($E1930="※없는 과목","④ 설정에 없는 과목입니다",IF(AND($E1930="수입",$J1930&gt;0),"수입 과목인데 지출에 적혔습니다",IF(AND(LEFT($E1930,2)&lt;&gt;"수입",$E1930&lt;&gt;"대체",$I1930&gt;0),"지출 과목인데 수입에 적혔습니다",IF($K1930="","증빙을 고르십시오",IF($H1930="","적요를 적으십시오","")))))))))))</f>
        <v/>
      </c>
      <c r="M1930" s="39"/>
      <c r="O1930" s="11" t="str">
        <f aca="false">IF($B1930="","",YEAR($B1930)*100+MONTH($B1930))</f>
        <v/>
      </c>
      <c r="P1930" s="11" t="str">
        <f aca="false">IF($B1930="","",IF($E1930="대체",0,1))</f>
        <v/>
      </c>
    </row>
    <row r="1931" customFormat="false" ht="15" hidden="false" customHeight="false" outlineLevel="0" collapsed="false">
      <c r="A1931" s="36" t="str">
        <f aca="false">IF($B1931="","",COUNT($B$15:$B1931))</f>
        <v/>
      </c>
      <c r="B1931" s="37"/>
      <c r="C1931" s="38"/>
      <c r="D1931" s="20"/>
      <c r="E1931" s="36" t="str">
        <f aca="false">IF($D1931="","",IFERROR(INDEX('교육원 ④ 설정'!$A$6:$A$40,MATCH($D1931,'교육원 ④ 설정'!$B$6:$B$40,0)),"※없는 과목"))</f>
        <v/>
      </c>
      <c r="F1931" s="36" t="str">
        <f aca="false">IF($D1931="","",IFERROR(INDEX('교육원 ④ 설정'!$C$6:$C$40,MATCH($D1931,'교육원 ④ 설정'!$B$6:$B$40,0)),""))</f>
        <v/>
      </c>
      <c r="G1931" s="39"/>
      <c r="H1931" s="39"/>
      <c r="I1931" s="40"/>
      <c r="J1931" s="41"/>
      <c r="K1931" s="38"/>
      <c r="L1931" s="42" t="str">
        <f aca="false">IF($B1931="","",IF(AND(N($I1931)=0,N($J1931)=0),"금액이 없습니다",IF(AND($I1931&gt;0,$J1931&gt;0),"수입·지출 둘 다 적혔습니다",IF($C1931="","결제수단을 고르십시오",IF(ISNA(MATCH($C1931,'교육원 ③ 통장·카드'!$A$5:$A$11,0)),"③ 통장·카드에 없는 결제수단입니다",IF($D1931="","계정과목을 고르십시오",IF($E1931="※없는 과목","④ 설정에 없는 과목입니다",IF(AND($E1931="수입",$J1931&gt;0),"수입 과목인데 지출에 적혔습니다",IF(AND(LEFT($E1931,2)&lt;&gt;"수입",$E1931&lt;&gt;"대체",$I1931&gt;0),"지출 과목인데 수입에 적혔습니다",IF($K1931="","증빙을 고르십시오",IF($H1931="","적요를 적으십시오","")))))))))))</f>
        <v/>
      </c>
      <c r="M1931" s="39"/>
      <c r="O1931" s="11" t="str">
        <f aca="false">IF($B1931="","",YEAR($B1931)*100+MONTH($B1931))</f>
        <v/>
      </c>
      <c r="P1931" s="11" t="str">
        <f aca="false">IF($B1931="","",IF($E1931="대체",0,1))</f>
        <v/>
      </c>
    </row>
    <row r="1932" customFormat="false" ht="15" hidden="false" customHeight="false" outlineLevel="0" collapsed="false">
      <c r="A1932" s="36" t="str">
        <f aca="false">IF($B1932="","",COUNT($B$15:$B1932))</f>
        <v/>
      </c>
      <c r="B1932" s="37"/>
      <c r="C1932" s="38"/>
      <c r="D1932" s="20"/>
      <c r="E1932" s="36" t="str">
        <f aca="false">IF($D1932="","",IFERROR(INDEX('교육원 ④ 설정'!$A$6:$A$40,MATCH($D1932,'교육원 ④ 설정'!$B$6:$B$40,0)),"※없는 과목"))</f>
        <v/>
      </c>
      <c r="F1932" s="36" t="str">
        <f aca="false">IF($D1932="","",IFERROR(INDEX('교육원 ④ 설정'!$C$6:$C$40,MATCH($D1932,'교육원 ④ 설정'!$B$6:$B$40,0)),""))</f>
        <v/>
      </c>
      <c r="G1932" s="39"/>
      <c r="H1932" s="39"/>
      <c r="I1932" s="40"/>
      <c r="J1932" s="41"/>
      <c r="K1932" s="38"/>
      <c r="L1932" s="42" t="str">
        <f aca="false">IF($B1932="","",IF(AND(N($I1932)=0,N($J1932)=0),"금액이 없습니다",IF(AND($I1932&gt;0,$J1932&gt;0),"수입·지출 둘 다 적혔습니다",IF($C1932="","결제수단을 고르십시오",IF(ISNA(MATCH($C1932,'교육원 ③ 통장·카드'!$A$5:$A$11,0)),"③ 통장·카드에 없는 결제수단입니다",IF($D1932="","계정과목을 고르십시오",IF($E1932="※없는 과목","④ 설정에 없는 과목입니다",IF(AND($E1932="수입",$J1932&gt;0),"수입 과목인데 지출에 적혔습니다",IF(AND(LEFT($E1932,2)&lt;&gt;"수입",$E1932&lt;&gt;"대체",$I1932&gt;0),"지출 과목인데 수입에 적혔습니다",IF($K1932="","증빙을 고르십시오",IF($H1932="","적요를 적으십시오","")))))))))))</f>
        <v/>
      </c>
      <c r="M1932" s="39"/>
      <c r="O1932" s="11" t="str">
        <f aca="false">IF($B1932="","",YEAR($B1932)*100+MONTH($B1932))</f>
        <v/>
      </c>
      <c r="P1932" s="11" t="str">
        <f aca="false">IF($B1932="","",IF($E1932="대체",0,1))</f>
        <v/>
      </c>
    </row>
    <row r="1933" customFormat="false" ht="15" hidden="false" customHeight="false" outlineLevel="0" collapsed="false">
      <c r="A1933" s="36" t="str">
        <f aca="false">IF($B1933="","",COUNT($B$15:$B1933))</f>
        <v/>
      </c>
      <c r="B1933" s="37"/>
      <c r="C1933" s="38"/>
      <c r="D1933" s="20"/>
      <c r="E1933" s="36" t="str">
        <f aca="false">IF($D1933="","",IFERROR(INDEX('교육원 ④ 설정'!$A$6:$A$40,MATCH($D1933,'교육원 ④ 설정'!$B$6:$B$40,0)),"※없는 과목"))</f>
        <v/>
      </c>
      <c r="F1933" s="36" t="str">
        <f aca="false">IF($D1933="","",IFERROR(INDEX('교육원 ④ 설정'!$C$6:$C$40,MATCH($D1933,'교육원 ④ 설정'!$B$6:$B$40,0)),""))</f>
        <v/>
      </c>
      <c r="G1933" s="39"/>
      <c r="H1933" s="39"/>
      <c r="I1933" s="40"/>
      <c r="J1933" s="41"/>
      <c r="K1933" s="38"/>
      <c r="L1933" s="42" t="str">
        <f aca="false">IF($B1933="","",IF(AND(N($I1933)=0,N($J1933)=0),"금액이 없습니다",IF(AND($I1933&gt;0,$J1933&gt;0),"수입·지출 둘 다 적혔습니다",IF($C1933="","결제수단을 고르십시오",IF(ISNA(MATCH($C1933,'교육원 ③ 통장·카드'!$A$5:$A$11,0)),"③ 통장·카드에 없는 결제수단입니다",IF($D1933="","계정과목을 고르십시오",IF($E1933="※없는 과목","④ 설정에 없는 과목입니다",IF(AND($E1933="수입",$J1933&gt;0),"수입 과목인데 지출에 적혔습니다",IF(AND(LEFT($E1933,2)&lt;&gt;"수입",$E1933&lt;&gt;"대체",$I1933&gt;0),"지출 과목인데 수입에 적혔습니다",IF($K1933="","증빙을 고르십시오",IF($H1933="","적요를 적으십시오","")))))))))))</f>
        <v/>
      </c>
      <c r="M1933" s="39"/>
      <c r="O1933" s="11" t="str">
        <f aca="false">IF($B1933="","",YEAR($B1933)*100+MONTH($B1933))</f>
        <v/>
      </c>
      <c r="P1933" s="11" t="str">
        <f aca="false">IF($B1933="","",IF($E1933="대체",0,1))</f>
        <v/>
      </c>
    </row>
    <row r="1934" customFormat="false" ht="15" hidden="false" customHeight="false" outlineLevel="0" collapsed="false">
      <c r="A1934" s="36" t="str">
        <f aca="false">IF($B1934="","",COUNT($B$15:$B1934))</f>
        <v/>
      </c>
      <c r="B1934" s="37"/>
      <c r="C1934" s="38"/>
      <c r="D1934" s="20"/>
      <c r="E1934" s="36" t="str">
        <f aca="false">IF($D1934="","",IFERROR(INDEX('교육원 ④ 설정'!$A$6:$A$40,MATCH($D1934,'교육원 ④ 설정'!$B$6:$B$40,0)),"※없는 과목"))</f>
        <v/>
      </c>
      <c r="F1934" s="36" t="str">
        <f aca="false">IF($D1934="","",IFERROR(INDEX('교육원 ④ 설정'!$C$6:$C$40,MATCH($D1934,'교육원 ④ 설정'!$B$6:$B$40,0)),""))</f>
        <v/>
      </c>
      <c r="G1934" s="39"/>
      <c r="H1934" s="39"/>
      <c r="I1934" s="40"/>
      <c r="J1934" s="41"/>
      <c r="K1934" s="38"/>
      <c r="L1934" s="42" t="str">
        <f aca="false">IF($B1934="","",IF(AND(N($I1934)=0,N($J1934)=0),"금액이 없습니다",IF(AND($I1934&gt;0,$J1934&gt;0),"수입·지출 둘 다 적혔습니다",IF($C1934="","결제수단을 고르십시오",IF(ISNA(MATCH($C1934,'교육원 ③ 통장·카드'!$A$5:$A$11,0)),"③ 통장·카드에 없는 결제수단입니다",IF($D1934="","계정과목을 고르십시오",IF($E1934="※없는 과목","④ 설정에 없는 과목입니다",IF(AND($E1934="수입",$J1934&gt;0),"수입 과목인데 지출에 적혔습니다",IF(AND(LEFT($E1934,2)&lt;&gt;"수입",$E1934&lt;&gt;"대체",$I1934&gt;0),"지출 과목인데 수입에 적혔습니다",IF($K1934="","증빙을 고르십시오",IF($H1934="","적요를 적으십시오","")))))))))))</f>
        <v/>
      </c>
      <c r="M1934" s="39"/>
      <c r="O1934" s="11" t="str">
        <f aca="false">IF($B1934="","",YEAR($B1934)*100+MONTH($B1934))</f>
        <v/>
      </c>
      <c r="P1934" s="11" t="str">
        <f aca="false">IF($B1934="","",IF($E1934="대체",0,1))</f>
        <v/>
      </c>
    </row>
    <row r="1935" customFormat="false" ht="15" hidden="false" customHeight="false" outlineLevel="0" collapsed="false">
      <c r="A1935" s="36" t="str">
        <f aca="false">IF($B1935="","",COUNT($B$15:$B1935))</f>
        <v/>
      </c>
      <c r="B1935" s="37"/>
      <c r="C1935" s="38"/>
      <c r="D1935" s="20"/>
      <c r="E1935" s="36" t="str">
        <f aca="false">IF($D1935="","",IFERROR(INDEX('교육원 ④ 설정'!$A$6:$A$40,MATCH($D1935,'교육원 ④ 설정'!$B$6:$B$40,0)),"※없는 과목"))</f>
        <v/>
      </c>
      <c r="F1935" s="36" t="str">
        <f aca="false">IF($D1935="","",IFERROR(INDEX('교육원 ④ 설정'!$C$6:$C$40,MATCH($D1935,'교육원 ④ 설정'!$B$6:$B$40,0)),""))</f>
        <v/>
      </c>
      <c r="G1935" s="39"/>
      <c r="H1935" s="39"/>
      <c r="I1935" s="40"/>
      <c r="J1935" s="41"/>
      <c r="K1935" s="38"/>
      <c r="L1935" s="42" t="str">
        <f aca="false">IF($B1935="","",IF(AND(N($I1935)=0,N($J1935)=0),"금액이 없습니다",IF(AND($I1935&gt;0,$J1935&gt;0),"수입·지출 둘 다 적혔습니다",IF($C1935="","결제수단을 고르십시오",IF(ISNA(MATCH($C1935,'교육원 ③ 통장·카드'!$A$5:$A$11,0)),"③ 통장·카드에 없는 결제수단입니다",IF($D1935="","계정과목을 고르십시오",IF($E1935="※없는 과목","④ 설정에 없는 과목입니다",IF(AND($E1935="수입",$J1935&gt;0),"수입 과목인데 지출에 적혔습니다",IF(AND(LEFT($E1935,2)&lt;&gt;"수입",$E1935&lt;&gt;"대체",$I1935&gt;0),"지출 과목인데 수입에 적혔습니다",IF($K1935="","증빙을 고르십시오",IF($H1935="","적요를 적으십시오","")))))))))))</f>
        <v/>
      </c>
      <c r="M1935" s="39"/>
      <c r="O1935" s="11" t="str">
        <f aca="false">IF($B1935="","",YEAR($B1935)*100+MONTH($B1935))</f>
        <v/>
      </c>
      <c r="P1935" s="11" t="str">
        <f aca="false">IF($B1935="","",IF($E1935="대체",0,1))</f>
        <v/>
      </c>
    </row>
    <row r="1936" customFormat="false" ht="15" hidden="false" customHeight="false" outlineLevel="0" collapsed="false">
      <c r="A1936" s="36" t="str">
        <f aca="false">IF($B1936="","",COUNT($B$15:$B1936))</f>
        <v/>
      </c>
      <c r="B1936" s="37"/>
      <c r="C1936" s="38"/>
      <c r="D1936" s="20"/>
      <c r="E1936" s="36" t="str">
        <f aca="false">IF($D1936="","",IFERROR(INDEX('교육원 ④ 설정'!$A$6:$A$40,MATCH($D1936,'교육원 ④ 설정'!$B$6:$B$40,0)),"※없는 과목"))</f>
        <v/>
      </c>
      <c r="F1936" s="36" t="str">
        <f aca="false">IF($D1936="","",IFERROR(INDEX('교육원 ④ 설정'!$C$6:$C$40,MATCH($D1936,'교육원 ④ 설정'!$B$6:$B$40,0)),""))</f>
        <v/>
      </c>
      <c r="G1936" s="39"/>
      <c r="H1936" s="39"/>
      <c r="I1936" s="40"/>
      <c r="J1936" s="41"/>
      <c r="K1936" s="38"/>
      <c r="L1936" s="42" t="str">
        <f aca="false">IF($B1936="","",IF(AND(N($I1936)=0,N($J1936)=0),"금액이 없습니다",IF(AND($I1936&gt;0,$J1936&gt;0),"수입·지출 둘 다 적혔습니다",IF($C1936="","결제수단을 고르십시오",IF(ISNA(MATCH($C1936,'교육원 ③ 통장·카드'!$A$5:$A$11,0)),"③ 통장·카드에 없는 결제수단입니다",IF($D1936="","계정과목을 고르십시오",IF($E1936="※없는 과목","④ 설정에 없는 과목입니다",IF(AND($E1936="수입",$J1936&gt;0),"수입 과목인데 지출에 적혔습니다",IF(AND(LEFT($E1936,2)&lt;&gt;"수입",$E1936&lt;&gt;"대체",$I1936&gt;0),"지출 과목인데 수입에 적혔습니다",IF($K1936="","증빙을 고르십시오",IF($H1936="","적요를 적으십시오","")))))))))))</f>
        <v/>
      </c>
      <c r="M1936" s="39"/>
      <c r="O1936" s="11" t="str">
        <f aca="false">IF($B1936="","",YEAR($B1936)*100+MONTH($B1936))</f>
        <v/>
      </c>
      <c r="P1936" s="11" t="str">
        <f aca="false">IF($B1936="","",IF($E1936="대체",0,1))</f>
        <v/>
      </c>
    </row>
    <row r="1937" customFormat="false" ht="15" hidden="false" customHeight="false" outlineLevel="0" collapsed="false">
      <c r="A1937" s="36" t="str">
        <f aca="false">IF($B1937="","",COUNT($B$15:$B1937))</f>
        <v/>
      </c>
      <c r="B1937" s="37"/>
      <c r="C1937" s="38"/>
      <c r="D1937" s="20"/>
      <c r="E1937" s="36" t="str">
        <f aca="false">IF($D1937="","",IFERROR(INDEX('교육원 ④ 설정'!$A$6:$A$40,MATCH($D1937,'교육원 ④ 설정'!$B$6:$B$40,0)),"※없는 과목"))</f>
        <v/>
      </c>
      <c r="F1937" s="36" t="str">
        <f aca="false">IF($D1937="","",IFERROR(INDEX('교육원 ④ 설정'!$C$6:$C$40,MATCH($D1937,'교육원 ④ 설정'!$B$6:$B$40,0)),""))</f>
        <v/>
      </c>
      <c r="G1937" s="39"/>
      <c r="H1937" s="39"/>
      <c r="I1937" s="40"/>
      <c r="J1937" s="41"/>
      <c r="K1937" s="38"/>
      <c r="L1937" s="42" t="str">
        <f aca="false">IF($B1937="","",IF(AND(N($I1937)=0,N($J1937)=0),"금액이 없습니다",IF(AND($I1937&gt;0,$J1937&gt;0),"수입·지출 둘 다 적혔습니다",IF($C1937="","결제수단을 고르십시오",IF(ISNA(MATCH($C1937,'교육원 ③ 통장·카드'!$A$5:$A$11,0)),"③ 통장·카드에 없는 결제수단입니다",IF($D1937="","계정과목을 고르십시오",IF($E1937="※없는 과목","④ 설정에 없는 과목입니다",IF(AND($E1937="수입",$J1937&gt;0),"수입 과목인데 지출에 적혔습니다",IF(AND(LEFT($E1937,2)&lt;&gt;"수입",$E1937&lt;&gt;"대체",$I1937&gt;0),"지출 과목인데 수입에 적혔습니다",IF($K1937="","증빙을 고르십시오",IF($H1937="","적요를 적으십시오","")))))))))))</f>
        <v/>
      </c>
      <c r="M1937" s="39"/>
      <c r="O1937" s="11" t="str">
        <f aca="false">IF($B1937="","",YEAR($B1937)*100+MONTH($B1937))</f>
        <v/>
      </c>
      <c r="P1937" s="11" t="str">
        <f aca="false">IF($B1937="","",IF($E1937="대체",0,1))</f>
        <v/>
      </c>
    </row>
    <row r="1938" customFormat="false" ht="15" hidden="false" customHeight="false" outlineLevel="0" collapsed="false">
      <c r="A1938" s="36" t="str">
        <f aca="false">IF($B1938="","",COUNT($B$15:$B1938))</f>
        <v/>
      </c>
      <c r="B1938" s="37"/>
      <c r="C1938" s="38"/>
      <c r="D1938" s="20"/>
      <c r="E1938" s="36" t="str">
        <f aca="false">IF($D1938="","",IFERROR(INDEX('교육원 ④ 설정'!$A$6:$A$40,MATCH($D1938,'교육원 ④ 설정'!$B$6:$B$40,0)),"※없는 과목"))</f>
        <v/>
      </c>
      <c r="F1938" s="36" t="str">
        <f aca="false">IF($D1938="","",IFERROR(INDEX('교육원 ④ 설정'!$C$6:$C$40,MATCH($D1938,'교육원 ④ 설정'!$B$6:$B$40,0)),""))</f>
        <v/>
      </c>
      <c r="G1938" s="39"/>
      <c r="H1938" s="39"/>
      <c r="I1938" s="40"/>
      <c r="J1938" s="41"/>
      <c r="K1938" s="38"/>
      <c r="L1938" s="42" t="str">
        <f aca="false">IF($B1938="","",IF(AND(N($I1938)=0,N($J1938)=0),"금액이 없습니다",IF(AND($I1938&gt;0,$J1938&gt;0),"수입·지출 둘 다 적혔습니다",IF($C1938="","결제수단을 고르십시오",IF(ISNA(MATCH($C1938,'교육원 ③ 통장·카드'!$A$5:$A$11,0)),"③ 통장·카드에 없는 결제수단입니다",IF($D1938="","계정과목을 고르십시오",IF($E1938="※없는 과목","④ 설정에 없는 과목입니다",IF(AND($E1938="수입",$J1938&gt;0),"수입 과목인데 지출에 적혔습니다",IF(AND(LEFT($E1938,2)&lt;&gt;"수입",$E1938&lt;&gt;"대체",$I1938&gt;0),"지출 과목인데 수입에 적혔습니다",IF($K1938="","증빙을 고르십시오",IF($H1938="","적요를 적으십시오","")))))))))))</f>
        <v/>
      </c>
      <c r="M1938" s="39"/>
      <c r="O1938" s="11" t="str">
        <f aca="false">IF($B1938="","",YEAR($B1938)*100+MONTH($B1938))</f>
        <v/>
      </c>
      <c r="P1938" s="11" t="str">
        <f aca="false">IF($B1938="","",IF($E1938="대체",0,1))</f>
        <v/>
      </c>
    </row>
    <row r="1939" customFormat="false" ht="15" hidden="false" customHeight="false" outlineLevel="0" collapsed="false">
      <c r="A1939" s="36" t="str">
        <f aca="false">IF($B1939="","",COUNT($B$15:$B1939))</f>
        <v/>
      </c>
      <c r="B1939" s="37"/>
      <c r="C1939" s="38"/>
      <c r="D1939" s="20"/>
      <c r="E1939" s="36" t="str">
        <f aca="false">IF($D1939="","",IFERROR(INDEX('교육원 ④ 설정'!$A$6:$A$40,MATCH($D1939,'교육원 ④ 설정'!$B$6:$B$40,0)),"※없는 과목"))</f>
        <v/>
      </c>
      <c r="F1939" s="36" t="str">
        <f aca="false">IF($D1939="","",IFERROR(INDEX('교육원 ④ 설정'!$C$6:$C$40,MATCH($D1939,'교육원 ④ 설정'!$B$6:$B$40,0)),""))</f>
        <v/>
      </c>
      <c r="G1939" s="39"/>
      <c r="H1939" s="39"/>
      <c r="I1939" s="40"/>
      <c r="J1939" s="41"/>
      <c r="K1939" s="38"/>
      <c r="L1939" s="42" t="str">
        <f aca="false">IF($B1939="","",IF(AND(N($I1939)=0,N($J1939)=0),"금액이 없습니다",IF(AND($I1939&gt;0,$J1939&gt;0),"수입·지출 둘 다 적혔습니다",IF($C1939="","결제수단을 고르십시오",IF(ISNA(MATCH($C1939,'교육원 ③ 통장·카드'!$A$5:$A$11,0)),"③ 통장·카드에 없는 결제수단입니다",IF($D1939="","계정과목을 고르십시오",IF($E1939="※없는 과목","④ 설정에 없는 과목입니다",IF(AND($E1939="수입",$J1939&gt;0),"수입 과목인데 지출에 적혔습니다",IF(AND(LEFT($E1939,2)&lt;&gt;"수입",$E1939&lt;&gt;"대체",$I1939&gt;0),"지출 과목인데 수입에 적혔습니다",IF($K1939="","증빙을 고르십시오",IF($H1939="","적요를 적으십시오","")))))))))))</f>
        <v/>
      </c>
      <c r="M1939" s="39"/>
      <c r="O1939" s="11" t="str">
        <f aca="false">IF($B1939="","",YEAR($B1939)*100+MONTH($B1939))</f>
        <v/>
      </c>
      <c r="P1939" s="11" t="str">
        <f aca="false">IF($B1939="","",IF($E1939="대체",0,1))</f>
        <v/>
      </c>
    </row>
    <row r="1940" customFormat="false" ht="15" hidden="false" customHeight="false" outlineLevel="0" collapsed="false">
      <c r="A1940" s="36" t="str">
        <f aca="false">IF($B1940="","",COUNT($B$15:$B1940))</f>
        <v/>
      </c>
      <c r="B1940" s="37"/>
      <c r="C1940" s="38"/>
      <c r="D1940" s="20"/>
      <c r="E1940" s="36" t="str">
        <f aca="false">IF($D1940="","",IFERROR(INDEX('교육원 ④ 설정'!$A$6:$A$40,MATCH($D1940,'교육원 ④ 설정'!$B$6:$B$40,0)),"※없는 과목"))</f>
        <v/>
      </c>
      <c r="F1940" s="36" t="str">
        <f aca="false">IF($D1940="","",IFERROR(INDEX('교육원 ④ 설정'!$C$6:$C$40,MATCH($D1940,'교육원 ④ 설정'!$B$6:$B$40,0)),""))</f>
        <v/>
      </c>
      <c r="G1940" s="39"/>
      <c r="H1940" s="39"/>
      <c r="I1940" s="40"/>
      <c r="J1940" s="41"/>
      <c r="K1940" s="38"/>
      <c r="L1940" s="42" t="str">
        <f aca="false">IF($B1940="","",IF(AND(N($I1940)=0,N($J1940)=0),"금액이 없습니다",IF(AND($I1940&gt;0,$J1940&gt;0),"수입·지출 둘 다 적혔습니다",IF($C1940="","결제수단을 고르십시오",IF(ISNA(MATCH($C1940,'교육원 ③ 통장·카드'!$A$5:$A$11,0)),"③ 통장·카드에 없는 결제수단입니다",IF($D1940="","계정과목을 고르십시오",IF($E1940="※없는 과목","④ 설정에 없는 과목입니다",IF(AND($E1940="수입",$J1940&gt;0),"수입 과목인데 지출에 적혔습니다",IF(AND(LEFT($E1940,2)&lt;&gt;"수입",$E1940&lt;&gt;"대체",$I1940&gt;0),"지출 과목인데 수입에 적혔습니다",IF($K1940="","증빙을 고르십시오",IF($H1940="","적요를 적으십시오","")))))))))))</f>
        <v/>
      </c>
      <c r="M1940" s="39"/>
      <c r="O1940" s="11" t="str">
        <f aca="false">IF($B1940="","",YEAR($B1940)*100+MONTH($B1940))</f>
        <v/>
      </c>
      <c r="P1940" s="11" t="str">
        <f aca="false">IF($B1940="","",IF($E1940="대체",0,1))</f>
        <v/>
      </c>
    </row>
    <row r="1941" customFormat="false" ht="15" hidden="false" customHeight="false" outlineLevel="0" collapsed="false">
      <c r="A1941" s="36" t="str">
        <f aca="false">IF($B1941="","",COUNT($B$15:$B1941))</f>
        <v/>
      </c>
      <c r="B1941" s="37"/>
      <c r="C1941" s="38"/>
      <c r="D1941" s="20"/>
      <c r="E1941" s="36" t="str">
        <f aca="false">IF($D1941="","",IFERROR(INDEX('교육원 ④ 설정'!$A$6:$A$40,MATCH($D1941,'교육원 ④ 설정'!$B$6:$B$40,0)),"※없는 과목"))</f>
        <v/>
      </c>
      <c r="F1941" s="36" t="str">
        <f aca="false">IF($D1941="","",IFERROR(INDEX('교육원 ④ 설정'!$C$6:$C$40,MATCH($D1941,'교육원 ④ 설정'!$B$6:$B$40,0)),""))</f>
        <v/>
      </c>
      <c r="G1941" s="39"/>
      <c r="H1941" s="39"/>
      <c r="I1941" s="40"/>
      <c r="J1941" s="41"/>
      <c r="K1941" s="38"/>
      <c r="L1941" s="42" t="str">
        <f aca="false">IF($B1941="","",IF(AND(N($I1941)=0,N($J1941)=0),"금액이 없습니다",IF(AND($I1941&gt;0,$J1941&gt;0),"수입·지출 둘 다 적혔습니다",IF($C1941="","결제수단을 고르십시오",IF(ISNA(MATCH($C1941,'교육원 ③ 통장·카드'!$A$5:$A$11,0)),"③ 통장·카드에 없는 결제수단입니다",IF($D1941="","계정과목을 고르십시오",IF($E1941="※없는 과목","④ 설정에 없는 과목입니다",IF(AND($E1941="수입",$J1941&gt;0),"수입 과목인데 지출에 적혔습니다",IF(AND(LEFT($E1941,2)&lt;&gt;"수입",$E1941&lt;&gt;"대체",$I1941&gt;0),"지출 과목인데 수입에 적혔습니다",IF($K1941="","증빙을 고르십시오",IF($H1941="","적요를 적으십시오","")))))))))))</f>
        <v/>
      </c>
      <c r="M1941" s="39"/>
      <c r="O1941" s="11" t="str">
        <f aca="false">IF($B1941="","",YEAR($B1941)*100+MONTH($B1941))</f>
        <v/>
      </c>
      <c r="P1941" s="11" t="str">
        <f aca="false">IF($B1941="","",IF($E1941="대체",0,1))</f>
        <v/>
      </c>
    </row>
    <row r="1942" customFormat="false" ht="15" hidden="false" customHeight="false" outlineLevel="0" collapsed="false">
      <c r="A1942" s="36" t="str">
        <f aca="false">IF($B1942="","",COUNT($B$15:$B1942))</f>
        <v/>
      </c>
      <c r="B1942" s="37"/>
      <c r="C1942" s="38"/>
      <c r="D1942" s="20"/>
      <c r="E1942" s="36" t="str">
        <f aca="false">IF($D1942="","",IFERROR(INDEX('교육원 ④ 설정'!$A$6:$A$40,MATCH($D1942,'교육원 ④ 설정'!$B$6:$B$40,0)),"※없는 과목"))</f>
        <v/>
      </c>
      <c r="F1942" s="36" t="str">
        <f aca="false">IF($D1942="","",IFERROR(INDEX('교육원 ④ 설정'!$C$6:$C$40,MATCH($D1942,'교육원 ④ 설정'!$B$6:$B$40,0)),""))</f>
        <v/>
      </c>
      <c r="G1942" s="39"/>
      <c r="H1942" s="39"/>
      <c r="I1942" s="40"/>
      <c r="J1942" s="41"/>
      <c r="K1942" s="38"/>
      <c r="L1942" s="42" t="str">
        <f aca="false">IF($B1942="","",IF(AND(N($I1942)=0,N($J1942)=0),"금액이 없습니다",IF(AND($I1942&gt;0,$J1942&gt;0),"수입·지출 둘 다 적혔습니다",IF($C1942="","결제수단을 고르십시오",IF(ISNA(MATCH($C1942,'교육원 ③ 통장·카드'!$A$5:$A$11,0)),"③ 통장·카드에 없는 결제수단입니다",IF($D1942="","계정과목을 고르십시오",IF($E1942="※없는 과목","④ 설정에 없는 과목입니다",IF(AND($E1942="수입",$J1942&gt;0),"수입 과목인데 지출에 적혔습니다",IF(AND(LEFT($E1942,2)&lt;&gt;"수입",$E1942&lt;&gt;"대체",$I1942&gt;0),"지출 과목인데 수입에 적혔습니다",IF($K1942="","증빙을 고르십시오",IF($H1942="","적요를 적으십시오","")))))))))))</f>
        <v/>
      </c>
      <c r="M1942" s="39"/>
      <c r="O1942" s="11" t="str">
        <f aca="false">IF($B1942="","",YEAR($B1942)*100+MONTH($B1942))</f>
        <v/>
      </c>
      <c r="P1942" s="11" t="str">
        <f aca="false">IF($B1942="","",IF($E1942="대체",0,1))</f>
        <v/>
      </c>
    </row>
    <row r="1943" customFormat="false" ht="15" hidden="false" customHeight="false" outlineLevel="0" collapsed="false">
      <c r="A1943" s="36" t="str">
        <f aca="false">IF($B1943="","",COUNT($B$15:$B1943))</f>
        <v/>
      </c>
      <c r="B1943" s="37"/>
      <c r="C1943" s="38"/>
      <c r="D1943" s="20"/>
      <c r="E1943" s="36" t="str">
        <f aca="false">IF($D1943="","",IFERROR(INDEX('교육원 ④ 설정'!$A$6:$A$40,MATCH($D1943,'교육원 ④ 설정'!$B$6:$B$40,0)),"※없는 과목"))</f>
        <v/>
      </c>
      <c r="F1943" s="36" t="str">
        <f aca="false">IF($D1943="","",IFERROR(INDEX('교육원 ④ 설정'!$C$6:$C$40,MATCH($D1943,'교육원 ④ 설정'!$B$6:$B$40,0)),""))</f>
        <v/>
      </c>
      <c r="G1943" s="39"/>
      <c r="H1943" s="39"/>
      <c r="I1943" s="40"/>
      <c r="J1943" s="41"/>
      <c r="K1943" s="38"/>
      <c r="L1943" s="42" t="str">
        <f aca="false">IF($B1943="","",IF(AND(N($I1943)=0,N($J1943)=0),"금액이 없습니다",IF(AND($I1943&gt;0,$J1943&gt;0),"수입·지출 둘 다 적혔습니다",IF($C1943="","결제수단을 고르십시오",IF(ISNA(MATCH($C1943,'교육원 ③ 통장·카드'!$A$5:$A$11,0)),"③ 통장·카드에 없는 결제수단입니다",IF($D1943="","계정과목을 고르십시오",IF($E1943="※없는 과목","④ 설정에 없는 과목입니다",IF(AND($E1943="수입",$J1943&gt;0),"수입 과목인데 지출에 적혔습니다",IF(AND(LEFT($E1943,2)&lt;&gt;"수입",$E1943&lt;&gt;"대체",$I1943&gt;0),"지출 과목인데 수입에 적혔습니다",IF($K1943="","증빙을 고르십시오",IF($H1943="","적요를 적으십시오","")))))))))))</f>
        <v/>
      </c>
      <c r="M1943" s="39"/>
      <c r="O1943" s="11" t="str">
        <f aca="false">IF($B1943="","",YEAR($B1943)*100+MONTH($B1943))</f>
        <v/>
      </c>
      <c r="P1943" s="11" t="str">
        <f aca="false">IF($B1943="","",IF($E1943="대체",0,1))</f>
        <v/>
      </c>
    </row>
    <row r="1944" customFormat="false" ht="15" hidden="false" customHeight="false" outlineLevel="0" collapsed="false">
      <c r="A1944" s="36" t="str">
        <f aca="false">IF($B1944="","",COUNT($B$15:$B1944))</f>
        <v/>
      </c>
      <c r="B1944" s="37"/>
      <c r="C1944" s="38"/>
      <c r="D1944" s="20"/>
      <c r="E1944" s="36" t="str">
        <f aca="false">IF($D1944="","",IFERROR(INDEX('교육원 ④ 설정'!$A$6:$A$40,MATCH($D1944,'교육원 ④ 설정'!$B$6:$B$40,0)),"※없는 과목"))</f>
        <v/>
      </c>
      <c r="F1944" s="36" t="str">
        <f aca="false">IF($D1944="","",IFERROR(INDEX('교육원 ④ 설정'!$C$6:$C$40,MATCH($D1944,'교육원 ④ 설정'!$B$6:$B$40,0)),""))</f>
        <v/>
      </c>
      <c r="G1944" s="39"/>
      <c r="H1944" s="39"/>
      <c r="I1944" s="40"/>
      <c r="J1944" s="41"/>
      <c r="K1944" s="38"/>
      <c r="L1944" s="42" t="str">
        <f aca="false">IF($B1944="","",IF(AND(N($I1944)=0,N($J1944)=0),"금액이 없습니다",IF(AND($I1944&gt;0,$J1944&gt;0),"수입·지출 둘 다 적혔습니다",IF($C1944="","결제수단을 고르십시오",IF(ISNA(MATCH($C1944,'교육원 ③ 통장·카드'!$A$5:$A$11,0)),"③ 통장·카드에 없는 결제수단입니다",IF($D1944="","계정과목을 고르십시오",IF($E1944="※없는 과목","④ 설정에 없는 과목입니다",IF(AND($E1944="수입",$J1944&gt;0),"수입 과목인데 지출에 적혔습니다",IF(AND(LEFT($E1944,2)&lt;&gt;"수입",$E1944&lt;&gt;"대체",$I1944&gt;0),"지출 과목인데 수입에 적혔습니다",IF($K1944="","증빙을 고르십시오",IF($H1944="","적요를 적으십시오","")))))))))))</f>
        <v/>
      </c>
      <c r="M1944" s="39"/>
      <c r="O1944" s="11" t="str">
        <f aca="false">IF($B1944="","",YEAR($B1944)*100+MONTH($B1944))</f>
        <v/>
      </c>
      <c r="P1944" s="11" t="str">
        <f aca="false">IF($B1944="","",IF($E1944="대체",0,1))</f>
        <v/>
      </c>
    </row>
    <row r="1945" customFormat="false" ht="15" hidden="false" customHeight="false" outlineLevel="0" collapsed="false">
      <c r="A1945" s="36" t="str">
        <f aca="false">IF($B1945="","",COUNT($B$15:$B1945))</f>
        <v/>
      </c>
      <c r="B1945" s="37"/>
      <c r="C1945" s="38"/>
      <c r="D1945" s="20"/>
      <c r="E1945" s="36" t="str">
        <f aca="false">IF($D1945="","",IFERROR(INDEX('교육원 ④ 설정'!$A$6:$A$40,MATCH($D1945,'교육원 ④ 설정'!$B$6:$B$40,0)),"※없는 과목"))</f>
        <v/>
      </c>
      <c r="F1945" s="36" t="str">
        <f aca="false">IF($D1945="","",IFERROR(INDEX('교육원 ④ 설정'!$C$6:$C$40,MATCH($D1945,'교육원 ④ 설정'!$B$6:$B$40,0)),""))</f>
        <v/>
      </c>
      <c r="G1945" s="39"/>
      <c r="H1945" s="39"/>
      <c r="I1945" s="40"/>
      <c r="J1945" s="41"/>
      <c r="K1945" s="38"/>
      <c r="L1945" s="42" t="str">
        <f aca="false">IF($B1945="","",IF(AND(N($I1945)=0,N($J1945)=0),"금액이 없습니다",IF(AND($I1945&gt;0,$J1945&gt;0),"수입·지출 둘 다 적혔습니다",IF($C1945="","결제수단을 고르십시오",IF(ISNA(MATCH($C1945,'교육원 ③ 통장·카드'!$A$5:$A$11,0)),"③ 통장·카드에 없는 결제수단입니다",IF($D1945="","계정과목을 고르십시오",IF($E1945="※없는 과목","④ 설정에 없는 과목입니다",IF(AND($E1945="수입",$J1945&gt;0),"수입 과목인데 지출에 적혔습니다",IF(AND(LEFT($E1945,2)&lt;&gt;"수입",$E1945&lt;&gt;"대체",$I1945&gt;0),"지출 과목인데 수입에 적혔습니다",IF($K1945="","증빙을 고르십시오",IF($H1945="","적요를 적으십시오","")))))))))))</f>
        <v/>
      </c>
      <c r="M1945" s="39"/>
      <c r="O1945" s="11" t="str">
        <f aca="false">IF($B1945="","",YEAR($B1945)*100+MONTH($B1945))</f>
        <v/>
      </c>
      <c r="P1945" s="11" t="str">
        <f aca="false">IF($B1945="","",IF($E1945="대체",0,1))</f>
        <v/>
      </c>
    </row>
    <row r="1946" customFormat="false" ht="15" hidden="false" customHeight="false" outlineLevel="0" collapsed="false">
      <c r="A1946" s="36" t="str">
        <f aca="false">IF($B1946="","",COUNT($B$15:$B1946))</f>
        <v/>
      </c>
      <c r="B1946" s="37"/>
      <c r="C1946" s="38"/>
      <c r="D1946" s="20"/>
      <c r="E1946" s="36" t="str">
        <f aca="false">IF($D1946="","",IFERROR(INDEX('교육원 ④ 설정'!$A$6:$A$40,MATCH($D1946,'교육원 ④ 설정'!$B$6:$B$40,0)),"※없는 과목"))</f>
        <v/>
      </c>
      <c r="F1946" s="36" t="str">
        <f aca="false">IF($D1946="","",IFERROR(INDEX('교육원 ④ 설정'!$C$6:$C$40,MATCH($D1946,'교육원 ④ 설정'!$B$6:$B$40,0)),""))</f>
        <v/>
      </c>
      <c r="G1946" s="39"/>
      <c r="H1946" s="39"/>
      <c r="I1946" s="40"/>
      <c r="J1946" s="41"/>
      <c r="K1946" s="38"/>
      <c r="L1946" s="42" t="str">
        <f aca="false">IF($B1946="","",IF(AND(N($I1946)=0,N($J1946)=0),"금액이 없습니다",IF(AND($I1946&gt;0,$J1946&gt;0),"수입·지출 둘 다 적혔습니다",IF($C1946="","결제수단을 고르십시오",IF(ISNA(MATCH($C1946,'교육원 ③ 통장·카드'!$A$5:$A$11,0)),"③ 통장·카드에 없는 결제수단입니다",IF($D1946="","계정과목을 고르십시오",IF($E1946="※없는 과목","④ 설정에 없는 과목입니다",IF(AND($E1946="수입",$J1946&gt;0),"수입 과목인데 지출에 적혔습니다",IF(AND(LEFT($E1946,2)&lt;&gt;"수입",$E1946&lt;&gt;"대체",$I1946&gt;0),"지출 과목인데 수입에 적혔습니다",IF($K1946="","증빙을 고르십시오",IF($H1946="","적요를 적으십시오","")))))))))))</f>
        <v/>
      </c>
      <c r="M1946" s="39"/>
      <c r="O1946" s="11" t="str">
        <f aca="false">IF($B1946="","",YEAR($B1946)*100+MONTH($B1946))</f>
        <v/>
      </c>
      <c r="P1946" s="11" t="str">
        <f aca="false">IF($B1946="","",IF($E1946="대체",0,1))</f>
        <v/>
      </c>
    </row>
    <row r="1947" customFormat="false" ht="15" hidden="false" customHeight="false" outlineLevel="0" collapsed="false">
      <c r="A1947" s="36" t="str">
        <f aca="false">IF($B1947="","",COUNT($B$15:$B1947))</f>
        <v/>
      </c>
      <c r="B1947" s="37"/>
      <c r="C1947" s="38"/>
      <c r="D1947" s="20"/>
      <c r="E1947" s="36" t="str">
        <f aca="false">IF($D1947="","",IFERROR(INDEX('교육원 ④ 설정'!$A$6:$A$40,MATCH($D1947,'교육원 ④ 설정'!$B$6:$B$40,0)),"※없는 과목"))</f>
        <v/>
      </c>
      <c r="F1947" s="36" t="str">
        <f aca="false">IF($D1947="","",IFERROR(INDEX('교육원 ④ 설정'!$C$6:$C$40,MATCH($D1947,'교육원 ④ 설정'!$B$6:$B$40,0)),""))</f>
        <v/>
      </c>
      <c r="G1947" s="39"/>
      <c r="H1947" s="39"/>
      <c r="I1947" s="40"/>
      <c r="J1947" s="41"/>
      <c r="K1947" s="38"/>
      <c r="L1947" s="42" t="str">
        <f aca="false">IF($B1947="","",IF(AND(N($I1947)=0,N($J1947)=0),"금액이 없습니다",IF(AND($I1947&gt;0,$J1947&gt;0),"수입·지출 둘 다 적혔습니다",IF($C1947="","결제수단을 고르십시오",IF(ISNA(MATCH($C1947,'교육원 ③ 통장·카드'!$A$5:$A$11,0)),"③ 통장·카드에 없는 결제수단입니다",IF($D1947="","계정과목을 고르십시오",IF($E1947="※없는 과목","④ 설정에 없는 과목입니다",IF(AND($E1947="수입",$J1947&gt;0),"수입 과목인데 지출에 적혔습니다",IF(AND(LEFT($E1947,2)&lt;&gt;"수입",$E1947&lt;&gt;"대체",$I1947&gt;0),"지출 과목인데 수입에 적혔습니다",IF($K1947="","증빙을 고르십시오",IF($H1947="","적요를 적으십시오","")))))))))))</f>
        <v/>
      </c>
      <c r="M1947" s="39"/>
      <c r="O1947" s="11" t="str">
        <f aca="false">IF($B1947="","",YEAR($B1947)*100+MONTH($B1947))</f>
        <v/>
      </c>
      <c r="P1947" s="11" t="str">
        <f aca="false">IF($B1947="","",IF($E1947="대체",0,1))</f>
        <v/>
      </c>
    </row>
    <row r="1948" customFormat="false" ht="15" hidden="false" customHeight="false" outlineLevel="0" collapsed="false">
      <c r="A1948" s="36" t="str">
        <f aca="false">IF($B1948="","",COUNT($B$15:$B1948))</f>
        <v/>
      </c>
      <c r="B1948" s="37"/>
      <c r="C1948" s="38"/>
      <c r="D1948" s="20"/>
      <c r="E1948" s="36" t="str">
        <f aca="false">IF($D1948="","",IFERROR(INDEX('교육원 ④ 설정'!$A$6:$A$40,MATCH($D1948,'교육원 ④ 설정'!$B$6:$B$40,0)),"※없는 과목"))</f>
        <v/>
      </c>
      <c r="F1948" s="36" t="str">
        <f aca="false">IF($D1948="","",IFERROR(INDEX('교육원 ④ 설정'!$C$6:$C$40,MATCH($D1948,'교육원 ④ 설정'!$B$6:$B$40,0)),""))</f>
        <v/>
      </c>
      <c r="G1948" s="39"/>
      <c r="H1948" s="39"/>
      <c r="I1948" s="40"/>
      <c r="J1948" s="41"/>
      <c r="K1948" s="38"/>
      <c r="L1948" s="42" t="str">
        <f aca="false">IF($B1948="","",IF(AND(N($I1948)=0,N($J1948)=0),"금액이 없습니다",IF(AND($I1948&gt;0,$J1948&gt;0),"수입·지출 둘 다 적혔습니다",IF($C1948="","결제수단을 고르십시오",IF(ISNA(MATCH($C1948,'교육원 ③ 통장·카드'!$A$5:$A$11,0)),"③ 통장·카드에 없는 결제수단입니다",IF($D1948="","계정과목을 고르십시오",IF($E1948="※없는 과목","④ 설정에 없는 과목입니다",IF(AND($E1948="수입",$J1948&gt;0),"수입 과목인데 지출에 적혔습니다",IF(AND(LEFT($E1948,2)&lt;&gt;"수입",$E1948&lt;&gt;"대체",$I1948&gt;0),"지출 과목인데 수입에 적혔습니다",IF($K1948="","증빙을 고르십시오",IF($H1948="","적요를 적으십시오","")))))))))))</f>
        <v/>
      </c>
      <c r="M1948" s="39"/>
      <c r="O1948" s="11" t="str">
        <f aca="false">IF($B1948="","",YEAR($B1948)*100+MONTH($B1948))</f>
        <v/>
      </c>
      <c r="P1948" s="11" t="str">
        <f aca="false">IF($B1948="","",IF($E1948="대체",0,1))</f>
        <v/>
      </c>
    </row>
    <row r="1949" customFormat="false" ht="15" hidden="false" customHeight="false" outlineLevel="0" collapsed="false">
      <c r="A1949" s="36" t="str">
        <f aca="false">IF($B1949="","",COUNT($B$15:$B1949))</f>
        <v/>
      </c>
      <c r="B1949" s="37"/>
      <c r="C1949" s="38"/>
      <c r="D1949" s="20"/>
      <c r="E1949" s="36" t="str">
        <f aca="false">IF($D1949="","",IFERROR(INDEX('교육원 ④ 설정'!$A$6:$A$40,MATCH($D1949,'교육원 ④ 설정'!$B$6:$B$40,0)),"※없는 과목"))</f>
        <v/>
      </c>
      <c r="F1949" s="36" t="str">
        <f aca="false">IF($D1949="","",IFERROR(INDEX('교육원 ④ 설정'!$C$6:$C$40,MATCH($D1949,'교육원 ④ 설정'!$B$6:$B$40,0)),""))</f>
        <v/>
      </c>
      <c r="G1949" s="39"/>
      <c r="H1949" s="39"/>
      <c r="I1949" s="40"/>
      <c r="J1949" s="41"/>
      <c r="K1949" s="38"/>
      <c r="L1949" s="42" t="str">
        <f aca="false">IF($B1949="","",IF(AND(N($I1949)=0,N($J1949)=0),"금액이 없습니다",IF(AND($I1949&gt;0,$J1949&gt;0),"수입·지출 둘 다 적혔습니다",IF($C1949="","결제수단을 고르십시오",IF(ISNA(MATCH($C1949,'교육원 ③ 통장·카드'!$A$5:$A$11,0)),"③ 통장·카드에 없는 결제수단입니다",IF($D1949="","계정과목을 고르십시오",IF($E1949="※없는 과목","④ 설정에 없는 과목입니다",IF(AND($E1949="수입",$J1949&gt;0),"수입 과목인데 지출에 적혔습니다",IF(AND(LEFT($E1949,2)&lt;&gt;"수입",$E1949&lt;&gt;"대체",$I1949&gt;0),"지출 과목인데 수입에 적혔습니다",IF($K1949="","증빙을 고르십시오",IF($H1949="","적요를 적으십시오","")))))))))))</f>
        <v/>
      </c>
      <c r="M1949" s="39"/>
      <c r="O1949" s="11" t="str">
        <f aca="false">IF($B1949="","",YEAR($B1949)*100+MONTH($B1949))</f>
        <v/>
      </c>
      <c r="P1949" s="11" t="str">
        <f aca="false">IF($B1949="","",IF($E1949="대체",0,1))</f>
        <v/>
      </c>
    </row>
    <row r="1950" customFormat="false" ht="15" hidden="false" customHeight="false" outlineLevel="0" collapsed="false">
      <c r="A1950" s="36" t="str">
        <f aca="false">IF($B1950="","",COUNT($B$15:$B1950))</f>
        <v/>
      </c>
      <c r="B1950" s="37"/>
      <c r="C1950" s="38"/>
      <c r="D1950" s="20"/>
      <c r="E1950" s="36" t="str">
        <f aca="false">IF($D1950="","",IFERROR(INDEX('교육원 ④ 설정'!$A$6:$A$40,MATCH($D1950,'교육원 ④ 설정'!$B$6:$B$40,0)),"※없는 과목"))</f>
        <v/>
      </c>
      <c r="F1950" s="36" t="str">
        <f aca="false">IF($D1950="","",IFERROR(INDEX('교육원 ④ 설정'!$C$6:$C$40,MATCH($D1950,'교육원 ④ 설정'!$B$6:$B$40,0)),""))</f>
        <v/>
      </c>
      <c r="G1950" s="39"/>
      <c r="H1950" s="39"/>
      <c r="I1950" s="40"/>
      <c r="J1950" s="41"/>
      <c r="K1950" s="38"/>
      <c r="L1950" s="42" t="str">
        <f aca="false">IF($B1950="","",IF(AND(N($I1950)=0,N($J1950)=0),"금액이 없습니다",IF(AND($I1950&gt;0,$J1950&gt;0),"수입·지출 둘 다 적혔습니다",IF($C1950="","결제수단을 고르십시오",IF(ISNA(MATCH($C1950,'교육원 ③ 통장·카드'!$A$5:$A$11,0)),"③ 통장·카드에 없는 결제수단입니다",IF($D1950="","계정과목을 고르십시오",IF($E1950="※없는 과목","④ 설정에 없는 과목입니다",IF(AND($E1950="수입",$J1950&gt;0),"수입 과목인데 지출에 적혔습니다",IF(AND(LEFT($E1950,2)&lt;&gt;"수입",$E1950&lt;&gt;"대체",$I1950&gt;0),"지출 과목인데 수입에 적혔습니다",IF($K1950="","증빙을 고르십시오",IF($H1950="","적요를 적으십시오","")))))))))))</f>
        <v/>
      </c>
      <c r="M1950" s="39"/>
      <c r="O1950" s="11" t="str">
        <f aca="false">IF($B1950="","",YEAR($B1950)*100+MONTH($B1950))</f>
        <v/>
      </c>
      <c r="P1950" s="11" t="str">
        <f aca="false">IF($B1950="","",IF($E1950="대체",0,1))</f>
        <v/>
      </c>
    </row>
    <row r="1951" customFormat="false" ht="15" hidden="false" customHeight="false" outlineLevel="0" collapsed="false">
      <c r="A1951" s="36" t="str">
        <f aca="false">IF($B1951="","",COUNT($B$15:$B1951))</f>
        <v/>
      </c>
      <c r="B1951" s="37"/>
      <c r="C1951" s="38"/>
      <c r="D1951" s="20"/>
      <c r="E1951" s="36" t="str">
        <f aca="false">IF($D1951="","",IFERROR(INDEX('교육원 ④ 설정'!$A$6:$A$40,MATCH($D1951,'교육원 ④ 설정'!$B$6:$B$40,0)),"※없는 과목"))</f>
        <v/>
      </c>
      <c r="F1951" s="36" t="str">
        <f aca="false">IF($D1951="","",IFERROR(INDEX('교육원 ④ 설정'!$C$6:$C$40,MATCH($D1951,'교육원 ④ 설정'!$B$6:$B$40,0)),""))</f>
        <v/>
      </c>
      <c r="G1951" s="39"/>
      <c r="H1951" s="39"/>
      <c r="I1951" s="40"/>
      <c r="J1951" s="41"/>
      <c r="K1951" s="38"/>
      <c r="L1951" s="42" t="str">
        <f aca="false">IF($B1951="","",IF(AND(N($I1951)=0,N($J1951)=0),"금액이 없습니다",IF(AND($I1951&gt;0,$J1951&gt;0),"수입·지출 둘 다 적혔습니다",IF($C1951="","결제수단을 고르십시오",IF(ISNA(MATCH($C1951,'교육원 ③ 통장·카드'!$A$5:$A$11,0)),"③ 통장·카드에 없는 결제수단입니다",IF($D1951="","계정과목을 고르십시오",IF($E1951="※없는 과목","④ 설정에 없는 과목입니다",IF(AND($E1951="수입",$J1951&gt;0),"수입 과목인데 지출에 적혔습니다",IF(AND(LEFT($E1951,2)&lt;&gt;"수입",$E1951&lt;&gt;"대체",$I1951&gt;0),"지출 과목인데 수입에 적혔습니다",IF($K1951="","증빙을 고르십시오",IF($H1951="","적요를 적으십시오","")))))))))))</f>
        <v/>
      </c>
      <c r="M1951" s="39"/>
      <c r="O1951" s="11" t="str">
        <f aca="false">IF($B1951="","",YEAR($B1951)*100+MONTH($B1951))</f>
        <v/>
      </c>
      <c r="P1951" s="11" t="str">
        <f aca="false">IF($B1951="","",IF($E1951="대체",0,1))</f>
        <v/>
      </c>
    </row>
    <row r="1952" customFormat="false" ht="15" hidden="false" customHeight="false" outlineLevel="0" collapsed="false">
      <c r="A1952" s="36" t="str">
        <f aca="false">IF($B1952="","",COUNT($B$15:$B1952))</f>
        <v/>
      </c>
      <c r="B1952" s="37"/>
      <c r="C1952" s="38"/>
      <c r="D1952" s="20"/>
      <c r="E1952" s="36" t="str">
        <f aca="false">IF($D1952="","",IFERROR(INDEX('교육원 ④ 설정'!$A$6:$A$40,MATCH($D1952,'교육원 ④ 설정'!$B$6:$B$40,0)),"※없는 과목"))</f>
        <v/>
      </c>
      <c r="F1952" s="36" t="str">
        <f aca="false">IF($D1952="","",IFERROR(INDEX('교육원 ④ 설정'!$C$6:$C$40,MATCH($D1952,'교육원 ④ 설정'!$B$6:$B$40,0)),""))</f>
        <v/>
      </c>
      <c r="G1952" s="39"/>
      <c r="H1952" s="39"/>
      <c r="I1952" s="40"/>
      <c r="J1952" s="41"/>
      <c r="K1952" s="38"/>
      <c r="L1952" s="42" t="str">
        <f aca="false">IF($B1952="","",IF(AND(N($I1952)=0,N($J1952)=0),"금액이 없습니다",IF(AND($I1952&gt;0,$J1952&gt;0),"수입·지출 둘 다 적혔습니다",IF($C1952="","결제수단을 고르십시오",IF(ISNA(MATCH($C1952,'교육원 ③ 통장·카드'!$A$5:$A$11,0)),"③ 통장·카드에 없는 결제수단입니다",IF($D1952="","계정과목을 고르십시오",IF($E1952="※없는 과목","④ 설정에 없는 과목입니다",IF(AND($E1952="수입",$J1952&gt;0),"수입 과목인데 지출에 적혔습니다",IF(AND(LEFT($E1952,2)&lt;&gt;"수입",$E1952&lt;&gt;"대체",$I1952&gt;0),"지출 과목인데 수입에 적혔습니다",IF($K1952="","증빙을 고르십시오",IF($H1952="","적요를 적으십시오","")))))))))))</f>
        <v/>
      </c>
      <c r="M1952" s="39"/>
      <c r="O1952" s="11" t="str">
        <f aca="false">IF($B1952="","",YEAR($B1952)*100+MONTH($B1952))</f>
        <v/>
      </c>
      <c r="P1952" s="11" t="str">
        <f aca="false">IF($B1952="","",IF($E1952="대체",0,1))</f>
        <v/>
      </c>
    </row>
    <row r="1953" customFormat="false" ht="15" hidden="false" customHeight="false" outlineLevel="0" collapsed="false">
      <c r="A1953" s="36" t="str">
        <f aca="false">IF($B1953="","",COUNT($B$15:$B1953))</f>
        <v/>
      </c>
      <c r="B1953" s="37"/>
      <c r="C1953" s="38"/>
      <c r="D1953" s="20"/>
      <c r="E1953" s="36" t="str">
        <f aca="false">IF($D1953="","",IFERROR(INDEX('교육원 ④ 설정'!$A$6:$A$40,MATCH($D1953,'교육원 ④ 설정'!$B$6:$B$40,0)),"※없는 과목"))</f>
        <v/>
      </c>
      <c r="F1953" s="36" t="str">
        <f aca="false">IF($D1953="","",IFERROR(INDEX('교육원 ④ 설정'!$C$6:$C$40,MATCH($D1953,'교육원 ④ 설정'!$B$6:$B$40,0)),""))</f>
        <v/>
      </c>
      <c r="G1953" s="39"/>
      <c r="H1953" s="39"/>
      <c r="I1953" s="40"/>
      <c r="J1953" s="41"/>
      <c r="K1953" s="38"/>
      <c r="L1953" s="42" t="str">
        <f aca="false">IF($B1953="","",IF(AND(N($I1953)=0,N($J1953)=0),"금액이 없습니다",IF(AND($I1953&gt;0,$J1953&gt;0),"수입·지출 둘 다 적혔습니다",IF($C1953="","결제수단을 고르십시오",IF(ISNA(MATCH($C1953,'교육원 ③ 통장·카드'!$A$5:$A$11,0)),"③ 통장·카드에 없는 결제수단입니다",IF($D1953="","계정과목을 고르십시오",IF($E1953="※없는 과목","④ 설정에 없는 과목입니다",IF(AND($E1953="수입",$J1953&gt;0),"수입 과목인데 지출에 적혔습니다",IF(AND(LEFT($E1953,2)&lt;&gt;"수입",$E1953&lt;&gt;"대체",$I1953&gt;0),"지출 과목인데 수입에 적혔습니다",IF($K1953="","증빙을 고르십시오",IF($H1953="","적요를 적으십시오","")))))))))))</f>
        <v/>
      </c>
      <c r="M1953" s="39"/>
      <c r="O1953" s="11" t="str">
        <f aca="false">IF($B1953="","",YEAR($B1953)*100+MONTH($B1953))</f>
        <v/>
      </c>
      <c r="P1953" s="11" t="str">
        <f aca="false">IF($B1953="","",IF($E1953="대체",0,1))</f>
        <v/>
      </c>
    </row>
    <row r="1954" customFormat="false" ht="15" hidden="false" customHeight="false" outlineLevel="0" collapsed="false">
      <c r="A1954" s="36" t="str">
        <f aca="false">IF($B1954="","",COUNT($B$15:$B1954))</f>
        <v/>
      </c>
      <c r="B1954" s="37"/>
      <c r="C1954" s="38"/>
      <c r="D1954" s="20"/>
      <c r="E1954" s="36" t="str">
        <f aca="false">IF($D1954="","",IFERROR(INDEX('교육원 ④ 설정'!$A$6:$A$40,MATCH($D1954,'교육원 ④ 설정'!$B$6:$B$40,0)),"※없는 과목"))</f>
        <v/>
      </c>
      <c r="F1954" s="36" t="str">
        <f aca="false">IF($D1954="","",IFERROR(INDEX('교육원 ④ 설정'!$C$6:$C$40,MATCH($D1954,'교육원 ④ 설정'!$B$6:$B$40,0)),""))</f>
        <v/>
      </c>
      <c r="G1954" s="39"/>
      <c r="H1954" s="39"/>
      <c r="I1954" s="40"/>
      <c r="J1954" s="41"/>
      <c r="K1954" s="38"/>
      <c r="L1954" s="42" t="str">
        <f aca="false">IF($B1954="","",IF(AND(N($I1954)=0,N($J1954)=0),"금액이 없습니다",IF(AND($I1954&gt;0,$J1954&gt;0),"수입·지출 둘 다 적혔습니다",IF($C1954="","결제수단을 고르십시오",IF(ISNA(MATCH($C1954,'교육원 ③ 통장·카드'!$A$5:$A$11,0)),"③ 통장·카드에 없는 결제수단입니다",IF($D1954="","계정과목을 고르십시오",IF($E1954="※없는 과목","④ 설정에 없는 과목입니다",IF(AND($E1954="수입",$J1954&gt;0),"수입 과목인데 지출에 적혔습니다",IF(AND(LEFT($E1954,2)&lt;&gt;"수입",$E1954&lt;&gt;"대체",$I1954&gt;0),"지출 과목인데 수입에 적혔습니다",IF($K1954="","증빙을 고르십시오",IF($H1954="","적요를 적으십시오","")))))))))))</f>
        <v/>
      </c>
      <c r="M1954" s="39"/>
      <c r="O1954" s="11" t="str">
        <f aca="false">IF($B1954="","",YEAR($B1954)*100+MONTH($B1954))</f>
        <v/>
      </c>
      <c r="P1954" s="11" t="str">
        <f aca="false">IF($B1954="","",IF($E1954="대체",0,1))</f>
        <v/>
      </c>
    </row>
    <row r="1955" customFormat="false" ht="15" hidden="false" customHeight="false" outlineLevel="0" collapsed="false">
      <c r="A1955" s="36" t="str">
        <f aca="false">IF($B1955="","",COUNT($B$15:$B1955))</f>
        <v/>
      </c>
      <c r="B1955" s="37"/>
      <c r="C1955" s="38"/>
      <c r="D1955" s="20"/>
      <c r="E1955" s="36" t="str">
        <f aca="false">IF($D1955="","",IFERROR(INDEX('교육원 ④ 설정'!$A$6:$A$40,MATCH($D1955,'교육원 ④ 설정'!$B$6:$B$40,0)),"※없는 과목"))</f>
        <v/>
      </c>
      <c r="F1955" s="36" t="str">
        <f aca="false">IF($D1955="","",IFERROR(INDEX('교육원 ④ 설정'!$C$6:$C$40,MATCH($D1955,'교육원 ④ 설정'!$B$6:$B$40,0)),""))</f>
        <v/>
      </c>
      <c r="G1955" s="39"/>
      <c r="H1955" s="39"/>
      <c r="I1955" s="40"/>
      <c r="J1955" s="41"/>
      <c r="K1955" s="38"/>
      <c r="L1955" s="42" t="str">
        <f aca="false">IF($B1955="","",IF(AND(N($I1955)=0,N($J1955)=0),"금액이 없습니다",IF(AND($I1955&gt;0,$J1955&gt;0),"수입·지출 둘 다 적혔습니다",IF($C1955="","결제수단을 고르십시오",IF(ISNA(MATCH($C1955,'교육원 ③ 통장·카드'!$A$5:$A$11,0)),"③ 통장·카드에 없는 결제수단입니다",IF($D1955="","계정과목을 고르십시오",IF($E1955="※없는 과목","④ 설정에 없는 과목입니다",IF(AND($E1955="수입",$J1955&gt;0),"수입 과목인데 지출에 적혔습니다",IF(AND(LEFT($E1955,2)&lt;&gt;"수입",$E1955&lt;&gt;"대체",$I1955&gt;0),"지출 과목인데 수입에 적혔습니다",IF($K1955="","증빙을 고르십시오",IF($H1955="","적요를 적으십시오","")))))))))))</f>
        <v/>
      </c>
      <c r="M1955" s="39"/>
      <c r="O1955" s="11" t="str">
        <f aca="false">IF($B1955="","",YEAR($B1955)*100+MONTH($B1955))</f>
        <v/>
      </c>
      <c r="P1955" s="11" t="str">
        <f aca="false">IF($B1955="","",IF($E1955="대체",0,1))</f>
        <v/>
      </c>
    </row>
    <row r="1956" customFormat="false" ht="15" hidden="false" customHeight="false" outlineLevel="0" collapsed="false">
      <c r="A1956" s="36" t="str">
        <f aca="false">IF($B1956="","",COUNT($B$15:$B1956))</f>
        <v/>
      </c>
      <c r="B1956" s="37"/>
      <c r="C1956" s="38"/>
      <c r="D1956" s="20"/>
      <c r="E1956" s="36" t="str">
        <f aca="false">IF($D1956="","",IFERROR(INDEX('교육원 ④ 설정'!$A$6:$A$40,MATCH($D1956,'교육원 ④ 설정'!$B$6:$B$40,0)),"※없는 과목"))</f>
        <v/>
      </c>
      <c r="F1956" s="36" t="str">
        <f aca="false">IF($D1956="","",IFERROR(INDEX('교육원 ④ 설정'!$C$6:$C$40,MATCH($D1956,'교육원 ④ 설정'!$B$6:$B$40,0)),""))</f>
        <v/>
      </c>
      <c r="G1956" s="39"/>
      <c r="H1956" s="39"/>
      <c r="I1956" s="40"/>
      <c r="J1956" s="41"/>
      <c r="K1956" s="38"/>
      <c r="L1956" s="42" t="str">
        <f aca="false">IF($B1956="","",IF(AND(N($I1956)=0,N($J1956)=0),"금액이 없습니다",IF(AND($I1956&gt;0,$J1956&gt;0),"수입·지출 둘 다 적혔습니다",IF($C1956="","결제수단을 고르십시오",IF(ISNA(MATCH($C1956,'교육원 ③ 통장·카드'!$A$5:$A$11,0)),"③ 통장·카드에 없는 결제수단입니다",IF($D1956="","계정과목을 고르십시오",IF($E1956="※없는 과목","④ 설정에 없는 과목입니다",IF(AND($E1956="수입",$J1956&gt;0),"수입 과목인데 지출에 적혔습니다",IF(AND(LEFT($E1956,2)&lt;&gt;"수입",$E1956&lt;&gt;"대체",$I1956&gt;0),"지출 과목인데 수입에 적혔습니다",IF($K1956="","증빙을 고르십시오",IF($H1956="","적요를 적으십시오","")))))))))))</f>
        <v/>
      </c>
      <c r="M1956" s="39"/>
      <c r="O1956" s="11" t="str">
        <f aca="false">IF($B1956="","",YEAR($B1956)*100+MONTH($B1956))</f>
        <v/>
      </c>
      <c r="P1956" s="11" t="str">
        <f aca="false">IF($B1956="","",IF($E1956="대체",0,1))</f>
        <v/>
      </c>
    </row>
    <row r="1957" customFormat="false" ht="15" hidden="false" customHeight="false" outlineLevel="0" collapsed="false">
      <c r="A1957" s="36" t="str">
        <f aca="false">IF($B1957="","",COUNT($B$15:$B1957))</f>
        <v/>
      </c>
      <c r="B1957" s="37"/>
      <c r="C1957" s="38"/>
      <c r="D1957" s="20"/>
      <c r="E1957" s="36" t="str">
        <f aca="false">IF($D1957="","",IFERROR(INDEX('교육원 ④ 설정'!$A$6:$A$40,MATCH($D1957,'교육원 ④ 설정'!$B$6:$B$40,0)),"※없는 과목"))</f>
        <v/>
      </c>
      <c r="F1957" s="36" t="str">
        <f aca="false">IF($D1957="","",IFERROR(INDEX('교육원 ④ 설정'!$C$6:$C$40,MATCH($D1957,'교육원 ④ 설정'!$B$6:$B$40,0)),""))</f>
        <v/>
      </c>
      <c r="G1957" s="39"/>
      <c r="H1957" s="39"/>
      <c r="I1957" s="40"/>
      <c r="J1957" s="41"/>
      <c r="K1957" s="38"/>
      <c r="L1957" s="42" t="str">
        <f aca="false">IF($B1957="","",IF(AND(N($I1957)=0,N($J1957)=0),"금액이 없습니다",IF(AND($I1957&gt;0,$J1957&gt;0),"수입·지출 둘 다 적혔습니다",IF($C1957="","결제수단을 고르십시오",IF(ISNA(MATCH($C1957,'교육원 ③ 통장·카드'!$A$5:$A$11,0)),"③ 통장·카드에 없는 결제수단입니다",IF($D1957="","계정과목을 고르십시오",IF($E1957="※없는 과목","④ 설정에 없는 과목입니다",IF(AND($E1957="수입",$J1957&gt;0),"수입 과목인데 지출에 적혔습니다",IF(AND(LEFT($E1957,2)&lt;&gt;"수입",$E1957&lt;&gt;"대체",$I1957&gt;0),"지출 과목인데 수입에 적혔습니다",IF($K1957="","증빙을 고르십시오",IF($H1957="","적요를 적으십시오","")))))))))))</f>
        <v/>
      </c>
      <c r="M1957" s="39"/>
      <c r="O1957" s="11" t="str">
        <f aca="false">IF($B1957="","",YEAR($B1957)*100+MONTH($B1957))</f>
        <v/>
      </c>
      <c r="P1957" s="11" t="str">
        <f aca="false">IF($B1957="","",IF($E1957="대체",0,1))</f>
        <v/>
      </c>
    </row>
    <row r="1958" customFormat="false" ht="15" hidden="false" customHeight="false" outlineLevel="0" collapsed="false">
      <c r="A1958" s="36" t="str">
        <f aca="false">IF($B1958="","",COUNT($B$15:$B1958))</f>
        <v/>
      </c>
      <c r="B1958" s="37"/>
      <c r="C1958" s="38"/>
      <c r="D1958" s="20"/>
      <c r="E1958" s="36" t="str">
        <f aca="false">IF($D1958="","",IFERROR(INDEX('교육원 ④ 설정'!$A$6:$A$40,MATCH($D1958,'교육원 ④ 설정'!$B$6:$B$40,0)),"※없는 과목"))</f>
        <v/>
      </c>
      <c r="F1958" s="36" t="str">
        <f aca="false">IF($D1958="","",IFERROR(INDEX('교육원 ④ 설정'!$C$6:$C$40,MATCH($D1958,'교육원 ④ 설정'!$B$6:$B$40,0)),""))</f>
        <v/>
      </c>
      <c r="G1958" s="39"/>
      <c r="H1958" s="39"/>
      <c r="I1958" s="40"/>
      <c r="J1958" s="41"/>
      <c r="K1958" s="38"/>
      <c r="L1958" s="42" t="str">
        <f aca="false">IF($B1958="","",IF(AND(N($I1958)=0,N($J1958)=0),"금액이 없습니다",IF(AND($I1958&gt;0,$J1958&gt;0),"수입·지출 둘 다 적혔습니다",IF($C1958="","결제수단을 고르십시오",IF(ISNA(MATCH($C1958,'교육원 ③ 통장·카드'!$A$5:$A$11,0)),"③ 통장·카드에 없는 결제수단입니다",IF($D1958="","계정과목을 고르십시오",IF($E1958="※없는 과목","④ 설정에 없는 과목입니다",IF(AND($E1958="수입",$J1958&gt;0),"수입 과목인데 지출에 적혔습니다",IF(AND(LEFT($E1958,2)&lt;&gt;"수입",$E1958&lt;&gt;"대체",$I1958&gt;0),"지출 과목인데 수입에 적혔습니다",IF($K1958="","증빙을 고르십시오",IF($H1958="","적요를 적으십시오","")))))))))))</f>
        <v/>
      </c>
      <c r="M1958" s="39"/>
      <c r="O1958" s="11" t="str">
        <f aca="false">IF($B1958="","",YEAR($B1958)*100+MONTH($B1958))</f>
        <v/>
      </c>
      <c r="P1958" s="11" t="str">
        <f aca="false">IF($B1958="","",IF($E1958="대체",0,1))</f>
        <v/>
      </c>
    </row>
    <row r="1959" customFormat="false" ht="15" hidden="false" customHeight="false" outlineLevel="0" collapsed="false">
      <c r="A1959" s="36" t="str">
        <f aca="false">IF($B1959="","",COUNT($B$15:$B1959))</f>
        <v/>
      </c>
      <c r="B1959" s="37"/>
      <c r="C1959" s="38"/>
      <c r="D1959" s="20"/>
      <c r="E1959" s="36" t="str">
        <f aca="false">IF($D1959="","",IFERROR(INDEX('교육원 ④ 설정'!$A$6:$A$40,MATCH($D1959,'교육원 ④ 설정'!$B$6:$B$40,0)),"※없는 과목"))</f>
        <v/>
      </c>
      <c r="F1959" s="36" t="str">
        <f aca="false">IF($D1959="","",IFERROR(INDEX('교육원 ④ 설정'!$C$6:$C$40,MATCH($D1959,'교육원 ④ 설정'!$B$6:$B$40,0)),""))</f>
        <v/>
      </c>
      <c r="G1959" s="39"/>
      <c r="H1959" s="39"/>
      <c r="I1959" s="40"/>
      <c r="J1959" s="41"/>
      <c r="K1959" s="38"/>
      <c r="L1959" s="42" t="str">
        <f aca="false">IF($B1959="","",IF(AND(N($I1959)=0,N($J1959)=0),"금액이 없습니다",IF(AND($I1959&gt;0,$J1959&gt;0),"수입·지출 둘 다 적혔습니다",IF($C1959="","결제수단을 고르십시오",IF(ISNA(MATCH($C1959,'교육원 ③ 통장·카드'!$A$5:$A$11,0)),"③ 통장·카드에 없는 결제수단입니다",IF($D1959="","계정과목을 고르십시오",IF($E1959="※없는 과목","④ 설정에 없는 과목입니다",IF(AND($E1959="수입",$J1959&gt;0),"수입 과목인데 지출에 적혔습니다",IF(AND(LEFT($E1959,2)&lt;&gt;"수입",$E1959&lt;&gt;"대체",$I1959&gt;0),"지출 과목인데 수입에 적혔습니다",IF($K1959="","증빙을 고르십시오",IF($H1959="","적요를 적으십시오","")))))))))))</f>
        <v/>
      </c>
      <c r="M1959" s="39"/>
      <c r="O1959" s="11" t="str">
        <f aca="false">IF($B1959="","",YEAR($B1959)*100+MONTH($B1959))</f>
        <v/>
      </c>
      <c r="P1959" s="11" t="str">
        <f aca="false">IF($B1959="","",IF($E1959="대체",0,1))</f>
        <v/>
      </c>
    </row>
    <row r="1960" customFormat="false" ht="15" hidden="false" customHeight="false" outlineLevel="0" collapsed="false">
      <c r="A1960" s="36" t="str">
        <f aca="false">IF($B1960="","",COUNT($B$15:$B1960))</f>
        <v/>
      </c>
      <c r="B1960" s="37"/>
      <c r="C1960" s="38"/>
      <c r="D1960" s="20"/>
      <c r="E1960" s="36" t="str">
        <f aca="false">IF($D1960="","",IFERROR(INDEX('교육원 ④ 설정'!$A$6:$A$40,MATCH($D1960,'교육원 ④ 설정'!$B$6:$B$40,0)),"※없는 과목"))</f>
        <v/>
      </c>
      <c r="F1960" s="36" t="str">
        <f aca="false">IF($D1960="","",IFERROR(INDEX('교육원 ④ 설정'!$C$6:$C$40,MATCH($D1960,'교육원 ④ 설정'!$B$6:$B$40,0)),""))</f>
        <v/>
      </c>
      <c r="G1960" s="39"/>
      <c r="H1960" s="39"/>
      <c r="I1960" s="40"/>
      <c r="J1960" s="41"/>
      <c r="K1960" s="38"/>
      <c r="L1960" s="42" t="str">
        <f aca="false">IF($B1960="","",IF(AND(N($I1960)=0,N($J1960)=0),"금액이 없습니다",IF(AND($I1960&gt;0,$J1960&gt;0),"수입·지출 둘 다 적혔습니다",IF($C1960="","결제수단을 고르십시오",IF(ISNA(MATCH($C1960,'교육원 ③ 통장·카드'!$A$5:$A$11,0)),"③ 통장·카드에 없는 결제수단입니다",IF($D1960="","계정과목을 고르십시오",IF($E1960="※없는 과목","④ 설정에 없는 과목입니다",IF(AND($E1960="수입",$J1960&gt;0),"수입 과목인데 지출에 적혔습니다",IF(AND(LEFT($E1960,2)&lt;&gt;"수입",$E1960&lt;&gt;"대체",$I1960&gt;0),"지출 과목인데 수입에 적혔습니다",IF($K1960="","증빙을 고르십시오",IF($H1960="","적요를 적으십시오","")))))))))))</f>
        <v/>
      </c>
      <c r="M1960" s="39"/>
      <c r="O1960" s="11" t="str">
        <f aca="false">IF($B1960="","",YEAR($B1960)*100+MONTH($B1960))</f>
        <v/>
      </c>
      <c r="P1960" s="11" t="str">
        <f aca="false">IF($B1960="","",IF($E1960="대체",0,1))</f>
        <v/>
      </c>
    </row>
    <row r="1961" customFormat="false" ht="15" hidden="false" customHeight="false" outlineLevel="0" collapsed="false">
      <c r="A1961" s="36" t="str">
        <f aca="false">IF($B1961="","",COUNT($B$15:$B1961))</f>
        <v/>
      </c>
      <c r="B1961" s="37"/>
      <c r="C1961" s="38"/>
      <c r="D1961" s="20"/>
      <c r="E1961" s="36" t="str">
        <f aca="false">IF($D1961="","",IFERROR(INDEX('교육원 ④ 설정'!$A$6:$A$40,MATCH($D1961,'교육원 ④ 설정'!$B$6:$B$40,0)),"※없는 과목"))</f>
        <v/>
      </c>
      <c r="F1961" s="36" t="str">
        <f aca="false">IF($D1961="","",IFERROR(INDEX('교육원 ④ 설정'!$C$6:$C$40,MATCH($D1961,'교육원 ④ 설정'!$B$6:$B$40,0)),""))</f>
        <v/>
      </c>
      <c r="G1961" s="39"/>
      <c r="H1961" s="39"/>
      <c r="I1961" s="40"/>
      <c r="J1961" s="41"/>
      <c r="K1961" s="38"/>
      <c r="L1961" s="42" t="str">
        <f aca="false">IF($B1961="","",IF(AND(N($I1961)=0,N($J1961)=0),"금액이 없습니다",IF(AND($I1961&gt;0,$J1961&gt;0),"수입·지출 둘 다 적혔습니다",IF($C1961="","결제수단을 고르십시오",IF(ISNA(MATCH($C1961,'교육원 ③ 통장·카드'!$A$5:$A$11,0)),"③ 통장·카드에 없는 결제수단입니다",IF($D1961="","계정과목을 고르십시오",IF($E1961="※없는 과목","④ 설정에 없는 과목입니다",IF(AND($E1961="수입",$J1961&gt;0),"수입 과목인데 지출에 적혔습니다",IF(AND(LEFT($E1961,2)&lt;&gt;"수입",$E1961&lt;&gt;"대체",$I1961&gt;0),"지출 과목인데 수입에 적혔습니다",IF($K1961="","증빙을 고르십시오",IF($H1961="","적요를 적으십시오","")))))))))))</f>
        <v/>
      </c>
      <c r="M1961" s="39"/>
      <c r="O1961" s="11" t="str">
        <f aca="false">IF($B1961="","",YEAR($B1961)*100+MONTH($B1961))</f>
        <v/>
      </c>
      <c r="P1961" s="11" t="str">
        <f aca="false">IF($B1961="","",IF($E1961="대체",0,1))</f>
        <v/>
      </c>
    </row>
    <row r="1962" customFormat="false" ht="15" hidden="false" customHeight="false" outlineLevel="0" collapsed="false">
      <c r="A1962" s="36" t="str">
        <f aca="false">IF($B1962="","",COUNT($B$15:$B1962))</f>
        <v/>
      </c>
      <c r="B1962" s="37"/>
      <c r="C1962" s="38"/>
      <c r="D1962" s="20"/>
      <c r="E1962" s="36" t="str">
        <f aca="false">IF($D1962="","",IFERROR(INDEX('교육원 ④ 설정'!$A$6:$A$40,MATCH($D1962,'교육원 ④ 설정'!$B$6:$B$40,0)),"※없는 과목"))</f>
        <v/>
      </c>
      <c r="F1962" s="36" t="str">
        <f aca="false">IF($D1962="","",IFERROR(INDEX('교육원 ④ 설정'!$C$6:$C$40,MATCH($D1962,'교육원 ④ 설정'!$B$6:$B$40,0)),""))</f>
        <v/>
      </c>
      <c r="G1962" s="39"/>
      <c r="H1962" s="39"/>
      <c r="I1962" s="40"/>
      <c r="J1962" s="41"/>
      <c r="K1962" s="38"/>
      <c r="L1962" s="42" t="str">
        <f aca="false">IF($B1962="","",IF(AND(N($I1962)=0,N($J1962)=0),"금액이 없습니다",IF(AND($I1962&gt;0,$J1962&gt;0),"수입·지출 둘 다 적혔습니다",IF($C1962="","결제수단을 고르십시오",IF(ISNA(MATCH($C1962,'교육원 ③ 통장·카드'!$A$5:$A$11,0)),"③ 통장·카드에 없는 결제수단입니다",IF($D1962="","계정과목을 고르십시오",IF($E1962="※없는 과목","④ 설정에 없는 과목입니다",IF(AND($E1962="수입",$J1962&gt;0),"수입 과목인데 지출에 적혔습니다",IF(AND(LEFT($E1962,2)&lt;&gt;"수입",$E1962&lt;&gt;"대체",$I1962&gt;0),"지출 과목인데 수입에 적혔습니다",IF($K1962="","증빙을 고르십시오",IF($H1962="","적요를 적으십시오","")))))))))))</f>
        <v/>
      </c>
      <c r="M1962" s="39"/>
      <c r="O1962" s="11" t="str">
        <f aca="false">IF($B1962="","",YEAR($B1962)*100+MONTH($B1962))</f>
        <v/>
      </c>
      <c r="P1962" s="11" t="str">
        <f aca="false">IF($B1962="","",IF($E1962="대체",0,1))</f>
        <v/>
      </c>
    </row>
    <row r="1963" customFormat="false" ht="15" hidden="false" customHeight="false" outlineLevel="0" collapsed="false">
      <c r="A1963" s="36" t="str">
        <f aca="false">IF($B1963="","",COUNT($B$15:$B1963))</f>
        <v/>
      </c>
      <c r="B1963" s="37"/>
      <c r="C1963" s="38"/>
      <c r="D1963" s="20"/>
      <c r="E1963" s="36" t="str">
        <f aca="false">IF($D1963="","",IFERROR(INDEX('교육원 ④ 설정'!$A$6:$A$40,MATCH($D1963,'교육원 ④ 설정'!$B$6:$B$40,0)),"※없는 과목"))</f>
        <v/>
      </c>
      <c r="F1963" s="36" t="str">
        <f aca="false">IF($D1963="","",IFERROR(INDEX('교육원 ④ 설정'!$C$6:$C$40,MATCH($D1963,'교육원 ④ 설정'!$B$6:$B$40,0)),""))</f>
        <v/>
      </c>
      <c r="G1963" s="39"/>
      <c r="H1963" s="39"/>
      <c r="I1963" s="40"/>
      <c r="J1963" s="41"/>
      <c r="K1963" s="38"/>
      <c r="L1963" s="42" t="str">
        <f aca="false">IF($B1963="","",IF(AND(N($I1963)=0,N($J1963)=0),"금액이 없습니다",IF(AND($I1963&gt;0,$J1963&gt;0),"수입·지출 둘 다 적혔습니다",IF($C1963="","결제수단을 고르십시오",IF(ISNA(MATCH($C1963,'교육원 ③ 통장·카드'!$A$5:$A$11,0)),"③ 통장·카드에 없는 결제수단입니다",IF($D1963="","계정과목을 고르십시오",IF($E1963="※없는 과목","④ 설정에 없는 과목입니다",IF(AND($E1963="수입",$J1963&gt;0),"수입 과목인데 지출에 적혔습니다",IF(AND(LEFT($E1963,2)&lt;&gt;"수입",$E1963&lt;&gt;"대체",$I1963&gt;0),"지출 과목인데 수입에 적혔습니다",IF($K1963="","증빙을 고르십시오",IF($H1963="","적요를 적으십시오","")))))))))))</f>
        <v/>
      </c>
      <c r="M1963" s="39"/>
      <c r="O1963" s="11" t="str">
        <f aca="false">IF($B1963="","",YEAR($B1963)*100+MONTH($B1963))</f>
        <v/>
      </c>
      <c r="P1963" s="11" t="str">
        <f aca="false">IF($B1963="","",IF($E1963="대체",0,1))</f>
        <v/>
      </c>
    </row>
    <row r="1964" customFormat="false" ht="15" hidden="false" customHeight="false" outlineLevel="0" collapsed="false">
      <c r="A1964" s="36" t="str">
        <f aca="false">IF($B1964="","",COUNT($B$15:$B1964))</f>
        <v/>
      </c>
      <c r="B1964" s="37"/>
      <c r="C1964" s="38"/>
      <c r="D1964" s="20"/>
      <c r="E1964" s="36" t="str">
        <f aca="false">IF($D1964="","",IFERROR(INDEX('교육원 ④ 설정'!$A$6:$A$40,MATCH($D1964,'교육원 ④ 설정'!$B$6:$B$40,0)),"※없는 과목"))</f>
        <v/>
      </c>
      <c r="F1964" s="36" t="str">
        <f aca="false">IF($D1964="","",IFERROR(INDEX('교육원 ④ 설정'!$C$6:$C$40,MATCH($D1964,'교육원 ④ 설정'!$B$6:$B$40,0)),""))</f>
        <v/>
      </c>
      <c r="G1964" s="39"/>
      <c r="H1964" s="39"/>
      <c r="I1964" s="40"/>
      <c r="J1964" s="41"/>
      <c r="K1964" s="38"/>
      <c r="L1964" s="42" t="str">
        <f aca="false">IF($B1964="","",IF(AND(N($I1964)=0,N($J1964)=0),"금액이 없습니다",IF(AND($I1964&gt;0,$J1964&gt;0),"수입·지출 둘 다 적혔습니다",IF($C1964="","결제수단을 고르십시오",IF(ISNA(MATCH($C1964,'교육원 ③ 통장·카드'!$A$5:$A$11,0)),"③ 통장·카드에 없는 결제수단입니다",IF($D1964="","계정과목을 고르십시오",IF($E1964="※없는 과목","④ 설정에 없는 과목입니다",IF(AND($E1964="수입",$J1964&gt;0),"수입 과목인데 지출에 적혔습니다",IF(AND(LEFT($E1964,2)&lt;&gt;"수입",$E1964&lt;&gt;"대체",$I1964&gt;0),"지출 과목인데 수입에 적혔습니다",IF($K1964="","증빙을 고르십시오",IF($H1964="","적요를 적으십시오","")))))))))))</f>
        <v/>
      </c>
      <c r="M1964" s="39"/>
      <c r="O1964" s="11" t="str">
        <f aca="false">IF($B1964="","",YEAR($B1964)*100+MONTH($B1964))</f>
        <v/>
      </c>
      <c r="P1964" s="11" t="str">
        <f aca="false">IF($B1964="","",IF($E1964="대체",0,1))</f>
        <v/>
      </c>
    </row>
    <row r="1965" customFormat="false" ht="15" hidden="false" customHeight="false" outlineLevel="0" collapsed="false">
      <c r="A1965" s="36" t="str">
        <f aca="false">IF($B1965="","",COUNT($B$15:$B1965))</f>
        <v/>
      </c>
      <c r="B1965" s="37"/>
      <c r="C1965" s="38"/>
      <c r="D1965" s="20"/>
      <c r="E1965" s="36" t="str">
        <f aca="false">IF($D1965="","",IFERROR(INDEX('교육원 ④ 설정'!$A$6:$A$40,MATCH($D1965,'교육원 ④ 설정'!$B$6:$B$40,0)),"※없는 과목"))</f>
        <v/>
      </c>
      <c r="F1965" s="36" t="str">
        <f aca="false">IF($D1965="","",IFERROR(INDEX('교육원 ④ 설정'!$C$6:$C$40,MATCH($D1965,'교육원 ④ 설정'!$B$6:$B$40,0)),""))</f>
        <v/>
      </c>
      <c r="G1965" s="39"/>
      <c r="H1965" s="39"/>
      <c r="I1965" s="40"/>
      <c r="J1965" s="41"/>
      <c r="K1965" s="38"/>
      <c r="L1965" s="42" t="str">
        <f aca="false">IF($B1965="","",IF(AND(N($I1965)=0,N($J1965)=0),"금액이 없습니다",IF(AND($I1965&gt;0,$J1965&gt;0),"수입·지출 둘 다 적혔습니다",IF($C1965="","결제수단을 고르십시오",IF(ISNA(MATCH($C1965,'교육원 ③ 통장·카드'!$A$5:$A$11,0)),"③ 통장·카드에 없는 결제수단입니다",IF($D1965="","계정과목을 고르십시오",IF($E1965="※없는 과목","④ 설정에 없는 과목입니다",IF(AND($E1965="수입",$J1965&gt;0),"수입 과목인데 지출에 적혔습니다",IF(AND(LEFT($E1965,2)&lt;&gt;"수입",$E1965&lt;&gt;"대체",$I1965&gt;0),"지출 과목인데 수입에 적혔습니다",IF($K1965="","증빙을 고르십시오",IF($H1965="","적요를 적으십시오","")))))))))))</f>
        <v/>
      </c>
      <c r="M1965" s="39"/>
      <c r="O1965" s="11" t="str">
        <f aca="false">IF($B1965="","",YEAR($B1965)*100+MONTH($B1965))</f>
        <v/>
      </c>
      <c r="P1965" s="11" t="str">
        <f aca="false">IF($B1965="","",IF($E1965="대체",0,1))</f>
        <v/>
      </c>
    </row>
    <row r="1966" customFormat="false" ht="15" hidden="false" customHeight="false" outlineLevel="0" collapsed="false">
      <c r="A1966" s="36" t="str">
        <f aca="false">IF($B1966="","",COUNT($B$15:$B1966))</f>
        <v/>
      </c>
      <c r="B1966" s="37"/>
      <c r="C1966" s="38"/>
      <c r="D1966" s="20"/>
      <c r="E1966" s="36" t="str">
        <f aca="false">IF($D1966="","",IFERROR(INDEX('교육원 ④ 설정'!$A$6:$A$40,MATCH($D1966,'교육원 ④ 설정'!$B$6:$B$40,0)),"※없는 과목"))</f>
        <v/>
      </c>
      <c r="F1966" s="36" t="str">
        <f aca="false">IF($D1966="","",IFERROR(INDEX('교육원 ④ 설정'!$C$6:$C$40,MATCH($D1966,'교육원 ④ 설정'!$B$6:$B$40,0)),""))</f>
        <v/>
      </c>
      <c r="G1966" s="39"/>
      <c r="H1966" s="39"/>
      <c r="I1966" s="40"/>
      <c r="J1966" s="41"/>
      <c r="K1966" s="38"/>
      <c r="L1966" s="42" t="str">
        <f aca="false">IF($B1966="","",IF(AND(N($I1966)=0,N($J1966)=0),"금액이 없습니다",IF(AND($I1966&gt;0,$J1966&gt;0),"수입·지출 둘 다 적혔습니다",IF($C1966="","결제수단을 고르십시오",IF(ISNA(MATCH($C1966,'교육원 ③ 통장·카드'!$A$5:$A$11,0)),"③ 통장·카드에 없는 결제수단입니다",IF($D1966="","계정과목을 고르십시오",IF($E1966="※없는 과목","④ 설정에 없는 과목입니다",IF(AND($E1966="수입",$J1966&gt;0),"수입 과목인데 지출에 적혔습니다",IF(AND(LEFT($E1966,2)&lt;&gt;"수입",$E1966&lt;&gt;"대체",$I1966&gt;0),"지출 과목인데 수입에 적혔습니다",IF($K1966="","증빙을 고르십시오",IF($H1966="","적요를 적으십시오","")))))))))))</f>
        <v/>
      </c>
      <c r="M1966" s="39"/>
      <c r="O1966" s="11" t="str">
        <f aca="false">IF($B1966="","",YEAR($B1966)*100+MONTH($B1966))</f>
        <v/>
      </c>
      <c r="P1966" s="11" t="str">
        <f aca="false">IF($B1966="","",IF($E1966="대체",0,1))</f>
        <v/>
      </c>
    </row>
    <row r="1967" customFormat="false" ht="15" hidden="false" customHeight="false" outlineLevel="0" collapsed="false">
      <c r="A1967" s="36" t="str">
        <f aca="false">IF($B1967="","",COUNT($B$15:$B1967))</f>
        <v/>
      </c>
      <c r="B1967" s="37"/>
      <c r="C1967" s="38"/>
      <c r="D1967" s="20"/>
      <c r="E1967" s="36" t="str">
        <f aca="false">IF($D1967="","",IFERROR(INDEX('교육원 ④ 설정'!$A$6:$A$40,MATCH($D1967,'교육원 ④ 설정'!$B$6:$B$40,0)),"※없는 과목"))</f>
        <v/>
      </c>
      <c r="F1967" s="36" t="str">
        <f aca="false">IF($D1967="","",IFERROR(INDEX('교육원 ④ 설정'!$C$6:$C$40,MATCH($D1967,'교육원 ④ 설정'!$B$6:$B$40,0)),""))</f>
        <v/>
      </c>
      <c r="G1967" s="39"/>
      <c r="H1967" s="39"/>
      <c r="I1967" s="40"/>
      <c r="J1967" s="41"/>
      <c r="K1967" s="38"/>
      <c r="L1967" s="42" t="str">
        <f aca="false">IF($B1967="","",IF(AND(N($I1967)=0,N($J1967)=0),"금액이 없습니다",IF(AND($I1967&gt;0,$J1967&gt;0),"수입·지출 둘 다 적혔습니다",IF($C1967="","결제수단을 고르십시오",IF(ISNA(MATCH($C1967,'교육원 ③ 통장·카드'!$A$5:$A$11,0)),"③ 통장·카드에 없는 결제수단입니다",IF($D1967="","계정과목을 고르십시오",IF($E1967="※없는 과목","④ 설정에 없는 과목입니다",IF(AND($E1967="수입",$J1967&gt;0),"수입 과목인데 지출에 적혔습니다",IF(AND(LEFT($E1967,2)&lt;&gt;"수입",$E1967&lt;&gt;"대체",$I1967&gt;0),"지출 과목인데 수입에 적혔습니다",IF($K1967="","증빙을 고르십시오",IF($H1967="","적요를 적으십시오","")))))))))))</f>
        <v/>
      </c>
      <c r="M1967" s="39"/>
      <c r="O1967" s="11" t="str">
        <f aca="false">IF($B1967="","",YEAR($B1967)*100+MONTH($B1967))</f>
        <v/>
      </c>
      <c r="P1967" s="11" t="str">
        <f aca="false">IF($B1967="","",IF($E1967="대체",0,1))</f>
        <v/>
      </c>
    </row>
    <row r="1968" customFormat="false" ht="15" hidden="false" customHeight="false" outlineLevel="0" collapsed="false">
      <c r="A1968" s="36" t="str">
        <f aca="false">IF($B1968="","",COUNT($B$15:$B1968))</f>
        <v/>
      </c>
      <c r="B1968" s="37"/>
      <c r="C1968" s="38"/>
      <c r="D1968" s="20"/>
      <c r="E1968" s="36" t="str">
        <f aca="false">IF($D1968="","",IFERROR(INDEX('교육원 ④ 설정'!$A$6:$A$40,MATCH($D1968,'교육원 ④ 설정'!$B$6:$B$40,0)),"※없는 과목"))</f>
        <v/>
      </c>
      <c r="F1968" s="36" t="str">
        <f aca="false">IF($D1968="","",IFERROR(INDEX('교육원 ④ 설정'!$C$6:$C$40,MATCH($D1968,'교육원 ④ 설정'!$B$6:$B$40,0)),""))</f>
        <v/>
      </c>
      <c r="G1968" s="39"/>
      <c r="H1968" s="39"/>
      <c r="I1968" s="40"/>
      <c r="J1968" s="41"/>
      <c r="K1968" s="38"/>
      <c r="L1968" s="42" t="str">
        <f aca="false">IF($B1968="","",IF(AND(N($I1968)=0,N($J1968)=0),"금액이 없습니다",IF(AND($I1968&gt;0,$J1968&gt;0),"수입·지출 둘 다 적혔습니다",IF($C1968="","결제수단을 고르십시오",IF(ISNA(MATCH($C1968,'교육원 ③ 통장·카드'!$A$5:$A$11,0)),"③ 통장·카드에 없는 결제수단입니다",IF($D1968="","계정과목을 고르십시오",IF($E1968="※없는 과목","④ 설정에 없는 과목입니다",IF(AND($E1968="수입",$J1968&gt;0),"수입 과목인데 지출에 적혔습니다",IF(AND(LEFT($E1968,2)&lt;&gt;"수입",$E1968&lt;&gt;"대체",$I1968&gt;0),"지출 과목인데 수입에 적혔습니다",IF($K1968="","증빙을 고르십시오",IF($H1968="","적요를 적으십시오","")))))))))))</f>
        <v/>
      </c>
      <c r="M1968" s="39"/>
      <c r="O1968" s="11" t="str">
        <f aca="false">IF($B1968="","",YEAR($B1968)*100+MONTH($B1968))</f>
        <v/>
      </c>
      <c r="P1968" s="11" t="str">
        <f aca="false">IF($B1968="","",IF($E1968="대체",0,1))</f>
        <v/>
      </c>
    </row>
    <row r="1969" customFormat="false" ht="15" hidden="false" customHeight="false" outlineLevel="0" collapsed="false">
      <c r="A1969" s="36" t="str">
        <f aca="false">IF($B1969="","",COUNT($B$15:$B1969))</f>
        <v/>
      </c>
      <c r="B1969" s="37"/>
      <c r="C1969" s="38"/>
      <c r="D1969" s="20"/>
      <c r="E1969" s="36" t="str">
        <f aca="false">IF($D1969="","",IFERROR(INDEX('교육원 ④ 설정'!$A$6:$A$40,MATCH($D1969,'교육원 ④ 설정'!$B$6:$B$40,0)),"※없는 과목"))</f>
        <v/>
      </c>
      <c r="F1969" s="36" t="str">
        <f aca="false">IF($D1969="","",IFERROR(INDEX('교육원 ④ 설정'!$C$6:$C$40,MATCH($D1969,'교육원 ④ 설정'!$B$6:$B$40,0)),""))</f>
        <v/>
      </c>
      <c r="G1969" s="39"/>
      <c r="H1969" s="39"/>
      <c r="I1969" s="40"/>
      <c r="J1969" s="41"/>
      <c r="K1969" s="38"/>
      <c r="L1969" s="42" t="str">
        <f aca="false">IF($B1969="","",IF(AND(N($I1969)=0,N($J1969)=0),"금액이 없습니다",IF(AND($I1969&gt;0,$J1969&gt;0),"수입·지출 둘 다 적혔습니다",IF($C1969="","결제수단을 고르십시오",IF(ISNA(MATCH($C1969,'교육원 ③ 통장·카드'!$A$5:$A$11,0)),"③ 통장·카드에 없는 결제수단입니다",IF($D1969="","계정과목을 고르십시오",IF($E1969="※없는 과목","④ 설정에 없는 과목입니다",IF(AND($E1969="수입",$J1969&gt;0),"수입 과목인데 지출에 적혔습니다",IF(AND(LEFT($E1969,2)&lt;&gt;"수입",$E1969&lt;&gt;"대체",$I1969&gt;0),"지출 과목인데 수입에 적혔습니다",IF($K1969="","증빙을 고르십시오",IF($H1969="","적요를 적으십시오","")))))))))))</f>
        <v/>
      </c>
      <c r="M1969" s="39"/>
      <c r="O1969" s="11" t="str">
        <f aca="false">IF($B1969="","",YEAR($B1969)*100+MONTH($B1969))</f>
        <v/>
      </c>
      <c r="P1969" s="11" t="str">
        <f aca="false">IF($B1969="","",IF($E1969="대체",0,1))</f>
        <v/>
      </c>
    </row>
    <row r="1970" customFormat="false" ht="15" hidden="false" customHeight="false" outlineLevel="0" collapsed="false">
      <c r="A1970" s="36" t="str">
        <f aca="false">IF($B1970="","",COUNT($B$15:$B1970))</f>
        <v/>
      </c>
      <c r="B1970" s="37"/>
      <c r="C1970" s="38"/>
      <c r="D1970" s="20"/>
      <c r="E1970" s="36" t="str">
        <f aca="false">IF($D1970="","",IFERROR(INDEX('교육원 ④ 설정'!$A$6:$A$40,MATCH($D1970,'교육원 ④ 설정'!$B$6:$B$40,0)),"※없는 과목"))</f>
        <v/>
      </c>
      <c r="F1970" s="36" t="str">
        <f aca="false">IF($D1970="","",IFERROR(INDEX('교육원 ④ 설정'!$C$6:$C$40,MATCH($D1970,'교육원 ④ 설정'!$B$6:$B$40,0)),""))</f>
        <v/>
      </c>
      <c r="G1970" s="39"/>
      <c r="H1970" s="39"/>
      <c r="I1970" s="40"/>
      <c r="J1970" s="41"/>
      <c r="K1970" s="38"/>
      <c r="L1970" s="42" t="str">
        <f aca="false">IF($B1970="","",IF(AND(N($I1970)=0,N($J1970)=0),"금액이 없습니다",IF(AND($I1970&gt;0,$J1970&gt;0),"수입·지출 둘 다 적혔습니다",IF($C1970="","결제수단을 고르십시오",IF(ISNA(MATCH($C1970,'교육원 ③ 통장·카드'!$A$5:$A$11,0)),"③ 통장·카드에 없는 결제수단입니다",IF($D1970="","계정과목을 고르십시오",IF($E1970="※없는 과목","④ 설정에 없는 과목입니다",IF(AND($E1970="수입",$J1970&gt;0),"수입 과목인데 지출에 적혔습니다",IF(AND(LEFT($E1970,2)&lt;&gt;"수입",$E1970&lt;&gt;"대체",$I1970&gt;0),"지출 과목인데 수입에 적혔습니다",IF($K1970="","증빙을 고르십시오",IF($H1970="","적요를 적으십시오","")))))))))))</f>
        <v/>
      </c>
      <c r="M1970" s="39"/>
      <c r="O1970" s="11" t="str">
        <f aca="false">IF($B1970="","",YEAR($B1970)*100+MONTH($B1970))</f>
        <v/>
      </c>
      <c r="P1970" s="11" t="str">
        <f aca="false">IF($B1970="","",IF($E1970="대체",0,1))</f>
        <v/>
      </c>
    </row>
    <row r="1971" customFormat="false" ht="15" hidden="false" customHeight="false" outlineLevel="0" collapsed="false">
      <c r="A1971" s="36" t="str">
        <f aca="false">IF($B1971="","",COUNT($B$15:$B1971))</f>
        <v/>
      </c>
      <c r="B1971" s="37"/>
      <c r="C1971" s="38"/>
      <c r="D1971" s="20"/>
      <c r="E1971" s="36" t="str">
        <f aca="false">IF($D1971="","",IFERROR(INDEX('교육원 ④ 설정'!$A$6:$A$40,MATCH($D1971,'교육원 ④ 설정'!$B$6:$B$40,0)),"※없는 과목"))</f>
        <v/>
      </c>
      <c r="F1971" s="36" t="str">
        <f aca="false">IF($D1971="","",IFERROR(INDEX('교육원 ④ 설정'!$C$6:$C$40,MATCH($D1971,'교육원 ④ 설정'!$B$6:$B$40,0)),""))</f>
        <v/>
      </c>
      <c r="G1971" s="39"/>
      <c r="H1971" s="39"/>
      <c r="I1971" s="40"/>
      <c r="J1971" s="41"/>
      <c r="K1971" s="38"/>
      <c r="L1971" s="42" t="str">
        <f aca="false">IF($B1971="","",IF(AND(N($I1971)=0,N($J1971)=0),"금액이 없습니다",IF(AND($I1971&gt;0,$J1971&gt;0),"수입·지출 둘 다 적혔습니다",IF($C1971="","결제수단을 고르십시오",IF(ISNA(MATCH($C1971,'교육원 ③ 통장·카드'!$A$5:$A$11,0)),"③ 통장·카드에 없는 결제수단입니다",IF($D1971="","계정과목을 고르십시오",IF($E1971="※없는 과목","④ 설정에 없는 과목입니다",IF(AND($E1971="수입",$J1971&gt;0),"수입 과목인데 지출에 적혔습니다",IF(AND(LEFT($E1971,2)&lt;&gt;"수입",$E1971&lt;&gt;"대체",$I1971&gt;0),"지출 과목인데 수입에 적혔습니다",IF($K1971="","증빙을 고르십시오",IF($H1971="","적요를 적으십시오","")))))))))))</f>
        <v/>
      </c>
      <c r="M1971" s="39"/>
      <c r="O1971" s="11" t="str">
        <f aca="false">IF($B1971="","",YEAR($B1971)*100+MONTH($B1971))</f>
        <v/>
      </c>
      <c r="P1971" s="11" t="str">
        <f aca="false">IF($B1971="","",IF($E1971="대체",0,1))</f>
        <v/>
      </c>
    </row>
    <row r="1972" customFormat="false" ht="15" hidden="false" customHeight="false" outlineLevel="0" collapsed="false">
      <c r="A1972" s="36" t="str">
        <f aca="false">IF($B1972="","",COUNT($B$15:$B1972))</f>
        <v/>
      </c>
      <c r="B1972" s="37"/>
      <c r="C1972" s="38"/>
      <c r="D1972" s="20"/>
      <c r="E1972" s="36" t="str">
        <f aca="false">IF($D1972="","",IFERROR(INDEX('교육원 ④ 설정'!$A$6:$A$40,MATCH($D1972,'교육원 ④ 설정'!$B$6:$B$40,0)),"※없는 과목"))</f>
        <v/>
      </c>
      <c r="F1972" s="36" t="str">
        <f aca="false">IF($D1972="","",IFERROR(INDEX('교육원 ④ 설정'!$C$6:$C$40,MATCH($D1972,'교육원 ④ 설정'!$B$6:$B$40,0)),""))</f>
        <v/>
      </c>
      <c r="G1972" s="39"/>
      <c r="H1972" s="39"/>
      <c r="I1972" s="40"/>
      <c r="J1972" s="41"/>
      <c r="K1972" s="38"/>
      <c r="L1972" s="42" t="str">
        <f aca="false">IF($B1972="","",IF(AND(N($I1972)=0,N($J1972)=0),"금액이 없습니다",IF(AND($I1972&gt;0,$J1972&gt;0),"수입·지출 둘 다 적혔습니다",IF($C1972="","결제수단을 고르십시오",IF(ISNA(MATCH($C1972,'교육원 ③ 통장·카드'!$A$5:$A$11,0)),"③ 통장·카드에 없는 결제수단입니다",IF($D1972="","계정과목을 고르십시오",IF($E1972="※없는 과목","④ 설정에 없는 과목입니다",IF(AND($E1972="수입",$J1972&gt;0),"수입 과목인데 지출에 적혔습니다",IF(AND(LEFT($E1972,2)&lt;&gt;"수입",$E1972&lt;&gt;"대체",$I1972&gt;0),"지출 과목인데 수입에 적혔습니다",IF($K1972="","증빙을 고르십시오",IF($H1972="","적요를 적으십시오","")))))))))))</f>
        <v/>
      </c>
      <c r="M1972" s="39"/>
      <c r="O1972" s="11" t="str">
        <f aca="false">IF($B1972="","",YEAR($B1972)*100+MONTH($B1972))</f>
        <v/>
      </c>
      <c r="P1972" s="11" t="str">
        <f aca="false">IF($B1972="","",IF($E1972="대체",0,1))</f>
        <v/>
      </c>
    </row>
    <row r="1973" customFormat="false" ht="15" hidden="false" customHeight="false" outlineLevel="0" collapsed="false">
      <c r="A1973" s="36" t="str">
        <f aca="false">IF($B1973="","",COUNT($B$15:$B1973))</f>
        <v/>
      </c>
      <c r="B1973" s="37"/>
      <c r="C1973" s="38"/>
      <c r="D1973" s="20"/>
      <c r="E1973" s="36" t="str">
        <f aca="false">IF($D1973="","",IFERROR(INDEX('교육원 ④ 설정'!$A$6:$A$40,MATCH($D1973,'교육원 ④ 설정'!$B$6:$B$40,0)),"※없는 과목"))</f>
        <v/>
      </c>
      <c r="F1973" s="36" t="str">
        <f aca="false">IF($D1973="","",IFERROR(INDEX('교육원 ④ 설정'!$C$6:$C$40,MATCH($D1973,'교육원 ④ 설정'!$B$6:$B$40,0)),""))</f>
        <v/>
      </c>
      <c r="G1973" s="39"/>
      <c r="H1973" s="39"/>
      <c r="I1973" s="40"/>
      <c r="J1973" s="41"/>
      <c r="K1973" s="38"/>
      <c r="L1973" s="42" t="str">
        <f aca="false">IF($B1973="","",IF(AND(N($I1973)=0,N($J1973)=0),"금액이 없습니다",IF(AND($I1973&gt;0,$J1973&gt;0),"수입·지출 둘 다 적혔습니다",IF($C1973="","결제수단을 고르십시오",IF(ISNA(MATCH($C1973,'교육원 ③ 통장·카드'!$A$5:$A$11,0)),"③ 통장·카드에 없는 결제수단입니다",IF($D1973="","계정과목을 고르십시오",IF($E1973="※없는 과목","④ 설정에 없는 과목입니다",IF(AND($E1973="수입",$J1973&gt;0),"수입 과목인데 지출에 적혔습니다",IF(AND(LEFT($E1973,2)&lt;&gt;"수입",$E1973&lt;&gt;"대체",$I1973&gt;0),"지출 과목인데 수입에 적혔습니다",IF($K1973="","증빙을 고르십시오",IF($H1973="","적요를 적으십시오","")))))))))))</f>
        <v/>
      </c>
      <c r="M1973" s="39"/>
      <c r="O1973" s="11" t="str">
        <f aca="false">IF($B1973="","",YEAR($B1973)*100+MONTH($B1973))</f>
        <v/>
      </c>
      <c r="P1973" s="11" t="str">
        <f aca="false">IF($B1973="","",IF($E1973="대체",0,1))</f>
        <v/>
      </c>
    </row>
    <row r="1974" customFormat="false" ht="15" hidden="false" customHeight="false" outlineLevel="0" collapsed="false">
      <c r="A1974" s="36" t="str">
        <f aca="false">IF($B1974="","",COUNT($B$15:$B1974))</f>
        <v/>
      </c>
      <c r="B1974" s="37"/>
      <c r="C1974" s="38"/>
      <c r="D1974" s="20"/>
      <c r="E1974" s="36" t="str">
        <f aca="false">IF($D1974="","",IFERROR(INDEX('교육원 ④ 설정'!$A$6:$A$40,MATCH($D1974,'교육원 ④ 설정'!$B$6:$B$40,0)),"※없는 과목"))</f>
        <v/>
      </c>
      <c r="F1974" s="36" t="str">
        <f aca="false">IF($D1974="","",IFERROR(INDEX('교육원 ④ 설정'!$C$6:$C$40,MATCH($D1974,'교육원 ④ 설정'!$B$6:$B$40,0)),""))</f>
        <v/>
      </c>
      <c r="G1974" s="39"/>
      <c r="H1974" s="39"/>
      <c r="I1974" s="40"/>
      <c r="J1974" s="41"/>
      <c r="K1974" s="38"/>
      <c r="L1974" s="42" t="str">
        <f aca="false">IF($B1974="","",IF(AND(N($I1974)=0,N($J1974)=0),"금액이 없습니다",IF(AND($I1974&gt;0,$J1974&gt;0),"수입·지출 둘 다 적혔습니다",IF($C1974="","결제수단을 고르십시오",IF(ISNA(MATCH($C1974,'교육원 ③ 통장·카드'!$A$5:$A$11,0)),"③ 통장·카드에 없는 결제수단입니다",IF($D1974="","계정과목을 고르십시오",IF($E1974="※없는 과목","④ 설정에 없는 과목입니다",IF(AND($E1974="수입",$J1974&gt;0),"수입 과목인데 지출에 적혔습니다",IF(AND(LEFT($E1974,2)&lt;&gt;"수입",$E1974&lt;&gt;"대체",$I1974&gt;0),"지출 과목인데 수입에 적혔습니다",IF($K1974="","증빙을 고르십시오",IF($H1974="","적요를 적으십시오","")))))))))))</f>
        <v/>
      </c>
      <c r="M1974" s="39"/>
      <c r="O1974" s="11" t="str">
        <f aca="false">IF($B1974="","",YEAR($B1974)*100+MONTH($B1974))</f>
        <v/>
      </c>
      <c r="P1974" s="11" t="str">
        <f aca="false">IF($B1974="","",IF($E1974="대체",0,1))</f>
        <v/>
      </c>
    </row>
    <row r="1975" customFormat="false" ht="15" hidden="false" customHeight="false" outlineLevel="0" collapsed="false">
      <c r="A1975" s="36" t="str">
        <f aca="false">IF($B1975="","",COUNT($B$15:$B1975))</f>
        <v/>
      </c>
      <c r="B1975" s="37"/>
      <c r="C1975" s="38"/>
      <c r="D1975" s="20"/>
      <c r="E1975" s="36" t="str">
        <f aca="false">IF($D1975="","",IFERROR(INDEX('교육원 ④ 설정'!$A$6:$A$40,MATCH($D1975,'교육원 ④ 설정'!$B$6:$B$40,0)),"※없는 과목"))</f>
        <v/>
      </c>
      <c r="F1975" s="36" t="str">
        <f aca="false">IF($D1975="","",IFERROR(INDEX('교육원 ④ 설정'!$C$6:$C$40,MATCH($D1975,'교육원 ④ 설정'!$B$6:$B$40,0)),""))</f>
        <v/>
      </c>
      <c r="G1975" s="39"/>
      <c r="H1975" s="39"/>
      <c r="I1975" s="40"/>
      <c r="J1975" s="41"/>
      <c r="K1975" s="38"/>
      <c r="L1975" s="42" t="str">
        <f aca="false">IF($B1975="","",IF(AND(N($I1975)=0,N($J1975)=0),"금액이 없습니다",IF(AND($I1975&gt;0,$J1975&gt;0),"수입·지출 둘 다 적혔습니다",IF($C1975="","결제수단을 고르십시오",IF(ISNA(MATCH($C1975,'교육원 ③ 통장·카드'!$A$5:$A$11,0)),"③ 통장·카드에 없는 결제수단입니다",IF($D1975="","계정과목을 고르십시오",IF($E1975="※없는 과목","④ 설정에 없는 과목입니다",IF(AND($E1975="수입",$J1975&gt;0),"수입 과목인데 지출에 적혔습니다",IF(AND(LEFT($E1975,2)&lt;&gt;"수입",$E1975&lt;&gt;"대체",$I1975&gt;0),"지출 과목인데 수입에 적혔습니다",IF($K1975="","증빙을 고르십시오",IF($H1975="","적요를 적으십시오","")))))))))))</f>
        <v/>
      </c>
      <c r="M1975" s="39"/>
      <c r="O1975" s="11" t="str">
        <f aca="false">IF($B1975="","",YEAR($B1975)*100+MONTH($B1975))</f>
        <v/>
      </c>
      <c r="P1975" s="11" t="str">
        <f aca="false">IF($B1975="","",IF($E1975="대체",0,1))</f>
        <v/>
      </c>
    </row>
    <row r="1976" customFormat="false" ht="15" hidden="false" customHeight="false" outlineLevel="0" collapsed="false">
      <c r="A1976" s="36" t="str">
        <f aca="false">IF($B1976="","",COUNT($B$15:$B1976))</f>
        <v/>
      </c>
      <c r="B1976" s="37"/>
      <c r="C1976" s="38"/>
      <c r="D1976" s="20"/>
      <c r="E1976" s="36" t="str">
        <f aca="false">IF($D1976="","",IFERROR(INDEX('교육원 ④ 설정'!$A$6:$A$40,MATCH($D1976,'교육원 ④ 설정'!$B$6:$B$40,0)),"※없는 과목"))</f>
        <v/>
      </c>
      <c r="F1976" s="36" t="str">
        <f aca="false">IF($D1976="","",IFERROR(INDEX('교육원 ④ 설정'!$C$6:$C$40,MATCH($D1976,'교육원 ④ 설정'!$B$6:$B$40,0)),""))</f>
        <v/>
      </c>
      <c r="G1976" s="39"/>
      <c r="H1976" s="39"/>
      <c r="I1976" s="40"/>
      <c r="J1976" s="41"/>
      <c r="K1976" s="38"/>
      <c r="L1976" s="42" t="str">
        <f aca="false">IF($B1976="","",IF(AND(N($I1976)=0,N($J1976)=0),"금액이 없습니다",IF(AND($I1976&gt;0,$J1976&gt;0),"수입·지출 둘 다 적혔습니다",IF($C1976="","결제수단을 고르십시오",IF(ISNA(MATCH($C1976,'교육원 ③ 통장·카드'!$A$5:$A$11,0)),"③ 통장·카드에 없는 결제수단입니다",IF($D1976="","계정과목을 고르십시오",IF($E1976="※없는 과목","④ 설정에 없는 과목입니다",IF(AND($E1976="수입",$J1976&gt;0),"수입 과목인데 지출에 적혔습니다",IF(AND(LEFT($E1976,2)&lt;&gt;"수입",$E1976&lt;&gt;"대체",$I1976&gt;0),"지출 과목인데 수입에 적혔습니다",IF($K1976="","증빙을 고르십시오",IF($H1976="","적요를 적으십시오","")))))))))))</f>
        <v/>
      </c>
      <c r="M1976" s="39"/>
      <c r="O1976" s="11" t="str">
        <f aca="false">IF($B1976="","",YEAR($B1976)*100+MONTH($B1976))</f>
        <v/>
      </c>
      <c r="P1976" s="11" t="str">
        <f aca="false">IF($B1976="","",IF($E1976="대체",0,1))</f>
        <v/>
      </c>
    </row>
    <row r="1977" customFormat="false" ht="15" hidden="false" customHeight="false" outlineLevel="0" collapsed="false">
      <c r="A1977" s="36" t="str">
        <f aca="false">IF($B1977="","",COUNT($B$15:$B1977))</f>
        <v/>
      </c>
      <c r="B1977" s="37"/>
      <c r="C1977" s="38"/>
      <c r="D1977" s="20"/>
      <c r="E1977" s="36" t="str">
        <f aca="false">IF($D1977="","",IFERROR(INDEX('교육원 ④ 설정'!$A$6:$A$40,MATCH($D1977,'교육원 ④ 설정'!$B$6:$B$40,0)),"※없는 과목"))</f>
        <v/>
      </c>
      <c r="F1977" s="36" t="str">
        <f aca="false">IF($D1977="","",IFERROR(INDEX('교육원 ④ 설정'!$C$6:$C$40,MATCH($D1977,'교육원 ④ 설정'!$B$6:$B$40,0)),""))</f>
        <v/>
      </c>
      <c r="G1977" s="39"/>
      <c r="H1977" s="39"/>
      <c r="I1977" s="40"/>
      <c r="J1977" s="41"/>
      <c r="K1977" s="38"/>
      <c r="L1977" s="42" t="str">
        <f aca="false">IF($B1977="","",IF(AND(N($I1977)=0,N($J1977)=0),"금액이 없습니다",IF(AND($I1977&gt;0,$J1977&gt;0),"수입·지출 둘 다 적혔습니다",IF($C1977="","결제수단을 고르십시오",IF(ISNA(MATCH($C1977,'교육원 ③ 통장·카드'!$A$5:$A$11,0)),"③ 통장·카드에 없는 결제수단입니다",IF($D1977="","계정과목을 고르십시오",IF($E1977="※없는 과목","④ 설정에 없는 과목입니다",IF(AND($E1977="수입",$J1977&gt;0),"수입 과목인데 지출에 적혔습니다",IF(AND(LEFT($E1977,2)&lt;&gt;"수입",$E1977&lt;&gt;"대체",$I1977&gt;0),"지출 과목인데 수입에 적혔습니다",IF($K1977="","증빙을 고르십시오",IF($H1977="","적요를 적으십시오","")))))))))))</f>
        <v/>
      </c>
      <c r="M1977" s="39"/>
      <c r="O1977" s="11" t="str">
        <f aca="false">IF($B1977="","",YEAR($B1977)*100+MONTH($B1977))</f>
        <v/>
      </c>
      <c r="P1977" s="11" t="str">
        <f aca="false">IF($B1977="","",IF($E1977="대체",0,1))</f>
        <v/>
      </c>
    </row>
    <row r="1978" customFormat="false" ht="15" hidden="false" customHeight="false" outlineLevel="0" collapsed="false">
      <c r="A1978" s="36" t="str">
        <f aca="false">IF($B1978="","",COUNT($B$15:$B1978))</f>
        <v/>
      </c>
      <c r="B1978" s="37"/>
      <c r="C1978" s="38"/>
      <c r="D1978" s="20"/>
      <c r="E1978" s="36" t="str">
        <f aca="false">IF($D1978="","",IFERROR(INDEX('교육원 ④ 설정'!$A$6:$A$40,MATCH($D1978,'교육원 ④ 설정'!$B$6:$B$40,0)),"※없는 과목"))</f>
        <v/>
      </c>
      <c r="F1978" s="36" t="str">
        <f aca="false">IF($D1978="","",IFERROR(INDEX('교육원 ④ 설정'!$C$6:$C$40,MATCH($D1978,'교육원 ④ 설정'!$B$6:$B$40,0)),""))</f>
        <v/>
      </c>
      <c r="G1978" s="39"/>
      <c r="H1978" s="39"/>
      <c r="I1978" s="40"/>
      <c r="J1978" s="41"/>
      <c r="K1978" s="38"/>
      <c r="L1978" s="42" t="str">
        <f aca="false">IF($B1978="","",IF(AND(N($I1978)=0,N($J1978)=0),"금액이 없습니다",IF(AND($I1978&gt;0,$J1978&gt;0),"수입·지출 둘 다 적혔습니다",IF($C1978="","결제수단을 고르십시오",IF(ISNA(MATCH($C1978,'교육원 ③ 통장·카드'!$A$5:$A$11,0)),"③ 통장·카드에 없는 결제수단입니다",IF($D1978="","계정과목을 고르십시오",IF($E1978="※없는 과목","④ 설정에 없는 과목입니다",IF(AND($E1978="수입",$J1978&gt;0),"수입 과목인데 지출에 적혔습니다",IF(AND(LEFT($E1978,2)&lt;&gt;"수입",$E1978&lt;&gt;"대체",$I1978&gt;0),"지출 과목인데 수입에 적혔습니다",IF($K1978="","증빙을 고르십시오",IF($H1978="","적요를 적으십시오","")))))))))))</f>
        <v/>
      </c>
      <c r="M1978" s="39"/>
      <c r="O1978" s="11" t="str">
        <f aca="false">IF($B1978="","",YEAR($B1978)*100+MONTH($B1978))</f>
        <v/>
      </c>
      <c r="P1978" s="11" t="str">
        <f aca="false">IF($B1978="","",IF($E1978="대체",0,1))</f>
        <v/>
      </c>
    </row>
    <row r="1979" customFormat="false" ht="15" hidden="false" customHeight="false" outlineLevel="0" collapsed="false">
      <c r="A1979" s="36" t="str">
        <f aca="false">IF($B1979="","",COUNT($B$15:$B1979))</f>
        <v/>
      </c>
      <c r="B1979" s="37"/>
      <c r="C1979" s="38"/>
      <c r="D1979" s="20"/>
      <c r="E1979" s="36" t="str">
        <f aca="false">IF($D1979="","",IFERROR(INDEX('교육원 ④ 설정'!$A$6:$A$40,MATCH($D1979,'교육원 ④ 설정'!$B$6:$B$40,0)),"※없는 과목"))</f>
        <v/>
      </c>
      <c r="F1979" s="36" t="str">
        <f aca="false">IF($D1979="","",IFERROR(INDEX('교육원 ④ 설정'!$C$6:$C$40,MATCH($D1979,'교육원 ④ 설정'!$B$6:$B$40,0)),""))</f>
        <v/>
      </c>
      <c r="G1979" s="39"/>
      <c r="H1979" s="39"/>
      <c r="I1979" s="40"/>
      <c r="J1979" s="41"/>
      <c r="K1979" s="38"/>
      <c r="L1979" s="42" t="str">
        <f aca="false">IF($B1979="","",IF(AND(N($I1979)=0,N($J1979)=0),"금액이 없습니다",IF(AND($I1979&gt;0,$J1979&gt;0),"수입·지출 둘 다 적혔습니다",IF($C1979="","결제수단을 고르십시오",IF(ISNA(MATCH($C1979,'교육원 ③ 통장·카드'!$A$5:$A$11,0)),"③ 통장·카드에 없는 결제수단입니다",IF($D1979="","계정과목을 고르십시오",IF($E1979="※없는 과목","④ 설정에 없는 과목입니다",IF(AND($E1979="수입",$J1979&gt;0),"수입 과목인데 지출에 적혔습니다",IF(AND(LEFT($E1979,2)&lt;&gt;"수입",$E1979&lt;&gt;"대체",$I1979&gt;0),"지출 과목인데 수입에 적혔습니다",IF($K1979="","증빙을 고르십시오",IF($H1979="","적요를 적으십시오","")))))))))))</f>
        <v/>
      </c>
      <c r="M1979" s="39"/>
      <c r="O1979" s="11" t="str">
        <f aca="false">IF($B1979="","",YEAR($B1979)*100+MONTH($B1979))</f>
        <v/>
      </c>
      <c r="P1979" s="11" t="str">
        <f aca="false">IF($B1979="","",IF($E1979="대체",0,1))</f>
        <v/>
      </c>
    </row>
    <row r="1980" customFormat="false" ht="15" hidden="false" customHeight="false" outlineLevel="0" collapsed="false">
      <c r="A1980" s="36" t="str">
        <f aca="false">IF($B1980="","",COUNT($B$15:$B1980))</f>
        <v/>
      </c>
      <c r="B1980" s="37"/>
      <c r="C1980" s="38"/>
      <c r="D1980" s="20"/>
      <c r="E1980" s="36" t="str">
        <f aca="false">IF($D1980="","",IFERROR(INDEX('교육원 ④ 설정'!$A$6:$A$40,MATCH($D1980,'교육원 ④ 설정'!$B$6:$B$40,0)),"※없는 과목"))</f>
        <v/>
      </c>
      <c r="F1980" s="36" t="str">
        <f aca="false">IF($D1980="","",IFERROR(INDEX('교육원 ④ 설정'!$C$6:$C$40,MATCH($D1980,'교육원 ④ 설정'!$B$6:$B$40,0)),""))</f>
        <v/>
      </c>
      <c r="G1980" s="39"/>
      <c r="H1980" s="39"/>
      <c r="I1980" s="40"/>
      <c r="J1980" s="41"/>
      <c r="K1980" s="38"/>
      <c r="L1980" s="42" t="str">
        <f aca="false">IF($B1980="","",IF(AND(N($I1980)=0,N($J1980)=0),"금액이 없습니다",IF(AND($I1980&gt;0,$J1980&gt;0),"수입·지출 둘 다 적혔습니다",IF($C1980="","결제수단을 고르십시오",IF(ISNA(MATCH($C1980,'교육원 ③ 통장·카드'!$A$5:$A$11,0)),"③ 통장·카드에 없는 결제수단입니다",IF($D1980="","계정과목을 고르십시오",IF($E1980="※없는 과목","④ 설정에 없는 과목입니다",IF(AND($E1980="수입",$J1980&gt;0),"수입 과목인데 지출에 적혔습니다",IF(AND(LEFT($E1980,2)&lt;&gt;"수입",$E1980&lt;&gt;"대체",$I1980&gt;0),"지출 과목인데 수입에 적혔습니다",IF($K1980="","증빙을 고르십시오",IF($H1980="","적요를 적으십시오","")))))))))))</f>
        <v/>
      </c>
      <c r="M1980" s="39"/>
      <c r="O1980" s="11" t="str">
        <f aca="false">IF($B1980="","",YEAR($B1980)*100+MONTH($B1980))</f>
        <v/>
      </c>
      <c r="P1980" s="11" t="str">
        <f aca="false">IF($B1980="","",IF($E1980="대체",0,1))</f>
        <v/>
      </c>
    </row>
    <row r="1981" customFormat="false" ht="15" hidden="false" customHeight="false" outlineLevel="0" collapsed="false">
      <c r="A1981" s="36" t="str">
        <f aca="false">IF($B1981="","",COUNT($B$15:$B1981))</f>
        <v/>
      </c>
      <c r="B1981" s="37"/>
      <c r="C1981" s="38"/>
      <c r="D1981" s="20"/>
      <c r="E1981" s="36" t="str">
        <f aca="false">IF($D1981="","",IFERROR(INDEX('교육원 ④ 설정'!$A$6:$A$40,MATCH($D1981,'교육원 ④ 설정'!$B$6:$B$40,0)),"※없는 과목"))</f>
        <v/>
      </c>
      <c r="F1981" s="36" t="str">
        <f aca="false">IF($D1981="","",IFERROR(INDEX('교육원 ④ 설정'!$C$6:$C$40,MATCH($D1981,'교육원 ④ 설정'!$B$6:$B$40,0)),""))</f>
        <v/>
      </c>
      <c r="G1981" s="39"/>
      <c r="H1981" s="39"/>
      <c r="I1981" s="40"/>
      <c r="J1981" s="41"/>
      <c r="K1981" s="38"/>
      <c r="L1981" s="42" t="str">
        <f aca="false">IF($B1981="","",IF(AND(N($I1981)=0,N($J1981)=0),"금액이 없습니다",IF(AND($I1981&gt;0,$J1981&gt;0),"수입·지출 둘 다 적혔습니다",IF($C1981="","결제수단을 고르십시오",IF(ISNA(MATCH($C1981,'교육원 ③ 통장·카드'!$A$5:$A$11,0)),"③ 통장·카드에 없는 결제수단입니다",IF($D1981="","계정과목을 고르십시오",IF($E1981="※없는 과목","④ 설정에 없는 과목입니다",IF(AND($E1981="수입",$J1981&gt;0),"수입 과목인데 지출에 적혔습니다",IF(AND(LEFT($E1981,2)&lt;&gt;"수입",$E1981&lt;&gt;"대체",$I1981&gt;0),"지출 과목인데 수입에 적혔습니다",IF($K1981="","증빙을 고르십시오",IF($H1981="","적요를 적으십시오","")))))))))))</f>
        <v/>
      </c>
      <c r="M1981" s="39"/>
      <c r="O1981" s="11" t="str">
        <f aca="false">IF($B1981="","",YEAR($B1981)*100+MONTH($B1981))</f>
        <v/>
      </c>
      <c r="P1981" s="11" t="str">
        <f aca="false">IF($B1981="","",IF($E1981="대체",0,1))</f>
        <v/>
      </c>
    </row>
    <row r="1982" customFormat="false" ht="15" hidden="false" customHeight="false" outlineLevel="0" collapsed="false">
      <c r="A1982" s="36" t="str">
        <f aca="false">IF($B1982="","",COUNT($B$15:$B1982))</f>
        <v/>
      </c>
      <c r="B1982" s="37"/>
      <c r="C1982" s="38"/>
      <c r="D1982" s="20"/>
      <c r="E1982" s="36" t="str">
        <f aca="false">IF($D1982="","",IFERROR(INDEX('교육원 ④ 설정'!$A$6:$A$40,MATCH($D1982,'교육원 ④ 설정'!$B$6:$B$40,0)),"※없는 과목"))</f>
        <v/>
      </c>
      <c r="F1982" s="36" t="str">
        <f aca="false">IF($D1982="","",IFERROR(INDEX('교육원 ④ 설정'!$C$6:$C$40,MATCH($D1982,'교육원 ④ 설정'!$B$6:$B$40,0)),""))</f>
        <v/>
      </c>
      <c r="G1982" s="39"/>
      <c r="H1982" s="39"/>
      <c r="I1982" s="40"/>
      <c r="J1982" s="41"/>
      <c r="K1982" s="38"/>
      <c r="L1982" s="42" t="str">
        <f aca="false">IF($B1982="","",IF(AND(N($I1982)=0,N($J1982)=0),"금액이 없습니다",IF(AND($I1982&gt;0,$J1982&gt;0),"수입·지출 둘 다 적혔습니다",IF($C1982="","결제수단을 고르십시오",IF(ISNA(MATCH($C1982,'교육원 ③ 통장·카드'!$A$5:$A$11,0)),"③ 통장·카드에 없는 결제수단입니다",IF($D1982="","계정과목을 고르십시오",IF($E1982="※없는 과목","④ 설정에 없는 과목입니다",IF(AND($E1982="수입",$J1982&gt;0),"수입 과목인데 지출에 적혔습니다",IF(AND(LEFT($E1982,2)&lt;&gt;"수입",$E1982&lt;&gt;"대체",$I1982&gt;0),"지출 과목인데 수입에 적혔습니다",IF($K1982="","증빙을 고르십시오",IF($H1982="","적요를 적으십시오","")))))))))))</f>
        <v/>
      </c>
      <c r="M1982" s="39"/>
      <c r="O1982" s="11" t="str">
        <f aca="false">IF($B1982="","",YEAR($B1982)*100+MONTH($B1982))</f>
        <v/>
      </c>
      <c r="P1982" s="11" t="str">
        <f aca="false">IF($B1982="","",IF($E1982="대체",0,1))</f>
        <v/>
      </c>
    </row>
    <row r="1983" customFormat="false" ht="15" hidden="false" customHeight="false" outlineLevel="0" collapsed="false">
      <c r="A1983" s="36" t="str">
        <f aca="false">IF($B1983="","",COUNT($B$15:$B1983))</f>
        <v/>
      </c>
      <c r="B1983" s="37"/>
      <c r="C1983" s="38"/>
      <c r="D1983" s="20"/>
      <c r="E1983" s="36" t="str">
        <f aca="false">IF($D1983="","",IFERROR(INDEX('교육원 ④ 설정'!$A$6:$A$40,MATCH($D1983,'교육원 ④ 설정'!$B$6:$B$40,0)),"※없는 과목"))</f>
        <v/>
      </c>
      <c r="F1983" s="36" t="str">
        <f aca="false">IF($D1983="","",IFERROR(INDEX('교육원 ④ 설정'!$C$6:$C$40,MATCH($D1983,'교육원 ④ 설정'!$B$6:$B$40,0)),""))</f>
        <v/>
      </c>
      <c r="G1983" s="39"/>
      <c r="H1983" s="39"/>
      <c r="I1983" s="40"/>
      <c r="J1983" s="41"/>
      <c r="K1983" s="38"/>
      <c r="L1983" s="42" t="str">
        <f aca="false">IF($B1983="","",IF(AND(N($I1983)=0,N($J1983)=0),"금액이 없습니다",IF(AND($I1983&gt;0,$J1983&gt;0),"수입·지출 둘 다 적혔습니다",IF($C1983="","결제수단을 고르십시오",IF(ISNA(MATCH($C1983,'교육원 ③ 통장·카드'!$A$5:$A$11,0)),"③ 통장·카드에 없는 결제수단입니다",IF($D1983="","계정과목을 고르십시오",IF($E1983="※없는 과목","④ 설정에 없는 과목입니다",IF(AND($E1983="수입",$J1983&gt;0),"수입 과목인데 지출에 적혔습니다",IF(AND(LEFT($E1983,2)&lt;&gt;"수입",$E1983&lt;&gt;"대체",$I1983&gt;0),"지출 과목인데 수입에 적혔습니다",IF($K1983="","증빙을 고르십시오",IF($H1983="","적요를 적으십시오","")))))))))))</f>
        <v/>
      </c>
      <c r="M1983" s="39"/>
      <c r="O1983" s="11" t="str">
        <f aca="false">IF($B1983="","",YEAR($B1983)*100+MONTH($B1983))</f>
        <v/>
      </c>
      <c r="P1983" s="11" t="str">
        <f aca="false">IF($B1983="","",IF($E1983="대체",0,1))</f>
        <v/>
      </c>
    </row>
    <row r="1984" customFormat="false" ht="15" hidden="false" customHeight="false" outlineLevel="0" collapsed="false">
      <c r="A1984" s="36" t="str">
        <f aca="false">IF($B1984="","",COUNT($B$15:$B1984))</f>
        <v/>
      </c>
      <c r="B1984" s="37"/>
      <c r="C1984" s="38"/>
      <c r="D1984" s="20"/>
      <c r="E1984" s="36" t="str">
        <f aca="false">IF($D1984="","",IFERROR(INDEX('교육원 ④ 설정'!$A$6:$A$40,MATCH($D1984,'교육원 ④ 설정'!$B$6:$B$40,0)),"※없는 과목"))</f>
        <v/>
      </c>
      <c r="F1984" s="36" t="str">
        <f aca="false">IF($D1984="","",IFERROR(INDEX('교육원 ④ 설정'!$C$6:$C$40,MATCH($D1984,'교육원 ④ 설정'!$B$6:$B$40,0)),""))</f>
        <v/>
      </c>
      <c r="G1984" s="39"/>
      <c r="H1984" s="39"/>
      <c r="I1984" s="40"/>
      <c r="J1984" s="41"/>
      <c r="K1984" s="38"/>
      <c r="L1984" s="42" t="str">
        <f aca="false">IF($B1984="","",IF(AND(N($I1984)=0,N($J1984)=0),"금액이 없습니다",IF(AND($I1984&gt;0,$J1984&gt;0),"수입·지출 둘 다 적혔습니다",IF($C1984="","결제수단을 고르십시오",IF(ISNA(MATCH($C1984,'교육원 ③ 통장·카드'!$A$5:$A$11,0)),"③ 통장·카드에 없는 결제수단입니다",IF($D1984="","계정과목을 고르십시오",IF($E1984="※없는 과목","④ 설정에 없는 과목입니다",IF(AND($E1984="수입",$J1984&gt;0),"수입 과목인데 지출에 적혔습니다",IF(AND(LEFT($E1984,2)&lt;&gt;"수입",$E1984&lt;&gt;"대체",$I1984&gt;0),"지출 과목인데 수입에 적혔습니다",IF($K1984="","증빙을 고르십시오",IF($H1984="","적요를 적으십시오","")))))))))))</f>
        <v/>
      </c>
      <c r="M1984" s="39"/>
      <c r="O1984" s="11" t="str">
        <f aca="false">IF($B1984="","",YEAR($B1984)*100+MONTH($B1984))</f>
        <v/>
      </c>
      <c r="P1984" s="11" t="str">
        <f aca="false">IF($B1984="","",IF($E1984="대체",0,1))</f>
        <v/>
      </c>
    </row>
    <row r="1985" customFormat="false" ht="15" hidden="false" customHeight="false" outlineLevel="0" collapsed="false">
      <c r="A1985" s="36" t="str">
        <f aca="false">IF($B1985="","",COUNT($B$15:$B1985))</f>
        <v/>
      </c>
      <c r="B1985" s="37"/>
      <c r="C1985" s="38"/>
      <c r="D1985" s="20"/>
      <c r="E1985" s="36" t="str">
        <f aca="false">IF($D1985="","",IFERROR(INDEX('교육원 ④ 설정'!$A$6:$A$40,MATCH($D1985,'교육원 ④ 설정'!$B$6:$B$40,0)),"※없는 과목"))</f>
        <v/>
      </c>
      <c r="F1985" s="36" t="str">
        <f aca="false">IF($D1985="","",IFERROR(INDEX('교육원 ④ 설정'!$C$6:$C$40,MATCH($D1985,'교육원 ④ 설정'!$B$6:$B$40,0)),""))</f>
        <v/>
      </c>
      <c r="G1985" s="39"/>
      <c r="H1985" s="39"/>
      <c r="I1985" s="40"/>
      <c r="J1985" s="41"/>
      <c r="K1985" s="38"/>
      <c r="L1985" s="42" t="str">
        <f aca="false">IF($B1985="","",IF(AND(N($I1985)=0,N($J1985)=0),"금액이 없습니다",IF(AND($I1985&gt;0,$J1985&gt;0),"수입·지출 둘 다 적혔습니다",IF($C1985="","결제수단을 고르십시오",IF(ISNA(MATCH($C1985,'교육원 ③ 통장·카드'!$A$5:$A$11,0)),"③ 통장·카드에 없는 결제수단입니다",IF($D1985="","계정과목을 고르십시오",IF($E1985="※없는 과목","④ 설정에 없는 과목입니다",IF(AND($E1985="수입",$J1985&gt;0),"수입 과목인데 지출에 적혔습니다",IF(AND(LEFT($E1985,2)&lt;&gt;"수입",$E1985&lt;&gt;"대체",$I1985&gt;0),"지출 과목인데 수입에 적혔습니다",IF($K1985="","증빙을 고르십시오",IF($H1985="","적요를 적으십시오","")))))))))))</f>
        <v/>
      </c>
      <c r="M1985" s="39"/>
      <c r="O1985" s="11" t="str">
        <f aca="false">IF($B1985="","",YEAR($B1985)*100+MONTH($B1985))</f>
        <v/>
      </c>
      <c r="P1985" s="11" t="str">
        <f aca="false">IF($B1985="","",IF($E1985="대체",0,1))</f>
        <v/>
      </c>
    </row>
    <row r="1986" customFormat="false" ht="15" hidden="false" customHeight="false" outlineLevel="0" collapsed="false">
      <c r="A1986" s="36" t="str">
        <f aca="false">IF($B1986="","",COUNT($B$15:$B1986))</f>
        <v/>
      </c>
      <c r="B1986" s="37"/>
      <c r="C1986" s="38"/>
      <c r="D1986" s="20"/>
      <c r="E1986" s="36" t="str">
        <f aca="false">IF($D1986="","",IFERROR(INDEX('교육원 ④ 설정'!$A$6:$A$40,MATCH($D1986,'교육원 ④ 설정'!$B$6:$B$40,0)),"※없는 과목"))</f>
        <v/>
      </c>
      <c r="F1986" s="36" t="str">
        <f aca="false">IF($D1986="","",IFERROR(INDEX('교육원 ④ 설정'!$C$6:$C$40,MATCH($D1986,'교육원 ④ 설정'!$B$6:$B$40,0)),""))</f>
        <v/>
      </c>
      <c r="G1986" s="39"/>
      <c r="H1986" s="39"/>
      <c r="I1986" s="40"/>
      <c r="J1986" s="41"/>
      <c r="K1986" s="38"/>
      <c r="L1986" s="42" t="str">
        <f aca="false">IF($B1986="","",IF(AND(N($I1986)=0,N($J1986)=0),"금액이 없습니다",IF(AND($I1986&gt;0,$J1986&gt;0),"수입·지출 둘 다 적혔습니다",IF($C1986="","결제수단을 고르십시오",IF(ISNA(MATCH($C1986,'교육원 ③ 통장·카드'!$A$5:$A$11,0)),"③ 통장·카드에 없는 결제수단입니다",IF($D1986="","계정과목을 고르십시오",IF($E1986="※없는 과목","④ 설정에 없는 과목입니다",IF(AND($E1986="수입",$J1986&gt;0),"수입 과목인데 지출에 적혔습니다",IF(AND(LEFT($E1986,2)&lt;&gt;"수입",$E1986&lt;&gt;"대체",$I1986&gt;0),"지출 과목인데 수입에 적혔습니다",IF($K1986="","증빙을 고르십시오",IF($H1986="","적요를 적으십시오","")))))))))))</f>
        <v/>
      </c>
      <c r="M1986" s="39"/>
      <c r="O1986" s="11" t="str">
        <f aca="false">IF($B1986="","",YEAR($B1986)*100+MONTH($B1986))</f>
        <v/>
      </c>
      <c r="P1986" s="11" t="str">
        <f aca="false">IF($B1986="","",IF($E1986="대체",0,1))</f>
        <v/>
      </c>
    </row>
    <row r="1987" customFormat="false" ht="15" hidden="false" customHeight="false" outlineLevel="0" collapsed="false">
      <c r="A1987" s="36" t="str">
        <f aca="false">IF($B1987="","",COUNT($B$15:$B1987))</f>
        <v/>
      </c>
      <c r="B1987" s="37"/>
      <c r="C1987" s="38"/>
      <c r="D1987" s="20"/>
      <c r="E1987" s="36" t="str">
        <f aca="false">IF($D1987="","",IFERROR(INDEX('교육원 ④ 설정'!$A$6:$A$40,MATCH($D1987,'교육원 ④ 설정'!$B$6:$B$40,0)),"※없는 과목"))</f>
        <v/>
      </c>
      <c r="F1987" s="36" t="str">
        <f aca="false">IF($D1987="","",IFERROR(INDEX('교육원 ④ 설정'!$C$6:$C$40,MATCH($D1987,'교육원 ④ 설정'!$B$6:$B$40,0)),""))</f>
        <v/>
      </c>
      <c r="G1987" s="39"/>
      <c r="H1987" s="39"/>
      <c r="I1987" s="40"/>
      <c r="J1987" s="41"/>
      <c r="K1987" s="38"/>
      <c r="L1987" s="42" t="str">
        <f aca="false">IF($B1987="","",IF(AND(N($I1987)=0,N($J1987)=0),"금액이 없습니다",IF(AND($I1987&gt;0,$J1987&gt;0),"수입·지출 둘 다 적혔습니다",IF($C1987="","결제수단을 고르십시오",IF(ISNA(MATCH($C1987,'교육원 ③ 통장·카드'!$A$5:$A$11,0)),"③ 통장·카드에 없는 결제수단입니다",IF($D1987="","계정과목을 고르십시오",IF($E1987="※없는 과목","④ 설정에 없는 과목입니다",IF(AND($E1987="수입",$J1987&gt;0),"수입 과목인데 지출에 적혔습니다",IF(AND(LEFT($E1987,2)&lt;&gt;"수입",$E1987&lt;&gt;"대체",$I1987&gt;0),"지출 과목인데 수입에 적혔습니다",IF($K1987="","증빙을 고르십시오",IF($H1987="","적요를 적으십시오","")))))))))))</f>
        <v/>
      </c>
      <c r="M1987" s="39"/>
      <c r="O1987" s="11" t="str">
        <f aca="false">IF($B1987="","",YEAR($B1987)*100+MONTH($B1987))</f>
        <v/>
      </c>
      <c r="P1987" s="11" t="str">
        <f aca="false">IF($B1987="","",IF($E1987="대체",0,1))</f>
        <v/>
      </c>
    </row>
    <row r="1988" customFormat="false" ht="15" hidden="false" customHeight="false" outlineLevel="0" collapsed="false">
      <c r="A1988" s="36" t="str">
        <f aca="false">IF($B1988="","",COUNT($B$15:$B1988))</f>
        <v/>
      </c>
      <c r="B1988" s="37"/>
      <c r="C1988" s="38"/>
      <c r="D1988" s="20"/>
      <c r="E1988" s="36" t="str">
        <f aca="false">IF($D1988="","",IFERROR(INDEX('교육원 ④ 설정'!$A$6:$A$40,MATCH($D1988,'교육원 ④ 설정'!$B$6:$B$40,0)),"※없는 과목"))</f>
        <v/>
      </c>
      <c r="F1988" s="36" t="str">
        <f aca="false">IF($D1988="","",IFERROR(INDEX('교육원 ④ 설정'!$C$6:$C$40,MATCH($D1988,'교육원 ④ 설정'!$B$6:$B$40,0)),""))</f>
        <v/>
      </c>
      <c r="G1988" s="39"/>
      <c r="H1988" s="39"/>
      <c r="I1988" s="40"/>
      <c r="J1988" s="41"/>
      <c r="K1988" s="38"/>
      <c r="L1988" s="42" t="str">
        <f aca="false">IF($B1988="","",IF(AND(N($I1988)=0,N($J1988)=0),"금액이 없습니다",IF(AND($I1988&gt;0,$J1988&gt;0),"수입·지출 둘 다 적혔습니다",IF($C1988="","결제수단을 고르십시오",IF(ISNA(MATCH($C1988,'교육원 ③ 통장·카드'!$A$5:$A$11,0)),"③ 통장·카드에 없는 결제수단입니다",IF($D1988="","계정과목을 고르십시오",IF($E1988="※없는 과목","④ 설정에 없는 과목입니다",IF(AND($E1988="수입",$J1988&gt;0),"수입 과목인데 지출에 적혔습니다",IF(AND(LEFT($E1988,2)&lt;&gt;"수입",$E1988&lt;&gt;"대체",$I1988&gt;0),"지출 과목인데 수입에 적혔습니다",IF($K1988="","증빙을 고르십시오",IF($H1988="","적요를 적으십시오","")))))))))))</f>
        <v/>
      </c>
      <c r="M1988" s="39"/>
      <c r="O1988" s="11" t="str">
        <f aca="false">IF($B1988="","",YEAR($B1988)*100+MONTH($B1988))</f>
        <v/>
      </c>
      <c r="P1988" s="11" t="str">
        <f aca="false">IF($B1988="","",IF($E1988="대체",0,1))</f>
        <v/>
      </c>
    </row>
    <row r="1989" customFormat="false" ht="15" hidden="false" customHeight="false" outlineLevel="0" collapsed="false">
      <c r="A1989" s="36" t="str">
        <f aca="false">IF($B1989="","",COUNT($B$15:$B1989))</f>
        <v/>
      </c>
      <c r="B1989" s="37"/>
      <c r="C1989" s="38"/>
      <c r="D1989" s="20"/>
      <c r="E1989" s="36" t="str">
        <f aca="false">IF($D1989="","",IFERROR(INDEX('교육원 ④ 설정'!$A$6:$A$40,MATCH($D1989,'교육원 ④ 설정'!$B$6:$B$40,0)),"※없는 과목"))</f>
        <v/>
      </c>
      <c r="F1989" s="36" t="str">
        <f aca="false">IF($D1989="","",IFERROR(INDEX('교육원 ④ 설정'!$C$6:$C$40,MATCH($D1989,'교육원 ④ 설정'!$B$6:$B$40,0)),""))</f>
        <v/>
      </c>
      <c r="G1989" s="39"/>
      <c r="H1989" s="39"/>
      <c r="I1989" s="40"/>
      <c r="J1989" s="41"/>
      <c r="K1989" s="38"/>
      <c r="L1989" s="42" t="str">
        <f aca="false">IF($B1989="","",IF(AND(N($I1989)=0,N($J1989)=0),"금액이 없습니다",IF(AND($I1989&gt;0,$J1989&gt;0),"수입·지출 둘 다 적혔습니다",IF($C1989="","결제수단을 고르십시오",IF(ISNA(MATCH($C1989,'교육원 ③ 통장·카드'!$A$5:$A$11,0)),"③ 통장·카드에 없는 결제수단입니다",IF($D1989="","계정과목을 고르십시오",IF($E1989="※없는 과목","④ 설정에 없는 과목입니다",IF(AND($E1989="수입",$J1989&gt;0),"수입 과목인데 지출에 적혔습니다",IF(AND(LEFT($E1989,2)&lt;&gt;"수입",$E1989&lt;&gt;"대체",$I1989&gt;0),"지출 과목인데 수입에 적혔습니다",IF($K1989="","증빙을 고르십시오",IF($H1989="","적요를 적으십시오","")))))))))))</f>
        <v/>
      </c>
      <c r="M1989" s="39"/>
      <c r="O1989" s="11" t="str">
        <f aca="false">IF($B1989="","",YEAR($B1989)*100+MONTH($B1989))</f>
        <v/>
      </c>
      <c r="P1989" s="11" t="str">
        <f aca="false">IF($B1989="","",IF($E1989="대체",0,1))</f>
        <v/>
      </c>
    </row>
    <row r="1990" customFormat="false" ht="15" hidden="false" customHeight="false" outlineLevel="0" collapsed="false">
      <c r="A1990" s="36" t="str">
        <f aca="false">IF($B1990="","",COUNT($B$15:$B1990))</f>
        <v/>
      </c>
      <c r="B1990" s="37"/>
      <c r="C1990" s="38"/>
      <c r="D1990" s="20"/>
      <c r="E1990" s="36" t="str">
        <f aca="false">IF($D1990="","",IFERROR(INDEX('교육원 ④ 설정'!$A$6:$A$40,MATCH($D1990,'교육원 ④ 설정'!$B$6:$B$40,0)),"※없는 과목"))</f>
        <v/>
      </c>
      <c r="F1990" s="36" t="str">
        <f aca="false">IF($D1990="","",IFERROR(INDEX('교육원 ④ 설정'!$C$6:$C$40,MATCH($D1990,'교육원 ④ 설정'!$B$6:$B$40,0)),""))</f>
        <v/>
      </c>
      <c r="G1990" s="39"/>
      <c r="H1990" s="39"/>
      <c r="I1990" s="40"/>
      <c r="J1990" s="41"/>
      <c r="K1990" s="38"/>
      <c r="L1990" s="42" t="str">
        <f aca="false">IF($B1990="","",IF(AND(N($I1990)=0,N($J1990)=0),"금액이 없습니다",IF(AND($I1990&gt;0,$J1990&gt;0),"수입·지출 둘 다 적혔습니다",IF($C1990="","결제수단을 고르십시오",IF(ISNA(MATCH($C1990,'교육원 ③ 통장·카드'!$A$5:$A$11,0)),"③ 통장·카드에 없는 결제수단입니다",IF($D1990="","계정과목을 고르십시오",IF($E1990="※없는 과목","④ 설정에 없는 과목입니다",IF(AND($E1990="수입",$J1990&gt;0),"수입 과목인데 지출에 적혔습니다",IF(AND(LEFT($E1990,2)&lt;&gt;"수입",$E1990&lt;&gt;"대체",$I1990&gt;0),"지출 과목인데 수입에 적혔습니다",IF($K1990="","증빙을 고르십시오",IF($H1990="","적요를 적으십시오","")))))))))))</f>
        <v/>
      </c>
      <c r="M1990" s="39"/>
      <c r="O1990" s="11" t="str">
        <f aca="false">IF($B1990="","",YEAR($B1990)*100+MONTH($B1990))</f>
        <v/>
      </c>
      <c r="P1990" s="11" t="str">
        <f aca="false">IF($B1990="","",IF($E1990="대체",0,1))</f>
        <v/>
      </c>
    </row>
    <row r="1991" customFormat="false" ht="15" hidden="false" customHeight="false" outlineLevel="0" collapsed="false">
      <c r="A1991" s="36" t="str">
        <f aca="false">IF($B1991="","",COUNT($B$15:$B1991))</f>
        <v/>
      </c>
      <c r="B1991" s="37"/>
      <c r="C1991" s="38"/>
      <c r="D1991" s="20"/>
      <c r="E1991" s="36" t="str">
        <f aca="false">IF($D1991="","",IFERROR(INDEX('교육원 ④ 설정'!$A$6:$A$40,MATCH($D1991,'교육원 ④ 설정'!$B$6:$B$40,0)),"※없는 과목"))</f>
        <v/>
      </c>
      <c r="F1991" s="36" t="str">
        <f aca="false">IF($D1991="","",IFERROR(INDEX('교육원 ④ 설정'!$C$6:$C$40,MATCH($D1991,'교육원 ④ 설정'!$B$6:$B$40,0)),""))</f>
        <v/>
      </c>
      <c r="G1991" s="39"/>
      <c r="H1991" s="39"/>
      <c r="I1991" s="40"/>
      <c r="J1991" s="41"/>
      <c r="K1991" s="38"/>
      <c r="L1991" s="42" t="str">
        <f aca="false">IF($B1991="","",IF(AND(N($I1991)=0,N($J1991)=0),"금액이 없습니다",IF(AND($I1991&gt;0,$J1991&gt;0),"수입·지출 둘 다 적혔습니다",IF($C1991="","결제수단을 고르십시오",IF(ISNA(MATCH($C1991,'교육원 ③ 통장·카드'!$A$5:$A$11,0)),"③ 통장·카드에 없는 결제수단입니다",IF($D1991="","계정과목을 고르십시오",IF($E1991="※없는 과목","④ 설정에 없는 과목입니다",IF(AND($E1991="수입",$J1991&gt;0),"수입 과목인데 지출에 적혔습니다",IF(AND(LEFT($E1991,2)&lt;&gt;"수입",$E1991&lt;&gt;"대체",$I1991&gt;0),"지출 과목인데 수입에 적혔습니다",IF($K1991="","증빙을 고르십시오",IF($H1991="","적요를 적으십시오","")))))))))))</f>
        <v/>
      </c>
      <c r="M1991" s="39"/>
      <c r="O1991" s="11" t="str">
        <f aca="false">IF($B1991="","",YEAR($B1991)*100+MONTH($B1991))</f>
        <v/>
      </c>
      <c r="P1991" s="11" t="str">
        <f aca="false">IF($B1991="","",IF($E1991="대체",0,1))</f>
        <v/>
      </c>
    </row>
    <row r="1992" customFormat="false" ht="15" hidden="false" customHeight="false" outlineLevel="0" collapsed="false">
      <c r="A1992" s="36" t="str">
        <f aca="false">IF($B1992="","",COUNT($B$15:$B1992))</f>
        <v/>
      </c>
      <c r="B1992" s="37"/>
      <c r="C1992" s="38"/>
      <c r="D1992" s="20"/>
      <c r="E1992" s="36" t="str">
        <f aca="false">IF($D1992="","",IFERROR(INDEX('교육원 ④ 설정'!$A$6:$A$40,MATCH($D1992,'교육원 ④ 설정'!$B$6:$B$40,0)),"※없는 과목"))</f>
        <v/>
      </c>
      <c r="F1992" s="36" t="str">
        <f aca="false">IF($D1992="","",IFERROR(INDEX('교육원 ④ 설정'!$C$6:$C$40,MATCH($D1992,'교육원 ④ 설정'!$B$6:$B$40,0)),""))</f>
        <v/>
      </c>
      <c r="G1992" s="39"/>
      <c r="H1992" s="39"/>
      <c r="I1992" s="40"/>
      <c r="J1992" s="41"/>
      <c r="K1992" s="38"/>
      <c r="L1992" s="42" t="str">
        <f aca="false">IF($B1992="","",IF(AND(N($I1992)=0,N($J1992)=0),"금액이 없습니다",IF(AND($I1992&gt;0,$J1992&gt;0),"수입·지출 둘 다 적혔습니다",IF($C1992="","결제수단을 고르십시오",IF(ISNA(MATCH($C1992,'교육원 ③ 통장·카드'!$A$5:$A$11,0)),"③ 통장·카드에 없는 결제수단입니다",IF($D1992="","계정과목을 고르십시오",IF($E1992="※없는 과목","④ 설정에 없는 과목입니다",IF(AND($E1992="수입",$J1992&gt;0),"수입 과목인데 지출에 적혔습니다",IF(AND(LEFT($E1992,2)&lt;&gt;"수입",$E1992&lt;&gt;"대체",$I1992&gt;0),"지출 과목인데 수입에 적혔습니다",IF($K1992="","증빙을 고르십시오",IF($H1992="","적요를 적으십시오","")))))))))))</f>
        <v/>
      </c>
      <c r="M1992" s="39"/>
      <c r="O1992" s="11" t="str">
        <f aca="false">IF($B1992="","",YEAR($B1992)*100+MONTH($B1992))</f>
        <v/>
      </c>
      <c r="P1992" s="11" t="str">
        <f aca="false">IF($B1992="","",IF($E1992="대체",0,1))</f>
        <v/>
      </c>
    </row>
    <row r="1993" customFormat="false" ht="15" hidden="false" customHeight="false" outlineLevel="0" collapsed="false">
      <c r="A1993" s="36" t="str">
        <f aca="false">IF($B1993="","",COUNT($B$15:$B1993))</f>
        <v/>
      </c>
      <c r="B1993" s="37"/>
      <c r="C1993" s="38"/>
      <c r="D1993" s="20"/>
      <c r="E1993" s="36" t="str">
        <f aca="false">IF($D1993="","",IFERROR(INDEX('교육원 ④ 설정'!$A$6:$A$40,MATCH($D1993,'교육원 ④ 설정'!$B$6:$B$40,0)),"※없는 과목"))</f>
        <v/>
      </c>
      <c r="F1993" s="36" t="str">
        <f aca="false">IF($D1993="","",IFERROR(INDEX('교육원 ④ 설정'!$C$6:$C$40,MATCH($D1993,'교육원 ④ 설정'!$B$6:$B$40,0)),""))</f>
        <v/>
      </c>
      <c r="G1993" s="39"/>
      <c r="H1993" s="39"/>
      <c r="I1993" s="40"/>
      <c r="J1993" s="41"/>
      <c r="K1993" s="38"/>
      <c r="L1993" s="42" t="str">
        <f aca="false">IF($B1993="","",IF(AND(N($I1993)=0,N($J1993)=0),"금액이 없습니다",IF(AND($I1993&gt;0,$J1993&gt;0),"수입·지출 둘 다 적혔습니다",IF($C1993="","결제수단을 고르십시오",IF(ISNA(MATCH($C1993,'교육원 ③ 통장·카드'!$A$5:$A$11,0)),"③ 통장·카드에 없는 결제수단입니다",IF($D1993="","계정과목을 고르십시오",IF($E1993="※없는 과목","④ 설정에 없는 과목입니다",IF(AND($E1993="수입",$J1993&gt;0),"수입 과목인데 지출에 적혔습니다",IF(AND(LEFT($E1993,2)&lt;&gt;"수입",$E1993&lt;&gt;"대체",$I1993&gt;0),"지출 과목인데 수입에 적혔습니다",IF($K1993="","증빙을 고르십시오",IF($H1993="","적요를 적으십시오","")))))))))))</f>
        <v/>
      </c>
      <c r="M1993" s="39"/>
      <c r="O1993" s="11" t="str">
        <f aca="false">IF($B1993="","",YEAR($B1993)*100+MONTH($B1993))</f>
        <v/>
      </c>
      <c r="P1993" s="11" t="str">
        <f aca="false">IF($B1993="","",IF($E1993="대체",0,1))</f>
        <v/>
      </c>
    </row>
    <row r="1994" customFormat="false" ht="15" hidden="false" customHeight="false" outlineLevel="0" collapsed="false">
      <c r="A1994" s="36" t="str">
        <f aca="false">IF($B1994="","",COUNT($B$15:$B1994))</f>
        <v/>
      </c>
      <c r="B1994" s="37"/>
      <c r="C1994" s="38"/>
      <c r="D1994" s="20"/>
      <c r="E1994" s="36" t="str">
        <f aca="false">IF($D1994="","",IFERROR(INDEX('교육원 ④ 설정'!$A$6:$A$40,MATCH($D1994,'교육원 ④ 설정'!$B$6:$B$40,0)),"※없는 과목"))</f>
        <v/>
      </c>
      <c r="F1994" s="36" t="str">
        <f aca="false">IF($D1994="","",IFERROR(INDEX('교육원 ④ 설정'!$C$6:$C$40,MATCH($D1994,'교육원 ④ 설정'!$B$6:$B$40,0)),""))</f>
        <v/>
      </c>
      <c r="G1994" s="39"/>
      <c r="H1994" s="39"/>
      <c r="I1994" s="40"/>
      <c r="J1994" s="41"/>
      <c r="K1994" s="38"/>
      <c r="L1994" s="42" t="str">
        <f aca="false">IF($B1994="","",IF(AND(N($I1994)=0,N($J1994)=0),"금액이 없습니다",IF(AND($I1994&gt;0,$J1994&gt;0),"수입·지출 둘 다 적혔습니다",IF($C1994="","결제수단을 고르십시오",IF(ISNA(MATCH($C1994,'교육원 ③ 통장·카드'!$A$5:$A$11,0)),"③ 통장·카드에 없는 결제수단입니다",IF($D1994="","계정과목을 고르십시오",IF($E1994="※없는 과목","④ 설정에 없는 과목입니다",IF(AND($E1994="수입",$J1994&gt;0),"수입 과목인데 지출에 적혔습니다",IF(AND(LEFT($E1994,2)&lt;&gt;"수입",$E1994&lt;&gt;"대체",$I1994&gt;0),"지출 과목인데 수입에 적혔습니다",IF($K1994="","증빙을 고르십시오",IF($H1994="","적요를 적으십시오","")))))))))))</f>
        <v/>
      </c>
      <c r="M1994" s="39"/>
      <c r="O1994" s="11" t="str">
        <f aca="false">IF($B1994="","",YEAR($B1994)*100+MONTH($B1994))</f>
        <v/>
      </c>
      <c r="P1994" s="11" t="str">
        <f aca="false">IF($B1994="","",IF($E1994="대체",0,1))</f>
        <v/>
      </c>
    </row>
    <row r="1995" customFormat="false" ht="15" hidden="false" customHeight="false" outlineLevel="0" collapsed="false">
      <c r="A1995" s="36" t="str">
        <f aca="false">IF($B1995="","",COUNT($B$15:$B1995))</f>
        <v/>
      </c>
      <c r="B1995" s="37"/>
      <c r="C1995" s="38"/>
      <c r="D1995" s="20"/>
      <c r="E1995" s="36" t="str">
        <f aca="false">IF($D1995="","",IFERROR(INDEX('교육원 ④ 설정'!$A$6:$A$40,MATCH($D1995,'교육원 ④ 설정'!$B$6:$B$40,0)),"※없는 과목"))</f>
        <v/>
      </c>
      <c r="F1995" s="36" t="str">
        <f aca="false">IF($D1995="","",IFERROR(INDEX('교육원 ④ 설정'!$C$6:$C$40,MATCH($D1995,'교육원 ④ 설정'!$B$6:$B$40,0)),""))</f>
        <v/>
      </c>
      <c r="G1995" s="39"/>
      <c r="H1995" s="39"/>
      <c r="I1995" s="40"/>
      <c r="J1995" s="41"/>
      <c r="K1995" s="38"/>
      <c r="L1995" s="42" t="str">
        <f aca="false">IF($B1995="","",IF(AND(N($I1995)=0,N($J1995)=0),"금액이 없습니다",IF(AND($I1995&gt;0,$J1995&gt;0),"수입·지출 둘 다 적혔습니다",IF($C1995="","결제수단을 고르십시오",IF(ISNA(MATCH($C1995,'교육원 ③ 통장·카드'!$A$5:$A$11,0)),"③ 통장·카드에 없는 결제수단입니다",IF($D1995="","계정과목을 고르십시오",IF($E1995="※없는 과목","④ 설정에 없는 과목입니다",IF(AND($E1995="수입",$J1995&gt;0),"수입 과목인데 지출에 적혔습니다",IF(AND(LEFT($E1995,2)&lt;&gt;"수입",$E1995&lt;&gt;"대체",$I1995&gt;0),"지출 과목인데 수입에 적혔습니다",IF($K1995="","증빙을 고르십시오",IF($H1995="","적요를 적으십시오","")))))))))))</f>
        <v/>
      </c>
      <c r="M1995" s="39"/>
      <c r="O1995" s="11" t="str">
        <f aca="false">IF($B1995="","",YEAR($B1995)*100+MONTH($B1995))</f>
        <v/>
      </c>
      <c r="P1995" s="11" t="str">
        <f aca="false">IF($B1995="","",IF($E1995="대체",0,1))</f>
        <v/>
      </c>
    </row>
    <row r="1996" customFormat="false" ht="15" hidden="false" customHeight="false" outlineLevel="0" collapsed="false">
      <c r="A1996" s="36" t="str">
        <f aca="false">IF($B1996="","",COUNT($B$15:$B1996))</f>
        <v/>
      </c>
      <c r="B1996" s="37"/>
      <c r="C1996" s="38"/>
      <c r="D1996" s="20"/>
      <c r="E1996" s="36" t="str">
        <f aca="false">IF($D1996="","",IFERROR(INDEX('교육원 ④ 설정'!$A$6:$A$40,MATCH($D1996,'교육원 ④ 설정'!$B$6:$B$40,0)),"※없는 과목"))</f>
        <v/>
      </c>
      <c r="F1996" s="36" t="str">
        <f aca="false">IF($D1996="","",IFERROR(INDEX('교육원 ④ 설정'!$C$6:$C$40,MATCH($D1996,'교육원 ④ 설정'!$B$6:$B$40,0)),""))</f>
        <v/>
      </c>
      <c r="G1996" s="39"/>
      <c r="H1996" s="39"/>
      <c r="I1996" s="40"/>
      <c r="J1996" s="41"/>
      <c r="K1996" s="38"/>
      <c r="L1996" s="42" t="str">
        <f aca="false">IF($B1996="","",IF(AND(N($I1996)=0,N($J1996)=0),"금액이 없습니다",IF(AND($I1996&gt;0,$J1996&gt;0),"수입·지출 둘 다 적혔습니다",IF($C1996="","결제수단을 고르십시오",IF(ISNA(MATCH($C1996,'교육원 ③ 통장·카드'!$A$5:$A$11,0)),"③ 통장·카드에 없는 결제수단입니다",IF($D1996="","계정과목을 고르십시오",IF($E1996="※없는 과목","④ 설정에 없는 과목입니다",IF(AND($E1996="수입",$J1996&gt;0),"수입 과목인데 지출에 적혔습니다",IF(AND(LEFT($E1996,2)&lt;&gt;"수입",$E1996&lt;&gt;"대체",$I1996&gt;0),"지출 과목인데 수입에 적혔습니다",IF($K1996="","증빙을 고르십시오",IF($H1996="","적요를 적으십시오","")))))))))))</f>
        <v/>
      </c>
      <c r="M1996" s="39"/>
      <c r="O1996" s="11" t="str">
        <f aca="false">IF($B1996="","",YEAR($B1996)*100+MONTH($B1996))</f>
        <v/>
      </c>
      <c r="P1996" s="11" t="str">
        <f aca="false">IF($B1996="","",IF($E1996="대체",0,1))</f>
        <v/>
      </c>
    </row>
    <row r="1997" customFormat="false" ht="15" hidden="false" customHeight="false" outlineLevel="0" collapsed="false">
      <c r="A1997" s="36" t="str">
        <f aca="false">IF($B1997="","",COUNT($B$15:$B1997))</f>
        <v/>
      </c>
      <c r="B1997" s="37"/>
      <c r="C1997" s="38"/>
      <c r="D1997" s="20"/>
      <c r="E1997" s="36" t="str">
        <f aca="false">IF($D1997="","",IFERROR(INDEX('교육원 ④ 설정'!$A$6:$A$40,MATCH($D1997,'교육원 ④ 설정'!$B$6:$B$40,0)),"※없는 과목"))</f>
        <v/>
      </c>
      <c r="F1997" s="36" t="str">
        <f aca="false">IF($D1997="","",IFERROR(INDEX('교육원 ④ 설정'!$C$6:$C$40,MATCH($D1997,'교육원 ④ 설정'!$B$6:$B$40,0)),""))</f>
        <v/>
      </c>
      <c r="G1997" s="39"/>
      <c r="H1997" s="39"/>
      <c r="I1997" s="40"/>
      <c r="J1997" s="41"/>
      <c r="K1997" s="38"/>
      <c r="L1997" s="42" t="str">
        <f aca="false">IF($B1997="","",IF(AND(N($I1997)=0,N($J1997)=0),"금액이 없습니다",IF(AND($I1997&gt;0,$J1997&gt;0),"수입·지출 둘 다 적혔습니다",IF($C1997="","결제수단을 고르십시오",IF(ISNA(MATCH($C1997,'교육원 ③ 통장·카드'!$A$5:$A$11,0)),"③ 통장·카드에 없는 결제수단입니다",IF($D1997="","계정과목을 고르십시오",IF($E1997="※없는 과목","④ 설정에 없는 과목입니다",IF(AND($E1997="수입",$J1997&gt;0),"수입 과목인데 지출에 적혔습니다",IF(AND(LEFT($E1997,2)&lt;&gt;"수입",$E1997&lt;&gt;"대체",$I1997&gt;0),"지출 과목인데 수입에 적혔습니다",IF($K1997="","증빙을 고르십시오",IF($H1997="","적요를 적으십시오","")))))))))))</f>
        <v/>
      </c>
      <c r="M1997" s="39"/>
      <c r="O1997" s="11" t="str">
        <f aca="false">IF($B1997="","",YEAR($B1997)*100+MONTH($B1997))</f>
        <v/>
      </c>
      <c r="P1997" s="11" t="str">
        <f aca="false">IF($B1997="","",IF($E1997="대체",0,1))</f>
        <v/>
      </c>
    </row>
    <row r="1998" customFormat="false" ht="15" hidden="false" customHeight="false" outlineLevel="0" collapsed="false">
      <c r="A1998" s="36" t="str">
        <f aca="false">IF($B1998="","",COUNT($B$15:$B1998))</f>
        <v/>
      </c>
      <c r="B1998" s="37"/>
      <c r="C1998" s="38"/>
      <c r="D1998" s="20"/>
      <c r="E1998" s="36" t="str">
        <f aca="false">IF($D1998="","",IFERROR(INDEX('교육원 ④ 설정'!$A$6:$A$40,MATCH($D1998,'교육원 ④ 설정'!$B$6:$B$40,0)),"※없는 과목"))</f>
        <v/>
      </c>
      <c r="F1998" s="36" t="str">
        <f aca="false">IF($D1998="","",IFERROR(INDEX('교육원 ④ 설정'!$C$6:$C$40,MATCH($D1998,'교육원 ④ 설정'!$B$6:$B$40,0)),""))</f>
        <v/>
      </c>
      <c r="G1998" s="39"/>
      <c r="H1998" s="39"/>
      <c r="I1998" s="40"/>
      <c r="J1998" s="41"/>
      <c r="K1998" s="38"/>
      <c r="L1998" s="42" t="str">
        <f aca="false">IF($B1998="","",IF(AND(N($I1998)=0,N($J1998)=0),"금액이 없습니다",IF(AND($I1998&gt;0,$J1998&gt;0),"수입·지출 둘 다 적혔습니다",IF($C1998="","결제수단을 고르십시오",IF(ISNA(MATCH($C1998,'교육원 ③ 통장·카드'!$A$5:$A$11,0)),"③ 통장·카드에 없는 결제수단입니다",IF($D1998="","계정과목을 고르십시오",IF($E1998="※없는 과목","④ 설정에 없는 과목입니다",IF(AND($E1998="수입",$J1998&gt;0),"수입 과목인데 지출에 적혔습니다",IF(AND(LEFT($E1998,2)&lt;&gt;"수입",$E1998&lt;&gt;"대체",$I1998&gt;0),"지출 과목인데 수입에 적혔습니다",IF($K1998="","증빙을 고르십시오",IF($H1998="","적요를 적으십시오","")))))))))))</f>
        <v/>
      </c>
      <c r="M1998" s="39"/>
      <c r="O1998" s="11" t="str">
        <f aca="false">IF($B1998="","",YEAR($B1998)*100+MONTH($B1998))</f>
        <v/>
      </c>
      <c r="P1998" s="11" t="str">
        <f aca="false">IF($B1998="","",IF($E1998="대체",0,1))</f>
        <v/>
      </c>
    </row>
    <row r="1999" customFormat="false" ht="15" hidden="false" customHeight="false" outlineLevel="0" collapsed="false">
      <c r="A1999" s="36" t="str">
        <f aca="false">IF($B1999="","",COUNT($B$15:$B1999))</f>
        <v/>
      </c>
      <c r="B1999" s="37"/>
      <c r="C1999" s="38"/>
      <c r="D1999" s="20"/>
      <c r="E1999" s="36" t="str">
        <f aca="false">IF($D1999="","",IFERROR(INDEX('교육원 ④ 설정'!$A$6:$A$40,MATCH($D1999,'교육원 ④ 설정'!$B$6:$B$40,0)),"※없는 과목"))</f>
        <v/>
      </c>
      <c r="F1999" s="36" t="str">
        <f aca="false">IF($D1999="","",IFERROR(INDEX('교육원 ④ 설정'!$C$6:$C$40,MATCH($D1999,'교육원 ④ 설정'!$B$6:$B$40,0)),""))</f>
        <v/>
      </c>
      <c r="G1999" s="39"/>
      <c r="H1999" s="39"/>
      <c r="I1999" s="40"/>
      <c r="J1999" s="41"/>
      <c r="K1999" s="38"/>
      <c r="L1999" s="42" t="str">
        <f aca="false">IF($B1999="","",IF(AND(N($I1999)=0,N($J1999)=0),"금액이 없습니다",IF(AND($I1999&gt;0,$J1999&gt;0),"수입·지출 둘 다 적혔습니다",IF($C1999="","결제수단을 고르십시오",IF(ISNA(MATCH($C1999,'교육원 ③ 통장·카드'!$A$5:$A$11,0)),"③ 통장·카드에 없는 결제수단입니다",IF($D1999="","계정과목을 고르십시오",IF($E1999="※없는 과목","④ 설정에 없는 과목입니다",IF(AND($E1999="수입",$J1999&gt;0),"수입 과목인데 지출에 적혔습니다",IF(AND(LEFT($E1999,2)&lt;&gt;"수입",$E1999&lt;&gt;"대체",$I1999&gt;0),"지출 과목인데 수입에 적혔습니다",IF($K1999="","증빙을 고르십시오",IF($H1999="","적요를 적으십시오","")))))))))))</f>
        <v/>
      </c>
      <c r="M1999" s="39"/>
      <c r="O1999" s="11" t="str">
        <f aca="false">IF($B1999="","",YEAR($B1999)*100+MONTH($B1999))</f>
        <v/>
      </c>
      <c r="P1999" s="11" t="str">
        <f aca="false">IF($B1999="","",IF($E1999="대체",0,1))</f>
        <v/>
      </c>
    </row>
    <row r="2000" customFormat="false" ht="15" hidden="false" customHeight="false" outlineLevel="0" collapsed="false">
      <c r="A2000" s="36" t="str">
        <f aca="false">IF($B2000="","",COUNT($B$15:$B2000))</f>
        <v/>
      </c>
      <c r="B2000" s="37"/>
      <c r="C2000" s="38"/>
      <c r="D2000" s="20"/>
      <c r="E2000" s="36" t="str">
        <f aca="false">IF($D2000="","",IFERROR(INDEX('교육원 ④ 설정'!$A$6:$A$40,MATCH($D2000,'교육원 ④ 설정'!$B$6:$B$40,0)),"※없는 과목"))</f>
        <v/>
      </c>
      <c r="F2000" s="36" t="str">
        <f aca="false">IF($D2000="","",IFERROR(INDEX('교육원 ④ 설정'!$C$6:$C$40,MATCH($D2000,'교육원 ④ 설정'!$B$6:$B$40,0)),""))</f>
        <v/>
      </c>
      <c r="G2000" s="39"/>
      <c r="H2000" s="39"/>
      <c r="I2000" s="40"/>
      <c r="J2000" s="41"/>
      <c r="K2000" s="38"/>
      <c r="L2000" s="42" t="str">
        <f aca="false">IF($B2000="","",IF(AND(N($I2000)=0,N($J2000)=0),"금액이 없습니다",IF(AND($I2000&gt;0,$J2000&gt;0),"수입·지출 둘 다 적혔습니다",IF($C2000="","결제수단을 고르십시오",IF(ISNA(MATCH($C2000,'교육원 ③ 통장·카드'!$A$5:$A$11,0)),"③ 통장·카드에 없는 결제수단입니다",IF($D2000="","계정과목을 고르십시오",IF($E2000="※없는 과목","④ 설정에 없는 과목입니다",IF(AND($E2000="수입",$J2000&gt;0),"수입 과목인데 지출에 적혔습니다",IF(AND(LEFT($E2000,2)&lt;&gt;"수입",$E2000&lt;&gt;"대체",$I2000&gt;0),"지출 과목인데 수입에 적혔습니다",IF($K2000="","증빙을 고르십시오",IF($H2000="","적요를 적으십시오","")))))))))))</f>
        <v/>
      </c>
      <c r="M2000" s="39"/>
      <c r="O2000" s="11" t="str">
        <f aca="false">IF($B2000="","",YEAR($B2000)*100+MONTH($B2000))</f>
        <v/>
      </c>
      <c r="P2000" s="11" t="str">
        <f aca="false">IF($B2000="","",IF($E2000="대체",0,1))</f>
        <v/>
      </c>
    </row>
    <row r="2001" customFormat="false" ht="15" hidden="false" customHeight="false" outlineLevel="0" collapsed="false">
      <c r="A2001" s="36" t="str">
        <f aca="false">IF($B2001="","",COUNT($B$15:$B2001))</f>
        <v/>
      </c>
      <c r="B2001" s="37"/>
      <c r="C2001" s="38"/>
      <c r="D2001" s="20"/>
      <c r="E2001" s="36" t="str">
        <f aca="false">IF($D2001="","",IFERROR(INDEX('교육원 ④ 설정'!$A$6:$A$40,MATCH($D2001,'교육원 ④ 설정'!$B$6:$B$40,0)),"※없는 과목"))</f>
        <v/>
      </c>
      <c r="F2001" s="36" t="str">
        <f aca="false">IF($D2001="","",IFERROR(INDEX('교육원 ④ 설정'!$C$6:$C$40,MATCH($D2001,'교육원 ④ 설정'!$B$6:$B$40,0)),""))</f>
        <v/>
      </c>
      <c r="G2001" s="39"/>
      <c r="H2001" s="39"/>
      <c r="I2001" s="40"/>
      <c r="J2001" s="41"/>
      <c r="K2001" s="38"/>
      <c r="L2001" s="42" t="str">
        <f aca="false">IF($B2001="","",IF(AND(N($I2001)=0,N($J2001)=0),"금액이 없습니다",IF(AND($I2001&gt;0,$J2001&gt;0),"수입·지출 둘 다 적혔습니다",IF($C2001="","결제수단을 고르십시오",IF(ISNA(MATCH($C2001,'교육원 ③ 통장·카드'!$A$5:$A$11,0)),"③ 통장·카드에 없는 결제수단입니다",IF($D2001="","계정과목을 고르십시오",IF($E2001="※없는 과목","④ 설정에 없는 과목입니다",IF(AND($E2001="수입",$J2001&gt;0),"수입 과목인데 지출에 적혔습니다",IF(AND(LEFT($E2001,2)&lt;&gt;"수입",$E2001&lt;&gt;"대체",$I2001&gt;0),"지출 과목인데 수입에 적혔습니다",IF($K2001="","증빙을 고르십시오",IF($H2001="","적요를 적으십시오","")))))))))))</f>
        <v/>
      </c>
      <c r="M2001" s="39"/>
      <c r="O2001" s="11" t="str">
        <f aca="false">IF($B2001="","",YEAR($B2001)*100+MONTH($B2001))</f>
        <v/>
      </c>
      <c r="P2001" s="11" t="str">
        <f aca="false">IF($B2001="","",IF($E2001="대체",0,1))</f>
        <v/>
      </c>
    </row>
    <row r="2002" customFormat="false" ht="15" hidden="false" customHeight="false" outlineLevel="0" collapsed="false">
      <c r="A2002" s="36" t="str">
        <f aca="false">IF($B2002="","",COUNT($B$15:$B2002))</f>
        <v/>
      </c>
      <c r="B2002" s="37"/>
      <c r="C2002" s="38"/>
      <c r="D2002" s="20"/>
      <c r="E2002" s="36" t="str">
        <f aca="false">IF($D2002="","",IFERROR(INDEX('교육원 ④ 설정'!$A$6:$A$40,MATCH($D2002,'교육원 ④ 설정'!$B$6:$B$40,0)),"※없는 과목"))</f>
        <v/>
      </c>
      <c r="F2002" s="36" t="str">
        <f aca="false">IF($D2002="","",IFERROR(INDEX('교육원 ④ 설정'!$C$6:$C$40,MATCH($D2002,'교육원 ④ 설정'!$B$6:$B$40,0)),""))</f>
        <v/>
      </c>
      <c r="G2002" s="39"/>
      <c r="H2002" s="39"/>
      <c r="I2002" s="40"/>
      <c r="J2002" s="41"/>
      <c r="K2002" s="38"/>
      <c r="L2002" s="42" t="str">
        <f aca="false">IF($B2002="","",IF(AND(N($I2002)=0,N($J2002)=0),"금액이 없습니다",IF(AND($I2002&gt;0,$J2002&gt;0),"수입·지출 둘 다 적혔습니다",IF($C2002="","결제수단을 고르십시오",IF(ISNA(MATCH($C2002,'교육원 ③ 통장·카드'!$A$5:$A$11,0)),"③ 통장·카드에 없는 결제수단입니다",IF($D2002="","계정과목을 고르십시오",IF($E2002="※없는 과목","④ 설정에 없는 과목입니다",IF(AND($E2002="수입",$J2002&gt;0),"수입 과목인데 지출에 적혔습니다",IF(AND(LEFT($E2002,2)&lt;&gt;"수입",$E2002&lt;&gt;"대체",$I2002&gt;0),"지출 과목인데 수입에 적혔습니다",IF($K2002="","증빙을 고르십시오",IF($H2002="","적요를 적으십시오","")))))))))))</f>
        <v/>
      </c>
      <c r="M2002" s="39"/>
      <c r="O2002" s="11" t="str">
        <f aca="false">IF($B2002="","",YEAR($B2002)*100+MONTH($B2002))</f>
        <v/>
      </c>
      <c r="P2002" s="11" t="str">
        <f aca="false">IF($B2002="","",IF($E2002="대체",0,1))</f>
        <v/>
      </c>
    </row>
    <row r="2003" customFormat="false" ht="15" hidden="false" customHeight="false" outlineLevel="0" collapsed="false">
      <c r="A2003" s="36" t="str">
        <f aca="false">IF($B2003="","",COUNT($B$15:$B2003))</f>
        <v/>
      </c>
      <c r="B2003" s="37"/>
      <c r="C2003" s="38"/>
      <c r="D2003" s="20"/>
      <c r="E2003" s="36" t="str">
        <f aca="false">IF($D2003="","",IFERROR(INDEX('교육원 ④ 설정'!$A$6:$A$40,MATCH($D2003,'교육원 ④ 설정'!$B$6:$B$40,0)),"※없는 과목"))</f>
        <v/>
      </c>
      <c r="F2003" s="36" t="str">
        <f aca="false">IF($D2003="","",IFERROR(INDEX('교육원 ④ 설정'!$C$6:$C$40,MATCH($D2003,'교육원 ④ 설정'!$B$6:$B$40,0)),""))</f>
        <v/>
      </c>
      <c r="G2003" s="39"/>
      <c r="H2003" s="39"/>
      <c r="I2003" s="40"/>
      <c r="J2003" s="41"/>
      <c r="K2003" s="38"/>
      <c r="L2003" s="42" t="str">
        <f aca="false">IF($B2003="","",IF(AND(N($I2003)=0,N($J2003)=0),"금액이 없습니다",IF(AND($I2003&gt;0,$J2003&gt;0),"수입·지출 둘 다 적혔습니다",IF($C2003="","결제수단을 고르십시오",IF(ISNA(MATCH($C2003,'교육원 ③ 통장·카드'!$A$5:$A$11,0)),"③ 통장·카드에 없는 결제수단입니다",IF($D2003="","계정과목을 고르십시오",IF($E2003="※없는 과목","④ 설정에 없는 과목입니다",IF(AND($E2003="수입",$J2003&gt;0),"수입 과목인데 지출에 적혔습니다",IF(AND(LEFT($E2003,2)&lt;&gt;"수입",$E2003&lt;&gt;"대체",$I2003&gt;0),"지출 과목인데 수입에 적혔습니다",IF($K2003="","증빙을 고르십시오",IF($H2003="","적요를 적으십시오","")))))))))))</f>
        <v/>
      </c>
      <c r="M2003" s="39"/>
      <c r="O2003" s="11" t="str">
        <f aca="false">IF($B2003="","",YEAR($B2003)*100+MONTH($B2003))</f>
        <v/>
      </c>
      <c r="P2003" s="11" t="str">
        <f aca="false">IF($B2003="","",IF($E2003="대체",0,1))</f>
        <v/>
      </c>
    </row>
    <row r="2004" customFormat="false" ht="15" hidden="false" customHeight="false" outlineLevel="0" collapsed="false">
      <c r="A2004" s="36" t="str">
        <f aca="false">IF($B2004="","",COUNT($B$15:$B2004))</f>
        <v/>
      </c>
      <c r="B2004" s="37"/>
      <c r="C2004" s="38"/>
      <c r="D2004" s="20"/>
      <c r="E2004" s="36" t="str">
        <f aca="false">IF($D2004="","",IFERROR(INDEX('교육원 ④ 설정'!$A$6:$A$40,MATCH($D2004,'교육원 ④ 설정'!$B$6:$B$40,0)),"※없는 과목"))</f>
        <v/>
      </c>
      <c r="F2004" s="36" t="str">
        <f aca="false">IF($D2004="","",IFERROR(INDEX('교육원 ④ 설정'!$C$6:$C$40,MATCH($D2004,'교육원 ④ 설정'!$B$6:$B$40,0)),""))</f>
        <v/>
      </c>
      <c r="G2004" s="39"/>
      <c r="H2004" s="39"/>
      <c r="I2004" s="40"/>
      <c r="J2004" s="41"/>
      <c r="K2004" s="38"/>
      <c r="L2004" s="42" t="str">
        <f aca="false">IF($B2004="","",IF(AND(N($I2004)=0,N($J2004)=0),"금액이 없습니다",IF(AND($I2004&gt;0,$J2004&gt;0),"수입·지출 둘 다 적혔습니다",IF($C2004="","결제수단을 고르십시오",IF(ISNA(MATCH($C2004,'교육원 ③ 통장·카드'!$A$5:$A$11,0)),"③ 통장·카드에 없는 결제수단입니다",IF($D2004="","계정과목을 고르십시오",IF($E2004="※없는 과목","④ 설정에 없는 과목입니다",IF(AND($E2004="수입",$J2004&gt;0),"수입 과목인데 지출에 적혔습니다",IF(AND(LEFT($E2004,2)&lt;&gt;"수입",$E2004&lt;&gt;"대체",$I2004&gt;0),"지출 과목인데 수입에 적혔습니다",IF($K2004="","증빙을 고르십시오",IF($H2004="","적요를 적으십시오","")))))))))))</f>
        <v/>
      </c>
      <c r="M2004" s="39"/>
      <c r="O2004" s="11" t="str">
        <f aca="false">IF($B2004="","",YEAR($B2004)*100+MONTH($B2004))</f>
        <v/>
      </c>
      <c r="P2004" s="11" t="str">
        <f aca="false">IF($B2004="","",IF($E2004="대체",0,1))</f>
        <v/>
      </c>
    </row>
    <row r="2005" customFormat="false" ht="15" hidden="false" customHeight="false" outlineLevel="0" collapsed="false">
      <c r="A2005" s="36" t="str">
        <f aca="false">IF($B2005="","",COUNT($B$15:$B2005))</f>
        <v/>
      </c>
      <c r="B2005" s="37"/>
      <c r="C2005" s="38"/>
      <c r="D2005" s="20"/>
      <c r="E2005" s="36" t="str">
        <f aca="false">IF($D2005="","",IFERROR(INDEX('교육원 ④ 설정'!$A$6:$A$40,MATCH($D2005,'교육원 ④ 설정'!$B$6:$B$40,0)),"※없는 과목"))</f>
        <v/>
      </c>
      <c r="F2005" s="36" t="str">
        <f aca="false">IF($D2005="","",IFERROR(INDEX('교육원 ④ 설정'!$C$6:$C$40,MATCH($D2005,'교육원 ④ 설정'!$B$6:$B$40,0)),""))</f>
        <v/>
      </c>
      <c r="G2005" s="39"/>
      <c r="H2005" s="39"/>
      <c r="I2005" s="40"/>
      <c r="J2005" s="41"/>
      <c r="K2005" s="38"/>
      <c r="L2005" s="42" t="str">
        <f aca="false">IF($B2005="","",IF(AND(N($I2005)=0,N($J2005)=0),"금액이 없습니다",IF(AND($I2005&gt;0,$J2005&gt;0),"수입·지출 둘 다 적혔습니다",IF($C2005="","결제수단을 고르십시오",IF(ISNA(MATCH($C2005,'교육원 ③ 통장·카드'!$A$5:$A$11,0)),"③ 통장·카드에 없는 결제수단입니다",IF($D2005="","계정과목을 고르십시오",IF($E2005="※없는 과목","④ 설정에 없는 과목입니다",IF(AND($E2005="수입",$J2005&gt;0),"수입 과목인데 지출에 적혔습니다",IF(AND(LEFT($E2005,2)&lt;&gt;"수입",$E2005&lt;&gt;"대체",$I2005&gt;0),"지출 과목인데 수입에 적혔습니다",IF($K2005="","증빙을 고르십시오",IF($H2005="","적요를 적으십시오","")))))))))))</f>
        <v/>
      </c>
      <c r="M2005" s="39"/>
      <c r="O2005" s="11" t="str">
        <f aca="false">IF($B2005="","",YEAR($B2005)*100+MONTH($B2005))</f>
        <v/>
      </c>
      <c r="P2005" s="11" t="str">
        <f aca="false">IF($B2005="","",IF($E2005="대체",0,1))</f>
        <v/>
      </c>
    </row>
    <row r="2006" customFormat="false" ht="15" hidden="false" customHeight="false" outlineLevel="0" collapsed="false">
      <c r="A2006" s="36" t="str">
        <f aca="false">IF($B2006="","",COUNT($B$15:$B2006))</f>
        <v/>
      </c>
      <c r="B2006" s="37"/>
      <c r="C2006" s="38"/>
      <c r="D2006" s="20"/>
      <c r="E2006" s="36" t="str">
        <f aca="false">IF($D2006="","",IFERROR(INDEX('교육원 ④ 설정'!$A$6:$A$40,MATCH($D2006,'교육원 ④ 설정'!$B$6:$B$40,0)),"※없는 과목"))</f>
        <v/>
      </c>
      <c r="F2006" s="36" t="str">
        <f aca="false">IF($D2006="","",IFERROR(INDEX('교육원 ④ 설정'!$C$6:$C$40,MATCH($D2006,'교육원 ④ 설정'!$B$6:$B$40,0)),""))</f>
        <v/>
      </c>
      <c r="G2006" s="39"/>
      <c r="H2006" s="39"/>
      <c r="I2006" s="40"/>
      <c r="J2006" s="41"/>
      <c r="K2006" s="38"/>
      <c r="L2006" s="42" t="str">
        <f aca="false">IF($B2006="","",IF(AND(N($I2006)=0,N($J2006)=0),"금액이 없습니다",IF(AND($I2006&gt;0,$J2006&gt;0),"수입·지출 둘 다 적혔습니다",IF($C2006="","결제수단을 고르십시오",IF(ISNA(MATCH($C2006,'교육원 ③ 통장·카드'!$A$5:$A$11,0)),"③ 통장·카드에 없는 결제수단입니다",IF($D2006="","계정과목을 고르십시오",IF($E2006="※없는 과목","④ 설정에 없는 과목입니다",IF(AND($E2006="수입",$J2006&gt;0),"수입 과목인데 지출에 적혔습니다",IF(AND(LEFT($E2006,2)&lt;&gt;"수입",$E2006&lt;&gt;"대체",$I2006&gt;0),"지출 과목인데 수입에 적혔습니다",IF($K2006="","증빙을 고르십시오",IF($H2006="","적요를 적으십시오","")))))))))))</f>
        <v/>
      </c>
      <c r="M2006" s="39"/>
      <c r="O2006" s="11" t="str">
        <f aca="false">IF($B2006="","",YEAR($B2006)*100+MONTH($B2006))</f>
        <v/>
      </c>
      <c r="P2006" s="11" t="str">
        <f aca="false">IF($B2006="","",IF($E2006="대체",0,1))</f>
        <v/>
      </c>
    </row>
    <row r="2007" customFormat="false" ht="15" hidden="false" customHeight="false" outlineLevel="0" collapsed="false">
      <c r="A2007" s="36" t="str">
        <f aca="false">IF($B2007="","",COUNT($B$15:$B2007))</f>
        <v/>
      </c>
      <c r="B2007" s="37"/>
      <c r="C2007" s="38"/>
      <c r="D2007" s="20"/>
      <c r="E2007" s="36" t="str">
        <f aca="false">IF($D2007="","",IFERROR(INDEX('교육원 ④ 설정'!$A$6:$A$40,MATCH($D2007,'교육원 ④ 설정'!$B$6:$B$40,0)),"※없는 과목"))</f>
        <v/>
      </c>
      <c r="F2007" s="36" t="str">
        <f aca="false">IF($D2007="","",IFERROR(INDEX('교육원 ④ 설정'!$C$6:$C$40,MATCH($D2007,'교육원 ④ 설정'!$B$6:$B$40,0)),""))</f>
        <v/>
      </c>
      <c r="G2007" s="39"/>
      <c r="H2007" s="39"/>
      <c r="I2007" s="40"/>
      <c r="J2007" s="41"/>
      <c r="K2007" s="38"/>
      <c r="L2007" s="42" t="str">
        <f aca="false">IF($B2007="","",IF(AND(N($I2007)=0,N($J2007)=0),"금액이 없습니다",IF(AND($I2007&gt;0,$J2007&gt;0),"수입·지출 둘 다 적혔습니다",IF($C2007="","결제수단을 고르십시오",IF(ISNA(MATCH($C2007,'교육원 ③ 통장·카드'!$A$5:$A$11,0)),"③ 통장·카드에 없는 결제수단입니다",IF($D2007="","계정과목을 고르십시오",IF($E2007="※없는 과목","④ 설정에 없는 과목입니다",IF(AND($E2007="수입",$J2007&gt;0),"수입 과목인데 지출에 적혔습니다",IF(AND(LEFT($E2007,2)&lt;&gt;"수입",$E2007&lt;&gt;"대체",$I2007&gt;0),"지출 과목인데 수입에 적혔습니다",IF($K2007="","증빙을 고르십시오",IF($H2007="","적요를 적으십시오","")))))))))))</f>
        <v/>
      </c>
      <c r="M2007" s="39"/>
      <c r="O2007" s="11" t="str">
        <f aca="false">IF($B2007="","",YEAR($B2007)*100+MONTH($B2007))</f>
        <v/>
      </c>
      <c r="P2007" s="11" t="str">
        <f aca="false">IF($B2007="","",IF($E2007="대체",0,1))</f>
        <v/>
      </c>
    </row>
    <row r="2008" customFormat="false" ht="15" hidden="false" customHeight="false" outlineLevel="0" collapsed="false">
      <c r="A2008" s="36" t="str">
        <f aca="false">IF($B2008="","",COUNT($B$15:$B2008))</f>
        <v/>
      </c>
      <c r="B2008" s="37"/>
      <c r="C2008" s="38"/>
      <c r="D2008" s="20"/>
      <c r="E2008" s="36" t="str">
        <f aca="false">IF($D2008="","",IFERROR(INDEX('교육원 ④ 설정'!$A$6:$A$40,MATCH($D2008,'교육원 ④ 설정'!$B$6:$B$40,0)),"※없는 과목"))</f>
        <v/>
      </c>
      <c r="F2008" s="36" t="str">
        <f aca="false">IF($D2008="","",IFERROR(INDEX('교육원 ④ 설정'!$C$6:$C$40,MATCH($D2008,'교육원 ④ 설정'!$B$6:$B$40,0)),""))</f>
        <v/>
      </c>
      <c r="G2008" s="39"/>
      <c r="H2008" s="39"/>
      <c r="I2008" s="40"/>
      <c r="J2008" s="41"/>
      <c r="K2008" s="38"/>
      <c r="L2008" s="42" t="str">
        <f aca="false">IF($B2008="","",IF(AND(N($I2008)=0,N($J2008)=0),"금액이 없습니다",IF(AND($I2008&gt;0,$J2008&gt;0),"수입·지출 둘 다 적혔습니다",IF($C2008="","결제수단을 고르십시오",IF(ISNA(MATCH($C2008,'교육원 ③ 통장·카드'!$A$5:$A$11,0)),"③ 통장·카드에 없는 결제수단입니다",IF($D2008="","계정과목을 고르십시오",IF($E2008="※없는 과목","④ 설정에 없는 과목입니다",IF(AND($E2008="수입",$J2008&gt;0),"수입 과목인데 지출에 적혔습니다",IF(AND(LEFT($E2008,2)&lt;&gt;"수입",$E2008&lt;&gt;"대체",$I2008&gt;0),"지출 과목인데 수입에 적혔습니다",IF($K2008="","증빙을 고르십시오",IF($H2008="","적요를 적으십시오","")))))))))))</f>
        <v/>
      </c>
      <c r="M2008" s="39"/>
      <c r="O2008" s="11" t="str">
        <f aca="false">IF($B2008="","",YEAR($B2008)*100+MONTH($B2008))</f>
        <v/>
      </c>
      <c r="P2008" s="11" t="str">
        <f aca="false">IF($B2008="","",IF($E2008="대체",0,1))</f>
        <v/>
      </c>
    </row>
    <row r="2009" customFormat="false" ht="15" hidden="false" customHeight="false" outlineLevel="0" collapsed="false">
      <c r="A2009" s="36" t="str">
        <f aca="false">IF($B2009="","",COUNT($B$15:$B2009))</f>
        <v/>
      </c>
      <c r="B2009" s="37"/>
      <c r="C2009" s="38"/>
      <c r="D2009" s="20"/>
      <c r="E2009" s="36" t="str">
        <f aca="false">IF($D2009="","",IFERROR(INDEX('교육원 ④ 설정'!$A$6:$A$40,MATCH($D2009,'교육원 ④ 설정'!$B$6:$B$40,0)),"※없는 과목"))</f>
        <v/>
      </c>
      <c r="F2009" s="36" t="str">
        <f aca="false">IF($D2009="","",IFERROR(INDEX('교육원 ④ 설정'!$C$6:$C$40,MATCH($D2009,'교육원 ④ 설정'!$B$6:$B$40,0)),""))</f>
        <v/>
      </c>
      <c r="G2009" s="39"/>
      <c r="H2009" s="39"/>
      <c r="I2009" s="40"/>
      <c r="J2009" s="41"/>
      <c r="K2009" s="38"/>
      <c r="L2009" s="42" t="str">
        <f aca="false">IF($B2009="","",IF(AND(N($I2009)=0,N($J2009)=0),"금액이 없습니다",IF(AND($I2009&gt;0,$J2009&gt;0),"수입·지출 둘 다 적혔습니다",IF($C2009="","결제수단을 고르십시오",IF(ISNA(MATCH($C2009,'교육원 ③ 통장·카드'!$A$5:$A$11,0)),"③ 통장·카드에 없는 결제수단입니다",IF($D2009="","계정과목을 고르십시오",IF($E2009="※없는 과목","④ 설정에 없는 과목입니다",IF(AND($E2009="수입",$J2009&gt;0),"수입 과목인데 지출에 적혔습니다",IF(AND(LEFT($E2009,2)&lt;&gt;"수입",$E2009&lt;&gt;"대체",$I2009&gt;0),"지출 과목인데 수입에 적혔습니다",IF($K2009="","증빙을 고르십시오",IF($H2009="","적요를 적으십시오","")))))))))))</f>
        <v/>
      </c>
      <c r="M2009" s="39"/>
      <c r="O2009" s="11" t="str">
        <f aca="false">IF($B2009="","",YEAR($B2009)*100+MONTH($B2009))</f>
        <v/>
      </c>
      <c r="P2009" s="11" t="str">
        <f aca="false">IF($B2009="","",IF($E2009="대체",0,1))</f>
        <v/>
      </c>
    </row>
    <row r="2010" customFormat="false" ht="15" hidden="false" customHeight="false" outlineLevel="0" collapsed="false">
      <c r="A2010" s="36" t="str">
        <f aca="false">IF($B2010="","",COUNT($B$15:$B2010))</f>
        <v/>
      </c>
      <c r="B2010" s="37"/>
      <c r="C2010" s="38"/>
      <c r="D2010" s="20"/>
      <c r="E2010" s="36" t="str">
        <f aca="false">IF($D2010="","",IFERROR(INDEX('교육원 ④ 설정'!$A$6:$A$40,MATCH($D2010,'교육원 ④ 설정'!$B$6:$B$40,0)),"※없는 과목"))</f>
        <v/>
      </c>
      <c r="F2010" s="36" t="str">
        <f aca="false">IF($D2010="","",IFERROR(INDEX('교육원 ④ 설정'!$C$6:$C$40,MATCH($D2010,'교육원 ④ 설정'!$B$6:$B$40,0)),""))</f>
        <v/>
      </c>
      <c r="G2010" s="39"/>
      <c r="H2010" s="39"/>
      <c r="I2010" s="40"/>
      <c r="J2010" s="41"/>
      <c r="K2010" s="38"/>
      <c r="L2010" s="42" t="str">
        <f aca="false">IF($B2010="","",IF(AND(N($I2010)=0,N($J2010)=0),"금액이 없습니다",IF(AND($I2010&gt;0,$J2010&gt;0),"수입·지출 둘 다 적혔습니다",IF($C2010="","결제수단을 고르십시오",IF(ISNA(MATCH($C2010,'교육원 ③ 통장·카드'!$A$5:$A$11,0)),"③ 통장·카드에 없는 결제수단입니다",IF($D2010="","계정과목을 고르십시오",IF($E2010="※없는 과목","④ 설정에 없는 과목입니다",IF(AND($E2010="수입",$J2010&gt;0),"수입 과목인데 지출에 적혔습니다",IF(AND(LEFT($E2010,2)&lt;&gt;"수입",$E2010&lt;&gt;"대체",$I2010&gt;0),"지출 과목인데 수입에 적혔습니다",IF($K2010="","증빙을 고르십시오",IF($H2010="","적요를 적으십시오","")))))))))))</f>
        <v/>
      </c>
      <c r="M2010" s="39"/>
      <c r="O2010" s="11" t="str">
        <f aca="false">IF($B2010="","",YEAR($B2010)*100+MONTH($B2010))</f>
        <v/>
      </c>
      <c r="P2010" s="11" t="str">
        <f aca="false">IF($B2010="","",IF($E2010="대체",0,1))</f>
        <v/>
      </c>
    </row>
    <row r="2011" customFormat="false" ht="15" hidden="false" customHeight="false" outlineLevel="0" collapsed="false">
      <c r="A2011" s="36" t="str">
        <f aca="false">IF($B2011="","",COUNT($B$15:$B2011))</f>
        <v/>
      </c>
      <c r="B2011" s="37"/>
      <c r="C2011" s="38"/>
      <c r="D2011" s="20"/>
      <c r="E2011" s="36" t="str">
        <f aca="false">IF($D2011="","",IFERROR(INDEX('교육원 ④ 설정'!$A$6:$A$40,MATCH($D2011,'교육원 ④ 설정'!$B$6:$B$40,0)),"※없는 과목"))</f>
        <v/>
      </c>
      <c r="F2011" s="36" t="str">
        <f aca="false">IF($D2011="","",IFERROR(INDEX('교육원 ④ 설정'!$C$6:$C$40,MATCH($D2011,'교육원 ④ 설정'!$B$6:$B$40,0)),""))</f>
        <v/>
      </c>
      <c r="G2011" s="39"/>
      <c r="H2011" s="39"/>
      <c r="I2011" s="40"/>
      <c r="J2011" s="41"/>
      <c r="K2011" s="38"/>
      <c r="L2011" s="42" t="str">
        <f aca="false">IF($B2011="","",IF(AND(N($I2011)=0,N($J2011)=0),"금액이 없습니다",IF(AND($I2011&gt;0,$J2011&gt;0),"수입·지출 둘 다 적혔습니다",IF($C2011="","결제수단을 고르십시오",IF(ISNA(MATCH($C2011,'교육원 ③ 통장·카드'!$A$5:$A$11,0)),"③ 통장·카드에 없는 결제수단입니다",IF($D2011="","계정과목을 고르십시오",IF($E2011="※없는 과목","④ 설정에 없는 과목입니다",IF(AND($E2011="수입",$J2011&gt;0),"수입 과목인데 지출에 적혔습니다",IF(AND(LEFT($E2011,2)&lt;&gt;"수입",$E2011&lt;&gt;"대체",$I2011&gt;0),"지출 과목인데 수입에 적혔습니다",IF($K2011="","증빙을 고르십시오",IF($H2011="","적요를 적으십시오","")))))))))))</f>
        <v/>
      </c>
      <c r="M2011" s="39"/>
      <c r="O2011" s="11" t="str">
        <f aca="false">IF($B2011="","",YEAR($B2011)*100+MONTH($B2011))</f>
        <v/>
      </c>
      <c r="P2011" s="11" t="str">
        <f aca="false">IF($B2011="","",IF($E2011="대체",0,1))</f>
        <v/>
      </c>
    </row>
    <row r="2012" customFormat="false" ht="15" hidden="false" customHeight="false" outlineLevel="0" collapsed="false">
      <c r="A2012" s="36" t="str">
        <f aca="false">IF($B2012="","",COUNT($B$15:$B2012))</f>
        <v/>
      </c>
      <c r="B2012" s="37"/>
      <c r="C2012" s="38"/>
      <c r="D2012" s="20"/>
      <c r="E2012" s="36" t="str">
        <f aca="false">IF($D2012="","",IFERROR(INDEX('교육원 ④ 설정'!$A$6:$A$40,MATCH($D2012,'교육원 ④ 설정'!$B$6:$B$40,0)),"※없는 과목"))</f>
        <v/>
      </c>
      <c r="F2012" s="36" t="str">
        <f aca="false">IF($D2012="","",IFERROR(INDEX('교육원 ④ 설정'!$C$6:$C$40,MATCH($D2012,'교육원 ④ 설정'!$B$6:$B$40,0)),""))</f>
        <v/>
      </c>
      <c r="G2012" s="39"/>
      <c r="H2012" s="39"/>
      <c r="I2012" s="40"/>
      <c r="J2012" s="41"/>
      <c r="K2012" s="38"/>
      <c r="L2012" s="42" t="str">
        <f aca="false">IF($B2012="","",IF(AND(N($I2012)=0,N($J2012)=0),"금액이 없습니다",IF(AND($I2012&gt;0,$J2012&gt;0),"수입·지출 둘 다 적혔습니다",IF($C2012="","결제수단을 고르십시오",IF(ISNA(MATCH($C2012,'교육원 ③ 통장·카드'!$A$5:$A$11,0)),"③ 통장·카드에 없는 결제수단입니다",IF($D2012="","계정과목을 고르십시오",IF($E2012="※없는 과목","④ 설정에 없는 과목입니다",IF(AND($E2012="수입",$J2012&gt;0),"수입 과목인데 지출에 적혔습니다",IF(AND(LEFT($E2012,2)&lt;&gt;"수입",$E2012&lt;&gt;"대체",$I2012&gt;0),"지출 과목인데 수입에 적혔습니다",IF($K2012="","증빙을 고르십시오",IF($H2012="","적요를 적으십시오","")))))))))))</f>
        <v/>
      </c>
      <c r="M2012" s="39"/>
      <c r="O2012" s="11" t="str">
        <f aca="false">IF($B2012="","",YEAR($B2012)*100+MONTH($B2012))</f>
        <v/>
      </c>
      <c r="P2012" s="11" t="str">
        <f aca="false">IF($B2012="","",IF($E2012="대체",0,1))</f>
        <v/>
      </c>
    </row>
    <row r="2013" customFormat="false" ht="15" hidden="false" customHeight="false" outlineLevel="0" collapsed="false">
      <c r="A2013" s="36" t="str">
        <f aca="false">IF($B2013="","",COUNT($B$15:$B2013))</f>
        <v/>
      </c>
      <c r="B2013" s="37"/>
      <c r="C2013" s="38"/>
      <c r="D2013" s="20"/>
      <c r="E2013" s="36" t="str">
        <f aca="false">IF($D2013="","",IFERROR(INDEX('교육원 ④ 설정'!$A$6:$A$40,MATCH($D2013,'교육원 ④ 설정'!$B$6:$B$40,0)),"※없는 과목"))</f>
        <v/>
      </c>
      <c r="F2013" s="36" t="str">
        <f aca="false">IF($D2013="","",IFERROR(INDEX('교육원 ④ 설정'!$C$6:$C$40,MATCH($D2013,'교육원 ④ 설정'!$B$6:$B$40,0)),""))</f>
        <v/>
      </c>
      <c r="G2013" s="39"/>
      <c r="H2013" s="39"/>
      <c r="I2013" s="40"/>
      <c r="J2013" s="41"/>
      <c r="K2013" s="38"/>
      <c r="L2013" s="42" t="str">
        <f aca="false">IF($B2013="","",IF(AND(N($I2013)=0,N($J2013)=0),"금액이 없습니다",IF(AND($I2013&gt;0,$J2013&gt;0),"수입·지출 둘 다 적혔습니다",IF($C2013="","결제수단을 고르십시오",IF(ISNA(MATCH($C2013,'교육원 ③ 통장·카드'!$A$5:$A$11,0)),"③ 통장·카드에 없는 결제수단입니다",IF($D2013="","계정과목을 고르십시오",IF($E2013="※없는 과목","④ 설정에 없는 과목입니다",IF(AND($E2013="수입",$J2013&gt;0),"수입 과목인데 지출에 적혔습니다",IF(AND(LEFT($E2013,2)&lt;&gt;"수입",$E2013&lt;&gt;"대체",$I2013&gt;0),"지출 과목인데 수입에 적혔습니다",IF($K2013="","증빙을 고르십시오",IF($H2013="","적요를 적으십시오","")))))))))))</f>
        <v/>
      </c>
      <c r="M2013" s="39"/>
      <c r="O2013" s="11" t="str">
        <f aca="false">IF($B2013="","",YEAR($B2013)*100+MONTH($B2013))</f>
        <v/>
      </c>
      <c r="P2013" s="11" t="str">
        <f aca="false">IF($B2013="","",IF($E2013="대체",0,1))</f>
        <v/>
      </c>
    </row>
    <row r="2014" customFormat="false" ht="15" hidden="false" customHeight="false" outlineLevel="0" collapsed="false">
      <c r="A2014" s="36" t="str">
        <f aca="false">IF($B2014="","",COUNT($B$15:$B2014))</f>
        <v/>
      </c>
      <c r="B2014" s="37"/>
      <c r="C2014" s="38"/>
      <c r="D2014" s="20"/>
      <c r="E2014" s="36" t="str">
        <f aca="false">IF($D2014="","",IFERROR(INDEX('교육원 ④ 설정'!$A$6:$A$40,MATCH($D2014,'교육원 ④ 설정'!$B$6:$B$40,0)),"※없는 과목"))</f>
        <v/>
      </c>
      <c r="F2014" s="36" t="str">
        <f aca="false">IF($D2014="","",IFERROR(INDEX('교육원 ④ 설정'!$C$6:$C$40,MATCH($D2014,'교육원 ④ 설정'!$B$6:$B$40,0)),""))</f>
        <v/>
      </c>
      <c r="G2014" s="39"/>
      <c r="H2014" s="39"/>
      <c r="I2014" s="40"/>
      <c r="J2014" s="41"/>
      <c r="K2014" s="38"/>
      <c r="L2014" s="42" t="str">
        <f aca="false">IF($B2014="","",IF(AND(N($I2014)=0,N($J2014)=0),"금액이 없습니다",IF(AND($I2014&gt;0,$J2014&gt;0),"수입·지출 둘 다 적혔습니다",IF($C2014="","결제수단을 고르십시오",IF(ISNA(MATCH($C2014,'교육원 ③ 통장·카드'!$A$5:$A$11,0)),"③ 통장·카드에 없는 결제수단입니다",IF($D2014="","계정과목을 고르십시오",IF($E2014="※없는 과목","④ 설정에 없는 과목입니다",IF(AND($E2014="수입",$J2014&gt;0),"수입 과목인데 지출에 적혔습니다",IF(AND(LEFT($E2014,2)&lt;&gt;"수입",$E2014&lt;&gt;"대체",$I2014&gt;0),"지출 과목인데 수입에 적혔습니다",IF($K2014="","증빙을 고르십시오",IF($H2014="","적요를 적으십시오","")))))))))))</f>
        <v/>
      </c>
      <c r="M2014" s="39"/>
      <c r="O2014" s="11" t="str">
        <f aca="false">IF($B2014="","",YEAR($B2014)*100+MONTH($B2014))</f>
        <v/>
      </c>
      <c r="P2014" s="11" t="str">
        <f aca="false">IF($B2014="","",IF($E2014="대체",0,1))</f>
        <v/>
      </c>
    </row>
  </sheetData>
  <conditionalFormatting sqref="A15:M2014">
    <cfRule type="expression" priority="2" aboveAverage="0" equalAverage="0" bottom="0" percent="0" rank="0" text="" dxfId="1">
      <formula>AND($B15&lt;&gt;"",$L15&lt;&gt;"")</formula>
    </cfRule>
    <cfRule type="expression" priority="3" aboveAverage="0" equalAverage="0" bottom="0" percent="0" rank="0" text="" dxfId="2">
      <formula>$E15="대체"</formula>
    </cfRule>
  </conditionalFormatting>
  <conditionalFormatting sqref="L15:L2014">
    <cfRule type="expression" priority="4" aboveAverage="0" equalAverage="0" bottom="0" percent="0" rank="0" text="" dxfId="4">
      <formula>$L15&lt;&gt;""</formula>
    </cfRule>
  </conditionalFormatting>
  <dataValidations count="3">
    <dataValidation allowBlank="true" error="따사로운 평생교육원 명의 통장·카드만 고를 수 있습니다. 목록은 ③ 통장·카드 시트에서 고칩니다." errorStyle="stop" errorTitle="결제수단" operator="between" showDropDown="false" showErrorMessage="true" showInputMessage="false" sqref="C15:C2014" type="list">
      <formula1>'교육원 ③ 통장·카드'!$A$5:$A$11</formula1>
      <formula2>0</formula2>
    </dataValidation>
    <dataValidation allowBlank="true" error="④ 설정에 있는 과목만 고를 수 있습니다." errorStyle="stop" errorTitle="계정과목" operator="between" showDropDown="false" showErrorMessage="true" showInputMessage="false" sqref="D15:D2014" type="list">
      <formula1>'교육원 ④ 설정'!$B$6:$B$40</formula1>
      <formula2>0</formula2>
    </dataValidation>
    <dataValidation allowBlank="true" errorStyle="stop" operator="between" showDropDown="false" showErrorMessage="false" showInputMessage="false" sqref="K15:K2014" type="list">
      <formula1>'교육원 ④ 설정'!$G$6:$G$12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D1A"/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14" min="3" style="0" width="12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0.1" hidden="false" customHeight="false" outlineLevel="0" collapsed="false">
      <c r="A1" s="44" t="s">
        <v>245</v>
      </c>
      <c r="F1" s="45" t="s">
        <v>115</v>
      </c>
      <c r="G1" s="46" t="n">
        <v>2026</v>
      </c>
      <c r="H1" s="2" t="s">
        <v>116</v>
      </c>
    </row>
    <row r="2" customFormat="false" ht="15" hidden="false" customHeight="false" outlineLevel="0" collapsed="false">
      <c r="A2" s="2" t="s">
        <v>246</v>
      </c>
    </row>
    <row r="4" customFormat="false" ht="30" hidden="false" customHeight="true" outlineLevel="0" collapsed="false">
      <c r="A4" s="3" t="s">
        <v>2</v>
      </c>
      <c r="B4" s="3" t="s">
        <v>74</v>
      </c>
      <c r="C4" s="19" t="s">
        <v>31</v>
      </c>
      <c r="D4" s="19" t="s">
        <v>32</v>
      </c>
      <c r="E4" s="19" t="s">
        <v>33</v>
      </c>
      <c r="F4" s="19" t="s">
        <v>34</v>
      </c>
      <c r="G4" s="19" t="s">
        <v>35</v>
      </c>
      <c r="H4" s="19" t="s">
        <v>36</v>
      </c>
      <c r="I4" s="19" t="s">
        <v>37</v>
      </c>
      <c r="J4" s="19" t="s">
        <v>38</v>
      </c>
      <c r="K4" s="19" t="s">
        <v>39</v>
      </c>
      <c r="L4" s="19" t="s">
        <v>40</v>
      </c>
      <c r="M4" s="19" t="s">
        <v>41</v>
      </c>
      <c r="N4" s="19" t="s">
        <v>42</v>
      </c>
      <c r="O4" s="3" t="s">
        <v>43</v>
      </c>
      <c r="P4" s="3" t="s">
        <v>118</v>
      </c>
    </row>
    <row r="5" customFormat="false" ht="15" hidden="false" customHeight="false" outlineLevel="0" collapsed="false">
      <c r="A5" s="47" t="s">
        <v>57</v>
      </c>
      <c r="B5" s="48" t="s">
        <v>229</v>
      </c>
      <c r="C5" s="49" t="n">
        <f aca="false">SUMIFS('교육원 ① 거래입력'!$I$15:$I$2014,'교육원 ① 거래입력'!$O$15:$O$2014,$G$1*100+1,'교육원 ① 거래입력'!$D$15:$D$2014,$B5)</f>
        <v>0</v>
      </c>
      <c r="D5" s="49" t="n">
        <f aca="false">SUMIFS('교육원 ① 거래입력'!$I$15:$I$2014,'교육원 ① 거래입력'!$O$15:$O$2014,$G$1*100+2,'교육원 ① 거래입력'!$D$15:$D$2014,$B5)</f>
        <v>0</v>
      </c>
      <c r="E5" s="49" t="n">
        <f aca="false">SUMIFS('교육원 ① 거래입력'!$I$15:$I$2014,'교육원 ① 거래입력'!$O$15:$O$2014,$G$1*100+3,'교육원 ① 거래입력'!$D$15:$D$2014,$B5)</f>
        <v>0</v>
      </c>
      <c r="F5" s="49" t="n">
        <f aca="false">SUMIFS('교육원 ① 거래입력'!$I$15:$I$2014,'교육원 ① 거래입력'!$O$15:$O$2014,$G$1*100+4,'교육원 ① 거래입력'!$D$15:$D$2014,$B5)</f>
        <v>0</v>
      </c>
      <c r="G5" s="49" t="n">
        <f aca="false">SUMIFS('교육원 ① 거래입력'!$I$15:$I$2014,'교육원 ① 거래입력'!$O$15:$O$2014,$G$1*100+5,'교육원 ① 거래입력'!$D$15:$D$2014,$B5)</f>
        <v>0</v>
      </c>
      <c r="H5" s="49" t="n">
        <f aca="false">SUMIFS('교육원 ① 거래입력'!$I$15:$I$2014,'교육원 ① 거래입력'!$O$15:$O$2014,$G$1*100+6,'교육원 ① 거래입력'!$D$15:$D$2014,$B5)</f>
        <v>0</v>
      </c>
      <c r="I5" s="49" t="n">
        <f aca="false">SUMIFS('교육원 ① 거래입력'!$I$15:$I$2014,'교육원 ① 거래입력'!$O$15:$O$2014,$G$1*100+7,'교육원 ① 거래입력'!$D$15:$D$2014,$B5)</f>
        <v>0</v>
      </c>
      <c r="J5" s="49" t="n">
        <f aca="false">SUMIFS('교육원 ① 거래입력'!$I$15:$I$2014,'교육원 ① 거래입력'!$O$15:$O$2014,$G$1*100+8,'교육원 ① 거래입력'!$D$15:$D$2014,$B5)</f>
        <v>0</v>
      </c>
      <c r="K5" s="49" t="n">
        <f aca="false">SUMIFS('교육원 ① 거래입력'!$I$15:$I$2014,'교육원 ① 거래입력'!$O$15:$O$2014,$G$1*100+9,'교육원 ① 거래입력'!$D$15:$D$2014,$B5)</f>
        <v>1260000</v>
      </c>
      <c r="L5" s="49" t="n">
        <f aca="false">SUMIFS('교육원 ① 거래입력'!$I$15:$I$2014,'교육원 ① 거래입력'!$O$15:$O$2014,$G$1*100+10,'교육원 ① 거래입력'!$D$15:$D$2014,$B5)</f>
        <v>0</v>
      </c>
      <c r="M5" s="49" t="n">
        <f aca="false">SUMIFS('교육원 ① 거래입력'!$I$15:$I$2014,'교육원 ① 거래입력'!$O$15:$O$2014,$G$1*100+11,'교육원 ① 거래입력'!$D$15:$D$2014,$B5)</f>
        <v>0</v>
      </c>
      <c r="N5" s="49" t="n">
        <f aca="false">SUMIFS('교육원 ① 거래입력'!$I$15:$I$2014,'교육원 ① 거래입력'!$O$15:$O$2014,$G$1*100+12,'교육원 ① 거래입력'!$D$15:$D$2014,$B5)</f>
        <v>0</v>
      </c>
      <c r="O5" s="40" t="n">
        <f aca="false">SUM($C5:$N5)</f>
        <v>1260000</v>
      </c>
      <c r="P5" s="49" t="n">
        <f aca="false">IFERROR(AVERAGEIF($C5:$N5,"&lt;&gt;0"),0)</f>
        <v>1260000</v>
      </c>
    </row>
    <row r="6" customFormat="false" ht="15" hidden="false" customHeight="false" outlineLevel="0" collapsed="false">
      <c r="A6" s="47"/>
      <c r="B6" s="48" t="s">
        <v>247</v>
      </c>
      <c r="C6" s="49" t="n">
        <f aca="false">SUMIFS('교육원 ① 거래입력'!$I$15:$I$2014,'교육원 ① 거래입력'!$O$15:$O$2014,$G$1*100+1,'교육원 ① 거래입력'!$D$15:$D$2014,$B6)</f>
        <v>0</v>
      </c>
      <c r="D6" s="49" t="n">
        <f aca="false">SUMIFS('교육원 ① 거래입력'!$I$15:$I$2014,'교육원 ① 거래입력'!$O$15:$O$2014,$G$1*100+2,'교육원 ① 거래입력'!$D$15:$D$2014,$B6)</f>
        <v>0</v>
      </c>
      <c r="E6" s="49" t="n">
        <f aca="false">SUMIFS('교육원 ① 거래입력'!$I$15:$I$2014,'교육원 ① 거래입력'!$O$15:$O$2014,$G$1*100+3,'교육원 ① 거래입력'!$D$15:$D$2014,$B6)</f>
        <v>0</v>
      </c>
      <c r="F6" s="49" t="n">
        <f aca="false">SUMIFS('교육원 ① 거래입력'!$I$15:$I$2014,'교육원 ① 거래입력'!$O$15:$O$2014,$G$1*100+4,'교육원 ① 거래입력'!$D$15:$D$2014,$B6)</f>
        <v>0</v>
      </c>
      <c r="G6" s="49" t="n">
        <f aca="false">SUMIFS('교육원 ① 거래입력'!$I$15:$I$2014,'교육원 ① 거래입력'!$O$15:$O$2014,$G$1*100+5,'교육원 ① 거래입력'!$D$15:$D$2014,$B6)</f>
        <v>0</v>
      </c>
      <c r="H6" s="49" t="n">
        <f aca="false">SUMIFS('교육원 ① 거래입력'!$I$15:$I$2014,'교육원 ① 거래입력'!$O$15:$O$2014,$G$1*100+6,'교육원 ① 거래입력'!$D$15:$D$2014,$B6)</f>
        <v>0</v>
      </c>
      <c r="I6" s="49" t="n">
        <f aca="false">SUMIFS('교육원 ① 거래입력'!$I$15:$I$2014,'교육원 ① 거래입력'!$O$15:$O$2014,$G$1*100+7,'교육원 ① 거래입력'!$D$15:$D$2014,$B6)</f>
        <v>0</v>
      </c>
      <c r="J6" s="49" t="n">
        <f aca="false">SUMIFS('교육원 ① 거래입력'!$I$15:$I$2014,'교육원 ① 거래입력'!$O$15:$O$2014,$G$1*100+8,'교육원 ① 거래입력'!$D$15:$D$2014,$B6)</f>
        <v>0</v>
      </c>
      <c r="K6" s="49" t="n">
        <f aca="false">SUMIFS('교육원 ① 거래입력'!$I$15:$I$2014,'교육원 ① 거래입력'!$O$15:$O$2014,$G$1*100+9,'교육원 ① 거래입력'!$D$15:$D$2014,$B6)</f>
        <v>0</v>
      </c>
      <c r="L6" s="49" t="n">
        <f aca="false">SUMIFS('교육원 ① 거래입력'!$I$15:$I$2014,'교육원 ① 거래입력'!$O$15:$O$2014,$G$1*100+10,'교육원 ① 거래입력'!$D$15:$D$2014,$B6)</f>
        <v>0</v>
      </c>
      <c r="M6" s="49" t="n">
        <f aca="false">SUMIFS('교육원 ① 거래입력'!$I$15:$I$2014,'교육원 ① 거래입력'!$O$15:$O$2014,$G$1*100+11,'교육원 ① 거래입력'!$D$15:$D$2014,$B6)</f>
        <v>0</v>
      </c>
      <c r="N6" s="49" t="n">
        <f aca="false">SUMIFS('교육원 ① 거래입력'!$I$15:$I$2014,'교육원 ① 거래입력'!$O$15:$O$2014,$G$1*100+12,'교육원 ① 거래입력'!$D$15:$D$2014,$B6)</f>
        <v>0</v>
      </c>
      <c r="O6" s="40" t="n">
        <f aca="false">SUM($C6:$N6)</f>
        <v>0</v>
      </c>
      <c r="P6" s="49" t="n">
        <f aca="false">IFERROR(AVERAGEIF($C6:$N6,"&lt;&gt;0"),0)</f>
        <v>0</v>
      </c>
    </row>
    <row r="7" customFormat="false" ht="15" hidden="false" customHeight="false" outlineLevel="0" collapsed="false">
      <c r="A7" s="47"/>
      <c r="B7" s="48" t="s">
        <v>248</v>
      </c>
      <c r="C7" s="49" t="n">
        <f aca="false">SUMIFS('교육원 ① 거래입력'!$I$15:$I$2014,'교육원 ① 거래입력'!$O$15:$O$2014,$G$1*100+1,'교육원 ① 거래입력'!$D$15:$D$2014,$B7)</f>
        <v>0</v>
      </c>
      <c r="D7" s="49" t="n">
        <f aca="false">SUMIFS('교육원 ① 거래입력'!$I$15:$I$2014,'교육원 ① 거래입력'!$O$15:$O$2014,$G$1*100+2,'교육원 ① 거래입력'!$D$15:$D$2014,$B7)</f>
        <v>0</v>
      </c>
      <c r="E7" s="49" t="n">
        <f aca="false">SUMIFS('교육원 ① 거래입력'!$I$15:$I$2014,'교육원 ① 거래입력'!$O$15:$O$2014,$G$1*100+3,'교육원 ① 거래입력'!$D$15:$D$2014,$B7)</f>
        <v>0</v>
      </c>
      <c r="F7" s="49" t="n">
        <f aca="false">SUMIFS('교육원 ① 거래입력'!$I$15:$I$2014,'교육원 ① 거래입력'!$O$15:$O$2014,$G$1*100+4,'교육원 ① 거래입력'!$D$15:$D$2014,$B7)</f>
        <v>0</v>
      </c>
      <c r="G7" s="49" t="n">
        <f aca="false">SUMIFS('교육원 ① 거래입력'!$I$15:$I$2014,'교육원 ① 거래입력'!$O$15:$O$2014,$G$1*100+5,'교육원 ① 거래입력'!$D$15:$D$2014,$B7)</f>
        <v>0</v>
      </c>
      <c r="H7" s="49" t="n">
        <f aca="false">SUMIFS('교육원 ① 거래입력'!$I$15:$I$2014,'교육원 ① 거래입력'!$O$15:$O$2014,$G$1*100+6,'교육원 ① 거래입력'!$D$15:$D$2014,$B7)</f>
        <v>0</v>
      </c>
      <c r="I7" s="49" t="n">
        <f aca="false">SUMIFS('교육원 ① 거래입력'!$I$15:$I$2014,'교육원 ① 거래입력'!$O$15:$O$2014,$G$1*100+7,'교육원 ① 거래입력'!$D$15:$D$2014,$B7)</f>
        <v>0</v>
      </c>
      <c r="J7" s="49" t="n">
        <f aca="false">SUMIFS('교육원 ① 거래입력'!$I$15:$I$2014,'교육원 ① 거래입력'!$O$15:$O$2014,$G$1*100+8,'교육원 ① 거래입력'!$D$15:$D$2014,$B7)</f>
        <v>0</v>
      </c>
      <c r="K7" s="49" t="n">
        <f aca="false">SUMIFS('교육원 ① 거래입력'!$I$15:$I$2014,'교육원 ① 거래입력'!$O$15:$O$2014,$G$1*100+9,'교육원 ① 거래입력'!$D$15:$D$2014,$B7)</f>
        <v>0</v>
      </c>
      <c r="L7" s="49" t="n">
        <f aca="false">SUMIFS('교육원 ① 거래입력'!$I$15:$I$2014,'교육원 ① 거래입력'!$O$15:$O$2014,$G$1*100+10,'교육원 ① 거래입력'!$D$15:$D$2014,$B7)</f>
        <v>0</v>
      </c>
      <c r="M7" s="49" t="n">
        <f aca="false">SUMIFS('교육원 ① 거래입력'!$I$15:$I$2014,'교육원 ① 거래입력'!$O$15:$O$2014,$G$1*100+11,'교육원 ① 거래입력'!$D$15:$D$2014,$B7)</f>
        <v>0</v>
      </c>
      <c r="N7" s="49" t="n">
        <f aca="false">SUMIFS('교육원 ① 거래입력'!$I$15:$I$2014,'교육원 ① 거래입력'!$O$15:$O$2014,$G$1*100+12,'교육원 ① 거래입력'!$D$15:$D$2014,$B7)</f>
        <v>0</v>
      </c>
      <c r="O7" s="40" t="n">
        <f aca="false">SUM($C7:$N7)</f>
        <v>0</v>
      </c>
      <c r="P7" s="49" t="n">
        <f aca="false">IFERROR(AVERAGEIF($C7:$N7,"&lt;&gt;0"),0)</f>
        <v>0</v>
      </c>
    </row>
    <row r="8" customFormat="false" ht="15" hidden="false" customHeight="false" outlineLevel="0" collapsed="false">
      <c r="A8" s="47"/>
      <c r="B8" s="48" t="s">
        <v>123</v>
      </c>
      <c r="C8" s="49" t="n">
        <f aca="false">SUMIFS('교육원 ① 거래입력'!$I$15:$I$2014,'교육원 ① 거래입력'!$O$15:$O$2014,$G$1*100+1,'교육원 ① 거래입력'!$D$15:$D$2014,$B8)</f>
        <v>0</v>
      </c>
      <c r="D8" s="49" t="n">
        <f aca="false">SUMIFS('교육원 ① 거래입력'!$I$15:$I$2014,'교육원 ① 거래입력'!$O$15:$O$2014,$G$1*100+2,'교육원 ① 거래입력'!$D$15:$D$2014,$B8)</f>
        <v>0</v>
      </c>
      <c r="E8" s="49" t="n">
        <f aca="false">SUMIFS('교육원 ① 거래입력'!$I$15:$I$2014,'교육원 ① 거래입력'!$O$15:$O$2014,$G$1*100+3,'교육원 ① 거래입력'!$D$15:$D$2014,$B8)</f>
        <v>0</v>
      </c>
      <c r="F8" s="49" t="n">
        <f aca="false">SUMIFS('교육원 ① 거래입력'!$I$15:$I$2014,'교육원 ① 거래입력'!$O$15:$O$2014,$G$1*100+4,'교육원 ① 거래입력'!$D$15:$D$2014,$B8)</f>
        <v>0</v>
      </c>
      <c r="G8" s="49" t="n">
        <f aca="false">SUMIFS('교육원 ① 거래입력'!$I$15:$I$2014,'교육원 ① 거래입력'!$O$15:$O$2014,$G$1*100+5,'교육원 ① 거래입력'!$D$15:$D$2014,$B8)</f>
        <v>0</v>
      </c>
      <c r="H8" s="49" t="n">
        <f aca="false">SUMIFS('교육원 ① 거래입력'!$I$15:$I$2014,'교육원 ① 거래입력'!$O$15:$O$2014,$G$1*100+6,'교육원 ① 거래입력'!$D$15:$D$2014,$B8)</f>
        <v>0</v>
      </c>
      <c r="I8" s="49" t="n">
        <f aca="false">SUMIFS('교육원 ① 거래입력'!$I$15:$I$2014,'교육원 ① 거래입력'!$O$15:$O$2014,$G$1*100+7,'교육원 ① 거래입력'!$D$15:$D$2014,$B8)</f>
        <v>0</v>
      </c>
      <c r="J8" s="49" t="n">
        <f aca="false">SUMIFS('교육원 ① 거래입력'!$I$15:$I$2014,'교육원 ① 거래입력'!$O$15:$O$2014,$G$1*100+8,'교육원 ① 거래입력'!$D$15:$D$2014,$B8)</f>
        <v>0</v>
      </c>
      <c r="K8" s="49" t="n">
        <f aca="false">SUMIFS('교육원 ① 거래입력'!$I$15:$I$2014,'교육원 ① 거래입력'!$O$15:$O$2014,$G$1*100+9,'교육원 ① 거래입력'!$D$15:$D$2014,$B8)</f>
        <v>0</v>
      </c>
      <c r="L8" s="49" t="n">
        <f aca="false">SUMIFS('교육원 ① 거래입력'!$I$15:$I$2014,'교육원 ① 거래입력'!$O$15:$O$2014,$G$1*100+10,'교육원 ① 거래입력'!$D$15:$D$2014,$B8)</f>
        <v>0</v>
      </c>
      <c r="M8" s="49" t="n">
        <f aca="false">SUMIFS('교육원 ① 거래입력'!$I$15:$I$2014,'교육원 ① 거래입력'!$O$15:$O$2014,$G$1*100+11,'교육원 ① 거래입력'!$D$15:$D$2014,$B8)</f>
        <v>0</v>
      </c>
      <c r="N8" s="49" t="n">
        <f aca="false">SUMIFS('교육원 ① 거래입력'!$I$15:$I$2014,'교육원 ① 거래입력'!$O$15:$O$2014,$G$1*100+12,'교육원 ① 거래입력'!$D$15:$D$2014,$B8)</f>
        <v>0</v>
      </c>
      <c r="O8" s="40" t="n">
        <f aca="false">SUM($C8:$N8)</f>
        <v>0</v>
      </c>
      <c r="P8" s="49" t="n">
        <f aca="false">IFERROR(AVERAGEIF($C8:$N8,"&lt;&gt;0"),0)</f>
        <v>0</v>
      </c>
    </row>
    <row r="9" customFormat="false" ht="15" hidden="false" customHeight="false" outlineLevel="0" collapsed="false">
      <c r="A9" s="47"/>
      <c r="B9" s="48" t="s">
        <v>111</v>
      </c>
      <c r="C9" s="49" t="n">
        <f aca="false">SUMIFS('교육원 ① 거래입력'!$I$15:$I$2014,'교육원 ① 거래입력'!$O$15:$O$2014,$G$1*100+1,'교육원 ① 거래입력'!$D$15:$D$2014,$B9)</f>
        <v>0</v>
      </c>
      <c r="D9" s="49" t="n">
        <f aca="false">SUMIFS('교육원 ① 거래입력'!$I$15:$I$2014,'교육원 ① 거래입력'!$O$15:$O$2014,$G$1*100+2,'교육원 ① 거래입력'!$D$15:$D$2014,$B9)</f>
        <v>0</v>
      </c>
      <c r="E9" s="49" t="n">
        <f aca="false">SUMIFS('교육원 ① 거래입력'!$I$15:$I$2014,'교육원 ① 거래입력'!$O$15:$O$2014,$G$1*100+3,'교육원 ① 거래입력'!$D$15:$D$2014,$B9)</f>
        <v>0</v>
      </c>
      <c r="F9" s="49" t="n">
        <f aca="false">SUMIFS('교육원 ① 거래입력'!$I$15:$I$2014,'교육원 ① 거래입력'!$O$15:$O$2014,$G$1*100+4,'교육원 ① 거래입력'!$D$15:$D$2014,$B9)</f>
        <v>0</v>
      </c>
      <c r="G9" s="49" t="n">
        <f aca="false">SUMIFS('교육원 ① 거래입력'!$I$15:$I$2014,'교육원 ① 거래입력'!$O$15:$O$2014,$G$1*100+5,'교육원 ① 거래입력'!$D$15:$D$2014,$B9)</f>
        <v>0</v>
      </c>
      <c r="H9" s="49" t="n">
        <f aca="false">SUMIFS('교육원 ① 거래입력'!$I$15:$I$2014,'교육원 ① 거래입력'!$O$15:$O$2014,$G$1*100+6,'교육원 ① 거래입력'!$D$15:$D$2014,$B9)</f>
        <v>0</v>
      </c>
      <c r="I9" s="49" t="n">
        <f aca="false">SUMIFS('교육원 ① 거래입력'!$I$15:$I$2014,'교육원 ① 거래입력'!$O$15:$O$2014,$G$1*100+7,'교육원 ① 거래입력'!$D$15:$D$2014,$B9)</f>
        <v>0</v>
      </c>
      <c r="J9" s="49" t="n">
        <f aca="false">SUMIFS('교육원 ① 거래입력'!$I$15:$I$2014,'교육원 ① 거래입력'!$O$15:$O$2014,$G$1*100+8,'교육원 ① 거래입력'!$D$15:$D$2014,$B9)</f>
        <v>0</v>
      </c>
      <c r="K9" s="49" t="n">
        <f aca="false">SUMIFS('교육원 ① 거래입력'!$I$15:$I$2014,'교육원 ① 거래입력'!$O$15:$O$2014,$G$1*100+9,'교육원 ① 거래입력'!$D$15:$D$2014,$B9)</f>
        <v>0</v>
      </c>
      <c r="L9" s="49" t="n">
        <f aca="false">SUMIFS('교육원 ① 거래입력'!$I$15:$I$2014,'교육원 ① 거래입력'!$O$15:$O$2014,$G$1*100+10,'교육원 ① 거래입력'!$D$15:$D$2014,$B9)</f>
        <v>0</v>
      </c>
      <c r="M9" s="49" t="n">
        <f aca="false">SUMIFS('교육원 ① 거래입력'!$I$15:$I$2014,'교육원 ① 거래입력'!$O$15:$O$2014,$G$1*100+11,'교육원 ① 거래입력'!$D$15:$D$2014,$B9)</f>
        <v>0</v>
      </c>
      <c r="N9" s="49" t="n">
        <f aca="false">SUMIFS('교육원 ① 거래입력'!$I$15:$I$2014,'교육원 ① 거래입력'!$O$15:$O$2014,$G$1*100+12,'교육원 ① 거래입력'!$D$15:$D$2014,$B9)</f>
        <v>0</v>
      </c>
      <c r="O9" s="40" t="n">
        <f aca="false">SUM($C9:$N9)</f>
        <v>0</v>
      </c>
      <c r="P9" s="49" t="n">
        <f aca="false">IFERROR(AVERAGEIF($C9:$N9,"&lt;&gt;0"),0)</f>
        <v>0</v>
      </c>
    </row>
    <row r="10" customFormat="false" ht="15" hidden="false" customHeight="false" outlineLevel="0" collapsed="false">
      <c r="A10" s="47"/>
      <c r="B10" s="48" t="s">
        <v>124</v>
      </c>
      <c r="C10" s="49" t="n">
        <f aca="false">SUMIFS('교육원 ① 거래입력'!$I$15:$I$2014,'교육원 ① 거래입력'!$O$15:$O$2014,$G$1*100+1,'교육원 ① 거래입력'!$D$15:$D$2014,$B10)</f>
        <v>0</v>
      </c>
      <c r="D10" s="49" t="n">
        <f aca="false">SUMIFS('교육원 ① 거래입력'!$I$15:$I$2014,'교육원 ① 거래입력'!$O$15:$O$2014,$G$1*100+2,'교육원 ① 거래입력'!$D$15:$D$2014,$B10)</f>
        <v>0</v>
      </c>
      <c r="E10" s="49" t="n">
        <f aca="false">SUMIFS('교육원 ① 거래입력'!$I$15:$I$2014,'교육원 ① 거래입력'!$O$15:$O$2014,$G$1*100+3,'교육원 ① 거래입력'!$D$15:$D$2014,$B10)</f>
        <v>0</v>
      </c>
      <c r="F10" s="49" t="n">
        <f aca="false">SUMIFS('교육원 ① 거래입력'!$I$15:$I$2014,'교육원 ① 거래입력'!$O$15:$O$2014,$G$1*100+4,'교육원 ① 거래입력'!$D$15:$D$2014,$B10)</f>
        <v>0</v>
      </c>
      <c r="G10" s="49" t="n">
        <f aca="false">SUMIFS('교육원 ① 거래입력'!$I$15:$I$2014,'교육원 ① 거래입력'!$O$15:$O$2014,$G$1*100+5,'교육원 ① 거래입력'!$D$15:$D$2014,$B10)</f>
        <v>0</v>
      </c>
      <c r="H10" s="49" t="n">
        <f aca="false">SUMIFS('교육원 ① 거래입력'!$I$15:$I$2014,'교육원 ① 거래입력'!$O$15:$O$2014,$G$1*100+6,'교육원 ① 거래입력'!$D$15:$D$2014,$B10)</f>
        <v>0</v>
      </c>
      <c r="I10" s="49" t="n">
        <f aca="false">SUMIFS('교육원 ① 거래입력'!$I$15:$I$2014,'교육원 ① 거래입력'!$O$15:$O$2014,$G$1*100+7,'교육원 ① 거래입력'!$D$15:$D$2014,$B10)</f>
        <v>0</v>
      </c>
      <c r="J10" s="49" t="n">
        <f aca="false">SUMIFS('교육원 ① 거래입력'!$I$15:$I$2014,'교육원 ① 거래입력'!$O$15:$O$2014,$G$1*100+8,'교육원 ① 거래입력'!$D$15:$D$2014,$B10)</f>
        <v>0</v>
      </c>
      <c r="K10" s="49" t="n">
        <f aca="false">SUMIFS('교육원 ① 거래입력'!$I$15:$I$2014,'교육원 ① 거래입력'!$O$15:$O$2014,$G$1*100+9,'교육원 ① 거래입력'!$D$15:$D$2014,$B10)</f>
        <v>0</v>
      </c>
      <c r="L10" s="49" t="n">
        <f aca="false">SUMIFS('교육원 ① 거래입력'!$I$15:$I$2014,'교육원 ① 거래입력'!$O$15:$O$2014,$G$1*100+10,'교육원 ① 거래입력'!$D$15:$D$2014,$B10)</f>
        <v>0</v>
      </c>
      <c r="M10" s="49" t="n">
        <f aca="false">SUMIFS('교육원 ① 거래입력'!$I$15:$I$2014,'교육원 ① 거래입력'!$O$15:$O$2014,$G$1*100+11,'교육원 ① 거래입력'!$D$15:$D$2014,$B10)</f>
        <v>0</v>
      </c>
      <c r="N10" s="49" t="n">
        <f aca="false">SUMIFS('교육원 ① 거래입력'!$I$15:$I$2014,'교육원 ① 거래입력'!$O$15:$O$2014,$G$1*100+12,'교육원 ① 거래입력'!$D$15:$D$2014,$B10)</f>
        <v>0</v>
      </c>
      <c r="O10" s="40" t="n">
        <f aca="false">SUM($C10:$N10)</f>
        <v>0</v>
      </c>
      <c r="P10" s="49" t="n">
        <f aca="false">IFERROR(AVERAGEIF($C10:$N10,"&lt;&gt;0"),0)</f>
        <v>0</v>
      </c>
    </row>
    <row r="11" customFormat="false" ht="15" hidden="false" customHeight="false" outlineLevel="0" collapsed="false">
      <c r="A11" s="47"/>
      <c r="B11" s="48" t="s">
        <v>125</v>
      </c>
      <c r="C11" s="49" t="n">
        <f aca="false">SUMIFS('교육원 ① 거래입력'!$I$15:$I$2014,'교육원 ① 거래입력'!$O$15:$O$2014,$G$1*100+1,'교육원 ① 거래입력'!$D$15:$D$2014,$B11)</f>
        <v>0</v>
      </c>
      <c r="D11" s="49" t="n">
        <f aca="false">SUMIFS('교육원 ① 거래입력'!$I$15:$I$2014,'교육원 ① 거래입력'!$O$15:$O$2014,$G$1*100+2,'교육원 ① 거래입력'!$D$15:$D$2014,$B11)</f>
        <v>0</v>
      </c>
      <c r="E11" s="49" t="n">
        <f aca="false">SUMIFS('교육원 ① 거래입력'!$I$15:$I$2014,'교육원 ① 거래입력'!$O$15:$O$2014,$G$1*100+3,'교육원 ① 거래입력'!$D$15:$D$2014,$B11)</f>
        <v>0</v>
      </c>
      <c r="F11" s="49" t="n">
        <f aca="false">SUMIFS('교육원 ① 거래입력'!$I$15:$I$2014,'교육원 ① 거래입력'!$O$15:$O$2014,$G$1*100+4,'교육원 ① 거래입력'!$D$15:$D$2014,$B11)</f>
        <v>0</v>
      </c>
      <c r="G11" s="49" t="n">
        <f aca="false">SUMIFS('교육원 ① 거래입력'!$I$15:$I$2014,'교육원 ① 거래입력'!$O$15:$O$2014,$G$1*100+5,'교육원 ① 거래입력'!$D$15:$D$2014,$B11)</f>
        <v>0</v>
      </c>
      <c r="H11" s="49" t="n">
        <f aca="false">SUMIFS('교육원 ① 거래입력'!$I$15:$I$2014,'교육원 ① 거래입력'!$O$15:$O$2014,$G$1*100+6,'교육원 ① 거래입력'!$D$15:$D$2014,$B11)</f>
        <v>0</v>
      </c>
      <c r="I11" s="49" t="n">
        <f aca="false">SUMIFS('교육원 ① 거래입력'!$I$15:$I$2014,'교육원 ① 거래입력'!$O$15:$O$2014,$G$1*100+7,'교육원 ① 거래입력'!$D$15:$D$2014,$B11)</f>
        <v>0</v>
      </c>
      <c r="J11" s="49" t="n">
        <f aca="false">SUMIFS('교육원 ① 거래입력'!$I$15:$I$2014,'교육원 ① 거래입력'!$O$15:$O$2014,$G$1*100+8,'교육원 ① 거래입력'!$D$15:$D$2014,$B11)</f>
        <v>0</v>
      </c>
      <c r="K11" s="49" t="n">
        <f aca="false">SUMIFS('교육원 ① 거래입력'!$I$15:$I$2014,'교육원 ① 거래입력'!$O$15:$O$2014,$G$1*100+9,'교육원 ① 거래입력'!$D$15:$D$2014,$B11)</f>
        <v>0</v>
      </c>
      <c r="L11" s="49" t="n">
        <f aca="false">SUMIFS('교육원 ① 거래입력'!$I$15:$I$2014,'교육원 ① 거래입력'!$O$15:$O$2014,$G$1*100+10,'교육원 ① 거래입력'!$D$15:$D$2014,$B11)</f>
        <v>0</v>
      </c>
      <c r="M11" s="49" t="n">
        <f aca="false">SUMIFS('교육원 ① 거래입력'!$I$15:$I$2014,'교육원 ① 거래입력'!$O$15:$O$2014,$G$1*100+11,'교육원 ① 거래입력'!$D$15:$D$2014,$B11)</f>
        <v>0</v>
      </c>
      <c r="N11" s="49" t="n">
        <f aca="false">SUMIFS('교육원 ① 거래입력'!$I$15:$I$2014,'교육원 ① 거래입력'!$O$15:$O$2014,$G$1*100+12,'교육원 ① 거래입력'!$D$15:$D$2014,$B11)</f>
        <v>0</v>
      </c>
      <c r="O11" s="40" t="n">
        <f aca="false">SUM($C11:$N11)</f>
        <v>0</v>
      </c>
      <c r="P11" s="49" t="n">
        <f aca="false">IFERROR(AVERAGEIF($C11:$N11,"&lt;&gt;0"),0)</f>
        <v>0</v>
      </c>
    </row>
    <row r="12" customFormat="false" ht="15" hidden="false" customHeight="false" outlineLevel="0" collapsed="false">
      <c r="A12" s="16"/>
      <c r="B12" s="17" t="s">
        <v>126</v>
      </c>
      <c r="C12" s="24" t="n">
        <f aca="false">SUM(C5:C11)</f>
        <v>0</v>
      </c>
      <c r="D12" s="24" t="n">
        <f aca="false">SUM(D5:D11)</f>
        <v>0</v>
      </c>
      <c r="E12" s="24" t="n">
        <f aca="false">SUM(E5:E11)</f>
        <v>0</v>
      </c>
      <c r="F12" s="24" t="n">
        <f aca="false">SUM(F5:F11)</f>
        <v>0</v>
      </c>
      <c r="G12" s="24" t="n">
        <f aca="false">SUM(G5:G11)</f>
        <v>0</v>
      </c>
      <c r="H12" s="24" t="n">
        <f aca="false">SUM(H5:H11)</f>
        <v>0</v>
      </c>
      <c r="I12" s="24" t="n">
        <f aca="false">SUM(I5:I11)</f>
        <v>0</v>
      </c>
      <c r="J12" s="24" t="n">
        <f aca="false">SUM(J5:J11)</f>
        <v>0</v>
      </c>
      <c r="K12" s="24" t="n">
        <f aca="false">SUM(K5:K11)</f>
        <v>1260000</v>
      </c>
      <c r="L12" s="24" t="n">
        <f aca="false">SUM(L5:L11)</f>
        <v>0</v>
      </c>
      <c r="M12" s="24" t="n">
        <f aca="false">SUM(M5:M11)</f>
        <v>0</v>
      </c>
      <c r="N12" s="24" t="n">
        <f aca="false">SUM(N5:N11)</f>
        <v>0</v>
      </c>
      <c r="O12" s="24" t="n">
        <f aca="false">SUM(O5:O11)</f>
        <v>1260000</v>
      </c>
      <c r="P12" s="24" t="n">
        <f aca="false">SUM(P5:P11)</f>
        <v>1260000</v>
      </c>
    </row>
    <row r="14" customFormat="false" ht="15" hidden="false" customHeight="false" outlineLevel="0" collapsed="false">
      <c r="A14" s="50" t="s">
        <v>127</v>
      </c>
      <c r="B14" s="51" t="s">
        <v>128</v>
      </c>
      <c r="C14" s="52" t="n">
        <f aca="false">SUMIFS('교육원 ① 거래입력'!$J$15:$J$2014,'교육원 ① 거래입력'!$O$15:$O$2014,$G$1*100+1,'교육원 ① 거래입력'!$D$15:$D$2014,$B14)</f>
        <v>0</v>
      </c>
      <c r="D14" s="52" t="n">
        <f aca="false">SUMIFS('교육원 ① 거래입력'!$J$15:$J$2014,'교육원 ① 거래입력'!$O$15:$O$2014,$G$1*100+2,'교육원 ① 거래입력'!$D$15:$D$2014,$B14)</f>
        <v>0</v>
      </c>
      <c r="E14" s="52" t="n">
        <f aca="false">SUMIFS('교육원 ① 거래입력'!$J$15:$J$2014,'교육원 ① 거래입력'!$O$15:$O$2014,$G$1*100+3,'교육원 ① 거래입력'!$D$15:$D$2014,$B14)</f>
        <v>0</v>
      </c>
      <c r="F14" s="52" t="n">
        <f aca="false">SUMIFS('교육원 ① 거래입력'!$J$15:$J$2014,'교육원 ① 거래입력'!$O$15:$O$2014,$G$1*100+4,'교육원 ① 거래입력'!$D$15:$D$2014,$B14)</f>
        <v>0</v>
      </c>
      <c r="G14" s="52" t="n">
        <f aca="false">SUMIFS('교육원 ① 거래입력'!$J$15:$J$2014,'교육원 ① 거래입력'!$O$15:$O$2014,$G$1*100+5,'교육원 ① 거래입력'!$D$15:$D$2014,$B14)</f>
        <v>0</v>
      </c>
      <c r="H14" s="52" t="n">
        <f aca="false">SUMIFS('교육원 ① 거래입력'!$J$15:$J$2014,'교육원 ① 거래입력'!$O$15:$O$2014,$G$1*100+6,'교육원 ① 거래입력'!$D$15:$D$2014,$B14)</f>
        <v>0</v>
      </c>
      <c r="I14" s="52" t="n">
        <f aca="false">SUMIFS('교육원 ① 거래입력'!$J$15:$J$2014,'교육원 ① 거래입력'!$O$15:$O$2014,$G$1*100+7,'교육원 ① 거래입력'!$D$15:$D$2014,$B14)</f>
        <v>0</v>
      </c>
      <c r="J14" s="52" t="n">
        <f aca="false">SUMIFS('교육원 ① 거래입력'!$J$15:$J$2014,'교육원 ① 거래입력'!$O$15:$O$2014,$G$1*100+8,'교육원 ① 거래입력'!$D$15:$D$2014,$B14)</f>
        <v>0</v>
      </c>
      <c r="K14" s="52" t="n">
        <f aca="false">SUMIFS('교육원 ① 거래입력'!$J$15:$J$2014,'교육원 ① 거래입력'!$O$15:$O$2014,$G$1*100+9,'교육원 ① 거래입력'!$D$15:$D$2014,$B14)</f>
        <v>0</v>
      </c>
      <c r="L14" s="52" t="n">
        <f aca="false">SUMIFS('교육원 ① 거래입력'!$J$15:$J$2014,'교육원 ① 거래입력'!$O$15:$O$2014,$G$1*100+10,'교육원 ① 거래입력'!$D$15:$D$2014,$B14)</f>
        <v>0</v>
      </c>
      <c r="M14" s="52" t="n">
        <f aca="false">SUMIFS('교육원 ① 거래입력'!$J$15:$J$2014,'교육원 ① 거래입력'!$O$15:$O$2014,$G$1*100+11,'교육원 ① 거래입력'!$D$15:$D$2014,$B14)</f>
        <v>0</v>
      </c>
      <c r="N14" s="52" t="n">
        <f aca="false">SUMIFS('교육원 ① 거래입력'!$J$15:$J$2014,'교육원 ① 거래입력'!$O$15:$O$2014,$G$1*100+12,'교육원 ① 거래입력'!$D$15:$D$2014,$B14)</f>
        <v>0</v>
      </c>
      <c r="O14" s="53" t="n">
        <f aca="false">SUM($C14:$N14)</f>
        <v>0</v>
      </c>
      <c r="P14" s="52" t="n">
        <f aca="false">IFERROR(AVERAGEIF($C14:$N14,"&lt;&gt;0"),0)</f>
        <v>0</v>
      </c>
    </row>
    <row r="15" customFormat="false" ht="15" hidden="false" customHeight="false" outlineLevel="0" collapsed="false">
      <c r="A15" s="50"/>
      <c r="B15" s="54" t="s">
        <v>105</v>
      </c>
      <c r="C15" s="52" t="n">
        <f aca="false">SUMIFS('교육원 ① 거래입력'!$J$15:$J$2014,'교육원 ① 거래입력'!$O$15:$O$2014,$G$1*100+1,'교육원 ① 거래입력'!$D$15:$D$2014,$B15)</f>
        <v>0</v>
      </c>
      <c r="D15" s="52" t="n">
        <f aca="false">SUMIFS('교육원 ① 거래입력'!$J$15:$J$2014,'교육원 ① 거래입력'!$O$15:$O$2014,$G$1*100+2,'교육원 ① 거래입력'!$D$15:$D$2014,$B15)</f>
        <v>0</v>
      </c>
      <c r="E15" s="52" t="n">
        <f aca="false">SUMIFS('교육원 ① 거래입력'!$J$15:$J$2014,'교육원 ① 거래입력'!$O$15:$O$2014,$G$1*100+3,'교육원 ① 거래입력'!$D$15:$D$2014,$B15)</f>
        <v>0</v>
      </c>
      <c r="F15" s="52" t="n">
        <f aca="false">SUMIFS('교육원 ① 거래입력'!$J$15:$J$2014,'교육원 ① 거래입력'!$O$15:$O$2014,$G$1*100+4,'교육원 ① 거래입력'!$D$15:$D$2014,$B15)</f>
        <v>0</v>
      </c>
      <c r="G15" s="52" t="n">
        <f aca="false">SUMIFS('교육원 ① 거래입력'!$J$15:$J$2014,'교육원 ① 거래입력'!$O$15:$O$2014,$G$1*100+5,'교육원 ① 거래입력'!$D$15:$D$2014,$B15)</f>
        <v>0</v>
      </c>
      <c r="H15" s="52" t="n">
        <f aca="false">SUMIFS('교육원 ① 거래입력'!$J$15:$J$2014,'교육원 ① 거래입력'!$O$15:$O$2014,$G$1*100+6,'교육원 ① 거래입력'!$D$15:$D$2014,$B15)</f>
        <v>0</v>
      </c>
      <c r="I15" s="52" t="n">
        <f aca="false">SUMIFS('교육원 ① 거래입력'!$J$15:$J$2014,'교육원 ① 거래입력'!$O$15:$O$2014,$G$1*100+7,'교육원 ① 거래입력'!$D$15:$D$2014,$B15)</f>
        <v>0</v>
      </c>
      <c r="J15" s="52" t="n">
        <f aca="false">SUMIFS('교육원 ① 거래입력'!$J$15:$J$2014,'교육원 ① 거래입력'!$O$15:$O$2014,$G$1*100+8,'교육원 ① 거래입력'!$D$15:$D$2014,$B15)</f>
        <v>0</v>
      </c>
      <c r="K15" s="52" t="n">
        <f aca="false">SUMIFS('교육원 ① 거래입력'!$J$15:$J$2014,'교육원 ① 거래입력'!$O$15:$O$2014,$G$1*100+9,'교육원 ① 거래입력'!$D$15:$D$2014,$B15)</f>
        <v>0</v>
      </c>
      <c r="L15" s="52" t="n">
        <f aca="false">SUMIFS('교육원 ① 거래입력'!$J$15:$J$2014,'교육원 ① 거래입력'!$O$15:$O$2014,$G$1*100+10,'교육원 ① 거래입력'!$D$15:$D$2014,$B15)</f>
        <v>0</v>
      </c>
      <c r="M15" s="52" t="n">
        <f aca="false">SUMIFS('교육원 ① 거래입력'!$J$15:$J$2014,'교육원 ① 거래입력'!$O$15:$O$2014,$G$1*100+11,'교육원 ① 거래입력'!$D$15:$D$2014,$B15)</f>
        <v>0</v>
      </c>
      <c r="N15" s="52" t="n">
        <f aca="false">SUMIFS('교육원 ① 거래입력'!$J$15:$J$2014,'교육원 ① 거래입력'!$O$15:$O$2014,$G$1*100+12,'교육원 ① 거래입력'!$D$15:$D$2014,$B15)</f>
        <v>0</v>
      </c>
      <c r="O15" s="53" t="n">
        <f aca="false">SUM($C15:$N15)</f>
        <v>0</v>
      </c>
      <c r="P15" s="52" t="n">
        <f aca="false">IFERROR(AVERAGEIF($C15:$N15,"&lt;&gt;0"),0)</f>
        <v>0</v>
      </c>
    </row>
    <row r="16" customFormat="false" ht="15" hidden="false" customHeight="false" outlineLevel="0" collapsed="false">
      <c r="A16" s="50"/>
      <c r="B16" s="51" t="s">
        <v>129</v>
      </c>
      <c r="C16" s="52" t="n">
        <f aca="false">SUMIFS('교육원 ① 거래입력'!$J$15:$J$2014,'교육원 ① 거래입력'!$O$15:$O$2014,$G$1*100+1,'교육원 ① 거래입력'!$D$15:$D$2014,$B16)</f>
        <v>0</v>
      </c>
      <c r="D16" s="52" t="n">
        <f aca="false">SUMIFS('교육원 ① 거래입력'!$J$15:$J$2014,'교육원 ① 거래입력'!$O$15:$O$2014,$G$1*100+2,'교육원 ① 거래입력'!$D$15:$D$2014,$B16)</f>
        <v>0</v>
      </c>
      <c r="E16" s="52" t="n">
        <f aca="false">SUMIFS('교육원 ① 거래입력'!$J$15:$J$2014,'교육원 ① 거래입력'!$O$15:$O$2014,$G$1*100+3,'교육원 ① 거래입력'!$D$15:$D$2014,$B16)</f>
        <v>0</v>
      </c>
      <c r="F16" s="52" t="n">
        <f aca="false">SUMIFS('교육원 ① 거래입력'!$J$15:$J$2014,'교육원 ① 거래입력'!$O$15:$O$2014,$G$1*100+4,'교육원 ① 거래입력'!$D$15:$D$2014,$B16)</f>
        <v>0</v>
      </c>
      <c r="G16" s="52" t="n">
        <f aca="false">SUMIFS('교육원 ① 거래입력'!$J$15:$J$2014,'교육원 ① 거래입력'!$O$15:$O$2014,$G$1*100+5,'교육원 ① 거래입력'!$D$15:$D$2014,$B16)</f>
        <v>0</v>
      </c>
      <c r="H16" s="52" t="n">
        <f aca="false">SUMIFS('교육원 ① 거래입력'!$J$15:$J$2014,'교육원 ① 거래입력'!$O$15:$O$2014,$G$1*100+6,'교육원 ① 거래입력'!$D$15:$D$2014,$B16)</f>
        <v>0</v>
      </c>
      <c r="I16" s="52" t="n">
        <f aca="false">SUMIFS('교육원 ① 거래입력'!$J$15:$J$2014,'교육원 ① 거래입력'!$O$15:$O$2014,$G$1*100+7,'교육원 ① 거래입력'!$D$15:$D$2014,$B16)</f>
        <v>0</v>
      </c>
      <c r="J16" s="52" t="n">
        <f aca="false">SUMIFS('교육원 ① 거래입력'!$J$15:$J$2014,'교육원 ① 거래입력'!$O$15:$O$2014,$G$1*100+8,'교육원 ① 거래입력'!$D$15:$D$2014,$B16)</f>
        <v>0</v>
      </c>
      <c r="K16" s="52" t="n">
        <f aca="false">SUMIFS('교육원 ① 거래입력'!$J$15:$J$2014,'교육원 ① 거래입력'!$O$15:$O$2014,$G$1*100+9,'교육원 ① 거래입력'!$D$15:$D$2014,$B16)</f>
        <v>0</v>
      </c>
      <c r="L16" s="52" t="n">
        <f aca="false">SUMIFS('교육원 ① 거래입력'!$J$15:$J$2014,'교육원 ① 거래입력'!$O$15:$O$2014,$G$1*100+10,'교육원 ① 거래입력'!$D$15:$D$2014,$B16)</f>
        <v>0</v>
      </c>
      <c r="M16" s="52" t="n">
        <f aca="false">SUMIFS('교육원 ① 거래입력'!$J$15:$J$2014,'교육원 ① 거래입력'!$O$15:$O$2014,$G$1*100+11,'교육원 ① 거래입력'!$D$15:$D$2014,$B16)</f>
        <v>0</v>
      </c>
      <c r="N16" s="52" t="n">
        <f aca="false">SUMIFS('교육원 ① 거래입력'!$J$15:$J$2014,'교육원 ① 거래입력'!$O$15:$O$2014,$G$1*100+12,'교육원 ① 거래입력'!$D$15:$D$2014,$B16)</f>
        <v>0</v>
      </c>
      <c r="O16" s="53" t="n">
        <f aca="false">SUM($C16:$N16)</f>
        <v>0</v>
      </c>
      <c r="P16" s="52" t="n">
        <f aca="false">IFERROR(AVERAGEIF($C16:$N16,"&lt;&gt;0"),0)</f>
        <v>0</v>
      </c>
    </row>
    <row r="17" customFormat="false" ht="15" hidden="false" customHeight="false" outlineLevel="0" collapsed="false">
      <c r="A17" s="50"/>
      <c r="B17" s="51" t="s">
        <v>96</v>
      </c>
      <c r="C17" s="52" t="n">
        <f aca="false">SUMIFS('교육원 ① 거래입력'!$J$15:$J$2014,'교육원 ① 거래입력'!$O$15:$O$2014,$G$1*100+1,'교육원 ① 거래입력'!$D$15:$D$2014,$B17)</f>
        <v>0</v>
      </c>
      <c r="D17" s="52" t="n">
        <f aca="false">SUMIFS('교육원 ① 거래입력'!$J$15:$J$2014,'교육원 ① 거래입력'!$O$15:$O$2014,$G$1*100+2,'교육원 ① 거래입력'!$D$15:$D$2014,$B17)</f>
        <v>0</v>
      </c>
      <c r="E17" s="52" t="n">
        <f aca="false">SUMIFS('교육원 ① 거래입력'!$J$15:$J$2014,'교육원 ① 거래입력'!$O$15:$O$2014,$G$1*100+3,'교육원 ① 거래입력'!$D$15:$D$2014,$B17)</f>
        <v>0</v>
      </c>
      <c r="F17" s="52" t="n">
        <f aca="false">SUMIFS('교육원 ① 거래입력'!$J$15:$J$2014,'교육원 ① 거래입력'!$O$15:$O$2014,$G$1*100+4,'교육원 ① 거래입력'!$D$15:$D$2014,$B17)</f>
        <v>0</v>
      </c>
      <c r="G17" s="52" t="n">
        <f aca="false">SUMIFS('교육원 ① 거래입력'!$J$15:$J$2014,'교육원 ① 거래입력'!$O$15:$O$2014,$G$1*100+5,'교육원 ① 거래입력'!$D$15:$D$2014,$B17)</f>
        <v>0</v>
      </c>
      <c r="H17" s="52" t="n">
        <f aca="false">SUMIFS('교육원 ① 거래입력'!$J$15:$J$2014,'교육원 ① 거래입력'!$O$15:$O$2014,$G$1*100+6,'교육원 ① 거래입력'!$D$15:$D$2014,$B17)</f>
        <v>0</v>
      </c>
      <c r="I17" s="52" t="n">
        <f aca="false">SUMIFS('교육원 ① 거래입력'!$J$15:$J$2014,'교육원 ① 거래입력'!$O$15:$O$2014,$G$1*100+7,'교육원 ① 거래입력'!$D$15:$D$2014,$B17)</f>
        <v>0</v>
      </c>
      <c r="J17" s="52" t="n">
        <f aca="false">SUMIFS('교육원 ① 거래입력'!$J$15:$J$2014,'교육원 ① 거래입력'!$O$15:$O$2014,$G$1*100+8,'교육원 ① 거래입력'!$D$15:$D$2014,$B17)</f>
        <v>0</v>
      </c>
      <c r="K17" s="52" t="n">
        <f aca="false">SUMIFS('교육원 ① 거래입력'!$J$15:$J$2014,'교육원 ① 거래입력'!$O$15:$O$2014,$G$1*100+9,'교육원 ① 거래입력'!$D$15:$D$2014,$B17)</f>
        <v>0</v>
      </c>
      <c r="L17" s="52" t="n">
        <f aca="false">SUMIFS('교육원 ① 거래입력'!$J$15:$J$2014,'교육원 ① 거래입력'!$O$15:$O$2014,$G$1*100+10,'교육원 ① 거래입력'!$D$15:$D$2014,$B17)</f>
        <v>0</v>
      </c>
      <c r="M17" s="52" t="n">
        <f aca="false">SUMIFS('교육원 ① 거래입력'!$J$15:$J$2014,'교육원 ① 거래입력'!$O$15:$O$2014,$G$1*100+11,'교육원 ① 거래입력'!$D$15:$D$2014,$B17)</f>
        <v>0</v>
      </c>
      <c r="N17" s="52" t="n">
        <f aca="false">SUMIFS('교육원 ① 거래입력'!$J$15:$J$2014,'교육원 ① 거래입력'!$O$15:$O$2014,$G$1*100+12,'교육원 ① 거래입력'!$D$15:$D$2014,$B17)</f>
        <v>0</v>
      </c>
      <c r="O17" s="53" t="n">
        <f aca="false">SUM($C17:$N17)</f>
        <v>0</v>
      </c>
      <c r="P17" s="52" t="n">
        <f aca="false">IFERROR(AVERAGEIF($C17:$N17,"&lt;&gt;0"),0)</f>
        <v>0</v>
      </c>
    </row>
    <row r="18" customFormat="false" ht="15" hidden="false" customHeight="false" outlineLevel="0" collapsed="false">
      <c r="A18" s="50"/>
      <c r="B18" s="51" t="s">
        <v>130</v>
      </c>
      <c r="C18" s="52" t="n">
        <f aca="false">SUMIFS('교육원 ① 거래입력'!$J$15:$J$2014,'교육원 ① 거래입력'!$O$15:$O$2014,$G$1*100+1,'교육원 ① 거래입력'!$D$15:$D$2014,$B18)</f>
        <v>0</v>
      </c>
      <c r="D18" s="52" t="n">
        <f aca="false">SUMIFS('교육원 ① 거래입력'!$J$15:$J$2014,'교육원 ① 거래입력'!$O$15:$O$2014,$G$1*100+2,'교육원 ① 거래입력'!$D$15:$D$2014,$B18)</f>
        <v>0</v>
      </c>
      <c r="E18" s="52" t="n">
        <f aca="false">SUMIFS('교육원 ① 거래입력'!$J$15:$J$2014,'교육원 ① 거래입력'!$O$15:$O$2014,$G$1*100+3,'교육원 ① 거래입력'!$D$15:$D$2014,$B18)</f>
        <v>0</v>
      </c>
      <c r="F18" s="52" t="n">
        <f aca="false">SUMIFS('교육원 ① 거래입력'!$J$15:$J$2014,'교육원 ① 거래입력'!$O$15:$O$2014,$G$1*100+4,'교육원 ① 거래입력'!$D$15:$D$2014,$B18)</f>
        <v>0</v>
      </c>
      <c r="G18" s="52" t="n">
        <f aca="false">SUMIFS('교육원 ① 거래입력'!$J$15:$J$2014,'교육원 ① 거래입력'!$O$15:$O$2014,$G$1*100+5,'교육원 ① 거래입력'!$D$15:$D$2014,$B18)</f>
        <v>0</v>
      </c>
      <c r="H18" s="52" t="n">
        <f aca="false">SUMIFS('교육원 ① 거래입력'!$J$15:$J$2014,'교육원 ① 거래입력'!$O$15:$O$2014,$G$1*100+6,'교육원 ① 거래입력'!$D$15:$D$2014,$B18)</f>
        <v>0</v>
      </c>
      <c r="I18" s="52" t="n">
        <f aca="false">SUMIFS('교육원 ① 거래입력'!$J$15:$J$2014,'교육원 ① 거래입력'!$O$15:$O$2014,$G$1*100+7,'교육원 ① 거래입력'!$D$15:$D$2014,$B18)</f>
        <v>0</v>
      </c>
      <c r="J18" s="52" t="n">
        <f aca="false">SUMIFS('교육원 ① 거래입력'!$J$15:$J$2014,'교육원 ① 거래입력'!$O$15:$O$2014,$G$1*100+8,'교육원 ① 거래입력'!$D$15:$D$2014,$B18)</f>
        <v>0</v>
      </c>
      <c r="K18" s="52" t="n">
        <f aca="false">SUMIFS('교육원 ① 거래입력'!$J$15:$J$2014,'교육원 ① 거래입력'!$O$15:$O$2014,$G$1*100+9,'교육원 ① 거래입력'!$D$15:$D$2014,$B18)</f>
        <v>0</v>
      </c>
      <c r="L18" s="52" t="n">
        <f aca="false">SUMIFS('교육원 ① 거래입력'!$J$15:$J$2014,'교육원 ① 거래입력'!$O$15:$O$2014,$G$1*100+10,'교육원 ① 거래입력'!$D$15:$D$2014,$B18)</f>
        <v>0</v>
      </c>
      <c r="M18" s="52" t="n">
        <f aca="false">SUMIFS('교육원 ① 거래입력'!$J$15:$J$2014,'교육원 ① 거래입력'!$O$15:$O$2014,$G$1*100+11,'교육원 ① 거래입력'!$D$15:$D$2014,$B18)</f>
        <v>0</v>
      </c>
      <c r="N18" s="52" t="n">
        <f aca="false">SUMIFS('교육원 ① 거래입력'!$J$15:$J$2014,'교육원 ① 거래입력'!$O$15:$O$2014,$G$1*100+12,'교육원 ① 거래입력'!$D$15:$D$2014,$B18)</f>
        <v>0</v>
      </c>
      <c r="O18" s="53" t="n">
        <f aca="false">SUM($C18:$N18)</f>
        <v>0</v>
      </c>
      <c r="P18" s="52" t="n">
        <f aca="false">IFERROR(AVERAGEIF($C18:$N18,"&lt;&gt;0"),0)</f>
        <v>0</v>
      </c>
    </row>
    <row r="19" customFormat="false" ht="15" hidden="false" customHeight="false" outlineLevel="0" collapsed="false">
      <c r="A19" s="50"/>
      <c r="B19" s="51" t="s">
        <v>108</v>
      </c>
      <c r="C19" s="52" t="n">
        <f aca="false">SUMIFS('교육원 ① 거래입력'!$J$15:$J$2014,'교육원 ① 거래입력'!$O$15:$O$2014,$G$1*100+1,'교육원 ① 거래입력'!$D$15:$D$2014,$B19)</f>
        <v>0</v>
      </c>
      <c r="D19" s="52" t="n">
        <f aca="false">SUMIFS('교육원 ① 거래입력'!$J$15:$J$2014,'교육원 ① 거래입력'!$O$15:$O$2014,$G$1*100+2,'교육원 ① 거래입력'!$D$15:$D$2014,$B19)</f>
        <v>0</v>
      </c>
      <c r="E19" s="52" t="n">
        <f aca="false">SUMIFS('교육원 ① 거래입력'!$J$15:$J$2014,'교육원 ① 거래입력'!$O$15:$O$2014,$G$1*100+3,'교육원 ① 거래입력'!$D$15:$D$2014,$B19)</f>
        <v>0</v>
      </c>
      <c r="F19" s="52" t="n">
        <f aca="false">SUMIFS('교육원 ① 거래입력'!$J$15:$J$2014,'교육원 ① 거래입력'!$O$15:$O$2014,$G$1*100+4,'교육원 ① 거래입력'!$D$15:$D$2014,$B19)</f>
        <v>0</v>
      </c>
      <c r="G19" s="52" t="n">
        <f aca="false">SUMIFS('교육원 ① 거래입력'!$J$15:$J$2014,'교육원 ① 거래입력'!$O$15:$O$2014,$G$1*100+5,'교육원 ① 거래입력'!$D$15:$D$2014,$B19)</f>
        <v>0</v>
      </c>
      <c r="H19" s="52" t="n">
        <f aca="false">SUMIFS('교육원 ① 거래입력'!$J$15:$J$2014,'교육원 ① 거래입력'!$O$15:$O$2014,$G$1*100+6,'교육원 ① 거래입력'!$D$15:$D$2014,$B19)</f>
        <v>0</v>
      </c>
      <c r="I19" s="52" t="n">
        <f aca="false">SUMIFS('교육원 ① 거래입력'!$J$15:$J$2014,'교육원 ① 거래입력'!$O$15:$O$2014,$G$1*100+7,'교육원 ① 거래입력'!$D$15:$D$2014,$B19)</f>
        <v>0</v>
      </c>
      <c r="J19" s="52" t="n">
        <f aca="false">SUMIFS('교육원 ① 거래입력'!$J$15:$J$2014,'교육원 ① 거래입력'!$O$15:$O$2014,$G$1*100+8,'교육원 ① 거래입력'!$D$15:$D$2014,$B19)</f>
        <v>0</v>
      </c>
      <c r="K19" s="52" t="n">
        <f aca="false">SUMIFS('교육원 ① 거래입력'!$J$15:$J$2014,'교육원 ① 거래입력'!$O$15:$O$2014,$G$1*100+9,'교육원 ① 거래입력'!$D$15:$D$2014,$B19)</f>
        <v>0</v>
      </c>
      <c r="L19" s="52" t="n">
        <f aca="false">SUMIFS('교육원 ① 거래입력'!$J$15:$J$2014,'교육원 ① 거래입력'!$O$15:$O$2014,$G$1*100+10,'교육원 ① 거래입력'!$D$15:$D$2014,$B19)</f>
        <v>0</v>
      </c>
      <c r="M19" s="52" t="n">
        <f aca="false">SUMIFS('교육원 ① 거래입력'!$J$15:$J$2014,'교육원 ① 거래입력'!$O$15:$O$2014,$G$1*100+11,'교육원 ① 거래입력'!$D$15:$D$2014,$B19)</f>
        <v>0</v>
      </c>
      <c r="N19" s="52" t="n">
        <f aca="false">SUMIFS('교육원 ① 거래입력'!$J$15:$J$2014,'교육원 ① 거래입력'!$O$15:$O$2014,$G$1*100+12,'교육원 ① 거래입력'!$D$15:$D$2014,$B19)</f>
        <v>0</v>
      </c>
      <c r="O19" s="53" t="n">
        <f aca="false">SUM($C19:$N19)</f>
        <v>0</v>
      </c>
      <c r="P19" s="52" t="n">
        <f aca="false">IFERROR(AVERAGEIF($C19:$N19,"&lt;&gt;0"),0)</f>
        <v>0</v>
      </c>
    </row>
    <row r="20" customFormat="false" ht="15" hidden="false" customHeight="false" outlineLevel="0" collapsed="false">
      <c r="A20" s="50"/>
      <c r="B20" s="51" t="s">
        <v>131</v>
      </c>
      <c r="C20" s="52" t="n">
        <f aca="false">SUMIFS('교육원 ① 거래입력'!$J$15:$J$2014,'교육원 ① 거래입력'!$O$15:$O$2014,$G$1*100+1,'교육원 ① 거래입력'!$D$15:$D$2014,$B20)</f>
        <v>0</v>
      </c>
      <c r="D20" s="52" t="n">
        <f aca="false">SUMIFS('교육원 ① 거래입력'!$J$15:$J$2014,'교육원 ① 거래입력'!$O$15:$O$2014,$G$1*100+2,'교육원 ① 거래입력'!$D$15:$D$2014,$B20)</f>
        <v>0</v>
      </c>
      <c r="E20" s="52" t="n">
        <f aca="false">SUMIFS('교육원 ① 거래입력'!$J$15:$J$2014,'교육원 ① 거래입력'!$O$15:$O$2014,$G$1*100+3,'교육원 ① 거래입력'!$D$15:$D$2014,$B20)</f>
        <v>0</v>
      </c>
      <c r="F20" s="52" t="n">
        <f aca="false">SUMIFS('교육원 ① 거래입력'!$J$15:$J$2014,'교육원 ① 거래입력'!$O$15:$O$2014,$G$1*100+4,'교육원 ① 거래입력'!$D$15:$D$2014,$B20)</f>
        <v>0</v>
      </c>
      <c r="G20" s="52" t="n">
        <f aca="false">SUMIFS('교육원 ① 거래입력'!$J$15:$J$2014,'교육원 ① 거래입력'!$O$15:$O$2014,$G$1*100+5,'교육원 ① 거래입력'!$D$15:$D$2014,$B20)</f>
        <v>0</v>
      </c>
      <c r="H20" s="52" t="n">
        <f aca="false">SUMIFS('교육원 ① 거래입력'!$J$15:$J$2014,'교육원 ① 거래입력'!$O$15:$O$2014,$G$1*100+6,'교육원 ① 거래입력'!$D$15:$D$2014,$B20)</f>
        <v>0</v>
      </c>
      <c r="I20" s="52" t="n">
        <f aca="false">SUMIFS('교육원 ① 거래입력'!$J$15:$J$2014,'교육원 ① 거래입력'!$O$15:$O$2014,$G$1*100+7,'교육원 ① 거래입력'!$D$15:$D$2014,$B20)</f>
        <v>0</v>
      </c>
      <c r="J20" s="52" t="n">
        <f aca="false">SUMIFS('교육원 ① 거래입력'!$J$15:$J$2014,'교육원 ① 거래입력'!$O$15:$O$2014,$G$1*100+8,'교육원 ① 거래입력'!$D$15:$D$2014,$B20)</f>
        <v>0</v>
      </c>
      <c r="K20" s="52" t="n">
        <f aca="false">SUMIFS('교육원 ① 거래입력'!$J$15:$J$2014,'교육원 ① 거래입력'!$O$15:$O$2014,$G$1*100+9,'교육원 ① 거래입력'!$D$15:$D$2014,$B20)</f>
        <v>0</v>
      </c>
      <c r="L20" s="52" t="n">
        <f aca="false">SUMIFS('교육원 ① 거래입력'!$J$15:$J$2014,'교육원 ① 거래입력'!$O$15:$O$2014,$G$1*100+10,'교육원 ① 거래입력'!$D$15:$D$2014,$B20)</f>
        <v>0</v>
      </c>
      <c r="M20" s="52" t="n">
        <f aca="false">SUMIFS('교육원 ① 거래입력'!$J$15:$J$2014,'교육원 ① 거래입력'!$O$15:$O$2014,$G$1*100+11,'교육원 ① 거래입력'!$D$15:$D$2014,$B20)</f>
        <v>0</v>
      </c>
      <c r="N20" s="52" t="n">
        <f aca="false">SUMIFS('교육원 ① 거래입력'!$J$15:$J$2014,'교육원 ① 거래입력'!$O$15:$O$2014,$G$1*100+12,'교육원 ① 거래입력'!$D$15:$D$2014,$B20)</f>
        <v>0</v>
      </c>
      <c r="O20" s="53" t="n">
        <f aca="false">SUM($C20:$N20)</f>
        <v>0</v>
      </c>
      <c r="P20" s="52" t="n">
        <f aca="false">IFERROR(AVERAGEIF($C20:$N20,"&lt;&gt;0"),0)</f>
        <v>0</v>
      </c>
    </row>
    <row r="21" customFormat="false" ht="15" hidden="false" customHeight="false" outlineLevel="0" collapsed="false">
      <c r="A21" s="50"/>
      <c r="B21" s="51" t="s">
        <v>132</v>
      </c>
      <c r="C21" s="52" t="n">
        <f aca="false">SUMIFS('교육원 ① 거래입력'!$J$15:$J$2014,'교육원 ① 거래입력'!$O$15:$O$2014,$G$1*100+1,'교육원 ① 거래입력'!$D$15:$D$2014,$B21)</f>
        <v>0</v>
      </c>
      <c r="D21" s="52" t="n">
        <f aca="false">SUMIFS('교육원 ① 거래입력'!$J$15:$J$2014,'교육원 ① 거래입력'!$O$15:$O$2014,$G$1*100+2,'교육원 ① 거래입력'!$D$15:$D$2014,$B21)</f>
        <v>0</v>
      </c>
      <c r="E21" s="52" t="n">
        <f aca="false">SUMIFS('교육원 ① 거래입력'!$J$15:$J$2014,'교육원 ① 거래입력'!$O$15:$O$2014,$G$1*100+3,'교육원 ① 거래입력'!$D$15:$D$2014,$B21)</f>
        <v>0</v>
      </c>
      <c r="F21" s="52" t="n">
        <f aca="false">SUMIFS('교육원 ① 거래입력'!$J$15:$J$2014,'교육원 ① 거래입력'!$O$15:$O$2014,$G$1*100+4,'교육원 ① 거래입력'!$D$15:$D$2014,$B21)</f>
        <v>0</v>
      </c>
      <c r="G21" s="52" t="n">
        <f aca="false">SUMIFS('교육원 ① 거래입력'!$J$15:$J$2014,'교육원 ① 거래입력'!$O$15:$O$2014,$G$1*100+5,'교육원 ① 거래입력'!$D$15:$D$2014,$B21)</f>
        <v>0</v>
      </c>
      <c r="H21" s="52" t="n">
        <f aca="false">SUMIFS('교육원 ① 거래입력'!$J$15:$J$2014,'교육원 ① 거래입력'!$O$15:$O$2014,$G$1*100+6,'교육원 ① 거래입력'!$D$15:$D$2014,$B21)</f>
        <v>0</v>
      </c>
      <c r="I21" s="52" t="n">
        <f aca="false">SUMIFS('교육원 ① 거래입력'!$J$15:$J$2014,'교육원 ① 거래입력'!$O$15:$O$2014,$G$1*100+7,'교육원 ① 거래입력'!$D$15:$D$2014,$B21)</f>
        <v>0</v>
      </c>
      <c r="J21" s="52" t="n">
        <f aca="false">SUMIFS('교육원 ① 거래입력'!$J$15:$J$2014,'교육원 ① 거래입력'!$O$15:$O$2014,$G$1*100+8,'교육원 ① 거래입력'!$D$15:$D$2014,$B21)</f>
        <v>0</v>
      </c>
      <c r="K21" s="52" t="n">
        <f aca="false">SUMIFS('교육원 ① 거래입력'!$J$15:$J$2014,'교육원 ① 거래입력'!$O$15:$O$2014,$G$1*100+9,'교육원 ① 거래입력'!$D$15:$D$2014,$B21)</f>
        <v>0</v>
      </c>
      <c r="L21" s="52" t="n">
        <f aca="false">SUMIFS('교육원 ① 거래입력'!$J$15:$J$2014,'교육원 ① 거래입력'!$O$15:$O$2014,$G$1*100+10,'교육원 ① 거래입력'!$D$15:$D$2014,$B21)</f>
        <v>0</v>
      </c>
      <c r="M21" s="52" t="n">
        <f aca="false">SUMIFS('교육원 ① 거래입력'!$J$15:$J$2014,'교육원 ① 거래입력'!$O$15:$O$2014,$G$1*100+11,'교육원 ① 거래입력'!$D$15:$D$2014,$B21)</f>
        <v>0</v>
      </c>
      <c r="N21" s="52" t="n">
        <f aca="false">SUMIFS('교육원 ① 거래입력'!$J$15:$J$2014,'교육원 ① 거래입력'!$O$15:$O$2014,$G$1*100+12,'교육원 ① 거래입력'!$D$15:$D$2014,$B21)</f>
        <v>0</v>
      </c>
      <c r="O21" s="53" t="n">
        <f aca="false">SUM($C21:$N21)</f>
        <v>0</v>
      </c>
      <c r="P21" s="52" t="n">
        <f aca="false">IFERROR(AVERAGEIF($C21:$N21,"&lt;&gt;0"),0)</f>
        <v>0</v>
      </c>
    </row>
    <row r="22" customFormat="false" ht="15" hidden="false" customHeight="false" outlineLevel="0" collapsed="false">
      <c r="A22" s="50"/>
      <c r="B22" s="51" t="s">
        <v>133</v>
      </c>
      <c r="C22" s="52" t="n">
        <f aca="false">SUMIFS('교육원 ① 거래입력'!$J$15:$J$2014,'교육원 ① 거래입력'!$O$15:$O$2014,$G$1*100+1,'교육원 ① 거래입력'!$D$15:$D$2014,$B22)</f>
        <v>0</v>
      </c>
      <c r="D22" s="52" t="n">
        <f aca="false">SUMIFS('교육원 ① 거래입력'!$J$15:$J$2014,'교육원 ① 거래입력'!$O$15:$O$2014,$G$1*100+2,'교육원 ① 거래입력'!$D$15:$D$2014,$B22)</f>
        <v>0</v>
      </c>
      <c r="E22" s="52" t="n">
        <f aca="false">SUMIFS('교육원 ① 거래입력'!$J$15:$J$2014,'교육원 ① 거래입력'!$O$15:$O$2014,$G$1*100+3,'교육원 ① 거래입력'!$D$15:$D$2014,$B22)</f>
        <v>0</v>
      </c>
      <c r="F22" s="52" t="n">
        <f aca="false">SUMIFS('교육원 ① 거래입력'!$J$15:$J$2014,'교육원 ① 거래입력'!$O$15:$O$2014,$G$1*100+4,'교육원 ① 거래입력'!$D$15:$D$2014,$B22)</f>
        <v>0</v>
      </c>
      <c r="G22" s="52" t="n">
        <f aca="false">SUMIFS('교육원 ① 거래입력'!$J$15:$J$2014,'교육원 ① 거래입력'!$O$15:$O$2014,$G$1*100+5,'교육원 ① 거래입력'!$D$15:$D$2014,$B22)</f>
        <v>0</v>
      </c>
      <c r="H22" s="52" t="n">
        <f aca="false">SUMIFS('교육원 ① 거래입력'!$J$15:$J$2014,'교육원 ① 거래입력'!$O$15:$O$2014,$G$1*100+6,'교육원 ① 거래입력'!$D$15:$D$2014,$B22)</f>
        <v>0</v>
      </c>
      <c r="I22" s="52" t="n">
        <f aca="false">SUMIFS('교육원 ① 거래입력'!$J$15:$J$2014,'교육원 ① 거래입력'!$O$15:$O$2014,$G$1*100+7,'교육원 ① 거래입력'!$D$15:$D$2014,$B22)</f>
        <v>0</v>
      </c>
      <c r="J22" s="52" t="n">
        <f aca="false">SUMIFS('교육원 ① 거래입력'!$J$15:$J$2014,'교육원 ① 거래입력'!$O$15:$O$2014,$G$1*100+8,'교육원 ① 거래입력'!$D$15:$D$2014,$B22)</f>
        <v>0</v>
      </c>
      <c r="K22" s="52" t="n">
        <f aca="false">SUMIFS('교육원 ① 거래입력'!$J$15:$J$2014,'교육원 ① 거래입력'!$O$15:$O$2014,$G$1*100+9,'교육원 ① 거래입력'!$D$15:$D$2014,$B22)</f>
        <v>0</v>
      </c>
      <c r="L22" s="52" t="n">
        <f aca="false">SUMIFS('교육원 ① 거래입력'!$J$15:$J$2014,'교육원 ① 거래입력'!$O$15:$O$2014,$G$1*100+10,'교육원 ① 거래입력'!$D$15:$D$2014,$B22)</f>
        <v>0</v>
      </c>
      <c r="M22" s="52" t="n">
        <f aca="false">SUMIFS('교육원 ① 거래입력'!$J$15:$J$2014,'교육원 ① 거래입력'!$O$15:$O$2014,$G$1*100+11,'교육원 ① 거래입력'!$D$15:$D$2014,$B22)</f>
        <v>0</v>
      </c>
      <c r="N22" s="52" t="n">
        <f aca="false">SUMIFS('교육원 ① 거래입력'!$J$15:$J$2014,'교육원 ① 거래입력'!$O$15:$O$2014,$G$1*100+12,'교육원 ① 거래입력'!$D$15:$D$2014,$B22)</f>
        <v>0</v>
      </c>
      <c r="O22" s="53" t="n">
        <f aca="false">SUM($C22:$N22)</f>
        <v>0</v>
      </c>
      <c r="P22" s="52" t="n">
        <f aca="false">IFERROR(AVERAGEIF($C22:$N22,"&lt;&gt;0"),0)</f>
        <v>0</v>
      </c>
    </row>
    <row r="23" customFormat="false" ht="15" hidden="false" customHeight="false" outlineLevel="0" collapsed="false">
      <c r="A23" s="16"/>
      <c r="B23" s="17" t="s">
        <v>135</v>
      </c>
      <c r="C23" s="24" t="n">
        <f aca="false">SUM(C14:C22)</f>
        <v>0</v>
      </c>
      <c r="D23" s="24" t="n">
        <f aca="false">SUM(D14:D22)</f>
        <v>0</v>
      </c>
      <c r="E23" s="24" t="n">
        <f aca="false">SUM(E14:E22)</f>
        <v>0</v>
      </c>
      <c r="F23" s="24" t="n">
        <f aca="false">SUM(F14:F22)</f>
        <v>0</v>
      </c>
      <c r="G23" s="24" t="n">
        <f aca="false">SUM(G14:G22)</f>
        <v>0</v>
      </c>
      <c r="H23" s="24" t="n">
        <f aca="false">SUM(H14:H22)</f>
        <v>0</v>
      </c>
      <c r="I23" s="24" t="n">
        <f aca="false">SUM(I14:I22)</f>
        <v>0</v>
      </c>
      <c r="J23" s="24" t="n">
        <f aca="false">SUM(J14:J22)</f>
        <v>0</v>
      </c>
      <c r="K23" s="24" t="n">
        <f aca="false">SUM(K14:K22)</f>
        <v>0</v>
      </c>
      <c r="L23" s="24" t="n">
        <f aca="false">SUM(L14:L22)</f>
        <v>0</v>
      </c>
      <c r="M23" s="24" t="n">
        <f aca="false">SUM(M14:M22)</f>
        <v>0</v>
      </c>
      <c r="N23" s="24" t="n">
        <f aca="false">SUM(N14:N22)</f>
        <v>0</v>
      </c>
      <c r="O23" s="24" t="n">
        <f aca="false">SUM(O14:O22)</f>
        <v>0</v>
      </c>
      <c r="P23" s="24" t="n">
        <f aca="false">SUM(P14:P22)</f>
        <v>0</v>
      </c>
    </row>
    <row r="25" customFormat="false" ht="15" hidden="false" customHeight="false" outlineLevel="0" collapsed="false">
      <c r="A25" s="55" t="s">
        <v>136</v>
      </c>
      <c r="B25" s="56" t="s">
        <v>232</v>
      </c>
      <c r="C25" s="57" t="n">
        <f aca="false">SUMIFS('교육원 ① 거래입력'!$J$15:$J$2014,'교육원 ① 거래입력'!$O$15:$O$2014,$G$1*100+1,'교육원 ① 거래입력'!$D$15:$D$2014,$B25)</f>
        <v>0</v>
      </c>
      <c r="D25" s="57" t="n">
        <f aca="false">SUMIFS('교육원 ① 거래입력'!$J$15:$J$2014,'교육원 ① 거래입력'!$O$15:$O$2014,$G$1*100+2,'교육원 ① 거래입력'!$D$15:$D$2014,$B25)</f>
        <v>0</v>
      </c>
      <c r="E25" s="57" t="n">
        <f aca="false">SUMIFS('교육원 ① 거래입력'!$J$15:$J$2014,'교육원 ① 거래입력'!$O$15:$O$2014,$G$1*100+3,'교육원 ① 거래입력'!$D$15:$D$2014,$B25)</f>
        <v>0</v>
      </c>
      <c r="F25" s="57" t="n">
        <f aca="false">SUMIFS('교육원 ① 거래입력'!$J$15:$J$2014,'교육원 ① 거래입력'!$O$15:$O$2014,$G$1*100+4,'교육원 ① 거래입력'!$D$15:$D$2014,$B25)</f>
        <v>0</v>
      </c>
      <c r="G25" s="57" t="n">
        <f aca="false">SUMIFS('교육원 ① 거래입력'!$J$15:$J$2014,'교육원 ① 거래입력'!$O$15:$O$2014,$G$1*100+5,'교육원 ① 거래입력'!$D$15:$D$2014,$B25)</f>
        <v>0</v>
      </c>
      <c r="H25" s="57" t="n">
        <f aca="false">SUMIFS('교육원 ① 거래입력'!$J$15:$J$2014,'교육원 ① 거래입력'!$O$15:$O$2014,$G$1*100+6,'교육원 ① 거래입력'!$D$15:$D$2014,$B25)</f>
        <v>0</v>
      </c>
      <c r="I25" s="57" t="n">
        <f aca="false">SUMIFS('교육원 ① 거래입력'!$J$15:$J$2014,'교육원 ① 거래입력'!$O$15:$O$2014,$G$1*100+7,'교육원 ① 거래입력'!$D$15:$D$2014,$B25)</f>
        <v>0</v>
      </c>
      <c r="J25" s="57" t="n">
        <f aca="false">SUMIFS('교육원 ① 거래입력'!$J$15:$J$2014,'교육원 ① 거래입력'!$O$15:$O$2014,$G$1*100+8,'교육원 ① 거래입력'!$D$15:$D$2014,$B25)</f>
        <v>0</v>
      </c>
      <c r="K25" s="57" t="n">
        <f aca="false">SUMIFS('교육원 ① 거래입력'!$J$15:$J$2014,'교육원 ① 거래입력'!$O$15:$O$2014,$G$1*100+9,'교육원 ① 거래입력'!$D$15:$D$2014,$B25)</f>
        <v>320000</v>
      </c>
      <c r="L25" s="57" t="n">
        <f aca="false">SUMIFS('교육원 ① 거래입력'!$J$15:$J$2014,'교육원 ① 거래입력'!$O$15:$O$2014,$G$1*100+10,'교육원 ① 거래입력'!$D$15:$D$2014,$B25)</f>
        <v>0</v>
      </c>
      <c r="M25" s="57" t="n">
        <f aca="false">SUMIFS('교육원 ① 거래입력'!$J$15:$J$2014,'교육원 ① 거래입력'!$O$15:$O$2014,$G$1*100+11,'교육원 ① 거래입력'!$D$15:$D$2014,$B25)</f>
        <v>0</v>
      </c>
      <c r="N25" s="57" t="n">
        <f aca="false">SUMIFS('교육원 ① 거래입력'!$J$15:$J$2014,'교육원 ① 거래입력'!$O$15:$O$2014,$G$1*100+12,'교육원 ① 거래입력'!$D$15:$D$2014,$B25)</f>
        <v>0</v>
      </c>
      <c r="O25" s="58" t="n">
        <f aca="false">SUM($C25:$N25)</f>
        <v>320000</v>
      </c>
      <c r="P25" s="57" t="n">
        <f aca="false">IFERROR(AVERAGEIF($C25:$N25,"&lt;&gt;0"),0)</f>
        <v>320000</v>
      </c>
    </row>
    <row r="26" customFormat="false" ht="15" hidden="false" customHeight="false" outlineLevel="0" collapsed="false">
      <c r="A26" s="55"/>
      <c r="B26" s="56" t="s">
        <v>235</v>
      </c>
      <c r="C26" s="57" t="n">
        <f aca="false">SUMIFS('교육원 ① 거래입력'!$J$15:$J$2014,'교육원 ① 거래입력'!$O$15:$O$2014,$G$1*100+1,'교육원 ① 거래입력'!$D$15:$D$2014,$B26)</f>
        <v>0</v>
      </c>
      <c r="D26" s="57" t="n">
        <f aca="false">SUMIFS('교육원 ① 거래입력'!$J$15:$J$2014,'교육원 ① 거래입력'!$O$15:$O$2014,$G$1*100+2,'교육원 ① 거래입력'!$D$15:$D$2014,$B26)</f>
        <v>0</v>
      </c>
      <c r="E26" s="57" t="n">
        <f aca="false">SUMIFS('교육원 ① 거래입력'!$J$15:$J$2014,'교육원 ① 거래입력'!$O$15:$O$2014,$G$1*100+3,'교육원 ① 거래입력'!$D$15:$D$2014,$B26)</f>
        <v>0</v>
      </c>
      <c r="F26" s="57" t="n">
        <f aca="false">SUMIFS('교육원 ① 거래입력'!$J$15:$J$2014,'교육원 ① 거래입력'!$O$15:$O$2014,$G$1*100+4,'교육원 ① 거래입력'!$D$15:$D$2014,$B26)</f>
        <v>0</v>
      </c>
      <c r="G26" s="57" t="n">
        <f aca="false">SUMIFS('교육원 ① 거래입력'!$J$15:$J$2014,'교육원 ① 거래입력'!$O$15:$O$2014,$G$1*100+5,'교육원 ① 거래입력'!$D$15:$D$2014,$B26)</f>
        <v>0</v>
      </c>
      <c r="H26" s="57" t="n">
        <f aca="false">SUMIFS('교육원 ① 거래입력'!$J$15:$J$2014,'교육원 ① 거래입력'!$O$15:$O$2014,$G$1*100+6,'교육원 ① 거래입력'!$D$15:$D$2014,$B26)</f>
        <v>0</v>
      </c>
      <c r="I26" s="57" t="n">
        <f aca="false">SUMIFS('교육원 ① 거래입력'!$J$15:$J$2014,'교육원 ① 거래입력'!$O$15:$O$2014,$G$1*100+7,'교육원 ① 거래입력'!$D$15:$D$2014,$B26)</f>
        <v>0</v>
      </c>
      <c r="J26" s="57" t="n">
        <f aca="false">SUMIFS('교육원 ① 거래입력'!$J$15:$J$2014,'교육원 ① 거래입력'!$O$15:$O$2014,$G$1*100+8,'교육원 ① 거래입력'!$D$15:$D$2014,$B26)</f>
        <v>0</v>
      </c>
      <c r="K26" s="57" t="n">
        <f aca="false">SUMIFS('교육원 ① 거래입력'!$J$15:$J$2014,'교육원 ① 거래입력'!$O$15:$O$2014,$G$1*100+9,'교육원 ① 거래입력'!$D$15:$D$2014,$B26)</f>
        <v>240000</v>
      </c>
      <c r="L26" s="57" t="n">
        <f aca="false">SUMIFS('교육원 ① 거래입력'!$J$15:$J$2014,'교육원 ① 거래입력'!$O$15:$O$2014,$G$1*100+10,'교육원 ① 거래입력'!$D$15:$D$2014,$B26)</f>
        <v>0</v>
      </c>
      <c r="M26" s="57" t="n">
        <f aca="false">SUMIFS('교육원 ① 거래입력'!$J$15:$J$2014,'교육원 ① 거래입력'!$O$15:$O$2014,$G$1*100+11,'교육원 ① 거래입력'!$D$15:$D$2014,$B26)</f>
        <v>0</v>
      </c>
      <c r="N26" s="57" t="n">
        <f aca="false">SUMIFS('교육원 ① 거래입력'!$J$15:$J$2014,'교육원 ① 거래입력'!$O$15:$O$2014,$G$1*100+12,'교육원 ① 거래입력'!$D$15:$D$2014,$B26)</f>
        <v>0</v>
      </c>
      <c r="O26" s="58" t="n">
        <f aca="false">SUM($C26:$N26)</f>
        <v>240000</v>
      </c>
      <c r="P26" s="57" t="n">
        <f aca="false">IFERROR(AVERAGEIF($C26:$N26,"&lt;&gt;0"),0)</f>
        <v>240000</v>
      </c>
    </row>
    <row r="27" customFormat="false" ht="15" hidden="false" customHeight="false" outlineLevel="0" collapsed="false">
      <c r="A27" s="55"/>
      <c r="B27" s="56" t="s">
        <v>249</v>
      </c>
      <c r="C27" s="57" t="n">
        <f aca="false">SUMIFS('교육원 ① 거래입력'!$J$15:$J$2014,'교육원 ① 거래입력'!$O$15:$O$2014,$G$1*100+1,'교육원 ① 거래입력'!$D$15:$D$2014,$B27)</f>
        <v>0</v>
      </c>
      <c r="D27" s="57" t="n">
        <f aca="false">SUMIFS('교육원 ① 거래입력'!$J$15:$J$2014,'교육원 ① 거래입력'!$O$15:$O$2014,$G$1*100+2,'교육원 ① 거래입력'!$D$15:$D$2014,$B27)</f>
        <v>0</v>
      </c>
      <c r="E27" s="57" t="n">
        <f aca="false">SUMIFS('교육원 ① 거래입력'!$J$15:$J$2014,'교육원 ① 거래입력'!$O$15:$O$2014,$G$1*100+3,'교육원 ① 거래입력'!$D$15:$D$2014,$B27)</f>
        <v>0</v>
      </c>
      <c r="F27" s="57" t="n">
        <f aca="false">SUMIFS('교육원 ① 거래입력'!$J$15:$J$2014,'교육원 ① 거래입력'!$O$15:$O$2014,$G$1*100+4,'교육원 ① 거래입력'!$D$15:$D$2014,$B27)</f>
        <v>0</v>
      </c>
      <c r="G27" s="57" t="n">
        <f aca="false">SUMIFS('교육원 ① 거래입력'!$J$15:$J$2014,'교육원 ① 거래입력'!$O$15:$O$2014,$G$1*100+5,'교육원 ① 거래입력'!$D$15:$D$2014,$B27)</f>
        <v>0</v>
      </c>
      <c r="H27" s="57" t="n">
        <f aca="false">SUMIFS('교육원 ① 거래입력'!$J$15:$J$2014,'교육원 ① 거래입력'!$O$15:$O$2014,$G$1*100+6,'교육원 ① 거래입력'!$D$15:$D$2014,$B27)</f>
        <v>0</v>
      </c>
      <c r="I27" s="57" t="n">
        <f aca="false">SUMIFS('교육원 ① 거래입력'!$J$15:$J$2014,'교육원 ① 거래입력'!$O$15:$O$2014,$G$1*100+7,'교육원 ① 거래입력'!$D$15:$D$2014,$B27)</f>
        <v>0</v>
      </c>
      <c r="J27" s="57" t="n">
        <f aca="false">SUMIFS('교육원 ① 거래입력'!$J$15:$J$2014,'교육원 ① 거래입력'!$O$15:$O$2014,$G$1*100+8,'교육원 ① 거래입력'!$D$15:$D$2014,$B27)</f>
        <v>0</v>
      </c>
      <c r="K27" s="57" t="n">
        <f aca="false">SUMIFS('교육원 ① 거래입력'!$J$15:$J$2014,'교육원 ① 거래입력'!$O$15:$O$2014,$G$1*100+9,'교육원 ① 거래입력'!$D$15:$D$2014,$B27)</f>
        <v>0</v>
      </c>
      <c r="L27" s="57" t="n">
        <f aca="false">SUMIFS('교육원 ① 거래입력'!$J$15:$J$2014,'교육원 ① 거래입력'!$O$15:$O$2014,$G$1*100+10,'교육원 ① 거래입력'!$D$15:$D$2014,$B27)</f>
        <v>0</v>
      </c>
      <c r="M27" s="57" t="n">
        <f aca="false">SUMIFS('교육원 ① 거래입력'!$J$15:$J$2014,'교육원 ① 거래입력'!$O$15:$O$2014,$G$1*100+11,'교육원 ① 거래입력'!$D$15:$D$2014,$B27)</f>
        <v>0</v>
      </c>
      <c r="N27" s="57" t="n">
        <f aca="false">SUMIFS('교육원 ① 거래입력'!$J$15:$J$2014,'교육원 ① 거래입력'!$O$15:$O$2014,$G$1*100+12,'교육원 ① 거래입력'!$D$15:$D$2014,$B27)</f>
        <v>0</v>
      </c>
      <c r="O27" s="58" t="n">
        <f aca="false">SUM($C27:$N27)</f>
        <v>0</v>
      </c>
      <c r="P27" s="57" t="n">
        <f aca="false">IFERROR(AVERAGEIF($C27:$N27,"&lt;&gt;0"),0)</f>
        <v>0</v>
      </c>
    </row>
    <row r="28" customFormat="false" ht="15" hidden="false" customHeight="false" outlineLevel="0" collapsed="false">
      <c r="A28" s="55"/>
      <c r="B28" s="56" t="s">
        <v>137</v>
      </c>
      <c r="C28" s="57" t="n">
        <f aca="false">SUMIFS('교육원 ① 거래입력'!$J$15:$J$2014,'교육원 ① 거래입력'!$O$15:$O$2014,$G$1*100+1,'교육원 ① 거래입력'!$D$15:$D$2014,$B28)</f>
        <v>0</v>
      </c>
      <c r="D28" s="57" t="n">
        <f aca="false">SUMIFS('교육원 ① 거래입력'!$J$15:$J$2014,'교육원 ① 거래입력'!$O$15:$O$2014,$G$1*100+2,'교육원 ① 거래입력'!$D$15:$D$2014,$B28)</f>
        <v>0</v>
      </c>
      <c r="E28" s="57" t="n">
        <f aca="false">SUMIFS('교육원 ① 거래입력'!$J$15:$J$2014,'교육원 ① 거래입력'!$O$15:$O$2014,$G$1*100+3,'교육원 ① 거래입력'!$D$15:$D$2014,$B28)</f>
        <v>0</v>
      </c>
      <c r="F28" s="57" t="n">
        <f aca="false">SUMIFS('교육원 ① 거래입력'!$J$15:$J$2014,'교육원 ① 거래입력'!$O$15:$O$2014,$G$1*100+4,'교육원 ① 거래입력'!$D$15:$D$2014,$B28)</f>
        <v>0</v>
      </c>
      <c r="G28" s="57" t="n">
        <f aca="false">SUMIFS('교육원 ① 거래입력'!$J$15:$J$2014,'교육원 ① 거래입력'!$O$15:$O$2014,$G$1*100+5,'교육원 ① 거래입력'!$D$15:$D$2014,$B28)</f>
        <v>0</v>
      </c>
      <c r="H28" s="57" t="n">
        <f aca="false">SUMIFS('교육원 ① 거래입력'!$J$15:$J$2014,'교육원 ① 거래입력'!$O$15:$O$2014,$G$1*100+6,'교육원 ① 거래입력'!$D$15:$D$2014,$B28)</f>
        <v>0</v>
      </c>
      <c r="I28" s="57" t="n">
        <f aca="false">SUMIFS('교육원 ① 거래입력'!$J$15:$J$2014,'교육원 ① 거래입력'!$O$15:$O$2014,$G$1*100+7,'교육원 ① 거래입력'!$D$15:$D$2014,$B28)</f>
        <v>0</v>
      </c>
      <c r="J28" s="57" t="n">
        <f aca="false">SUMIFS('교육원 ① 거래입력'!$J$15:$J$2014,'교육원 ① 거래입력'!$O$15:$O$2014,$G$1*100+8,'교육원 ① 거래입력'!$D$15:$D$2014,$B28)</f>
        <v>0</v>
      </c>
      <c r="K28" s="57" t="n">
        <f aca="false">SUMIFS('교육원 ① 거래입력'!$J$15:$J$2014,'교육원 ① 거래입력'!$O$15:$O$2014,$G$1*100+9,'교육원 ① 거래입력'!$D$15:$D$2014,$B28)</f>
        <v>0</v>
      </c>
      <c r="L28" s="57" t="n">
        <f aca="false">SUMIFS('교육원 ① 거래입력'!$J$15:$J$2014,'교육원 ① 거래입력'!$O$15:$O$2014,$G$1*100+10,'교육원 ① 거래입력'!$D$15:$D$2014,$B28)</f>
        <v>0</v>
      </c>
      <c r="M28" s="57" t="n">
        <f aca="false">SUMIFS('교육원 ① 거래입력'!$J$15:$J$2014,'교육원 ① 거래입력'!$O$15:$O$2014,$G$1*100+11,'교육원 ① 거래입력'!$D$15:$D$2014,$B28)</f>
        <v>0</v>
      </c>
      <c r="N28" s="57" t="n">
        <f aca="false">SUMIFS('교육원 ① 거래입력'!$J$15:$J$2014,'교육원 ① 거래입력'!$O$15:$O$2014,$G$1*100+12,'교육원 ① 거래입력'!$D$15:$D$2014,$B28)</f>
        <v>0</v>
      </c>
      <c r="O28" s="58" t="n">
        <f aca="false">SUM($C28:$N28)</f>
        <v>0</v>
      </c>
      <c r="P28" s="57" t="n">
        <f aca="false">IFERROR(AVERAGEIF($C28:$N28,"&lt;&gt;0"),0)</f>
        <v>0</v>
      </c>
    </row>
    <row r="29" customFormat="false" ht="15" hidden="false" customHeight="false" outlineLevel="0" collapsed="false">
      <c r="A29" s="55"/>
      <c r="B29" s="56" t="s">
        <v>139</v>
      </c>
      <c r="C29" s="57" t="n">
        <f aca="false">SUMIFS('교육원 ① 거래입력'!$J$15:$J$2014,'교육원 ① 거래입력'!$O$15:$O$2014,$G$1*100+1,'교육원 ① 거래입력'!$D$15:$D$2014,$B29)</f>
        <v>0</v>
      </c>
      <c r="D29" s="57" t="n">
        <f aca="false">SUMIFS('교육원 ① 거래입력'!$J$15:$J$2014,'교육원 ① 거래입력'!$O$15:$O$2014,$G$1*100+2,'교육원 ① 거래입력'!$D$15:$D$2014,$B29)</f>
        <v>0</v>
      </c>
      <c r="E29" s="57" t="n">
        <f aca="false">SUMIFS('교육원 ① 거래입력'!$J$15:$J$2014,'교육원 ① 거래입력'!$O$15:$O$2014,$G$1*100+3,'교육원 ① 거래입력'!$D$15:$D$2014,$B29)</f>
        <v>0</v>
      </c>
      <c r="F29" s="57" t="n">
        <f aca="false">SUMIFS('교육원 ① 거래입력'!$J$15:$J$2014,'교육원 ① 거래입력'!$O$15:$O$2014,$G$1*100+4,'교육원 ① 거래입력'!$D$15:$D$2014,$B29)</f>
        <v>0</v>
      </c>
      <c r="G29" s="57" t="n">
        <f aca="false">SUMIFS('교육원 ① 거래입력'!$J$15:$J$2014,'교육원 ① 거래입력'!$O$15:$O$2014,$G$1*100+5,'교육원 ① 거래입력'!$D$15:$D$2014,$B29)</f>
        <v>0</v>
      </c>
      <c r="H29" s="57" t="n">
        <f aca="false">SUMIFS('교육원 ① 거래입력'!$J$15:$J$2014,'교육원 ① 거래입력'!$O$15:$O$2014,$G$1*100+6,'교육원 ① 거래입력'!$D$15:$D$2014,$B29)</f>
        <v>0</v>
      </c>
      <c r="I29" s="57" t="n">
        <f aca="false">SUMIFS('교육원 ① 거래입력'!$J$15:$J$2014,'교육원 ① 거래입력'!$O$15:$O$2014,$G$1*100+7,'교육원 ① 거래입력'!$D$15:$D$2014,$B29)</f>
        <v>0</v>
      </c>
      <c r="J29" s="57" t="n">
        <f aca="false">SUMIFS('교육원 ① 거래입력'!$J$15:$J$2014,'교육원 ① 거래입력'!$O$15:$O$2014,$G$1*100+8,'교육원 ① 거래입력'!$D$15:$D$2014,$B29)</f>
        <v>0</v>
      </c>
      <c r="K29" s="57" t="n">
        <f aca="false">SUMIFS('교육원 ① 거래입력'!$J$15:$J$2014,'교육원 ① 거래입력'!$O$15:$O$2014,$G$1*100+9,'교육원 ① 거래입력'!$D$15:$D$2014,$B29)</f>
        <v>0</v>
      </c>
      <c r="L29" s="57" t="n">
        <f aca="false">SUMIFS('교육원 ① 거래입력'!$J$15:$J$2014,'교육원 ① 거래입력'!$O$15:$O$2014,$G$1*100+10,'교육원 ① 거래입력'!$D$15:$D$2014,$B29)</f>
        <v>0</v>
      </c>
      <c r="M29" s="57" t="n">
        <f aca="false">SUMIFS('교육원 ① 거래입력'!$J$15:$J$2014,'교육원 ① 거래입력'!$O$15:$O$2014,$G$1*100+11,'교육원 ① 거래입력'!$D$15:$D$2014,$B29)</f>
        <v>0</v>
      </c>
      <c r="N29" s="57" t="n">
        <f aca="false">SUMIFS('교육원 ① 거래입력'!$J$15:$J$2014,'교육원 ① 거래입력'!$O$15:$O$2014,$G$1*100+12,'교육원 ① 거래입력'!$D$15:$D$2014,$B29)</f>
        <v>0</v>
      </c>
      <c r="O29" s="58" t="n">
        <f aca="false">SUM($C29:$N29)</f>
        <v>0</v>
      </c>
      <c r="P29" s="57" t="n">
        <f aca="false">IFERROR(AVERAGEIF($C29:$N29,"&lt;&gt;0"),0)</f>
        <v>0</v>
      </c>
    </row>
    <row r="30" customFormat="false" ht="15" hidden="false" customHeight="false" outlineLevel="0" collapsed="false">
      <c r="A30" s="55"/>
      <c r="B30" s="56" t="s">
        <v>140</v>
      </c>
      <c r="C30" s="57" t="n">
        <f aca="false">SUMIFS('교육원 ① 거래입력'!$J$15:$J$2014,'교육원 ① 거래입력'!$O$15:$O$2014,$G$1*100+1,'교육원 ① 거래입력'!$D$15:$D$2014,$B30)</f>
        <v>0</v>
      </c>
      <c r="D30" s="57" t="n">
        <f aca="false">SUMIFS('교육원 ① 거래입력'!$J$15:$J$2014,'교육원 ① 거래입력'!$O$15:$O$2014,$G$1*100+2,'교육원 ① 거래입력'!$D$15:$D$2014,$B30)</f>
        <v>0</v>
      </c>
      <c r="E30" s="57" t="n">
        <f aca="false">SUMIFS('교육원 ① 거래입력'!$J$15:$J$2014,'교육원 ① 거래입력'!$O$15:$O$2014,$G$1*100+3,'교육원 ① 거래입력'!$D$15:$D$2014,$B30)</f>
        <v>0</v>
      </c>
      <c r="F30" s="57" t="n">
        <f aca="false">SUMIFS('교육원 ① 거래입력'!$J$15:$J$2014,'교육원 ① 거래입력'!$O$15:$O$2014,$G$1*100+4,'교육원 ① 거래입력'!$D$15:$D$2014,$B30)</f>
        <v>0</v>
      </c>
      <c r="G30" s="57" t="n">
        <f aca="false">SUMIFS('교육원 ① 거래입력'!$J$15:$J$2014,'교육원 ① 거래입력'!$O$15:$O$2014,$G$1*100+5,'교육원 ① 거래입력'!$D$15:$D$2014,$B30)</f>
        <v>0</v>
      </c>
      <c r="H30" s="57" t="n">
        <f aca="false">SUMIFS('교육원 ① 거래입력'!$J$15:$J$2014,'교육원 ① 거래입력'!$O$15:$O$2014,$G$1*100+6,'교육원 ① 거래입력'!$D$15:$D$2014,$B30)</f>
        <v>0</v>
      </c>
      <c r="I30" s="57" t="n">
        <f aca="false">SUMIFS('교육원 ① 거래입력'!$J$15:$J$2014,'교육원 ① 거래입력'!$O$15:$O$2014,$G$1*100+7,'교육원 ① 거래입력'!$D$15:$D$2014,$B30)</f>
        <v>0</v>
      </c>
      <c r="J30" s="57" t="n">
        <f aca="false">SUMIFS('교육원 ① 거래입력'!$J$15:$J$2014,'교육원 ① 거래입력'!$O$15:$O$2014,$G$1*100+8,'교육원 ① 거래입력'!$D$15:$D$2014,$B30)</f>
        <v>0</v>
      </c>
      <c r="K30" s="57" t="n">
        <f aca="false">SUMIFS('교육원 ① 거래입력'!$J$15:$J$2014,'교육원 ① 거래입력'!$O$15:$O$2014,$G$1*100+9,'교육원 ① 거래입력'!$D$15:$D$2014,$B30)</f>
        <v>0</v>
      </c>
      <c r="L30" s="57" t="n">
        <f aca="false">SUMIFS('교육원 ① 거래입력'!$J$15:$J$2014,'교육원 ① 거래입력'!$O$15:$O$2014,$G$1*100+10,'교육원 ① 거래입력'!$D$15:$D$2014,$B30)</f>
        <v>0</v>
      </c>
      <c r="M30" s="57" t="n">
        <f aca="false">SUMIFS('교육원 ① 거래입력'!$J$15:$J$2014,'교육원 ① 거래입력'!$O$15:$O$2014,$G$1*100+11,'교육원 ① 거래입력'!$D$15:$D$2014,$B30)</f>
        <v>0</v>
      </c>
      <c r="N30" s="57" t="n">
        <f aca="false">SUMIFS('교육원 ① 거래입력'!$J$15:$J$2014,'교육원 ① 거래입력'!$O$15:$O$2014,$G$1*100+12,'교육원 ① 거래입력'!$D$15:$D$2014,$B30)</f>
        <v>0</v>
      </c>
      <c r="O30" s="58" t="n">
        <f aca="false">SUM($C30:$N30)</f>
        <v>0</v>
      </c>
      <c r="P30" s="57" t="n">
        <f aca="false">IFERROR(AVERAGEIF($C30:$N30,"&lt;&gt;0"),0)</f>
        <v>0</v>
      </c>
    </row>
    <row r="31" customFormat="false" ht="15" hidden="false" customHeight="false" outlineLevel="0" collapsed="false">
      <c r="A31" s="55"/>
      <c r="B31" s="56" t="s">
        <v>141</v>
      </c>
      <c r="C31" s="57" t="n">
        <f aca="false">SUMIFS('교육원 ① 거래입력'!$J$15:$J$2014,'교육원 ① 거래입력'!$O$15:$O$2014,$G$1*100+1,'교육원 ① 거래입력'!$D$15:$D$2014,$B31)</f>
        <v>0</v>
      </c>
      <c r="D31" s="57" t="n">
        <f aca="false">SUMIFS('교육원 ① 거래입력'!$J$15:$J$2014,'교육원 ① 거래입력'!$O$15:$O$2014,$G$1*100+2,'교육원 ① 거래입력'!$D$15:$D$2014,$B31)</f>
        <v>0</v>
      </c>
      <c r="E31" s="57" t="n">
        <f aca="false">SUMIFS('교육원 ① 거래입력'!$J$15:$J$2014,'교육원 ① 거래입력'!$O$15:$O$2014,$G$1*100+3,'교육원 ① 거래입력'!$D$15:$D$2014,$B31)</f>
        <v>0</v>
      </c>
      <c r="F31" s="57" t="n">
        <f aca="false">SUMIFS('교육원 ① 거래입력'!$J$15:$J$2014,'교육원 ① 거래입력'!$O$15:$O$2014,$G$1*100+4,'교육원 ① 거래입력'!$D$15:$D$2014,$B31)</f>
        <v>0</v>
      </c>
      <c r="G31" s="57" t="n">
        <f aca="false">SUMIFS('교육원 ① 거래입력'!$J$15:$J$2014,'교육원 ① 거래입력'!$O$15:$O$2014,$G$1*100+5,'교육원 ① 거래입력'!$D$15:$D$2014,$B31)</f>
        <v>0</v>
      </c>
      <c r="H31" s="57" t="n">
        <f aca="false">SUMIFS('교육원 ① 거래입력'!$J$15:$J$2014,'교육원 ① 거래입력'!$O$15:$O$2014,$G$1*100+6,'교육원 ① 거래입력'!$D$15:$D$2014,$B31)</f>
        <v>0</v>
      </c>
      <c r="I31" s="57" t="n">
        <f aca="false">SUMIFS('교육원 ① 거래입력'!$J$15:$J$2014,'교육원 ① 거래입력'!$O$15:$O$2014,$G$1*100+7,'교육원 ① 거래입력'!$D$15:$D$2014,$B31)</f>
        <v>0</v>
      </c>
      <c r="J31" s="57" t="n">
        <f aca="false">SUMIFS('교육원 ① 거래입력'!$J$15:$J$2014,'교육원 ① 거래입력'!$O$15:$O$2014,$G$1*100+8,'교육원 ① 거래입력'!$D$15:$D$2014,$B31)</f>
        <v>0</v>
      </c>
      <c r="K31" s="57" t="n">
        <f aca="false">SUMIFS('교육원 ① 거래입력'!$J$15:$J$2014,'교육원 ① 거래입력'!$O$15:$O$2014,$G$1*100+9,'교육원 ① 거래입력'!$D$15:$D$2014,$B31)</f>
        <v>0</v>
      </c>
      <c r="L31" s="57" t="n">
        <f aca="false">SUMIFS('교육원 ① 거래입력'!$J$15:$J$2014,'교육원 ① 거래입력'!$O$15:$O$2014,$G$1*100+10,'교육원 ① 거래입력'!$D$15:$D$2014,$B31)</f>
        <v>0</v>
      </c>
      <c r="M31" s="57" t="n">
        <f aca="false">SUMIFS('교육원 ① 거래입력'!$J$15:$J$2014,'교육원 ① 거래입력'!$O$15:$O$2014,$G$1*100+11,'교육원 ① 거래입력'!$D$15:$D$2014,$B31)</f>
        <v>0</v>
      </c>
      <c r="N31" s="57" t="n">
        <f aca="false">SUMIFS('교육원 ① 거래입력'!$J$15:$J$2014,'교육원 ① 거래입력'!$O$15:$O$2014,$G$1*100+12,'교육원 ① 거래입력'!$D$15:$D$2014,$B31)</f>
        <v>0</v>
      </c>
      <c r="O31" s="58" t="n">
        <f aca="false">SUM($C31:$N31)</f>
        <v>0</v>
      </c>
      <c r="P31" s="57" t="n">
        <f aca="false">IFERROR(AVERAGEIF($C31:$N31,"&lt;&gt;0"),0)</f>
        <v>0</v>
      </c>
    </row>
    <row r="32" customFormat="false" ht="15" hidden="false" customHeight="false" outlineLevel="0" collapsed="false">
      <c r="A32" s="55"/>
      <c r="B32" s="56" t="s">
        <v>142</v>
      </c>
      <c r="C32" s="57" t="n">
        <f aca="false">SUMIFS('교육원 ① 거래입력'!$J$15:$J$2014,'교육원 ① 거래입력'!$O$15:$O$2014,$G$1*100+1,'교육원 ① 거래입력'!$D$15:$D$2014,$B32)</f>
        <v>0</v>
      </c>
      <c r="D32" s="57" t="n">
        <f aca="false">SUMIFS('교육원 ① 거래입력'!$J$15:$J$2014,'교육원 ① 거래입력'!$O$15:$O$2014,$G$1*100+2,'교육원 ① 거래입력'!$D$15:$D$2014,$B32)</f>
        <v>0</v>
      </c>
      <c r="E32" s="57" t="n">
        <f aca="false">SUMIFS('교육원 ① 거래입력'!$J$15:$J$2014,'교육원 ① 거래입력'!$O$15:$O$2014,$G$1*100+3,'교육원 ① 거래입력'!$D$15:$D$2014,$B32)</f>
        <v>0</v>
      </c>
      <c r="F32" s="57" t="n">
        <f aca="false">SUMIFS('교육원 ① 거래입력'!$J$15:$J$2014,'교육원 ① 거래입력'!$O$15:$O$2014,$G$1*100+4,'교육원 ① 거래입력'!$D$15:$D$2014,$B32)</f>
        <v>0</v>
      </c>
      <c r="G32" s="57" t="n">
        <f aca="false">SUMIFS('교육원 ① 거래입력'!$J$15:$J$2014,'교육원 ① 거래입력'!$O$15:$O$2014,$G$1*100+5,'교육원 ① 거래입력'!$D$15:$D$2014,$B32)</f>
        <v>0</v>
      </c>
      <c r="H32" s="57" t="n">
        <f aca="false">SUMIFS('교육원 ① 거래입력'!$J$15:$J$2014,'교육원 ① 거래입력'!$O$15:$O$2014,$G$1*100+6,'교육원 ① 거래입력'!$D$15:$D$2014,$B32)</f>
        <v>0</v>
      </c>
      <c r="I32" s="57" t="n">
        <f aca="false">SUMIFS('교육원 ① 거래입력'!$J$15:$J$2014,'교육원 ① 거래입력'!$O$15:$O$2014,$G$1*100+7,'교육원 ① 거래입력'!$D$15:$D$2014,$B32)</f>
        <v>0</v>
      </c>
      <c r="J32" s="57" t="n">
        <f aca="false">SUMIFS('교육원 ① 거래입력'!$J$15:$J$2014,'교육원 ① 거래입력'!$O$15:$O$2014,$G$1*100+8,'교육원 ① 거래입력'!$D$15:$D$2014,$B32)</f>
        <v>0</v>
      </c>
      <c r="K32" s="57" t="n">
        <f aca="false">SUMIFS('교육원 ① 거래입력'!$J$15:$J$2014,'교육원 ① 거래입력'!$O$15:$O$2014,$G$1*100+9,'교육원 ① 거래입력'!$D$15:$D$2014,$B32)</f>
        <v>0</v>
      </c>
      <c r="L32" s="57" t="n">
        <f aca="false">SUMIFS('교육원 ① 거래입력'!$J$15:$J$2014,'교육원 ① 거래입력'!$O$15:$O$2014,$G$1*100+10,'교육원 ① 거래입력'!$D$15:$D$2014,$B32)</f>
        <v>0</v>
      </c>
      <c r="M32" s="57" t="n">
        <f aca="false">SUMIFS('교육원 ① 거래입력'!$J$15:$J$2014,'교육원 ① 거래입력'!$O$15:$O$2014,$G$1*100+11,'교육원 ① 거래입력'!$D$15:$D$2014,$B32)</f>
        <v>0</v>
      </c>
      <c r="N32" s="57" t="n">
        <f aca="false">SUMIFS('교육원 ① 거래입력'!$J$15:$J$2014,'교육원 ① 거래입력'!$O$15:$O$2014,$G$1*100+12,'교육원 ① 거래입력'!$D$15:$D$2014,$B32)</f>
        <v>0</v>
      </c>
      <c r="O32" s="58" t="n">
        <f aca="false">SUM($C32:$N32)</f>
        <v>0</v>
      </c>
      <c r="P32" s="57" t="n">
        <f aca="false">IFERROR(AVERAGEIF($C32:$N32,"&lt;&gt;0"),0)</f>
        <v>0</v>
      </c>
    </row>
    <row r="33" customFormat="false" ht="15" hidden="false" customHeight="false" outlineLevel="0" collapsed="false">
      <c r="A33" s="55"/>
      <c r="B33" s="56" t="s">
        <v>143</v>
      </c>
      <c r="C33" s="57" t="n">
        <f aca="false">SUMIFS('교육원 ① 거래입력'!$J$15:$J$2014,'교육원 ① 거래입력'!$O$15:$O$2014,$G$1*100+1,'교육원 ① 거래입력'!$D$15:$D$2014,$B33)</f>
        <v>0</v>
      </c>
      <c r="D33" s="57" t="n">
        <f aca="false">SUMIFS('교육원 ① 거래입력'!$J$15:$J$2014,'교육원 ① 거래입력'!$O$15:$O$2014,$G$1*100+2,'교육원 ① 거래입력'!$D$15:$D$2014,$B33)</f>
        <v>0</v>
      </c>
      <c r="E33" s="57" t="n">
        <f aca="false">SUMIFS('교육원 ① 거래입력'!$J$15:$J$2014,'교육원 ① 거래입력'!$O$15:$O$2014,$G$1*100+3,'교육원 ① 거래입력'!$D$15:$D$2014,$B33)</f>
        <v>0</v>
      </c>
      <c r="F33" s="57" t="n">
        <f aca="false">SUMIFS('교육원 ① 거래입력'!$J$15:$J$2014,'교육원 ① 거래입력'!$O$15:$O$2014,$G$1*100+4,'교육원 ① 거래입력'!$D$15:$D$2014,$B33)</f>
        <v>0</v>
      </c>
      <c r="G33" s="57" t="n">
        <f aca="false">SUMIFS('교육원 ① 거래입력'!$J$15:$J$2014,'교육원 ① 거래입력'!$O$15:$O$2014,$G$1*100+5,'교육원 ① 거래입력'!$D$15:$D$2014,$B33)</f>
        <v>0</v>
      </c>
      <c r="H33" s="57" t="n">
        <f aca="false">SUMIFS('교육원 ① 거래입력'!$J$15:$J$2014,'교육원 ① 거래입력'!$O$15:$O$2014,$G$1*100+6,'교육원 ① 거래입력'!$D$15:$D$2014,$B33)</f>
        <v>0</v>
      </c>
      <c r="I33" s="57" t="n">
        <f aca="false">SUMIFS('교육원 ① 거래입력'!$J$15:$J$2014,'교육원 ① 거래입력'!$O$15:$O$2014,$G$1*100+7,'교육원 ① 거래입력'!$D$15:$D$2014,$B33)</f>
        <v>0</v>
      </c>
      <c r="J33" s="57" t="n">
        <f aca="false">SUMIFS('교육원 ① 거래입력'!$J$15:$J$2014,'교육원 ① 거래입력'!$O$15:$O$2014,$G$1*100+8,'교육원 ① 거래입력'!$D$15:$D$2014,$B33)</f>
        <v>0</v>
      </c>
      <c r="K33" s="57" t="n">
        <f aca="false">SUMIFS('교육원 ① 거래입력'!$J$15:$J$2014,'교육원 ① 거래입력'!$O$15:$O$2014,$G$1*100+9,'교육원 ① 거래입력'!$D$15:$D$2014,$B33)</f>
        <v>0</v>
      </c>
      <c r="L33" s="57" t="n">
        <f aca="false">SUMIFS('교육원 ① 거래입력'!$J$15:$J$2014,'교육원 ① 거래입력'!$O$15:$O$2014,$G$1*100+10,'교육원 ① 거래입력'!$D$15:$D$2014,$B33)</f>
        <v>0</v>
      </c>
      <c r="M33" s="57" t="n">
        <f aca="false">SUMIFS('교육원 ① 거래입력'!$J$15:$J$2014,'교육원 ① 거래입력'!$O$15:$O$2014,$G$1*100+11,'교육원 ① 거래입력'!$D$15:$D$2014,$B33)</f>
        <v>0</v>
      </c>
      <c r="N33" s="57" t="n">
        <f aca="false">SUMIFS('교육원 ① 거래입력'!$J$15:$J$2014,'교육원 ① 거래입력'!$O$15:$O$2014,$G$1*100+12,'교육원 ① 거래입력'!$D$15:$D$2014,$B33)</f>
        <v>0</v>
      </c>
      <c r="O33" s="58" t="n">
        <f aca="false">SUM($C33:$N33)</f>
        <v>0</v>
      </c>
      <c r="P33" s="57" t="n">
        <f aca="false">IFERROR(AVERAGEIF($C33:$N33,"&lt;&gt;0"),0)</f>
        <v>0</v>
      </c>
    </row>
    <row r="34" customFormat="false" ht="15" hidden="false" customHeight="false" outlineLevel="0" collapsed="false">
      <c r="A34" s="55"/>
      <c r="B34" s="56" t="s">
        <v>144</v>
      </c>
      <c r="C34" s="57" t="n">
        <f aca="false">SUMIFS('교육원 ① 거래입력'!$J$15:$J$2014,'교육원 ① 거래입력'!$O$15:$O$2014,$G$1*100+1,'교육원 ① 거래입력'!$D$15:$D$2014,$B34)</f>
        <v>0</v>
      </c>
      <c r="D34" s="57" t="n">
        <f aca="false">SUMIFS('교육원 ① 거래입력'!$J$15:$J$2014,'교육원 ① 거래입력'!$O$15:$O$2014,$G$1*100+2,'교육원 ① 거래입력'!$D$15:$D$2014,$B34)</f>
        <v>0</v>
      </c>
      <c r="E34" s="57" t="n">
        <f aca="false">SUMIFS('교육원 ① 거래입력'!$J$15:$J$2014,'교육원 ① 거래입력'!$O$15:$O$2014,$G$1*100+3,'교육원 ① 거래입력'!$D$15:$D$2014,$B34)</f>
        <v>0</v>
      </c>
      <c r="F34" s="57" t="n">
        <f aca="false">SUMIFS('교육원 ① 거래입력'!$J$15:$J$2014,'교육원 ① 거래입력'!$O$15:$O$2014,$G$1*100+4,'교육원 ① 거래입력'!$D$15:$D$2014,$B34)</f>
        <v>0</v>
      </c>
      <c r="G34" s="57" t="n">
        <f aca="false">SUMIFS('교육원 ① 거래입력'!$J$15:$J$2014,'교육원 ① 거래입력'!$O$15:$O$2014,$G$1*100+5,'교육원 ① 거래입력'!$D$15:$D$2014,$B34)</f>
        <v>0</v>
      </c>
      <c r="H34" s="57" t="n">
        <f aca="false">SUMIFS('교육원 ① 거래입력'!$J$15:$J$2014,'교육원 ① 거래입력'!$O$15:$O$2014,$G$1*100+6,'교육원 ① 거래입력'!$D$15:$D$2014,$B34)</f>
        <v>0</v>
      </c>
      <c r="I34" s="57" t="n">
        <f aca="false">SUMIFS('교육원 ① 거래입력'!$J$15:$J$2014,'교육원 ① 거래입력'!$O$15:$O$2014,$G$1*100+7,'교육원 ① 거래입력'!$D$15:$D$2014,$B34)</f>
        <v>0</v>
      </c>
      <c r="J34" s="57" t="n">
        <f aca="false">SUMIFS('교육원 ① 거래입력'!$J$15:$J$2014,'교육원 ① 거래입력'!$O$15:$O$2014,$G$1*100+8,'교육원 ① 거래입력'!$D$15:$D$2014,$B34)</f>
        <v>0</v>
      </c>
      <c r="K34" s="57" t="n">
        <f aca="false">SUMIFS('교육원 ① 거래입력'!$J$15:$J$2014,'교육원 ① 거래입력'!$O$15:$O$2014,$G$1*100+9,'교육원 ① 거래입력'!$D$15:$D$2014,$B34)</f>
        <v>0</v>
      </c>
      <c r="L34" s="57" t="n">
        <f aca="false">SUMIFS('교육원 ① 거래입력'!$J$15:$J$2014,'교육원 ① 거래입력'!$O$15:$O$2014,$G$1*100+10,'교육원 ① 거래입력'!$D$15:$D$2014,$B34)</f>
        <v>0</v>
      </c>
      <c r="M34" s="57" t="n">
        <f aca="false">SUMIFS('교육원 ① 거래입력'!$J$15:$J$2014,'교육원 ① 거래입력'!$O$15:$O$2014,$G$1*100+11,'교육원 ① 거래입력'!$D$15:$D$2014,$B34)</f>
        <v>0</v>
      </c>
      <c r="N34" s="57" t="n">
        <f aca="false">SUMIFS('교육원 ① 거래입력'!$J$15:$J$2014,'교육원 ① 거래입력'!$O$15:$O$2014,$G$1*100+12,'교육원 ① 거래입력'!$D$15:$D$2014,$B34)</f>
        <v>0</v>
      </c>
      <c r="O34" s="58" t="n">
        <f aca="false">SUM($C34:$N34)</f>
        <v>0</v>
      </c>
      <c r="P34" s="57" t="n">
        <f aca="false">IFERROR(AVERAGEIF($C34:$N34,"&lt;&gt;0"),0)</f>
        <v>0</v>
      </c>
    </row>
    <row r="35" customFormat="false" ht="15" hidden="false" customHeight="false" outlineLevel="0" collapsed="false">
      <c r="A35" s="55"/>
      <c r="B35" s="56" t="s">
        <v>145</v>
      </c>
      <c r="C35" s="57" t="n">
        <f aca="false">SUMIFS('교육원 ① 거래입력'!$J$15:$J$2014,'교육원 ① 거래입력'!$O$15:$O$2014,$G$1*100+1,'교육원 ① 거래입력'!$D$15:$D$2014,$B35)</f>
        <v>0</v>
      </c>
      <c r="D35" s="57" t="n">
        <f aca="false">SUMIFS('교육원 ① 거래입력'!$J$15:$J$2014,'교육원 ① 거래입력'!$O$15:$O$2014,$G$1*100+2,'교육원 ① 거래입력'!$D$15:$D$2014,$B35)</f>
        <v>0</v>
      </c>
      <c r="E35" s="57" t="n">
        <f aca="false">SUMIFS('교육원 ① 거래입력'!$J$15:$J$2014,'교육원 ① 거래입력'!$O$15:$O$2014,$G$1*100+3,'교육원 ① 거래입력'!$D$15:$D$2014,$B35)</f>
        <v>0</v>
      </c>
      <c r="F35" s="57" t="n">
        <f aca="false">SUMIFS('교육원 ① 거래입력'!$J$15:$J$2014,'교육원 ① 거래입력'!$O$15:$O$2014,$G$1*100+4,'교육원 ① 거래입력'!$D$15:$D$2014,$B35)</f>
        <v>0</v>
      </c>
      <c r="G35" s="57" t="n">
        <f aca="false">SUMIFS('교육원 ① 거래입력'!$J$15:$J$2014,'교육원 ① 거래입력'!$O$15:$O$2014,$G$1*100+5,'교육원 ① 거래입력'!$D$15:$D$2014,$B35)</f>
        <v>0</v>
      </c>
      <c r="H35" s="57" t="n">
        <f aca="false">SUMIFS('교육원 ① 거래입력'!$J$15:$J$2014,'교육원 ① 거래입력'!$O$15:$O$2014,$G$1*100+6,'교육원 ① 거래입력'!$D$15:$D$2014,$B35)</f>
        <v>0</v>
      </c>
      <c r="I35" s="57" t="n">
        <f aca="false">SUMIFS('교육원 ① 거래입력'!$J$15:$J$2014,'교육원 ① 거래입력'!$O$15:$O$2014,$G$1*100+7,'교육원 ① 거래입력'!$D$15:$D$2014,$B35)</f>
        <v>0</v>
      </c>
      <c r="J35" s="57" t="n">
        <f aca="false">SUMIFS('교육원 ① 거래입력'!$J$15:$J$2014,'교육원 ① 거래입력'!$O$15:$O$2014,$G$1*100+8,'교육원 ① 거래입력'!$D$15:$D$2014,$B35)</f>
        <v>0</v>
      </c>
      <c r="K35" s="57" t="n">
        <f aca="false">SUMIFS('교육원 ① 거래입력'!$J$15:$J$2014,'교육원 ① 거래입력'!$O$15:$O$2014,$G$1*100+9,'교육원 ① 거래입력'!$D$15:$D$2014,$B35)</f>
        <v>0</v>
      </c>
      <c r="L35" s="57" t="n">
        <f aca="false">SUMIFS('교육원 ① 거래입력'!$J$15:$J$2014,'교육원 ① 거래입력'!$O$15:$O$2014,$G$1*100+10,'교육원 ① 거래입력'!$D$15:$D$2014,$B35)</f>
        <v>0</v>
      </c>
      <c r="M35" s="57" t="n">
        <f aca="false">SUMIFS('교육원 ① 거래입력'!$J$15:$J$2014,'교육원 ① 거래입력'!$O$15:$O$2014,$G$1*100+11,'교육원 ① 거래입력'!$D$15:$D$2014,$B35)</f>
        <v>0</v>
      </c>
      <c r="N35" s="57" t="n">
        <f aca="false">SUMIFS('교육원 ① 거래입력'!$J$15:$J$2014,'교육원 ① 거래입력'!$O$15:$O$2014,$G$1*100+12,'교육원 ① 거래입력'!$D$15:$D$2014,$B35)</f>
        <v>0</v>
      </c>
      <c r="O35" s="58" t="n">
        <f aca="false">SUM($C35:$N35)</f>
        <v>0</v>
      </c>
      <c r="P35" s="57" t="n">
        <f aca="false">IFERROR(AVERAGEIF($C35:$N35,"&lt;&gt;0"),0)</f>
        <v>0</v>
      </c>
    </row>
    <row r="36" customFormat="false" ht="15" hidden="false" customHeight="false" outlineLevel="0" collapsed="false">
      <c r="A36" s="55"/>
      <c r="B36" s="56" t="s">
        <v>146</v>
      </c>
      <c r="C36" s="57" t="n">
        <f aca="false">SUMIFS('교육원 ① 거래입력'!$J$15:$J$2014,'교육원 ① 거래입력'!$O$15:$O$2014,$G$1*100+1,'교육원 ① 거래입력'!$D$15:$D$2014,$B36)</f>
        <v>0</v>
      </c>
      <c r="D36" s="57" t="n">
        <f aca="false">SUMIFS('교육원 ① 거래입력'!$J$15:$J$2014,'교육원 ① 거래입력'!$O$15:$O$2014,$G$1*100+2,'교육원 ① 거래입력'!$D$15:$D$2014,$B36)</f>
        <v>0</v>
      </c>
      <c r="E36" s="57" t="n">
        <f aca="false">SUMIFS('교육원 ① 거래입력'!$J$15:$J$2014,'교육원 ① 거래입력'!$O$15:$O$2014,$G$1*100+3,'교육원 ① 거래입력'!$D$15:$D$2014,$B36)</f>
        <v>0</v>
      </c>
      <c r="F36" s="57" t="n">
        <f aca="false">SUMIFS('교육원 ① 거래입력'!$J$15:$J$2014,'교육원 ① 거래입력'!$O$15:$O$2014,$G$1*100+4,'교육원 ① 거래입력'!$D$15:$D$2014,$B36)</f>
        <v>0</v>
      </c>
      <c r="G36" s="57" t="n">
        <f aca="false">SUMIFS('교육원 ① 거래입력'!$J$15:$J$2014,'교육원 ① 거래입력'!$O$15:$O$2014,$G$1*100+5,'교육원 ① 거래입력'!$D$15:$D$2014,$B36)</f>
        <v>0</v>
      </c>
      <c r="H36" s="57" t="n">
        <f aca="false">SUMIFS('교육원 ① 거래입력'!$J$15:$J$2014,'교육원 ① 거래입력'!$O$15:$O$2014,$G$1*100+6,'교육원 ① 거래입력'!$D$15:$D$2014,$B36)</f>
        <v>0</v>
      </c>
      <c r="I36" s="57" t="n">
        <f aca="false">SUMIFS('교육원 ① 거래입력'!$J$15:$J$2014,'교육원 ① 거래입력'!$O$15:$O$2014,$G$1*100+7,'교육원 ① 거래입력'!$D$15:$D$2014,$B36)</f>
        <v>0</v>
      </c>
      <c r="J36" s="57" t="n">
        <f aca="false">SUMIFS('교육원 ① 거래입력'!$J$15:$J$2014,'교육원 ① 거래입력'!$O$15:$O$2014,$G$1*100+8,'교육원 ① 거래입력'!$D$15:$D$2014,$B36)</f>
        <v>0</v>
      </c>
      <c r="K36" s="57" t="n">
        <f aca="false">SUMIFS('교육원 ① 거래입력'!$J$15:$J$2014,'교육원 ① 거래입력'!$O$15:$O$2014,$G$1*100+9,'교육원 ① 거래입력'!$D$15:$D$2014,$B36)</f>
        <v>0</v>
      </c>
      <c r="L36" s="57" t="n">
        <f aca="false">SUMIFS('교육원 ① 거래입력'!$J$15:$J$2014,'교육원 ① 거래입력'!$O$15:$O$2014,$G$1*100+10,'교육원 ① 거래입력'!$D$15:$D$2014,$B36)</f>
        <v>0</v>
      </c>
      <c r="M36" s="57" t="n">
        <f aca="false">SUMIFS('교육원 ① 거래입력'!$J$15:$J$2014,'교육원 ① 거래입력'!$O$15:$O$2014,$G$1*100+11,'교육원 ① 거래입력'!$D$15:$D$2014,$B36)</f>
        <v>0</v>
      </c>
      <c r="N36" s="57" t="n">
        <f aca="false">SUMIFS('교육원 ① 거래입력'!$J$15:$J$2014,'교육원 ① 거래입력'!$O$15:$O$2014,$G$1*100+12,'교육원 ① 거래입력'!$D$15:$D$2014,$B36)</f>
        <v>0</v>
      </c>
      <c r="O36" s="58" t="n">
        <f aca="false">SUM($C36:$N36)</f>
        <v>0</v>
      </c>
      <c r="P36" s="57" t="n">
        <f aca="false">IFERROR(AVERAGEIF($C36:$N36,"&lt;&gt;0"),0)</f>
        <v>0</v>
      </c>
    </row>
    <row r="37" customFormat="false" ht="15" hidden="false" customHeight="false" outlineLevel="0" collapsed="false">
      <c r="A37" s="55"/>
      <c r="B37" s="56" t="s">
        <v>147</v>
      </c>
      <c r="C37" s="57" t="n">
        <f aca="false">SUMIFS('교육원 ① 거래입력'!$J$15:$J$2014,'교육원 ① 거래입력'!$O$15:$O$2014,$G$1*100+1,'교육원 ① 거래입력'!$D$15:$D$2014,$B37)</f>
        <v>0</v>
      </c>
      <c r="D37" s="57" t="n">
        <f aca="false">SUMIFS('교육원 ① 거래입력'!$J$15:$J$2014,'교육원 ① 거래입력'!$O$15:$O$2014,$G$1*100+2,'교육원 ① 거래입력'!$D$15:$D$2014,$B37)</f>
        <v>0</v>
      </c>
      <c r="E37" s="57" t="n">
        <f aca="false">SUMIFS('교육원 ① 거래입력'!$J$15:$J$2014,'교육원 ① 거래입력'!$O$15:$O$2014,$G$1*100+3,'교육원 ① 거래입력'!$D$15:$D$2014,$B37)</f>
        <v>0</v>
      </c>
      <c r="F37" s="57" t="n">
        <f aca="false">SUMIFS('교육원 ① 거래입력'!$J$15:$J$2014,'교육원 ① 거래입력'!$O$15:$O$2014,$G$1*100+4,'교육원 ① 거래입력'!$D$15:$D$2014,$B37)</f>
        <v>0</v>
      </c>
      <c r="G37" s="57" t="n">
        <f aca="false">SUMIFS('교육원 ① 거래입력'!$J$15:$J$2014,'교육원 ① 거래입력'!$O$15:$O$2014,$G$1*100+5,'교육원 ① 거래입력'!$D$15:$D$2014,$B37)</f>
        <v>0</v>
      </c>
      <c r="H37" s="57" t="n">
        <f aca="false">SUMIFS('교육원 ① 거래입력'!$J$15:$J$2014,'교육원 ① 거래입력'!$O$15:$O$2014,$G$1*100+6,'교육원 ① 거래입력'!$D$15:$D$2014,$B37)</f>
        <v>0</v>
      </c>
      <c r="I37" s="57" t="n">
        <f aca="false">SUMIFS('교육원 ① 거래입력'!$J$15:$J$2014,'교육원 ① 거래입력'!$O$15:$O$2014,$G$1*100+7,'교육원 ① 거래입력'!$D$15:$D$2014,$B37)</f>
        <v>0</v>
      </c>
      <c r="J37" s="57" t="n">
        <f aca="false">SUMIFS('교육원 ① 거래입력'!$J$15:$J$2014,'교육원 ① 거래입력'!$O$15:$O$2014,$G$1*100+8,'교육원 ① 거래입력'!$D$15:$D$2014,$B37)</f>
        <v>0</v>
      </c>
      <c r="K37" s="57" t="n">
        <f aca="false">SUMIFS('교육원 ① 거래입력'!$J$15:$J$2014,'교육원 ① 거래입력'!$O$15:$O$2014,$G$1*100+9,'교육원 ① 거래입력'!$D$15:$D$2014,$B37)</f>
        <v>300000</v>
      </c>
      <c r="L37" s="57" t="n">
        <f aca="false">SUMIFS('교육원 ① 거래입력'!$J$15:$J$2014,'교육원 ① 거래입력'!$O$15:$O$2014,$G$1*100+10,'교육원 ① 거래입력'!$D$15:$D$2014,$B37)</f>
        <v>0</v>
      </c>
      <c r="M37" s="57" t="n">
        <f aca="false">SUMIFS('교육원 ① 거래입력'!$J$15:$J$2014,'교육원 ① 거래입력'!$O$15:$O$2014,$G$1*100+11,'교육원 ① 거래입력'!$D$15:$D$2014,$B37)</f>
        <v>0</v>
      </c>
      <c r="N37" s="57" t="n">
        <f aca="false">SUMIFS('교육원 ① 거래입력'!$J$15:$J$2014,'교육원 ① 거래입력'!$O$15:$O$2014,$G$1*100+12,'교육원 ① 거래입력'!$D$15:$D$2014,$B37)</f>
        <v>0</v>
      </c>
      <c r="O37" s="58" t="n">
        <f aca="false">SUM($C37:$N37)</f>
        <v>300000</v>
      </c>
      <c r="P37" s="57" t="n">
        <f aca="false">IFERROR(AVERAGEIF($C37:$N37,"&lt;&gt;0"),0)</f>
        <v>300000</v>
      </c>
    </row>
    <row r="38" customFormat="false" ht="15" hidden="false" customHeight="false" outlineLevel="0" collapsed="false">
      <c r="A38" s="55"/>
      <c r="B38" s="56" t="s">
        <v>148</v>
      </c>
      <c r="C38" s="57" t="n">
        <f aca="false">SUMIFS('교육원 ① 거래입력'!$J$15:$J$2014,'교육원 ① 거래입력'!$O$15:$O$2014,$G$1*100+1,'교육원 ① 거래입력'!$D$15:$D$2014,$B38)</f>
        <v>0</v>
      </c>
      <c r="D38" s="57" t="n">
        <f aca="false">SUMIFS('교육원 ① 거래입력'!$J$15:$J$2014,'교육원 ① 거래입력'!$O$15:$O$2014,$G$1*100+2,'교육원 ① 거래입력'!$D$15:$D$2014,$B38)</f>
        <v>0</v>
      </c>
      <c r="E38" s="57" t="n">
        <f aca="false">SUMIFS('교육원 ① 거래입력'!$J$15:$J$2014,'교육원 ① 거래입력'!$O$15:$O$2014,$G$1*100+3,'교육원 ① 거래입력'!$D$15:$D$2014,$B38)</f>
        <v>0</v>
      </c>
      <c r="F38" s="57" t="n">
        <f aca="false">SUMIFS('교육원 ① 거래입력'!$J$15:$J$2014,'교육원 ① 거래입력'!$O$15:$O$2014,$G$1*100+4,'교육원 ① 거래입력'!$D$15:$D$2014,$B38)</f>
        <v>0</v>
      </c>
      <c r="G38" s="57" t="n">
        <f aca="false">SUMIFS('교육원 ① 거래입력'!$J$15:$J$2014,'교육원 ① 거래입력'!$O$15:$O$2014,$G$1*100+5,'교육원 ① 거래입력'!$D$15:$D$2014,$B38)</f>
        <v>0</v>
      </c>
      <c r="H38" s="57" t="n">
        <f aca="false">SUMIFS('교육원 ① 거래입력'!$J$15:$J$2014,'교육원 ① 거래입력'!$O$15:$O$2014,$G$1*100+6,'교육원 ① 거래입력'!$D$15:$D$2014,$B38)</f>
        <v>0</v>
      </c>
      <c r="I38" s="57" t="n">
        <f aca="false">SUMIFS('교육원 ① 거래입력'!$J$15:$J$2014,'교육원 ① 거래입력'!$O$15:$O$2014,$G$1*100+7,'교육원 ① 거래입력'!$D$15:$D$2014,$B38)</f>
        <v>0</v>
      </c>
      <c r="J38" s="57" t="n">
        <f aca="false">SUMIFS('교육원 ① 거래입력'!$J$15:$J$2014,'교육원 ① 거래입력'!$O$15:$O$2014,$G$1*100+8,'교육원 ① 거래입력'!$D$15:$D$2014,$B38)</f>
        <v>0</v>
      </c>
      <c r="K38" s="57" t="n">
        <f aca="false">SUMIFS('교육원 ① 거래입력'!$J$15:$J$2014,'교육원 ① 거래입력'!$O$15:$O$2014,$G$1*100+9,'교육원 ① 거래입력'!$D$15:$D$2014,$B38)</f>
        <v>12400</v>
      </c>
      <c r="L38" s="57" t="n">
        <f aca="false">SUMIFS('교육원 ① 거래입력'!$J$15:$J$2014,'교육원 ① 거래입력'!$O$15:$O$2014,$G$1*100+10,'교육원 ① 거래입력'!$D$15:$D$2014,$B38)</f>
        <v>0</v>
      </c>
      <c r="M38" s="57" t="n">
        <f aca="false">SUMIFS('교육원 ① 거래입력'!$J$15:$J$2014,'교육원 ① 거래입력'!$O$15:$O$2014,$G$1*100+11,'교육원 ① 거래입력'!$D$15:$D$2014,$B38)</f>
        <v>0</v>
      </c>
      <c r="N38" s="57" t="n">
        <f aca="false">SUMIFS('교육원 ① 거래입력'!$J$15:$J$2014,'교육원 ① 거래입력'!$O$15:$O$2014,$G$1*100+12,'교육원 ① 거래입력'!$D$15:$D$2014,$B38)</f>
        <v>0</v>
      </c>
      <c r="O38" s="58" t="n">
        <f aca="false">SUM($C38:$N38)</f>
        <v>12400</v>
      </c>
      <c r="P38" s="57" t="n">
        <f aca="false">IFERROR(AVERAGEIF($C38:$N38,"&lt;&gt;0"),0)</f>
        <v>12400</v>
      </c>
    </row>
    <row r="39" customFormat="false" ht="15" hidden="false" customHeight="false" outlineLevel="0" collapsed="false">
      <c r="A39" s="16"/>
      <c r="B39" s="17" t="s">
        <v>149</v>
      </c>
      <c r="C39" s="24" t="n">
        <f aca="false">SUM(C25:C38)</f>
        <v>0</v>
      </c>
      <c r="D39" s="24" t="n">
        <f aca="false">SUM(D25:D38)</f>
        <v>0</v>
      </c>
      <c r="E39" s="24" t="n">
        <f aca="false">SUM(E25:E38)</f>
        <v>0</v>
      </c>
      <c r="F39" s="24" t="n">
        <f aca="false">SUM(F25:F38)</f>
        <v>0</v>
      </c>
      <c r="G39" s="24" t="n">
        <f aca="false">SUM(G25:G38)</f>
        <v>0</v>
      </c>
      <c r="H39" s="24" t="n">
        <f aca="false">SUM(H25:H38)</f>
        <v>0</v>
      </c>
      <c r="I39" s="24" t="n">
        <f aca="false">SUM(I25:I38)</f>
        <v>0</v>
      </c>
      <c r="J39" s="24" t="n">
        <f aca="false">SUM(J25:J38)</f>
        <v>0</v>
      </c>
      <c r="K39" s="24" t="n">
        <f aca="false">SUM(K25:K38)</f>
        <v>872400</v>
      </c>
      <c r="L39" s="24" t="n">
        <f aca="false">SUM(L25:L38)</f>
        <v>0</v>
      </c>
      <c r="M39" s="24" t="n">
        <f aca="false">SUM(M25:M38)</f>
        <v>0</v>
      </c>
      <c r="N39" s="24" t="n">
        <f aca="false">SUM(N25:N38)</f>
        <v>0</v>
      </c>
      <c r="O39" s="24" t="n">
        <f aca="false">SUM(O25:O38)</f>
        <v>872400</v>
      </c>
      <c r="P39" s="24" t="n">
        <f aca="false">SUM(P25:P38)</f>
        <v>872400</v>
      </c>
    </row>
    <row r="41" customFormat="false" ht="15" hidden="false" customHeight="false" outlineLevel="0" collapsed="false">
      <c r="A41" s="59"/>
      <c r="B41" s="60" t="s">
        <v>45</v>
      </c>
      <c r="C41" s="8" t="n">
        <f aca="false">C12</f>
        <v>0</v>
      </c>
      <c r="D41" s="8" t="n">
        <f aca="false">D12</f>
        <v>0</v>
      </c>
      <c r="E41" s="8" t="n">
        <f aca="false">E12</f>
        <v>0</v>
      </c>
      <c r="F41" s="8" t="n">
        <f aca="false">F12</f>
        <v>0</v>
      </c>
      <c r="G41" s="8" t="n">
        <f aca="false">G12</f>
        <v>0</v>
      </c>
      <c r="H41" s="8" t="n">
        <f aca="false">H12</f>
        <v>0</v>
      </c>
      <c r="I41" s="8" t="n">
        <f aca="false">I12</f>
        <v>0</v>
      </c>
      <c r="J41" s="8" t="n">
        <f aca="false">J12</f>
        <v>0</v>
      </c>
      <c r="K41" s="8" t="n">
        <f aca="false">K12</f>
        <v>1260000</v>
      </c>
      <c r="L41" s="8" t="n">
        <f aca="false">L12</f>
        <v>0</v>
      </c>
      <c r="M41" s="8" t="n">
        <f aca="false">M12</f>
        <v>0</v>
      </c>
      <c r="N41" s="8" t="n">
        <f aca="false">N12</f>
        <v>0</v>
      </c>
      <c r="O41" s="8" t="n">
        <f aca="false">O12</f>
        <v>1260000</v>
      </c>
      <c r="P41" s="8" t="n">
        <f aca="false">P12</f>
        <v>1260000</v>
      </c>
    </row>
    <row r="42" customFormat="false" ht="15" hidden="false" customHeight="false" outlineLevel="0" collapsed="false">
      <c r="A42" s="59"/>
      <c r="B42" s="60" t="s">
        <v>46</v>
      </c>
      <c r="C42" s="8" t="n">
        <f aca="false">C23+C39</f>
        <v>0</v>
      </c>
      <c r="D42" s="8" t="n">
        <f aca="false">D23+D39</f>
        <v>0</v>
      </c>
      <c r="E42" s="8" t="n">
        <f aca="false">E23+E39</f>
        <v>0</v>
      </c>
      <c r="F42" s="8" t="n">
        <f aca="false">F23+F39</f>
        <v>0</v>
      </c>
      <c r="G42" s="8" t="n">
        <f aca="false">G23+G39</f>
        <v>0</v>
      </c>
      <c r="H42" s="8" t="n">
        <f aca="false">H23+H39</f>
        <v>0</v>
      </c>
      <c r="I42" s="8" t="n">
        <f aca="false">I23+I39</f>
        <v>0</v>
      </c>
      <c r="J42" s="8" t="n">
        <f aca="false">J23+J39</f>
        <v>0</v>
      </c>
      <c r="K42" s="8" t="n">
        <f aca="false">K23+K39</f>
        <v>872400</v>
      </c>
      <c r="L42" s="8" t="n">
        <f aca="false">L23+L39</f>
        <v>0</v>
      </c>
      <c r="M42" s="8" t="n">
        <f aca="false">M23+M39</f>
        <v>0</v>
      </c>
      <c r="N42" s="8" t="n">
        <f aca="false">N23+N39</f>
        <v>0</v>
      </c>
      <c r="O42" s="8" t="n">
        <f aca="false">O23+O39</f>
        <v>872400</v>
      </c>
      <c r="P42" s="8" t="n">
        <f aca="false">P23+P39</f>
        <v>872400</v>
      </c>
    </row>
    <row r="43" customFormat="false" ht="15" hidden="false" customHeight="false" outlineLevel="0" collapsed="false">
      <c r="A43" s="59"/>
      <c r="B43" s="60" t="s">
        <v>47</v>
      </c>
      <c r="C43" s="8" t="n">
        <f aca="false">C12-C23-C39</f>
        <v>0</v>
      </c>
      <c r="D43" s="8" t="n">
        <f aca="false">D12-D23-D39</f>
        <v>0</v>
      </c>
      <c r="E43" s="8" t="n">
        <f aca="false">E12-E23-E39</f>
        <v>0</v>
      </c>
      <c r="F43" s="8" t="n">
        <f aca="false">F12-F23-F39</f>
        <v>0</v>
      </c>
      <c r="G43" s="8" t="n">
        <f aca="false">G12-G23-G39</f>
        <v>0</v>
      </c>
      <c r="H43" s="8" t="n">
        <f aca="false">H12-H23-H39</f>
        <v>0</v>
      </c>
      <c r="I43" s="8" t="n">
        <f aca="false">I12-I23-I39</f>
        <v>0</v>
      </c>
      <c r="J43" s="8" t="n">
        <f aca="false">J12-J23-J39</f>
        <v>0</v>
      </c>
      <c r="K43" s="8" t="n">
        <f aca="false">K12-K23-K39</f>
        <v>387600</v>
      </c>
      <c r="L43" s="8" t="n">
        <f aca="false">L12-L23-L39</f>
        <v>0</v>
      </c>
      <c r="M43" s="8" t="n">
        <f aca="false">M12-M23-M39</f>
        <v>0</v>
      </c>
      <c r="N43" s="8" t="n">
        <f aca="false">N12-N23-N39</f>
        <v>0</v>
      </c>
      <c r="O43" s="8" t="n">
        <f aca="false">O12-O23-O39</f>
        <v>387600</v>
      </c>
      <c r="P43" s="8" t="n">
        <f aca="false">P12-P23-P39</f>
        <v>387600</v>
      </c>
    </row>
    <row r="44" customFormat="false" ht="15" hidden="false" customHeight="false" outlineLevel="0" collapsed="false">
      <c r="A44" s="59"/>
      <c r="B44" s="60" t="s">
        <v>150</v>
      </c>
      <c r="C44" s="61" t="str">
        <f aca="false">IF(C41=0,"",(C41-C42)/C41)</f>
        <v/>
      </c>
      <c r="D44" s="61" t="str">
        <f aca="false">IF(D41=0,"",(D41-D42)/D41)</f>
        <v/>
      </c>
      <c r="E44" s="61" t="str">
        <f aca="false">IF(E41=0,"",(E41-E42)/E41)</f>
        <v/>
      </c>
      <c r="F44" s="61" t="str">
        <f aca="false">IF(F41=0,"",(F41-F42)/F41)</f>
        <v/>
      </c>
      <c r="G44" s="61" t="str">
        <f aca="false">IF(G41=0,"",(G41-G42)/G41)</f>
        <v/>
      </c>
      <c r="H44" s="61" t="str">
        <f aca="false">IF(H41=0,"",(H41-H42)/H41)</f>
        <v/>
      </c>
      <c r="I44" s="61" t="str">
        <f aca="false">IF(I41=0,"",(I41-I42)/I41)</f>
        <v/>
      </c>
      <c r="J44" s="61" t="str">
        <f aca="false">IF(J41=0,"",(J41-J42)/J41)</f>
        <v/>
      </c>
      <c r="K44" s="61" t="n">
        <f aca="false">IF(K41=0,"",(K41-K42)/K41)</f>
        <v>0.307619047619048</v>
      </c>
      <c r="L44" s="61" t="str">
        <f aca="false">IF(L41=0,"",(L41-L42)/L41)</f>
        <v/>
      </c>
      <c r="M44" s="61" t="str">
        <f aca="false">IF(M41=0,"",(M41-M42)/M41)</f>
        <v/>
      </c>
      <c r="N44" s="61" t="str">
        <f aca="false">IF(N41=0,"",(N41-N42)/N41)</f>
        <v/>
      </c>
      <c r="O44" s="61" t="n">
        <f aca="false">IF(O41=0,"",(O41-O42)/O41)</f>
        <v>0.307619047619048</v>
      </c>
      <c r="P44" s="61" t="n">
        <f aca="false">IF(P41=0,"",(P41-P42)/P41)</f>
        <v>0.307619047619048</v>
      </c>
    </row>
    <row r="46" customFormat="false" ht="15" hidden="false" customHeight="false" outlineLevel="0" collapsed="false">
      <c r="A46" s="2" t="s">
        <v>151</v>
      </c>
    </row>
    <row r="47" customFormat="false" ht="15" hidden="false" customHeight="false" outlineLevel="0" collapsed="false">
      <c r="A47" s="2" t="s">
        <v>152</v>
      </c>
    </row>
    <row r="48" customFormat="false" ht="15" hidden="false" customHeight="false" outlineLevel="0" collapsed="false">
      <c r="A48" s="2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D1A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52"/>
  </cols>
  <sheetData>
    <row r="1" customFormat="false" ht="20.1" hidden="false" customHeight="false" outlineLevel="0" collapsed="false">
      <c r="A1" s="44" t="s">
        <v>250</v>
      </c>
    </row>
    <row r="2" customFormat="false" ht="15" hidden="false" customHeight="false" outlineLevel="0" collapsed="false">
      <c r="A2" s="2" t="s">
        <v>251</v>
      </c>
    </row>
    <row r="3" customFormat="false" ht="15" hidden="false" customHeight="false" outlineLevel="0" collapsed="false">
      <c r="D3" s="62" t="s">
        <v>156</v>
      </c>
    </row>
    <row r="4" customFormat="false" ht="30" hidden="false" customHeight="true" outlineLevel="0" collapsed="false">
      <c r="A4" s="3" t="s">
        <v>25</v>
      </c>
      <c r="B4" s="3" t="s">
        <v>2</v>
      </c>
      <c r="C4" s="3" t="s">
        <v>157</v>
      </c>
      <c r="D4" s="3" t="s">
        <v>158</v>
      </c>
      <c r="E4" s="3" t="s">
        <v>159</v>
      </c>
      <c r="F4" s="3" t="s">
        <v>160</v>
      </c>
      <c r="G4" s="3" t="s">
        <v>26</v>
      </c>
      <c r="H4" s="3" t="s">
        <v>161</v>
      </c>
      <c r="I4" s="3" t="s">
        <v>162</v>
      </c>
      <c r="J4" s="3" t="s">
        <v>80</v>
      </c>
    </row>
    <row r="5" customFormat="false" ht="15" hidden="false" customHeight="false" outlineLevel="0" collapsed="false">
      <c r="A5" s="14" t="s">
        <v>228</v>
      </c>
      <c r="B5" s="13" t="s">
        <v>163</v>
      </c>
      <c r="C5" s="63" t="s">
        <v>252</v>
      </c>
      <c r="D5" s="64" t="n">
        <v>0</v>
      </c>
      <c r="E5" s="65" t="n">
        <f aca="false">IF($A5="","",SUMIF('교육원 ① 거래입력'!$C$15:$C$2014,$A5,'교육원 ① 거래입력'!$I$15:$I$2014))</f>
        <v>1260000</v>
      </c>
      <c r="F5" s="66" t="n">
        <f aca="false">IF($A5="","",SUMIF('교육원 ① 거래입력'!$C$15:$C$2014,$A5,'교육원 ① 거래입력'!$J$15:$J$2014))</f>
        <v>910000</v>
      </c>
      <c r="G5" s="24" t="n">
        <f aca="false">IF($A5="","",IF($B5="카드",$F5,N($D5)+$E5-$F5))</f>
        <v>350000</v>
      </c>
      <c r="H5" s="38"/>
      <c r="I5" s="63"/>
      <c r="J5" s="67" t="s">
        <v>253</v>
      </c>
    </row>
    <row r="6" customFormat="false" ht="15" hidden="false" customHeight="false" outlineLevel="0" collapsed="false">
      <c r="A6" s="14" t="s">
        <v>172</v>
      </c>
      <c r="B6" s="13" t="s">
        <v>172</v>
      </c>
      <c r="C6" s="63" t="s">
        <v>173</v>
      </c>
      <c r="D6" s="64" t="n">
        <v>0</v>
      </c>
      <c r="E6" s="65" t="n">
        <f aca="false">IF($A6="","",SUMIF('교육원 ① 거래입력'!$C$15:$C$2014,$A6,'교육원 ① 거래입력'!$I$15:$I$2014))</f>
        <v>50000</v>
      </c>
      <c r="F6" s="66" t="n">
        <f aca="false">IF($A6="","",SUMIF('교육원 ① 거래입력'!$C$15:$C$2014,$A6,'교육원 ① 거래입력'!$J$15:$J$2014))</f>
        <v>12400</v>
      </c>
      <c r="G6" s="24" t="n">
        <f aca="false">IF($A6="","",IF($B6="카드",$F6,N($D6)+$E6-$F6))</f>
        <v>37600</v>
      </c>
      <c r="H6" s="38"/>
      <c r="I6" s="63"/>
      <c r="J6" s="67"/>
    </row>
    <row r="7" customFormat="false" ht="15" hidden="false" customHeight="false" outlineLevel="0" collapsed="false">
      <c r="A7" s="14"/>
      <c r="B7" s="13"/>
      <c r="C7" s="63"/>
      <c r="D7" s="64"/>
      <c r="E7" s="65" t="str">
        <f aca="false">IF($A7="","",SUMIF('교육원 ① 거래입력'!$C$15:$C$2014,$A7,'교육원 ① 거래입력'!$I$15:$I$2014))</f>
        <v/>
      </c>
      <c r="F7" s="66" t="str">
        <f aca="false">IF($A7="","",SUMIF('교육원 ① 거래입력'!$C$15:$C$2014,$A7,'교육원 ① 거래입력'!$J$15:$J$2014))</f>
        <v/>
      </c>
      <c r="G7" s="24" t="str">
        <f aca="false">IF($A7="","",IF($B7="카드",$F7,N($D7)+$E7-$F7))</f>
        <v/>
      </c>
      <c r="H7" s="38"/>
      <c r="I7" s="63"/>
      <c r="J7" s="67" t="s">
        <v>254</v>
      </c>
    </row>
    <row r="8" customFormat="false" ht="15" hidden="false" customHeight="false" outlineLevel="0" collapsed="false">
      <c r="A8" s="14"/>
      <c r="B8" s="13"/>
      <c r="C8" s="63"/>
      <c r="D8" s="64"/>
      <c r="E8" s="65" t="str">
        <f aca="false">IF($A8="","",SUMIF('교육원 ① 거래입력'!$C$15:$C$2014,$A8,'교육원 ① 거래입력'!$I$15:$I$2014))</f>
        <v/>
      </c>
      <c r="F8" s="66" t="str">
        <f aca="false">IF($A8="","",SUMIF('교육원 ① 거래입력'!$C$15:$C$2014,$A8,'교육원 ① 거래입력'!$J$15:$J$2014))</f>
        <v/>
      </c>
      <c r="G8" s="24" t="str">
        <f aca="false">IF($A8="","",IF($B8="카드",$F8,N($D8)+$E8-$F8))</f>
        <v/>
      </c>
      <c r="H8" s="38"/>
      <c r="I8" s="63"/>
      <c r="J8" s="67"/>
    </row>
    <row r="9" customFormat="false" ht="15" hidden="false" customHeight="false" outlineLevel="0" collapsed="false">
      <c r="A9" s="14"/>
      <c r="B9" s="13"/>
      <c r="C9" s="63"/>
      <c r="D9" s="64"/>
      <c r="E9" s="65" t="str">
        <f aca="false">IF($A9="","",SUMIF('교육원 ① 거래입력'!$C$15:$C$2014,$A9,'교육원 ① 거래입력'!$I$15:$I$2014))</f>
        <v/>
      </c>
      <c r="F9" s="66" t="str">
        <f aca="false">IF($A9="","",SUMIF('교육원 ① 거래입력'!$C$15:$C$2014,$A9,'교육원 ① 거래입력'!$J$15:$J$2014))</f>
        <v/>
      </c>
      <c r="G9" s="24" t="str">
        <f aca="false">IF($A9="","",IF($B9="카드",$F9,N($D9)+$E9-$F9))</f>
        <v/>
      </c>
      <c r="H9" s="38"/>
      <c r="I9" s="63"/>
      <c r="J9" s="67"/>
    </row>
    <row r="10" customFormat="false" ht="15" hidden="false" customHeight="false" outlineLevel="0" collapsed="false">
      <c r="A10" s="14"/>
      <c r="B10" s="13"/>
      <c r="C10" s="63"/>
      <c r="D10" s="64"/>
      <c r="E10" s="65" t="str">
        <f aca="false">IF($A10="","",SUMIF('교육원 ① 거래입력'!$C$15:$C$2014,$A10,'교육원 ① 거래입력'!$I$15:$I$2014))</f>
        <v/>
      </c>
      <c r="F10" s="66" t="str">
        <f aca="false">IF($A10="","",SUMIF('교육원 ① 거래입력'!$C$15:$C$2014,$A10,'교육원 ① 거래입력'!$J$15:$J$2014))</f>
        <v/>
      </c>
      <c r="G10" s="24" t="str">
        <f aca="false">IF($A10="","",IF($B10="카드",$F10,N($D10)+$E10-$F10))</f>
        <v/>
      </c>
      <c r="H10" s="38"/>
      <c r="I10" s="63"/>
      <c r="J10" s="67"/>
    </row>
    <row r="11" customFormat="false" ht="15" hidden="false" customHeight="false" outlineLevel="0" collapsed="false">
      <c r="A11" s="14"/>
      <c r="B11" s="13"/>
      <c r="C11" s="63"/>
      <c r="D11" s="64"/>
      <c r="E11" s="65" t="str">
        <f aca="false">IF($A11="","",SUMIF('교육원 ① 거래입력'!$C$15:$C$2014,$A11,'교육원 ① 거래입력'!$I$15:$I$2014))</f>
        <v/>
      </c>
      <c r="F11" s="66" t="str">
        <f aca="false">IF($A11="","",SUMIF('교육원 ① 거래입력'!$C$15:$C$2014,$A11,'교육원 ① 거래입력'!$J$15:$J$2014))</f>
        <v/>
      </c>
      <c r="G11" s="24" t="str">
        <f aca="false">IF($A11="","",IF($B11="카드",$F11,N($D11)+$E11-$F11))</f>
        <v/>
      </c>
      <c r="H11" s="38"/>
      <c r="I11" s="63"/>
      <c r="J11" s="67"/>
    </row>
    <row r="12" customFormat="false" ht="15" hidden="false" customHeight="false" outlineLevel="0" collapsed="false">
      <c r="A12" s="17" t="s">
        <v>175</v>
      </c>
      <c r="B12" s="16"/>
      <c r="C12" s="16"/>
      <c r="D12" s="18" t="n">
        <f aca="false">SUMIF($B$5:$B$11,"통장",D$5:D$11)</f>
        <v>0</v>
      </c>
      <c r="E12" s="18" t="n">
        <f aca="false">SUMIF($B$5:$B$11,"통장",E$5:E$11)</f>
        <v>1260000</v>
      </c>
      <c r="F12" s="18" t="n">
        <f aca="false">SUMIF($B$5:$B$11,"통장",F$5:F$11)</f>
        <v>910000</v>
      </c>
      <c r="G12" s="18" t="n">
        <f aca="false">SUMIF($B$5:$B$11,"통장",G$5:G$11)</f>
        <v>350000</v>
      </c>
    </row>
    <row r="13" customFormat="false" ht="15" hidden="false" customHeight="false" outlineLevel="0" collapsed="false">
      <c r="A13" s="17" t="s">
        <v>176</v>
      </c>
      <c r="B13" s="16"/>
      <c r="C13" s="16"/>
      <c r="D13" s="16"/>
      <c r="E13" s="16"/>
      <c r="F13" s="18" t="n">
        <f aca="false">SUMIF($B$5:$B$11,"카드",F$5:F$11)</f>
        <v>0</v>
      </c>
      <c r="G13" s="18" t="n">
        <f aca="false">$F13</f>
        <v>0</v>
      </c>
    </row>
    <row r="15" customFormat="false" ht="15" hidden="false" customHeight="false" outlineLevel="0" collapsed="false">
      <c r="A15" s="32" t="s">
        <v>177</v>
      </c>
    </row>
    <row r="16" customFormat="false" ht="15" hidden="false" customHeight="false" outlineLevel="0" collapsed="false">
      <c r="A16" s="32" t="s">
        <v>178</v>
      </c>
    </row>
    <row r="17" customFormat="false" ht="15" hidden="false" customHeight="false" outlineLevel="0" collapsed="false">
      <c r="A17" s="32" t="s">
        <v>179</v>
      </c>
    </row>
    <row r="18" customFormat="false" ht="15" hidden="false" customHeight="false" outlineLevel="0" collapsed="false">
      <c r="A18" s="32" t="s">
        <v>180</v>
      </c>
    </row>
    <row r="19" customFormat="false" ht="15" hidden="false" customHeight="false" outlineLevel="0" collapsed="false">
      <c r="A19" s="32" t="s">
        <v>255</v>
      </c>
    </row>
  </sheetData>
  <conditionalFormatting sqref="G5:G1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D1A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3"/>
    <col collapsed="false" customWidth="true" hidden="false" outlineLevel="0" max="7" min="7" style="0" width="15"/>
  </cols>
  <sheetData>
    <row r="1" customFormat="false" ht="20.1" hidden="false" customHeight="false" outlineLevel="0" collapsed="false">
      <c r="A1" s="44" t="s">
        <v>256</v>
      </c>
    </row>
    <row r="2" customFormat="false" ht="15" hidden="false" customHeight="false" outlineLevel="0" collapsed="false">
      <c r="A2" s="2" t="s">
        <v>257</v>
      </c>
    </row>
    <row r="3" customFormat="false" ht="15" hidden="false" customHeight="false" outlineLevel="0" collapsed="false">
      <c r="A3" s="69" t="s">
        <v>184</v>
      </c>
    </row>
    <row r="4" customFormat="false" ht="15" hidden="false" customHeight="false" outlineLevel="0" collapsed="false">
      <c r="A4" s="2" t="s">
        <v>258</v>
      </c>
    </row>
    <row r="5" customFormat="false" ht="31.5" hidden="false" customHeight="true" outlineLevel="0" collapsed="false">
      <c r="A5" s="3" t="s">
        <v>75</v>
      </c>
      <c r="B5" s="3" t="s">
        <v>74</v>
      </c>
      <c r="C5" s="3" t="s">
        <v>76</v>
      </c>
      <c r="D5" s="3" t="s">
        <v>186</v>
      </c>
      <c r="E5" s="19" t="s">
        <v>259</v>
      </c>
      <c r="F5" s="70"/>
      <c r="G5" s="3" t="s">
        <v>79</v>
      </c>
    </row>
    <row r="6" customFormat="false" ht="15" hidden="false" customHeight="false" outlineLevel="0" collapsed="false">
      <c r="A6" s="71" t="s">
        <v>57</v>
      </c>
      <c r="B6" s="48" t="s">
        <v>229</v>
      </c>
      <c r="C6" s="71"/>
      <c r="D6" s="72" t="s">
        <v>260</v>
      </c>
      <c r="E6" s="73"/>
      <c r="G6" s="74" t="s">
        <v>99</v>
      </c>
    </row>
    <row r="7" customFormat="false" ht="15" hidden="false" customHeight="false" outlineLevel="0" collapsed="false">
      <c r="A7" s="71" t="s">
        <v>57</v>
      </c>
      <c r="B7" s="48" t="s">
        <v>247</v>
      </c>
      <c r="C7" s="71"/>
      <c r="D7" s="72" t="s">
        <v>261</v>
      </c>
      <c r="E7" s="73"/>
      <c r="G7" s="74" t="s">
        <v>190</v>
      </c>
    </row>
    <row r="8" customFormat="false" ht="15" hidden="false" customHeight="false" outlineLevel="0" collapsed="false">
      <c r="A8" s="71" t="s">
        <v>57</v>
      </c>
      <c r="B8" s="48" t="s">
        <v>248</v>
      </c>
      <c r="C8" s="71"/>
      <c r="D8" s="72" t="s">
        <v>262</v>
      </c>
      <c r="E8" s="73"/>
      <c r="G8" s="74" t="s">
        <v>104</v>
      </c>
    </row>
    <row r="9" customFormat="false" ht="15" hidden="false" customHeight="false" outlineLevel="0" collapsed="false">
      <c r="A9" s="71" t="s">
        <v>57</v>
      </c>
      <c r="B9" s="48" t="s">
        <v>123</v>
      </c>
      <c r="C9" s="71"/>
      <c r="D9" s="72" t="s">
        <v>193</v>
      </c>
      <c r="E9" s="73"/>
      <c r="G9" s="74" t="s">
        <v>191</v>
      </c>
    </row>
    <row r="10" customFormat="false" ht="15" hidden="false" customHeight="false" outlineLevel="0" collapsed="false">
      <c r="A10" s="71" t="s">
        <v>57</v>
      </c>
      <c r="B10" s="48" t="s">
        <v>111</v>
      </c>
      <c r="C10" s="71"/>
      <c r="D10" s="72" t="s">
        <v>263</v>
      </c>
      <c r="E10" s="73"/>
      <c r="G10" s="74" t="s">
        <v>87</v>
      </c>
    </row>
    <row r="11" customFormat="false" ht="15" hidden="false" customHeight="false" outlineLevel="0" collapsed="false">
      <c r="A11" s="71" t="s">
        <v>57</v>
      </c>
      <c r="B11" s="48" t="s">
        <v>124</v>
      </c>
      <c r="C11" s="71"/>
      <c r="D11" s="72" t="s">
        <v>197</v>
      </c>
      <c r="E11" s="73"/>
      <c r="G11" s="74" t="s">
        <v>194</v>
      </c>
    </row>
    <row r="12" customFormat="false" ht="15" hidden="false" customHeight="false" outlineLevel="0" collapsed="false">
      <c r="A12" s="71" t="s">
        <v>57</v>
      </c>
      <c r="B12" s="48" t="s">
        <v>125</v>
      </c>
      <c r="C12" s="71"/>
      <c r="D12" s="72" t="s">
        <v>198</v>
      </c>
      <c r="E12" s="73"/>
      <c r="G12" s="74" t="s">
        <v>196</v>
      </c>
    </row>
    <row r="13" customFormat="false" ht="15" hidden="false" customHeight="false" outlineLevel="0" collapsed="false">
      <c r="A13" s="75" t="s">
        <v>127</v>
      </c>
      <c r="B13" s="76" t="s">
        <v>128</v>
      </c>
      <c r="C13" s="75" t="s">
        <v>200</v>
      </c>
      <c r="D13" s="77" t="s">
        <v>264</v>
      </c>
      <c r="E13" s="78"/>
    </row>
    <row r="14" customFormat="false" ht="15" hidden="false" customHeight="false" outlineLevel="0" collapsed="false">
      <c r="A14" s="75" t="s">
        <v>127</v>
      </c>
      <c r="B14" s="16" t="s">
        <v>105</v>
      </c>
      <c r="C14" s="75" t="s">
        <v>200</v>
      </c>
      <c r="D14" s="77"/>
      <c r="E14" s="78"/>
      <c r="G14" s="11" t="s">
        <v>199</v>
      </c>
    </row>
    <row r="15" customFormat="false" ht="15" hidden="false" customHeight="false" outlineLevel="0" collapsed="false">
      <c r="A15" s="75" t="s">
        <v>127</v>
      </c>
      <c r="B15" s="76" t="s">
        <v>129</v>
      </c>
      <c r="C15" s="75" t="s">
        <v>200</v>
      </c>
      <c r="D15" s="77"/>
      <c r="E15" s="78"/>
    </row>
    <row r="16" customFormat="false" ht="15" hidden="false" customHeight="false" outlineLevel="0" collapsed="false">
      <c r="A16" s="75" t="s">
        <v>127</v>
      </c>
      <c r="B16" s="76" t="s">
        <v>96</v>
      </c>
      <c r="C16" s="75" t="s">
        <v>200</v>
      </c>
      <c r="D16" s="77" t="s">
        <v>265</v>
      </c>
      <c r="E16" s="78"/>
    </row>
    <row r="17" customFormat="false" ht="15" hidden="false" customHeight="false" outlineLevel="0" collapsed="false">
      <c r="A17" s="75" t="s">
        <v>127</v>
      </c>
      <c r="B17" s="76" t="s">
        <v>130</v>
      </c>
      <c r="C17" s="75" t="s">
        <v>200</v>
      </c>
      <c r="D17" s="77"/>
      <c r="E17" s="78"/>
    </row>
    <row r="18" customFormat="false" ht="15" hidden="false" customHeight="false" outlineLevel="0" collapsed="false">
      <c r="A18" s="75" t="s">
        <v>127</v>
      </c>
      <c r="B18" s="76" t="s">
        <v>108</v>
      </c>
      <c r="C18" s="75" t="s">
        <v>200</v>
      </c>
      <c r="D18" s="77" t="s">
        <v>266</v>
      </c>
      <c r="E18" s="78"/>
    </row>
    <row r="19" customFormat="false" ht="15" hidden="false" customHeight="false" outlineLevel="0" collapsed="false">
      <c r="A19" s="75" t="s">
        <v>127</v>
      </c>
      <c r="B19" s="76" t="s">
        <v>131</v>
      </c>
      <c r="C19" s="75" t="s">
        <v>200</v>
      </c>
      <c r="D19" s="77"/>
      <c r="E19" s="78"/>
    </row>
    <row r="20" customFormat="false" ht="15" hidden="false" customHeight="false" outlineLevel="0" collapsed="false">
      <c r="A20" s="75" t="s">
        <v>127</v>
      </c>
      <c r="B20" s="76" t="s">
        <v>132</v>
      </c>
      <c r="C20" s="75" t="s">
        <v>200</v>
      </c>
      <c r="D20" s="77"/>
      <c r="E20" s="78"/>
    </row>
    <row r="21" customFormat="false" ht="15" hidden="false" customHeight="false" outlineLevel="0" collapsed="false">
      <c r="A21" s="75" t="s">
        <v>127</v>
      </c>
      <c r="B21" s="76" t="s">
        <v>133</v>
      </c>
      <c r="C21" s="75" t="s">
        <v>200</v>
      </c>
      <c r="D21" s="79" t="s">
        <v>267</v>
      </c>
      <c r="E21" s="78"/>
    </row>
    <row r="22" customFormat="false" ht="15" hidden="false" customHeight="false" outlineLevel="0" collapsed="false">
      <c r="A22" s="80" t="s">
        <v>136</v>
      </c>
      <c r="B22" s="51" t="s">
        <v>232</v>
      </c>
      <c r="C22" s="80" t="s">
        <v>209</v>
      </c>
      <c r="D22" s="81" t="s">
        <v>268</v>
      </c>
      <c r="E22" s="82"/>
    </row>
    <row r="23" customFormat="false" ht="15" hidden="false" customHeight="false" outlineLevel="0" collapsed="false">
      <c r="A23" s="80" t="s">
        <v>136</v>
      </c>
      <c r="B23" s="51" t="s">
        <v>235</v>
      </c>
      <c r="C23" s="80" t="s">
        <v>209</v>
      </c>
      <c r="D23" s="81" t="s">
        <v>269</v>
      </c>
      <c r="E23" s="82"/>
    </row>
    <row r="24" customFormat="false" ht="15" hidden="false" customHeight="false" outlineLevel="0" collapsed="false">
      <c r="A24" s="80" t="s">
        <v>136</v>
      </c>
      <c r="B24" s="51" t="s">
        <v>249</v>
      </c>
      <c r="C24" s="80" t="s">
        <v>209</v>
      </c>
      <c r="D24" s="81" t="s">
        <v>270</v>
      </c>
      <c r="E24" s="82"/>
    </row>
    <row r="25" customFormat="false" ht="15" hidden="false" customHeight="false" outlineLevel="0" collapsed="false">
      <c r="A25" s="80" t="s">
        <v>136</v>
      </c>
      <c r="B25" s="51" t="s">
        <v>137</v>
      </c>
      <c r="C25" s="80" t="s">
        <v>209</v>
      </c>
      <c r="D25" s="81" t="s">
        <v>211</v>
      </c>
      <c r="E25" s="82"/>
    </row>
    <row r="26" customFormat="false" ht="15" hidden="false" customHeight="false" outlineLevel="0" collapsed="false">
      <c r="A26" s="80" t="s">
        <v>136</v>
      </c>
      <c r="B26" s="51" t="s">
        <v>139</v>
      </c>
      <c r="C26" s="80" t="s">
        <v>209</v>
      </c>
      <c r="D26" s="81" t="s">
        <v>213</v>
      </c>
      <c r="E26" s="82"/>
    </row>
    <row r="27" customFormat="false" ht="15" hidden="false" customHeight="false" outlineLevel="0" collapsed="false">
      <c r="A27" s="80" t="s">
        <v>136</v>
      </c>
      <c r="B27" s="51" t="s">
        <v>140</v>
      </c>
      <c r="C27" s="80" t="s">
        <v>209</v>
      </c>
      <c r="D27" s="81" t="s">
        <v>214</v>
      </c>
      <c r="E27" s="82"/>
    </row>
    <row r="28" customFormat="false" ht="15" hidden="false" customHeight="false" outlineLevel="0" collapsed="false">
      <c r="A28" s="80" t="s">
        <v>136</v>
      </c>
      <c r="B28" s="51" t="s">
        <v>141</v>
      </c>
      <c r="C28" s="80" t="s">
        <v>209</v>
      </c>
      <c r="D28" s="81"/>
      <c r="E28" s="82"/>
    </row>
    <row r="29" customFormat="false" ht="15" hidden="false" customHeight="false" outlineLevel="0" collapsed="false">
      <c r="A29" s="80" t="s">
        <v>136</v>
      </c>
      <c r="B29" s="51" t="s">
        <v>142</v>
      </c>
      <c r="C29" s="80" t="s">
        <v>209</v>
      </c>
      <c r="D29" s="81" t="s">
        <v>271</v>
      </c>
      <c r="E29" s="82"/>
    </row>
    <row r="30" customFormat="false" ht="15" hidden="false" customHeight="false" outlineLevel="0" collapsed="false">
      <c r="A30" s="80" t="s">
        <v>136</v>
      </c>
      <c r="B30" s="51" t="s">
        <v>143</v>
      </c>
      <c r="C30" s="80" t="s">
        <v>209</v>
      </c>
      <c r="D30" s="81" t="s">
        <v>272</v>
      </c>
      <c r="E30" s="82"/>
    </row>
    <row r="31" customFormat="false" ht="15" hidden="false" customHeight="false" outlineLevel="0" collapsed="false">
      <c r="A31" s="80" t="s">
        <v>136</v>
      </c>
      <c r="B31" s="51" t="s">
        <v>144</v>
      </c>
      <c r="C31" s="80" t="s">
        <v>209</v>
      </c>
      <c r="D31" s="81" t="s">
        <v>217</v>
      </c>
      <c r="E31" s="82"/>
    </row>
    <row r="32" customFormat="false" ht="15" hidden="false" customHeight="false" outlineLevel="0" collapsed="false">
      <c r="A32" s="80" t="s">
        <v>136</v>
      </c>
      <c r="B32" s="51" t="s">
        <v>145</v>
      </c>
      <c r="C32" s="80" t="s">
        <v>209</v>
      </c>
      <c r="D32" s="81" t="s">
        <v>218</v>
      </c>
      <c r="E32" s="82"/>
    </row>
    <row r="33" customFormat="false" ht="15" hidden="false" customHeight="false" outlineLevel="0" collapsed="false">
      <c r="A33" s="80" t="s">
        <v>136</v>
      </c>
      <c r="B33" s="51" t="s">
        <v>146</v>
      </c>
      <c r="C33" s="80" t="s">
        <v>209</v>
      </c>
      <c r="D33" s="81"/>
      <c r="E33" s="82"/>
    </row>
    <row r="34" customFormat="false" ht="15" hidden="false" customHeight="false" outlineLevel="0" collapsed="false">
      <c r="A34" s="80" t="s">
        <v>136</v>
      </c>
      <c r="B34" s="51" t="s">
        <v>147</v>
      </c>
      <c r="C34" s="80" t="s">
        <v>209</v>
      </c>
      <c r="D34" s="81" t="s">
        <v>273</v>
      </c>
      <c r="E34" s="82"/>
    </row>
    <row r="35" customFormat="false" ht="15" hidden="false" customHeight="false" outlineLevel="0" collapsed="false">
      <c r="A35" s="80" t="s">
        <v>136</v>
      </c>
      <c r="B35" s="51" t="s">
        <v>148</v>
      </c>
      <c r="C35" s="80" t="s">
        <v>209</v>
      </c>
      <c r="D35" s="81" t="s">
        <v>220</v>
      </c>
      <c r="E35" s="82"/>
    </row>
    <row r="36" customFormat="false" ht="15" hidden="false" customHeight="false" outlineLevel="0" collapsed="false">
      <c r="A36" s="83" t="s">
        <v>221</v>
      </c>
      <c r="B36" s="84" t="s">
        <v>89</v>
      </c>
      <c r="C36" s="83"/>
      <c r="D36" s="85" t="s">
        <v>222</v>
      </c>
      <c r="E36" s="86"/>
    </row>
    <row r="37" customFormat="false" ht="15" hidden="false" customHeight="false" outlineLevel="0" collapsed="false">
      <c r="A37" s="20"/>
      <c r="B37" s="20"/>
      <c r="C37" s="20"/>
      <c r="D37" s="20"/>
      <c r="E37" s="20"/>
    </row>
    <row r="38" customFormat="false" ht="15" hidden="false" customHeight="false" outlineLevel="0" collapsed="false">
      <c r="A38" s="20"/>
      <c r="B38" s="20"/>
      <c r="C38" s="20"/>
      <c r="D38" s="20"/>
      <c r="E38" s="20"/>
    </row>
    <row r="39" customFormat="false" ht="15" hidden="false" customHeight="false" outlineLevel="0" collapsed="false">
      <c r="A39" s="20"/>
      <c r="B39" s="20"/>
      <c r="C39" s="20"/>
      <c r="D39" s="20"/>
      <c r="E39" s="20"/>
    </row>
    <row r="40" customFormat="false" ht="15" hidden="false" customHeight="false" outlineLevel="0" collapsed="false">
      <c r="A40" s="20"/>
      <c r="B40" s="20"/>
      <c r="C40" s="20"/>
      <c r="D40" s="20"/>
      <c r="E4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2026-09-21T13:21:01Z</dcterms:created>
  <dc:creator>openpyxl</dc:creator>
  <dc:description/>
  <dc:language>en-US</dc:language>
  <cp:lastModifiedBy/>
  <dcterms:modified xsi:type="dcterms:W3CDTF">2026-09-21T13:21:06Z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